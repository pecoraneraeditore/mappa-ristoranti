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79A5E6B-81A5-4326-A002-E873C14CA85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golose'!$A$7:$Q$476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76" i="6" l="1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<sst xmlns="http://schemas.openxmlformats.org/spreadsheetml/2006/main" count="4536" uniqueCount="1996">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</sst>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topLeftCell="B1" zoomScaleNormal="100" workbookViewId="0">
      <pane ySplit="7" topLeftCell="A47" activePane="bottomLeft" state="frozen"/>
      <selection pane="bottomLeft" activeCell="Q72" sqref="Q7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107</v>
      </c>
      <c r="F3" s="5">
        <f>+AD6</f>
        <v>71</v>
      </c>
      <c r="G3" s="5">
        <f>+AF6</f>
        <v>71</v>
      </c>
      <c r="H3" s="5">
        <f>+E3-G3</f>
        <v>36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127</v>
      </c>
      <c r="G4" s="7">
        <f>+AG6</f>
        <v>110</v>
      </c>
      <c r="H4" s="5">
        <f>+E4-G4</f>
        <v>216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433</v>
      </c>
      <c r="F5" s="8">
        <f>+F3+F4</f>
        <v>198</v>
      </c>
      <c r="G5" s="8">
        <f>+G3+G4</f>
        <v>181</v>
      </c>
      <c r="H5" s="8">
        <f>+H3+H4</f>
        <v>252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71</v>
      </c>
      <c r="AE6" s="1">
        <f t="shared" si="1"/>
        <v>127</v>
      </c>
      <c r="AF6" s="1">
        <f t="shared" si="1"/>
        <v>71</v>
      </c>
      <c r="AG6" s="1">
        <f t="shared" si="1"/>
        <v>110</v>
      </c>
      <c r="AH6" s="1">
        <f t="shared" si="1"/>
        <v>107</v>
      </c>
      <c r="AI6" s="1">
        <f t="shared" si="1"/>
        <v>326</v>
      </c>
    </row>
    <row r="7" spans="1:36" s="31" customFormat="1" ht="14.25" customHeight="1" x14ac:dyDescent="0.25">
      <c r="A7" s="27" t="s">
        <v>1379</v>
      </c>
      <c r="B7" s="27" t="s">
        <v>1380</v>
      </c>
      <c r="C7" s="27" t="s">
        <v>1381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1382</v>
      </c>
      <c r="K7" s="27" t="s">
        <v>1641</v>
      </c>
      <c r="L7" s="27" t="s">
        <v>17</v>
      </c>
      <c r="M7" s="32" t="s">
        <v>1383</v>
      </c>
      <c r="N7" s="28" t="s">
        <v>0</v>
      </c>
      <c r="O7" s="18" t="s">
        <v>1</v>
      </c>
      <c r="P7" s="18" t="s">
        <v>2</v>
      </c>
      <c r="Q7" s="32" t="s">
        <v>1889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1743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1599</v>
      </c>
      <c r="E9" s="42" t="s">
        <v>172</v>
      </c>
      <c r="F9" s="42" t="s">
        <v>1549</v>
      </c>
      <c r="G9" s="42" t="s">
        <v>39</v>
      </c>
      <c r="H9" s="42" t="s">
        <v>364</v>
      </c>
      <c r="I9" s="41" t="s">
        <v>1550</v>
      </c>
      <c r="J9" s="41">
        <v>99</v>
      </c>
      <c r="K9" s="43" t="s">
        <v>968</v>
      </c>
      <c r="L9" s="43" t="s">
        <v>1709</v>
      </c>
      <c r="M9" s="44" t="s">
        <v>1387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1710</v>
      </c>
      <c r="M10" s="50" t="s">
        <v>1384</v>
      </c>
      <c r="N10" s="50" t="s">
        <v>1755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1385</v>
      </c>
      <c r="N11" s="50" t="s">
        <v>1810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1713</v>
      </c>
      <c r="M12" s="50" t="s">
        <v>1123</v>
      </c>
      <c r="N12" s="50" t="s">
        <v>1744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1714</v>
      </c>
      <c r="M13" s="50" t="s">
        <v>1123</v>
      </c>
      <c r="N13" s="50" t="s">
        <v>1744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1301</v>
      </c>
      <c r="G14" s="48" t="s">
        <v>241</v>
      </c>
      <c r="H14" s="48" t="s">
        <v>355</v>
      </c>
      <c r="I14" s="47" t="s">
        <v>1368</v>
      </c>
      <c r="J14" s="47">
        <v>1</v>
      </c>
      <c r="K14" s="49" t="s">
        <v>964</v>
      </c>
      <c r="L14" s="49" t="s">
        <v>1716</v>
      </c>
      <c r="M14" s="50" t="s">
        <v>1386</v>
      </c>
      <c r="N14" s="50" t="s">
        <v>1747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1714</v>
      </c>
      <c r="M15" s="50" t="s">
        <v>1123</v>
      </c>
      <c r="N15" s="50" t="s">
        <v>1755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1706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1722</v>
      </c>
      <c r="M17" s="50" t="s">
        <v>1387</v>
      </c>
      <c r="N17" s="50" t="s">
        <v>1749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1387</v>
      </c>
      <c r="N18" s="50" t="s">
        <v>1810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1817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1901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1173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1714</v>
      </c>
      <c r="M23" s="37" t="s">
        <v>1123</v>
      </c>
      <c r="N23" s="37" t="s">
        <v>1751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1596</v>
      </c>
      <c r="E24" s="42" t="s">
        <v>172</v>
      </c>
      <c r="F24" s="42" t="s">
        <v>1597</v>
      </c>
      <c r="G24" s="42" t="s">
        <v>214</v>
      </c>
      <c r="H24" s="42" t="s">
        <v>355</v>
      </c>
      <c r="I24" s="41" t="s">
        <v>1598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1757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1723</v>
      </c>
      <c r="M27" s="50" t="s">
        <v>1388</v>
      </c>
      <c r="N27" s="50" t="s">
        <v>1744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1741</v>
      </c>
      <c r="O28" s="38">
        <v>1</v>
      </c>
      <c r="P28" s="38">
        <v>1</v>
      </c>
      <c r="Q28" s="35" t="s">
        <v>1920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1718</v>
      </c>
      <c r="M29" s="37" t="s">
        <v>1568</v>
      </c>
      <c r="N29" s="37" t="s">
        <v>1764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1389</v>
      </c>
      <c r="N31" s="50" t="s">
        <v>1742</v>
      </c>
      <c r="O31" s="51"/>
      <c r="P31" s="51"/>
      <c r="Q31" s="68" t="s">
        <v>1914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1714</v>
      </c>
      <c r="M32" s="50" t="s">
        <v>1390</v>
      </c>
      <c r="N32" s="50" t="s">
        <v>1745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1735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1557</v>
      </c>
      <c r="E34" s="48" t="s">
        <v>1254</v>
      </c>
      <c r="F34" s="48" t="s">
        <v>1558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1748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1470</v>
      </c>
      <c r="E35" s="42" t="s">
        <v>1472</v>
      </c>
      <c r="F35" s="42" t="s">
        <v>1471</v>
      </c>
      <c r="G35" s="42"/>
      <c r="H35" s="42" t="s">
        <v>1142</v>
      </c>
      <c r="I35" s="41" t="s">
        <v>1473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1928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1391</v>
      </c>
      <c r="N36" s="50" t="s">
        <v>1755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1876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1810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1770</v>
      </c>
      <c r="E38" s="39" t="s">
        <v>156</v>
      </c>
      <c r="F38" s="39" t="s">
        <v>1771</v>
      </c>
      <c r="G38" s="39"/>
      <c r="H38" s="39" t="s">
        <v>1772</v>
      </c>
      <c r="I38" s="40" t="s">
        <v>1773</v>
      </c>
      <c r="J38" s="34">
        <v>18</v>
      </c>
      <c r="K38" s="36" t="s">
        <v>707</v>
      </c>
      <c r="L38" s="36">
        <v>55</v>
      </c>
      <c r="M38" s="37" t="s">
        <v>1485</v>
      </c>
      <c r="N38" s="37" t="s">
        <v>1741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1711</v>
      </c>
      <c r="M39" s="37" t="s">
        <v>1390</v>
      </c>
      <c r="N39" s="37" t="s">
        <v>1756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1759</v>
      </c>
      <c r="E40" s="39" t="s">
        <v>1760</v>
      </c>
      <c r="F40" s="39" t="s">
        <v>1761</v>
      </c>
      <c r="G40" s="39" t="s">
        <v>322</v>
      </c>
      <c r="H40" s="39" t="s">
        <v>355</v>
      </c>
      <c r="I40" s="40" t="s">
        <v>1762</v>
      </c>
      <c r="J40" s="34">
        <v>99</v>
      </c>
      <c r="K40" s="36" t="s">
        <v>707</v>
      </c>
      <c r="L40" s="36"/>
      <c r="M40" s="37"/>
      <c r="N40" s="37" t="s">
        <v>1741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1708</v>
      </c>
      <c r="M41" s="50" t="s">
        <v>1385</v>
      </c>
      <c r="N41" s="50" t="s">
        <v>1745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1520</v>
      </c>
      <c r="E42" s="39" t="s">
        <v>176</v>
      </c>
      <c r="F42" s="39" t="s">
        <v>1668</v>
      </c>
      <c r="G42" s="39" t="s">
        <v>1522</v>
      </c>
      <c r="H42" s="39" t="s">
        <v>355</v>
      </c>
      <c r="I42" s="40" t="s">
        <v>1521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1735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1712</v>
      </c>
      <c r="M43" s="37" t="s">
        <v>1392</v>
      </c>
      <c r="N43" s="37" t="s">
        <v>1833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1823</v>
      </c>
      <c r="E44" s="48" t="s">
        <v>176</v>
      </c>
      <c r="F44" s="48" t="s">
        <v>1824</v>
      </c>
      <c r="G44" s="48" t="s">
        <v>195</v>
      </c>
      <c r="H44" s="48" t="s">
        <v>355</v>
      </c>
      <c r="I44" s="47" t="s">
        <v>1825</v>
      </c>
      <c r="J44" s="47">
        <v>9</v>
      </c>
      <c r="K44" s="49" t="s">
        <v>707</v>
      </c>
      <c r="L44" s="49">
        <v>60</v>
      </c>
      <c r="M44" s="50" t="s">
        <v>1826</v>
      </c>
      <c r="N44" s="50" t="s">
        <v>1817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1887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1746</v>
      </c>
      <c r="O45" s="51"/>
      <c r="P45" s="51"/>
      <c r="Q45" s="68" t="s">
        <v>1915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1741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1707</v>
      </c>
      <c r="M47" s="50" t="s">
        <v>1123</v>
      </c>
      <c r="N47" s="50" t="s">
        <v>1810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1643</v>
      </c>
      <c r="E48" s="42" t="s">
        <v>175</v>
      </c>
      <c r="F48" s="42" t="s">
        <v>1669</v>
      </c>
      <c r="G48" s="42" t="s">
        <v>252</v>
      </c>
      <c r="H48" s="42" t="s">
        <v>355</v>
      </c>
      <c r="I48" s="41" t="s">
        <v>1571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1539</v>
      </c>
      <c r="E49" s="48" t="s">
        <v>1657</v>
      </c>
      <c r="F49" s="48" t="s">
        <v>1540</v>
      </c>
      <c r="G49" s="48" t="s">
        <v>201</v>
      </c>
      <c r="H49" s="48" t="s">
        <v>355</v>
      </c>
      <c r="I49" s="47" t="s">
        <v>1541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1748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1475</v>
      </c>
      <c r="E50" s="48" t="s">
        <v>1658</v>
      </c>
      <c r="F50" s="48" t="s">
        <v>1474</v>
      </c>
      <c r="G50" s="48" t="s">
        <v>221</v>
      </c>
      <c r="H50" s="48" t="s">
        <v>355</v>
      </c>
      <c r="I50" s="47" t="s">
        <v>1695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1745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1954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1479</v>
      </c>
      <c r="E52" s="16"/>
      <c r="F52" s="16" t="s">
        <v>1480</v>
      </c>
      <c r="G52" s="16" t="s">
        <v>1481</v>
      </c>
      <c r="H52" s="16" t="s">
        <v>355</v>
      </c>
      <c r="I52" s="15" t="s">
        <v>1482</v>
      </c>
      <c r="J52" s="15">
        <v>99</v>
      </c>
      <c r="K52" s="10" t="s">
        <v>707</v>
      </c>
      <c r="L52" s="10">
        <v>35</v>
      </c>
      <c r="M52" s="19" t="s">
        <v>1487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1810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1748</v>
      </c>
      <c r="O54" s="51"/>
      <c r="P54" s="51"/>
      <c r="Q54" s="68" t="s">
        <v>1918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1647</v>
      </c>
      <c r="E55" s="48" t="s">
        <v>176</v>
      </c>
      <c r="F55" s="48" t="s">
        <v>1673</v>
      </c>
      <c r="G55" s="48" t="s">
        <v>1674</v>
      </c>
      <c r="H55" s="48" t="s">
        <v>355</v>
      </c>
      <c r="I55" s="47" t="s">
        <v>1486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1749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1708</v>
      </c>
      <c r="M56" s="50" t="s">
        <v>1393</v>
      </c>
      <c r="N56" s="50" t="s">
        <v>1743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1198</v>
      </c>
      <c r="E57" s="16" t="s">
        <v>175</v>
      </c>
      <c r="F57" s="16" t="s">
        <v>1199</v>
      </c>
      <c r="G57" s="16" t="s">
        <v>39</v>
      </c>
      <c r="H57" s="16" t="s">
        <v>1201</v>
      </c>
      <c r="I57" s="15" t="s">
        <v>1200</v>
      </c>
      <c r="J57" s="15">
        <v>17</v>
      </c>
      <c r="K57" s="10" t="s">
        <v>707</v>
      </c>
      <c r="L57" s="10" t="s">
        <v>1394</v>
      </c>
      <c r="M57" s="19" t="s">
        <v>1395</v>
      </c>
      <c r="N57" s="17"/>
      <c r="Q57" s="16" t="s">
        <v>1894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1209</v>
      </c>
      <c r="E58" s="16" t="s">
        <v>175</v>
      </c>
      <c r="F58" s="16" t="s">
        <v>1210</v>
      </c>
      <c r="G58" s="16" t="s">
        <v>39</v>
      </c>
      <c r="H58" s="16" t="s">
        <v>1211</v>
      </c>
      <c r="I58" s="15" t="s">
        <v>1212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1893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1600</v>
      </c>
      <c r="E60" s="35" t="s">
        <v>176</v>
      </c>
      <c r="F60" s="35" t="s">
        <v>1601</v>
      </c>
      <c r="G60" s="35" t="s">
        <v>1602</v>
      </c>
      <c r="H60" s="35" t="s">
        <v>355</v>
      </c>
      <c r="I60" s="34" t="s">
        <v>1495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1735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1628</v>
      </c>
      <c r="E61" s="35" t="s">
        <v>171</v>
      </c>
      <c r="F61" s="35" t="s">
        <v>1629</v>
      </c>
      <c r="G61" s="35" t="s">
        <v>39</v>
      </c>
      <c r="H61" s="35" t="s">
        <v>356</v>
      </c>
      <c r="I61" s="34" t="s">
        <v>1630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1735</v>
      </c>
      <c r="O61" s="38">
        <v>1</v>
      </c>
      <c r="P61" s="38">
        <v>1</v>
      </c>
      <c r="Q61" s="39" t="s">
        <v>1913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1625</v>
      </c>
      <c r="E62" s="42" t="s">
        <v>175</v>
      </c>
      <c r="F62" s="42" t="s">
        <v>1626</v>
      </c>
      <c r="G62" s="42" t="s">
        <v>1491</v>
      </c>
      <c r="H62" s="42" t="s">
        <v>355</v>
      </c>
      <c r="I62" s="41" t="s">
        <v>1627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1714</v>
      </c>
      <c r="M64" s="37" t="s">
        <v>1387</v>
      </c>
      <c r="N64" s="37" t="s">
        <v>1757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6" ht="14.25" customHeight="1" x14ac:dyDescent="0.25">
      <c r="A65" s="15">
        <v>0</v>
      </c>
      <c r="B65" s="15">
        <v>1</v>
      </c>
      <c r="C65" s="15">
        <v>2</v>
      </c>
      <c r="D65" s="16" t="s">
        <v>1330</v>
      </c>
      <c r="E65" s="16" t="s">
        <v>176</v>
      </c>
      <c r="F65" s="16" t="s">
        <v>1354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1707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6" ht="14.25" customHeight="1" x14ac:dyDescent="0.25">
      <c r="A66" s="47">
        <v>0</v>
      </c>
      <c r="B66" s="47">
        <v>1</v>
      </c>
      <c r="C66" s="47">
        <v>2</v>
      </c>
      <c r="D66" s="48" t="s">
        <v>1523</v>
      </c>
      <c r="E66" s="48" t="s">
        <v>171</v>
      </c>
      <c r="F66" s="48" t="s">
        <v>1525</v>
      </c>
      <c r="G66" s="48" t="s">
        <v>1172</v>
      </c>
      <c r="H66" s="48" t="s">
        <v>355</v>
      </c>
      <c r="I66" s="47" t="s">
        <v>1524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1817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6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1742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6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6" s="2" customFormat="1" ht="14.25" customHeight="1" x14ac:dyDescent="0.25">
      <c r="A69" s="34">
        <v>0</v>
      </c>
      <c r="B69" s="34">
        <v>1</v>
      </c>
      <c r="C69" s="34">
        <v>2</v>
      </c>
      <c r="D69" s="35" t="s">
        <v>1455</v>
      </c>
      <c r="E69" s="35" t="s">
        <v>176</v>
      </c>
      <c r="F69" s="35" t="s">
        <v>1452</v>
      </c>
      <c r="G69" s="35" t="s">
        <v>39</v>
      </c>
      <c r="H69" s="35" t="s">
        <v>355</v>
      </c>
      <c r="I69" s="34" t="s">
        <v>1453</v>
      </c>
      <c r="J69" s="34">
        <v>99</v>
      </c>
      <c r="K69" s="36" t="s">
        <v>706</v>
      </c>
      <c r="L69" s="36" t="s">
        <v>693</v>
      </c>
      <c r="M69" s="37" t="s">
        <v>1454</v>
      </c>
      <c r="N69" s="37" t="s">
        <v>1735</v>
      </c>
      <c r="O69" s="38">
        <v>1</v>
      </c>
      <c r="P69" s="38">
        <v>1</v>
      </c>
      <c r="Q69" s="35"/>
      <c r="R69" s="1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C69" s="1"/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  <c r="AJ69" s="1"/>
    </row>
    <row r="70" spans="1:36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6" s="2" customFormat="1" ht="14.25" customHeight="1" x14ac:dyDescent="0.25">
      <c r="A71" s="34">
        <v>0</v>
      </c>
      <c r="B71" s="34">
        <v>1</v>
      </c>
      <c r="C71" s="34">
        <v>2</v>
      </c>
      <c r="D71" s="35" t="s">
        <v>1331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1396</v>
      </c>
      <c r="N71" s="37" t="s">
        <v>1741</v>
      </c>
      <c r="O71" s="38">
        <v>1</v>
      </c>
      <c r="P71" s="38">
        <v>1</v>
      </c>
      <c r="Q71" s="35" t="s">
        <v>1995</v>
      </c>
      <c r="R71" s="1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C71" s="1"/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  <c r="AJ71" s="1"/>
    </row>
    <row r="72" spans="1:36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6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1720</v>
      </c>
      <c r="M73" s="50" t="s">
        <v>1387</v>
      </c>
      <c r="N73" s="50" t="s">
        <v>1746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6" ht="14.25" customHeight="1" x14ac:dyDescent="0.25">
      <c r="A74" s="34">
        <v>0</v>
      </c>
      <c r="B74" s="34">
        <v>1</v>
      </c>
      <c r="C74" s="34">
        <v>2</v>
      </c>
      <c r="D74" s="35" t="s">
        <v>1850</v>
      </c>
      <c r="E74" s="35" t="s">
        <v>175</v>
      </c>
      <c r="F74" s="35" t="s">
        <v>1851</v>
      </c>
      <c r="G74" s="35"/>
      <c r="H74" s="35" t="s">
        <v>1852</v>
      </c>
      <c r="I74" s="34" t="s">
        <v>1853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1751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6" ht="14.25" customHeight="1" x14ac:dyDescent="0.25">
      <c r="A75" s="34">
        <v>0</v>
      </c>
      <c r="B75" s="34">
        <v>1</v>
      </c>
      <c r="C75" s="34">
        <v>2</v>
      </c>
      <c r="D75" s="39" t="s">
        <v>1732</v>
      </c>
      <c r="E75" s="35" t="s">
        <v>176</v>
      </c>
      <c r="F75" s="39" t="s">
        <v>1733</v>
      </c>
      <c r="G75" s="39" t="s">
        <v>208</v>
      </c>
      <c r="H75" s="39" t="s">
        <v>355</v>
      </c>
      <c r="I75" s="40" t="s">
        <v>1734</v>
      </c>
      <c r="J75" s="34"/>
      <c r="K75" s="36" t="s">
        <v>707</v>
      </c>
      <c r="L75" s="36"/>
      <c r="M75" s="37"/>
      <c r="N75" s="37" t="s">
        <v>1735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6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1168</v>
      </c>
      <c r="J76" s="34">
        <v>13</v>
      </c>
      <c r="K76" s="36" t="s">
        <v>706</v>
      </c>
      <c r="L76" s="36" t="s">
        <v>693</v>
      </c>
      <c r="M76" s="37" t="s">
        <v>1449</v>
      </c>
      <c r="N76" s="37" t="s">
        <v>1757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6" ht="14.25" customHeight="1" x14ac:dyDescent="0.25">
      <c r="A77" s="34">
        <v>0</v>
      </c>
      <c r="B77" s="34">
        <v>1</v>
      </c>
      <c r="C77" s="34">
        <v>2</v>
      </c>
      <c r="D77" s="39" t="s">
        <v>1603</v>
      </c>
      <c r="E77" s="35" t="s">
        <v>176</v>
      </c>
      <c r="F77" s="39" t="s">
        <v>1604</v>
      </c>
      <c r="G77" s="39" t="s">
        <v>236</v>
      </c>
      <c r="H77" s="39" t="s">
        <v>355</v>
      </c>
      <c r="I77" s="40" t="s">
        <v>1605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1797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6" ht="14.25" customHeight="1" x14ac:dyDescent="0.25">
      <c r="A78" s="41">
        <v>0</v>
      </c>
      <c r="B78" s="41">
        <v>1</v>
      </c>
      <c r="C78" s="41">
        <v>2</v>
      </c>
      <c r="D78" s="57" t="s">
        <v>1333</v>
      </c>
      <c r="E78" s="42" t="s">
        <v>175</v>
      </c>
      <c r="F78" s="42" t="s">
        <v>1276</v>
      </c>
      <c r="G78" s="42" t="s">
        <v>208</v>
      </c>
      <c r="H78" s="42" t="s">
        <v>355</v>
      </c>
      <c r="I78" s="41" t="s">
        <v>1277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6" ht="14.25" customHeight="1" x14ac:dyDescent="0.25">
      <c r="A79" s="34">
        <v>0</v>
      </c>
      <c r="B79" s="34">
        <v>1</v>
      </c>
      <c r="C79" s="34">
        <v>3</v>
      </c>
      <c r="D79" s="39" t="s">
        <v>1807</v>
      </c>
      <c r="E79" s="35" t="s">
        <v>171</v>
      </c>
      <c r="F79" s="39" t="s">
        <v>1805</v>
      </c>
      <c r="G79" s="39" t="s">
        <v>233</v>
      </c>
      <c r="H79" s="39" t="s">
        <v>355</v>
      </c>
      <c r="I79" s="40" t="s">
        <v>1806</v>
      </c>
      <c r="J79" s="34">
        <v>99</v>
      </c>
      <c r="K79" s="36" t="s">
        <v>707</v>
      </c>
      <c r="L79" s="36"/>
      <c r="M79" s="37"/>
      <c r="N79" s="37" t="s">
        <v>1735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6" ht="14.25" customHeight="1" x14ac:dyDescent="0.25">
      <c r="A80" s="34">
        <v>0</v>
      </c>
      <c r="B80" s="34">
        <v>1</v>
      </c>
      <c r="C80" s="34">
        <v>3</v>
      </c>
      <c r="D80" s="39" t="s">
        <v>1165</v>
      </c>
      <c r="E80" s="35" t="s">
        <v>171</v>
      </c>
      <c r="F80" s="39" t="s">
        <v>1166</v>
      </c>
      <c r="G80" s="39" t="s">
        <v>39</v>
      </c>
      <c r="H80" s="39" t="s">
        <v>1367</v>
      </c>
      <c r="I80" s="40" t="s">
        <v>1167</v>
      </c>
      <c r="J80" s="34">
        <v>11</v>
      </c>
      <c r="K80" s="36" t="s">
        <v>706</v>
      </c>
      <c r="L80" s="36" t="s">
        <v>1707</v>
      </c>
      <c r="M80" s="37" t="s">
        <v>1397</v>
      </c>
      <c r="N80" s="37" t="s">
        <v>1757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1890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1741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1751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1794</v>
      </c>
      <c r="E84" s="16" t="s">
        <v>173</v>
      </c>
      <c r="F84" s="16" t="s">
        <v>1796</v>
      </c>
      <c r="G84" s="16"/>
      <c r="H84" s="16" t="s">
        <v>365</v>
      </c>
      <c r="I84" s="15" t="s">
        <v>1795</v>
      </c>
      <c r="J84" s="15">
        <v>17</v>
      </c>
      <c r="K84" s="10" t="s">
        <v>707</v>
      </c>
      <c r="L84" s="10" t="s">
        <v>1750</v>
      </c>
      <c r="M84" s="19" t="s">
        <v>695</v>
      </c>
      <c r="N84" s="17"/>
      <c r="Q84" s="20" t="s">
        <v>1922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1818</v>
      </c>
      <c r="E85" s="35" t="s">
        <v>173</v>
      </c>
      <c r="F85" s="35" t="s">
        <v>1819</v>
      </c>
      <c r="G85" s="35" t="s">
        <v>1820</v>
      </c>
      <c r="H85" s="35" t="s">
        <v>355</v>
      </c>
      <c r="I85" s="34" t="s">
        <v>1821</v>
      </c>
      <c r="J85" s="34">
        <v>1</v>
      </c>
      <c r="K85" s="36" t="s">
        <v>707</v>
      </c>
      <c r="L85" s="36">
        <v>60</v>
      </c>
      <c r="M85" s="37" t="s">
        <v>1822</v>
      </c>
      <c r="N85" s="37" t="s">
        <v>1857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1606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1763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1888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1707</v>
      </c>
      <c r="M88" s="50" t="s">
        <v>1398</v>
      </c>
      <c r="N88" s="50" t="s">
        <v>1755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1707</v>
      </c>
      <c r="M89" s="50" t="s">
        <v>974</v>
      </c>
      <c r="N89" s="50" t="s">
        <v>1743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1960</v>
      </c>
      <c r="E90" s="20" t="s">
        <v>1991</v>
      </c>
      <c r="F90" s="20" t="s">
        <v>1992</v>
      </c>
      <c r="G90" s="20"/>
      <c r="H90" s="20" t="s">
        <v>1988</v>
      </c>
      <c r="I90" s="21" t="s">
        <v>1993</v>
      </c>
      <c r="J90" s="15">
        <v>18</v>
      </c>
      <c r="K90" s="10" t="s">
        <v>707</v>
      </c>
      <c r="L90" s="10" t="s">
        <v>1750</v>
      </c>
      <c r="M90" s="19" t="s">
        <v>975</v>
      </c>
      <c r="N90" s="17"/>
      <c r="Q90" s="20" t="s">
        <v>1994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1533</v>
      </c>
      <c r="E91" s="35" t="s">
        <v>177</v>
      </c>
      <c r="F91" s="39" t="s">
        <v>1534</v>
      </c>
      <c r="G91" s="39" t="s">
        <v>39</v>
      </c>
      <c r="H91" s="39" t="s">
        <v>910</v>
      </c>
      <c r="I91" s="40" t="s">
        <v>1535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1741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1862</v>
      </c>
      <c r="E92" s="39" t="s">
        <v>173</v>
      </c>
      <c r="F92" s="39" t="s">
        <v>1863</v>
      </c>
      <c r="G92" s="39"/>
      <c r="H92" s="39" t="s">
        <v>1864</v>
      </c>
      <c r="I92" s="40" t="s">
        <v>1865</v>
      </c>
      <c r="J92" s="34">
        <v>15</v>
      </c>
      <c r="K92" s="36" t="s">
        <v>707</v>
      </c>
      <c r="L92" s="36"/>
      <c r="M92" s="37"/>
      <c r="N92" s="37" t="s">
        <v>1741</v>
      </c>
      <c r="O92" s="38">
        <v>1</v>
      </c>
      <c r="P92" s="38">
        <v>1</v>
      </c>
      <c r="Q92" s="39" t="s">
        <v>1900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1339</v>
      </c>
      <c r="F93" s="16" t="s">
        <v>1666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1554</v>
      </c>
      <c r="E94" s="16" t="s">
        <v>173</v>
      </c>
      <c r="F94" s="16" t="s">
        <v>1555</v>
      </c>
      <c r="G94" s="16" t="s">
        <v>39</v>
      </c>
      <c r="H94" s="16" t="s">
        <v>365</v>
      </c>
      <c r="I94" s="15" t="s">
        <v>1556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1747</v>
      </c>
      <c r="O95" s="51"/>
      <c r="P95" s="51"/>
      <c r="Q95" s="68" t="s">
        <v>1897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1940</v>
      </c>
      <c r="E97" s="35" t="s">
        <v>1941</v>
      </c>
      <c r="F97" s="39" t="s">
        <v>1942</v>
      </c>
      <c r="G97" s="39"/>
      <c r="H97" s="39" t="s">
        <v>367</v>
      </c>
      <c r="I97" s="40" t="s">
        <v>1944</v>
      </c>
      <c r="J97" s="34">
        <v>18</v>
      </c>
      <c r="K97" s="36" t="s">
        <v>707</v>
      </c>
      <c r="L97" s="36"/>
      <c r="M97" s="37"/>
      <c r="N97" s="37" t="s">
        <v>1741</v>
      </c>
      <c r="O97" s="38">
        <v>1</v>
      </c>
      <c r="P97" s="38">
        <v>1</v>
      </c>
      <c r="Q97" s="39" t="s">
        <v>1943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1215</v>
      </c>
      <c r="E98" s="48" t="s">
        <v>176</v>
      </c>
      <c r="F98" s="48" t="s">
        <v>1347</v>
      </c>
      <c r="G98" s="48" t="s">
        <v>39</v>
      </c>
      <c r="H98" s="48" t="s">
        <v>613</v>
      </c>
      <c r="I98" s="47" t="s">
        <v>1216</v>
      </c>
      <c r="J98" s="47">
        <v>14</v>
      </c>
      <c r="K98" s="49" t="s">
        <v>960</v>
      </c>
      <c r="L98" s="49" t="s">
        <v>1707</v>
      </c>
      <c r="M98" s="50" t="s">
        <v>1399</v>
      </c>
      <c r="N98" s="50" t="s">
        <v>1810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1735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1755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1653</v>
      </c>
      <c r="E102" s="16" t="s">
        <v>1091</v>
      </c>
      <c r="F102" s="16" t="s">
        <v>1227</v>
      </c>
      <c r="G102" s="16" t="s">
        <v>39</v>
      </c>
      <c r="H102" s="16" t="s">
        <v>1228</v>
      </c>
      <c r="I102" s="15" t="s">
        <v>1229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1892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1566</v>
      </c>
      <c r="E103" s="16" t="s">
        <v>171</v>
      </c>
      <c r="F103" s="16" t="s">
        <v>1685</v>
      </c>
      <c r="G103" s="16" t="s">
        <v>39</v>
      </c>
      <c r="H103" s="16" t="s">
        <v>358</v>
      </c>
      <c r="I103" s="15" t="s">
        <v>1567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1327</v>
      </c>
      <c r="E104" s="35" t="s">
        <v>176</v>
      </c>
      <c r="F104" s="35" t="s">
        <v>1348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1707</v>
      </c>
      <c r="M104" s="37" t="s">
        <v>1400</v>
      </c>
      <c r="N104" s="37" t="s">
        <v>1757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1271</v>
      </c>
      <c r="E105" s="35" t="s">
        <v>171</v>
      </c>
      <c r="F105" s="35" t="s">
        <v>1349</v>
      </c>
      <c r="G105" s="35" t="s">
        <v>1202</v>
      </c>
      <c r="H105" s="35" t="s">
        <v>355</v>
      </c>
      <c r="I105" s="34" t="s">
        <v>1203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1809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1741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1401</v>
      </c>
      <c r="N107" s="37" t="s">
        <v>1756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1401</v>
      </c>
      <c r="N108" s="37" t="s">
        <v>1735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1891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1513</v>
      </c>
      <c r="E110" s="48" t="s">
        <v>171</v>
      </c>
      <c r="F110" s="48" t="s">
        <v>1514</v>
      </c>
      <c r="G110" s="48" t="s">
        <v>39</v>
      </c>
      <c r="H110" s="48" t="s">
        <v>375</v>
      </c>
      <c r="I110" s="47" t="s">
        <v>1515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1742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1757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1755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1328</v>
      </c>
      <c r="E115" s="16" t="s">
        <v>173</v>
      </c>
      <c r="F115" s="16" t="s">
        <v>1351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1707</v>
      </c>
      <c r="M116" s="50" t="s">
        <v>974</v>
      </c>
      <c r="N116" s="50" t="s">
        <v>1810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1528</v>
      </c>
      <c r="E117" s="35" t="s">
        <v>171</v>
      </c>
      <c r="F117" s="35" t="s">
        <v>1675</v>
      </c>
      <c r="G117" s="35" t="s">
        <v>39</v>
      </c>
      <c r="H117" s="35" t="s">
        <v>1529</v>
      </c>
      <c r="I117" s="34" t="s">
        <v>1530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1735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1986</v>
      </c>
      <c r="E119" s="20" t="s">
        <v>173</v>
      </c>
      <c r="F119" s="20" t="s">
        <v>1983</v>
      </c>
      <c r="G119" s="20"/>
      <c r="H119" s="20" t="s">
        <v>1984</v>
      </c>
      <c r="I119" s="21" t="s">
        <v>1982</v>
      </c>
      <c r="J119" s="15">
        <v>17</v>
      </c>
      <c r="K119" s="10" t="s">
        <v>707</v>
      </c>
      <c r="L119" s="10" t="s">
        <v>1750</v>
      </c>
      <c r="M119" s="19" t="s">
        <v>975</v>
      </c>
      <c r="N119" s="17"/>
      <c r="Q119" s="20" t="s">
        <v>1985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1875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1750</v>
      </c>
      <c r="M120" s="50" t="s">
        <v>1402</v>
      </c>
      <c r="N120" s="50" t="s">
        <v>1810</v>
      </c>
      <c r="O120" s="51"/>
      <c r="P120" s="51"/>
      <c r="Q120" s="68" t="s">
        <v>1898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1352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1707</v>
      </c>
      <c r="M121" s="19" t="s">
        <v>1403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1763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1637</v>
      </c>
      <c r="E123" s="35" t="s">
        <v>1091</v>
      </c>
      <c r="F123" s="35" t="s">
        <v>1638</v>
      </c>
      <c r="G123" s="35" t="s">
        <v>39</v>
      </c>
      <c r="H123" s="35" t="s">
        <v>1639</v>
      </c>
      <c r="I123" s="34" t="s">
        <v>1640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1756</v>
      </c>
      <c r="O123" s="38">
        <v>1</v>
      </c>
      <c r="P123" s="38"/>
      <c r="Q123" s="39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1750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1958</v>
      </c>
      <c r="E125" s="20" t="s">
        <v>173</v>
      </c>
      <c r="F125" s="20" t="s">
        <v>1979</v>
      </c>
      <c r="G125" s="20"/>
      <c r="H125" s="20" t="s">
        <v>1978</v>
      </c>
      <c r="I125" s="21" t="s">
        <v>1980</v>
      </c>
      <c r="J125" s="15">
        <v>15</v>
      </c>
      <c r="K125" s="10" t="s">
        <v>707</v>
      </c>
      <c r="L125" s="10" t="s">
        <v>1750</v>
      </c>
      <c r="M125" s="19" t="s">
        <v>975</v>
      </c>
      <c r="N125" s="17"/>
      <c r="Q125" s="20" t="s">
        <v>1981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41">
        <v>0</v>
      </c>
      <c r="B126" s="41">
        <v>1</v>
      </c>
      <c r="C126" s="41">
        <v>3</v>
      </c>
      <c r="D126" s="42" t="s">
        <v>924</v>
      </c>
      <c r="E126" s="42" t="s">
        <v>173</v>
      </c>
      <c r="F126" s="42" t="s">
        <v>1164</v>
      </c>
      <c r="G126" s="42" t="s">
        <v>39</v>
      </c>
      <c r="H126" s="42" t="s">
        <v>364</v>
      </c>
      <c r="I126" s="41" t="s">
        <v>895</v>
      </c>
      <c r="J126" s="41">
        <v>14</v>
      </c>
      <c r="K126" s="43" t="s">
        <v>961</v>
      </c>
      <c r="L126" s="43" t="s">
        <v>39</v>
      </c>
      <c r="M126" s="44" t="s">
        <v>39</v>
      </c>
      <c r="N126" s="45"/>
      <c r="O126" s="46"/>
      <c r="P126" s="46">
        <v>1</v>
      </c>
      <c r="Q126" s="42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1896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1516</v>
      </c>
      <c r="E128" s="42" t="s">
        <v>1660</v>
      </c>
      <c r="F128" s="42" t="s">
        <v>1518</v>
      </c>
      <c r="G128" s="42" t="s">
        <v>39</v>
      </c>
      <c r="H128" s="42" t="s">
        <v>1519</v>
      </c>
      <c r="I128" s="41" t="s">
        <v>1517</v>
      </c>
      <c r="J128" s="41">
        <v>14</v>
      </c>
      <c r="K128" s="43" t="s">
        <v>966</v>
      </c>
      <c r="L128" s="43" t="s">
        <v>690</v>
      </c>
      <c r="M128" s="44" t="s">
        <v>1404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1264</v>
      </c>
      <c r="E129" s="48" t="s">
        <v>173</v>
      </c>
      <c r="F129" s="48" t="s">
        <v>1265</v>
      </c>
      <c r="G129" s="48" t="s">
        <v>1267</v>
      </c>
      <c r="H129" s="48" t="s">
        <v>355</v>
      </c>
      <c r="I129" s="47" t="s">
        <v>1266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1810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1510</v>
      </c>
      <c r="E130" s="16" t="s">
        <v>173</v>
      </c>
      <c r="F130" s="16" t="s">
        <v>1511</v>
      </c>
      <c r="G130" s="16" t="s">
        <v>39</v>
      </c>
      <c r="H130" s="16" t="s">
        <v>366</v>
      </c>
      <c r="I130" s="15" t="s">
        <v>1512</v>
      </c>
      <c r="J130" s="15">
        <v>18</v>
      </c>
      <c r="K130" s="10" t="s">
        <v>960</v>
      </c>
      <c r="L130" s="10" t="s">
        <v>1750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1631</v>
      </c>
      <c r="E131" s="16" t="s">
        <v>173</v>
      </c>
      <c r="F131" s="16" t="s">
        <v>1634</v>
      </c>
      <c r="G131" s="16" t="s">
        <v>39</v>
      </c>
      <c r="H131" s="16" t="s">
        <v>1632</v>
      </c>
      <c r="I131" s="15" t="s">
        <v>1633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1252</v>
      </c>
      <c r="E132" s="16" t="s">
        <v>1254</v>
      </c>
      <c r="F132" s="16" t="s">
        <v>1255</v>
      </c>
      <c r="G132" s="16" t="s">
        <v>39</v>
      </c>
      <c r="H132" s="16" t="s">
        <v>370</v>
      </c>
      <c r="I132" s="15" t="s">
        <v>1253</v>
      </c>
      <c r="J132" s="15">
        <v>14</v>
      </c>
      <c r="K132" s="10" t="s">
        <v>962</v>
      </c>
      <c r="L132" s="10" t="s">
        <v>690</v>
      </c>
      <c r="M132" s="19" t="s">
        <v>1404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1741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1809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1810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1590</v>
      </c>
      <c r="E136" s="16" t="s">
        <v>171</v>
      </c>
      <c r="F136" s="16" t="s">
        <v>1592</v>
      </c>
      <c r="G136" s="16"/>
      <c r="H136" s="16" t="s">
        <v>366</v>
      </c>
      <c r="I136" s="15" t="s">
        <v>1591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1295</v>
      </c>
      <c r="E137" s="35" t="s">
        <v>173</v>
      </c>
      <c r="F137" s="35" t="s">
        <v>1296</v>
      </c>
      <c r="G137" s="35" t="s">
        <v>239</v>
      </c>
      <c r="H137" s="35" t="s">
        <v>355</v>
      </c>
      <c r="I137" s="34" t="s">
        <v>1297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1735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1741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1315</v>
      </c>
      <c r="E140" s="35" t="s">
        <v>173</v>
      </c>
      <c r="F140" s="35" t="s">
        <v>1316</v>
      </c>
      <c r="G140" s="35" t="s">
        <v>209</v>
      </c>
      <c r="H140" s="35" t="s">
        <v>355</v>
      </c>
      <c r="I140" s="34" t="s">
        <v>1317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1741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1749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1954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1800</v>
      </c>
      <c r="E143" s="39" t="s">
        <v>1801</v>
      </c>
      <c r="F143" s="39" t="s">
        <v>1802</v>
      </c>
      <c r="G143" s="39" t="s">
        <v>1803</v>
      </c>
      <c r="H143" s="39" t="s">
        <v>355</v>
      </c>
      <c r="I143" s="40" t="s">
        <v>1804</v>
      </c>
      <c r="J143" s="34">
        <v>99</v>
      </c>
      <c r="K143" s="36" t="s">
        <v>707</v>
      </c>
      <c r="L143" s="36"/>
      <c r="M143" s="37"/>
      <c r="N143" s="37" t="s">
        <v>1741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1750</v>
      </c>
      <c r="M144" s="37" t="s">
        <v>974</v>
      </c>
      <c r="N144" s="37" t="s">
        <v>1741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1747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1206</v>
      </c>
      <c r="E146" s="35" t="s">
        <v>173</v>
      </c>
      <c r="F146" s="35" t="s">
        <v>1207</v>
      </c>
      <c r="G146" s="35" t="s">
        <v>239</v>
      </c>
      <c r="H146" s="35" t="s">
        <v>355</v>
      </c>
      <c r="I146" s="34" t="s">
        <v>1208</v>
      </c>
      <c r="J146" s="34">
        <v>4</v>
      </c>
      <c r="K146" s="36" t="s">
        <v>967</v>
      </c>
      <c r="L146" s="36" t="s">
        <v>1707</v>
      </c>
      <c r="M146" s="37" t="s">
        <v>1612</v>
      </c>
      <c r="N146" s="37" t="s">
        <v>1735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1649</v>
      </c>
      <c r="E147" s="35" t="s">
        <v>171</v>
      </c>
      <c r="F147" s="35" t="s">
        <v>1484</v>
      </c>
      <c r="G147" s="35" t="s">
        <v>1677</v>
      </c>
      <c r="H147" s="35" t="s">
        <v>355</v>
      </c>
      <c r="I147" s="34" t="s">
        <v>1483</v>
      </c>
      <c r="J147" s="34">
        <v>99</v>
      </c>
      <c r="K147" s="36" t="s">
        <v>706</v>
      </c>
      <c r="L147" s="36" t="s">
        <v>1712</v>
      </c>
      <c r="M147" s="37" t="s">
        <v>1485</v>
      </c>
      <c r="N147" s="37" t="s">
        <v>1757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1956</v>
      </c>
      <c r="E148" s="20" t="s">
        <v>173</v>
      </c>
      <c r="F148" s="20" t="s">
        <v>1972</v>
      </c>
      <c r="G148" s="20"/>
      <c r="H148" s="20" t="s">
        <v>1971</v>
      </c>
      <c r="I148" s="21" t="s">
        <v>1970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1973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1370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1756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1575</v>
      </c>
      <c r="E150" s="35" t="s">
        <v>173</v>
      </c>
      <c r="F150" s="35" t="s">
        <v>1576</v>
      </c>
      <c r="G150" s="35" t="s">
        <v>39</v>
      </c>
      <c r="H150" s="35" t="s">
        <v>1577</v>
      </c>
      <c r="I150" s="34" t="s">
        <v>1578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1741</v>
      </c>
      <c r="O150" s="38">
        <v>1</v>
      </c>
      <c r="P150" s="38">
        <v>1</v>
      </c>
      <c r="Q150" s="35" t="s">
        <v>1921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1877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1747</v>
      </c>
      <c r="O151" s="51"/>
      <c r="P151" s="51"/>
      <c r="Q151" s="68" t="s">
        <v>1904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1895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1747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1387</v>
      </c>
      <c r="N154" s="50" t="s">
        <v>1817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1177</v>
      </c>
      <c r="E155" s="16" t="s">
        <v>173</v>
      </c>
      <c r="F155" s="16" t="s">
        <v>1179</v>
      </c>
      <c r="G155" s="16" t="s">
        <v>771</v>
      </c>
      <c r="H155" s="16" t="s">
        <v>355</v>
      </c>
      <c r="I155" s="15" t="s">
        <v>1178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1955</v>
      </c>
      <c r="E157" s="20" t="s">
        <v>173</v>
      </c>
      <c r="F157" s="20" t="s">
        <v>1966</v>
      </c>
      <c r="G157" s="20"/>
      <c r="H157" s="20" t="s">
        <v>1967</v>
      </c>
      <c r="I157" s="21" t="s">
        <v>1968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1965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1748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1961</v>
      </c>
      <c r="E159" s="20" t="s">
        <v>173</v>
      </c>
      <c r="F159" s="20" t="s">
        <v>1963</v>
      </c>
      <c r="G159" s="20"/>
      <c r="H159" s="20" t="s">
        <v>1964</v>
      </c>
      <c r="I159" s="21" t="s">
        <v>1962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1969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1217</v>
      </c>
      <c r="E160" s="48" t="s">
        <v>173</v>
      </c>
      <c r="F160" s="48" t="s">
        <v>1219</v>
      </c>
      <c r="G160" s="48" t="s">
        <v>186</v>
      </c>
      <c r="H160" s="48" t="s">
        <v>355</v>
      </c>
      <c r="I160" s="47" t="s">
        <v>1218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1742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1707</v>
      </c>
      <c r="M161" s="37" t="s">
        <v>974</v>
      </c>
      <c r="N161" s="37" t="s">
        <v>1735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1810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1741</v>
      </c>
      <c r="O164" s="38">
        <v>1</v>
      </c>
      <c r="P164" s="38">
        <v>1</v>
      </c>
      <c r="Q164" s="39" t="s">
        <v>1899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1849</v>
      </c>
      <c r="E166" s="35" t="s">
        <v>1091</v>
      </c>
      <c r="F166" s="35" t="s">
        <v>1834</v>
      </c>
      <c r="G166" s="35"/>
      <c r="H166" s="35" t="s">
        <v>373</v>
      </c>
      <c r="I166" s="34" t="s">
        <v>1835</v>
      </c>
      <c r="J166" s="34">
        <v>16</v>
      </c>
      <c r="K166" s="36" t="s">
        <v>707</v>
      </c>
      <c r="L166" s="36"/>
      <c r="M166" s="37"/>
      <c r="N166" s="37" t="s">
        <v>1735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1735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637</v>
      </c>
      <c r="E169" s="35" t="s">
        <v>173</v>
      </c>
      <c r="F169" s="35" t="s">
        <v>639</v>
      </c>
      <c r="G169" s="35" t="s">
        <v>239</v>
      </c>
      <c r="H169" s="35" t="s">
        <v>355</v>
      </c>
      <c r="I169" s="34" t="s">
        <v>638</v>
      </c>
      <c r="J169" s="34">
        <v>4</v>
      </c>
      <c r="K169" s="36" t="s">
        <v>960</v>
      </c>
      <c r="L169" s="36" t="s">
        <v>39</v>
      </c>
      <c r="M169" s="37" t="s">
        <v>39</v>
      </c>
      <c r="N169" s="37" t="s">
        <v>1741</v>
      </c>
      <c r="O169" s="38">
        <v>1</v>
      </c>
      <c r="P169" s="38">
        <v>1</v>
      </c>
      <c r="Q169" s="35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1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75"/>
        <v>1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1536</v>
      </c>
      <c r="E170" s="16" t="s">
        <v>1091</v>
      </c>
      <c r="F170" s="16" t="s">
        <v>1537</v>
      </c>
      <c r="G170" s="16" t="s">
        <v>219</v>
      </c>
      <c r="H170" s="16" t="s">
        <v>355</v>
      </c>
      <c r="I170" s="15" t="s">
        <v>1538</v>
      </c>
      <c r="J170" s="15">
        <v>99</v>
      </c>
      <c r="K170" s="10" t="s">
        <v>707</v>
      </c>
      <c r="L170" s="10">
        <v>40</v>
      </c>
      <c r="M170" s="19" t="s">
        <v>974</v>
      </c>
      <c r="N170" s="19"/>
      <c r="Q170" s="16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102</v>
      </c>
      <c r="E171" s="35" t="s">
        <v>173</v>
      </c>
      <c r="F171" s="35" t="s">
        <v>300</v>
      </c>
      <c r="G171" s="35" t="s">
        <v>301</v>
      </c>
      <c r="H171" s="35" t="s">
        <v>355</v>
      </c>
      <c r="I171" s="34" t="s">
        <v>450</v>
      </c>
      <c r="J171" s="34">
        <v>99</v>
      </c>
      <c r="K171" s="36" t="s">
        <v>962</v>
      </c>
      <c r="L171" s="36" t="s">
        <v>697</v>
      </c>
      <c r="M171" s="37" t="s">
        <v>695</v>
      </c>
      <c r="N171" s="37" t="s">
        <v>1751</v>
      </c>
      <c r="O171" s="38">
        <v>1</v>
      </c>
      <c r="P171" s="38"/>
      <c r="Q171" s="35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75"/>
        <v>0</v>
      </c>
      <c r="AG171" s="1">
        <f t="shared" si="76"/>
        <v>1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47">
        <v>0</v>
      </c>
      <c r="B172" s="47">
        <v>1</v>
      </c>
      <c r="C172" s="47">
        <v>3</v>
      </c>
      <c r="D172" s="48" t="s">
        <v>994</v>
      </c>
      <c r="E172" s="48" t="s">
        <v>173</v>
      </c>
      <c r="F172" s="48" t="s">
        <v>997</v>
      </c>
      <c r="G172" s="48" t="s">
        <v>39</v>
      </c>
      <c r="H172" s="48" t="s">
        <v>996</v>
      </c>
      <c r="I172" s="47" t="s">
        <v>995</v>
      </c>
      <c r="J172" s="47">
        <v>14</v>
      </c>
      <c r="K172" s="49" t="s">
        <v>726</v>
      </c>
      <c r="L172" s="49" t="s">
        <v>698</v>
      </c>
      <c r="M172" s="50" t="s">
        <v>975</v>
      </c>
      <c r="N172" s="50" t="s">
        <v>1743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60">
        <v>0</v>
      </c>
      <c r="B173" s="60">
        <v>1</v>
      </c>
      <c r="C173" s="60">
        <v>3</v>
      </c>
      <c r="D173" s="61" t="s">
        <v>1652</v>
      </c>
      <c r="E173" s="61" t="s">
        <v>173</v>
      </c>
      <c r="F173" s="61" t="s">
        <v>777</v>
      </c>
      <c r="G173" s="61" t="s">
        <v>39</v>
      </c>
      <c r="H173" s="61" t="s">
        <v>368</v>
      </c>
      <c r="I173" s="60" t="s">
        <v>785</v>
      </c>
      <c r="J173" s="60">
        <v>18</v>
      </c>
      <c r="K173" s="62" t="s">
        <v>1705</v>
      </c>
      <c r="L173" s="62" t="s">
        <v>39</v>
      </c>
      <c r="M173" s="63" t="s">
        <v>778</v>
      </c>
      <c r="N173" s="64"/>
      <c r="O173" s="65"/>
      <c r="P173" s="65"/>
      <c r="Q173" s="61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52">
        <v>0</v>
      </c>
      <c r="B174" s="52">
        <v>1</v>
      </c>
      <c r="C174" s="52">
        <v>3</v>
      </c>
      <c r="D174" s="53" t="s">
        <v>135</v>
      </c>
      <c r="E174" s="53" t="s">
        <v>173</v>
      </c>
      <c r="F174" s="53" t="s">
        <v>662</v>
      </c>
      <c r="G174" s="53" t="s">
        <v>258</v>
      </c>
      <c r="H174" s="53" t="s">
        <v>355</v>
      </c>
      <c r="I174" s="52" t="s">
        <v>1701</v>
      </c>
      <c r="J174" s="52">
        <v>99</v>
      </c>
      <c r="K174" s="54" t="s">
        <v>726</v>
      </c>
      <c r="L174" s="54" t="s">
        <v>690</v>
      </c>
      <c r="M174" s="55" t="s">
        <v>1405</v>
      </c>
      <c r="N174" s="55" t="s">
        <v>1751</v>
      </c>
      <c r="O174" s="56">
        <v>1</v>
      </c>
      <c r="P174" s="56"/>
      <c r="Q174" s="53" t="s">
        <v>1938</v>
      </c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1</v>
      </c>
      <c r="AF174" s="1">
        <f t="shared" si="75"/>
        <v>0</v>
      </c>
      <c r="AG174" s="1">
        <f t="shared" si="76"/>
        <v>1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927</v>
      </c>
      <c r="E175" s="16" t="s">
        <v>171</v>
      </c>
      <c r="F175" s="16" t="s">
        <v>944</v>
      </c>
      <c r="G175" s="16" t="s">
        <v>39</v>
      </c>
      <c r="H175" s="16" t="s">
        <v>366</v>
      </c>
      <c r="I175" s="15" t="s">
        <v>887</v>
      </c>
      <c r="J175" s="15">
        <v>18</v>
      </c>
      <c r="K175" s="10" t="s">
        <v>706</v>
      </c>
      <c r="L175" s="10" t="s">
        <v>701</v>
      </c>
      <c r="M175" s="19" t="s">
        <v>975</v>
      </c>
      <c r="N175" s="17"/>
      <c r="Q175" s="16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47">
        <v>0</v>
      </c>
      <c r="B176" s="47">
        <v>1</v>
      </c>
      <c r="C176" s="47">
        <v>3</v>
      </c>
      <c r="D176" s="48" t="s">
        <v>1268</v>
      </c>
      <c r="E176" s="48" t="s">
        <v>171</v>
      </c>
      <c r="F176" s="48" t="s">
        <v>1684</v>
      </c>
      <c r="G176" s="48" t="s">
        <v>39</v>
      </c>
      <c r="H176" s="48" t="s">
        <v>775</v>
      </c>
      <c r="I176" s="47" t="s">
        <v>1269</v>
      </c>
      <c r="J176" s="47">
        <v>11</v>
      </c>
      <c r="K176" s="49" t="s">
        <v>726</v>
      </c>
      <c r="L176" s="49" t="s">
        <v>693</v>
      </c>
      <c r="M176" s="50" t="s">
        <v>1406</v>
      </c>
      <c r="N176" s="50" t="s">
        <v>1742</v>
      </c>
      <c r="O176" s="51"/>
      <c r="P176" s="51"/>
      <c r="Q176" s="48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4</v>
      </c>
      <c r="D177" s="35" t="s">
        <v>1000</v>
      </c>
      <c r="E177" s="35" t="s">
        <v>776</v>
      </c>
      <c r="F177" s="35" t="s">
        <v>1098</v>
      </c>
      <c r="G177" s="35" t="s">
        <v>201</v>
      </c>
      <c r="H177" s="35" t="s">
        <v>355</v>
      </c>
      <c r="I177" s="34" t="s">
        <v>1001</v>
      </c>
      <c r="J177" s="34">
        <v>2</v>
      </c>
      <c r="K177" s="36" t="s">
        <v>960</v>
      </c>
      <c r="L177" s="36" t="s">
        <v>697</v>
      </c>
      <c r="M177" s="37" t="s">
        <v>1407</v>
      </c>
      <c r="N177" s="37" t="s">
        <v>1735</v>
      </c>
      <c r="O177" s="38">
        <v>1</v>
      </c>
      <c r="P177" s="38">
        <v>1</v>
      </c>
      <c r="Q177" s="35"/>
      <c r="S177" s="1">
        <f t="shared" si="79"/>
        <v>0</v>
      </c>
      <c r="T177" s="1">
        <f t="shared" si="80"/>
        <v>1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1</v>
      </c>
      <c r="AE177" s="1">
        <f t="shared" si="90"/>
        <v>0</v>
      </c>
      <c r="AF177" s="1">
        <f t="shared" si="75"/>
        <v>1</v>
      </c>
      <c r="AG177" s="1">
        <f t="shared" si="76"/>
        <v>0</v>
      </c>
      <c r="AH177" s="1">
        <f t="shared" si="77"/>
        <v>1</v>
      </c>
      <c r="AI177" s="1">
        <f t="shared" si="78"/>
        <v>0</v>
      </c>
    </row>
    <row r="178" spans="1:35" ht="14.25" customHeight="1" x14ac:dyDescent="0.25">
      <c r="A178" s="47">
        <v>0</v>
      </c>
      <c r="B178" s="47">
        <v>1</v>
      </c>
      <c r="C178" s="47">
        <v>4</v>
      </c>
      <c r="D178" s="48" t="s">
        <v>50</v>
      </c>
      <c r="E178" s="48" t="s">
        <v>776</v>
      </c>
      <c r="F178" s="48" t="s">
        <v>194</v>
      </c>
      <c r="G178" s="48" t="s">
        <v>195</v>
      </c>
      <c r="H178" s="48" t="s">
        <v>355</v>
      </c>
      <c r="I178" s="47" t="s">
        <v>388</v>
      </c>
      <c r="J178" s="47">
        <v>9</v>
      </c>
      <c r="K178" s="49" t="s">
        <v>960</v>
      </c>
      <c r="L178" s="49" t="s">
        <v>698</v>
      </c>
      <c r="M178" s="50" t="s">
        <v>973</v>
      </c>
      <c r="N178" s="50" t="s">
        <v>1744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1</v>
      </c>
      <c r="AB178" s="1">
        <f t="shared" si="88"/>
        <v>0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134</v>
      </c>
      <c r="E179" s="48" t="s">
        <v>178</v>
      </c>
      <c r="F179" s="48" t="s">
        <v>337</v>
      </c>
      <c r="G179" s="48" t="s">
        <v>214</v>
      </c>
      <c r="H179" s="48" t="s">
        <v>355</v>
      </c>
      <c r="I179" s="47" t="s">
        <v>484</v>
      </c>
      <c r="J179" s="47">
        <v>1</v>
      </c>
      <c r="K179" s="49" t="s">
        <v>960</v>
      </c>
      <c r="L179" s="49" t="s">
        <v>693</v>
      </c>
      <c r="M179" s="50" t="s">
        <v>695</v>
      </c>
      <c r="N179" s="50" t="s">
        <v>1743</v>
      </c>
      <c r="O179" s="51"/>
      <c r="P179" s="51"/>
      <c r="Q179" s="48"/>
      <c r="S179" s="1">
        <f t="shared" si="79"/>
        <v>1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15">
        <v>0</v>
      </c>
      <c r="B180" s="15">
        <v>1</v>
      </c>
      <c r="C180" s="15">
        <v>4</v>
      </c>
      <c r="D180" s="16" t="s">
        <v>888</v>
      </c>
      <c r="E180" s="16" t="s">
        <v>776</v>
      </c>
      <c r="F180" s="16" t="s">
        <v>889</v>
      </c>
      <c r="G180" s="16" t="s">
        <v>39</v>
      </c>
      <c r="H180" s="16" t="s">
        <v>890</v>
      </c>
      <c r="I180" s="15" t="s">
        <v>954</v>
      </c>
      <c r="J180" s="15">
        <v>17</v>
      </c>
      <c r="K180" s="10" t="s">
        <v>707</v>
      </c>
      <c r="L180" s="10" t="s">
        <v>1147</v>
      </c>
      <c r="M180" s="19" t="s">
        <v>976</v>
      </c>
      <c r="N180" s="17"/>
      <c r="Q180" s="16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126</v>
      </c>
      <c r="E181" s="48" t="s">
        <v>528</v>
      </c>
      <c r="F181" s="48" t="s">
        <v>328</v>
      </c>
      <c r="G181" s="48" t="s">
        <v>301</v>
      </c>
      <c r="H181" s="48" t="s">
        <v>355</v>
      </c>
      <c r="I181" s="47" t="s">
        <v>476</v>
      </c>
      <c r="J181" s="47">
        <v>99</v>
      </c>
      <c r="K181" s="49" t="s">
        <v>706</v>
      </c>
      <c r="L181" s="49" t="s">
        <v>693</v>
      </c>
      <c r="M181" s="50" t="s">
        <v>974</v>
      </c>
      <c r="N181" s="50" t="s">
        <v>1745</v>
      </c>
      <c r="O181" s="51"/>
      <c r="P181" s="51"/>
      <c r="Q181" s="48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1737</v>
      </c>
      <c r="E182" s="35" t="s">
        <v>167</v>
      </c>
      <c r="F182" s="35" t="s">
        <v>1738</v>
      </c>
      <c r="G182" s="35" t="s">
        <v>1739</v>
      </c>
      <c r="H182" s="35" t="s">
        <v>355</v>
      </c>
      <c r="I182" s="34" t="s">
        <v>1740</v>
      </c>
      <c r="J182" s="34">
        <v>2</v>
      </c>
      <c r="K182" s="36" t="s">
        <v>707</v>
      </c>
      <c r="L182" s="36"/>
      <c r="M182" s="37"/>
      <c r="N182" s="37" t="s">
        <v>1741</v>
      </c>
      <c r="O182" s="38">
        <v>1</v>
      </c>
      <c r="P182" s="38">
        <v>1</v>
      </c>
      <c r="Q182" s="35"/>
      <c r="S182" s="1">
        <f t="shared" si="79"/>
        <v>0</v>
      </c>
      <c r="T182" s="1">
        <f t="shared" si="80"/>
        <v>1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87</v>
      </c>
      <c r="E183" s="48" t="s">
        <v>167</v>
      </c>
      <c r="F183" s="48" t="s">
        <v>579</v>
      </c>
      <c r="G183" s="48" t="s">
        <v>195</v>
      </c>
      <c r="H183" s="48" t="s">
        <v>355</v>
      </c>
      <c r="I183" s="47" t="s">
        <v>437</v>
      </c>
      <c r="J183" s="47">
        <v>9</v>
      </c>
      <c r="K183" s="49" t="s">
        <v>960</v>
      </c>
      <c r="L183" s="49" t="s">
        <v>700</v>
      </c>
      <c r="M183" s="50" t="s">
        <v>695</v>
      </c>
      <c r="N183" s="50" t="s">
        <v>1743</v>
      </c>
      <c r="O183" s="51"/>
      <c r="P183" s="51"/>
      <c r="Q183" s="48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1</v>
      </c>
      <c r="AB183" s="1">
        <f t="shared" si="88"/>
        <v>0</v>
      </c>
      <c r="AD183" s="1">
        <f t="shared" si="89"/>
        <v>0</v>
      </c>
      <c r="AE183" s="1">
        <f t="shared" si="90"/>
        <v>0</v>
      </c>
      <c r="AF183" s="1">
        <f t="shared" si="75"/>
        <v>0</v>
      </c>
      <c r="AG183" s="1">
        <f t="shared" si="76"/>
        <v>0</v>
      </c>
      <c r="AH183" s="1">
        <f t="shared" si="77"/>
        <v>0</v>
      </c>
      <c r="AI183" s="1">
        <f t="shared" si="78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127</v>
      </c>
      <c r="E184" s="48" t="s">
        <v>167</v>
      </c>
      <c r="F184" s="48" t="s">
        <v>329</v>
      </c>
      <c r="G184" s="48" t="s">
        <v>181</v>
      </c>
      <c r="H184" s="48" t="s">
        <v>355</v>
      </c>
      <c r="I184" s="47" t="s">
        <v>477</v>
      </c>
      <c r="J184" s="47">
        <v>10</v>
      </c>
      <c r="K184" s="49" t="s">
        <v>962</v>
      </c>
      <c r="L184" s="49" t="s">
        <v>698</v>
      </c>
      <c r="M184" s="50" t="s">
        <v>695</v>
      </c>
      <c r="N184" s="50" t="s">
        <v>1748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1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137</v>
      </c>
      <c r="E185" s="48" t="s">
        <v>167</v>
      </c>
      <c r="F185" s="48" t="s">
        <v>550</v>
      </c>
      <c r="G185" s="48" t="s">
        <v>221</v>
      </c>
      <c r="H185" s="48" t="s">
        <v>355</v>
      </c>
      <c r="I185" s="47" t="s">
        <v>542</v>
      </c>
      <c r="J185" s="47">
        <v>8</v>
      </c>
      <c r="K185" s="49" t="s">
        <v>960</v>
      </c>
      <c r="L185" s="49" t="s">
        <v>698</v>
      </c>
      <c r="M185" s="50" t="s">
        <v>695</v>
      </c>
      <c r="N185" s="50" t="s">
        <v>1743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1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1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338</v>
      </c>
      <c r="G186" s="48" t="s">
        <v>339</v>
      </c>
      <c r="H186" s="48" t="s">
        <v>355</v>
      </c>
      <c r="I186" s="47" t="s">
        <v>486</v>
      </c>
      <c r="J186" s="47">
        <v>10</v>
      </c>
      <c r="K186" s="49" t="s">
        <v>960</v>
      </c>
      <c r="L186" s="49" t="s">
        <v>698</v>
      </c>
      <c r="M186" s="50" t="s">
        <v>695</v>
      </c>
      <c r="N186" s="50" t="s">
        <v>1743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1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1645</v>
      </c>
      <c r="E187" s="48" t="s">
        <v>167</v>
      </c>
      <c r="F187" s="48" t="s">
        <v>869</v>
      </c>
      <c r="G187" s="48" t="s">
        <v>1672</v>
      </c>
      <c r="H187" s="48" t="s">
        <v>355</v>
      </c>
      <c r="I187" s="47" t="s">
        <v>870</v>
      </c>
      <c r="J187" s="47">
        <v>1</v>
      </c>
      <c r="K187" s="49" t="s">
        <v>726</v>
      </c>
      <c r="L187" s="49" t="s">
        <v>1715</v>
      </c>
      <c r="M187" s="50" t="s">
        <v>1408</v>
      </c>
      <c r="N187" s="50" t="s">
        <v>1743</v>
      </c>
      <c r="O187" s="51"/>
      <c r="P187" s="51"/>
      <c r="Q187" s="48"/>
      <c r="S187" s="1">
        <f t="shared" si="79"/>
        <v>1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15">
        <v>0</v>
      </c>
      <c r="B188" s="15">
        <v>1</v>
      </c>
      <c r="C188" s="15">
        <v>5</v>
      </c>
      <c r="D188" s="20" t="s">
        <v>1957</v>
      </c>
      <c r="E188" s="20" t="s">
        <v>897</v>
      </c>
      <c r="F188" s="20" t="s">
        <v>1975</v>
      </c>
      <c r="G188" s="20"/>
      <c r="H188" s="20" t="s">
        <v>1976</v>
      </c>
      <c r="I188" s="21" t="s">
        <v>1974</v>
      </c>
      <c r="J188" s="15">
        <v>15</v>
      </c>
      <c r="K188" s="10" t="s">
        <v>707</v>
      </c>
      <c r="L188" s="10" t="s">
        <v>701</v>
      </c>
      <c r="M188" s="19" t="s">
        <v>975</v>
      </c>
      <c r="N188" s="17"/>
      <c r="Q188" s="20" t="s">
        <v>1977</v>
      </c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891</v>
      </c>
      <c r="E189" s="35" t="s">
        <v>892</v>
      </c>
      <c r="F189" s="35" t="s">
        <v>1096</v>
      </c>
      <c r="G189" s="35" t="s">
        <v>39</v>
      </c>
      <c r="H189" s="35" t="s">
        <v>893</v>
      </c>
      <c r="I189" s="34" t="s">
        <v>894</v>
      </c>
      <c r="J189" s="34">
        <v>16</v>
      </c>
      <c r="K189" s="36" t="s">
        <v>707</v>
      </c>
      <c r="L189" s="36" t="s">
        <v>696</v>
      </c>
      <c r="M189" s="37" t="s">
        <v>974</v>
      </c>
      <c r="N189" s="37" t="s">
        <v>1741</v>
      </c>
      <c r="O189" s="38">
        <v>1</v>
      </c>
      <c r="P189" s="38">
        <v>1</v>
      </c>
      <c r="Q189" s="39" t="s">
        <v>1902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1</v>
      </c>
      <c r="AE189" s="1">
        <f t="shared" si="92"/>
        <v>0</v>
      </c>
      <c r="AF189" s="1">
        <f t="shared" si="93"/>
        <v>1</v>
      </c>
      <c r="AG189" s="1">
        <f t="shared" si="76"/>
        <v>0</v>
      </c>
      <c r="AH189" s="1">
        <f t="shared" si="77"/>
        <v>1</v>
      </c>
      <c r="AI189" s="1">
        <f t="shared" si="78"/>
        <v>0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106</v>
      </c>
      <c r="E190" s="35" t="s">
        <v>174</v>
      </c>
      <c r="F190" s="35" t="s">
        <v>305</v>
      </c>
      <c r="G190" s="35" t="s">
        <v>39</v>
      </c>
      <c r="H190" s="35" t="s">
        <v>360</v>
      </c>
      <c r="I190" s="34" t="s">
        <v>454</v>
      </c>
      <c r="J190" s="34">
        <v>14</v>
      </c>
      <c r="K190" s="36" t="s">
        <v>960</v>
      </c>
      <c r="L190" s="36" t="s">
        <v>697</v>
      </c>
      <c r="M190" s="37" t="s">
        <v>974</v>
      </c>
      <c r="N190" s="37" t="s">
        <v>1751</v>
      </c>
      <c r="O190" s="38">
        <v>1</v>
      </c>
      <c r="P190" s="38"/>
      <c r="Q190" s="35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1959</v>
      </c>
      <c r="E191" s="20" t="s">
        <v>897</v>
      </c>
      <c r="F191" s="20" t="s">
        <v>1989</v>
      </c>
      <c r="G191" s="20"/>
      <c r="H191" s="20" t="s">
        <v>1988</v>
      </c>
      <c r="I191" s="21" t="s">
        <v>1987</v>
      </c>
      <c r="J191" s="15">
        <v>18</v>
      </c>
      <c r="K191" s="10" t="s">
        <v>707</v>
      </c>
      <c r="L191" s="10" t="s">
        <v>701</v>
      </c>
      <c r="M191" s="19" t="s">
        <v>975</v>
      </c>
      <c r="N191" s="17"/>
      <c r="Q191" s="20" t="s">
        <v>1990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0</v>
      </c>
      <c r="AF191" s="1">
        <f t="shared" si="75"/>
        <v>0</v>
      </c>
      <c r="AG191" s="1">
        <f t="shared" si="76"/>
        <v>0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47">
        <v>0</v>
      </c>
      <c r="B192" s="47">
        <v>1</v>
      </c>
      <c r="C192" s="47">
        <v>5</v>
      </c>
      <c r="D192" s="48" t="s">
        <v>515</v>
      </c>
      <c r="E192" s="48" t="s">
        <v>173</v>
      </c>
      <c r="F192" s="48" t="s">
        <v>551</v>
      </c>
      <c r="G192" s="48" t="s">
        <v>39</v>
      </c>
      <c r="H192" s="48" t="s">
        <v>363</v>
      </c>
      <c r="I192" s="47" t="s">
        <v>1118</v>
      </c>
      <c r="J192" s="47">
        <v>12</v>
      </c>
      <c r="K192" s="49" t="s">
        <v>707</v>
      </c>
      <c r="L192" s="49">
        <v>35</v>
      </c>
      <c r="M192" s="50" t="s">
        <v>974</v>
      </c>
      <c r="N192" s="50" t="s">
        <v>1810</v>
      </c>
      <c r="O192" s="51"/>
      <c r="P192" s="51"/>
      <c r="Q192" s="48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152</v>
      </c>
      <c r="E193" s="35" t="s">
        <v>167</v>
      </c>
      <c r="F193" s="39" t="s">
        <v>1878</v>
      </c>
      <c r="G193" s="35" t="s">
        <v>198</v>
      </c>
      <c r="H193" s="35" t="s">
        <v>355</v>
      </c>
      <c r="I193" s="34" t="s">
        <v>500</v>
      </c>
      <c r="J193" s="34">
        <v>99</v>
      </c>
      <c r="K193" s="36" t="s">
        <v>960</v>
      </c>
      <c r="L193" s="36" t="s">
        <v>697</v>
      </c>
      <c r="M193" s="37" t="s">
        <v>974</v>
      </c>
      <c r="N193" s="37" t="s">
        <v>1756</v>
      </c>
      <c r="O193" s="38">
        <v>1</v>
      </c>
      <c r="P193" s="38"/>
      <c r="Q193" s="35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651</v>
      </c>
      <c r="E194" s="48" t="s">
        <v>687</v>
      </c>
      <c r="F194" s="48" t="s">
        <v>647</v>
      </c>
      <c r="G194" s="48" t="s">
        <v>186</v>
      </c>
      <c r="H194" s="48" t="s">
        <v>355</v>
      </c>
      <c r="I194" s="47" t="s">
        <v>648</v>
      </c>
      <c r="J194" s="47">
        <v>99</v>
      </c>
      <c r="K194" s="49" t="s">
        <v>726</v>
      </c>
      <c r="L194" s="49" t="s">
        <v>697</v>
      </c>
      <c r="M194" s="50" t="s">
        <v>974</v>
      </c>
      <c r="N194" s="50" t="s">
        <v>1742</v>
      </c>
      <c r="O194" s="51"/>
      <c r="P194" s="51"/>
      <c r="Q194" s="48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0</v>
      </c>
      <c r="AF194" s="1">
        <f t="shared" si="75"/>
        <v>0</v>
      </c>
      <c r="AG194" s="1">
        <f t="shared" si="76"/>
        <v>0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1318</v>
      </c>
      <c r="E195" s="35" t="s">
        <v>167</v>
      </c>
      <c r="F195" s="35" t="s">
        <v>1319</v>
      </c>
      <c r="G195" s="35" t="s">
        <v>284</v>
      </c>
      <c r="H195" s="35" t="s">
        <v>355</v>
      </c>
      <c r="I195" s="34" t="s">
        <v>1320</v>
      </c>
      <c r="J195" s="34">
        <v>99</v>
      </c>
      <c r="K195" s="36" t="s">
        <v>706</v>
      </c>
      <c r="L195" s="36" t="s">
        <v>39</v>
      </c>
      <c r="M195" s="37" t="s">
        <v>39</v>
      </c>
      <c r="N195" s="37" t="s">
        <v>1741</v>
      </c>
      <c r="O195" s="38">
        <v>1</v>
      </c>
      <c r="P195" s="38">
        <v>1</v>
      </c>
      <c r="Q195" s="35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1</v>
      </c>
      <c r="AE195" s="1">
        <f t="shared" si="90"/>
        <v>0</v>
      </c>
      <c r="AF195" s="1">
        <f t="shared" si="75"/>
        <v>1</v>
      </c>
      <c r="AG195" s="1">
        <f t="shared" si="76"/>
        <v>0</v>
      </c>
      <c r="AH195" s="1">
        <f t="shared" si="77"/>
        <v>1</v>
      </c>
      <c r="AI195" s="1">
        <f t="shared" si="78"/>
        <v>0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896</v>
      </c>
      <c r="E196" s="48" t="s">
        <v>897</v>
      </c>
      <c r="F196" s="48" t="s">
        <v>938</v>
      </c>
      <c r="G196" s="48" t="s">
        <v>39</v>
      </c>
      <c r="H196" s="48" t="s">
        <v>898</v>
      </c>
      <c r="I196" s="47" t="s">
        <v>899</v>
      </c>
      <c r="J196" s="47">
        <v>17</v>
      </c>
      <c r="K196" s="49" t="s">
        <v>707</v>
      </c>
      <c r="L196" s="49" t="s">
        <v>701</v>
      </c>
      <c r="M196" s="50" t="s">
        <v>974</v>
      </c>
      <c r="N196" s="50" t="s">
        <v>1749</v>
      </c>
      <c r="O196" s="51"/>
      <c r="P196" s="51"/>
      <c r="Q196" s="48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1949</v>
      </c>
      <c r="E197" s="16" t="s">
        <v>897</v>
      </c>
      <c r="F197" s="16" t="s">
        <v>1951</v>
      </c>
      <c r="G197" s="16"/>
      <c r="H197" s="16" t="s">
        <v>1950</v>
      </c>
      <c r="I197" s="15" t="s">
        <v>1952</v>
      </c>
      <c r="J197" s="15">
        <v>16</v>
      </c>
      <c r="K197" s="10" t="s">
        <v>707</v>
      </c>
      <c r="L197" s="10" t="s">
        <v>701</v>
      </c>
      <c r="M197" s="19" t="s">
        <v>974</v>
      </c>
      <c r="N197" s="17"/>
      <c r="Q197" s="20" t="s">
        <v>1953</v>
      </c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131</v>
      </c>
      <c r="E198" s="48" t="s">
        <v>167</v>
      </c>
      <c r="F198" s="48" t="s">
        <v>333</v>
      </c>
      <c r="G198" s="48" t="s">
        <v>334</v>
      </c>
      <c r="H198" s="48" t="s">
        <v>355</v>
      </c>
      <c r="I198" s="47" t="s">
        <v>481</v>
      </c>
      <c r="J198" s="47">
        <v>99</v>
      </c>
      <c r="K198" s="49" t="s">
        <v>726</v>
      </c>
      <c r="L198" s="49" t="s">
        <v>698</v>
      </c>
      <c r="M198" s="50" t="s">
        <v>974</v>
      </c>
      <c r="N198" s="50" t="s">
        <v>1755</v>
      </c>
      <c r="O198" s="51"/>
      <c r="P198" s="51"/>
      <c r="Q198" s="48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4">
        <v>0</v>
      </c>
      <c r="B199" s="34">
        <v>1</v>
      </c>
      <c r="C199" s="34">
        <v>5</v>
      </c>
      <c r="D199" s="35" t="s">
        <v>109</v>
      </c>
      <c r="E199" s="35" t="s">
        <v>167</v>
      </c>
      <c r="F199" s="35" t="s">
        <v>308</v>
      </c>
      <c r="G199" s="35" t="s">
        <v>232</v>
      </c>
      <c r="H199" s="35" t="s">
        <v>355</v>
      </c>
      <c r="I199" s="34" t="s">
        <v>457</v>
      </c>
      <c r="J199" s="34">
        <v>99</v>
      </c>
      <c r="K199" s="36" t="s">
        <v>726</v>
      </c>
      <c r="L199" s="36" t="s">
        <v>700</v>
      </c>
      <c r="M199" s="37" t="s">
        <v>695</v>
      </c>
      <c r="N199" s="37" t="s">
        <v>1751</v>
      </c>
      <c r="O199" s="38">
        <v>1</v>
      </c>
      <c r="P199" s="38"/>
      <c r="Q199" s="35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111</v>
      </c>
      <c r="E200" s="16" t="s">
        <v>173</v>
      </c>
      <c r="F200" s="16" t="s">
        <v>311</v>
      </c>
      <c r="G200" s="16" t="s">
        <v>39</v>
      </c>
      <c r="H200" s="16" t="s">
        <v>365</v>
      </c>
      <c r="I200" s="15" t="s">
        <v>460</v>
      </c>
      <c r="J200" s="15">
        <v>17</v>
      </c>
      <c r="K200" s="10" t="s">
        <v>707</v>
      </c>
      <c r="L200" s="10" t="s">
        <v>701</v>
      </c>
      <c r="M200" s="19" t="s">
        <v>695</v>
      </c>
      <c r="N200" s="17"/>
      <c r="Q200" s="20" t="s">
        <v>1923</v>
      </c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527</v>
      </c>
      <c r="E201" s="35" t="s">
        <v>528</v>
      </c>
      <c r="F201" s="35" t="s">
        <v>529</v>
      </c>
      <c r="G201" s="35" t="s">
        <v>203</v>
      </c>
      <c r="H201" s="35" t="s">
        <v>355</v>
      </c>
      <c r="I201" s="34" t="s">
        <v>530</v>
      </c>
      <c r="J201" s="34">
        <v>10</v>
      </c>
      <c r="K201" s="36" t="s">
        <v>706</v>
      </c>
      <c r="L201" s="36" t="s">
        <v>697</v>
      </c>
      <c r="M201" s="37" t="s">
        <v>974</v>
      </c>
      <c r="N201" s="37" t="s">
        <v>1741</v>
      </c>
      <c r="O201" s="38">
        <v>1</v>
      </c>
      <c r="P201" s="38">
        <v>1</v>
      </c>
      <c r="Q201" s="35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1</v>
      </c>
      <c r="AD201" s="1">
        <f t="shared" si="89"/>
        <v>1</v>
      </c>
      <c r="AE201" s="1">
        <f t="shared" si="90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1507</v>
      </c>
      <c r="E202" s="35" t="s">
        <v>167</v>
      </c>
      <c r="F202" s="35" t="s">
        <v>1508</v>
      </c>
      <c r="G202" s="35" t="s">
        <v>181</v>
      </c>
      <c r="H202" s="35" t="s">
        <v>355</v>
      </c>
      <c r="I202" s="34" t="s">
        <v>1509</v>
      </c>
      <c r="J202" s="34">
        <v>10</v>
      </c>
      <c r="K202" s="36" t="s">
        <v>960</v>
      </c>
      <c r="L202" s="36" t="s">
        <v>697</v>
      </c>
      <c r="M202" s="37" t="s">
        <v>974</v>
      </c>
      <c r="N202" s="37" t="s">
        <v>1735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1765</v>
      </c>
      <c r="E203" s="35" t="s">
        <v>167</v>
      </c>
      <c r="F203" s="35" t="s">
        <v>1766</v>
      </c>
      <c r="G203" s="35" t="s">
        <v>1767</v>
      </c>
      <c r="H203" s="35" t="s">
        <v>355</v>
      </c>
      <c r="I203" s="34" t="s">
        <v>1768</v>
      </c>
      <c r="J203" s="34">
        <v>1</v>
      </c>
      <c r="K203" s="36" t="s">
        <v>707</v>
      </c>
      <c r="L203" s="36"/>
      <c r="M203" s="37"/>
      <c r="N203" s="37" t="s">
        <v>1756</v>
      </c>
      <c r="O203" s="38">
        <v>1</v>
      </c>
      <c r="P203" s="38"/>
      <c r="Q203" s="35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94"/>
        <v>0</v>
      </c>
      <c r="AG203" s="1">
        <f t="shared" si="95"/>
        <v>1</v>
      </c>
      <c r="AH203" s="1">
        <f t="shared" si="96"/>
        <v>0</v>
      </c>
      <c r="AI203" s="1">
        <f t="shared" si="97"/>
        <v>1</v>
      </c>
    </row>
    <row r="204" spans="1:35" ht="14.25" customHeight="1" x14ac:dyDescent="0.25">
      <c r="A204" s="47">
        <v>0</v>
      </c>
      <c r="B204" s="47">
        <v>1</v>
      </c>
      <c r="C204" s="47">
        <v>5</v>
      </c>
      <c r="D204" s="48" t="s">
        <v>1030</v>
      </c>
      <c r="E204" s="48" t="s">
        <v>1091</v>
      </c>
      <c r="F204" s="48" t="s">
        <v>1031</v>
      </c>
      <c r="G204" s="48" t="s">
        <v>195</v>
      </c>
      <c r="H204" s="48" t="s">
        <v>355</v>
      </c>
      <c r="I204" s="47" t="s">
        <v>1032</v>
      </c>
      <c r="J204" s="47">
        <v>9</v>
      </c>
      <c r="K204" s="49" t="s">
        <v>726</v>
      </c>
      <c r="L204" s="49" t="s">
        <v>1712</v>
      </c>
      <c r="M204" s="50" t="s">
        <v>1612</v>
      </c>
      <c r="N204" s="50" t="s">
        <v>1743</v>
      </c>
      <c r="O204" s="51"/>
      <c r="P204" s="51"/>
      <c r="Q204" s="48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1</v>
      </c>
      <c r="AB204" s="1">
        <f t="shared" si="88"/>
        <v>0</v>
      </c>
      <c r="AD204" s="1">
        <f t="shared" si="89"/>
        <v>0</v>
      </c>
      <c r="AE204" s="1">
        <f t="shared" si="90"/>
        <v>0</v>
      </c>
      <c r="AF204" s="1">
        <f t="shared" si="94"/>
        <v>0</v>
      </c>
      <c r="AG204" s="1">
        <f t="shared" si="95"/>
        <v>0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1622</v>
      </c>
      <c r="E205" s="48" t="s">
        <v>167</v>
      </c>
      <c r="F205" s="48" t="s">
        <v>1623</v>
      </c>
      <c r="G205" s="48" t="s">
        <v>214</v>
      </c>
      <c r="H205" s="48" t="s">
        <v>355</v>
      </c>
      <c r="I205" s="47" t="s">
        <v>1624</v>
      </c>
      <c r="J205" s="47">
        <v>1</v>
      </c>
      <c r="K205" s="49" t="s">
        <v>726</v>
      </c>
      <c r="L205" s="49" t="s">
        <v>698</v>
      </c>
      <c r="M205" s="50" t="s">
        <v>974</v>
      </c>
      <c r="N205" s="50" t="s">
        <v>1744</v>
      </c>
      <c r="O205" s="51"/>
      <c r="P205" s="51"/>
      <c r="Q205" s="48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1">
        <v>0</v>
      </c>
      <c r="B206" s="41">
        <v>1</v>
      </c>
      <c r="C206" s="41">
        <v>5</v>
      </c>
      <c r="D206" s="42" t="s">
        <v>148</v>
      </c>
      <c r="E206" s="42" t="s">
        <v>547</v>
      </c>
      <c r="F206" s="42" t="s">
        <v>1607</v>
      </c>
      <c r="G206" s="42" t="s">
        <v>1681</v>
      </c>
      <c r="H206" s="42" t="s">
        <v>355</v>
      </c>
      <c r="I206" s="41" t="s">
        <v>496</v>
      </c>
      <c r="J206" s="41">
        <v>99</v>
      </c>
      <c r="K206" s="43" t="s">
        <v>706</v>
      </c>
      <c r="L206" s="43" t="s">
        <v>693</v>
      </c>
      <c r="M206" s="44" t="s">
        <v>974</v>
      </c>
      <c r="N206" s="45"/>
      <c r="O206" s="46"/>
      <c r="P206" s="46">
        <v>1</v>
      </c>
      <c r="Q206" s="42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1</v>
      </c>
      <c r="AI206" s="1">
        <f t="shared" si="97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16" t="s">
        <v>1220</v>
      </c>
      <c r="E207" s="16" t="s">
        <v>167</v>
      </c>
      <c r="F207" s="16" t="s">
        <v>1221</v>
      </c>
      <c r="G207" s="16" t="s">
        <v>1222</v>
      </c>
      <c r="H207" s="16" t="s">
        <v>355</v>
      </c>
      <c r="I207" s="15" t="s">
        <v>1223</v>
      </c>
      <c r="J207" s="15">
        <v>99</v>
      </c>
      <c r="K207" s="10" t="s">
        <v>707</v>
      </c>
      <c r="L207" s="10">
        <v>30</v>
      </c>
      <c r="M207" s="19" t="s">
        <v>974</v>
      </c>
      <c r="N207" s="19"/>
      <c r="Q207" s="16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0</v>
      </c>
      <c r="AI207" s="1">
        <f t="shared" si="97"/>
        <v>1</v>
      </c>
    </row>
    <row r="208" spans="1:35" ht="14.25" customHeight="1" x14ac:dyDescent="0.25">
      <c r="A208" s="34">
        <v>0</v>
      </c>
      <c r="B208" s="34">
        <v>1</v>
      </c>
      <c r="C208" s="34">
        <v>5</v>
      </c>
      <c r="D208" s="35" t="s">
        <v>1608</v>
      </c>
      <c r="E208" s="35" t="s">
        <v>173</v>
      </c>
      <c r="F208" s="35" t="s">
        <v>812</v>
      </c>
      <c r="G208" s="35" t="s">
        <v>39</v>
      </c>
      <c r="H208" s="35" t="s">
        <v>813</v>
      </c>
      <c r="I208" s="34" t="s">
        <v>814</v>
      </c>
      <c r="J208" s="34">
        <v>16</v>
      </c>
      <c r="K208" s="36" t="s">
        <v>961</v>
      </c>
      <c r="L208" s="36" t="s">
        <v>1750</v>
      </c>
      <c r="M208" s="37" t="s">
        <v>974</v>
      </c>
      <c r="N208" s="37" t="s">
        <v>1756</v>
      </c>
      <c r="O208" s="38">
        <v>1</v>
      </c>
      <c r="P208" s="38"/>
      <c r="Q208" s="35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1</v>
      </c>
      <c r="AF208" s="1">
        <f t="shared" si="94"/>
        <v>0</v>
      </c>
      <c r="AG208" s="1">
        <f t="shared" si="95"/>
        <v>1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41">
        <v>0</v>
      </c>
      <c r="B209" s="41">
        <v>1</v>
      </c>
      <c r="C209" s="41">
        <v>5</v>
      </c>
      <c r="D209" s="57" t="s">
        <v>504</v>
      </c>
      <c r="E209" s="42" t="s">
        <v>167</v>
      </c>
      <c r="F209" s="42" t="s">
        <v>505</v>
      </c>
      <c r="G209" s="42" t="s">
        <v>506</v>
      </c>
      <c r="H209" s="42" t="s">
        <v>355</v>
      </c>
      <c r="I209" s="41" t="s">
        <v>507</v>
      </c>
      <c r="J209" s="41">
        <v>99</v>
      </c>
      <c r="K209" s="43" t="s">
        <v>961</v>
      </c>
      <c r="L209" s="43" t="s">
        <v>698</v>
      </c>
      <c r="M209" s="44" t="s">
        <v>695</v>
      </c>
      <c r="N209" s="45"/>
      <c r="O209" s="46"/>
      <c r="P209" s="46">
        <v>1</v>
      </c>
      <c r="Q209" s="42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0</v>
      </c>
      <c r="AF209" s="1">
        <f t="shared" si="94"/>
        <v>0</v>
      </c>
      <c r="AG209" s="1">
        <f t="shared" si="95"/>
        <v>0</v>
      </c>
      <c r="AH209" s="1">
        <f t="shared" si="96"/>
        <v>1</v>
      </c>
      <c r="AI209" s="1">
        <f t="shared" si="97"/>
        <v>0</v>
      </c>
      <c r="AJ209" s="1"/>
    </row>
    <row r="210" spans="1:16384" s="2" customFormat="1" ht="14.25" customHeight="1" x14ac:dyDescent="0.25">
      <c r="A210" s="47">
        <v>0</v>
      </c>
      <c r="B210" s="47">
        <v>1</v>
      </c>
      <c r="C210" s="47">
        <v>6</v>
      </c>
      <c r="D210" s="48" t="s">
        <v>1458</v>
      </c>
      <c r="E210" s="48" t="s">
        <v>168</v>
      </c>
      <c r="F210" s="48" t="s">
        <v>1459</v>
      </c>
      <c r="G210" s="48" t="s">
        <v>180</v>
      </c>
      <c r="H210" s="48" t="s">
        <v>355</v>
      </c>
      <c r="I210" s="47" t="s">
        <v>1460</v>
      </c>
      <c r="J210" s="47">
        <v>99</v>
      </c>
      <c r="K210" s="49" t="s">
        <v>960</v>
      </c>
      <c r="L210" s="49" t="s">
        <v>700</v>
      </c>
      <c r="M210" s="50" t="s">
        <v>1461</v>
      </c>
      <c r="N210" s="50" t="s">
        <v>1742</v>
      </c>
      <c r="O210" s="51"/>
      <c r="P210" s="51"/>
      <c r="Q210" s="48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0</v>
      </c>
      <c r="AE210" s="1">
        <f t="shared" si="109"/>
        <v>0</v>
      </c>
      <c r="AF210" s="1">
        <f t="shared" si="94"/>
        <v>0</v>
      </c>
      <c r="AG210" s="1">
        <f t="shared" si="95"/>
        <v>0</v>
      </c>
      <c r="AH210" s="1">
        <f t="shared" si="96"/>
        <v>0</v>
      </c>
      <c r="AI210" s="1">
        <f t="shared" si="97"/>
        <v>1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1194</v>
      </c>
      <c r="E211" s="35" t="s">
        <v>1197</v>
      </c>
      <c r="F211" s="35" t="s">
        <v>1195</v>
      </c>
      <c r="G211" s="35" t="s">
        <v>39</v>
      </c>
      <c r="H211" s="35" t="s">
        <v>355</v>
      </c>
      <c r="I211" s="34" t="s">
        <v>1196</v>
      </c>
      <c r="J211" s="34">
        <v>99</v>
      </c>
      <c r="K211" s="36" t="s">
        <v>966</v>
      </c>
      <c r="L211" s="36" t="s">
        <v>39</v>
      </c>
      <c r="M211" s="37" t="s">
        <v>39</v>
      </c>
      <c r="N211" s="37" t="s">
        <v>1741</v>
      </c>
      <c r="O211" s="38">
        <v>1</v>
      </c>
      <c r="P211" s="38">
        <v>1</v>
      </c>
      <c r="Q211" s="39" t="s">
        <v>1916</v>
      </c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1</v>
      </c>
      <c r="AE211" s="1">
        <f t="shared" si="109"/>
        <v>0</v>
      </c>
      <c r="AF211" s="1">
        <f t="shared" si="94"/>
        <v>1</v>
      </c>
      <c r="AG211" s="1">
        <f t="shared" si="95"/>
        <v>0</v>
      </c>
      <c r="AH211" s="1">
        <f t="shared" si="96"/>
        <v>1</v>
      </c>
      <c r="AI211" s="1">
        <f t="shared" si="97"/>
        <v>0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1656</v>
      </c>
      <c r="E212" s="35" t="s">
        <v>1664</v>
      </c>
      <c r="F212" s="35" t="s">
        <v>1691</v>
      </c>
      <c r="G212" s="35" t="s">
        <v>1692</v>
      </c>
      <c r="H212" s="35" t="s">
        <v>355</v>
      </c>
      <c r="I212" s="34" t="s">
        <v>1704</v>
      </c>
      <c r="J212" s="34">
        <v>1</v>
      </c>
      <c r="K212" s="36" t="s">
        <v>962</v>
      </c>
      <c r="L212" s="36" t="s">
        <v>39</v>
      </c>
      <c r="M212" s="37" t="s">
        <v>39</v>
      </c>
      <c r="N212" s="37" t="s">
        <v>1735</v>
      </c>
      <c r="O212" s="38">
        <v>1</v>
      </c>
      <c r="P212" s="38">
        <v>1</v>
      </c>
      <c r="Q212" s="35"/>
      <c r="R212" s="1"/>
      <c r="S212" s="1">
        <f t="shared" si="98"/>
        <v>1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90</v>
      </c>
      <c r="E213" s="35" t="s">
        <v>169</v>
      </c>
      <c r="F213" s="35" t="s">
        <v>285</v>
      </c>
      <c r="G213" s="35" t="s">
        <v>231</v>
      </c>
      <c r="H213" s="35" t="s">
        <v>355</v>
      </c>
      <c r="I213" s="34" t="s">
        <v>439</v>
      </c>
      <c r="J213" s="34">
        <v>7</v>
      </c>
      <c r="K213" s="36" t="s">
        <v>726</v>
      </c>
      <c r="L213" s="36">
        <v>40</v>
      </c>
      <c r="M213" s="37" t="s">
        <v>39</v>
      </c>
      <c r="N213" s="37" t="s">
        <v>1756</v>
      </c>
      <c r="O213" s="38">
        <v>1</v>
      </c>
      <c r="P213" s="38"/>
      <c r="Q213" s="35"/>
      <c r="R213" s="1"/>
      <c r="S213" s="1">
        <f t="shared" si="98"/>
        <v>0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1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0</v>
      </c>
      <c r="AE213" s="1">
        <f t="shared" si="109"/>
        <v>1</v>
      </c>
      <c r="AF213" s="1">
        <f t="shared" si="94"/>
        <v>0</v>
      </c>
      <c r="AG213" s="1">
        <f t="shared" si="95"/>
        <v>1</v>
      </c>
      <c r="AH213" s="1">
        <f t="shared" si="96"/>
        <v>0</v>
      </c>
      <c r="AI213" s="1">
        <f t="shared" si="97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91</v>
      </c>
      <c r="E214" s="35" t="s">
        <v>166</v>
      </c>
      <c r="F214" s="39" t="s">
        <v>1879</v>
      </c>
      <c r="G214" s="35" t="s">
        <v>241</v>
      </c>
      <c r="H214" s="35" t="s">
        <v>355</v>
      </c>
      <c r="I214" s="34" t="s">
        <v>440</v>
      </c>
      <c r="J214" s="34">
        <v>1</v>
      </c>
      <c r="K214" s="36" t="s">
        <v>968</v>
      </c>
      <c r="L214" s="36" t="s">
        <v>39</v>
      </c>
      <c r="M214" s="37" t="s">
        <v>39</v>
      </c>
      <c r="N214" s="37" t="s">
        <v>1735</v>
      </c>
      <c r="O214" s="38">
        <v>1</v>
      </c>
      <c r="P214" s="38">
        <v>1</v>
      </c>
      <c r="Q214" s="35"/>
      <c r="R214" s="1"/>
      <c r="S214" s="1">
        <f t="shared" si="98"/>
        <v>1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0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1</v>
      </c>
      <c r="AE214" s="1">
        <f t="shared" si="109"/>
        <v>0</v>
      </c>
      <c r="AF214" s="1">
        <f t="shared" si="94"/>
        <v>1</v>
      </c>
      <c r="AG214" s="1">
        <f t="shared" si="95"/>
        <v>0</v>
      </c>
      <c r="AH214" s="1">
        <f t="shared" si="96"/>
        <v>1</v>
      </c>
      <c r="AI214" s="1">
        <f t="shared" si="97"/>
        <v>0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92</v>
      </c>
      <c r="E215" s="35" t="s">
        <v>168</v>
      </c>
      <c r="F215" s="35" t="s">
        <v>287</v>
      </c>
      <c r="G215" s="35" t="s">
        <v>201</v>
      </c>
      <c r="H215" s="35" t="s">
        <v>355</v>
      </c>
      <c r="I215" s="34" t="s">
        <v>441</v>
      </c>
      <c r="J215" s="34">
        <v>2</v>
      </c>
      <c r="K215" s="36" t="s">
        <v>966</v>
      </c>
      <c r="L215" s="36" t="s">
        <v>39</v>
      </c>
      <c r="M215" s="37" t="s">
        <v>39</v>
      </c>
      <c r="N215" s="37" t="s">
        <v>1735</v>
      </c>
      <c r="O215" s="38">
        <v>1</v>
      </c>
      <c r="P215" s="38">
        <v>1</v>
      </c>
      <c r="Q215" s="35"/>
      <c r="R215" s="1"/>
      <c r="S215" s="1">
        <f t="shared" si="98"/>
        <v>0</v>
      </c>
      <c r="T215" s="1">
        <f t="shared" si="99"/>
        <v>1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47">
        <v>0</v>
      </c>
      <c r="B216" s="47">
        <v>1</v>
      </c>
      <c r="C216" s="47">
        <v>6</v>
      </c>
      <c r="D216" s="48" t="s">
        <v>1284</v>
      </c>
      <c r="E216" s="48" t="s">
        <v>168</v>
      </c>
      <c r="F216" s="48" t="s">
        <v>1154</v>
      </c>
      <c r="G216" s="48" t="s">
        <v>1350</v>
      </c>
      <c r="H216" s="48" t="s">
        <v>355</v>
      </c>
      <c r="I216" s="47" t="s">
        <v>1155</v>
      </c>
      <c r="J216" s="47">
        <v>99</v>
      </c>
      <c r="K216" s="49" t="s">
        <v>706</v>
      </c>
      <c r="L216" s="49">
        <v>45</v>
      </c>
      <c r="M216" s="50" t="s">
        <v>39</v>
      </c>
      <c r="N216" s="50" t="s">
        <v>1743</v>
      </c>
      <c r="O216" s="51"/>
      <c r="P216" s="51"/>
      <c r="Q216" s="48"/>
      <c r="R216" s="1"/>
      <c r="S216" s="1">
        <f t="shared" si="98"/>
        <v>0</v>
      </c>
      <c r="T216" s="1">
        <f t="shared" si="99"/>
        <v>0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0</v>
      </c>
      <c r="AE216" s="1">
        <f t="shared" si="109"/>
        <v>0</v>
      </c>
      <c r="AF216" s="1">
        <f t="shared" si="94"/>
        <v>0</v>
      </c>
      <c r="AG216" s="1">
        <f t="shared" si="95"/>
        <v>0</v>
      </c>
      <c r="AH216" s="1">
        <f t="shared" si="96"/>
        <v>0</v>
      </c>
      <c r="AI216" s="1">
        <f t="shared" si="97"/>
        <v>1</v>
      </c>
      <c r="AJ216" s="1"/>
    </row>
    <row r="217" spans="1:16384" s="2" customFormat="1" ht="14.25" customHeight="1" x14ac:dyDescent="0.25">
      <c r="A217" s="41">
        <v>0</v>
      </c>
      <c r="B217" s="41">
        <v>1</v>
      </c>
      <c r="C217" s="41">
        <v>6</v>
      </c>
      <c r="D217" s="57" t="s">
        <v>1799</v>
      </c>
      <c r="E217" s="42" t="s">
        <v>168</v>
      </c>
      <c r="F217" s="42" t="s">
        <v>1774</v>
      </c>
      <c r="G217" s="42"/>
      <c r="H217" s="42" t="s">
        <v>355</v>
      </c>
      <c r="I217" s="41" t="s">
        <v>1775</v>
      </c>
      <c r="J217" s="41"/>
      <c r="K217" s="43" t="s">
        <v>707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1</v>
      </c>
      <c r="AI217" s="1">
        <f t="shared" si="97"/>
        <v>0</v>
      </c>
      <c r="AJ217" s="1"/>
    </row>
    <row r="218" spans="1:16384" s="2" customFormat="1" ht="14.25" customHeight="1" x14ac:dyDescent="0.25">
      <c r="A218" s="34">
        <v>0</v>
      </c>
      <c r="B218" s="34">
        <v>1</v>
      </c>
      <c r="C218" s="34">
        <v>6</v>
      </c>
      <c r="D218" s="35" t="s">
        <v>1018</v>
      </c>
      <c r="E218" s="35" t="s">
        <v>168</v>
      </c>
      <c r="F218" s="35" t="s">
        <v>1019</v>
      </c>
      <c r="G218" s="35" t="s">
        <v>1107</v>
      </c>
      <c r="H218" s="35" t="s">
        <v>355</v>
      </c>
      <c r="I218" s="34" t="s">
        <v>1020</v>
      </c>
      <c r="J218" s="34">
        <v>99</v>
      </c>
      <c r="K218" s="36" t="s">
        <v>968</v>
      </c>
      <c r="L218" s="36" t="s">
        <v>39</v>
      </c>
      <c r="M218" s="37" t="s">
        <v>39</v>
      </c>
      <c r="N218" s="37" t="s">
        <v>1735</v>
      </c>
      <c r="O218" s="38">
        <v>1</v>
      </c>
      <c r="P218" s="38">
        <v>1</v>
      </c>
      <c r="Q218" s="35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1</v>
      </c>
      <c r="AE218" s="1">
        <f t="shared" si="109"/>
        <v>0</v>
      </c>
      <c r="AF218" s="1">
        <f t="shared" si="94"/>
        <v>1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94</v>
      </c>
      <c r="E219" s="48" t="s">
        <v>170</v>
      </c>
      <c r="F219" s="48" t="s">
        <v>290</v>
      </c>
      <c r="G219" s="48" t="s">
        <v>195</v>
      </c>
      <c r="H219" s="48" t="s">
        <v>355</v>
      </c>
      <c r="I219" s="47" t="s">
        <v>443</v>
      </c>
      <c r="J219" s="47">
        <v>9</v>
      </c>
      <c r="K219" s="49" t="s">
        <v>706</v>
      </c>
      <c r="L219" s="49" t="s">
        <v>698</v>
      </c>
      <c r="M219" s="50" t="s">
        <v>710</v>
      </c>
      <c r="N219" s="50" t="s">
        <v>1747</v>
      </c>
      <c r="O219" s="51"/>
      <c r="P219" s="51"/>
      <c r="Q219" s="48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1</v>
      </c>
      <c r="AB219" s="1">
        <f t="shared" si="107"/>
        <v>0</v>
      </c>
      <c r="AC219" s="1"/>
      <c r="AD219" s="1">
        <f t="shared" si="108"/>
        <v>0</v>
      </c>
      <c r="AE219" s="1">
        <f t="shared" si="109"/>
        <v>0</v>
      </c>
      <c r="AF219" s="1">
        <f t="shared" si="94"/>
        <v>0</v>
      </c>
      <c r="AG219" s="1">
        <f t="shared" si="95"/>
        <v>0</v>
      </c>
      <c r="AH219" s="1">
        <f t="shared" si="96"/>
        <v>0</v>
      </c>
      <c r="AI219" s="1">
        <f t="shared" si="97"/>
        <v>1</v>
      </c>
      <c r="AJ219" s="1"/>
    </row>
    <row r="220" spans="1:16384" s="2" customFormat="1" ht="14.25" customHeight="1" x14ac:dyDescent="0.25">
      <c r="A220" s="41">
        <v>0</v>
      </c>
      <c r="B220" s="41">
        <v>1</v>
      </c>
      <c r="C220" s="41">
        <v>6</v>
      </c>
      <c r="D220" s="57" t="s">
        <v>1617</v>
      </c>
      <c r="E220" s="42" t="s">
        <v>1618</v>
      </c>
      <c r="F220" s="42" t="s">
        <v>1619</v>
      </c>
      <c r="G220" s="42" t="s">
        <v>193</v>
      </c>
      <c r="H220" s="42" t="s">
        <v>355</v>
      </c>
      <c r="I220" s="41" t="s">
        <v>1620</v>
      </c>
      <c r="J220" s="41">
        <v>10</v>
      </c>
      <c r="K220" s="43" t="s">
        <v>960</v>
      </c>
      <c r="L220" s="43" t="s">
        <v>690</v>
      </c>
      <c r="M220" s="44" t="s">
        <v>1621</v>
      </c>
      <c r="N220" s="45"/>
      <c r="O220" s="46"/>
      <c r="P220" s="46">
        <v>1</v>
      </c>
      <c r="Q220" s="42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0</v>
      </c>
      <c r="AB220" s="1">
        <f t="shared" si="107"/>
        <v>1</v>
      </c>
      <c r="AC220" s="1"/>
      <c r="AD220" s="1">
        <f t="shared" si="108"/>
        <v>0</v>
      </c>
      <c r="AE220" s="1">
        <f t="shared" si="109"/>
        <v>0</v>
      </c>
      <c r="AF220" s="1">
        <f t="shared" si="94"/>
        <v>0</v>
      </c>
      <c r="AG220" s="1">
        <f t="shared" si="95"/>
        <v>0</v>
      </c>
      <c r="AH220" s="1">
        <f t="shared" si="96"/>
        <v>1</v>
      </c>
      <c r="AI220" s="1">
        <f t="shared" si="97"/>
        <v>0</v>
      </c>
      <c r="AJ220" s="1"/>
    </row>
    <row r="221" spans="1:16384" s="2" customFormat="1" ht="14.25" customHeight="1" x14ac:dyDescent="0.25">
      <c r="A221" s="47">
        <v>0</v>
      </c>
      <c r="B221" s="47">
        <v>1</v>
      </c>
      <c r="C221" s="47">
        <v>6</v>
      </c>
      <c r="D221" s="48" t="s">
        <v>95</v>
      </c>
      <c r="E221" s="48" t="s">
        <v>166</v>
      </c>
      <c r="F221" s="48" t="s">
        <v>291</v>
      </c>
      <c r="G221" s="48" t="s">
        <v>292</v>
      </c>
      <c r="H221" s="48" t="s">
        <v>355</v>
      </c>
      <c r="I221" s="47" t="s">
        <v>444</v>
      </c>
      <c r="J221" s="47">
        <v>7</v>
      </c>
      <c r="K221" s="49" t="s">
        <v>706</v>
      </c>
      <c r="L221" s="49" t="s">
        <v>698</v>
      </c>
      <c r="M221" s="50" t="s">
        <v>702</v>
      </c>
      <c r="N221" s="50" t="s">
        <v>1742</v>
      </c>
      <c r="O221" s="51"/>
      <c r="P221" s="51"/>
      <c r="Q221" s="48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1</v>
      </c>
      <c r="Z221" s="1">
        <f t="shared" si="105"/>
        <v>0</v>
      </c>
      <c r="AA221" s="1">
        <f t="shared" si="106"/>
        <v>0</v>
      </c>
      <c r="AB221" s="1">
        <f t="shared" si="107"/>
        <v>0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0</v>
      </c>
      <c r="AI221" s="1">
        <f t="shared" si="97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1089</v>
      </c>
      <c r="E222" s="35" t="s">
        <v>168</v>
      </c>
      <c r="F222" s="35" t="s">
        <v>663</v>
      </c>
      <c r="G222" s="35" t="s">
        <v>180</v>
      </c>
      <c r="H222" s="35" t="s">
        <v>355</v>
      </c>
      <c r="I222" s="34" t="s">
        <v>382</v>
      </c>
      <c r="J222" s="34">
        <v>10</v>
      </c>
      <c r="K222" s="36" t="s">
        <v>726</v>
      </c>
      <c r="L222" s="36" t="s">
        <v>708</v>
      </c>
      <c r="M222" s="37" t="s">
        <v>711</v>
      </c>
      <c r="N222" s="37" t="s">
        <v>1758</v>
      </c>
      <c r="O222" s="38">
        <v>1</v>
      </c>
      <c r="P222" s="38"/>
      <c r="Q222" s="35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0</v>
      </c>
      <c r="Z222" s="1">
        <f t="shared" si="105"/>
        <v>0</v>
      </c>
      <c r="AA222" s="1">
        <f t="shared" si="106"/>
        <v>0</v>
      </c>
      <c r="AB222" s="1">
        <f t="shared" si="107"/>
        <v>1</v>
      </c>
      <c r="AC222" s="1"/>
      <c r="AD222" s="1">
        <f t="shared" si="108"/>
        <v>0</v>
      </c>
      <c r="AE222" s="1">
        <f t="shared" si="109"/>
        <v>1</v>
      </c>
      <c r="AF222" s="1">
        <f t="shared" si="94"/>
        <v>0</v>
      </c>
      <c r="AG222" s="1">
        <f t="shared" si="95"/>
        <v>1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1237</v>
      </c>
      <c r="E223" s="35" t="s">
        <v>166</v>
      </c>
      <c r="F223" s="35" t="s">
        <v>1238</v>
      </c>
      <c r="G223" s="35" t="s">
        <v>1240</v>
      </c>
      <c r="H223" s="35" t="s">
        <v>355</v>
      </c>
      <c r="I223" s="34" t="s">
        <v>1239</v>
      </c>
      <c r="J223" s="34">
        <v>99</v>
      </c>
      <c r="K223" s="36" t="s">
        <v>726</v>
      </c>
      <c r="L223" s="36" t="s">
        <v>697</v>
      </c>
      <c r="M223" s="37" t="s">
        <v>1409</v>
      </c>
      <c r="N223" s="37" t="s">
        <v>1751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0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982</v>
      </c>
      <c r="E224" s="35" t="s">
        <v>166</v>
      </c>
      <c r="F224" s="35" t="s">
        <v>980</v>
      </c>
      <c r="G224" s="35" t="s">
        <v>1109</v>
      </c>
      <c r="H224" s="35" t="s">
        <v>355</v>
      </c>
      <c r="I224" s="34" t="s">
        <v>981</v>
      </c>
      <c r="J224" s="34">
        <v>1</v>
      </c>
      <c r="K224" s="36" t="s">
        <v>960</v>
      </c>
      <c r="L224" s="36" t="s">
        <v>693</v>
      </c>
      <c r="M224" s="37" t="s">
        <v>1410</v>
      </c>
      <c r="N224" s="37" t="s">
        <v>1756</v>
      </c>
      <c r="O224" s="38">
        <v>1</v>
      </c>
      <c r="P224" s="38"/>
      <c r="Q224" s="35"/>
      <c r="R224" s="34"/>
      <c r="S224" s="34">
        <f t="shared" si="98"/>
        <v>1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47">
        <v>0</v>
      </c>
      <c r="B225" s="47">
        <v>1</v>
      </c>
      <c r="C225" s="47">
        <v>6</v>
      </c>
      <c r="D225" s="48" t="s">
        <v>523</v>
      </c>
      <c r="E225" s="48" t="s">
        <v>168</v>
      </c>
      <c r="F225" s="48" t="s">
        <v>524</v>
      </c>
      <c r="G225" s="48" t="s">
        <v>525</v>
      </c>
      <c r="H225" s="48" t="s">
        <v>355</v>
      </c>
      <c r="I225" s="47" t="s">
        <v>526</v>
      </c>
      <c r="J225" s="47">
        <v>99</v>
      </c>
      <c r="K225" s="49" t="s">
        <v>706</v>
      </c>
      <c r="L225" s="49" t="s">
        <v>698</v>
      </c>
      <c r="M225" s="50" t="s">
        <v>711</v>
      </c>
      <c r="N225" s="50" t="s">
        <v>1817</v>
      </c>
      <c r="O225" s="51"/>
      <c r="P225" s="51"/>
      <c r="Q225" s="48"/>
      <c r="S225" s="1">
        <f t="shared" si="98"/>
        <v>0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0</v>
      </c>
      <c r="AF225" s="1">
        <f t="shared" si="94"/>
        <v>0</v>
      </c>
      <c r="AG225" s="1">
        <f t="shared" si="95"/>
        <v>0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1">
        <v>0</v>
      </c>
      <c r="B226" s="41">
        <v>1</v>
      </c>
      <c r="C226" s="41">
        <v>6</v>
      </c>
      <c r="D226" s="42" t="s">
        <v>1845</v>
      </c>
      <c r="E226" s="42" t="s">
        <v>1846</v>
      </c>
      <c r="F226" s="42" t="s">
        <v>1847</v>
      </c>
      <c r="G226" s="42"/>
      <c r="H226" s="42" t="s">
        <v>355</v>
      </c>
      <c r="I226" s="41" t="s">
        <v>1848</v>
      </c>
      <c r="J226" s="41"/>
      <c r="K226" s="43" t="s">
        <v>707</v>
      </c>
      <c r="L226" s="43"/>
      <c r="M226" s="44"/>
      <c r="N226" s="45"/>
      <c r="O226" s="46"/>
      <c r="P226" s="46">
        <v>1</v>
      </c>
      <c r="Q226" s="42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1</v>
      </c>
      <c r="AI226" s="1">
        <f t="shared" si="97"/>
        <v>0</v>
      </c>
    </row>
    <row r="227" spans="1:35" ht="14.25" customHeight="1" x14ac:dyDescent="0.25">
      <c r="A227" s="47">
        <v>0</v>
      </c>
      <c r="B227" s="47">
        <v>1</v>
      </c>
      <c r="C227" s="47">
        <v>6</v>
      </c>
      <c r="D227" s="48" t="s">
        <v>1488</v>
      </c>
      <c r="E227" s="48" t="s">
        <v>168</v>
      </c>
      <c r="F227" s="48" t="s">
        <v>1490</v>
      </c>
      <c r="G227" s="48" t="s">
        <v>1491</v>
      </c>
      <c r="H227" s="48" t="s">
        <v>355</v>
      </c>
      <c r="I227" s="47" t="s">
        <v>1489</v>
      </c>
      <c r="J227" s="47">
        <v>99</v>
      </c>
      <c r="K227" s="49" t="s">
        <v>707</v>
      </c>
      <c r="L227" s="49">
        <v>62</v>
      </c>
      <c r="M227" s="50"/>
      <c r="N227" s="50" t="s">
        <v>1742</v>
      </c>
      <c r="O227" s="51"/>
      <c r="P227" s="51"/>
      <c r="Q227" s="48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0</v>
      </c>
      <c r="AI227" s="1">
        <f t="shared" si="97"/>
        <v>1</v>
      </c>
    </row>
    <row r="228" spans="1:35" ht="14.25" customHeight="1" x14ac:dyDescent="0.25">
      <c r="A228" s="34">
        <v>0</v>
      </c>
      <c r="B228" s="34">
        <v>1</v>
      </c>
      <c r="C228" s="34">
        <v>6</v>
      </c>
      <c r="D228" s="35" t="s">
        <v>1204</v>
      </c>
      <c r="E228" s="35" t="s">
        <v>166</v>
      </c>
      <c r="F228" s="35" t="s">
        <v>1678</v>
      </c>
      <c r="G228" s="35" t="s">
        <v>214</v>
      </c>
      <c r="H228" s="35" t="s">
        <v>355</v>
      </c>
      <c r="I228" s="34" t="s">
        <v>1205</v>
      </c>
      <c r="J228" s="34">
        <v>1</v>
      </c>
      <c r="K228" s="36" t="s">
        <v>966</v>
      </c>
      <c r="L228" s="36" t="s">
        <v>690</v>
      </c>
      <c r="M228" s="37" t="s">
        <v>1580</v>
      </c>
      <c r="N228" s="37" t="s">
        <v>1763</v>
      </c>
      <c r="O228" s="38">
        <v>1</v>
      </c>
      <c r="P228" s="38"/>
      <c r="Q228" s="35"/>
      <c r="S228" s="1">
        <f t="shared" si="98"/>
        <v>1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1</v>
      </c>
      <c r="AF228" s="1">
        <f t="shared" si="94"/>
        <v>0</v>
      </c>
      <c r="AG228" s="1">
        <f t="shared" si="95"/>
        <v>1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98</v>
      </c>
      <c r="E229" s="35" t="s">
        <v>168</v>
      </c>
      <c r="F229" s="35" t="s">
        <v>297</v>
      </c>
      <c r="G229" s="35" t="s">
        <v>286</v>
      </c>
      <c r="H229" s="35" t="s">
        <v>355</v>
      </c>
      <c r="I229" s="34" t="s">
        <v>1122</v>
      </c>
      <c r="J229" s="34">
        <v>10</v>
      </c>
      <c r="K229" s="36" t="s">
        <v>960</v>
      </c>
      <c r="L229" s="36" t="s">
        <v>698</v>
      </c>
      <c r="M229" s="37" t="s">
        <v>709</v>
      </c>
      <c r="N229" s="37" t="s">
        <v>1757</v>
      </c>
      <c r="O229" s="38">
        <v>1</v>
      </c>
      <c r="P229" s="38"/>
      <c r="Q229" s="35"/>
      <c r="S229" s="1">
        <f t="shared" si="98"/>
        <v>0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1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605</v>
      </c>
      <c r="E230" s="35" t="s">
        <v>166</v>
      </c>
      <c r="F230" s="35" t="s">
        <v>607</v>
      </c>
      <c r="G230" s="35" t="s">
        <v>39</v>
      </c>
      <c r="H230" s="35" t="s">
        <v>355</v>
      </c>
      <c r="I230" s="34" t="s">
        <v>606</v>
      </c>
      <c r="J230" s="34">
        <v>99</v>
      </c>
      <c r="K230" s="36" t="s">
        <v>960</v>
      </c>
      <c r="L230" s="36" t="s">
        <v>697</v>
      </c>
      <c r="M230" s="37" t="s">
        <v>974</v>
      </c>
      <c r="N230" s="37" t="s">
        <v>1757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0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1169</v>
      </c>
      <c r="E231" s="35" t="s">
        <v>166</v>
      </c>
      <c r="F231" s="35" t="s">
        <v>1171</v>
      </c>
      <c r="G231" s="35" t="s">
        <v>221</v>
      </c>
      <c r="H231" s="35" t="s">
        <v>355</v>
      </c>
      <c r="I231" s="34" t="s">
        <v>1170</v>
      </c>
      <c r="J231" s="34">
        <v>8</v>
      </c>
      <c r="K231" s="36" t="s">
        <v>706</v>
      </c>
      <c r="L231" s="36" t="s">
        <v>1721</v>
      </c>
      <c r="M231" s="37" t="s">
        <v>1411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1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566</v>
      </c>
      <c r="E232" s="35" t="s">
        <v>168</v>
      </c>
      <c r="F232" s="35" t="s">
        <v>664</v>
      </c>
      <c r="G232" s="35" t="s">
        <v>203</v>
      </c>
      <c r="H232" s="35" t="s">
        <v>355</v>
      </c>
      <c r="I232" s="34" t="s">
        <v>585</v>
      </c>
      <c r="J232" s="34">
        <v>10</v>
      </c>
      <c r="K232" s="36" t="s">
        <v>966</v>
      </c>
      <c r="L232" s="36" t="s">
        <v>697</v>
      </c>
      <c r="M232" s="37" t="s">
        <v>709</v>
      </c>
      <c r="N232" s="37" t="s">
        <v>1756</v>
      </c>
      <c r="O232" s="38">
        <v>1</v>
      </c>
      <c r="P232" s="38"/>
      <c r="Q232" s="39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0</v>
      </c>
      <c r="AA232" s="1">
        <f t="shared" si="106"/>
        <v>0</v>
      </c>
      <c r="AB232" s="1">
        <f t="shared" si="107"/>
        <v>1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47">
        <v>0</v>
      </c>
      <c r="B233" s="47">
        <v>1</v>
      </c>
      <c r="C233" s="47">
        <v>6</v>
      </c>
      <c r="D233" s="48" t="s">
        <v>901</v>
      </c>
      <c r="E233" s="48" t="s">
        <v>168</v>
      </c>
      <c r="F233" s="48" t="s">
        <v>942</v>
      </c>
      <c r="G233" s="48" t="s">
        <v>943</v>
      </c>
      <c r="H233" s="48" t="s">
        <v>355</v>
      </c>
      <c r="I233" s="47" t="s">
        <v>957</v>
      </c>
      <c r="J233" s="47">
        <v>99</v>
      </c>
      <c r="K233" s="49" t="s">
        <v>706</v>
      </c>
      <c r="L233" s="49" t="s">
        <v>693</v>
      </c>
      <c r="M233" s="50" t="s">
        <v>1412</v>
      </c>
      <c r="N233" s="50" t="s">
        <v>1746</v>
      </c>
      <c r="O233" s="51"/>
      <c r="P233" s="51"/>
      <c r="Q233" s="48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0</v>
      </c>
      <c r="AD233" s="1">
        <f t="shared" si="108"/>
        <v>0</v>
      </c>
      <c r="AE233" s="1">
        <f t="shared" si="109"/>
        <v>0</v>
      </c>
      <c r="AF233" s="1">
        <f t="shared" si="94"/>
        <v>0</v>
      </c>
      <c r="AG233" s="1">
        <f t="shared" si="95"/>
        <v>0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34">
        <v>0</v>
      </c>
      <c r="B234" s="34">
        <v>1</v>
      </c>
      <c r="C234" s="34">
        <v>6</v>
      </c>
      <c r="D234" s="35" t="s">
        <v>100</v>
      </c>
      <c r="E234" s="35" t="s">
        <v>168</v>
      </c>
      <c r="F234" s="35" t="s">
        <v>665</v>
      </c>
      <c r="G234" s="35" t="s">
        <v>667</v>
      </c>
      <c r="H234" s="35" t="s">
        <v>355</v>
      </c>
      <c r="I234" s="34" t="s">
        <v>448</v>
      </c>
      <c r="J234" s="34">
        <v>99</v>
      </c>
      <c r="K234" s="36" t="s">
        <v>726</v>
      </c>
      <c r="L234" s="36" t="s">
        <v>700</v>
      </c>
      <c r="M234" s="37" t="s">
        <v>711</v>
      </c>
      <c r="N234" s="37" t="s">
        <v>1757</v>
      </c>
      <c r="O234" s="38">
        <v>1</v>
      </c>
      <c r="P234" s="38"/>
      <c r="Q234" s="35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1</v>
      </c>
      <c r="AF234" s="1">
        <f t="shared" si="94"/>
        <v>0</v>
      </c>
      <c r="AG234" s="1">
        <f t="shared" si="95"/>
        <v>1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41">
        <v>0</v>
      </c>
      <c r="B235" s="41">
        <v>1</v>
      </c>
      <c r="C235" s="41">
        <v>7</v>
      </c>
      <c r="D235" s="42" t="s">
        <v>86</v>
      </c>
      <c r="E235" s="42" t="s">
        <v>29</v>
      </c>
      <c r="F235" s="42" t="s">
        <v>666</v>
      </c>
      <c r="G235" s="42" t="s">
        <v>667</v>
      </c>
      <c r="H235" s="42" t="s">
        <v>355</v>
      </c>
      <c r="I235" s="41" t="s">
        <v>633</v>
      </c>
      <c r="J235" s="41">
        <v>99</v>
      </c>
      <c r="K235" s="43" t="s">
        <v>958</v>
      </c>
      <c r="L235" s="43" t="s">
        <v>697</v>
      </c>
      <c r="M235" s="44" t="s">
        <v>1413</v>
      </c>
      <c r="N235" s="45"/>
      <c r="O235" s="46"/>
      <c r="P235" s="46">
        <v>1</v>
      </c>
      <c r="Q235" s="42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0</v>
      </c>
      <c r="AF235" s="1">
        <f t="shared" si="94"/>
        <v>0</v>
      </c>
      <c r="AG235" s="1">
        <f t="shared" si="95"/>
        <v>0</v>
      </c>
      <c r="AH235" s="1">
        <f t="shared" si="96"/>
        <v>1</v>
      </c>
      <c r="AI235" s="1">
        <f t="shared" si="97"/>
        <v>0</v>
      </c>
    </row>
    <row r="236" spans="1:35" ht="14.25" customHeight="1" x14ac:dyDescent="0.25">
      <c r="A236" s="47">
        <v>0</v>
      </c>
      <c r="B236" s="47">
        <v>1</v>
      </c>
      <c r="C236" s="47">
        <v>7</v>
      </c>
      <c r="D236" s="48" t="s">
        <v>652</v>
      </c>
      <c r="E236" s="48" t="s">
        <v>29</v>
      </c>
      <c r="F236" s="48" t="s">
        <v>628</v>
      </c>
      <c r="G236" s="48" t="s">
        <v>233</v>
      </c>
      <c r="H236" s="48" t="s">
        <v>355</v>
      </c>
      <c r="I236" s="47" t="s">
        <v>629</v>
      </c>
      <c r="J236" s="47">
        <v>99</v>
      </c>
      <c r="K236" s="49" t="s">
        <v>717</v>
      </c>
      <c r="L236" s="49" t="s">
        <v>700</v>
      </c>
      <c r="M236" s="50" t="s">
        <v>977</v>
      </c>
      <c r="N236" s="50" t="s">
        <v>1817</v>
      </c>
      <c r="O236" s="51"/>
      <c r="P236" s="51"/>
      <c r="Q236" s="48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0</v>
      </c>
      <c r="AI236" s="1">
        <f t="shared" si="97"/>
        <v>1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987</v>
      </c>
      <c r="E237" s="16" t="s">
        <v>29</v>
      </c>
      <c r="F237" s="16" t="s">
        <v>988</v>
      </c>
      <c r="G237" s="16" t="s">
        <v>989</v>
      </c>
      <c r="H237" s="16" t="s">
        <v>355</v>
      </c>
      <c r="I237" s="15" t="s">
        <v>986</v>
      </c>
      <c r="J237" s="15">
        <v>99</v>
      </c>
      <c r="K237" s="10" t="s">
        <v>707</v>
      </c>
      <c r="L237" s="10">
        <v>20</v>
      </c>
      <c r="M237" s="19" t="s">
        <v>977</v>
      </c>
      <c r="N237" s="19"/>
      <c r="Q237" s="16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593</v>
      </c>
      <c r="E238" s="16" t="s">
        <v>29</v>
      </c>
      <c r="F238" s="16" t="s">
        <v>594</v>
      </c>
      <c r="G238" s="16" t="s">
        <v>1077</v>
      </c>
      <c r="H238" s="16" t="s">
        <v>355</v>
      </c>
      <c r="I238" s="15" t="s">
        <v>595</v>
      </c>
      <c r="J238" s="15">
        <v>99</v>
      </c>
      <c r="K238" s="10" t="s">
        <v>707</v>
      </c>
      <c r="L238" s="10">
        <v>35</v>
      </c>
      <c r="M238" s="19" t="s">
        <v>1413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1635</v>
      </c>
      <c r="E239" s="42" t="s">
        <v>29</v>
      </c>
      <c r="F239" s="42" t="s">
        <v>1690</v>
      </c>
      <c r="G239" s="42" t="s">
        <v>313</v>
      </c>
      <c r="H239" s="42" t="s">
        <v>355</v>
      </c>
      <c r="I239" s="41" t="s">
        <v>1636</v>
      </c>
      <c r="J239" s="41"/>
      <c r="K239" s="43" t="s">
        <v>717</v>
      </c>
      <c r="L239" s="43">
        <v>45</v>
      </c>
      <c r="M239" s="44" t="s">
        <v>1808</v>
      </c>
      <c r="N239" s="45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863</v>
      </c>
      <c r="E240" s="35" t="s">
        <v>29</v>
      </c>
      <c r="F240" s="35" t="s">
        <v>864</v>
      </c>
      <c r="G240" s="35" t="s">
        <v>203</v>
      </c>
      <c r="H240" s="35" t="s">
        <v>355</v>
      </c>
      <c r="I240" s="34" t="s">
        <v>865</v>
      </c>
      <c r="J240" s="34">
        <v>10</v>
      </c>
      <c r="K240" s="36" t="s">
        <v>717</v>
      </c>
      <c r="L240" s="36" t="s">
        <v>697</v>
      </c>
      <c r="M240" s="37" t="s">
        <v>1413</v>
      </c>
      <c r="N240" s="37" t="s">
        <v>1763</v>
      </c>
      <c r="O240" s="38">
        <v>1</v>
      </c>
      <c r="P240" s="38"/>
      <c r="Q240" s="35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1</v>
      </c>
      <c r="AD240" s="1">
        <f t="shared" si="108"/>
        <v>0</v>
      </c>
      <c r="AE240" s="1">
        <f t="shared" si="109"/>
        <v>1</v>
      </c>
      <c r="AF240" s="1">
        <f t="shared" si="94"/>
        <v>0</v>
      </c>
      <c r="AG240" s="1">
        <f t="shared" si="95"/>
        <v>1</v>
      </c>
      <c r="AH240" s="1">
        <f t="shared" si="96"/>
        <v>0</v>
      </c>
      <c r="AI240" s="1">
        <f t="shared" si="97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40</v>
      </c>
      <c r="E241" s="42" t="s">
        <v>29</v>
      </c>
      <c r="F241" s="42" t="s">
        <v>281</v>
      </c>
      <c r="G241" s="42" t="s">
        <v>231</v>
      </c>
      <c r="H241" s="42" t="s">
        <v>355</v>
      </c>
      <c r="I241" s="41" t="s">
        <v>436</v>
      </c>
      <c r="J241" s="41">
        <v>7</v>
      </c>
      <c r="K241" s="43" t="s">
        <v>717</v>
      </c>
      <c r="L241" s="43" t="s">
        <v>700</v>
      </c>
      <c r="M241" s="44" t="s">
        <v>977</v>
      </c>
      <c r="N241" s="45"/>
      <c r="O241" s="46"/>
      <c r="P241" s="46">
        <v>1</v>
      </c>
      <c r="Q241" s="42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1</v>
      </c>
      <c r="Z241" s="1">
        <f t="shared" si="105"/>
        <v>0</v>
      </c>
      <c r="AA241" s="1">
        <f t="shared" si="106"/>
        <v>0</v>
      </c>
      <c r="AB241" s="1">
        <f t="shared" si="107"/>
        <v>0</v>
      </c>
      <c r="AD241" s="1">
        <f t="shared" si="108"/>
        <v>0</v>
      </c>
      <c r="AE241" s="1">
        <f t="shared" si="109"/>
        <v>0</v>
      </c>
      <c r="AF241" s="1">
        <f t="shared" si="94"/>
        <v>0</v>
      </c>
      <c r="AG241" s="1">
        <f t="shared" si="95"/>
        <v>0</v>
      </c>
      <c r="AH241" s="1">
        <f t="shared" si="96"/>
        <v>1</v>
      </c>
      <c r="AI241" s="1">
        <f t="shared" si="97"/>
        <v>0</v>
      </c>
    </row>
    <row r="242" spans="1:35" ht="14.25" customHeight="1" x14ac:dyDescent="0.25">
      <c r="A242" s="41">
        <v>1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1609</v>
      </c>
      <c r="G242" s="42" t="s">
        <v>39</v>
      </c>
      <c r="H242" s="42" t="s">
        <v>355</v>
      </c>
      <c r="I242" s="41" t="s">
        <v>1610</v>
      </c>
      <c r="J242" s="41">
        <v>99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0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0</v>
      </c>
      <c r="AI242" s="1">
        <f t="shared" si="97"/>
        <v>0</v>
      </c>
    </row>
    <row r="243" spans="1:35" ht="14.25" customHeight="1" x14ac:dyDescent="0.25">
      <c r="A243" s="52">
        <v>0</v>
      </c>
      <c r="B243" s="52">
        <v>1</v>
      </c>
      <c r="C243" s="52">
        <v>7</v>
      </c>
      <c r="D243" s="58" t="s">
        <v>1492</v>
      </c>
      <c r="E243" s="53" t="s">
        <v>29</v>
      </c>
      <c r="F243" s="58" t="s">
        <v>1008</v>
      </c>
      <c r="G243" s="58" t="s">
        <v>1106</v>
      </c>
      <c r="H243" s="58" t="s">
        <v>355</v>
      </c>
      <c r="I243" s="66" t="s">
        <v>1114</v>
      </c>
      <c r="J243" s="52">
        <v>10</v>
      </c>
      <c r="K243" s="54" t="s">
        <v>717</v>
      </c>
      <c r="L243" s="54" t="s">
        <v>698</v>
      </c>
      <c r="M243" s="55" t="s">
        <v>977</v>
      </c>
      <c r="N243" s="55" t="s">
        <v>1751</v>
      </c>
      <c r="O243" s="56">
        <v>1</v>
      </c>
      <c r="P243" s="56"/>
      <c r="Q243" s="58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1</v>
      </c>
      <c r="AD243" s="1">
        <f t="shared" si="108"/>
        <v>0</v>
      </c>
      <c r="AE243" s="1">
        <f t="shared" si="109"/>
        <v>1</v>
      </c>
      <c r="AF243" s="1">
        <f t="shared" si="94"/>
        <v>0</v>
      </c>
      <c r="AG243" s="1">
        <f t="shared" si="95"/>
        <v>1</v>
      </c>
      <c r="AH243" s="1">
        <f t="shared" si="96"/>
        <v>0</v>
      </c>
      <c r="AI243" s="1">
        <f t="shared" si="97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9" t="s">
        <v>1493</v>
      </c>
      <c r="E244" s="35" t="s">
        <v>29</v>
      </c>
      <c r="F244" s="39" t="s">
        <v>1006</v>
      </c>
      <c r="G244" s="39" t="s">
        <v>241</v>
      </c>
      <c r="H244" s="39" t="s">
        <v>355</v>
      </c>
      <c r="I244" s="40" t="s">
        <v>1007</v>
      </c>
      <c r="J244" s="34">
        <v>1</v>
      </c>
      <c r="K244" s="36" t="s">
        <v>965</v>
      </c>
      <c r="L244" s="36" t="s">
        <v>698</v>
      </c>
      <c r="M244" s="37" t="s">
        <v>977</v>
      </c>
      <c r="N244" s="37" t="s">
        <v>1809</v>
      </c>
      <c r="O244" s="38">
        <v>1</v>
      </c>
      <c r="P244" s="38"/>
      <c r="Q244" s="39"/>
      <c r="S244" s="1">
        <f t="shared" si="98"/>
        <v>1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0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47">
        <v>0</v>
      </c>
      <c r="B245" s="47">
        <v>1</v>
      </c>
      <c r="C245" s="47">
        <v>7</v>
      </c>
      <c r="D245" s="48" t="s">
        <v>902</v>
      </c>
      <c r="E245" s="48" t="s">
        <v>29</v>
      </c>
      <c r="F245" s="48" t="s">
        <v>903</v>
      </c>
      <c r="G245" s="48" t="s">
        <v>39</v>
      </c>
      <c r="H245" s="48" t="s">
        <v>356</v>
      </c>
      <c r="I245" s="47" t="s">
        <v>904</v>
      </c>
      <c r="J245" s="47">
        <v>11</v>
      </c>
      <c r="K245" s="49" t="s">
        <v>707</v>
      </c>
      <c r="L245" s="49">
        <v>35</v>
      </c>
      <c r="M245" s="50" t="s">
        <v>1413</v>
      </c>
      <c r="N245" s="50" t="s">
        <v>1755</v>
      </c>
      <c r="O245" s="51"/>
      <c r="P245" s="51"/>
      <c r="Q245" s="68" t="s">
        <v>1911</v>
      </c>
      <c r="S245" s="1">
        <f t="shared" si="98"/>
        <v>0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0</v>
      </c>
      <c r="AF245" s="1">
        <f t="shared" si="94"/>
        <v>0</v>
      </c>
      <c r="AG245" s="1">
        <f t="shared" si="95"/>
        <v>0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1088</v>
      </c>
      <c r="E246" s="35" t="s">
        <v>29</v>
      </c>
      <c r="F246" s="39" t="s">
        <v>990</v>
      </c>
      <c r="G246" s="39" t="s">
        <v>204</v>
      </c>
      <c r="H246" s="39" t="s">
        <v>355</v>
      </c>
      <c r="I246" s="40" t="s">
        <v>991</v>
      </c>
      <c r="J246" s="34">
        <v>99</v>
      </c>
      <c r="K246" s="36" t="s">
        <v>717</v>
      </c>
      <c r="L246" s="36" t="s">
        <v>698</v>
      </c>
      <c r="M246" s="37" t="s">
        <v>1450</v>
      </c>
      <c r="N246" s="37" t="s">
        <v>1735</v>
      </c>
      <c r="O246" s="38">
        <v>1</v>
      </c>
      <c r="P246" s="38">
        <v>1</v>
      </c>
      <c r="Q246" s="39"/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1</v>
      </c>
      <c r="AE246" s="1">
        <f t="shared" si="109"/>
        <v>0</v>
      </c>
      <c r="AF246" s="1">
        <f t="shared" si="94"/>
        <v>1</v>
      </c>
      <c r="AG246" s="1">
        <f t="shared" si="95"/>
        <v>0</v>
      </c>
      <c r="AH246" s="1">
        <f t="shared" si="96"/>
        <v>1</v>
      </c>
      <c r="AI246" s="1">
        <f t="shared" si="97"/>
        <v>0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755</v>
      </c>
      <c r="E247" s="16" t="s">
        <v>29</v>
      </c>
      <c r="F247" s="16" t="s">
        <v>756</v>
      </c>
      <c r="G247" s="16" t="s">
        <v>757</v>
      </c>
      <c r="H247" s="16" t="s">
        <v>355</v>
      </c>
      <c r="I247" s="15" t="s">
        <v>758</v>
      </c>
      <c r="J247" s="15">
        <v>99</v>
      </c>
      <c r="K247" s="10" t="s">
        <v>707</v>
      </c>
      <c r="L247" s="10">
        <v>20</v>
      </c>
      <c r="M247" s="19" t="s">
        <v>1124</v>
      </c>
      <c r="N247" s="17"/>
      <c r="Q247" s="16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0</v>
      </c>
      <c r="AE247" s="1">
        <f t="shared" si="109"/>
        <v>0</v>
      </c>
      <c r="AF247" s="1">
        <f t="shared" si="94"/>
        <v>0</v>
      </c>
      <c r="AG247" s="1">
        <f t="shared" si="95"/>
        <v>0</v>
      </c>
      <c r="AH247" s="1">
        <f t="shared" si="96"/>
        <v>0</v>
      </c>
      <c r="AI247" s="1">
        <f t="shared" si="97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832</v>
      </c>
      <c r="E248" s="35" t="s">
        <v>29</v>
      </c>
      <c r="F248" s="39" t="s">
        <v>833</v>
      </c>
      <c r="G248" s="39" t="s">
        <v>932</v>
      </c>
      <c r="H248" s="39" t="s">
        <v>355</v>
      </c>
      <c r="I248" s="40" t="s">
        <v>834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1833</v>
      </c>
      <c r="O248" s="38">
        <v>1</v>
      </c>
      <c r="P248" s="38"/>
      <c r="Q248" s="39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1</v>
      </c>
      <c r="AF248" s="1">
        <f t="shared" si="94"/>
        <v>0</v>
      </c>
      <c r="AG248" s="1">
        <f t="shared" si="95"/>
        <v>1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1728</v>
      </c>
      <c r="E249" s="35" t="s">
        <v>29</v>
      </c>
      <c r="F249" s="39" t="s">
        <v>1729</v>
      </c>
      <c r="G249" s="39" t="s">
        <v>250</v>
      </c>
      <c r="H249" s="39" t="s">
        <v>355</v>
      </c>
      <c r="I249" s="40" t="s">
        <v>1730</v>
      </c>
      <c r="J249" s="34"/>
      <c r="K249" s="36" t="s">
        <v>707</v>
      </c>
      <c r="L249" s="36"/>
      <c r="M249" s="37"/>
      <c r="N249" s="37" t="s">
        <v>1735</v>
      </c>
      <c r="O249" s="38">
        <v>1</v>
      </c>
      <c r="P249" s="38">
        <v>1</v>
      </c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1</v>
      </c>
      <c r="AE249" s="1">
        <f t="shared" si="109"/>
        <v>0</v>
      </c>
      <c r="AF249" s="1">
        <f t="shared" si="94"/>
        <v>1</v>
      </c>
      <c r="AG249" s="1">
        <f t="shared" si="95"/>
        <v>0</v>
      </c>
      <c r="AH249" s="1">
        <f t="shared" si="96"/>
        <v>1</v>
      </c>
      <c r="AI249" s="1">
        <f t="shared" si="97"/>
        <v>0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5" t="s">
        <v>905</v>
      </c>
      <c r="E250" s="35" t="s">
        <v>29</v>
      </c>
      <c r="F250" s="35" t="s">
        <v>906</v>
      </c>
      <c r="G250" s="35" t="s">
        <v>229</v>
      </c>
      <c r="H250" s="35" t="s">
        <v>355</v>
      </c>
      <c r="I250" s="34" t="s">
        <v>907</v>
      </c>
      <c r="J250" s="34">
        <v>99</v>
      </c>
      <c r="K250" s="36" t="s">
        <v>717</v>
      </c>
      <c r="L250" s="36" t="s">
        <v>698</v>
      </c>
      <c r="M250" s="37" t="s">
        <v>1414</v>
      </c>
      <c r="N250" s="37" t="s">
        <v>1756</v>
      </c>
      <c r="O250" s="38">
        <v>1</v>
      </c>
      <c r="P250" s="38"/>
      <c r="Q250" s="35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0</v>
      </c>
      <c r="AE250" s="1">
        <f t="shared" si="109"/>
        <v>1</v>
      </c>
      <c r="AF250" s="1">
        <f t="shared" si="94"/>
        <v>0</v>
      </c>
      <c r="AG250" s="1">
        <f t="shared" si="95"/>
        <v>1</v>
      </c>
      <c r="AH250" s="1">
        <f t="shared" si="96"/>
        <v>0</v>
      </c>
      <c r="AI250" s="1">
        <f t="shared" si="97"/>
        <v>1</v>
      </c>
    </row>
    <row r="251" spans="1:35" ht="14.25" customHeight="1" x14ac:dyDescent="0.25">
      <c r="A251" s="41">
        <v>0</v>
      </c>
      <c r="B251" s="41">
        <v>1</v>
      </c>
      <c r="C251" s="41">
        <v>7</v>
      </c>
      <c r="D251" s="42" t="s">
        <v>88</v>
      </c>
      <c r="E251" s="42" t="s">
        <v>29</v>
      </c>
      <c r="F251" s="42" t="s">
        <v>282</v>
      </c>
      <c r="G251" s="42" t="s">
        <v>239</v>
      </c>
      <c r="H251" s="42" t="s">
        <v>355</v>
      </c>
      <c r="I251" s="41" t="s">
        <v>438</v>
      </c>
      <c r="J251" s="41">
        <v>4</v>
      </c>
      <c r="K251" s="43" t="s">
        <v>958</v>
      </c>
      <c r="L251" s="43" t="s">
        <v>39</v>
      </c>
      <c r="M251" s="44" t="s">
        <v>39</v>
      </c>
      <c r="N251" s="45"/>
      <c r="O251" s="46"/>
      <c r="P251" s="46">
        <v>1</v>
      </c>
      <c r="Q251" s="42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1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0</v>
      </c>
      <c r="AF251" s="1">
        <f t="shared" si="94"/>
        <v>0</v>
      </c>
      <c r="AG251" s="1">
        <f t="shared" si="95"/>
        <v>0</v>
      </c>
      <c r="AH251" s="1">
        <f t="shared" si="96"/>
        <v>1</v>
      </c>
      <c r="AI251" s="1">
        <f t="shared" si="97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89</v>
      </c>
      <c r="E252" s="48" t="s">
        <v>29</v>
      </c>
      <c r="F252" s="48" t="s">
        <v>283</v>
      </c>
      <c r="G252" s="48" t="s">
        <v>284</v>
      </c>
      <c r="H252" s="48" t="s">
        <v>355</v>
      </c>
      <c r="I252" s="47" t="s">
        <v>947</v>
      </c>
      <c r="J252" s="47">
        <v>99</v>
      </c>
      <c r="K252" s="49" t="s">
        <v>959</v>
      </c>
      <c r="L252" s="49" t="s">
        <v>698</v>
      </c>
      <c r="M252" s="50" t="s">
        <v>977</v>
      </c>
      <c r="N252" s="50" t="s">
        <v>1817</v>
      </c>
      <c r="O252" s="51"/>
      <c r="P252" s="51"/>
      <c r="Q252" s="48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0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0</v>
      </c>
      <c r="AI252" s="1">
        <f t="shared" si="97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9" t="s">
        <v>1644</v>
      </c>
      <c r="E253" s="35" t="s">
        <v>29</v>
      </c>
      <c r="F253" s="39" t="s">
        <v>1543</v>
      </c>
      <c r="G253" s="39" t="s">
        <v>39</v>
      </c>
      <c r="H253" s="39" t="s">
        <v>890</v>
      </c>
      <c r="I253" s="40" t="s">
        <v>1544</v>
      </c>
      <c r="J253" s="34">
        <v>17</v>
      </c>
      <c r="K253" s="36" t="s">
        <v>717</v>
      </c>
      <c r="L253" s="36" t="s">
        <v>701</v>
      </c>
      <c r="M253" s="37" t="s">
        <v>1465</v>
      </c>
      <c r="N253" s="37" t="s">
        <v>1735</v>
      </c>
      <c r="O253" s="38">
        <v>1</v>
      </c>
      <c r="P253" s="38">
        <v>1</v>
      </c>
      <c r="Q253" s="39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1</v>
      </c>
      <c r="AE253" s="1">
        <f t="shared" si="109"/>
        <v>0</v>
      </c>
      <c r="AF253" s="1">
        <f t="shared" si="94"/>
        <v>1</v>
      </c>
      <c r="AG253" s="1">
        <f t="shared" si="95"/>
        <v>0</v>
      </c>
      <c r="AH253" s="1">
        <f t="shared" si="96"/>
        <v>1</v>
      </c>
      <c r="AI253" s="1">
        <f t="shared" si="97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1462</v>
      </c>
      <c r="E254" s="48" t="s">
        <v>29</v>
      </c>
      <c r="F254" s="48" t="s">
        <v>1463</v>
      </c>
      <c r="G254" s="48" t="s">
        <v>322</v>
      </c>
      <c r="H254" s="48" t="s">
        <v>355</v>
      </c>
      <c r="I254" s="47" t="s">
        <v>1464</v>
      </c>
      <c r="J254" s="47">
        <v>99</v>
      </c>
      <c r="K254" s="49" t="s">
        <v>707</v>
      </c>
      <c r="L254" s="49">
        <v>30</v>
      </c>
      <c r="M254" s="50" t="s">
        <v>1465</v>
      </c>
      <c r="N254" s="50" t="s">
        <v>1810</v>
      </c>
      <c r="O254" s="51"/>
      <c r="P254" s="51"/>
      <c r="Q254" s="48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0</v>
      </c>
      <c r="AE254" s="1">
        <f t="shared" si="109"/>
        <v>0</v>
      </c>
      <c r="AF254" s="1">
        <f t="shared" si="94"/>
        <v>0</v>
      </c>
      <c r="AG254" s="1">
        <f t="shared" si="95"/>
        <v>0</v>
      </c>
      <c r="AH254" s="1">
        <f t="shared" si="96"/>
        <v>0</v>
      </c>
      <c r="AI254" s="1">
        <f t="shared" si="97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850</v>
      </c>
      <c r="E255" s="35" t="s">
        <v>29</v>
      </c>
      <c r="F255" s="39" t="s">
        <v>851</v>
      </c>
      <c r="G255" s="39" t="s">
        <v>223</v>
      </c>
      <c r="H255" s="39" t="s">
        <v>355</v>
      </c>
      <c r="I255" s="40" t="s">
        <v>852</v>
      </c>
      <c r="J255" s="34">
        <v>99</v>
      </c>
      <c r="K255" s="36" t="s">
        <v>959</v>
      </c>
      <c r="L255" s="36" t="s">
        <v>698</v>
      </c>
      <c r="M255" s="37" t="s">
        <v>977</v>
      </c>
      <c r="N255" s="37" t="s">
        <v>1857</v>
      </c>
      <c r="O255" s="38">
        <v>1</v>
      </c>
      <c r="P255" s="38"/>
      <c r="Q255" s="39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1</v>
      </c>
      <c r="AF255" s="1">
        <f t="shared" si="94"/>
        <v>0</v>
      </c>
      <c r="AG255" s="1">
        <f t="shared" si="95"/>
        <v>1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1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934</v>
      </c>
      <c r="G256" s="39" t="s">
        <v>280</v>
      </c>
      <c r="H256" s="39" t="s">
        <v>355</v>
      </c>
      <c r="I256" s="40" t="s">
        <v>853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1857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0</v>
      </c>
      <c r="AH256" s="1">
        <f t="shared" si="96"/>
        <v>0</v>
      </c>
      <c r="AI256" s="1">
        <f t="shared" si="97"/>
        <v>0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5" t="s">
        <v>1224</v>
      </c>
      <c r="E257" s="35" t="s">
        <v>29</v>
      </c>
      <c r="F257" s="35" t="s">
        <v>1225</v>
      </c>
      <c r="G257" s="35" t="s">
        <v>239</v>
      </c>
      <c r="H257" s="35" t="s">
        <v>355</v>
      </c>
      <c r="I257" s="34" t="s">
        <v>1369</v>
      </c>
      <c r="J257" s="34">
        <v>99</v>
      </c>
      <c r="K257" s="36" t="s">
        <v>717</v>
      </c>
      <c r="L257" s="36" t="s">
        <v>698</v>
      </c>
      <c r="M257" s="37" t="s">
        <v>1415</v>
      </c>
      <c r="N257" s="37" t="s">
        <v>1763</v>
      </c>
      <c r="O257" s="38">
        <v>1</v>
      </c>
      <c r="P257" s="38"/>
      <c r="Q257" s="35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1</v>
      </c>
      <c r="AH257" s="1">
        <f t="shared" si="96"/>
        <v>0</v>
      </c>
      <c r="AI257" s="1">
        <f t="shared" si="97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1241</v>
      </c>
      <c r="E258" s="35" t="s">
        <v>29</v>
      </c>
      <c r="F258" s="39" t="s">
        <v>1242</v>
      </c>
      <c r="G258" s="39" t="s">
        <v>239</v>
      </c>
      <c r="H258" s="39" t="s">
        <v>355</v>
      </c>
      <c r="I258" s="40" t="s">
        <v>1243</v>
      </c>
      <c r="J258" s="34">
        <v>99</v>
      </c>
      <c r="K258" s="36" t="s">
        <v>717</v>
      </c>
      <c r="L258" s="36" t="s">
        <v>697</v>
      </c>
      <c r="M258" s="37" t="s">
        <v>1415</v>
      </c>
      <c r="N258" s="37" t="s">
        <v>1833</v>
      </c>
      <c r="O258" s="38">
        <v>1</v>
      </c>
      <c r="P258" s="38"/>
      <c r="Q258" s="39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93</v>
      </c>
      <c r="E259" s="35" t="s">
        <v>29</v>
      </c>
      <c r="F259" s="39" t="s">
        <v>289</v>
      </c>
      <c r="G259" s="39" t="s">
        <v>191</v>
      </c>
      <c r="H259" s="39" t="s">
        <v>355</v>
      </c>
      <c r="I259" s="40" t="s">
        <v>442</v>
      </c>
      <c r="J259" s="34">
        <v>99</v>
      </c>
      <c r="K259" s="36" t="s">
        <v>717</v>
      </c>
      <c r="L259" s="36" t="s">
        <v>698</v>
      </c>
      <c r="M259" s="37" t="s">
        <v>1416</v>
      </c>
      <c r="N259" s="37" t="s">
        <v>1758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874</v>
      </c>
      <c r="E260" s="48" t="s">
        <v>29</v>
      </c>
      <c r="F260" s="48" t="s">
        <v>875</v>
      </c>
      <c r="G260" s="48" t="s">
        <v>195</v>
      </c>
      <c r="H260" s="48" t="s">
        <v>355</v>
      </c>
      <c r="I260" s="47" t="s">
        <v>876</v>
      </c>
      <c r="J260" s="47">
        <v>9</v>
      </c>
      <c r="K260" s="49" t="s">
        <v>717</v>
      </c>
      <c r="L260" s="49" t="s">
        <v>700</v>
      </c>
      <c r="M260" s="50" t="s">
        <v>712</v>
      </c>
      <c r="N260" s="50" t="s">
        <v>1743</v>
      </c>
      <c r="O260" s="51"/>
      <c r="P260" s="51"/>
      <c r="Q260" s="48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1</v>
      </c>
      <c r="AB260" s="1">
        <f t="shared" si="107"/>
        <v>0</v>
      </c>
      <c r="AD260" s="1">
        <f t="shared" si="108"/>
        <v>0</v>
      </c>
      <c r="AE260" s="1">
        <f t="shared" si="109"/>
        <v>0</v>
      </c>
      <c r="AF260" s="1">
        <f t="shared" si="94"/>
        <v>0</v>
      </c>
      <c r="AG260" s="1">
        <f t="shared" si="95"/>
        <v>0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1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1072</v>
      </c>
      <c r="G261" s="48" t="s">
        <v>322</v>
      </c>
      <c r="H261" s="48" t="s">
        <v>355</v>
      </c>
      <c r="I261" s="47" t="s">
        <v>1073</v>
      </c>
      <c r="J261" s="47">
        <v>99</v>
      </c>
      <c r="K261" s="49" t="s">
        <v>717</v>
      </c>
      <c r="L261" s="49" t="s">
        <v>700</v>
      </c>
      <c r="M261" s="50" t="s">
        <v>712</v>
      </c>
      <c r="N261" s="50" t="s">
        <v>1743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0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0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96</v>
      </c>
      <c r="E262" s="48" t="s">
        <v>29</v>
      </c>
      <c r="F262" s="48" t="s">
        <v>293</v>
      </c>
      <c r="G262" s="48" t="s">
        <v>294</v>
      </c>
      <c r="H262" s="48" t="s">
        <v>355</v>
      </c>
      <c r="I262" s="47" t="s">
        <v>1121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1747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534</v>
      </c>
      <c r="E263" s="48" t="s">
        <v>29</v>
      </c>
      <c r="F263" s="48" t="s">
        <v>668</v>
      </c>
      <c r="G263" s="48" t="s">
        <v>39</v>
      </c>
      <c r="H263" s="48" t="s">
        <v>535</v>
      </c>
      <c r="I263" s="47" t="s">
        <v>1698</v>
      </c>
      <c r="J263" s="47">
        <v>14</v>
      </c>
      <c r="K263" s="49" t="s">
        <v>958</v>
      </c>
      <c r="L263" s="49">
        <v>40</v>
      </c>
      <c r="M263" s="50" t="s">
        <v>712</v>
      </c>
      <c r="N263" s="50" t="s">
        <v>1743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1329</v>
      </c>
      <c r="E264" s="35" t="s">
        <v>29</v>
      </c>
      <c r="F264" s="39" t="s">
        <v>1353</v>
      </c>
      <c r="G264" s="39" t="s">
        <v>39</v>
      </c>
      <c r="H264" s="39" t="s">
        <v>355</v>
      </c>
      <c r="I264" s="40" t="s">
        <v>1156</v>
      </c>
      <c r="J264" s="34">
        <v>99</v>
      </c>
      <c r="K264" s="36" t="s">
        <v>717</v>
      </c>
      <c r="L264" s="36" t="s">
        <v>697</v>
      </c>
      <c r="M264" s="37" t="s">
        <v>1417</v>
      </c>
      <c r="N264" s="37" t="s">
        <v>1741</v>
      </c>
      <c r="O264" s="38">
        <v>1</v>
      </c>
      <c r="P264" s="38">
        <v>1</v>
      </c>
      <c r="Q264" s="39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1</v>
      </c>
      <c r="AE264" s="1">
        <f t="shared" si="109"/>
        <v>0</v>
      </c>
      <c r="AF264" s="1">
        <f t="shared" si="94"/>
        <v>1</v>
      </c>
      <c r="AG264" s="1">
        <f t="shared" si="95"/>
        <v>0</v>
      </c>
      <c r="AH264" s="1">
        <f t="shared" si="96"/>
        <v>1</v>
      </c>
      <c r="AI264" s="1">
        <f t="shared" si="97"/>
        <v>0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97</v>
      </c>
      <c r="E265" s="48" t="s">
        <v>29</v>
      </c>
      <c r="F265" s="48" t="s">
        <v>296</v>
      </c>
      <c r="G265" s="48" t="s">
        <v>264</v>
      </c>
      <c r="H265" s="48" t="s">
        <v>355</v>
      </c>
      <c r="I265" s="47" t="s">
        <v>446</v>
      </c>
      <c r="J265" s="47">
        <v>1</v>
      </c>
      <c r="K265" s="49" t="s">
        <v>717</v>
      </c>
      <c r="L265" s="49" t="s">
        <v>698</v>
      </c>
      <c r="M265" s="50" t="s">
        <v>712</v>
      </c>
      <c r="N265" s="50" t="s">
        <v>1743</v>
      </c>
      <c r="O265" s="51"/>
      <c r="P265" s="51"/>
      <c r="Q265" s="48"/>
      <c r="S265" s="1">
        <f t="shared" si="98"/>
        <v>1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0</v>
      </c>
      <c r="AE265" s="1">
        <f t="shared" si="109"/>
        <v>0</v>
      </c>
      <c r="AF265" s="1">
        <f t="shared" si="94"/>
        <v>0</v>
      </c>
      <c r="AG265" s="1">
        <f t="shared" si="95"/>
        <v>0</v>
      </c>
      <c r="AH265" s="1">
        <f t="shared" si="96"/>
        <v>0</v>
      </c>
      <c r="AI265" s="1">
        <f t="shared" si="97"/>
        <v>1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759</v>
      </c>
      <c r="E266" s="16" t="s">
        <v>29</v>
      </c>
      <c r="F266" s="16" t="s">
        <v>760</v>
      </c>
      <c r="G266" s="16" t="s">
        <v>39</v>
      </c>
      <c r="H266" s="16" t="s">
        <v>761</v>
      </c>
      <c r="I266" s="15" t="s">
        <v>762</v>
      </c>
      <c r="J266" s="15">
        <v>18</v>
      </c>
      <c r="K266" s="10" t="s">
        <v>707</v>
      </c>
      <c r="L266" s="10" t="s">
        <v>701</v>
      </c>
      <c r="M266" s="19" t="s">
        <v>712</v>
      </c>
      <c r="N266" s="17"/>
      <c r="Q266" s="16"/>
      <c r="S266" s="1">
        <f t="shared" si="98"/>
        <v>0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1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763</v>
      </c>
      <c r="G267" s="16" t="s">
        <v>39</v>
      </c>
      <c r="H267" s="16" t="s">
        <v>749</v>
      </c>
      <c r="I267" s="15" t="s">
        <v>764</v>
      </c>
      <c r="J267" s="15">
        <v>17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0</v>
      </c>
    </row>
    <row r="268" spans="1:35" ht="14.25" customHeight="1" x14ac:dyDescent="0.25">
      <c r="A268" s="34">
        <v>0</v>
      </c>
      <c r="B268" s="34">
        <v>1</v>
      </c>
      <c r="C268" s="34">
        <v>7</v>
      </c>
      <c r="D268" s="39" t="s">
        <v>1526</v>
      </c>
      <c r="E268" s="35" t="s">
        <v>29</v>
      </c>
      <c r="F268" s="39" t="s">
        <v>1679</v>
      </c>
      <c r="G268" s="39" t="s">
        <v>1680</v>
      </c>
      <c r="H268" s="39" t="s">
        <v>355</v>
      </c>
      <c r="I268" s="40" t="s">
        <v>1527</v>
      </c>
      <c r="J268" s="34">
        <v>99</v>
      </c>
      <c r="K268" s="36" t="s">
        <v>717</v>
      </c>
      <c r="L268" s="36" t="s">
        <v>39</v>
      </c>
      <c r="M268" s="37" t="s">
        <v>39</v>
      </c>
      <c r="N268" s="37" t="s">
        <v>1735</v>
      </c>
      <c r="O268" s="38">
        <v>1</v>
      </c>
      <c r="P268" s="38">
        <v>1</v>
      </c>
      <c r="Q268" s="39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1</v>
      </c>
      <c r="AE268" s="1">
        <f t="shared" si="109"/>
        <v>0</v>
      </c>
      <c r="AF268" s="1">
        <f t="shared" si="116"/>
        <v>1</v>
      </c>
      <c r="AG268" s="1">
        <f t="shared" si="117"/>
        <v>0</v>
      </c>
      <c r="AH268" s="1">
        <f t="shared" si="118"/>
        <v>1</v>
      </c>
      <c r="AI268" s="1">
        <f t="shared" si="119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1150</v>
      </c>
      <c r="E269" s="16" t="s">
        <v>29</v>
      </c>
      <c r="F269" s="16" t="s">
        <v>1151</v>
      </c>
      <c r="G269" s="16" t="s">
        <v>1153</v>
      </c>
      <c r="H269" s="16" t="s">
        <v>355</v>
      </c>
      <c r="I269" s="15" t="s">
        <v>1152</v>
      </c>
      <c r="J269" s="15">
        <v>99</v>
      </c>
      <c r="K269" s="10" t="s">
        <v>707</v>
      </c>
      <c r="L269" s="10">
        <v>30</v>
      </c>
      <c r="M269" s="19" t="s">
        <v>1418</v>
      </c>
      <c r="N269" s="19"/>
      <c r="Q269" s="16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0</v>
      </c>
      <c r="AE269" s="1">
        <f t="shared" si="109"/>
        <v>0</v>
      </c>
      <c r="AF269" s="1">
        <f t="shared" si="116"/>
        <v>0</v>
      </c>
      <c r="AG269" s="1">
        <f t="shared" si="117"/>
        <v>0</v>
      </c>
      <c r="AH269" s="1">
        <f t="shared" si="118"/>
        <v>0</v>
      </c>
      <c r="AI269" s="1">
        <f t="shared" si="119"/>
        <v>1</v>
      </c>
    </row>
    <row r="270" spans="1:35" ht="14.25" customHeight="1" x14ac:dyDescent="0.25">
      <c r="A270" s="47">
        <v>0</v>
      </c>
      <c r="B270" s="47">
        <v>1</v>
      </c>
      <c r="C270" s="47">
        <v>7</v>
      </c>
      <c r="D270" s="48" t="s">
        <v>99</v>
      </c>
      <c r="E270" s="48" t="s">
        <v>29</v>
      </c>
      <c r="F270" s="48" t="s">
        <v>298</v>
      </c>
      <c r="G270" s="48" t="s">
        <v>198</v>
      </c>
      <c r="H270" s="48" t="s">
        <v>355</v>
      </c>
      <c r="I270" s="47" t="s">
        <v>447</v>
      </c>
      <c r="J270" s="47">
        <v>9</v>
      </c>
      <c r="K270" s="49" t="s">
        <v>707</v>
      </c>
      <c r="L270" s="49">
        <v>30</v>
      </c>
      <c r="M270" s="50" t="s">
        <v>712</v>
      </c>
      <c r="N270" s="50" t="s">
        <v>1743</v>
      </c>
      <c r="O270" s="51"/>
      <c r="P270" s="51"/>
      <c r="Q270" s="48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1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807</v>
      </c>
      <c r="E271" s="48" t="s">
        <v>29</v>
      </c>
      <c r="F271" s="48" t="s">
        <v>786</v>
      </c>
      <c r="G271" s="48" t="s">
        <v>808</v>
      </c>
      <c r="H271" s="48" t="s">
        <v>355</v>
      </c>
      <c r="I271" s="47" t="s">
        <v>956</v>
      </c>
      <c r="J271" s="47">
        <v>99</v>
      </c>
      <c r="K271" s="49" t="s">
        <v>717</v>
      </c>
      <c r="L271" s="49" t="s">
        <v>698</v>
      </c>
      <c r="M271" s="50" t="s">
        <v>712</v>
      </c>
      <c r="N271" s="50" t="s">
        <v>1810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0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1332</v>
      </c>
      <c r="E272" s="48" t="s">
        <v>29</v>
      </c>
      <c r="F272" s="48" t="s">
        <v>1355</v>
      </c>
      <c r="G272" s="48" t="s">
        <v>1189</v>
      </c>
      <c r="H272" s="48" t="s">
        <v>355</v>
      </c>
      <c r="I272" s="47" t="s">
        <v>1700</v>
      </c>
      <c r="J272" s="47">
        <v>99</v>
      </c>
      <c r="K272" s="49" t="s">
        <v>717</v>
      </c>
      <c r="L272" s="49" t="s">
        <v>698</v>
      </c>
      <c r="M272" s="50" t="s">
        <v>1419</v>
      </c>
      <c r="N272" s="50" t="s">
        <v>1746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15">
        <v>0</v>
      </c>
      <c r="B273" s="15">
        <v>1</v>
      </c>
      <c r="C273" s="15">
        <v>7</v>
      </c>
      <c r="D273" s="16" t="s">
        <v>1287</v>
      </c>
      <c r="E273" s="16" t="s">
        <v>29</v>
      </c>
      <c r="F273" s="16" t="s">
        <v>1288</v>
      </c>
      <c r="G273" s="16" t="s">
        <v>1289</v>
      </c>
      <c r="H273" s="16" t="s">
        <v>355</v>
      </c>
      <c r="I273" s="15" t="s">
        <v>1290</v>
      </c>
      <c r="J273" s="15">
        <v>99</v>
      </c>
      <c r="K273" s="10" t="s">
        <v>717</v>
      </c>
      <c r="L273" s="10" t="s">
        <v>698</v>
      </c>
      <c r="M273" s="19" t="s">
        <v>712</v>
      </c>
      <c r="N273" s="17"/>
      <c r="Q273" s="16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34">
        <v>0</v>
      </c>
      <c r="B274" s="34">
        <v>1</v>
      </c>
      <c r="C274" s="34">
        <v>7</v>
      </c>
      <c r="D274" s="35" t="s">
        <v>713</v>
      </c>
      <c r="E274" s="35" t="s">
        <v>29</v>
      </c>
      <c r="F274" s="35" t="s">
        <v>714</v>
      </c>
      <c r="G274" s="35" t="s">
        <v>185</v>
      </c>
      <c r="H274" s="35" t="s">
        <v>355</v>
      </c>
      <c r="I274" s="34" t="s">
        <v>715</v>
      </c>
      <c r="J274" s="34">
        <v>99</v>
      </c>
      <c r="K274" s="36" t="s">
        <v>959</v>
      </c>
      <c r="L274" s="36" t="s">
        <v>39</v>
      </c>
      <c r="M274" s="37" t="s">
        <v>39</v>
      </c>
      <c r="N274" s="37" t="s">
        <v>1741</v>
      </c>
      <c r="O274" s="38">
        <v>1</v>
      </c>
      <c r="P274" s="38">
        <v>1</v>
      </c>
      <c r="Q274" s="35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1</v>
      </c>
      <c r="AE274" s="1">
        <f t="shared" si="131"/>
        <v>0</v>
      </c>
      <c r="AF274" s="1">
        <f t="shared" si="116"/>
        <v>1</v>
      </c>
      <c r="AG274" s="1">
        <f t="shared" si="117"/>
        <v>0</v>
      </c>
      <c r="AH274" s="1">
        <f t="shared" si="118"/>
        <v>1</v>
      </c>
      <c r="AI274" s="1">
        <f t="shared" si="119"/>
        <v>0</v>
      </c>
    </row>
    <row r="275" spans="1:35" ht="14.25" customHeight="1" x14ac:dyDescent="0.25">
      <c r="A275" s="34">
        <v>0</v>
      </c>
      <c r="B275" s="34">
        <v>2</v>
      </c>
      <c r="C275" s="34">
        <v>1</v>
      </c>
      <c r="D275" s="35" t="s">
        <v>538</v>
      </c>
      <c r="E275" s="35" t="s">
        <v>34</v>
      </c>
      <c r="F275" s="35" t="s">
        <v>539</v>
      </c>
      <c r="G275" s="35" t="s">
        <v>221</v>
      </c>
      <c r="H275" s="35" t="s">
        <v>355</v>
      </c>
      <c r="I275" s="34" t="s">
        <v>540</v>
      </c>
      <c r="J275" s="34">
        <v>8</v>
      </c>
      <c r="K275" s="36" t="s">
        <v>717</v>
      </c>
      <c r="L275" s="36" t="s">
        <v>717</v>
      </c>
      <c r="M275" s="37" t="s">
        <v>718</v>
      </c>
      <c r="N275" s="37" t="s">
        <v>1756</v>
      </c>
      <c r="O275" s="38">
        <v>1</v>
      </c>
      <c r="P275" s="38"/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1</v>
      </c>
      <c r="AA275" s="1">
        <f t="shared" si="128"/>
        <v>0</v>
      </c>
      <c r="AB275" s="1">
        <f t="shared" si="129"/>
        <v>0</v>
      </c>
      <c r="AD275" s="1">
        <f t="shared" si="130"/>
        <v>0</v>
      </c>
      <c r="AE275" s="1">
        <f t="shared" si="131"/>
        <v>1</v>
      </c>
      <c r="AF275" s="1">
        <f t="shared" si="116"/>
        <v>0</v>
      </c>
      <c r="AG275" s="1">
        <f t="shared" si="117"/>
        <v>1</v>
      </c>
      <c r="AH275" s="1">
        <f t="shared" si="118"/>
        <v>0</v>
      </c>
      <c r="AI275" s="1">
        <f t="shared" si="119"/>
        <v>1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1298</v>
      </c>
      <c r="E276" s="35" t="s">
        <v>563</v>
      </c>
      <c r="F276" s="35" t="s">
        <v>1299</v>
      </c>
      <c r="G276" s="35" t="s">
        <v>231</v>
      </c>
      <c r="H276" s="35" t="s">
        <v>355</v>
      </c>
      <c r="I276" s="34" t="s">
        <v>1300</v>
      </c>
      <c r="J276" s="34">
        <v>7</v>
      </c>
      <c r="K276" s="36" t="s">
        <v>717</v>
      </c>
      <c r="L276" s="36" t="s">
        <v>717</v>
      </c>
      <c r="M276" s="37" t="s">
        <v>718</v>
      </c>
      <c r="N276" s="37" t="s">
        <v>1764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1</v>
      </c>
      <c r="Z276" s="1">
        <f t="shared" si="127"/>
        <v>0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1334</v>
      </c>
      <c r="E277" s="48" t="s">
        <v>563</v>
      </c>
      <c r="F277" s="48" t="s">
        <v>1163</v>
      </c>
      <c r="G277" s="48" t="s">
        <v>214</v>
      </c>
      <c r="H277" s="48" t="s">
        <v>355</v>
      </c>
      <c r="I277" s="47" t="s">
        <v>1162</v>
      </c>
      <c r="J277" s="47">
        <v>1</v>
      </c>
      <c r="K277" s="49" t="s">
        <v>958</v>
      </c>
      <c r="L277" s="49" t="s">
        <v>717</v>
      </c>
      <c r="M277" s="50" t="s">
        <v>718</v>
      </c>
      <c r="N277" s="50" t="s">
        <v>1746</v>
      </c>
      <c r="O277" s="51"/>
      <c r="P277" s="51"/>
      <c r="Q277" s="48"/>
      <c r="S277" s="1">
        <f t="shared" si="120"/>
        <v>1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0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0</v>
      </c>
      <c r="AF277" s="1">
        <f t="shared" si="116"/>
        <v>0</v>
      </c>
      <c r="AG277" s="1">
        <f t="shared" si="117"/>
        <v>0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1335</v>
      </c>
      <c r="E278" s="35" t="s">
        <v>563</v>
      </c>
      <c r="F278" s="35" t="s">
        <v>1157</v>
      </c>
      <c r="G278" s="35" t="s">
        <v>286</v>
      </c>
      <c r="H278" s="35" t="s">
        <v>355</v>
      </c>
      <c r="I278" s="34" t="s">
        <v>1158</v>
      </c>
      <c r="J278" s="34">
        <v>10</v>
      </c>
      <c r="K278" s="36" t="s">
        <v>958</v>
      </c>
      <c r="L278" s="36" t="s">
        <v>717</v>
      </c>
      <c r="M278" s="37" t="s">
        <v>718</v>
      </c>
      <c r="N278" s="37" t="s">
        <v>1769</v>
      </c>
      <c r="O278" s="38">
        <v>1</v>
      </c>
      <c r="P278" s="38"/>
      <c r="Q278" s="35"/>
      <c r="S278" s="1">
        <f t="shared" si="120"/>
        <v>0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1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15">
        <v>0</v>
      </c>
      <c r="B279" s="15">
        <v>2</v>
      </c>
      <c r="C279" s="15">
        <v>1</v>
      </c>
      <c r="D279" s="16" t="s">
        <v>514</v>
      </c>
      <c r="E279" s="16" t="s">
        <v>34</v>
      </c>
      <c r="F279" s="16" t="s">
        <v>513</v>
      </c>
      <c r="G279" s="16" t="s">
        <v>548</v>
      </c>
      <c r="H279" s="16" t="s">
        <v>355</v>
      </c>
      <c r="I279" s="15" t="s">
        <v>1372</v>
      </c>
      <c r="J279" s="15">
        <v>99</v>
      </c>
      <c r="K279" s="10" t="s">
        <v>959</v>
      </c>
      <c r="L279" s="10" t="s">
        <v>717</v>
      </c>
      <c r="M279" s="19" t="s">
        <v>718</v>
      </c>
      <c r="N279" s="19"/>
      <c r="Q279" s="16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0</v>
      </c>
      <c r="AD279" s="1">
        <f t="shared" si="130"/>
        <v>0</v>
      </c>
      <c r="AE279" s="1">
        <f t="shared" si="131"/>
        <v>0</v>
      </c>
      <c r="AF279" s="1">
        <f t="shared" si="116"/>
        <v>0</v>
      </c>
      <c r="AG279" s="1">
        <f t="shared" si="117"/>
        <v>0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41">
        <v>0</v>
      </c>
      <c r="B280" s="41">
        <v>2</v>
      </c>
      <c r="C280" s="41">
        <v>1</v>
      </c>
      <c r="D280" s="42" t="s">
        <v>1046</v>
      </c>
      <c r="E280" s="42" t="s">
        <v>36</v>
      </c>
      <c r="F280" s="42" t="s">
        <v>1667</v>
      </c>
      <c r="G280" s="42" t="s">
        <v>630</v>
      </c>
      <c r="H280" s="42" t="s">
        <v>355</v>
      </c>
      <c r="I280" s="41" t="s">
        <v>1047</v>
      </c>
      <c r="J280" s="41">
        <v>99</v>
      </c>
      <c r="K280" s="43" t="s">
        <v>963</v>
      </c>
      <c r="L280" s="43" t="s">
        <v>717</v>
      </c>
      <c r="M280" s="44" t="s">
        <v>718</v>
      </c>
      <c r="N280" s="45"/>
      <c r="O280" s="46"/>
      <c r="P280" s="46">
        <v>1</v>
      </c>
      <c r="Q280" s="57" t="s">
        <v>1907</v>
      </c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1</v>
      </c>
      <c r="AI280" s="1">
        <f t="shared" si="119"/>
        <v>0</v>
      </c>
    </row>
    <row r="281" spans="1:35" ht="14.25" customHeight="1" x14ac:dyDescent="0.25">
      <c r="A281" s="34">
        <v>1</v>
      </c>
      <c r="B281" s="34">
        <v>2</v>
      </c>
      <c r="C281" s="34">
        <v>1</v>
      </c>
      <c r="D281" s="35" t="s">
        <v>49</v>
      </c>
      <c r="E281" s="35" t="s">
        <v>1322</v>
      </c>
      <c r="F281" s="35" t="s">
        <v>192</v>
      </c>
      <c r="G281" s="35" t="s">
        <v>193</v>
      </c>
      <c r="H281" s="35" t="s">
        <v>355</v>
      </c>
      <c r="I281" s="34" t="s">
        <v>387</v>
      </c>
      <c r="J281" s="34">
        <v>99</v>
      </c>
      <c r="K281" s="36" t="s">
        <v>716</v>
      </c>
      <c r="L281" s="36" t="s">
        <v>717</v>
      </c>
      <c r="M281" s="37" t="s">
        <v>718</v>
      </c>
      <c r="N281" s="37" t="s">
        <v>1764</v>
      </c>
      <c r="O281" s="38">
        <v>1</v>
      </c>
      <c r="P281" s="38"/>
      <c r="Q281" s="35"/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1</v>
      </c>
      <c r="AF281" s="1">
        <f t="shared" si="116"/>
        <v>0</v>
      </c>
      <c r="AG281" s="1">
        <f t="shared" si="117"/>
        <v>0</v>
      </c>
      <c r="AH281" s="1">
        <f t="shared" si="118"/>
        <v>0</v>
      </c>
      <c r="AI281" s="1">
        <f t="shared" si="119"/>
        <v>0</v>
      </c>
    </row>
    <row r="282" spans="1:35" ht="14.25" customHeight="1" x14ac:dyDescent="0.25">
      <c r="A282" s="34">
        <v>0</v>
      </c>
      <c r="B282" s="34">
        <v>2</v>
      </c>
      <c r="C282" s="34">
        <v>1</v>
      </c>
      <c r="D282" s="35" t="s">
        <v>1078</v>
      </c>
      <c r="E282" s="35" t="s">
        <v>1322</v>
      </c>
      <c r="F282" s="35" t="s">
        <v>1093</v>
      </c>
      <c r="G282" s="35" t="s">
        <v>203</v>
      </c>
      <c r="H282" s="35" t="s">
        <v>355</v>
      </c>
      <c r="I282" s="34" t="s">
        <v>387</v>
      </c>
      <c r="J282" s="34">
        <v>10</v>
      </c>
      <c r="K282" s="36" t="s">
        <v>716</v>
      </c>
      <c r="L282" s="36" t="s">
        <v>717</v>
      </c>
      <c r="M282" s="37" t="s">
        <v>718</v>
      </c>
      <c r="N282" s="37" t="s">
        <v>1764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1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1</v>
      </c>
      <c r="AH282" s="1">
        <f t="shared" si="118"/>
        <v>0</v>
      </c>
      <c r="AI282" s="1">
        <f t="shared" si="119"/>
        <v>1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1281</v>
      </c>
      <c r="E283" s="35" t="s">
        <v>563</v>
      </c>
      <c r="F283" s="35" t="s">
        <v>1282</v>
      </c>
      <c r="G283" s="35" t="s">
        <v>259</v>
      </c>
      <c r="H283" s="35" t="s">
        <v>355</v>
      </c>
      <c r="I283" s="34" t="s">
        <v>1283</v>
      </c>
      <c r="J283" s="34">
        <v>8</v>
      </c>
      <c r="K283" s="36" t="s">
        <v>958</v>
      </c>
      <c r="L283" s="36" t="s">
        <v>717</v>
      </c>
      <c r="M283" s="37" t="s">
        <v>718</v>
      </c>
      <c r="N283" s="37" t="s">
        <v>1756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1</v>
      </c>
      <c r="AA283" s="1">
        <f t="shared" si="128"/>
        <v>0</v>
      </c>
      <c r="AB283" s="1">
        <f t="shared" si="129"/>
        <v>0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48</v>
      </c>
      <c r="E284" s="48" t="s">
        <v>580</v>
      </c>
      <c r="F284" s="48" t="s">
        <v>190</v>
      </c>
      <c r="G284" s="48" t="s">
        <v>301</v>
      </c>
      <c r="H284" s="48" t="s">
        <v>355</v>
      </c>
      <c r="I284" s="47" t="s">
        <v>386</v>
      </c>
      <c r="J284" s="47">
        <v>99</v>
      </c>
      <c r="K284" s="49" t="s">
        <v>717</v>
      </c>
      <c r="L284" s="49" t="s">
        <v>717</v>
      </c>
      <c r="M284" s="50" t="s">
        <v>718</v>
      </c>
      <c r="N284" s="50" t="s">
        <v>1755</v>
      </c>
      <c r="O284" s="51"/>
      <c r="P284" s="51"/>
      <c r="Q284" s="48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0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0</v>
      </c>
      <c r="AF284" s="1">
        <f t="shared" si="116"/>
        <v>0</v>
      </c>
      <c r="AG284" s="1">
        <f t="shared" si="117"/>
        <v>0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57</v>
      </c>
      <c r="E285" s="16" t="s">
        <v>163</v>
      </c>
      <c r="F285" s="16" t="s">
        <v>669</v>
      </c>
      <c r="G285" s="16" t="s">
        <v>222</v>
      </c>
      <c r="H285" s="16" t="s">
        <v>355</v>
      </c>
      <c r="I285" s="15" t="s">
        <v>397</v>
      </c>
      <c r="J285" s="15">
        <v>99</v>
      </c>
      <c r="K285" s="10" t="s">
        <v>965</v>
      </c>
      <c r="L285" s="10" t="s">
        <v>717</v>
      </c>
      <c r="M285" s="19" t="s">
        <v>718</v>
      </c>
      <c r="N285" s="19"/>
      <c r="Q285" s="16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517</v>
      </c>
      <c r="E286" s="35" t="s">
        <v>563</v>
      </c>
      <c r="F286" s="35" t="s">
        <v>230</v>
      </c>
      <c r="G286" s="35" t="s">
        <v>231</v>
      </c>
      <c r="H286" s="35" t="s">
        <v>355</v>
      </c>
      <c r="I286" s="34" t="s">
        <v>401</v>
      </c>
      <c r="J286" s="34">
        <v>7</v>
      </c>
      <c r="K286" s="36" t="s">
        <v>958</v>
      </c>
      <c r="L286" s="36" t="s">
        <v>717</v>
      </c>
      <c r="M286" s="37" t="s">
        <v>718</v>
      </c>
      <c r="N286" s="37" t="s">
        <v>1757</v>
      </c>
      <c r="O286" s="38">
        <v>1</v>
      </c>
      <c r="P286" s="38"/>
      <c r="Q286" s="35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1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1</v>
      </c>
      <c r="AF286" s="1">
        <f t="shared" si="116"/>
        <v>0</v>
      </c>
      <c r="AG286" s="1">
        <f t="shared" si="117"/>
        <v>1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47">
        <v>0</v>
      </c>
      <c r="B287" s="47">
        <v>2</v>
      </c>
      <c r="C287" s="47">
        <v>1</v>
      </c>
      <c r="D287" s="48" t="s">
        <v>562</v>
      </c>
      <c r="E287" s="48" t="s">
        <v>563</v>
      </c>
      <c r="F287" s="48" t="s">
        <v>564</v>
      </c>
      <c r="G287" s="48" t="s">
        <v>209</v>
      </c>
      <c r="H287" s="48" t="s">
        <v>355</v>
      </c>
      <c r="I287" s="47" t="s">
        <v>565</v>
      </c>
      <c r="J287" s="47">
        <v>3</v>
      </c>
      <c r="K287" s="49" t="s">
        <v>716</v>
      </c>
      <c r="L287" s="49" t="s">
        <v>717</v>
      </c>
      <c r="M287" s="50" t="s">
        <v>718</v>
      </c>
      <c r="N287" s="50" t="s">
        <v>1755</v>
      </c>
      <c r="O287" s="51"/>
      <c r="P287" s="51"/>
      <c r="Q287" s="48"/>
      <c r="S287" s="1">
        <f t="shared" si="120"/>
        <v>0</v>
      </c>
      <c r="T287" s="1">
        <f t="shared" si="121"/>
        <v>0</v>
      </c>
      <c r="U287" s="1">
        <f t="shared" si="122"/>
        <v>1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0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0</v>
      </c>
      <c r="AF287" s="1">
        <f t="shared" si="116"/>
        <v>0</v>
      </c>
      <c r="AG287" s="1">
        <f t="shared" si="117"/>
        <v>0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0">
        <v>0</v>
      </c>
      <c r="B288" s="40">
        <v>2</v>
      </c>
      <c r="C288" s="40">
        <v>1</v>
      </c>
      <c r="D288" s="39" t="s">
        <v>1057</v>
      </c>
      <c r="E288" s="39" t="s">
        <v>32</v>
      </c>
      <c r="F288" s="39" t="s">
        <v>1285</v>
      </c>
      <c r="G288" s="39" t="s">
        <v>537</v>
      </c>
      <c r="H288" s="39" t="s">
        <v>355</v>
      </c>
      <c r="I288" s="40" t="s">
        <v>1286</v>
      </c>
      <c r="J288" s="40">
        <v>6</v>
      </c>
      <c r="K288" s="59" t="s">
        <v>717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9"/>
      <c r="S288" s="1">
        <f t="shared" si="120"/>
        <v>0</v>
      </c>
      <c r="T288" s="1">
        <f t="shared" si="121"/>
        <v>0</v>
      </c>
      <c r="U288" s="1">
        <f t="shared" si="122"/>
        <v>0</v>
      </c>
      <c r="V288" s="1">
        <f t="shared" si="123"/>
        <v>0</v>
      </c>
      <c r="W288" s="1">
        <f t="shared" si="124"/>
        <v>0</v>
      </c>
      <c r="X288" s="1">
        <f t="shared" si="125"/>
        <v>1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1</v>
      </c>
      <c r="AF288" s="1">
        <f t="shared" si="116"/>
        <v>0</v>
      </c>
      <c r="AG288" s="1">
        <f t="shared" si="117"/>
        <v>1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921</v>
      </c>
      <c r="E289" s="48" t="s">
        <v>1341</v>
      </c>
      <c r="F289" s="48" t="s">
        <v>793</v>
      </c>
      <c r="G289" s="48" t="s">
        <v>258</v>
      </c>
      <c r="H289" s="48" t="s">
        <v>355</v>
      </c>
      <c r="I289" s="47" t="s">
        <v>948</v>
      </c>
      <c r="J289" s="47">
        <v>99</v>
      </c>
      <c r="K289" s="49" t="s">
        <v>716</v>
      </c>
      <c r="L289" s="49" t="s">
        <v>717</v>
      </c>
      <c r="M289" s="50" t="s">
        <v>718</v>
      </c>
      <c r="N289" s="50" t="s">
        <v>1742</v>
      </c>
      <c r="O289" s="51"/>
      <c r="P289" s="51"/>
      <c r="Q289" s="48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0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0</v>
      </c>
      <c r="AF289" s="1">
        <f t="shared" si="116"/>
        <v>0</v>
      </c>
      <c r="AG289" s="1">
        <f t="shared" si="117"/>
        <v>0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1779</v>
      </c>
      <c r="E290" s="39" t="s">
        <v>1780</v>
      </c>
      <c r="F290" s="39" t="s">
        <v>1781</v>
      </c>
      <c r="G290" s="39" t="s">
        <v>181</v>
      </c>
      <c r="H290" s="39" t="s">
        <v>355</v>
      </c>
      <c r="I290" s="40" t="s">
        <v>1782</v>
      </c>
      <c r="J290" s="40"/>
      <c r="K290" s="59" t="s">
        <v>707</v>
      </c>
      <c r="L290" s="36">
        <v>4</v>
      </c>
      <c r="M290" s="37" t="s">
        <v>718</v>
      </c>
      <c r="N290" s="37" t="s">
        <v>1751</v>
      </c>
      <c r="O290" s="38">
        <v>1</v>
      </c>
      <c r="P290" s="38"/>
      <c r="Q290" s="39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1</v>
      </c>
      <c r="AF290" s="1">
        <f t="shared" si="116"/>
        <v>0</v>
      </c>
      <c r="AG290" s="1">
        <f t="shared" si="117"/>
        <v>1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34">
        <v>0</v>
      </c>
      <c r="B291" s="34">
        <v>2</v>
      </c>
      <c r="C291" s="34">
        <v>1</v>
      </c>
      <c r="D291" s="35" t="s">
        <v>621</v>
      </c>
      <c r="E291" s="35" t="s">
        <v>622</v>
      </c>
      <c r="F291" s="35" t="s">
        <v>623</v>
      </c>
      <c r="G291" s="35" t="s">
        <v>624</v>
      </c>
      <c r="H291" s="35" t="s">
        <v>355</v>
      </c>
      <c r="I291" s="34" t="s">
        <v>625</v>
      </c>
      <c r="J291" s="34">
        <v>99</v>
      </c>
      <c r="K291" s="36" t="s">
        <v>716</v>
      </c>
      <c r="L291" s="36" t="s">
        <v>717</v>
      </c>
      <c r="M291" s="37" t="s">
        <v>718</v>
      </c>
      <c r="N291" s="37" t="s">
        <v>1764</v>
      </c>
      <c r="O291" s="38">
        <v>1</v>
      </c>
      <c r="P291" s="38"/>
      <c r="Q291" s="35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1084</v>
      </c>
      <c r="E292" s="48" t="s">
        <v>1342</v>
      </c>
      <c r="F292" s="48" t="s">
        <v>1671</v>
      </c>
      <c r="G292" s="48" t="s">
        <v>191</v>
      </c>
      <c r="H292" s="48" t="s">
        <v>355</v>
      </c>
      <c r="I292" s="67" t="s">
        <v>1869</v>
      </c>
      <c r="J292" s="47">
        <v>99</v>
      </c>
      <c r="K292" s="49" t="s">
        <v>716</v>
      </c>
      <c r="L292" s="49" t="s">
        <v>717</v>
      </c>
      <c r="M292" s="50" t="s">
        <v>718</v>
      </c>
      <c r="N292" s="50" t="s">
        <v>1743</v>
      </c>
      <c r="O292" s="51"/>
      <c r="P292" s="51"/>
      <c r="Q292" s="48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0</v>
      </c>
      <c r="AF292" s="1">
        <f t="shared" si="116"/>
        <v>0</v>
      </c>
      <c r="AG292" s="1">
        <f t="shared" si="117"/>
        <v>0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15">
        <v>0</v>
      </c>
      <c r="B293" s="15">
        <v>2</v>
      </c>
      <c r="C293" s="15">
        <v>1</v>
      </c>
      <c r="D293" s="16" t="s">
        <v>653</v>
      </c>
      <c r="E293" s="16" t="s">
        <v>36</v>
      </c>
      <c r="F293" s="16" t="s">
        <v>670</v>
      </c>
      <c r="G293" s="16" t="s">
        <v>202</v>
      </c>
      <c r="H293" s="16" t="s">
        <v>355</v>
      </c>
      <c r="I293" s="15" t="s">
        <v>1009</v>
      </c>
      <c r="J293" s="15">
        <v>99</v>
      </c>
      <c r="K293" s="10" t="s">
        <v>707</v>
      </c>
      <c r="L293" s="10">
        <v>4</v>
      </c>
      <c r="M293" s="19" t="s">
        <v>718</v>
      </c>
      <c r="N293" s="17"/>
      <c r="Q293" s="16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1272</v>
      </c>
      <c r="E294" s="48" t="s">
        <v>1273</v>
      </c>
      <c r="F294" s="48" t="s">
        <v>1274</v>
      </c>
      <c r="G294" s="48" t="s">
        <v>1172</v>
      </c>
      <c r="H294" s="48" t="s">
        <v>355</v>
      </c>
      <c r="I294" s="47" t="s">
        <v>1275</v>
      </c>
      <c r="J294" s="47">
        <v>11</v>
      </c>
      <c r="K294" s="49" t="s">
        <v>707</v>
      </c>
      <c r="L294" s="49">
        <v>6</v>
      </c>
      <c r="M294" s="50" t="s">
        <v>1736</v>
      </c>
      <c r="N294" s="50" t="s">
        <v>1817</v>
      </c>
      <c r="O294" s="51"/>
      <c r="P294" s="51"/>
      <c r="Q294" s="48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34">
        <v>0</v>
      </c>
      <c r="B295" s="34">
        <v>2</v>
      </c>
      <c r="C295" s="34">
        <v>1</v>
      </c>
      <c r="D295" s="35" t="s">
        <v>1127</v>
      </c>
      <c r="E295" s="35" t="s">
        <v>1322</v>
      </c>
      <c r="F295" s="35" t="s">
        <v>1125</v>
      </c>
      <c r="G295" s="35" t="s">
        <v>231</v>
      </c>
      <c r="H295" s="35" t="s">
        <v>355</v>
      </c>
      <c r="I295" s="34" t="s">
        <v>1126</v>
      </c>
      <c r="J295" s="34">
        <v>7</v>
      </c>
      <c r="K295" s="36" t="s">
        <v>717</v>
      </c>
      <c r="L295" s="36" t="s">
        <v>1717</v>
      </c>
      <c r="M295" s="37" t="s">
        <v>718</v>
      </c>
      <c r="N295" s="37" t="s">
        <v>1764</v>
      </c>
      <c r="O295" s="38">
        <v>1</v>
      </c>
      <c r="P295" s="38"/>
      <c r="Q295" s="35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1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1</v>
      </c>
      <c r="AF295" s="1">
        <f t="shared" si="116"/>
        <v>0</v>
      </c>
      <c r="AG295" s="1">
        <f t="shared" si="117"/>
        <v>1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1012</v>
      </c>
      <c r="E296" s="35" t="s">
        <v>1344</v>
      </c>
      <c r="F296" s="35" t="s">
        <v>1013</v>
      </c>
      <c r="G296" s="35" t="s">
        <v>1104</v>
      </c>
      <c r="H296" s="35" t="s">
        <v>355</v>
      </c>
      <c r="I296" s="34" t="s">
        <v>409</v>
      </c>
      <c r="J296" s="34">
        <v>99</v>
      </c>
      <c r="K296" s="36" t="s">
        <v>717</v>
      </c>
      <c r="L296" s="36" t="s">
        <v>717</v>
      </c>
      <c r="M296" s="37" t="s">
        <v>718</v>
      </c>
      <c r="N296" s="37" t="s">
        <v>1751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0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1134</v>
      </c>
      <c r="E297" s="53" t="s">
        <v>563</v>
      </c>
      <c r="F297" s="53" t="s">
        <v>1362</v>
      </c>
      <c r="G297" s="53" t="s">
        <v>266</v>
      </c>
      <c r="H297" s="53" t="s">
        <v>355</v>
      </c>
      <c r="I297" s="52" t="s">
        <v>1135</v>
      </c>
      <c r="J297" s="52">
        <v>8</v>
      </c>
      <c r="K297" s="54" t="s">
        <v>716</v>
      </c>
      <c r="L297" s="54" t="s">
        <v>1717</v>
      </c>
      <c r="M297" s="55" t="s">
        <v>718</v>
      </c>
      <c r="N297" s="55" t="s">
        <v>1756</v>
      </c>
      <c r="O297" s="56">
        <v>1</v>
      </c>
      <c r="P297" s="56"/>
      <c r="Q297" s="53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1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47">
        <v>0</v>
      </c>
      <c r="B298" s="47">
        <v>2</v>
      </c>
      <c r="C298" s="47">
        <v>1</v>
      </c>
      <c r="D298" s="48" t="s">
        <v>1294</v>
      </c>
      <c r="E298" s="48" t="s">
        <v>1342</v>
      </c>
      <c r="F298" s="48" t="s">
        <v>1291</v>
      </c>
      <c r="G298" s="48" t="s">
        <v>1292</v>
      </c>
      <c r="H298" s="48" t="s">
        <v>355</v>
      </c>
      <c r="I298" s="47" t="s">
        <v>1293</v>
      </c>
      <c r="J298" s="47">
        <v>1</v>
      </c>
      <c r="K298" s="49" t="s">
        <v>716</v>
      </c>
      <c r="L298" s="49" t="s">
        <v>717</v>
      </c>
      <c r="M298" s="50" t="s">
        <v>718</v>
      </c>
      <c r="N298" s="50" t="s">
        <v>1746</v>
      </c>
      <c r="O298" s="51"/>
      <c r="P298" s="51"/>
      <c r="Q298" s="68" t="s">
        <v>1910</v>
      </c>
      <c r="S298" s="1">
        <f t="shared" si="120"/>
        <v>1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0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0</v>
      </c>
      <c r="AF298" s="1">
        <f t="shared" si="116"/>
        <v>0</v>
      </c>
      <c r="AG298" s="1">
        <f t="shared" si="117"/>
        <v>0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52</v>
      </c>
      <c r="E299" s="48" t="s">
        <v>32</v>
      </c>
      <c r="F299" s="48" t="s">
        <v>207</v>
      </c>
      <c r="G299" s="48" t="s">
        <v>208</v>
      </c>
      <c r="H299" s="48" t="s">
        <v>355</v>
      </c>
      <c r="I299" s="47" t="s">
        <v>392</v>
      </c>
      <c r="J299" s="47">
        <v>99</v>
      </c>
      <c r="K299" s="49" t="s">
        <v>716</v>
      </c>
      <c r="L299" s="49" t="s">
        <v>717</v>
      </c>
      <c r="M299" s="50" t="s">
        <v>718</v>
      </c>
      <c r="N299" s="50" t="s">
        <v>1755</v>
      </c>
      <c r="O299" s="51"/>
      <c r="P299" s="51"/>
      <c r="Q299" s="48"/>
      <c r="S299" s="1">
        <f t="shared" si="120"/>
        <v>0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0</v>
      </c>
      <c r="AF299" s="1">
        <f t="shared" si="116"/>
        <v>0</v>
      </c>
      <c r="AG299" s="1">
        <f t="shared" si="117"/>
        <v>0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73</v>
      </c>
      <c r="E300" s="48" t="s">
        <v>563</v>
      </c>
      <c r="F300" s="48" t="s">
        <v>1054</v>
      </c>
      <c r="G300" s="48" t="s">
        <v>191</v>
      </c>
      <c r="H300" s="48" t="s">
        <v>355</v>
      </c>
      <c r="I300" s="47" t="s">
        <v>422</v>
      </c>
      <c r="J300" s="47">
        <v>99</v>
      </c>
      <c r="K300" s="49" t="s">
        <v>958</v>
      </c>
      <c r="L300" s="49" t="s">
        <v>717</v>
      </c>
      <c r="M300" s="50" t="s">
        <v>718</v>
      </c>
      <c r="N300" s="50" t="s">
        <v>1743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47</v>
      </c>
      <c r="E301" s="16" t="s">
        <v>32</v>
      </c>
      <c r="F301" s="16" t="s">
        <v>188</v>
      </c>
      <c r="G301" s="16" t="s">
        <v>181</v>
      </c>
      <c r="H301" s="16" t="s">
        <v>355</v>
      </c>
      <c r="I301" s="15" t="s">
        <v>384</v>
      </c>
      <c r="J301" s="15">
        <v>10</v>
      </c>
      <c r="K301" s="10" t="s">
        <v>959</v>
      </c>
      <c r="L301" s="10" t="s">
        <v>717</v>
      </c>
      <c r="M301" s="19" t="s">
        <v>718</v>
      </c>
      <c r="N301" s="19"/>
      <c r="Q301" s="16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1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654</v>
      </c>
      <c r="E302" s="48" t="s">
        <v>161</v>
      </c>
      <c r="F302" s="48" t="s">
        <v>189</v>
      </c>
      <c r="G302" s="48" t="s">
        <v>671</v>
      </c>
      <c r="H302" s="48" t="s">
        <v>355</v>
      </c>
      <c r="I302" s="47" t="s">
        <v>385</v>
      </c>
      <c r="J302" s="47">
        <v>99</v>
      </c>
      <c r="K302" s="49" t="s">
        <v>716</v>
      </c>
      <c r="L302" s="49" t="s">
        <v>717</v>
      </c>
      <c r="M302" s="50" t="s">
        <v>718</v>
      </c>
      <c r="N302" s="50" t="s">
        <v>1745</v>
      </c>
      <c r="O302" s="51"/>
      <c r="P302" s="51"/>
      <c r="Q302" s="48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0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1">
        <v>0</v>
      </c>
      <c r="B303" s="41">
        <v>2</v>
      </c>
      <c r="C303" s="41">
        <v>1</v>
      </c>
      <c r="D303" s="42" t="s">
        <v>1312</v>
      </c>
      <c r="E303" s="42" t="s">
        <v>36</v>
      </c>
      <c r="F303" s="42" t="s">
        <v>1313</v>
      </c>
      <c r="G303" s="42" t="s">
        <v>259</v>
      </c>
      <c r="H303" s="42" t="s">
        <v>355</v>
      </c>
      <c r="I303" s="41" t="s">
        <v>1314</v>
      </c>
      <c r="J303" s="41">
        <v>8</v>
      </c>
      <c r="K303" s="43" t="s">
        <v>963</v>
      </c>
      <c r="L303" s="43" t="s">
        <v>717</v>
      </c>
      <c r="M303" s="44" t="s">
        <v>718</v>
      </c>
      <c r="N303" s="45"/>
      <c r="O303" s="46"/>
      <c r="P303" s="46">
        <v>1</v>
      </c>
      <c r="Q303" s="42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1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1</v>
      </c>
      <c r="AI303" s="1">
        <f t="shared" si="119"/>
        <v>0</v>
      </c>
    </row>
    <row r="304" spans="1:35" ht="14.25" customHeight="1" x14ac:dyDescent="0.25">
      <c r="A304" s="34">
        <v>0</v>
      </c>
      <c r="B304" s="34">
        <v>2</v>
      </c>
      <c r="C304" s="34">
        <v>1</v>
      </c>
      <c r="D304" s="35" t="s">
        <v>54</v>
      </c>
      <c r="E304" s="35" t="s">
        <v>563</v>
      </c>
      <c r="F304" s="35" t="s">
        <v>213</v>
      </c>
      <c r="G304" s="35" t="s">
        <v>214</v>
      </c>
      <c r="H304" s="35" t="s">
        <v>355</v>
      </c>
      <c r="I304" s="34" t="s">
        <v>394</v>
      </c>
      <c r="J304" s="34">
        <v>1</v>
      </c>
      <c r="K304" s="36" t="s">
        <v>959</v>
      </c>
      <c r="L304" s="36" t="s">
        <v>717</v>
      </c>
      <c r="M304" s="37" t="s">
        <v>39</v>
      </c>
      <c r="N304" s="37" t="s">
        <v>1751</v>
      </c>
      <c r="O304" s="38">
        <v>1</v>
      </c>
      <c r="P304" s="38"/>
      <c r="Q304" s="35"/>
      <c r="S304" s="1">
        <f t="shared" si="120"/>
        <v>1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0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1</v>
      </c>
      <c r="AF304" s="1">
        <f t="shared" si="116"/>
        <v>0</v>
      </c>
      <c r="AG304" s="1">
        <f t="shared" si="117"/>
        <v>1</v>
      </c>
      <c r="AH304" s="1">
        <f t="shared" si="118"/>
        <v>0</v>
      </c>
      <c r="AI304" s="1">
        <f t="shared" si="119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61</v>
      </c>
      <c r="E305" s="48" t="s">
        <v>545</v>
      </c>
      <c r="F305" s="48" t="s">
        <v>234</v>
      </c>
      <c r="G305" s="48" t="s">
        <v>205</v>
      </c>
      <c r="H305" s="48" t="s">
        <v>355</v>
      </c>
      <c r="I305" s="47" t="s">
        <v>402</v>
      </c>
      <c r="J305" s="47">
        <v>7</v>
      </c>
      <c r="K305" s="49" t="s">
        <v>716</v>
      </c>
      <c r="L305" s="49" t="s">
        <v>717</v>
      </c>
      <c r="M305" s="50" t="s">
        <v>718</v>
      </c>
      <c r="N305" s="50" t="s">
        <v>1746</v>
      </c>
      <c r="O305" s="51"/>
      <c r="P305" s="51"/>
      <c r="Q305" s="48"/>
      <c r="S305" s="1">
        <f t="shared" si="120"/>
        <v>0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1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0</v>
      </c>
      <c r="AF305" s="1">
        <f t="shared" si="116"/>
        <v>0</v>
      </c>
      <c r="AG305" s="1">
        <f t="shared" si="117"/>
        <v>0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52">
        <v>0</v>
      </c>
      <c r="B306" s="52">
        <v>2</v>
      </c>
      <c r="C306" s="52">
        <v>1</v>
      </c>
      <c r="D306" s="53" t="s">
        <v>1655</v>
      </c>
      <c r="E306" s="53" t="s">
        <v>563</v>
      </c>
      <c r="F306" s="53" t="s">
        <v>1366</v>
      </c>
      <c r="G306" s="53" t="s">
        <v>1292</v>
      </c>
      <c r="H306" s="53" t="s">
        <v>355</v>
      </c>
      <c r="I306" s="52" t="s">
        <v>1175</v>
      </c>
      <c r="J306" s="52">
        <v>99</v>
      </c>
      <c r="K306" s="54" t="s">
        <v>716</v>
      </c>
      <c r="L306" s="54" t="s">
        <v>717</v>
      </c>
      <c r="M306" s="55" t="s">
        <v>718</v>
      </c>
      <c r="N306" s="55" t="s">
        <v>1756</v>
      </c>
      <c r="O306" s="56">
        <v>1</v>
      </c>
      <c r="P306" s="56"/>
      <c r="Q306" s="58" t="s">
        <v>1909</v>
      </c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0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1</v>
      </c>
      <c r="AF306" s="1">
        <f t="shared" si="116"/>
        <v>0</v>
      </c>
      <c r="AG306" s="1">
        <f t="shared" si="117"/>
        <v>1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1790</v>
      </c>
      <c r="E307" s="53" t="s">
        <v>1791</v>
      </c>
      <c r="F307" s="53" t="s">
        <v>1792</v>
      </c>
      <c r="G307" s="53" t="s">
        <v>1793</v>
      </c>
      <c r="H307" s="53" t="s">
        <v>355</v>
      </c>
      <c r="I307" s="52"/>
      <c r="J307" s="52">
        <v>1</v>
      </c>
      <c r="K307" s="54" t="s">
        <v>707</v>
      </c>
      <c r="L307" s="54"/>
      <c r="M307" s="55"/>
      <c r="N307" s="55" t="s">
        <v>1751</v>
      </c>
      <c r="O307" s="56">
        <v>1</v>
      </c>
      <c r="P307" s="56"/>
      <c r="Q307" s="58" t="s">
        <v>1917</v>
      </c>
      <c r="S307" s="1">
        <f t="shared" si="120"/>
        <v>1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34">
        <v>0</v>
      </c>
      <c r="B308" s="34">
        <v>2</v>
      </c>
      <c r="C308" s="34">
        <v>1</v>
      </c>
      <c r="D308" s="35" t="s">
        <v>1326</v>
      </c>
      <c r="E308" s="35" t="s">
        <v>1346</v>
      </c>
      <c r="F308" s="35" t="s">
        <v>1309</v>
      </c>
      <c r="G308" s="35" t="s">
        <v>1310</v>
      </c>
      <c r="H308" s="35" t="s">
        <v>355</v>
      </c>
      <c r="I308" s="34" t="s">
        <v>1311</v>
      </c>
      <c r="J308" s="34">
        <v>99</v>
      </c>
      <c r="K308" s="36" t="s">
        <v>959</v>
      </c>
      <c r="L308" s="36" t="s">
        <v>717</v>
      </c>
      <c r="M308" s="37" t="s">
        <v>718</v>
      </c>
      <c r="N308" s="37" t="s">
        <v>1927</v>
      </c>
      <c r="O308" s="38">
        <v>1</v>
      </c>
      <c r="P308" s="38"/>
      <c r="Q308" s="35"/>
      <c r="S308" s="1">
        <f t="shared" si="120"/>
        <v>0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47">
        <v>0</v>
      </c>
      <c r="B309" s="47">
        <v>2</v>
      </c>
      <c r="C309" s="47">
        <v>1</v>
      </c>
      <c r="D309" s="48" t="s">
        <v>1321</v>
      </c>
      <c r="E309" s="48" t="s">
        <v>161</v>
      </c>
      <c r="F309" s="48" t="s">
        <v>1323</v>
      </c>
      <c r="G309" s="48" t="s">
        <v>1324</v>
      </c>
      <c r="H309" s="48" t="s">
        <v>355</v>
      </c>
      <c r="I309" s="47" t="s">
        <v>1325</v>
      </c>
      <c r="J309" s="47">
        <v>8</v>
      </c>
      <c r="K309" s="49" t="s">
        <v>717</v>
      </c>
      <c r="L309" s="49" t="s">
        <v>717</v>
      </c>
      <c r="M309" s="50" t="s">
        <v>718</v>
      </c>
      <c r="N309" s="50" t="s">
        <v>1755</v>
      </c>
      <c r="O309" s="51"/>
      <c r="P309" s="51"/>
      <c r="Q309" s="48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1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0</v>
      </c>
      <c r="AF309" s="1">
        <f t="shared" si="116"/>
        <v>0</v>
      </c>
      <c r="AG309" s="1">
        <f t="shared" si="117"/>
        <v>0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2</v>
      </c>
      <c r="D310" s="48" t="s">
        <v>1654</v>
      </c>
      <c r="E310" s="48" t="s">
        <v>1176</v>
      </c>
      <c r="F310" s="48" t="s">
        <v>1688</v>
      </c>
      <c r="G310" s="48" t="s">
        <v>191</v>
      </c>
      <c r="H310" s="48" t="s">
        <v>355</v>
      </c>
      <c r="I310" s="47" t="s">
        <v>1615</v>
      </c>
      <c r="J310" s="47">
        <v>99</v>
      </c>
      <c r="K310" s="49" t="s">
        <v>717</v>
      </c>
      <c r="L310" s="49" t="s">
        <v>700</v>
      </c>
      <c r="M310" s="50" t="s">
        <v>1616</v>
      </c>
      <c r="N310" s="50" t="s">
        <v>1746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0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52">
        <v>0</v>
      </c>
      <c r="B311" s="52">
        <v>2</v>
      </c>
      <c r="C311" s="52">
        <v>2</v>
      </c>
      <c r="D311" s="53" t="s">
        <v>65</v>
      </c>
      <c r="E311" s="53" t="s">
        <v>165</v>
      </c>
      <c r="F311" s="53" t="s">
        <v>244</v>
      </c>
      <c r="G311" s="53" t="s">
        <v>201</v>
      </c>
      <c r="H311" s="53" t="s">
        <v>355</v>
      </c>
      <c r="I311" s="52" t="s">
        <v>408</v>
      </c>
      <c r="J311" s="52">
        <v>2</v>
      </c>
      <c r="K311" s="54" t="s">
        <v>959</v>
      </c>
      <c r="L311" s="54" t="s">
        <v>700</v>
      </c>
      <c r="M311" s="55" t="s">
        <v>719</v>
      </c>
      <c r="N311" s="55" t="s">
        <v>1751</v>
      </c>
      <c r="O311" s="56">
        <v>1</v>
      </c>
      <c r="P311" s="56"/>
      <c r="Q311" s="53"/>
      <c r="S311" s="1">
        <f t="shared" si="120"/>
        <v>0</v>
      </c>
      <c r="T311" s="1">
        <f t="shared" si="121"/>
        <v>1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1</v>
      </c>
      <c r="AF311" s="1">
        <f t="shared" si="116"/>
        <v>0</v>
      </c>
      <c r="AG311" s="1">
        <f t="shared" si="117"/>
        <v>1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1190</v>
      </c>
      <c r="E312" s="48" t="s">
        <v>1191</v>
      </c>
      <c r="F312" s="48" t="s">
        <v>1356</v>
      </c>
      <c r="G312" s="48" t="s">
        <v>1060</v>
      </c>
      <c r="H312" s="48" t="s">
        <v>355</v>
      </c>
      <c r="I312" s="47" t="s">
        <v>1192</v>
      </c>
      <c r="J312" s="47">
        <v>1</v>
      </c>
      <c r="K312" s="49" t="s">
        <v>716</v>
      </c>
      <c r="L312" s="49" t="s">
        <v>708</v>
      </c>
      <c r="M312" s="50" t="s">
        <v>1420</v>
      </c>
      <c r="N312" s="50" t="s">
        <v>1743</v>
      </c>
      <c r="O312" s="51"/>
      <c r="P312" s="51"/>
      <c r="Q312" s="48"/>
      <c r="S312" s="1">
        <f t="shared" si="120"/>
        <v>1</v>
      </c>
      <c r="T312" s="1">
        <f t="shared" si="121"/>
        <v>0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0</v>
      </c>
      <c r="AF312" s="1">
        <f t="shared" si="116"/>
        <v>0</v>
      </c>
      <c r="AG312" s="1">
        <f t="shared" si="117"/>
        <v>0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34">
        <v>0</v>
      </c>
      <c r="B313" s="34">
        <v>2</v>
      </c>
      <c r="C313" s="34">
        <v>2</v>
      </c>
      <c r="D313" s="35" t="s">
        <v>1836</v>
      </c>
      <c r="E313" s="35" t="s">
        <v>1837</v>
      </c>
      <c r="F313" s="35" t="s">
        <v>1838</v>
      </c>
      <c r="G313" s="35" t="s">
        <v>197</v>
      </c>
      <c r="H313" s="35" t="s">
        <v>355</v>
      </c>
      <c r="I313" s="34" t="s">
        <v>1839</v>
      </c>
      <c r="J313" s="34"/>
      <c r="K313" s="36" t="s">
        <v>707</v>
      </c>
      <c r="L313" s="36">
        <v>20</v>
      </c>
      <c r="M313" s="37" t="s">
        <v>1840</v>
      </c>
      <c r="N313" s="37" t="s">
        <v>1756</v>
      </c>
      <c r="O313" s="38">
        <v>1</v>
      </c>
      <c r="P313" s="38"/>
      <c r="Q313" s="35"/>
      <c r="S313" s="1">
        <f t="shared" si="120"/>
        <v>0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1</v>
      </c>
      <c r="AF313" s="1">
        <f t="shared" si="116"/>
        <v>0</v>
      </c>
      <c r="AG313" s="1">
        <f t="shared" si="117"/>
        <v>1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15">
        <v>0</v>
      </c>
      <c r="B314" s="15">
        <v>2</v>
      </c>
      <c r="C314" s="15">
        <v>2</v>
      </c>
      <c r="D314" s="16" t="s">
        <v>1584</v>
      </c>
      <c r="E314" s="16" t="s">
        <v>1585</v>
      </c>
      <c r="F314" s="16" t="s">
        <v>1587</v>
      </c>
      <c r="G314" s="16" t="s">
        <v>1588</v>
      </c>
      <c r="H314" s="16" t="s">
        <v>355</v>
      </c>
      <c r="I314" s="15" t="s">
        <v>1586</v>
      </c>
      <c r="J314" s="15">
        <v>99</v>
      </c>
      <c r="K314" s="10" t="s">
        <v>707</v>
      </c>
      <c r="L314" s="10">
        <v>18</v>
      </c>
      <c r="M314" s="19" t="s">
        <v>1589</v>
      </c>
      <c r="N314" s="17"/>
      <c r="Q314" s="16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0</v>
      </c>
      <c r="AF314" s="1">
        <f t="shared" si="116"/>
        <v>0</v>
      </c>
      <c r="AG314" s="1">
        <f t="shared" si="117"/>
        <v>0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52">
        <v>0</v>
      </c>
      <c r="B315" s="52">
        <v>2</v>
      </c>
      <c r="C315" s="52">
        <v>2</v>
      </c>
      <c r="D315" s="53" t="s">
        <v>64</v>
      </c>
      <c r="E315" s="53" t="s">
        <v>33</v>
      </c>
      <c r="F315" s="53" t="s">
        <v>242</v>
      </c>
      <c r="G315" s="53" t="s">
        <v>243</v>
      </c>
      <c r="H315" s="53" t="s">
        <v>355</v>
      </c>
      <c r="I315" s="52" t="s">
        <v>407</v>
      </c>
      <c r="J315" s="52">
        <v>1</v>
      </c>
      <c r="K315" s="54" t="s">
        <v>965</v>
      </c>
      <c r="L315" s="54" t="s">
        <v>720</v>
      </c>
      <c r="M315" s="55" t="s">
        <v>721</v>
      </c>
      <c r="N315" s="55" t="s">
        <v>1751</v>
      </c>
      <c r="O315" s="56">
        <v>1</v>
      </c>
      <c r="P315" s="56"/>
      <c r="Q315" s="53"/>
      <c r="S315" s="1">
        <f t="shared" si="120"/>
        <v>1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1</v>
      </c>
      <c r="AF315" s="1">
        <f t="shared" si="116"/>
        <v>0</v>
      </c>
      <c r="AG315" s="1">
        <f t="shared" si="117"/>
        <v>1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62</v>
      </c>
      <c r="E316" s="53" t="s">
        <v>1090</v>
      </c>
      <c r="F316" s="53" t="s">
        <v>235</v>
      </c>
      <c r="G316" s="53" t="s">
        <v>236</v>
      </c>
      <c r="H316" s="53" t="s">
        <v>355</v>
      </c>
      <c r="I316" s="52" t="s">
        <v>1373</v>
      </c>
      <c r="J316" s="52">
        <v>99</v>
      </c>
      <c r="K316" s="54" t="s">
        <v>959</v>
      </c>
      <c r="L316" s="54" t="s">
        <v>720</v>
      </c>
      <c r="M316" s="55" t="s">
        <v>722</v>
      </c>
      <c r="N316" s="55" t="s">
        <v>1751</v>
      </c>
      <c r="O316" s="56">
        <v>1</v>
      </c>
      <c r="P316" s="56"/>
      <c r="Q316" s="53"/>
      <c r="S316" s="1">
        <f t="shared" si="120"/>
        <v>0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1724</v>
      </c>
      <c r="E317" s="35" t="s">
        <v>1726</v>
      </c>
      <c r="F317" s="35" t="s">
        <v>1725</v>
      </c>
      <c r="G317" s="35"/>
      <c r="H317" s="35" t="s">
        <v>355</v>
      </c>
      <c r="I317" s="34" t="s">
        <v>1727</v>
      </c>
      <c r="J317" s="34"/>
      <c r="K317" s="36" t="s">
        <v>707</v>
      </c>
      <c r="L317" s="36"/>
      <c r="M317" s="37"/>
      <c r="N317" s="37" t="s">
        <v>1735</v>
      </c>
      <c r="O317" s="38">
        <v>1</v>
      </c>
      <c r="P317" s="38">
        <v>1</v>
      </c>
      <c r="Q317" s="35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1</v>
      </c>
      <c r="AE317" s="1">
        <f t="shared" si="131"/>
        <v>0</v>
      </c>
      <c r="AF317" s="1">
        <f t="shared" si="116"/>
        <v>1</v>
      </c>
      <c r="AG317" s="1">
        <f t="shared" si="117"/>
        <v>0</v>
      </c>
      <c r="AH317" s="1">
        <f t="shared" si="118"/>
        <v>1</v>
      </c>
      <c r="AI317" s="1">
        <f t="shared" si="119"/>
        <v>0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791</v>
      </c>
      <c r="E318" s="48" t="s">
        <v>913</v>
      </c>
      <c r="F318" s="48" t="s">
        <v>1579</v>
      </c>
      <c r="G318" s="48" t="s">
        <v>231</v>
      </c>
      <c r="H318" s="48" t="s">
        <v>355</v>
      </c>
      <c r="I318" s="47" t="s">
        <v>1702</v>
      </c>
      <c r="J318" s="47">
        <v>7</v>
      </c>
      <c r="K318" s="49" t="s">
        <v>717</v>
      </c>
      <c r="L318" s="49">
        <v>20</v>
      </c>
      <c r="M318" s="50" t="s">
        <v>39</v>
      </c>
      <c r="N318" s="50" t="s">
        <v>1742</v>
      </c>
      <c r="O318" s="51"/>
      <c r="P318" s="51"/>
      <c r="Q318" s="48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1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0</v>
      </c>
      <c r="AE318" s="1">
        <f t="shared" si="131"/>
        <v>0</v>
      </c>
      <c r="AF318" s="1">
        <f t="shared" si="116"/>
        <v>0</v>
      </c>
      <c r="AG318" s="1">
        <f t="shared" si="117"/>
        <v>0</v>
      </c>
      <c r="AH318" s="1">
        <f t="shared" si="118"/>
        <v>0</v>
      </c>
      <c r="AI318" s="1">
        <f t="shared" si="119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856</v>
      </c>
      <c r="E319" s="35" t="s">
        <v>543</v>
      </c>
      <c r="F319" s="35" t="s">
        <v>858</v>
      </c>
      <c r="G319" s="35" t="s">
        <v>221</v>
      </c>
      <c r="H319" s="35" t="s">
        <v>355</v>
      </c>
      <c r="I319" s="34" t="s">
        <v>859</v>
      </c>
      <c r="J319" s="34">
        <v>8</v>
      </c>
      <c r="K319" s="36" t="s">
        <v>717</v>
      </c>
      <c r="L319" s="36" t="s">
        <v>720</v>
      </c>
      <c r="M319" s="37" t="s">
        <v>1421</v>
      </c>
      <c r="N319" s="37" t="s">
        <v>1751</v>
      </c>
      <c r="O319" s="38">
        <v>1</v>
      </c>
      <c r="P319" s="38"/>
      <c r="Q319" s="35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0</v>
      </c>
      <c r="Z319" s="1">
        <f t="shared" si="127"/>
        <v>1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1</v>
      </c>
      <c r="AF319" s="1">
        <f t="shared" si="116"/>
        <v>0</v>
      </c>
      <c r="AG319" s="1">
        <f t="shared" si="117"/>
        <v>1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1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1361</v>
      </c>
      <c r="G320" s="35" t="s">
        <v>195</v>
      </c>
      <c r="H320" s="35" t="s">
        <v>355</v>
      </c>
      <c r="I320" s="34" t="s">
        <v>857</v>
      </c>
      <c r="J320" s="34">
        <v>9</v>
      </c>
      <c r="K320" s="36" t="s">
        <v>717</v>
      </c>
      <c r="L320" s="36" t="s">
        <v>720</v>
      </c>
      <c r="M320" s="37" t="s">
        <v>1421</v>
      </c>
      <c r="N320" s="37" t="s">
        <v>1751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0</v>
      </c>
      <c r="AA320" s="1">
        <f t="shared" si="128"/>
        <v>1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0</v>
      </c>
      <c r="AH320" s="1">
        <f t="shared" si="118"/>
        <v>0</v>
      </c>
      <c r="AI320" s="1">
        <f t="shared" si="119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922</v>
      </c>
      <c r="E321" s="48" t="s">
        <v>789</v>
      </c>
      <c r="F321" s="48" t="s">
        <v>790</v>
      </c>
      <c r="G321" s="48" t="s">
        <v>231</v>
      </c>
      <c r="H321" s="48" t="s">
        <v>355</v>
      </c>
      <c r="I321" s="47" t="s">
        <v>792</v>
      </c>
      <c r="J321" s="47">
        <v>7</v>
      </c>
      <c r="K321" s="49" t="s">
        <v>716</v>
      </c>
      <c r="L321" s="49">
        <v>15</v>
      </c>
      <c r="M321" s="50" t="s">
        <v>39</v>
      </c>
      <c r="N321" s="50" t="s">
        <v>1743</v>
      </c>
      <c r="O321" s="51"/>
      <c r="P321" s="51"/>
      <c r="Q321" s="48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1</v>
      </c>
      <c r="Z321" s="1">
        <f t="shared" si="127"/>
        <v>0</v>
      </c>
      <c r="AA321" s="1">
        <f t="shared" si="128"/>
        <v>0</v>
      </c>
      <c r="AB321" s="1">
        <f t="shared" si="129"/>
        <v>0</v>
      </c>
      <c r="AD321" s="1">
        <f t="shared" si="130"/>
        <v>0</v>
      </c>
      <c r="AE321" s="1">
        <f t="shared" si="131"/>
        <v>0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1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83</v>
      </c>
      <c r="E322" s="48" t="s">
        <v>158</v>
      </c>
      <c r="F322" s="68" t="s">
        <v>1880</v>
      </c>
      <c r="G322" s="48" t="s">
        <v>210</v>
      </c>
      <c r="H322" s="48" t="s">
        <v>355</v>
      </c>
      <c r="I322" s="47" t="s">
        <v>433</v>
      </c>
      <c r="J322" s="47">
        <v>99</v>
      </c>
      <c r="K322" s="49" t="s">
        <v>958</v>
      </c>
      <c r="L322" s="49" t="s">
        <v>708</v>
      </c>
      <c r="M322" s="50" t="s">
        <v>723</v>
      </c>
      <c r="N322" s="50" t="s">
        <v>1743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0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1">
        <v>0</v>
      </c>
      <c r="B323" s="41">
        <v>2</v>
      </c>
      <c r="C323" s="41">
        <v>2</v>
      </c>
      <c r="D323" s="42" t="s">
        <v>1572</v>
      </c>
      <c r="E323" s="42" t="s">
        <v>1342</v>
      </c>
      <c r="F323" s="42" t="s">
        <v>1573</v>
      </c>
      <c r="G323" s="42" t="s">
        <v>1173</v>
      </c>
      <c r="H323" s="42" t="s">
        <v>355</v>
      </c>
      <c r="I323" s="41" t="s">
        <v>1574</v>
      </c>
      <c r="J323" s="41">
        <v>1</v>
      </c>
      <c r="K323" s="43" t="s">
        <v>717</v>
      </c>
      <c r="L323" s="43" t="s">
        <v>39</v>
      </c>
      <c r="M323" s="44" t="s">
        <v>39</v>
      </c>
      <c r="N323" s="45"/>
      <c r="O323" s="46"/>
      <c r="P323" s="46">
        <v>1</v>
      </c>
      <c r="Q323" s="42"/>
      <c r="S323" s="1">
        <f t="shared" si="120"/>
        <v>1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1</v>
      </c>
      <c r="AI323" s="1">
        <f t="shared" si="119"/>
        <v>0</v>
      </c>
    </row>
    <row r="324" spans="1:35" ht="14.25" customHeight="1" x14ac:dyDescent="0.25">
      <c r="A324" s="34">
        <v>0</v>
      </c>
      <c r="B324" s="34">
        <v>2</v>
      </c>
      <c r="C324" s="34">
        <v>2</v>
      </c>
      <c r="D324" s="35" t="s">
        <v>1752</v>
      </c>
      <c r="E324" s="35" t="s">
        <v>27</v>
      </c>
      <c r="F324" s="35" t="s">
        <v>1048</v>
      </c>
      <c r="G324" s="35" t="s">
        <v>221</v>
      </c>
      <c r="H324" s="35" t="s">
        <v>355</v>
      </c>
      <c r="I324" s="34" t="s">
        <v>1049</v>
      </c>
      <c r="J324" s="34">
        <v>8</v>
      </c>
      <c r="K324" s="36" t="s">
        <v>717</v>
      </c>
      <c r="L324" s="36">
        <v>25</v>
      </c>
      <c r="M324" s="37" t="s">
        <v>1753</v>
      </c>
      <c r="N324" s="37" t="s">
        <v>1735</v>
      </c>
      <c r="O324" s="38">
        <v>1</v>
      </c>
      <c r="P324" s="38">
        <v>1</v>
      </c>
      <c r="Q324" s="35"/>
      <c r="S324" s="1">
        <f t="shared" si="120"/>
        <v>0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1</v>
      </c>
      <c r="AA324" s="1">
        <f t="shared" si="128"/>
        <v>0</v>
      </c>
      <c r="AB324" s="1">
        <f t="shared" si="129"/>
        <v>0</v>
      </c>
      <c r="AD324" s="1">
        <f t="shared" si="130"/>
        <v>1</v>
      </c>
      <c r="AE324" s="1">
        <f t="shared" si="131"/>
        <v>0</v>
      </c>
      <c r="AF324" s="1">
        <f t="shared" si="116"/>
        <v>1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45</v>
      </c>
      <c r="E325" s="35" t="s">
        <v>44</v>
      </c>
      <c r="F325" s="35" t="s">
        <v>672</v>
      </c>
      <c r="G325" s="35" t="s">
        <v>181</v>
      </c>
      <c r="H325" s="35" t="s">
        <v>355</v>
      </c>
      <c r="I325" s="34" t="s">
        <v>953</v>
      </c>
      <c r="J325" s="34">
        <v>10</v>
      </c>
      <c r="K325" s="36" t="s">
        <v>717</v>
      </c>
      <c r="L325" s="36" t="s">
        <v>724</v>
      </c>
      <c r="M325" s="37" t="s">
        <v>725</v>
      </c>
      <c r="N325" s="37" t="s">
        <v>1735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0</v>
      </c>
      <c r="AA325" s="1">
        <f t="shared" si="128"/>
        <v>0</v>
      </c>
      <c r="AB325" s="1">
        <f t="shared" si="129"/>
        <v>1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1456</v>
      </c>
      <c r="E326" s="35" t="s">
        <v>1661</v>
      </c>
      <c r="F326" s="35" t="s">
        <v>1676</v>
      </c>
      <c r="G326" s="35" t="s">
        <v>231</v>
      </c>
      <c r="H326" s="35" t="s">
        <v>355</v>
      </c>
      <c r="I326" s="34" t="s">
        <v>1457</v>
      </c>
      <c r="J326" s="34">
        <v>99</v>
      </c>
      <c r="K326" s="36" t="s">
        <v>959</v>
      </c>
      <c r="L326" s="36">
        <v>20</v>
      </c>
      <c r="M326" s="37" t="s">
        <v>39</v>
      </c>
      <c r="N326" s="37" t="s">
        <v>1735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0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52">
        <v>0</v>
      </c>
      <c r="B327" s="52">
        <v>2</v>
      </c>
      <c r="C327" s="52">
        <v>2</v>
      </c>
      <c r="D327" s="53" t="s">
        <v>608</v>
      </c>
      <c r="E327" s="53" t="s">
        <v>609</v>
      </c>
      <c r="F327" s="53" t="s">
        <v>610</v>
      </c>
      <c r="G327" s="53" t="s">
        <v>258</v>
      </c>
      <c r="H327" s="53" t="s">
        <v>355</v>
      </c>
      <c r="I327" s="52" t="s">
        <v>611</v>
      </c>
      <c r="J327" s="52">
        <v>99</v>
      </c>
      <c r="K327" s="54" t="s">
        <v>959</v>
      </c>
      <c r="L327" s="54" t="s">
        <v>708</v>
      </c>
      <c r="M327" s="55" t="s">
        <v>1422</v>
      </c>
      <c r="N327" s="55" t="s">
        <v>1751</v>
      </c>
      <c r="O327" s="56">
        <v>1</v>
      </c>
      <c r="P327" s="56"/>
      <c r="Q327" s="53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0</v>
      </c>
      <c r="AE327" s="1">
        <f t="shared" si="131"/>
        <v>1</v>
      </c>
      <c r="AF327" s="1">
        <f t="shared" si="116"/>
        <v>0</v>
      </c>
      <c r="AG327" s="1">
        <f t="shared" si="117"/>
        <v>1</v>
      </c>
      <c r="AH327" s="1">
        <f t="shared" si="118"/>
        <v>0</v>
      </c>
      <c r="AI327" s="1">
        <f t="shared" si="119"/>
        <v>1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1933</v>
      </c>
      <c r="E328" s="35" t="s">
        <v>1934</v>
      </c>
      <c r="F328" s="35" t="s">
        <v>1935</v>
      </c>
      <c r="G328" s="35" t="s">
        <v>185</v>
      </c>
      <c r="H328" s="35" t="s">
        <v>355</v>
      </c>
      <c r="I328" s="34" t="s">
        <v>1937</v>
      </c>
      <c r="J328" s="34">
        <v>99</v>
      </c>
      <c r="K328" s="36" t="s">
        <v>707</v>
      </c>
      <c r="L328" s="36"/>
      <c r="M328" s="37"/>
      <c r="N328" s="37" t="s">
        <v>1735</v>
      </c>
      <c r="O328" s="38">
        <v>1</v>
      </c>
      <c r="P328" s="38">
        <v>1</v>
      </c>
      <c r="Q328" s="35" t="s">
        <v>1936</v>
      </c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1</v>
      </c>
      <c r="AE328" s="1">
        <f t="shared" si="131"/>
        <v>0</v>
      </c>
      <c r="AF328" s="1">
        <f t="shared" si="116"/>
        <v>1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47">
        <v>0</v>
      </c>
      <c r="B329" s="47">
        <v>2</v>
      </c>
      <c r="C329" s="47">
        <v>2</v>
      </c>
      <c r="D329" s="48" t="s">
        <v>1651</v>
      </c>
      <c r="E329" s="48" t="s">
        <v>1176</v>
      </c>
      <c r="F329" s="48" t="s">
        <v>1682</v>
      </c>
      <c r="G329" s="48" t="s">
        <v>181</v>
      </c>
      <c r="H329" s="48" t="s">
        <v>355</v>
      </c>
      <c r="I329" s="47" t="s">
        <v>1502</v>
      </c>
      <c r="J329" s="47">
        <v>10</v>
      </c>
      <c r="K329" s="49" t="s">
        <v>716</v>
      </c>
      <c r="L329" s="49">
        <v>15</v>
      </c>
      <c r="M329" s="50" t="s">
        <v>39</v>
      </c>
      <c r="N329" s="50" t="s">
        <v>1748</v>
      </c>
      <c r="O329" s="51"/>
      <c r="P329" s="51"/>
      <c r="Q329" s="48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1</v>
      </c>
      <c r="AD329" s="1">
        <f t="shared" si="130"/>
        <v>0</v>
      </c>
      <c r="AE329" s="1">
        <f t="shared" si="131"/>
        <v>0</v>
      </c>
      <c r="AF329" s="1">
        <f t="shared" si="116"/>
        <v>0</v>
      </c>
      <c r="AG329" s="1">
        <f t="shared" si="117"/>
        <v>0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47">
        <v>0</v>
      </c>
      <c r="B330" s="47">
        <v>2</v>
      </c>
      <c r="C330" s="47">
        <v>2</v>
      </c>
      <c r="D330" s="48" t="s">
        <v>866</v>
      </c>
      <c r="E330" s="48" t="s">
        <v>546</v>
      </c>
      <c r="F330" s="48" t="s">
        <v>867</v>
      </c>
      <c r="G330" s="48" t="s">
        <v>315</v>
      </c>
      <c r="H330" s="48" t="s">
        <v>355</v>
      </c>
      <c r="I330" s="47" t="s">
        <v>868</v>
      </c>
      <c r="J330" s="47">
        <v>1</v>
      </c>
      <c r="K330" s="49" t="s">
        <v>716</v>
      </c>
      <c r="L330" s="49">
        <v>25</v>
      </c>
      <c r="M330" s="50" t="s">
        <v>39</v>
      </c>
      <c r="N330" s="50" t="s">
        <v>1743</v>
      </c>
      <c r="O330" s="51"/>
      <c r="P330" s="51"/>
      <c r="Q330" s="48"/>
      <c r="S330" s="1">
        <f t="shared" si="120"/>
        <v>1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0</v>
      </c>
      <c r="AE330" s="1">
        <f t="shared" si="131"/>
        <v>0</v>
      </c>
      <c r="AF330" s="1">
        <f t="shared" si="116"/>
        <v>0</v>
      </c>
      <c r="AG330" s="1">
        <f t="shared" si="117"/>
        <v>0</v>
      </c>
      <c r="AH330" s="1">
        <f t="shared" si="118"/>
        <v>0</v>
      </c>
      <c r="AI330" s="1">
        <f t="shared" si="119"/>
        <v>1</v>
      </c>
    </row>
    <row r="331" spans="1:35" ht="14.25" customHeight="1" x14ac:dyDescent="0.25">
      <c r="A331" s="34">
        <v>0</v>
      </c>
      <c r="B331" s="34">
        <v>2</v>
      </c>
      <c r="C331" s="34">
        <v>3</v>
      </c>
      <c r="D331" s="35" t="s">
        <v>570</v>
      </c>
      <c r="E331" s="35" t="s">
        <v>38</v>
      </c>
      <c r="F331" s="35" t="s">
        <v>238</v>
      </c>
      <c r="G331" s="35" t="s">
        <v>541</v>
      </c>
      <c r="H331" s="35" t="s">
        <v>355</v>
      </c>
      <c r="I331" s="34" t="s">
        <v>404</v>
      </c>
      <c r="J331" s="34">
        <v>1</v>
      </c>
      <c r="K331" s="36" t="s">
        <v>716</v>
      </c>
      <c r="L331" s="36" t="s">
        <v>728</v>
      </c>
      <c r="M331" s="37" t="s">
        <v>729</v>
      </c>
      <c r="N331" s="37" t="s">
        <v>1735</v>
      </c>
      <c r="O331" s="38">
        <v>1</v>
      </c>
      <c r="P331" s="38">
        <v>1</v>
      </c>
      <c r="Q331" s="35"/>
      <c r="S331" s="1">
        <f t="shared" si="120"/>
        <v>1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0</v>
      </c>
      <c r="AD331" s="1">
        <f t="shared" si="130"/>
        <v>1</v>
      </c>
      <c r="AE331" s="1">
        <f t="shared" si="131"/>
        <v>0</v>
      </c>
      <c r="AF331" s="1">
        <f t="shared" ref="AF331:AF394" si="132">+O331*P331*(1-A331)</f>
        <v>1</v>
      </c>
      <c r="AG331" s="1">
        <f t="shared" ref="AG331:AG394" si="133">O331*(1-P331)*(1-A331)</f>
        <v>0</v>
      </c>
      <c r="AH331" s="1">
        <f t="shared" ref="AH331:AH394" si="134">+P331*(1-A331)</f>
        <v>1</v>
      </c>
      <c r="AI331" s="1">
        <f t="shared" ref="AI331:AI394" si="135">+(1-A331)*(1-P331)</f>
        <v>0</v>
      </c>
    </row>
    <row r="332" spans="1:35" ht="14.25" customHeight="1" x14ac:dyDescent="0.25">
      <c r="A332" s="47">
        <v>0</v>
      </c>
      <c r="B332" s="47">
        <v>2</v>
      </c>
      <c r="C332" s="47">
        <v>3</v>
      </c>
      <c r="D332" s="48" t="s">
        <v>854</v>
      </c>
      <c r="E332" s="48" t="s">
        <v>34</v>
      </c>
      <c r="F332" s="48" t="s">
        <v>930</v>
      </c>
      <c r="G332" s="48" t="s">
        <v>640</v>
      </c>
      <c r="H332" s="48" t="s">
        <v>355</v>
      </c>
      <c r="I332" s="47" t="s">
        <v>855</v>
      </c>
      <c r="J332" s="47">
        <v>1</v>
      </c>
      <c r="K332" s="49" t="s">
        <v>958</v>
      </c>
      <c r="L332" s="49" t="s">
        <v>733</v>
      </c>
      <c r="M332" s="50" t="s">
        <v>727</v>
      </c>
      <c r="N332" s="50" t="s">
        <v>1743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47">
        <v>0</v>
      </c>
      <c r="B333" s="47">
        <v>2</v>
      </c>
      <c r="C333" s="47">
        <v>3</v>
      </c>
      <c r="D333" s="48" t="s">
        <v>797</v>
      </c>
      <c r="E333" s="48" t="s">
        <v>32</v>
      </c>
      <c r="F333" s="48" t="s">
        <v>798</v>
      </c>
      <c r="G333" s="48" t="s">
        <v>252</v>
      </c>
      <c r="H333" s="48" t="s">
        <v>355</v>
      </c>
      <c r="I333" s="47" t="s">
        <v>799</v>
      </c>
      <c r="J333" s="47">
        <v>99</v>
      </c>
      <c r="K333" s="49" t="s">
        <v>717</v>
      </c>
      <c r="L333" s="49" t="s">
        <v>726</v>
      </c>
      <c r="M333" s="50" t="s">
        <v>727</v>
      </c>
      <c r="N333" s="50" t="s">
        <v>1745</v>
      </c>
      <c r="O333" s="51"/>
      <c r="P333" s="51"/>
      <c r="Q333" s="48"/>
      <c r="S333" s="1">
        <f t="shared" si="120"/>
        <v>0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0</v>
      </c>
      <c r="AE333" s="1">
        <f t="shared" si="131"/>
        <v>0</v>
      </c>
      <c r="AF333" s="1">
        <f t="shared" si="132"/>
        <v>0</v>
      </c>
      <c r="AG333" s="1">
        <f t="shared" si="133"/>
        <v>0</v>
      </c>
      <c r="AH333" s="1">
        <f t="shared" si="134"/>
        <v>0</v>
      </c>
      <c r="AI333" s="1">
        <f t="shared" si="135"/>
        <v>1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56</v>
      </c>
      <c r="E334" s="48" t="s">
        <v>162</v>
      </c>
      <c r="F334" s="48" t="s">
        <v>220</v>
      </c>
      <c r="G334" s="48" t="s">
        <v>197</v>
      </c>
      <c r="H334" s="48" t="s">
        <v>355</v>
      </c>
      <c r="I334" s="47" t="s">
        <v>553</v>
      </c>
      <c r="J334" s="47">
        <v>99</v>
      </c>
      <c r="K334" s="49" t="s">
        <v>717</v>
      </c>
      <c r="L334" s="49" t="s">
        <v>726</v>
      </c>
      <c r="M334" s="50" t="s">
        <v>727</v>
      </c>
      <c r="N334" s="50" t="s">
        <v>1810</v>
      </c>
      <c r="O334" s="51"/>
      <c r="P334" s="51"/>
      <c r="Q334" s="48"/>
      <c r="S334" s="1">
        <f t="shared" si="120"/>
        <v>0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1183</v>
      </c>
      <c r="E335" s="48" t="s">
        <v>1343</v>
      </c>
      <c r="F335" s="48" t="s">
        <v>1184</v>
      </c>
      <c r="G335" s="48" t="s">
        <v>303</v>
      </c>
      <c r="H335" s="48" t="s">
        <v>355</v>
      </c>
      <c r="I335" s="47" t="s">
        <v>1185</v>
      </c>
      <c r="J335" s="47">
        <v>1</v>
      </c>
      <c r="K335" s="49" t="s">
        <v>959</v>
      </c>
      <c r="L335" s="49" t="s">
        <v>697</v>
      </c>
      <c r="M335" s="50" t="s">
        <v>1423</v>
      </c>
      <c r="N335" s="50" t="s">
        <v>1743</v>
      </c>
      <c r="O335" s="51"/>
      <c r="P335" s="51"/>
      <c r="Q335" s="48"/>
      <c r="S335" s="1">
        <f t="shared" ref="S335:S398" si="136">IF(J335=$S$7,1,0)</f>
        <v>1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1180</v>
      </c>
      <c r="E336" s="48" t="s">
        <v>1343</v>
      </c>
      <c r="F336" s="48" t="s">
        <v>1181</v>
      </c>
      <c r="G336" s="48" t="s">
        <v>1060</v>
      </c>
      <c r="H336" s="48" t="s">
        <v>355</v>
      </c>
      <c r="I336" s="47" t="s">
        <v>1182</v>
      </c>
      <c r="J336" s="47">
        <v>1</v>
      </c>
      <c r="K336" s="49" t="s">
        <v>717</v>
      </c>
      <c r="L336" s="49" t="s">
        <v>697</v>
      </c>
      <c r="M336" s="50" t="s">
        <v>1423</v>
      </c>
      <c r="N336" s="50" t="s">
        <v>1743</v>
      </c>
      <c r="O336" s="51"/>
      <c r="P336" s="51"/>
      <c r="Q336" s="48"/>
      <c r="S336" s="1">
        <f t="shared" si="136"/>
        <v>1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34">
        <v>0</v>
      </c>
      <c r="B337" s="34">
        <v>2</v>
      </c>
      <c r="C337" s="34">
        <v>3</v>
      </c>
      <c r="D337" s="35" t="s">
        <v>1302</v>
      </c>
      <c r="E337" s="35" t="s">
        <v>32</v>
      </c>
      <c r="F337" s="35" t="s">
        <v>1303</v>
      </c>
      <c r="G337" s="35" t="s">
        <v>223</v>
      </c>
      <c r="H337" s="35" t="s">
        <v>355</v>
      </c>
      <c r="I337" s="34" t="s">
        <v>1697</v>
      </c>
      <c r="J337" s="34">
        <v>99</v>
      </c>
      <c r="K337" s="36" t="s">
        <v>717</v>
      </c>
      <c r="L337" s="36" t="s">
        <v>720</v>
      </c>
      <c r="M337" s="37" t="s">
        <v>1304</v>
      </c>
      <c r="N337" s="37" t="s">
        <v>1735</v>
      </c>
      <c r="O337" s="38">
        <v>1</v>
      </c>
      <c r="P337" s="38">
        <v>1</v>
      </c>
      <c r="Q337" s="35"/>
      <c r="S337" s="1">
        <f t="shared" si="136"/>
        <v>0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1</v>
      </c>
      <c r="AE337" s="1">
        <f t="shared" si="147"/>
        <v>0</v>
      </c>
      <c r="AF337" s="1">
        <f t="shared" si="132"/>
        <v>1</v>
      </c>
      <c r="AG337" s="1">
        <f t="shared" si="133"/>
        <v>0</v>
      </c>
      <c r="AH337" s="1">
        <f t="shared" si="134"/>
        <v>1</v>
      </c>
      <c r="AI337" s="1">
        <f t="shared" si="135"/>
        <v>0</v>
      </c>
    </row>
    <row r="338" spans="1:35" ht="14.25" customHeight="1" x14ac:dyDescent="0.25">
      <c r="A338" s="34">
        <v>0</v>
      </c>
      <c r="B338" s="34">
        <v>2</v>
      </c>
      <c r="C338" s="34">
        <v>3</v>
      </c>
      <c r="D338" s="35" t="s">
        <v>765</v>
      </c>
      <c r="E338" s="35" t="s">
        <v>917</v>
      </c>
      <c r="F338" s="35" t="s">
        <v>766</v>
      </c>
      <c r="G338" s="35" t="s">
        <v>221</v>
      </c>
      <c r="H338" s="35" t="s">
        <v>355</v>
      </c>
      <c r="I338" s="34" t="s">
        <v>767</v>
      </c>
      <c r="J338" s="34">
        <v>8</v>
      </c>
      <c r="K338" s="36" t="s">
        <v>959</v>
      </c>
      <c r="L338" s="36" t="s">
        <v>733</v>
      </c>
      <c r="M338" s="37" t="s">
        <v>727</v>
      </c>
      <c r="N338" s="37" t="s">
        <v>1756</v>
      </c>
      <c r="O338" s="38">
        <v>1</v>
      </c>
      <c r="P338" s="38"/>
      <c r="Q338" s="35"/>
      <c r="S338" s="1">
        <f t="shared" si="136"/>
        <v>0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1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1</v>
      </c>
      <c r="AF338" s="1">
        <f t="shared" si="132"/>
        <v>0</v>
      </c>
      <c r="AG338" s="1">
        <f t="shared" si="133"/>
        <v>1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1503</v>
      </c>
      <c r="E339" s="48" t="s">
        <v>1504</v>
      </c>
      <c r="F339" s="48" t="s">
        <v>1505</v>
      </c>
      <c r="G339" s="48" t="s">
        <v>239</v>
      </c>
      <c r="H339" s="48" t="s">
        <v>355</v>
      </c>
      <c r="I339" s="47" t="s">
        <v>1506</v>
      </c>
      <c r="J339" s="47">
        <v>4</v>
      </c>
      <c r="K339" s="49" t="s">
        <v>716</v>
      </c>
      <c r="L339" s="49">
        <v>15</v>
      </c>
      <c r="M339" s="50" t="s">
        <v>39</v>
      </c>
      <c r="N339" s="50" t="s">
        <v>1810</v>
      </c>
      <c r="O339" s="51"/>
      <c r="P339" s="51"/>
      <c r="Q339" s="48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1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0</v>
      </c>
      <c r="AE339" s="1">
        <f t="shared" si="147"/>
        <v>0</v>
      </c>
      <c r="AF339" s="1">
        <f t="shared" si="132"/>
        <v>0</v>
      </c>
      <c r="AG339" s="1">
        <f t="shared" si="133"/>
        <v>0</v>
      </c>
      <c r="AH339" s="1">
        <f t="shared" si="134"/>
        <v>0</v>
      </c>
      <c r="AI339" s="1">
        <f t="shared" si="135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1561</v>
      </c>
      <c r="E340" s="35" t="s">
        <v>1562</v>
      </c>
      <c r="F340" s="35" t="s">
        <v>1563</v>
      </c>
      <c r="G340" s="35" t="s">
        <v>1564</v>
      </c>
      <c r="H340" s="35" t="s">
        <v>355</v>
      </c>
      <c r="I340" s="34" t="s">
        <v>1565</v>
      </c>
      <c r="J340" s="34">
        <v>7</v>
      </c>
      <c r="K340" s="36" t="s">
        <v>959</v>
      </c>
      <c r="L340" s="36">
        <v>10</v>
      </c>
      <c r="M340" s="37" t="s">
        <v>39</v>
      </c>
      <c r="N340" s="37" t="s">
        <v>1751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1</v>
      </c>
      <c r="Z340" s="1">
        <f t="shared" si="143"/>
        <v>0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845</v>
      </c>
      <c r="E341" s="48" t="s">
        <v>32</v>
      </c>
      <c r="F341" s="48" t="s">
        <v>847</v>
      </c>
      <c r="G341" s="48" t="s">
        <v>39</v>
      </c>
      <c r="H341" s="48" t="s">
        <v>355</v>
      </c>
      <c r="I341" s="47" t="s">
        <v>846</v>
      </c>
      <c r="J341" s="47">
        <v>1</v>
      </c>
      <c r="K341" s="49" t="s">
        <v>717</v>
      </c>
      <c r="L341" s="49" t="s">
        <v>698</v>
      </c>
      <c r="M341" s="50" t="s">
        <v>1423</v>
      </c>
      <c r="N341" s="50" t="s">
        <v>1743</v>
      </c>
      <c r="O341" s="51"/>
      <c r="P341" s="51"/>
      <c r="Q341" s="48"/>
      <c r="S341" s="1">
        <f t="shared" si="136"/>
        <v>1</v>
      </c>
      <c r="T341" s="1">
        <f t="shared" si="137"/>
        <v>0</v>
      </c>
      <c r="U341" s="1">
        <f t="shared" si="138"/>
        <v>0</v>
      </c>
      <c r="V341" s="1">
        <f t="shared" si="139"/>
        <v>0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15">
        <v>0</v>
      </c>
      <c r="B342" s="15">
        <v>2</v>
      </c>
      <c r="C342" s="15">
        <v>4</v>
      </c>
      <c r="D342" s="16" t="s">
        <v>768</v>
      </c>
      <c r="E342" s="16" t="s">
        <v>769</v>
      </c>
      <c r="F342" s="16" t="s">
        <v>770</v>
      </c>
      <c r="G342" s="16" t="s">
        <v>771</v>
      </c>
      <c r="H342" s="16" t="s">
        <v>355</v>
      </c>
      <c r="I342" s="15" t="s">
        <v>772</v>
      </c>
      <c r="J342" s="15">
        <v>99</v>
      </c>
      <c r="K342" s="10" t="s">
        <v>707</v>
      </c>
      <c r="L342" s="10">
        <v>15</v>
      </c>
      <c r="M342" s="19" t="s">
        <v>773</v>
      </c>
      <c r="N342" s="19"/>
      <c r="Q342" s="16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0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0</v>
      </c>
      <c r="AF342" s="1">
        <f t="shared" si="132"/>
        <v>0</v>
      </c>
      <c r="AG342" s="1">
        <f t="shared" si="133"/>
        <v>0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4</v>
      </c>
      <c r="D343" s="48" t="s">
        <v>802</v>
      </c>
      <c r="E343" s="48" t="s">
        <v>912</v>
      </c>
      <c r="F343" s="48" t="s">
        <v>929</v>
      </c>
      <c r="G343" s="48" t="s">
        <v>209</v>
      </c>
      <c r="H343" s="48" t="s">
        <v>355</v>
      </c>
      <c r="I343" s="47" t="s">
        <v>1371</v>
      </c>
      <c r="J343" s="47">
        <v>3</v>
      </c>
      <c r="K343" s="49" t="s">
        <v>707</v>
      </c>
      <c r="L343" s="49">
        <v>20</v>
      </c>
      <c r="M343" s="50" t="s">
        <v>1425</v>
      </c>
      <c r="N343" s="50" t="s">
        <v>1810</v>
      </c>
      <c r="O343" s="51"/>
      <c r="P343" s="51"/>
      <c r="Q343" s="48"/>
      <c r="S343" s="1">
        <f t="shared" si="136"/>
        <v>0</v>
      </c>
      <c r="T343" s="1">
        <f t="shared" si="137"/>
        <v>0</v>
      </c>
      <c r="U343" s="1">
        <f t="shared" si="138"/>
        <v>1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60">
        <v>0</v>
      </c>
      <c r="B344" s="60">
        <v>2</v>
      </c>
      <c r="C344" s="60">
        <v>4</v>
      </c>
      <c r="D344" s="61" t="s">
        <v>569</v>
      </c>
      <c r="E344" s="61" t="s">
        <v>37</v>
      </c>
      <c r="F344" s="61" t="s">
        <v>206</v>
      </c>
      <c r="G344" s="61" t="s">
        <v>39</v>
      </c>
      <c r="H344" s="61" t="s">
        <v>355</v>
      </c>
      <c r="I344" s="60" t="s">
        <v>390</v>
      </c>
      <c r="J344" s="60">
        <v>6</v>
      </c>
      <c r="K344" s="62" t="s">
        <v>707</v>
      </c>
      <c r="L344" s="62" t="s">
        <v>39</v>
      </c>
      <c r="M344" s="63" t="s">
        <v>39</v>
      </c>
      <c r="N344" s="64"/>
      <c r="O344" s="65"/>
      <c r="P344" s="65"/>
      <c r="Q344" s="61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1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655</v>
      </c>
      <c r="E345" s="48" t="s">
        <v>914</v>
      </c>
      <c r="F345" s="48" t="s">
        <v>626</v>
      </c>
      <c r="G345" s="48" t="s">
        <v>342</v>
      </c>
      <c r="H345" s="48" t="s">
        <v>355</v>
      </c>
      <c r="I345" s="47" t="s">
        <v>627</v>
      </c>
      <c r="J345" s="47">
        <v>10</v>
      </c>
      <c r="K345" s="49" t="s">
        <v>958</v>
      </c>
      <c r="L345" s="49" t="s">
        <v>708</v>
      </c>
      <c r="M345" s="50" t="s">
        <v>1426</v>
      </c>
      <c r="N345" s="50" t="s">
        <v>1742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0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1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34">
        <v>0</v>
      </c>
      <c r="B346" s="34">
        <v>2</v>
      </c>
      <c r="C346" s="34">
        <v>4</v>
      </c>
      <c r="D346" s="35" t="s">
        <v>75</v>
      </c>
      <c r="E346" s="35" t="s">
        <v>35</v>
      </c>
      <c r="F346" s="35" t="s">
        <v>267</v>
      </c>
      <c r="G346" s="35" t="s">
        <v>214</v>
      </c>
      <c r="H346" s="35" t="s">
        <v>355</v>
      </c>
      <c r="I346" s="34" t="s">
        <v>949</v>
      </c>
      <c r="J346" s="34">
        <v>1</v>
      </c>
      <c r="K346" s="36" t="s">
        <v>717</v>
      </c>
      <c r="L346" s="36" t="s">
        <v>708</v>
      </c>
      <c r="M346" s="37" t="s">
        <v>1427</v>
      </c>
      <c r="N346" s="37" t="s">
        <v>1751</v>
      </c>
      <c r="O346" s="38">
        <v>1</v>
      </c>
      <c r="P346" s="38"/>
      <c r="Q346" s="35"/>
      <c r="S346" s="1">
        <f t="shared" si="136"/>
        <v>1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0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1</v>
      </c>
      <c r="AF346" s="1">
        <f t="shared" si="132"/>
        <v>0</v>
      </c>
      <c r="AG346" s="1">
        <f t="shared" si="133"/>
        <v>1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34">
        <v>0</v>
      </c>
      <c r="B347" s="34">
        <v>2</v>
      </c>
      <c r="C347" s="34">
        <v>4</v>
      </c>
      <c r="D347" s="35" t="s">
        <v>923</v>
      </c>
      <c r="E347" s="35" t="s">
        <v>916</v>
      </c>
      <c r="F347" s="35" t="s">
        <v>786</v>
      </c>
      <c r="G347" s="35" t="s">
        <v>286</v>
      </c>
      <c r="H347" s="35" t="s">
        <v>355</v>
      </c>
      <c r="I347" s="34" t="s">
        <v>950</v>
      </c>
      <c r="J347" s="34">
        <v>4</v>
      </c>
      <c r="K347" s="36" t="s">
        <v>717</v>
      </c>
      <c r="L347" s="36" t="s">
        <v>700</v>
      </c>
      <c r="M347" s="37" t="s">
        <v>1428</v>
      </c>
      <c r="N347" s="37" t="s">
        <v>1757</v>
      </c>
      <c r="O347" s="38">
        <v>1</v>
      </c>
      <c r="P347" s="38"/>
      <c r="Q347" s="35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1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0</v>
      </c>
      <c r="AD347" s="1">
        <f t="shared" si="146"/>
        <v>0</v>
      </c>
      <c r="AE347" s="1">
        <f t="shared" si="147"/>
        <v>1</v>
      </c>
      <c r="AF347" s="1">
        <f t="shared" si="132"/>
        <v>0</v>
      </c>
      <c r="AG347" s="1">
        <f t="shared" si="133"/>
        <v>1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41">
        <v>0</v>
      </c>
      <c r="B348" s="41">
        <v>2</v>
      </c>
      <c r="C348" s="41">
        <v>4</v>
      </c>
      <c r="D348" s="42" t="s">
        <v>1145</v>
      </c>
      <c r="E348" s="42" t="s">
        <v>776</v>
      </c>
      <c r="F348" s="42" t="s">
        <v>1146</v>
      </c>
      <c r="G348" s="42" t="s">
        <v>186</v>
      </c>
      <c r="H348" s="42" t="s">
        <v>355</v>
      </c>
      <c r="I348" s="41" t="s">
        <v>1174</v>
      </c>
      <c r="J348" s="41">
        <v>99</v>
      </c>
      <c r="K348" s="43" t="s">
        <v>717</v>
      </c>
      <c r="L348" s="43" t="s">
        <v>39</v>
      </c>
      <c r="M348" s="44" t="s">
        <v>39</v>
      </c>
      <c r="N348" s="45"/>
      <c r="O348" s="46"/>
      <c r="P348" s="46">
        <v>1</v>
      </c>
      <c r="Q348" s="42"/>
      <c r="S348" s="1">
        <f t="shared" si="136"/>
        <v>0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0</v>
      </c>
      <c r="AF348" s="1">
        <f t="shared" si="132"/>
        <v>0</v>
      </c>
      <c r="AG348" s="1">
        <f t="shared" si="133"/>
        <v>0</v>
      </c>
      <c r="AH348" s="1">
        <f t="shared" si="134"/>
        <v>1</v>
      </c>
      <c r="AI348" s="1">
        <f t="shared" si="135"/>
        <v>0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631</v>
      </c>
      <c r="E349" s="16" t="s">
        <v>688</v>
      </c>
      <c r="F349" s="16" t="s">
        <v>673</v>
      </c>
      <c r="G349" s="16" t="s">
        <v>630</v>
      </c>
      <c r="H349" s="16" t="s">
        <v>355</v>
      </c>
      <c r="I349" s="15" t="s">
        <v>632</v>
      </c>
      <c r="J349" s="15">
        <v>99</v>
      </c>
      <c r="K349" s="10" t="s">
        <v>959</v>
      </c>
      <c r="L349" s="10" t="s">
        <v>39</v>
      </c>
      <c r="M349" s="19" t="s">
        <v>39</v>
      </c>
      <c r="N349" s="17"/>
      <c r="Q349" s="20" t="s">
        <v>1905</v>
      </c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0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0</v>
      </c>
      <c r="AF349" s="1">
        <f t="shared" si="132"/>
        <v>0</v>
      </c>
      <c r="AG349" s="1">
        <f t="shared" si="133"/>
        <v>0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84</v>
      </c>
      <c r="E350" s="35" t="s">
        <v>35</v>
      </c>
      <c r="F350" s="35" t="s">
        <v>278</v>
      </c>
      <c r="G350" s="35" t="s">
        <v>225</v>
      </c>
      <c r="H350" s="35" t="s">
        <v>355</v>
      </c>
      <c r="I350" s="34" t="s">
        <v>434</v>
      </c>
      <c r="J350" s="34">
        <v>99</v>
      </c>
      <c r="K350" s="36" t="s">
        <v>958</v>
      </c>
      <c r="L350" s="36" t="s">
        <v>708</v>
      </c>
      <c r="M350" s="37" t="s">
        <v>730</v>
      </c>
      <c r="N350" s="37" t="s">
        <v>1769</v>
      </c>
      <c r="O350" s="38">
        <v>1</v>
      </c>
      <c r="P350" s="38"/>
      <c r="Q350" s="35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1</v>
      </c>
      <c r="AF350" s="1">
        <f t="shared" si="132"/>
        <v>0</v>
      </c>
      <c r="AG350" s="1">
        <f t="shared" si="133"/>
        <v>1</v>
      </c>
      <c r="AH350" s="1">
        <f t="shared" si="134"/>
        <v>0</v>
      </c>
      <c r="AI350" s="1">
        <f t="shared" si="135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883</v>
      </c>
      <c r="E351" s="16" t="s">
        <v>776</v>
      </c>
      <c r="F351" s="16" t="s">
        <v>881</v>
      </c>
      <c r="G351" s="16" t="s">
        <v>280</v>
      </c>
      <c r="H351" s="16" t="s">
        <v>355</v>
      </c>
      <c r="I351" s="15" t="s">
        <v>882</v>
      </c>
      <c r="J351" s="15">
        <v>99</v>
      </c>
      <c r="K351" s="10" t="s">
        <v>707</v>
      </c>
      <c r="L351" s="10">
        <v>25</v>
      </c>
      <c r="M351" s="19" t="s">
        <v>1429</v>
      </c>
      <c r="N351" s="19"/>
      <c r="Q351" s="16"/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926</v>
      </c>
      <c r="E352" s="35" t="s">
        <v>776</v>
      </c>
      <c r="F352" s="35" t="s">
        <v>848</v>
      </c>
      <c r="G352" s="35" t="s">
        <v>210</v>
      </c>
      <c r="H352" s="35" t="s">
        <v>355</v>
      </c>
      <c r="I352" s="34" t="s">
        <v>849</v>
      </c>
      <c r="J352" s="34">
        <v>99</v>
      </c>
      <c r="K352" s="36" t="s">
        <v>716</v>
      </c>
      <c r="L352" s="36" t="s">
        <v>708</v>
      </c>
      <c r="M352" s="37" t="s">
        <v>730</v>
      </c>
      <c r="N352" s="37" t="s">
        <v>1764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47">
        <v>0</v>
      </c>
      <c r="B353" s="47">
        <v>2</v>
      </c>
      <c r="C353" s="47">
        <v>4</v>
      </c>
      <c r="D353" s="48" t="s">
        <v>1231</v>
      </c>
      <c r="E353" s="48" t="s">
        <v>1230</v>
      </c>
      <c r="F353" s="48" t="s">
        <v>1232</v>
      </c>
      <c r="G353" s="48" t="s">
        <v>537</v>
      </c>
      <c r="H353" s="48" t="s">
        <v>355</v>
      </c>
      <c r="I353" s="47" t="s">
        <v>1233</v>
      </c>
      <c r="J353" s="47">
        <v>99</v>
      </c>
      <c r="K353" s="49" t="s">
        <v>717</v>
      </c>
      <c r="L353" s="49" t="s">
        <v>698</v>
      </c>
      <c r="M353" s="50" t="s">
        <v>1430</v>
      </c>
      <c r="N353" s="50" t="s">
        <v>1755</v>
      </c>
      <c r="O353" s="51"/>
      <c r="P353" s="51"/>
      <c r="Q353" s="48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827</v>
      </c>
      <c r="E354" s="35" t="s">
        <v>592</v>
      </c>
      <c r="F354" s="35" t="s">
        <v>828</v>
      </c>
      <c r="G354" s="35" t="s">
        <v>941</v>
      </c>
      <c r="H354" s="35" t="s">
        <v>355</v>
      </c>
      <c r="I354" s="34" t="s">
        <v>955</v>
      </c>
      <c r="J354" s="34">
        <v>7</v>
      </c>
      <c r="K354" s="36" t="s">
        <v>716</v>
      </c>
      <c r="L354" s="36" t="s">
        <v>39</v>
      </c>
      <c r="M354" s="37" t="s">
        <v>39</v>
      </c>
      <c r="N354" s="37" t="s">
        <v>1735</v>
      </c>
      <c r="O354" s="38">
        <v>1</v>
      </c>
      <c r="P354" s="38">
        <v>1</v>
      </c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1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1</v>
      </c>
      <c r="AE354" s="1">
        <f t="shared" si="147"/>
        <v>0</v>
      </c>
      <c r="AF354" s="1">
        <f t="shared" si="132"/>
        <v>1</v>
      </c>
      <c r="AG354" s="1">
        <f t="shared" si="133"/>
        <v>0</v>
      </c>
      <c r="AH354" s="1">
        <f t="shared" si="134"/>
        <v>1</v>
      </c>
      <c r="AI354" s="1">
        <f t="shared" si="135"/>
        <v>0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1613</v>
      </c>
      <c r="E355" s="48" t="s">
        <v>1663</v>
      </c>
      <c r="F355" s="48" t="s">
        <v>1614</v>
      </c>
      <c r="G355" s="48" t="s">
        <v>334</v>
      </c>
      <c r="H355" s="48" t="s">
        <v>355</v>
      </c>
      <c r="I355" s="47" t="s">
        <v>30</v>
      </c>
      <c r="J355" s="47">
        <v>99</v>
      </c>
      <c r="K355" s="49" t="s">
        <v>717</v>
      </c>
      <c r="L355" s="49">
        <v>20</v>
      </c>
      <c r="M355" s="50" t="s">
        <v>39</v>
      </c>
      <c r="N355" s="50" t="s">
        <v>1749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5</v>
      </c>
      <c r="D356" s="35" t="s">
        <v>58</v>
      </c>
      <c r="E356" s="35" t="s">
        <v>44</v>
      </c>
      <c r="F356" s="35" t="s">
        <v>674</v>
      </c>
      <c r="G356" s="35" t="s">
        <v>224</v>
      </c>
      <c r="H356" s="35" t="s">
        <v>355</v>
      </c>
      <c r="I356" s="34" t="s">
        <v>398</v>
      </c>
      <c r="J356" s="34">
        <v>8</v>
      </c>
      <c r="K356" s="36" t="s">
        <v>717</v>
      </c>
      <c r="L356" s="36" t="s">
        <v>720</v>
      </c>
      <c r="M356" s="37" t="s">
        <v>1431</v>
      </c>
      <c r="N356" s="37" t="s">
        <v>1756</v>
      </c>
      <c r="O356" s="38">
        <v>1</v>
      </c>
      <c r="P356" s="38"/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0</v>
      </c>
      <c r="Z356" s="1">
        <f t="shared" si="143"/>
        <v>1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0</v>
      </c>
      <c r="AE356" s="1">
        <f t="shared" si="147"/>
        <v>1</v>
      </c>
      <c r="AF356" s="1">
        <f t="shared" si="132"/>
        <v>0</v>
      </c>
      <c r="AG356" s="1">
        <f t="shared" si="133"/>
        <v>1</v>
      </c>
      <c r="AH356" s="1">
        <f t="shared" si="134"/>
        <v>0</v>
      </c>
      <c r="AI356" s="1">
        <f t="shared" si="135"/>
        <v>1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5</v>
      </c>
      <c r="D357" s="48" t="s">
        <v>836</v>
      </c>
      <c r="E357" s="48" t="s">
        <v>835</v>
      </c>
      <c r="F357" s="48" t="s">
        <v>928</v>
      </c>
      <c r="G357" s="48" t="s">
        <v>214</v>
      </c>
      <c r="H357" s="48" t="s">
        <v>355</v>
      </c>
      <c r="I357" s="47" t="s">
        <v>837</v>
      </c>
      <c r="J357" s="47">
        <v>1</v>
      </c>
      <c r="K357" s="49" t="s">
        <v>716</v>
      </c>
      <c r="L357" s="49" t="s">
        <v>697</v>
      </c>
      <c r="M357" s="50" t="s">
        <v>1432</v>
      </c>
      <c r="N357" s="50" t="s">
        <v>1743</v>
      </c>
      <c r="O357" s="51"/>
      <c r="P357" s="51"/>
      <c r="Q357" s="48"/>
      <c r="R357" s="1"/>
      <c r="S357" s="1">
        <f t="shared" si="136"/>
        <v>1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5</v>
      </c>
      <c r="D358" s="48" t="s">
        <v>65</v>
      </c>
      <c r="E358" s="48" t="s">
        <v>165</v>
      </c>
      <c r="F358" s="48" t="s">
        <v>549</v>
      </c>
      <c r="G358" s="48" t="s">
        <v>195</v>
      </c>
      <c r="H358" s="48" t="s">
        <v>355</v>
      </c>
      <c r="I358" s="47" t="s">
        <v>554</v>
      </c>
      <c r="J358" s="47">
        <v>9</v>
      </c>
      <c r="K358" s="49" t="s">
        <v>717</v>
      </c>
      <c r="L358" s="49" t="s">
        <v>690</v>
      </c>
      <c r="M358" s="50" t="s">
        <v>1451</v>
      </c>
      <c r="N358" s="50" t="s">
        <v>1746</v>
      </c>
      <c r="O358" s="51"/>
      <c r="P358" s="51"/>
      <c r="Q358" s="48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0</v>
      </c>
      <c r="AA358" s="1">
        <f t="shared" si="144"/>
        <v>1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0</v>
      </c>
      <c r="AF358" s="1">
        <f t="shared" si="150"/>
        <v>0</v>
      </c>
      <c r="AG358" s="1">
        <f t="shared" si="151"/>
        <v>0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1494</v>
      </c>
      <c r="E359" s="48" t="s">
        <v>35</v>
      </c>
      <c r="F359" s="68" t="s">
        <v>1881</v>
      </c>
      <c r="G359" s="48" t="s">
        <v>223</v>
      </c>
      <c r="H359" s="48" t="s">
        <v>355</v>
      </c>
      <c r="I359" s="47" t="s">
        <v>1694</v>
      </c>
      <c r="J359" s="47">
        <v>99</v>
      </c>
      <c r="K359" s="49" t="s">
        <v>717</v>
      </c>
      <c r="L359" s="49">
        <v>25</v>
      </c>
      <c r="M359" s="50" t="s">
        <v>39</v>
      </c>
      <c r="N359" s="50" t="s">
        <v>1745</v>
      </c>
      <c r="O359" s="51"/>
      <c r="P359" s="51"/>
      <c r="Q359" s="48"/>
      <c r="R359" s="1"/>
      <c r="S359" s="1">
        <f t="shared" si="136"/>
        <v>0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1827</v>
      </c>
      <c r="E360" s="48" t="s">
        <v>776</v>
      </c>
      <c r="F360" s="48" t="s">
        <v>1828</v>
      </c>
      <c r="G360" s="48" t="s">
        <v>225</v>
      </c>
      <c r="H360" s="48" t="s">
        <v>355</v>
      </c>
      <c r="I360" s="47" t="s">
        <v>1829</v>
      </c>
      <c r="J360" s="47">
        <v>99</v>
      </c>
      <c r="K360" s="49" t="s">
        <v>1830</v>
      </c>
      <c r="L360" s="49">
        <v>40</v>
      </c>
      <c r="M360" s="50" t="s">
        <v>1831</v>
      </c>
      <c r="N360" s="50" t="s">
        <v>1817</v>
      </c>
      <c r="O360" s="51"/>
      <c r="P360" s="51"/>
      <c r="Q360" s="48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0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0</v>
      </c>
      <c r="AF360" s="1">
        <f t="shared" si="150"/>
        <v>0</v>
      </c>
      <c r="AG360" s="1">
        <f t="shared" si="151"/>
        <v>0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618</v>
      </c>
      <c r="E361" s="35" t="s">
        <v>689</v>
      </c>
      <c r="F361" s="35" t="s">
        <v>619</v>
      </c>
      <c r="G361" s="35" t="s">
        <v>288</v>
      </c>
      <c r="H361" s="35" t="s">
        <v>355</v>
      </c>
      <c r="I361" s="34" t="s">
        <v>620</v>
      </c>
      <c r="J361" s="34">
        <v>99</v>
      </c>
      <c r="K361" s="36" t="s">
        <v>716</v>
      </c>
      <c r="L361" s="36" t="s">
        <v>708</v>
      </c>
      <c r="M361" s="37" t="s">
        <v>1433</v>
      </c>
      <c r="N361" s="37" t="s">
        <v>1751</v>
      </c>
      <c r="O361" s="38">
        <v>1</v>
      </c>
      <c r="P361" s="38"/>
      <c r="Q361" s="35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1</v>
      </c>
      <c r="AF361" s="1">
        <f t="shared" si="132"/>
        <v>0</v>
      </c>
      <c r="AG361" s="1">
        <f t="shared" si="133"/>
        <v>1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1496</v>
      </c>
      <c r="E362" s="48" t="s">
        <v>776</v>
      </c>
      <c r="F362" s="48" t="s">
        <v>1497</v>
      </c>
      <c r="G362" s="48" t="s">
        <v>197</v>
      </c>
      <c r="H362" s="48" t="s">
        <v>355</v>
      </c>
      <c r="I362" s="47" t="s">
        <v>1498</v>
      </c>
      <c r="J362" s="47">
        <v>99</v>
      </c>
      <c r="K362" s="49" t="s">
        <v>958</v>
      </c>
      <c r="L362" s="49" t="s">
        <v>697</v>
      </c>
      <c r="M362" s="50" t="s">
        <v>1424</v>
      </c>
      <c r="N362" s="50" t="s">
        <v>1743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779</v>
      </c>
      <c r="E363" s="48" t="s">
        <v>776</v>
      </c>
      <c r="F363" s="48" t="s">
        <v>781</v>
      </c>
      <c r="G363" s="48" t="s">
        <v>208</v>
      </c>
      <c r="H363" s="48" t="s">
        <v>355</v>
      </c>
      <c r="I363" s="47" t="s">
        <v>780</v>
      </c>
      <c r="J363" s="47">
        <v>99</v>
      </c>
      <c r="K363" s="49" t="s">
        <v>716</v>
      </c>
      <c r="L363" s="49" t="s">
        <v>698</v>
      </c>
      <c r="M363" s="50" t="s">
        <v>1434</v>
      </c>
      <c r="N363" s="50" t="s">
        <v>1743</v>
      </c>
      <c r="O363" s="51"/>
      <c r="P363" s="51"/>
      <c r="Q363" s="48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0</v>
      </c>
      <c r="AF363" s="1">
        <f t="shared" si="132"/>
        <v>0</v>
      </c>
      <c r="AG363" s="1">
        <f t="shared" si="133"/>
        <v>0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1</v>
      </c>
      <c r="B364" s="47">
        <v>2</v>
      </c>
      <c r="C364" s="47">
        <v>5</v>
      </c>
      <c r="D364" s="48" t="s">
        <v>779</v>
      </c>
      <c r="E364" s="48" t="s">
        <v>776</v>
      </c>
      <c r="F364" s="48" t="s">
        <v>1010</v>
      </c>
      <c r="G364" s="48" t="s">
        <v>191</v>
      </c>
      <c r="H364" s="48" t="s">
        <v>355</v>
      </c>
      <c r="I364" s="47" t="s">
        <v>1011</v>
      </c>
      <c r="J364" s="47">
        <v>99</v>
      </c>
      <c r="K364" s="49" t="s">
        <v>716</v>
      </c>
      <c r="L364" s="49" t="s">
        <v>698</v>
      </c>
      <c r="M364" s="50" t="s">
        <v>1434</v>
      </c>
      <c r="N364" s="50" t="s">
        <v>1743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0</v>
      </c>
      <c r="AJ364" s="1"/>
    </row>
    <row r="365" spans="1:16384" s="2" customFormat="1" ht="14.25" customHeight="1" x14ac:dyDescent="0.25">
      <c r="A365" s="15">
        <v>0</v>
      </c>
      <c r="B365" s="15">
        <v>2</v>
      </c>
      <c r="C365" s="15">
        <v>5</v>
      </c>
      <c r="D365" s="16" t="s">
        <v>920</v>
      </c>
      <c r="E365" s="16" t="s">
        <v>915</v>
      </c>
      <c r="F365" s="16" t="s">
        <v>933</v>
      </c>
      <c r="G365" s="16" t="s">
        <v>1358</v>
      </c>
      <c r="H365" s="16" t="s">
        <v>355</v>
      </c>
      <c r="I365" s="15" t="s">
        <v>774</v>
      </c>
      <c r="J365" s="15">
        <v>99</v>
      </c>
      <c r="K365" s="10" t="s">
        <v>707</v>
      </c>
      <c r="L365" s="10">
        <v>20</v>
      </c>
      <c r="M365" s="19" t="s">
        <v>1435</v>
      </c>
      <c r="N365" s="19"/>
      <c r="O365" s="1"/>
      <c r="P365" s="1"/>
      <c r="Q365" s="16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52">
        <v>0</v>
      </c>
      <c r="B366" s="52">
        <v>2</v>
      </c>
      <c r="C366" s="52">
        <v>5</v>
      </c>
      <c r="D366" s="58" t="s">
        <v>1798</v>
      </c>
      <c r="E366" s="53" t="s">
        <v>168</v>
      </c>
      <c r="F366" s="53" t="s">
        <v>1776</v>
      </c>
      <c r="G366" s="53"/>
      <c r="H366" s="53" t="s">
        <v>355</v>
      </c>
      <c r="I366" s="52" t="s">
        <v>1777</v>
      </c>
      <c r="J366" s="52"/>
      <c r="K366" s="54" t="s">
        <v>707</v>
      </c>
      <c r="L366" s="54">
        <v>30</v>
      </c>
      <c r="M366" s="55" t="s">
        <v>1778</v>
      </c>
      <c r="N366" s="55" t="s">
        <v>1756</v>
      </c>
      <c r="O366" s="56">
        <v>1</v>
      </c>
      <c r="P366" s="56"/>
      <c r="Q366" s="53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1</v>
      </c>
      <c r="AF366" s="1">
        <f t="shared" si="132"/>
        <v>0</v>
      </c>
      <c r="AG366" s="1">
        <f t="shared" si="133"/>
        <v>1</v>
      </c>
      <c r="AH366" s="1">
        <f t="shared" si="134"/>
        <v>0</v>
      </c>
      <c r="AI366" s="1">
        <f t="shared" si="135"/>
        <v>1</v>
      </c>
      <c r="AJ366" s="1"/>
    </row>
    <row r="367" spans="1:16384" s="2" customFormat="1" ht="14.25" customHeight="1" x14ac:dyDescent="0.25">
      <c r="A367" s="34"/>
      <c r="B367" s="34">
        <v>2</v>
      </c>
      <c r="C367" s="34">
        <v>5</v>
      </c>
      <c r="D367" s="35" t="s">
        <v>1929</v>
      </c>
      <c r="E367" s="35"/>
      <c r="F367" s="35" t="s">
        <v>1930</v>
      </c>
      <c r="G367" s="35" t="s">
        <v>209</v>
      </c>
      <c r="H367" s="35" t="s">
        <v>355</v>
      </c>
      <c r="I367" s="34" t="s">
        <v>1931</v>
      </c>
      <c r="J367" s="34">
        <v>3</v>
      </c>
      <c r="K367" s="36" t="s">
        <v>707</v>
      </c>
      <c r="L367" s="36"/>
      <c r="M367" s="37"/>
      <c r="N367" s="37" t="s">
        <v>1735</v>
      </c>
      <c r="O367" s="38">
        <v>1</v>
      </c>
      <c r="P367" s="38">
        <v>1</v>
      </c>
      <c r="Q367" s="35" t="s">
        <v>1932</v>
      </c>
      <c r="R367" s="1"/>
      <c r="S367" s="1">
        <f t="shared" si="136"/>
        <v>0</v>
      </c>
      <c r="T367" s="1">
        <f t="shared" si="137"/>
        <v>0</v>
      </c>
      <c r="U367" s="1">
        <f t="shared" si="138"/>
        <v>1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1</v>
      </c>
      <c r="AE367" s="1">
        <f t="shared" si="147"/>
        <v>0</v>
      </c>
      <c r="AF367" s="1">
        <f t="shared" si="132"/>
        <v>1</v>
      </c>
      <c r="AG367" s="1">
        <f t="shared" si="133"/>
        <v>0</v>
      </c>
      <c r="AH367" s="1">
        <f t="shared" si="134"/>
        <v>1</v>
      </c>
      <c r="AI367" s="1">
        <f t="shared" si="135"/>
        <v>0</v>
      </c>
      <c r="AJ367" s="1"/>
    </row>
    <row r="368" spans="1:16384" s="2" customFormat="1" ht="14.25" customHeight="1" x14ac:dyDescent="0.25">
      <c r="A368" s="34">
        <v>0</v>
      </c>
      <c r="B368" s="34">
        <v>2</v>
      </c>
      <c r="C368" s="34">
        <v>5</v>
      </c>
      <c r="D368" s="35" t="s">
        <v>1278</v>
      </c>
      <c r="E368" s="35" t="s">
        <v>1279</v>
      </c>
      <c r="F368" s="35" t="s">
        <v>1280</v>
      </c>
      <c r="G368" s="35" t="s">
        <v>221</v>
      </c>
      <c r="H368" s="35" t="s">
        <v>355</v>
      </c>
      <c r="I368" s="34" t="s">
        <v>1731</v>
      </c>
      <c r="J368" s="34">
        <v>8</v>
      </c>
      <c r="K368" s="36" t="s">
        <v>717</v>
      </c>
      <c r="L368" s="36" t="s">
        <v>39</v>
      </c>
      <c r="M368" s="37" t="s">
        <v>39</v>
      </c>
      <c r="N368" s="37" t="s">
        <v>1735</v>
      </c>
      <c r="O368" s="38">
        <v>1</v>
      </c>
      <c r="P368" s="38">
        <v>1</v>
      </c>
      <c r="Q368" s="35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1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1</v>
      </c>
      <c r="AE368" s="1">
        <f t="shared" si="147"/>
        <v>0</v>
      </c>
      <c r="AF368" s="1">
        <f t="shared" si="132"/>
        <v>1</v>
      </c>
      <c r="AG368" s="1">
        <f t="shared" si="133"/>
        <v>0</v>
      </c>
      <c r="AH368" s="1">
        <f t="shared" si="134"/>
        <v>1</v>
      </c>
      <c r="AI368" s="1">
        <f t="shared" si="135"/>
        <v>0</v>
      </c>
      <c r="AJ368" s="1"/>
    </row>
    <row r="369" spans="1:35" ht="14.25" customHeight="1" x14ac:dyDescent="0.25">
      <c r="A369" s="34">
        <v>0</v>
      </c>
      <c r="B369" s="34">
        <v>2</v>
      </c>
      <c r="C369" s="34">
        <v>5</v>
      </c>
      <c r="D369" s="35" t="s">
        <v>1086</v>
      </c>
      <c r="E369" s="35" t="s">
        <v>156</v>
      </c>
      <c r="F369" s="35" t="s">
        <v>1070</v>
      </c>
      <c r="G369" s="35" t="s">
        <v>322</v>
      </c>
      <c r="H369" s="35" t="s">
        <v>355</v>
      </c>
      <c r="I369" s="34" t="s">
        <v>1071</v>
      </c>
      <c r="J369" s="34">
        <v>99</v>
      </c>
      <c r="K369" s="36" t="s">
        <v>717</v>
      </c>
      <c r="L369" s="36" t="s">
        <v>698</v>
      </c>
      <c r="M369" s="37" t="s">
        <v>1436</v>
      </c>
      <c r="N369" s="37" t="s">
        <v>1764</v>
      </c>
      <c r="O369" s="38">
        <v>1</v>
      </c>
      <c r="P369" s="38"/>
      <c r="Q369" s="35"/>
      <c r="S369" s="1">
        <f t="shared" si="136"/>
        <v>0</v>
      </c>
      <c r="T369" s="1">
        <f t="shared" si="137"/>
        <v>0</v>
      </c>
      <c r="U369" s="1">
        <f t="shared" si="138"/>
        <v>0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0</v>
      </c>
      <c r="AE369" s="1">
        <f t="shared" si="147"/>
        <v>1</v>
      </c>
      <c r="AF369" s="1">
        <f t="shared" si="132"/>
        <v>0</v>
      </c>
      <c r="AG369" s="1">
        <f t="shared" si="133"/>
        <v>1</v>
      </c>
      <c r="AH369" s="1">
        <f t="shared" si="134"/>
        <v>0</v>
      </c>
      <c r="AI369" s="1">
        <f t="shared" si="135"/>
        <v>1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800</v>
      </c>
      <c r="E370" s="35" t="s">
        <v>776</v>
      </c>
      <c r="F370" s="35" t="s">
        <v>936</v>
      </c>
      <c r="G370" s="35" t="s">
        <v>221</v>
      </c>
      <c r="H370" s="35" t="s">
        <v>355</v>
      </c>
      <c r="I370" s="34" t="s">
        <v>801</v>
      </c>
      <c r="J370" s="34">
        <v>8</v>
      </c>
      <c r="K370" s="36" t="s">
        <v>707</v>
      </c>
      <c r="L370" s="36">
        <v>20</v>
      </c>
      <c r="M370" s="37" t="s">
        <v>1427</v>
      </c>
      <c r="N370" s="37" t="s">
        <v>1833</v>
      </c>
      <c r="O370" s="38">
        <v>1</v>
      </c>
      <c r="P370" s="38"/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0</v>
      </c>
      <c r="AE370" s="1">
        <f t="shared" si="147"/>
        <v>1</v>
      </c>
      <c r="AF370" s="1">
        <f t="shared" si="132"/>
        <v>0</v>
      </c>
      <c r="AG370" s="1">
        <f t="shared" si="133"/>
        <v>1</v>
      </c>
      <c r="AH370" s="1">
        <f t="shared" si="134"/>
        <v>0</v>
      </c>
      <c r="AI370" s="1">
        <f t="shared" si="135"/>
        <v>1</v>
      </c>
    </row>
    <row r="371" spans="1:35" ht="14.25" customHeight="1" x14ac:dyDescent="0.25">
      <c r="A371" s="52">
        <v>0</v>
      </c>
      <c r="B371" s="52">
        <v>2</v>
      </c>
      <c r="C371" s="52">
        <v>5</v>
      </c>
      <c r="D371" s="53" t="s">
        <v>79</v>
      </c>
      <c r="E371" s="53" t="s">
        <v>160</v>
      </c>
      <c r="F371" s="53" t="s">
        <v>269</v>
      </c>
      <c r="G371" s="53" t="s">
        <v>214</v>
      </c>
      <c r="H371" s="53" t="s">
        <v>355</v>
      </c>
      <c r="I371" s="52" t="s">
        <v>426</v>
      </c>
      <c r="J371" s="52">
        <v>1</v>
      </c>
      <c r="K371" s="54" t="s">
        <v>959</v>
      </c>
      <c r="L371" s="54" t="s">
        <v>708</v>
      </c>
      <c r="M371" s="55" t="s">
        <v>731</v>
      </c>
      <c r="N371" s="55" t="s">
        <v>1751</v>
      </c>
      <c r="O371" s="56">
        <v>1</v>
      </c>
      <c r="P371" s="56"/>
      <c r="Q371" s="53"/>
      <c r="S371" s="1">
        <f t="shared" si="136"/>
        <v>1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1650</v>
      </c>
      <c r="E372" s="35" t="s">
        <v>1662</v>
      </c>
      <c r="F372" s="35" t="s">
        <v>1559</v>
      </c>
      <c r="G372" s="35" t="s">
        <v>263</v>
      </c>
      <c r="H372" s="35" t="s">
        <v>355</v>
      </c>
      <c r="I372" s="34" t="s">
        <v>1560</v>
      </c>
      <c r="J372" s="34">
        <v>99</v>
      </c>
      <c r="K372" s="36" t="s">
        <v>959</v>
      </c>
      <c r="L372" s="36">
        <v>40</v>
      </c>
      <c r="M372" s="37" t="s">
        <v>39</v>
      </c>
      <c r="N372" s="37" t="s">
        <v>1833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0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1305</v>
      </c>
      <c r="E373" s="35" t="s">
        <v>27</v>
      </c>
      <c r="F373" s="35" t="s">
        <v>1306</v>
      </c>
      <c r="G373" s="35" t="s">
        <v>1307</v>
      </c>
      <c r="H373" s="35" t="s">
        <v>355</v>
      </c>
      <c r="I373" s="34" t="s">
        <v>1308</v>
      </c>
      <c r="J373" s="34">
        <v>99</v>
      </c>
      <c r="K373" s="36" t="s">
        <v>959</v>
      </c>
      <c r="L373" s="36" t="s">
        <v>39</v>
      </c>
      <c r="M373" s="37" t="s">
        <v>39</v>
      </c>
      <c r="N373" s="37" t="s">
        <v>1735</v>
      </c>
      <c r="O373" s="38">
        <v>1</v>
      </c>
      <c r="P373" s="38">
        <v>1</v>
      </c>
      <c r="Q373" s="39"/>
      <c r="S373" s="1">
        <f t="shared" si="154"/>
        <v>0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1</v>
      </c>
      <c r="AE373" s="1">
        <f t="shared" si="165"/>
        <v>0</v>
      </c>
      <c r="AF373" s="1">
        <f t="shared" si="132"/>
        <v>1</v>
      </c>
      <c r="AG373" s="1">
        <f t="shared" si="133"/>
        <v>0</v>
      </c>
      <c r="AH373" s="1">
        <f t="shared" si="134"/>
        <v>1</v>
      </c>
      <c r="AI373" s="1">
        <f t="shared" si="135"/>
        <v>0</v>
      </c>
    </row>
    <row r="374" spans="1:35" ht="14.25" customHeight="1" x14ac:dyDescent="0.25">
      <c r="A374" s="47">
        <v>0</v>
      </c>
      <c r="B374" s="47">
        <v>2</v>
      </c>
      <c r="C374" s="47">
        <v>5</v>
      </c>
      <c r="D374" s="48" t="s">
        <v>1611</v>
      </c>
      <c r="E374" s="48" t="s">
        <v>160</v>
      </c>
      <c r="F374" s="48" t="s">
        <v>1683</v>
      </c>
      <c r="G374" s="48" t="s">
        <v>1476</v>
      </c>
      <c r="H374" s="48" t="s">
        <v>355</v>
      </c>
      <c r="I374" s="47" t="s">
        <v>1477</v>
      </c>
      <c r="J374" s="47">
        <v>99</v>
      </c>
      <c r="K374" s="49" t="s">
        <v>717</v>
      </c>
      <c r="L374" s="49" t="s">
        <v>700</v>
      </c>
      <c r="M374" s="50" t="s">
        <v>1478</v>
      </c>
      <c r="N374" s="50" t="s">
        <v>1755</v>
      </c>
      <c r="O374" s="51"/>
      <c r="P374" s="51"/>
      <c r="Q374" s="48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0</v>
      </c>
      <c r="AF374" s="1">
        <f t="shared" si="132"/>
        <v>0</v>
      </c>
      <c r="AG374" s="1">
        <f t="shared" si="133"/>
        <v>0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1786</v>
      </c>
      <c r="E375" s="35" t="s">
        <v>156</v>
      </c>
      <c r="F375" s="35" t="s">
        <v>1787</v>
      </c>
      <c r="G375" s="35" t="s">
        <v>659</v>
      </c>
      <c r="H375" s="35" t="s">
        <v>355</v>
      </c>
      <c r="I375" s="34" t="s">
        <v>1788</v>
      </c>
      <c r="J375" s="34"/>
      <c r="K375" s="36" t="s">
        <v>707</v>
      </c>
      <c r="L375" s="36">
        <v>40</v>
      </c>
      <c r="M375" s="37" t="s">
        <v>1789</v>
      </c>
      <c r="N375" s="37" t="s">
        <v>1751</v>
      </c>
      <c r="O375" s="38">
        <v>1</v>
      </c>
      <c r="P375" s="38"/>
      <c r="Q375" s="35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0</v>
      </c>
      <c r="AE375" s="1">
        <f t="shared" si="147"/>
        <v>1</v>
      </c>
      <c r="AF375" s="1">
        <f t="shared" si="132"/>
        <v>0</v>
      </c>
      <c r="AG375" s="1">
        <f t="shared" si="133"/>
        <v>1</v>
      </c>
      <c r="AH375" s="1">
        <f t="shared" si="134"/>
        <v>0</v>
      </c>
      <c r="AI375" s="1">
        <f t="shared" si="135"/>
        <v>1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841</v>
      </c>
      <c r="E376" s="48" t="s">
        <v>835</v>
      </c>
      <c r="F376" s="48" t="s">
        <v>945</v>
      </c>
      <c r="G376" s="48" t="s">
        <v>181</v>
      </c>
      <c r="H376" s="48" t="s">
        <v>355</v>
      </c>
      <c r="I376" s="47" t="s">
        <v>1113</v>
      </c>
      <c r="J376" s="47">
        <v>10</v>
      </c>
      <c r="K376" s="49" t="s">
        <v>716</v>
      </c>
      <c r="L376" s="49" t="s">
        <v>697</v>
      </c>
      <c r="M376" s="50" t="s">
        <v>1437</v>
      </c>
      <c r="N376" s="50" t="s">
        <v>1749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1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60">
        <v>0</v>
      </c>
      <c r="B377" s="60">
        <v>2</v>
      </c>
      <c r="C377" s="60">
        <v>6</v>
      </c>
      <c r="D377" s="61" t="s">
        <v>1551</v>
      </c>
      <c r="E377" s="61" t="s">
        <v>27</v>
      </c>
      <c r="F377" s="61" t="s">
        <v>1553</v>
      </c>
      <c r="G377" s="61" t="s">
        <v>1542</v>
      </c>
      <c r="H377" s="61" t="s">
        <v>355</v>
      </c>
      <c r="I377" s="60" t="s">
        <v>1552</v>
      </c>
      <c r="J377" s="60">
        <v>5</v>
      </c>
      <c r="K377" s="62" t="s">
        <v>959</v>
      </c>
      <c r="L377" s="62" t="s">
        <v>39</v>
      </c>
      <c r="M377" s="63" t="s">
        <v>39</v>
      </c>
      <c r="N377" s="64"/>
      <c r="O377" s="65"/>
      <c r="P377" s="65"/>
      <c r="Q377" s="69" t="s">
        <v>1908</v>
      </c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1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0</v>
      </c>
      <c r="AF377" s="1">
        <f t="shared" si="132"/>
        <v>0</v>
      </c>
      <c r="AG377" s="1">
        <f t="shared" si="133"/>
        <v>0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6</v>
      </c>
      <c r="D378" s="48" t="s">
        <v>521</v>
      </c>
      <c r="E378" s="48" t="s">
        <v>31</v>
      </c>
      <c r="F378" s="48" t="s">
        <v>675</v>
      </c>
      <c r="G378" s="48" t="s">
        <v>201</v>
      </c>
      <c r="H378" s="48" t="s">
        <v>355</v>
      </c>
      <c r="I378" s="47" t="s">
        <v>522</v>
      </c>
      <c r="J378" s="47">
        <v>2</v>
      </c>
      <c r="K378" s="49" t="s">
        <v>958</v>
      </c>
      <c r="L378" s="49" t="s">
        <v>698</v>
      </c>
      <c r="M378" s="50" t="s">
        <v>1438</v>
      </c>
      <c r="N378" s="50" t="s">
        <v>1743</v>
      </c>
      <c r="O378" s="51"/>
      <c r="P378" s="51"/>
      <c r="Q378" s="48"/>
      <c r="S378" s="1">
        <f t="shared" si="136"/>
        <v>0</v>
      </c>
      <c r="T378" s="1">
        <f t="shared" si="137"/>
        <v>1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0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34">
        <v>0</v>
      </c>
      <c r="B379" s="34">
        <v>2</v>
      </c>
      <c r="C379" s="34">
        <v>6</v>
      </c>
      <c r="D379" s="35" t="s">
        <v>53</v>
      </c>
      <c r="E379" s="35" t="s">
        <v>31</v>
      </c>
      <c r="F379" s="35" t="s">
        <v>211</v>
      </c>
      <c r="G379" s="35" t="s">
        <v>212</v>
      </c>
      <c r="H379" s="35" t="s">
        <v>355</v>
      </c>
      <c r="I379" s="34" t="s">
        <v>393</v>
      </c>
      <c r="J379" s="34">
        <v>1</v>
      </c>
      <c r="K379" s="36" t="s">
        <v>716</v>
      </c>
      <c r="L379" s="36" t="s">
        <v>708</v>
      </c>
      <c r="M379" s="37" t="s">
        <v>732</v>
      </c>
      <c r="N379" s="37" t="s">
        <v>1751</v>
      </c>
      <c r="O379" s="38">
        <v>1</v>
      </c>
      <c r="P379" s="38"/>
      <c r="Q379" s="35"/>
      <c r="S379" s="1">
        <f t="shared" si="136"/>
        <v>1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0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1</v>
      </c>
      <c r="AF379" s="1">
        <f t="shared" si="132"/>
        <v>0</v>
      </c>
      <c r="AG379" s="1">
        <f t="shared" si="133"/>
        <v>1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15">
        <v>0</v>
      </c>
      <c r="B380" s="15">
        <v>2</v>
      </c>
      <c r="C380" s="15">
        <v>6</v>
      </c>
      <c r="D380" s="16" t="s">
        <v>1870</v>
      </c>
      <c r="E380" s="16" t="s">
        <v>1871</v>
      </c>
      <c r="F380" s="20" t="s">
        <v>1872</v>
      </c>
      <c r="G380" s="16"/>
      <c r="H380" s="20" t="s">
        <v>355</v>
      </c>
      <c r="I380" s="21" t="s">
        <v>1873</v>
      </c>
      <c r="J380" s="15">
        <v>99</v>
      </c>
      <c r="K380" s="10" t="s">
        <v>707</v>
      </c>
      <c r="L380" s="10">
        <v>25</v>
      </c>
      <c r="M380" s="19" t="s">
        <v>1874</v>
      </c>
      <c r="N380" s="19"/>
      <c r="Q380" s="20"/>
      <c r="S380" s="1">
        <f t="shared" si="136"/>
        <v>0</v>
      </c>
      <c r="T380" s="1">
        <f t="shared" si="137"/>
        <v>0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15">
        <v>0</v>
      </c>
      <c r="B381" s="15">
        <v>2</v>
      </c>
      <c r="C381" s="15">
        <v>6</v>
      </c>
      <c r="D381" s="16" t="s">
        <v>80</v>
      </c>
      <c r="E381" s="16" t="s">
        <v>31</v>
      </c>
      <c r="F381" s="16" t="s">
        <v>271</v>
      </c>
      <c r="G381" s="16" t="s">
        <v>225</v>
      </c>
      <c r="H381" s="16" t="s">
        <v>355</v>
      </c>
      <c r="I381" s="15" t="s">
        <v>681</v>
      </c>
      <c r="J381" s="15">
        <v>99</v>
      </c>
      <c r="K381" s="10" t="s">
        <v>959</v>
      </c>
      <c r="L381" s="10" t="s">
        <v>698</v>
      </c>
      <c r="M381" s="19" t="s">
        <v>1439</v>
      </c>
      <c r="N381" s="19"/>
      <c r="Q381" s="16"/>
      <c r="S381" s="1">
        <f t="shared" si="136"/>
        <v>0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0</v>
      </c>
      <c r="AF381" s="1">
        <f t="shared" si="132"/>
        <v>0</v>
      </c>
      <c r="AG381" s="1">
        <f t="shared" si="133"/>
        <v>0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47">
        <v>0</v>
      </c>
      <c r="B382" s="47">
        <v>2</v>
      </c>
      <c r="C382" s="47">
        <v>6</v>
      </c>
      <c r="D382" s="48" t="s">
        <v>641</v>
      </c>
      <c r="E382" s="48" t="s">
        <v>31</v>
      </c>
      <c r="F382" s="48" t="s">
        <v>642</v>
      </c>
      <c r="G382" s="48" t="s">
        <v>241</v>
      </c>
      <c r="H382" s="48" t="s">
        <v>355</v>
      </c>
      <c r="I382" s="47" t="s">
        <v>643</v>
      </c>
      <c r="J382" s="47">
        <v>1</v>
      </c>
      <c r="K382" s="49" t="s">
        <v>717</v>
      </c>
      <c r="L382" s="49" t="s">
        <v>698</v>
      </c>
      <c r="M382" s="50" t="s">
        <v>1440</v>
      </c>
      <c r="N382" s="50" t="s">
        <v>1743</v>
      </c>
      <c r="O382" s="51"/>
      <c r="P382" s="51"/>
      <c r="Q382" s="48"/>
      <c r="S382" s="1">
        <f t="shared" si="136"/>
        <v>1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47">
        <v>0</v>
      </c>
      <c r="B383" s="47">
        <v>2</v>
      </c>
      <c r="C383" s="47">
        <v>6</v>
      </c>
      <c r="D383" s="48" t="s">
        <v>1139</v>
      </c>
      <c r="E383" s="48" t="s">
        <v>31</v>
      </c>
      <c r="F383" s="48" t="s">
        <v>675</v>
      </c>
      <c r="G383" s="48" t="s">
        <v>201</v>
      </c>
      <c r="H383" s="48" t="s">
        <v>355</v>
      </c>
      <c r="I383" s="47" t="s">
        <v>522</v>
      </c>
      <c r="J383" s="47">
        <v>2</v>
      </c>
      <c r="K383" s="49" t="s">
        <v>716</v>
      </c>
      <c r="L383" s="49" t="s">
        <v>698</v>
      </c>
      <c r="M383" s="50" t="s">
        <v>732</v>
      </c>
      <c r="N383" s="50" t="s">
        <v>1743</v>
      </c>
      <c r="O383" s="51"/>
      <c r="P383" s="51"/>
      <c r="Q383" s="48"/>
      <c r="S383" s="1">
        <f t="shared" si="136"/>
        <v>0</v>
      </c>
      <c r="T383" s="1">
        <f t="shared" si="137"/>
        <v>1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1087</v>
      </c>
      <c r="E384" s="48" t="s">
        <v>160</v>
      </c>
      <c r="F384" s="48" t="s">
        <v>199</v>
      </c>
      <c r="G384" s="48" t="s">
        <v>200</v>
      </c>
      <c r="H384" s="48" t="s">
        <v>355</v>
      </c>
      <c r="I384" s="47" t="s">
        <v>389</v>
      </c>
      <c r="J384" s="47">
        <v>99</v>
      </c>
      <c r="K384" s="49" t="s">
        <v>716</v>
      </c>
      <c r="L384" s="49" t="s">
        <v>720</v>
      </c>
      <c r="M384" s="50" t="s">
        <v>734</v>
      </c>
      <c r="N384" s="50" t="s">
        <v>1742</v>
      </c>
      <c r="O384" s="51"/>
      <c r="P384" s="51"/>
      <c r="Q384" s="48"/>
      <c r="S384" s="1">
        <f t="shared" si="136"/>
        <v>0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34">
        <v>0</v>
      </c>
      <c r="B385" s="34">
        <v>2</v>
      </c>
      <c r="C385" s="34">
        <v>7</v>
      </c>
      <c r="D385" s="35" t="s">
        <v>511</v>
      </c>
      <c r="E385" s="35" t="s">
        <v>157</v>
      </c>
      <c r="F385" s="35" t="s">
        <v>512</v>
      </c>
      <c r="G385" s="35" t="s">
        <v>39</v>
      </c>
      <c r="H385" s="35" t="s">
        <v>355</v>
      </c>
      <c r="I385" s="34" t="s">
        <v>946</v>
      </c>
      <c r="J385" s="34">
        <v>7</v>
      </c>
      <c r="K385" s="36" t="s">
        <v>959</v>
      </c>
      <c r="L385" s="36" t="s">
        <v>39</v>
      </c>
      <c r="M385" s="37" t="s">
        <v>39</v>
      </c>
      <c r="N385" s="37" t="s">
        <v>1735</v>
      </c>
      <c r="O385" s="38">
        <v>1</v>
      </c>
      <c r="P385" s="38">
        <v>1</v>
      </c>
      <c r="Q385" s="35"/>
      <c r="S385" s="1">
        <f t="shared" si="136"/>
        <v>0</v>
      </c>
      <c r="T385" s="1">
        <f t="shared" si="137"/>
        <v>0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1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1</v>
      </c>
      <c r="AE385" s="1">
        <f t="shared" si="147"/>
        <v>0</v>
      </c>
      <c r="AF385" s="1">
        <f t="shared" si="132"/>
        <v>1</v>
      </c>
      <c r="AG385" s="1">
        <f t="shared" si="133"/>
        <v>0</v>
      </c>
      <c r="AH385" s="1">
        <f t="shared" si="134"/>
        <v>1</v>
      </c>
      <c r="AI385" s="1">
        <f t="shared" si="135"/>
        <v>0</v>
      </c>
    </row>
    <row r="386" spans="1:35" ht="14.25" customHeight="1" x14ac:dyDescent="0.25">
      <c r="A386" s="34">
        <v>0</v>
      </c>
      <c r="B386" s="34">
        <v>2</v>
      </c>
      <c r="C386" s="34">
        <v>7</v>
      </c>
      <c r="D386" s="35" t="s">
        <v>70</v>
      </c>
      <c r="E386" s="35" t="s">
        <v>28</v>
      </c>
      <c r="F386" s="35" t="s">
        <v>676</v>
      </c>
      <c r="G386" s="35" t="s">
        <v>259</v>
      </c>
      <c r="H386" s="35" t="s">
        <v>355</v>
      </c>
      <c r="I386" s="34" t="s">
        <v>418</v>
      </c>
      <c r="J386" s="34">
        <v>8</v>
      </c>
      <c r="K386" s="36" t="s">
        <v>717</v>
      </c>
      <c r="L386" s="36" t="s">
        <v>717</v>
      </c>
      <c r="M386" s="37" t="s">
        <v>735</v>
      </c>
      <c r="N386" s="37" t="s">
        <v>1751</v>
      </c>
      <c r="O386" s="38">
        <v>1</v>
      </c>
      <c r="P386" s="38"/>
      <c r="Q386" s="35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1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1</v>
      </c>
      <c r="AF386" s="1">
        <f t="shared" si="132"/>
        <v>0</v>
      </c>
      <c r="AG386" s="1">
        <f t="shared" si="133"/>
        <v>1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656</v>
      </c>
      <c r="E387" s="35" t="s">
        <v>157</v>
      </c>
      <c r="F387" s="35" t="s">
        <v>587</v>
      </c>
      <c r="G387" s="35" t="s">
        <v>250</v>
      </c>
      <c r="H387" s="35" t="s">
        <v>355</v>
      </c>
      <c r="I387" s="34" t="s">
        <v>682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1735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47">
        <v>0</v>
      </c>
      <c r="B388" s="47">
        <v>2</v>
      </c>
      <c r="C388" s="47">
        <v>7</v>
      </c>
      <c r="D388" s="48" t="s">
        <v>1642</v>
      </c>
      <c r="E388" s="48" t="s">
        <v>157</v>
      </c>
      <c r="F388" s="48" t="s">
        <v>1665</v>
      </c>
      <c r="G388" s="48" t="s">
        <v>214</v>
      </c>
      <c r="H388" s="48" t="s">
        <v>355</v>
      </c>
      <c r="I388" s="47" t="s">
        <v>596</v>
      </c>
      <c r="J388" s="47">
        <v>1</v>
      </c>
      <c r="K388" s="49" t="s">
        <v>716</v>
      </c>
      <c r="L388" s="49" t="s">
        <v>726</v>
      </c>
      <c r="M388" s="50" t="s">
        <v>1441</v>
      </c>
      <c r="N388" s="50" t="s">
        <v>1743</v>
      </c>
      <c r="O388" s="51"/>
      <c r="P388" s="51"/>
      <c r="Q388" s="48"/>
      <c r="S388" s="1">
        <f t="shared" si="136"/>
        <v>1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0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0</v>
      </c>
      <c r="AF388" s="1">
        <f t="shared" si="132"/>
        <v>0</v>
      </c>
      <c r="AG388" s="1">
        <f t="shared" si="133"/>
        <v>0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1074</v>
      </c>
      <c r="E389" s="48" t="s">
        <v>1050</v>
      </c>
      <c r="F389" s="48" t="s">
        <v>1075</v>
      </c>
      <c r="G389" s="48" t="s">
        <v>214</v>
      </c>
      <c r="H389" s="48" t="s">
        <v>355</v>
      </c>
      <c r="I389" s="47" t="s">
        <v>1076</v>
      </c>
      <c r="J389" s="47">
        <v>1</v>
      </c>
      <c r="K389" s="49" t="s">
        <v>959</v>
      </c>
      <c r="L389" s="49" t="s">
        <v>726</v>
      </c>
      <c r="M389" s="50" t="s">
        <v>1442</v>
      </c>
      <c r="N389" s="50" t="s">
        <v>1743</v>
      </c>
      <c r="O389" s="51"/>
      <c r="P389" s="51"/>
      <c r="Q389" s="48" t="s">
        <v>1926</v>
      </c>
      <c r="S389" s="1">
        <f t="shared" si="136"/>
        <v>1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0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0</v>
      </c>
      <c r="AE389" s="1">
        <f t="shared" si="147"/>
        <v>0</v>
      </c>
      <c r="AF389" s="1">
        <f t="shared" si="132"/>
        <v>0</v>
      </c>
      <c r="AG389" s="1">
        <f t="shared" si="133"/>
        <v>0</v>
      </c>
      <c r="AH389" s="1">
        <f t="shared" si="134"/>
        <v>0</v>
      </c>
      <c r="AI389" s="1">
        <f t="shared" si="135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1021</v>
      </c>
      <c r="E390" s="35" t="s">
        <v>157</v>
      </c>
      <c r="F390" s="35" t="s">
        <v>1092</v>
      </c>
      <c r="G390" s="35" t="s">
        <v>1102</v>
      </c>
      <c r="H390" s="35" t="s">
        <v>355</v>
      </c>
      <c r="I390" s="34" t="s">
        <v>1022</v>
      </c>
      <c r="J390" s="34">
        <v>99</v>
      </c>
      <c r="K390" s="36" t="s">
        <v>717</v>
      </c>
      <c r="L390" s="36" t="s">
        <v>726</v>
      </c>
      <c r="M390" s="37" t="s">
        <v>1442</v>
      </c>
      <c r="N390" s="37" t="s">
        <v>1756</v>
      </c>
      <c r="O390" s="38">
        <v>1</v>
      </c>
      <c r="P390" s="38"/>
      <c r="Q390" s="35"/>
      <c r="S390" s="1">
        <f t="shared" si="136"/>
        <v>0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1</v>
      </c>
      <c r="AF390" s="1">
        <f t="shared" si="132"/>
        <v>0</v>
      </c>
      <c r="AG390" s="1">
        <f t="shared" si="133"/>
        <v>1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1213</v>
      </c>
      <c r="E391" s="35" t="s">
        <v>1340</v>
      </c>
      <c r="F391" s="35" t="s">
        <v>1214</v>
      </c>
      <c r="G391" s="35" t="s">
        <v>39</v>
      </c>
      <c r="H391" s="35" t="s">
        <v>355</v>
      </c>
      <c r="I391" s="34" t="s">
        <v>1693</v>
      </c>
      <c r="J391" s="34">
        <v>99</v>
      </c>
      <c r="K391" s="36" t="s">
        <v>959</v>
      </c>
      <c r="L391" s="36" t="s">
        <v>733</v>
      </c>
      <c r="M391" s="37" t="s">
        <v>1443</v>
      </c>
      <c r="N391" s="37" t="s">
        <v>1756</v>
      </c>
      <c r="O391" s="38">
        <v>1</v>
      </c>
      <c r="P391" s="38"/>
      <c r="Q391" s="35"/>
      <c r="S391" s="1">
        <f t="shared" si="136"/>
        <v>0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1</v>
      </c>
      <c r="AF391" s="1">
        <f t="shared" si="132"/>
        <v>0</v>
      </c>
      <c r="AG391" s="1">
        <f t="shared" si="133"/>
        <v>1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55</v>
      </c>
      <c r="E392" s="35" t="s">
        <v>28</v>
      </c>
      <c r="F392" s="35" t="s">
        <v>646</v>
      </c>
      <c r="G392" s="35" t="s">
        <v>537</v>
      </c>
      <c r="H392" s="35" t="s">
        <v>355</v>
      </c>
      <c r="I392" s="34" t="s">
        <v>395</v>
      </c>
      <c r="J392" s="34">
        <v>6</v>
      </c>
      <c r="K392" s="36" t="s">
        <v>716</v>
      </c>
      <c r="L392" s="36" t="s">
        <v>717</v>
      </c>
      <c r="M392" s="37" t="s">
        <v>735</v>
      </c>
      <c r="N392" s="37" t="s">
        <v>1769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1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1</v>
      </c>
      <c r="B393" s="34">
        <v>2</v>
      </c>
      <c r="C393" s="34">
        <v>7</v>
      </c>
      <c r="D393" s="35" t="s">
        <v>55</v>
      </c>
      <c r="E393" s="35" t="s">
        <v>28</v>
      </c>
      <c r="F393" s="35" t="s">
        <v>217</v>
      </c>
      <c r="G393" s="35" t="s">
        <v>39</v>
      </c>
      <c r="H393" s="35" t="s">
        <v>355</v>
      </c>
      <c r="I393" s="34" t="s">
        <v>30</v>
      </c>
      <c r="J393" s="34">
        <v>99</v>
      </c>
      <c r="K393" s="36" t="s">
        <v>716</v>
      </c>
      <c r="L393" s="36" t="s">
        <v>717</v>
      </c>
      <c r="M393" s="37" t="s">
        <v>735</v>
      </c>
      <c r="N393" s="37" t="s">
        <v>1769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0</v>
      </c>
      <c r="AH393" s="1">
        <f t="shared" si="134"/>
        <v>0</v>
      </c>
      <c r="AI393" s="1">
        <f t="shared" si="135"/>
        <v>0</v>
      </c>
    </row>
    <row r="394" spans="1:35" ht="14.25" customHeight="1" x14ac:dyDescent="0.25">
      <c r="A394" s="34">
        <v>1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216</v>
      </c>
      <c r="G394" s="35" t="s">
        <v>39</v>
      </c>
      <c r="H394" s="35" t="s">
        <v>355</v>
      </c>
      <c r="I394" s="34" t="s">
        <v>395</v>
      </c>
      <c r="J394" s="34">
        <v>99</v>
      </c>
      <c r="K394" s="36" t="s">
        <v>716</v>
      </c>
      <c r="L394" s="36" t="s">
        <v>717</v>
      </c>
      <c r="M394" s="37" t="s">
        <v>735</v>
      </c>
      <c r="N394" s="37" t="s">
        <v>1769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0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0</v>
      </c>
      <c r="AH394" s="1">
        <f t="shared" si="134"/>
        <v>0</v>
      </c>
      <c r="AI394" s="1">
        <f t="shared" si="135"/>
        <v>0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218</v>
      </c>
      <c r="G395" s="35" t="s">
        <v>219</v>
      </c>
      <c r="H395" s="35" t="s">
        <v>355</v>
      </c>
      <c r="I395" s="34" t="s">
        <v>396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1769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68</v>
      </c>
      <c r="E396" s="48" t="s">
        <v>28</v>
      </c>
      <c r="F396" s="48" t="s">
        <v>254</v>
      </c>
      <c r="G396" s="48" t="s">
        <v>255</v>
      </c>
      <c r="H396" s="48" t="s">
        <v>355</v>
      </c>
      <c r="I396" s="47" t="s">
        <v>415</v>
      </c>
      <c r="J396" s="47">
        <v>99</v>
      </c>
      <c r="K396" s="49" t="s">
        <v>717</v>
      </c>
      <c r="L396" s="49" t="s">
        <v>717</v>
      </c>
      <c r="M396" s="50" t="s">
        <v>735</v>
      </c>
      <c r="N396" s="50" t="s">
        <v>1810</v>
      </c>
      <c r="O396" s="51"/>
      <c r="P396" s="51"/>
      <c r="Q396" s="48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0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1</v>
      </c>
    </row>
    <row r="397" spans="1:35" ht="14.25" customHeight="1" x14ac:dyDescent="0.25">
      <c r="A397" s="15">
        <v>0</v>
      </c>
      <c r="B397" s="15">
        <v>2</v>
      </c>
      <c r="C397" s="15">
        <v>7</v>
      </c>
      <c r="D397" s="16" t="s">
        <v>69</v>
      </c>
      <c r="E397" s="16" t="s">
        <v>28</v>
      </c>
      <c r="F397" s="16" t="s">
        <v>256</v>
      </c>
      <c r="G397" s="16" t="s">
        <v>208</v>
      </c>
      <c r="H397" s="16" t="s">
        <v>355</v>
      </c>
      <c r="I397" s="15" t="s">
        <v>416</v>
      </c>
      <c r="J397" s="15">
        <v>99</v>
      </c>
      <c r="K397" s="10" t="s">
        <v>959</v>
      </c>
      <c r="L397" s="10" t="s">
        <v>717</v>
      </c>
      <c r="M397" s="19" t="s">
        <v>735</v>
      </c>
      <c r="N397" s="17"/>
      <c r="Q397" s="16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0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1</v>
      </c>
    </row>
    <row r="398" spans="1:35" ht="14.25" customHeight="1" x14ac:dyDescent="0.25">
      <c r="A398" s="15">
        <v>1</v>
      </c>
      <c r="B398" s="15">
        <v>2</v>
      </c>
      <c r="C398" s="15">
        <v>7</v>
      </c>
      <c r="D398" s="16" t="s">
        <v>69</v>
      </c>
      <c r="E398" s="16" t="s">
        <v>28</v>
      </c>
      <c r="F398" s="20" t="s">
        <v>1882</v>
      </c>
      <c r="G398" s="16" t="s">
        <v>257</v>
      </c>
      <c r="H398" s="16" t="s">
        <v>355</v>
      </c>
      <c r="I398" s="15" t="s">
        <v>417</v>
      </c>
      <c r="J398" s="15">
        <v>99</v>
      </c>
      <c r="K398" s="10" t="s">
        <v>959</v>
      </c>
      <c r="L398" s="10" t="s">
        <v>717</v>
      </c>
      <c r="M398" s="19" t="s">
        <v>735</v>
      </c>
      <c r="N398" s="17"/>
      <c r="Q398" s="16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0</v>
      </c>
    </row>
    <row r="399" spans="1:35" ht="14.25" customHeight="1" x14ac:dyDescent="0.25">
      <c r="A399" s="15">
        <v>1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572</v>
      </c>
      <c r="G399" s="16" t="s">
        <v>573</v>
      </c>
      <c r="H399" s="16" t="s">
        <v>355</v>
      </c>
      <c r="I399" s="15" t="s">
        <v>582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0</v>
      </c>
    </row>
    <row r="400" spans="1:35" ht="14.25" customHeight="1" x14ac:dyDescent="0.25">
      <c r="A400" s="47">
        <v>0</v>
      </c>
      <c r="B400" s="47">
        <v>2</v>
      </c>
      <c r="C400" s="47">
        <v>7</v>
      </c>
      <c r="D400" s="48" t="s">
        <v>71</v>
      </c>
      <c r="E400" s="48" t="s">
        <v>28</v>
      </c>
      <c r="F400" s="48" t="s">
        <v>1357</v>
      </c>
      <c r="G400" s="48" t="s">
        <v>260</v>
      </c>
      <c r="H400" s="48" t="s">
        <v>355</v>
      </c>
      <c r="I400" s="47" t="s">
        <v>419</v>
      </c>
      <c r="J400" s="47">
        <v>99</v>
      </c>
      <c r="K400" s="49" t="s">
        <v>717</v>
      </c>
      <c r="L400" s="49" t="s">
        <v>717</v>
      </c>
      <c r="M400" s="50" t="s">
        <v>735</v>
      </c>
      <c r="N400" s="50" t="s">
        <v>1810</v>
      </c>
      <c r="O400" s="51"/>
      <c r="P400" s="51"/>
      <c r="Q400" s="48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1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1066</v>
      </c>
      <c r="E401" s="48" t="s">
        <v>28</v>
      </c>
      <c r="F401" s="48" t="s">
        <v>1067</v>
      </c>
      <c r="G401" s="48" t="s">
        <v>1068</v>
      </c>
      <c r="H401" s="48" t="s">
        <v>355</v>
      </c>
      <c r="I401" s="47" t="s">
        <v>1069</v>
      </c>
      <c r="J401" s="47">
        <v>99</v>
      </c>
      <c r="K401" s="49" t="s">
        <v>717</v>
      </c>
      <c r="L401" s="49" t="s">
        <v>717</v>
      </c>
      <c r="M401" s="50" t="s">
        <v>735</v>
      </c>
      <c r="N401" s="50" t="s">
        <v>1810</v>
      </c>
      <c r="O401" s="51"/>
      <c r="P401" s="51"/>
      <c r="Q401" s="48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1814</v>
      </c>
      <c r="E402" s="35" t="s">
        <v>157</v>
      </c>
      <c r="F402" s="35" t="s">
        <v>1815</v>
      </c>
      <c r="G402" s="35"/>
      <c r="H402" s="35" t="s">
        <v>355</v>
      </c>
      <c r="I402" s="34" t="s">
        <v>1816</v>
      </c>
      <c r="J402" s="34">
        <v>99</v>
      </c>
      <c r="K402" s="36" t="s">
        <v>707</v>
      </c>
      <c r="L402" s="36"/>
      <c r="M402" s="37"/>
      <c r="N402" s="37" t="s">
        <v>1735</v>
      </c>
      <c r="O402" s="38">
        <v>1</v>
      </c>
      <c r="P402" s="38">
        <v>1</v>
      </c>
      <c r="Q402" s="35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1</v>
      </c>
      <c r="AE402" s="1">
        <f t="shared" si="181"/>
        <v>0</v>
      </c>
      <c r="AF402" s="1">
        <f t="shared" si="166"/>
        <v>1</v>
      </c>
      <c r="AG402" s="1">
        <f t="shared" si="167"/>
        <v>0</v>
      </c>
      <c r="AH402" s="1">
        <f t="shared" si="168"/>
        <v>1</v>
      </c>
      <c r="AI402" s="1">
        <f t="shared" si="169"/>
        <v>0</v>
      </c>
    </row>
    <row r="403" spans="1:35" ht="14.25" customHeight="1" x14ac:dyDescent="0.25">
      <c r="A403" s="34">
        <v>0</v>
      </c>
      <c r="B403" s="34">
        <v>2</v>
      </c>
      <c r="C403" s="34">
        <v>7</v>
      </c>
      <c r="D403" s="35" t="s">
        <v>1186</v>
      </c>
      <c r="E403" s="35" t="s">
        <v>157</v>
      </c>
      <c r="F403" s="35" t="s">
        <v>1187</v>
      </c>
      <c r="G403" s="35" t="s">
        <v>294</v>
      </c>
      <c r="H403" s="35" t="s">
        <v>355</v>
      </c>
      <c r="I403" s="34" t="s">
        <v>1188</v>
      </c>
      <c r="J403" s="34">
        <v>99</v>
      </c>
      <c r="K403" s="36" t="s">
        <v>717</v>
      </c>
      <c r="L403" s="36" t="s">
        <v>726</v>
      </c>
      <c r="M403" s="37" t="s">
        <v>1442</v>
      </c>
      <c r="N403" s="37" t="s">
        <v>1756</v>
      </c>
      <c r="O403" s="38">
        <v>1</v>
      </c>
      <c r="P403" s="38"/>
      <c r="Q403" s="35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1</v>
      </c>
      <c r="AF403" s="1">
        <f t="shared" si="166"/>
        <v>0</v>
      </c>
      <c r="AG403" s="1">
        <f t="shared" si="167"/>
        <v>1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1159</v>
      </c>
      <c r="E404" s="35" t="s">
        <v>1160</v>
      </c>
      <c r="F404" s="39" t="s">
        <v>1886</v>
      </c>
      <c r="G404" s="35" t="s">
        <v>630</v>
      </c>
      <c r="H404" s="35" t="s">
        <v>355</v>
      </c>
      <c r="I404" s="34" t="s">
        <v>1161</v>
      </c>
      <c r="J404" s="34">
        <v>99</v>
      </c>
      <c r="K404" s="36" t="s">
        <v>717</v>
      </c>
      <c r="L404" s="36" t="s">
        <v>717</v>
      </c>
      <c r="M404" s="37" t="s">
        <v>735</v>
      </c>
      <c r="N404" s="37" t="s">
        <v>1751</v>
      </c>
      <c r="O404" s="38">
        <v>1</v>
      </c>
      <c r="P404" s="38"/>
      <c r="Q404" s="39" t="s">
        <v>1906</v>
      </c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0</v>
      </c>
      <c r="AE404" s="1">
        <f t="shared" si="181"/>
        <v>1</v>
      </c>
      <c r="AF404" s="1">
        <f t="shared" si="166"/>
        <v>0</v>
      </c>
      <c r="AG404" s="1">
        <f t="shared" si="167"/>
        <v>1</v>
      </c>
      <c r="AH404" s="1">
        <f t="shared" si="168"/>
        <v>0</v>
      </c>
      <c r="AI404" s="1">
        <f t="shared" si="169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544</v>
      </c>
      <c r="E405" s="35" t="s">
        <v>159</v>
      </c>
      <c r="F405" s="35" t="s">
        <v>196</v>
      </c>
      <c r="G405" s="35" t="s">
        <v>197</v>
      </c>
      <c r="H405" s="35" t="s">
        <v>355</v>
      </c>
      <c r="I405" s="34" t="s">
        <v>552</v>
      </c>
      <c r="J405" s="34">
        <v>99</v>
      </c>
      <c r="K405" s="36" t="s">
        <v>959</v>
      </c>
      <c r="L405" s="36" t="s">
        <v>700</v>
      </c>
      <c r="M405" s="37" t="s">
        <v>1444</v>
      </c>
      <c r="N405" s="37" t="s">
        <v>1756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15">
        <v>0</v>
      </c>
      <c r="B406" s="15">
        <v>2</v>
      </c>
      <c r="C406" s="15">
        <v>7</v>
      </c>
      <c r="D406" s="16" t="s">
        <v>46</v>
      </c>
      <c r="E406" s="16" t="s">
        <v>157</v>
      </c>
      <c r="F406" s="16" t="s">
        <v>184</v>
      </c>
      <c r="G406" s="16" t="s">
        <v>180</v>
      </c>
      <c r="H406" s="16" t="s">
        <v>355</v>
      </c>
      <c r="I406" s="15" t="s">
        <v>383</v>
      </c>
      <c r="J406" s="15">
        <v>10</v>
      </c>
      <c r="K406" s="10" t="s">
        <v>959</v>
      </c>
      <c r="L406" s="10" t="s">
        <v>726</v>
      </c>
      <c r="M406" s="19" t="s">
        <v>1442</v>
      </c>
      <c r="N406" s="19"/>
      <c r="Q406" s="16"/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1</v>
      </c>
      <c r="AD406" s="1">
        <f t="shared" si="180"/>
        <v>0</v>
      </c>
      <c r="AE406" s="1">
        <f t="shared" si="181"/>
        <v>0</v>
      </c>
      <c r="AF406" s="1">
        <f t="shared" si="166"/>
        <v>0</v>
      </c>
      <c r="AG406" s="1">
        <f t="shared" si="167"/>
        <v>0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67</v>
      </c>
      <c r="E407" s="48" t="s">
        <v>28</v>
      </c>
      <c r="F407" s="48" t="s">
        <v>249</v>
      </c>
      <c r="G407" s="48" t="s">
        <v>250</v>
      </c>
      <c r="H407" s="48" t="s">
        <v>355</v>
      </c>
      <c r="I407" s="47" t="s">
        <v>412</v>
      </c>
      <c r="J407" s="47">
        <v>7</v>
      </c>
      <c r="K407" s="49" t="s">
        <v>717</v>
      </c>
      <c r="L407" s="49" t="s">
        <v>717</v>
      </c>
      <c r="M407" s="50" t="s">
        <v>735</v>
      </c>
      <c r="N407" s="50" t="s">
        <v>1742</v>
      </c>
      <c r="O407" s="51"/>
      <c r="P407" s="51"/>
      <c r="Q407" s="48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1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0</v>
      </c>
      <c r="AF407" s="1">
        <f t="shared" si="166"/>
        <v>0</v>
      </c>
      <c r="AG407" s="1">
        <f t="shared" si="167"/>
        <v>0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47">
        <v>1</v>
      </c>
      <c r="B408" s="47">
        <v>2</v>
      </c>
      <c r="C408" s="47">
        <v>7</v>
      </c>
      <c r="D408" s="48" t="s">
        <v>67</v>
      </c>
      <c r="E408" s="48" t="s">
        <v>28</v>
      </c>
      <c r="F408" s="48" t="s">
        <v>1043</v>
      </c>
      <c r="G408" s="48" t="s">
        <v>541</v>
      </c>
      <c r="H408" s="48" t="s">
        <v>355</v>
      </c>
      <c r="I408" s="47" t="s">
        <v>30</v>
      </c>
      <c r="J408" s="47">
        <v>1</v>
      </c>
      <c r="K408" s="49" t="s">
        <v>717</v>
      </c>
      <c r="L408" s="49" t="s">
        <v>717</v>
      </c>
      <c r="M408" s="50" t="s">
        <v>735</v>
      </c>
      <c r="N408" s="50" t="s">
        <v>1742</v>
      </c>
      <c r="O408" s="51"/>
      <c r="P408" s="51"/>
      <c r="Q408" s="48"/>
      <c r="S408" s="1">
        <f t="shared" si="170"/>
        <v>1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0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0</v>
      </c>
    </row>
    <row r="409" spans="1:35" ht="14.25" customHeight="1" x14ac:dyDescent="0.25">
      <c r="A409" s="47">
        <v>1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251</v>
      </c>
      <c r="G409" s="48" t="s">
        <v>201</v>
      </c>
      <c r="H409" s="48" t="s">
        <v>355</v>
      </c>
      <c r="I409" s="47" t="s">
        <v>413</v>
      </c>
      <c r="J409" s="47">
        <v>2</v>
      </c>
      <c r="K409" s="49" t="s">
        <v>717</v>
      </c>
      <c r="L409" s="49" t="s">
        <v>717</v>
      </c>
      <c r="M409" s="50" t="s">
        <v>735</v>
      </c>
      <c r="N409" s="50" t="s">
        <v>1742</v>
      </c>
      <c r="O409" s="51"/>
      <c r="P409" s="51"/>
      <c r="Q409" s="48"/>
      <c r="S409" s="1">
        <f t="shared" si="170"/>
        <v>0</v>
      </c>
      <c r="T409" s="1">
        <f t="shared" si="171"/>
        <v>1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0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0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248</v>
      </c>
      <c r="G410" s="48" t="s">
        <v>1359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1742</v>
      </c>
      <c r="O410" s="51"/>
      <c r="P410" s="51"/>
      <c r="Q410" s="48" t="s">
        <v>1925</v>
      </c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253</v>
      </c>
      <c r="G411" s="48" t="s">
        <v>195</v>
      </c>
      <c r="H411" s="48" t="s">
        <v>355</v>
      </c>
      <c r="I411" s="47" t="s">
        <v>414</v>
      </c>
      <c r="J411" s="47">
        <v>9</v>
      </c>
      <c r="K411" s="49" t="s">
        <v>717</v>
      </c>
      <c r="L411" s="49" t="s">
        <v>717</v>
      </c>
      <c r="M411" s="50" t="s">
        <v>735</v>
      </c>
      <c r="N411" s="50" t="s">
        <v>1742</v>
      </c>
      <c r="O411" s="51"/>
      <c r="P411" s="51"/>
      <c r="Q411" s="48"/>
      <c r="S411" s="1">
        <f t="shared" si="170"/>
        <v>0</v>
      </c>
      <c r="T411" s="1">
        <f t="shared" si="171"/>
        <v>0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1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0</v>
      </c>
      <c r="B412" s="47">
        <v>2</v>
      </c>
      <c r="C412" s="47">
        <v>7</v>
      </c>
      <c r="D412" s="48" t="s">
        <v>1027</v>
      </c>
      <c r="E412" s="48" t="s">
        <v>28</v>
      </c>
      <c r="F412" s="48" t="s">
        <v>1028</v>
      </c>
      <c r="G412" s="48" t="s">
        <v>195</v>
      </c>
      <c r="H412" s="48" t="s">
        <v>355</v>
      </c>
      <c r="I412" s="47" t="s">
        <v>1029</v>
      </c>
      <c r="J412" s="47">
        <v>9</v>
      </c>
      <c r="K412" s="49" t="s">
        <v>716</v>
      </c>
      <c r="L412" s="49" t="s">
        <v>717</v>
      </c>
      <c r="M412" s="50" t="s">
        <v>735</v>
      </c>
      <c r="N412" s="50" t="s">
        <v>1743</v>
      </c>
      <c r="O412" s="51"/>
      <c r="P412" s="51"/>
      <c r="Q412" s="48"/>
      <c r="S412" s="1">
        <f t="shared" si="170"/>
        <v>0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1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1</v>
      </c>
    </row>
    <row r="413" spans="1:35" ht="14.25" customHeight="1" x14ac:dyDescent="0.25">
      <c r="A413" s="34">
        <v>0</v>
      </c>
      <c r="B413" s="34">
        <v>2</v>
      </c>
      <c r="C413" s="34">
        <v>7</v>
      </c>
      <c r="D413" s="35" t="s">
        <v>1841</v>
      </c>
      <c r="E413" s="35" t="s">
        <v>1842</v>
      </c>
      <c r="F413" s="35" t="s">
        <v>1843</v>
      </c>
      <c r="G413" s="35" t="s">
        <v>208</v>
      </c>
      <c r="H413" s="35" t="s">
        <v>355</v>
      </c>
      <c r="I413" s="34" t="s">
        <v>30</v>
      </c>
      <c r="J413" s="34"/>
      <c r="K413" s="36" t="s">
        <v>707</v>
      </c>
      <c r="L413" s="36">
        <v>20</v>
      </c>
      <c r="M413" s="37" t="s">
        <v>1844</v>
      </c>
      <c r="N413" s="37" t="s">
        <v>1751</v>
      </c>
      <c r="O413" s="38">
        <v>1</v>
      </c>
      <c r="P413" s="38"/>
      <c r="Q413" s="35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0</v>
      </c>
      <c r="AB413" s="1">
        <f t="shared" si="179"/>
        <v>0</v>
      </c>
      <c r="AD413" s="1">
        <f t="shared" si="180"/>
        <v>0</v>
      </c>
      <c r="AE413" s="1">
        <f t="shared" si="181"/>
        <v>1</v>
      </c>
      <c r="AF413" s="1">
        <f t="shared" si="166"/>
        <v>0</v>
      </c>
      <c r="AG413" s="1">
        <f t="shared" si="167"/>
        <v>1</v>
      </c>
      <c r="AH413" s="1">
        <f t="shared" si="168"/>
        <v>0</v>
      </c>
      <c r="AI413" s="1">
        <f t="shared" si="169"/>
        <v>1</v>
      </c>
    </row>
    <row r="414" spans="1:35" ht="14.25" customHeight="1" x14ac:dyDescent="0.25">
      <c r="A414" s="52">
        <v>0</v>
      </c>
      <c r="B414" s="52">
        <v>2</v>
      </c>
      <c r="C414" s="52">
        <v>7</v>
      </c>
      <c r="D414" s="53" t="s">
        <v>1083</v>
      </c>
      <c r="E414" s="53" t="s">
        <v>546</v>
      </c>
      <c r="F414" s="53" t="s">
        <v>1064</v>
      </c>
      <c r="G414" s="53" t="s">
        <v>239</v>
      </c>
      <c r="H414" s="53" t="s">
        <v>355</v>
      </c>
      <c r="I414" s="52" t="s">
        <v>1065</v>
      </c>
      <c r="J414" s="52">
        <v>99</v>
      </c>
      <c r="K414" s="54" t="s">
        <v>959</v>
      </c>
      <c r="L414" s="54" t="s">
        <v>726</v>
      </c>
      <c r="M414" s="55" t="s">
        <v>1445</v>
      </c>
      <c r="N414" s="55" t="s">
        <v>1751</v>
      </c>
      <c r="O414" s="56">
        <v>1</v>
      </c>
      <c r="P414" s="56"/>
      <c r="Q414" s="53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0</v>
      </c>
      <c r="AB414" s="1">
        <f t="shared" si="179"/>
        <v>0</v>
      </c>
      <c r="AD414" s="1">
        <f t="shared" si="180"/>
        <v>0</v>
      </c>
      <c r="AE414" s="1">
        <f t="shared" si="181"/>
        <v>1</v>
      </c>
      <c r="AF414" s="1">
        <f t="shared" si="166"/>
        <v>0</v>
      </c>
      <c r="AG414" s="1">
        <f t="shared" si="167"/>
        <v>1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1234</v>
      </c>
      <c r="E415" s="35" t="s">
        <v>157</v>
      </c>
      <c r="F415" s="35" t="s">
        <v>1235</v>
      </c>
      <c r="G415" s="35" t="s">
        <v>252</v>
      </c>
      <c r="H415" s="35" t="s">
        <v>355</v>
      </c>
      <c r="I415" s="34" t="s">
        <v>1236</v>
      </c>
      <c r="J415" s="34">
        <v>99</v>
      </c>
      <c r="K415" s="36" t="s">
        <v>717</v>
      </c>
      <c r="L415" s="36">
        <v>10</v>
      </c>
      <c r="M415" s="37" t="s">
        <v>1754</v>
      </c>
      <c r="N415" s="37" t="s">
        <v>1735</v>
      </c>
      <c r="O415" s="38">
        <v>1</v>
      </c>
      <c r="P415" s="38">
        <v>1</v>
      </c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1</v>
      </c>
      <c r="AE415" s="1">
        <f t="shared" si="181"/>
        <v>0</v>
      </c>
      <c r="AF415" s="1">
        <f t="shared" si="166"/>
        <v>1</v>
      </c>
      <c r="AG415" s="1">
        <f t="shared" si="167"/>
        <v>0</v>
      </c>
      <c r="AH415" s="1">
        <f t="shared" si="168"/>
        <v>1</v>
      </c>
      <c r="AI415" s="1">
        <f t="shared" si="169"/>
        <v>0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9" t="s">
        <v>1811</v>
      </c>
      <c r="E416" s="39" t="s">
        <v>28</v>
      </c>
      <c r="F416" s="39" t="s">
        <v>1812</v>
      </c>
      <c r="G416" s="39" t="s">
        <v>181</v>
      </c>
      <c r="H416" s="39" t="s">
        <v>355</v>
      </c>
      <c r="I416" s="40" t="s">
        <v>1813</v>
      </c>
      <c r="J416" s="34">
        <v>10</v>
      </c>
      <c r="K416" s="36" t="s">
        <v>707</v>
      </c>
      <c r="L416" s="36">
        <v>10</v>
      </c>
      <c r="M416" s="37"/>
      <c r="N416" s="37" t="s">
        <v>1735</v>
      </c>
      <c r="O416" s="38">
        <v>1</v>
      </c>
      <c r="P416" s="38">
        <v>1</v>
      </c>
      <c r="Q416" s="39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1</v>
      </c>
      <c r="AD416" s="1">
        <f t="shared" ref="AD416:AD420" si="192">+O416*P416</f>
        <v>1</v>
      </c>
      <c r="AE416" s="1">
        <f t="shared" ref="AE416:AE420" si="193">O416*(1-P416)</f>
        <v>0</v>
      </c>
      <c r="AF416" s="1">
        <f t="shared" ref="AF416:AF420" si="194">+O416*P416*(1-A416)</f>
        <v>1</v>
      </c>
      <c r="AG416" s="1">
        <f t="shared" ref="AG416:AG420" si="195">O416*(1-P416)*(1-A416)</f>
        <v>0</v>
      </c>
      <c r="AH416" s="1">
        <f t="shared" ref="AH416:AH420" si="196">+P416*(1-A416)</f>
        <v>1</v>
      </c>
      <c r="AI416" s="1">
        <f t="shared" ref="AI416:AI420" si="197">+(1-A416)*(1-P416)</f>
        <v>0</v>
      </c>
    </row>
    <row r="417" spans="1:35" ht="14.25" customHeight="1" x14ac:dyDescent="0.25">
      <c r="A417" s="40">
        <v>0</v>
      </c>
      <c r="B417" s="40">
        <v>2</v>
      </c>
      <c r="C417" s="40">
        <v>7</v>
      </c>
      <c r="D417" s="39" t="s">
        <v>1593</v>
      </c>
      <c r="E417" s="39" t="s">
        <v>1659</v>
      </c>
      <c r="F417" s="39" t="s">
        <v>1594</v>
      </c>
      <c r="G417" s="39" t="s">
        <v>659</v>
      </c>
      <c r="H417" s="39" t="s">
        <v>355</v>
      </c>
      <c r="I417" s="40" t="s">
        <v>1595</v>
      </c>
      <c r="J417" s="40">
        <v>99</v>
      </c>
      <c r="K417" s="36" t="s">
        <v>717</v>
      </c>
      <c r="L417" s="36" t="s">
        <v>39</v>
      </c>
      <c r="M417" s="37" t="s">
        <v>39</v>
      </c>
      <c r="N417" s="37" t="s">
        <v>1735</v>
      </c>
      <c r="O417" s="38">
        <v>1</v>
      </c>
      <c r="P417" s="38">
        <v>1</v>
      </c>
      <c r="Q417" s="39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47">
        <v>0</v>
      </c>
      <c r="B418" s="47">
        <v>2</v>
      </c>
      <c r="C418" s="47">
        <v>7</v>
      </c>
      <c r="D418" s="48" t="s">
        <v>1545</v>
      </c>
      <c r="E418" s="48" t="s">
        <v>28</v>
      </c>
      <c r="F418" s="48" t="s">
        <v>1670</v>
      </c>
      <c r="G418" s="48" t="s">
        <v>288</v>
      </c>
      <c r="H418" s="48" t="s">
        <v>355</v>
      </c>
      <c r="I418" s="47" t="s">
        <v>1696</v>
      </c>
      <c r="J418" s="47">
        <v>99</v>
      </c>
      <c r="K418" s="49" t="s">
        <v>717</v>
      </c>
      <c r="L418" s="49" t="s">
        <v>717</v>
      </c>
      <c r="M418" s="50" t="s">
        <v>735</v>
      </c>
      <c r="N418" s="50" t="s">
        <v>1743</v>
      </c>
      <c r="O418" s="51"/>
      <c r="P418" s="51"/>
      <c r="Q418" s="48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0</v>
      </c>
      <c r="AD418" s="1">
        <f t="shared" si="192"/>
        <v>0</v>
      </c>
      <c r="AE418" s="1">
        <f t="shared" si="193"/>
        <v>0</v>
      </c>
      <c r="AF418" s="1">
        <f t="shared" si="194"/>
        <v>0</v>
      </c>
      <c r="AG418" s="1">
        <f t="shared" si="195"/>
        <v>0</v>
      </c>
      <c r="AH418" s="1">
        <f t="shared" si="196"/>
        <v>0</v>
      </c>
      <c r="AI418" s="1">
        <f t="shared" si="197"/>
        <v>1</v>
      </c>
    </row>
    <row r="419" spans="1:35" ht="14.25" customHeight="1" x14ac:dyDescent="0.25">
      <c r="A419" s="47">
        <v>0</v>
      </c>
      <c r="B419" s="47">
        <v>2</v>
      </c>
      <c r="C419" s="47">
        <v>7</v>
      </c>
      <c r="D419" s="48" t="s">
        <v>1336</v>
      </c>
      <c r="E419" s="48" t="s">
        <v>28</v>
      </c>
      <c r="F419" s="48" t="s">
        <v>574</v>
      </c>
      <c r="G419" s="48" t="s">
        <v>182</v>
      </c>
      <c r="H419" s="48" t="s">
        <v>355</v>
      </c>
      <c r="I419" s="47" t="s">
        <v>431</v>
      </c>
      <c r="J419" s="47">
        <v>7</v>
      </c>
      <c r="K419" s="49" t="s">
        <v>716</v>
      </c>
      <c r="L419" s="49" t="s">
        <v>717</v>
      </c>
      <c r="M419" s="50" t="s">
        <v>735</v>
      </c>
      <c r="N419" s="50" t="s">
        <v>1743</v>
      </c>
      <c r="O419" s="51"/>
      <c r="P419" s="51"/>
      <c r="Q419" s="48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1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0</v>
      </c>
      <c r="AE419" s="1">
        <f t="shared" si="193"/>
        <v>0</v>
      </c>
      <c r="AF419" s="1">
        <f t="shared" si="194"/>
        <v>0</v>
      </c>
      <c r="AG419" s="1">
        <f t="shared" si="195"/>
        <v>0</v>
      </c>
      <c r="AH419" s="1">
        <f t="shared" si="196"/>
        <v>0</v>
      </c>
      <c r="AI419" s="1">
        <f t="shared" si="197"/>
        <v>1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72</v>
      </c>
      <c r="E420" s="48" t="s">
        <v>28</v>
      </c>
      <c r="F420" s="68" t="s">
        <v>1883</v>
      </c>
      <c r="G420" s="48" t="s">
        <v>236</v>
      </c>
      <c r="H420" s="48" t="s">
        <v>355</v>
      </c>
      <c r="I420" s="47" t="s">
        <v>683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1743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1</v>
      </c>
      <c r="B421" s="47">
        <v>2</v>
      </c>
      <c r="C421" s="47">
        <v>7</v>
      </c>
      <c r="D421" s="48" t="s">
        <v>72</v>
      </c>
      <c r="E421" s="48" t="s">
        <v>28</v>
      </c>
      <c r="F421" s="48" t="s">
        <v>262</v>
      </c>
      <c r="G421" s="48" t="s">
        <v>221</v>
      </c>
      <c r="H421" s="48" t="s">
        <v>355</v>
      </c>
      <c r="I421" s="47" t="s">
        <v>421</v>
      </c>
      <c r="J421" s="47">
        <v>8</v>
      </c>
      <c r="K421" s="49" t="s">
        <v>717</v>
      </c>
      <c r="L421" s="49" t="s">
        <v>717</v>
      </c>
      <c r="M421" s="50" t="s">
        <v>735</v>
      </c>
      <c r="N421" s="50" t="s">
        <v>1743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0</v>
      </c>
      <c r="Z421" s="1">
        <f t="shared" si="177"/>
        <v>1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0</v>
      </c>
    </row>
    <row r="422" spans="1:35" ht="14.25" customHeight="1" x14ac:dyDescent="0.25">
      <c r="A422" s="47">
        <v>1</v>
      </c>
      <c r="B422" s="47">
        <v>2</v>
      </c>
      <c r="C422" s="47">
        <v>7</v>
      </c>
      <c r="D422" s="48" t="s">
        <v>72</v>
      </c>
      <c r="E422" s="48" t="s">
        <v>28</v>
      </c>
      <c r="F422" s="48" t="s">
        <v>261</v>
      </c>
      <c r="G422" s="48" t="s">
        <v>179</v>
      </c>
      <c r="H422" s="48" t="s">
        <v>355</v>
      </c>
      <c r="I422" s="47" t="s">
        <v>420</v>
      </c>
      <c r="J422" s="47">
        <v>1</v>
      </c>
      <c r="K422" s="49" t="s">
        <v>717</v>
      </c>
      <c r="L422" s="49" t="s">
        <v>717</v>
      </c>
      <c r="M422" s="50" t="s">
        <v>735</v>
      </c>
      <c r="N422" s="50" t="s">
        <v>1743</v>
      </c>
      <c r="O422" s="51"/>
      <c r="P422" s="51"/>
      <c r="Q422" s="48"/>
      <c r="S422" s="1">
        <f t="shared" si="170"/>
        <v>1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0</v>
      </c>
    </row>
    <row r="423" spans="1:35" ht="14.25" customHeight="1" x14ac:dyDescent="0.25">
      <c r="A423" s="15">
        <v>0</v>
      </c>
      <c r="B423" s="15">
        <v>2</v>
      </c>
      <c r="C423" s="15">
        <v>7</v>
      </c>
      <c r="D423" s="16" t="s">
        <v>782</v>
      </c>
      <c r="E423" s="16" t="s">
        <v>28</v>
      </c>
      <c r="F423" s="16" t="s">
        <v>783</v>
      </c>
      <c r="G423" s="16" t="s">
        <v>280</v>
      </c>
      <c r="H423" s="16" t="s">
        <v>355</v>
      </c>
      <c r="I423" s="15" t="s">
        <v>784</v>
      </c>
      <c r="J423" s="15">
        <v>99</v>
      </c>
      <c r="K423" s="10" t="s">
        <v>717</v>
      </c>
      <c r="L423" s="10" t="s">
        <v>717</v>
      </c>
      <c r="M423" s="19" t="s">
        <v>735</v>
      </c>
      <c r="N423" s="17"/>
      <c r="Q423" s="16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0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1</v>
      </c>
    </row>
    <row r="424" spans="1:35" ht="14.25" customHeight="1" x14ac:dyDescent="0.25">
      <c r="A424" s="15">
        <v>0</v>
      </c>
      <c r="B424" s="15">
        <v>2</v>
      </c>
      <c r="C424" s="15">
        <v>7</v>
      </c>
      <c r="D424" s="16" t="s">
        <v>85</v>
      </c>
      <c r="E424" s="16" t="s">
        <v>28</v>
      </c>
      <c r="F424" s="16" t="s">
        <v>279</v>
      </c>
      <c r="G424" s="16" t="s">
        <v>280</v>
      </c>
      <c r="H424" s="16" t="s">
        <v>355</v>
      </c>
      <c r="I424" s="15" t="s">
        <v>435</v>
      </c>
      <c r="J424" s="15">
        <v>99</v>
      </c>
      <c r="K424" s="10" t="s">
        <v>717</v>
      </c>
      <c r="L424" s="10" t="s">
        <v>717</v>
      </c>
      <c r="M424" s="19" t="s">
        <v>735</v>
      </c>
      <c r="N424" s="17"/>
      <c r="Q424" s="16"/>
      <c r="S424" s="1">
        <f t="shared" si="170"/>
        <v>0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1</v>
      </c>
    </row>
    <row r="425" spans="1:35" ht="14.25" customHeight="1" x14ac:dyDescent="0.25">
      <c r="A425" s="40">
        <v>0</v>
      </c>
      <c r="B425" s="40">
        <v>2</v>
      </c>
      <c r="C425" s="40">
        <v>7</v>
      </c>
      <c r="D425" s="39" t="s">
        <v>1945</v>
      </c>
      <c r="E425" s="39" t="s">
        <v>28</v>
      </c>
      <c r="F425" s="39" t="s">
        <v>1946</v>
      </c>
      <c r="G425" s="39" t="s">
        <v>186</v>
      </c>
      <c r="H425" s="39" t="s">
        <v>355</v>
      </c>
      <c r="I425" s="40" t="s">
        <v>1947</v>
      </c>
      <c r="J425" s="40">
        <v>99</v>
      </c>
      <c r="K425" s="36" t="s">
        <v>707</v>
      </c>
      <c r="L425" s="36">
        <v>4</v>
      </c>
      <c r="M425" s="37" t="s">
        <v>735</v>
      </c>
      <c r="N425" s="37" t="s">
        <v>1751</v>
      </c>
      <c r="O425" s="38">
        <v>1</v>
      </c>
      <c r="P425" s="38"/>
      <c r="Q425" s="39" t="s">
        <v>1948</v>
      </c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1</v>
      </c>
      <c r="AF425" s="1">
        <f t="shared" si="166"/>
        <v>0</v>
      </c>
      <c r="AG425" s="1">
        <f t="shared" si="167"/>
        <v>1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555</v>
      </c>
      <c r="E426" s="48" t="s">
        <v>28</v>
      </c>
      <c r="F426" s="68" t="s">
        <v>1884</v>
      </c>
      <c r="G426" s="48" t="s">
        <v>558</v>
      </c>
      <c r="H426" s="48" t="s">
        <v>355</v>
      </c>
      <c r="I426" s="47" t="s">
        <v>559</v>
      </c>
      <c r="J426" s="47">
        <v>99</v>
      </c>
      <c r="K426" s="49" t="s">
        <v>717</v>
      </c>
      <c r="L426" s="49" t="s">
        <v>717</v>
      </c>
      <c r="M426" s="50" t="s">
        <v>735</v>
      </c>
      <c r="N426" s="50" t="s">
        <v>1810</v>
      </c>
      <c r="O426" s="51"/>
      <c r="P426" s="51"/>
      <c r="Q426" s="48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7">
        <v>1</v>
      </c>
      <c r="B427" s="47">
        <v>2</v>
      </c>
      <c r="C427" s="47">
        <v>7</v>
      </c>
      <c r="D427" s="48" t="s">
        <v>555</v>
      </c>
      <c r="E427" s="48" t="s">
        <v>28</v>
      </c>
      <c r="F427" s="68" t="s">
        <v>1885</v>
      </c>
      <c r="G427" s="48" t="s">
        <v>556</v>
      </c>
      <c r="H427" s="48" t="s">
        <v>355</v>
      </c>
      <c r="I427" s="47" t="s">
        <v>557</v>
      </c>
      <c r="J427" s="47">
        <v>99</v>
      </c>
      <c r="K427" s="49" t="s">
        <v>717</v>
      </c>
      <c r="L427" s="49" t="s">
        <v>717</v>
      </c>
      <c r="M427" s="50" t="s">
        <v>735</v>
      </c>
      <c r="N427" s="50" t="s">
        <v>1810</v>
      </c>
      <c r="O427" s="51"/>
      <c r="P427" s="51"/>
      <c r="Q427" s="48"/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0</v>
      </c>
      <c r="AF427" s="1">
        <f t="shared" si="166"/>
        <v>0</v>
      </c>
      <c r="AG427" s="1">
        <f t="shared" si="167"/>
        <v>0</v>
      </c>
      <c r="AH427" s="1">
        <f t="shared" si="168"/>
        <v>0</v>
      </c>
      <c r="AI427" s="1">
        <f t="shared" si="169"/>
        <v>0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1193</v>
      </c>
      <c r="E428" s="48" t="s">
        <v>28</v>
      </c>
      <c r="F428" s="48" t="s">
        <v>1686</v>
      </c>
      <c r="G428" s="48" t="s">
        <v>236</v>
      </c>
      <c r="H428" s="48" t="s">
        <v>355</v>
      </c>
      <c r="I428" s="47" t="s">
        <v>1374</v>
      </c>
      <c r="J428" s="47">
        <v>99</v>
      </c>
      <c r="K428" s="49" t="s">
        <v>716</v>
      </c>
      <c r="L428" s="49" t="s">
        <v>717</v>
      </c>
      <c r="M428" s="50" t="s">
        <v>735</v>
      </c>
      <c r="N428" s="50" t="s">
        <v>1743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1193</v>
      </c>
      <c r="E429" s="48" t="s">
        <v>28</v>
      </c>
      <c r="F429" s="48" t="s">
        <v>1687</v>
      </c>
      <c r="G429" s="48" t="s">
        <v>1360</v>
      </c>
      <c r="H429" s="48" t="s">
        <v>355</v>
      </c>
      <c r="I429" s="47" t="s">
        <v>1375</v>
      </c>
      <c r="J429" s="47">
        <v>99</v>
      </c>
      <c r="K429" s="49" t="s">
        <v>716</v>
      </c>
      <c r="L429" s="49" t="s">
        <v>717</v>
      </c>
      <c r="M429" s="50" t="s">
        <v>735</v>
      </c>
      <c r="N429" s="50" t="s">
        <v>1743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1261</v>
      </c>
      <c r="E430" s="35" t="s">
        <v>28</v>
      </c>
      <c r="F430" s="35" t="s">
        <v>1260</v>
      </c>
      <c r="G430" s="35" t="s">
        <v>1245</v>
      </c>
      <c r="H430" s="35" t="s">
        <v>355</v>
      </c>
      <c r="I430" s="34" t="s">
        <v>1262</v>
      </c>
      <c r="J430" s="34">
        <v>99</v>
      </c>
      <c r="K430" s="36" t="s">
        <v>707</v>
      </c>
      <c r="L430" s="36" t="s">
        <v>717</v>
      </c>
      <c r="M430" s="37" t="s">
        <v>735</v>
      </c>
      <c r="N430" s="37" t="s">
        <v>1751</v>
      </c>
      <c r="O430" s="38">
        <v>1</v>
      </c>
      <c r="P430" s="38"/>
      <c r="Q430" s="35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1</v>
      </c>
      <c r="AF430" s="1">
        <f t="shared" si="166"/>
        <v>0</v>
      </c>
      <c r="AG430" s="1">
        <f t="shared" si="167"/>
        <v>1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1261</v>
      </c>
      <c r="E431" s="35" t="s">
        <v>28</v>
      </c>
      <c r="F431" s="35" t="s">
        <v>1259</v>
      </c>
      <c r="G431" s="35" t="s">
        <v>39</v>
      </c>
      <c r="H431" s="35" t="s">
        <v>355</v>
      </c>
      <c r="I431" s="34" t="s">
        <v>1263</v>
      </c>
      <c r="J431" s="34">
        <v>9</v>
      </c>
      <c r="K431" s="36" t="s">
        <v>707</v>
      </c>
      <c r="L431" s="36" t="s">
        <v>717</v>
      </c>
      <c r="M431" s="37" t="s">
        <v>735</v>
      </c>
      <c r="N431" s="37" t="s">
        <v>1751</v>
      </c>
      <c r="O431" s="38">
        <v>1</v>
      </c>
      <c r="P431" s="38"/>
      <c r="Q431" s="35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1</v>
      </c>
      <c r="AB431" s="1">
        <f t="shared" si="179"/>
        <v>0</v>
      </c>
      <c r="AD431" s="1">
        <f t="shared" si="180"/>
        <v>0</v>
      </c>
      <c r="AE431" s="1">
        <f t="shared" si="181"/>
        <v>1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1261</v>
      </c>
      <c r="E432" s="35" t="s">
        <v>28</v>
      </c>
      <c r="F432" s="39" t="s">
        <v>1832</v>
      </c>
      <c r="G432" s="39" t="s">
        <v>259</v>
      </c>
      <c r="H432" s="35" t="s">
        <v>355</v>
      </c>
      <c r="I432" s="40" t="s">
        <v>30</v>
      </c>
      <c r="J432" s="34">
        <v>8</v>
      </c>
      <c r="K432" s="36" t="s">
        <v>707</v>
      </c>
      <c r="L432" s="36" t="s">
        <v>717</v>
      </c>
      <c r="M432" s="37" t="s">
        <v>735</v>
      </c>
      <c r="N432" s="37" t="s">
        <v>1751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1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0</v>
      </c>
      <c r="AH432" s="1">
        <f t="shared" si="168"/>
        <v>0</v>
      </c>
      <c r="AI432" s="1">
        <f t="shared" si="169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51</v>
      </c>
      <c r="E433" s="35" t="s">
        <v>28</v>
      </c>
      <c r="F433" s="35" t="s">
        <v>677</v>
      </c>
      <c r="G433" s="35" t="s">
        <v>186</v>
      </c>
      <c r="H433" s="35" t="s">
        <v>355</v>
      </c>
      <c r="I433" s="34" t="s">
        <v>391</v>
      </c>
      <c r="J433" s="34">
        <v>99</v>
      </c>
      <c r="K433" s="36" t="s">
        <v>716</v>
      </c>
      <c r="L433" s="36" t="s">
        <v>717</v>
      </c>
      <c r="M433" s="37" t="s">
        <v>735</v>
      </c>
      <c r="N433" s="37" t="s">
        <v>1757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0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1</v>
      </c>
      <c r="AH433" s="1">
        <f t="shared" si="168"/>
        <v>0</v>
      </c>
      <c r="AI433" s="1">
        <f t="shared" si="169"/>
        <v>1</v>
      </c>
    </row>
    <row r="434" spans="1:35" ht="14.25" customHeight="1" x14ac:dyDescent="0.25">
      <c r="A434" s="47">
        <v>0</v>
      </c>
      <c r="B434" s="47">
        <v>2</v>
      </c>
      <c r="C434" s="47">
        <v>7</v>
      </c>
      <c r="D434" s="48" t="s">
        <v>1085</v>
      </c>
      <c r="E434" s="48" t="s">
        <v>28</v>
      </c>
      <c r="F434" s="48" t="s">
        <v>1002</v>
      </c>
      <c r="G434" s="48" t="s">
        <v>241</v>
      </c>
      <c r="H434" s="48" t="s">
        <v>355</v>
      </c>
      <c r="I434" s="47" t="s">
        <v>1110</v>
      </c>
      <c r="J434" s="47">
        <v>1</v>
      </c>
      <c r="K434" s="49" t="s">
        <v>716</v>
      </c>
      <c r="L434" s="49" t="s">
        <v>717</v>
      </c>
      <c r="M434" s="50" t="s">
        <v>735</v>
      </c>
      <c r="N434" s="50" t="s">
        <v>1743</v>
      </c>
      <c r="O434" s="51"/>
      <c r="P434" s="51"/>
      <c r="Q434" s="48"/>
      <c r="S434" s="1">
        <f t="shared" si="170"/>
        <v>1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0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0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1</v>
      </c>
    </row>
    <row r="435" spans="1:35" ht="14.25" customHeight="1" x14ac:dyDescent="0.25">
      <c r="A435" s="47">
        <v>1</v>
      </c>
      <c r="B435" s="47">
        <v>2</v>
      </c>
      <c r="C435" s="47">
        <v>7</v>
      </c>
      <c r="D435" s="48" t="s">
        <v>1085</v>
      </c>
      <c r="E435" s="48" t="s">
        <v>28</v>
      </c>
      <c r="F435" s="48" t="s">
        <v>1003</v>
      </c>
      <c r="G435" s="48" t="s">
        <v>1103</v>
      </c>
      <c r="H435" s="48" t="s">
        <v>355</v>
      </c>
      <c r="I435" s="47" t="s">
        <v>1111</v>
      </c>
      <c r="J435" s="47">
        <v>1</v>
      </c>
      <c r="K435" s="49" t="s">
        <v>716</v>
      </c>
      <c r="L435" s="49" t="s">
        <v>717</v>
      </c>
      <c r="M435" s="50" t="s">
        <v>735</v>
      </c>
      <c r="N435" s="50" t="s">
        <v>1743</v>
      </c>
      <c r="O435" s="51"/>
      <c r="P435" s="51"/>
      <c r="Q435" s="48"/>
      <c r="S435" s="1">
        <f t="shared" si="170"/>
        <v>1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0</v>
      </c>
      <c r="AF435" s="1">
        <f t="shared" si="166"/>
        <v>0</v>
      </c>
      <c r="AG435" s="1">
        <f t="shared" si="167"/>
        <v>0</v>
      </c>
      <c r="AH435" s="1">
        <f t="shared" si="168"/>
        <v>0</v>
      </c>
      <c r="AI435" s="1">
        <f t="shared" si="169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1646</v>
      </c>
      <c r="E436" s="35" t="s">
        <v>157</v>
      </c>
      <c r="F436" s="35" t="s">
        <v>1499</v>
      </c>
      <c r="G436" s="35" t="s">
        <v>1500</v>
      </c>
      <c r="H436" s="35" t="s">
        <v>355</v>
      </c>
      <c r="I436" s="34" t="s">
        <v>1501</v>
      </c>
      <c r="J436" s="34">
        <v>99</v>
      </c>
      <c r="K436" s="36" t="s">
        <v>959</v>
      </c>
      <c r="L436" s="36" t="s">
        <v>726</v>
      </c>
      <c r="M436" s="37" t="s">
        <v>736</v>
      </c>
      <c r="N436" s="37" t="s">
        <v>1756</v>
      </c>
      <c r="O436" s="38">
        <v>1</v>
      </c>
      <c r="P436" s="38"/>
      <c r="Q436" s="35"/>
      <c r="S436" s="1">
        <f t="shared" si="170"/>
        <v>0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1</v>
      </c>
      <c r="AF436" s="1">
        <f t="shared" si="166"/>
        <v>0</v>
      </c>
      <c r="AG436" s="1">
        <f t="shared" si="167"/>
        <v>1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82</v>
      </c>
      <c r="E437" s="48" t="s">
        <v>28</v>
      </c>
      <c r="F437" s="48" t="s">
        <v>275</v>
      </c>
      <c r="G437" s="48" t="s">
        <v>276</v>
      </c>
      <c r="H437" s="48" t="s">
        <v>355</v>
      </c>
      <c r="I437" s="47" t="s">
        <v>430</v>
      </c>
      <c r="J437" s="47">
        <v>7</v>
      </c>
      <c r="K437" s="49" t="s">
        <v>959</v>
      </c>
      <c r="L437" s="49" t="s">
        <v>958</v>
      </c>
      <c r="M437" s="50" t="s">
        <v>972</v>
      </c>
      <c r="N437" s="50" t="s">
        <v>1817</v>
      </c>
      <c r="O437" s="51"/>
      <c r="P437" s="51"/>
      <c r="Q437" s="48"/>
      <c r="S437" s="1">
        <f t="shared" si="170"/>
        <v>0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1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1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76</v>
      </c>
      <c r="E438" s="48" t="s">
        <v>28</v>
      </c>
      <c r="F438" s="48" t="s">
        <v>1689</v>
      </c>
      <c r="G438" s="48" t="s">
        <v>191</v>
      </c>
      <c r="H438" s="48" t="s">
        <v>355</v>
      </c>
      <c r="I438" s="47" t="s">
        <v>424</v>
      </c>
      <c r="J438" s="47">
        <v>99</v>
      </c>
      <c r="K438" s="49" t="s">
        <v>958</v>
      </c>
      <c r="L438" s="49" t="s">
        <v>717</v>
      </c>
      <c r="M438" s="50" t="s">
        <v>735</v>
      </c>
      <c r="N438" s="50" t="s">
        <v>1743</v>
      </c>
      <c r="O438" s="51"/>
      <c r="P438" s="51"/>
      <c r="Q438" s="48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0</v>
      </c>
      <c r="AF438" s="1">
        <f t="shared" si="166"/>
        <v>0</v>
      </c>
      <c r="AG438" s="1">
        <f t="shared" si="167"/>
        <v>0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1648</v>
      </c>
      <c r="E439" s="35" t="s">
        <v>164</v>
      </c>
      <c r="F439" s="35" t="s">
        <v>245</v>
      </c>
      <c r="G439" s="35" t="s">
        <v>219</v>
      </c>
      <c r="H439" s="35" t="s">
        <v>355</v>
      </c>
      <c r="I439" s="34" t="s">
        <v>409</v>
      </c>
      <c r="J439" s="34">
        <v>99</v>
      </c>
      <c r="K439" s="36" t="s">
        <v>717</v>
      </c>
      <c r="L439" s="36" t="s">
        <v>726</v>
      </c>
      <c r="M439" s="37" t="s">
        <v>736</v>
      </c>
      <c r="N439" s="37" t="s">
        <v>1735</v>
      </c>
      <c r="O439" s="38">
        <v>1</v>
      </c>
      <c r="P439" s="38">
        <v>1</v>
      </c>
      <c r="Q439" s="35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0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1</v>
      </c>
      <c r="AE439" s="1">
        <f t="shared" si="181"/>
        <v>0</v>
      </c>
      <c r="AF439" s="1">
        <f t="shared" si="166"/>
        <v>1</v>
      </c>
      <c r="AG439" s="1">
        <f t="shared" si="167"/>
        <v>0</v>
      </c>
      <c r="AH439" s="1">
        <f t="shared" si="168"/>
        <v>1</v>
      </c>
      <c r="AI439" s="1">
        <f t="shared" si="169"/>
        <v>0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1546</v>
      </c>
      <c r="E440" s="35" t="s">
        <v>157</v>
      </c>
      <c r="F440" s="35" t="s">
        <v>1547</v>
      </c>
      <c r="G440" s="35" t="s">
        <v>39</v>
      </c>
      <c r="H440" s="35" t="s">
        <v>355</v>
      </c>
      <c r="I440" s="34" t="s">
        <v>1548</v>
      </c>
      <c r="J440" s="34">
        <v>99</v>
      </c>
      <c r="K440" s="36" t="s">
        <v>717</v>
      </c>
      <c r="L440" s="36" t="s">
        <v>726</v>
      </c>
      <c r="M440" s="37" t="s">
        <v>736</v>
      </c>
      <c r="N440" s="37" t="s">
        <v>1756</v>
      </c>
      <c r="O440" s="38">
        <v>1</v>
      </c>
      <c r="P440" s="38"/>
      <c r="Q440" s="35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1</v>
      </c>
      <c r="AF440" s="1">
        <f t="shared" si="166"/>
        <v>0</v>
      </c>
      <c r="AG440" s="1">
        <f t="shared" si="167"/>
        <v>1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1270</v>
      </c>
      <c r="E441" s="48" t="s">
        <v>1532</v>
      </c>
      <c r="F441" s="48" t="s">
        <v>1363</v>
      </c>
      <c r="G441" s="48" t="s">
        <v>187</v>
      </c>
      <c r="H441" s="48" t="s">
        <v>355</v>
      </c>
      <c r="I441" s="47" t="s">
        <v>1376</v>
      </c>
      <c r="J441" s="47">
        <v>1</v>
      </c>
      <c r="K441" s="49" t="s">
        <v>717</v>
      </c>
      <c r="L441" s="49" t="s">
        <v>720</v>
      </c>
      <c r="M441" s="50" t="s">
        <v>1446</v>
      </c>
      <c r="N441" s="50" t="s">
        <v>1743</v>
      </c>
      <c r="O441" s="51"/>
      <c r="P441" s="51"/>
      <c r="Q441" s="48"/>
      <c r="S441" s="1">
        <f t="shared" si="170"/>
        <v>1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0</v>
      </c>
      <c r="AE441" s="1">
        <f t="shared" si="181"/>
        <v>0</v>
      </c>
      <c r="AF441" s="1">
        <f t="shared" si="166"/>
        <v>0</v>
      </c>
      <c r="AG441" s="1">
        <f t="shared" si="167"/>
        <v>0</v>
      </c>
      <c r="AH441" s="1">
        <f t="shared" si="168"/>
        <v>0</v>
      </c>
      <c r="AI441" s="1">
        <f t="shared" si="169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66</v>
      </c>
      <c r="E442" s="35" t="s">
        <v>28</v>
      </c>
      <c r="F442" s="35" t="s">
        <v>978</v>
      </c>
      <c r="G442" s="35" t="s">
        <v>1105</v>
      </c>
      <c r="H442" s="35" t="s">
        <v>355</v>
      </c>
      <c r="I442" s="34" t="s">
        <v>1112</v>
      </c>
      <c r="J442" s="34">
        <v>99</v>
      </c>
      <c r="K442" s="36" t="s">
        <v>717</v>
      </c>
      <c r="L442" s="36" t="s">
        <v>717</v>
      </c>
      <c r="M442" s="37" t="s">
        <v>735</v>
      </c>
      <c r="N442" s="37" t="s">
        <v>1751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34">
        <v>1</v>
      </c>
      <c r="B443" s="34">
        <v>2</v>
      </c>
      <c r="C443" s="34">
        <v>7</v>
      </c>
      <c r="D443" s="35" t="s">
        <v>66</v>
      </c>
      <c r="E443" s="35" t="s">
        <v>28</v>
      </c>
      <c r="F443" s="35" t="s">
        <v>246</v>
      </c>
      <c r="G443" s="35" t="s">
        <v>225</v>
      </c>
      <c r="H443" s="35" t="s">
        <v>355</v>
      </c>
      <c r="I443" s="34" t="s">
        <v>410</v>
      </c>
      <c r="J443" s="34">
        <v>99</v>
      </c>
      <c r="K443" s="36" t="s">
        <v>717</v>
      </c>
      <c r="L443" s="36" t="s">
        <v>717</v>
      </c>
      <c r="M443" s="37" t="s">
        <v>735</v>
      </c>
      <c r="N443" s="37" t="s">
        <v>1751</v>
      </c>
      <c r="O443" s="38">
        <v>1</v>
      </c>
      <c r="P443" s="38"/>
      <c r="Q443" s="35"/>
      <c r="S443" s="1">
        <f t="shared" si="170"/>
        <v>0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1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0</v>
      </c>
    </row>
    <row r="444" spans="1:35" ht="14.25" customHeight="1" x14ac:dyDescent="0.25">
      <c r="A444" s="34">
        <v>1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247</v>
      </c>
      <c r="G444" s="35" t="s">
        <v>221</v>
      </c>
      <c r="H444" s="35" t="s">
        <v>355</v>
      </c>
      <c r="I444" s="34" t="s">
        <v>411</v>
      </c>
      <c r="J444" s="34">
        <v>8</v>
      </c>
      <c r="K444" s="36" t="s">
        <v>717</v>
      </c>
      <c r="L444" s="36" t="s">
        <v>717</v>
      </c>
      <c r="M444" s="37" t="s">
        <v>735</v>
      </c>
      <c r="N444" s="37" t="s">
        <v>1751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1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0</v>
      </c>
      <c r="AH444" s="1">
        <f t="shared" si="168"/>
        <v>0</v>
      </c>
      <c r="AI444" s="1">
        <f t="shared" si="169"/>
        <v>0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1038</v>
      </c>
      <c r="G445" s="35" t="s">
        <v>39</v>
      </c>
      <c r="H445" s="35" t="s">
        <v>355</v>
      </c>
      <c r="I445" s="34" t="s">
        <v>1039</v>
      </c>
      <c r="J445" s="34">
        <v>1</v>
      </c>
      <c r="K445" s="36" t="s">
        <v>717</v>
      </c>
      <c r="L445" s="36" t="s">
        <v>717</v>
      </c>
      <c r="M445" s="37" t="s">
        <v>735</v>
      </c>
      <c r="N445" s="37" t="s">
        <v>1751</v>
      </c>
      <c r="O445" s="38">
        <v>1</v>
      </c>
      <c r="P445" s="38"/>
      <c r="Q445" s="35"/>
      <c r="S445" s="1">
        <f t="shared" si="170"/>
        <v>1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1040</v>
      </c>
      <c r="G446" s="35" t="s">
        <v>303</v>
      </c>
      <c r="H446" s="35" t="s">
        <v>355</v>
      </c>
      <c r="I446" s="34" t="s">
        <v>1041</v>
      </c>
      <c r="J446" s="34">
        <v>1</v>
      </c>
      <c r="K446" s="36" t="s">
        <v>717</v>
      </c>
      <c r="L446" s="36" t="s">
        <v>717</v>
      </c>
      <c r="M446" s="37" t="s">
        <v>735</v>
      </c>
      <c r="N446" s="37" t="s">
        <v>1751</v>
      </c>
      <c r="O446" s="38">
        <v>1</v>
      </c>
      <c r="P446" s="38"/>
      <c r="Q446" s="35"/>
      <c r="S446" s="1">
        <f t="shared" si="170"/>
        <v>1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0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47">
        <v>0</v>
      </c>
      <c r="B447" s="47">
        <v>2</v>
      </c>
      <c r="C447" s="47">
        <v>7</v>
      </c>
      <c r="D447" s="48" t="s">
        <v>1581</v>
      </c>
      <c r="E447" s="48" t="s">
        <v>157</v>
      </c>
      <c r="F447" s="48" t="s">
        <v>1582</v>
      </c>
      <c r="G447" s="48" t="s">
        <v>208</v>
      </c>
      <c r="H447" s="48" t="s">
        <v>355</v>
      </c>
      <c r="I447" s="47" t="s">
        <v>1583</v>
      </c>
      <c r="J447" s="47">
        <v>99</v>
      </c>
      <c r="K447" s="49" t="s">
        <v>716</v>
      </c>
      <c r="L447" s="49" t="s">
        <v>726</v>
      </c>
      <c r="M447" s="50" t="s">
        <v>736</v>
      </c>
      <c r="N447" s="50" t="s">
        <v>1755</v>
      </c>
      <c r="O447" s="51"/>
      <c r="P447" s="51"/>
      <c r="Q447" s="48"/>
      <c r="S447" s="1">
        <f t="shared" si="170"/>
        <v>0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0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1136</v>
      </c>
      <c r="E448" s="48" t="s">
        <v>28</v>
      </c>
      <c r="F448" s="48" t="s">
        <v>1137</v>
      </c>
      <c r="G448" s="48" t="s">
        <v>221</v>
      </c>
      <c r="H448" s="48" t="s">
        <v>355</v>
      </c>
      <c r="I448" s="47" t="s">
        <v>1138</v>
      </c>
      <c r="J448" s="47">
        <v>8</v>
      </c>
      <c r="K448" s="49" t="s">
        <v>959</v>
      </c>
      <c r="L448" s="49" t="s">
        <v>717</v>
      </c>
      <c r="M448" s="50" t="s">
        <v>735</v>
      </c>
      <c r="N448" s="50" t="s">
        <v>1810</v>
      </c>
      <c r="O448" s="51"/>
      <c r="P448" s="51"/>
      <c r="Q448" s="48"/>
      <c r="S448" s="1">
        <f t="shared" si="170"/>
        <v>0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1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0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1</v>
      </c>
    </row>
    <row r="449" spans="1:35" ht="14.25" customHeight="1" x14ac:dyDescent="0.25">
      <c r="A449" s="47">
        <v>0</v>
      </c>
      <c r="B449" s="47">
        <v>2</v>
      </c>
      <c r="C449" s="47">
        <v>7</v>
      </c>
      <c r="D449" s="48" t="s">
        <v>73</v>
      </c>
      <c r="E449" s="48" t="s">
        <v>28</v>
      </c>
      <c r="F449" s="48" t="s">
        <v>265</v>
      </c>
      <c r="G449" s="48" t="s">
        <v>195</v>
      </c>
      <c r="H449" s="48" t="s">
        <v>355</v>
      </c>
      <c r="I449" s="47" t="s">
        <v>422</v>
      </c>
      <c r="J449" s="47">
        <v>9</v>
      </c>
      <c r="K449" s="49" t="s">
        <v>716</v>
      </c>
      <c r="L449" s="49" t="s">
        <v>717</v>
      </c>
      <c r="M449" s="50" t="s">
        <v>735</v>
      </c>
      <c r="N449" s="50" t="s">
        <v>1743</v>
      </c>
      <c r="O449" s="51"/>
      <c r="P449" s="51"/>
      <c r="Q449" s="48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1</v>
      </c>
      <c r="AB449" s="1">
        <f t="shared" si="179"/>
        <v>0</v>
      </c>
      <c r="AD449" s="1">
        <f t="shared" si="198"/>
        <v>0</v>
      </c>
      <c r="AE449" s="1">
        <f t="shared" si="199"/>
        <v>0</v>
      </c>
      <c r="AF449" s="1">
        <f t="shared" si="166"/>
        <v>0</v>
      </c>
      <c r="AG449" s="1">
        <f t="shared" si="167"/>
        <v>0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59</v>
      </c>
      <c r="E450" s="35" t="s">
        <v>164</v>
      </c>
      <c r="F450" s="35" t="s">
        <v>226</v>
      </c>
      <c r="G450" s="35" t="s">
        <v>227</v>
      </c>
      <c r="H450" s="35" t="s">
        <v>355</v>
      </c>
      <c r="I450" s="34" t="s">
        <v>399</v>
      </c>
      <c r="J450" s="34">
        <v>99</v>
      </c>
      <c r="K450" s="36" t="s">
        <v>717</v>
      </c>
      <c r="L450" s="36" t="s">
        <v>726</v>
      </c>
      <c r="M450" s="37" t="s">
        <v>736</v>
      </c>
      <c r="N450" s="37" t="s">
        <v>1758</v>
      </c>
      <c r="O450" s="38">
        <v>1</v>
      </c>
      <c r="P450" s="38"/>
      <c r="Q450" s="35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0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1</v>
      </c>
      <c r="AF450" s="1">
        <f t="shared" si="166"/>
        <v>0</v>
      </c>
      <c r="AG450" s="1">
        <f t="shared" si="167"/>
        <v>1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1079</v>
      </c>
      <c r="E451" s="35" t="s">
        <v>157</v>
      </c>
      <c r="F451" s="35" t="s">
        <v>1080</v>
      </c>
      <c r="G451" s="35" t="s">
        <v>221</v>
      </c>
      <c r="H451" s="35" t="s">
        <v>355</v>
      </c>
      <c r="I451" s="34" t="s">
        <v>1081</v>
      </c>
      <c r="J451" s="34">
        <v>8</v>
      </c>
      <c r="K451" s="36" t="s">
        <v>716</v>
      </c>
      <c r="L451" s="36" t="s">
        <v>726</v>
      </c>
      <c r="M451" s="37" t="s">
        <v>736</v>
      </c>
      <c r="N451" s="37" t="s">
        <v>1756</v>
      </c>
      <c r="O451" s="38">
        <v>1</v>
      </c>
      <c r="P451" s="38"/>
      <c r="Q451" s="35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1</v>
      </c>
      <c r="AA451" s="1">
        <f t="shared" si="178"/>
        <v>0</v>
      </c>
      <c r="AB451" s="1">
        <f t="shared" si="179"/>
        <v>0</v>
      </c>
      <c r="AD451" s="1">
        <f t="shared" si="180"/>
        <v>0</v>
      </c>
      <c r="AE451" s="1">
        <f t="shared" si="181"/>
        <v>1</v>
      </c>
      <c r="AF451" s="1">
        <f t="shared" si="166"/>
        <v>0</v>
      </c>
      <c r="AG451" s="1">
        <f t="shared" si="167"/>
        <v>1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81</v>
      </c>
      <c r="E452" s="35" t="s">
        <v>157</v>
      </c>
      <c r="F452" s="35" t="s">
        <v>274</v>
      </c>
      <c r="G452" s="35" t="s">
        <v>255</v>
      </c>
      <c r="H452" s="35" t="s">
        <v>355</v>
      </c>
      <c r="I452" s="34" t="s">
        <v>429</v>
      </c>
      <c r="J452" s="34">
        <v>99</v>
      </c>
      <c r="K452" s="36" t="s">
        <v>717</v>
      </c>
      <c r="L452" s="36" t="s">
        <v>737</v>
      </c>
      <c r="M452" s="37" t="s">
        <v>738</v>
      </c>
      <c r="N452" s="37" t="s">
        <v>1764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40">
        <v>0</v>
      </c>
      <c r="B453" s="40">
        <v>2</v>
      </c>
      <c r="C453" s="40">
        <v>7</v>
      </c>
      <c r="D453" s="39" t="s">
        <v>1783</v>
      </c>
      <c r="E453" s="39" t="s">
        <v>1784</v>
      </c>
      <c r="F453" s="39" t="s">
        <v>1785</v>
      </c>
      <c r="G453" s="39" t="s">
        <v>191</v>
      </c>
      <c r="H453" s="39" t="s">
        <v>355</v>
      </c>
      <c r="I453" s="40"/>
      <c r="J453" s="40"/>
      <c r="K453" s="36" t="s">
        <v>707</v>
      </c>
      <c r="L453" s="36"/>
      <c r="M453" s="37"/>
      <c r="N453" s="37" t="s">
        <v>1735</v>
      </c>
      <c r="O453" s="38">
        <v>1</v>
      </c>
      <c r="P453" s="38">
        <v>1</v>
      </c>
      <c r="Q453" s="39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0</v>
      </c>
      <c r="AA453" s="1">
        <f t="shared" si="178"/>
        <v>0</v>
      </c>
      <c r="AB453" s="1">
        <f t="shared" si="179"/>
        <v>0</v>
      </c>
      <c r="AD453" s="1">
        <f t="shared" si="180"/>
        <v>1</v>
      </c>
      <c r="AE453" s="1">
        <f t="shared" si="181"/>
        <v>0</v>
      </c>
      <c r="AF453" s="1">
        <f t="shared" si="166"/>
        <v>1</v>
      </c>
      <c r="AG453" s="1">
        <f t="shared" si="167"/>
        <v>0</v>
      </c>
      <c r="AH453" s="1">
        <f t="shared" si="168"/>
        <v>1</v>
      </c>
      <c r="AI453" s="1">
        <f t="shared" si="169"/>
        <v>0</v>
      </c>
    </row>
    <row r="454" spans="1:35" ht="14.25" customHeight="1" x14ac:dyDescent="0.25">
      <c r="A454" s="47">
        <v>0</v>
      </c>
      <c r="B454" s="47">
        <v>2</v>
      </c>
      <c r="C454" s="47">
        <v>7</v>
      </c>
      <c r="D454" s="48" t="s">
        <v>516</v>
      </c>
      <c r="E454" s="48" t="s">
        <v>157</v>
      </c>
      <c r="F454" s="48" t="s">
        <v>576</v>
      </c>
      <c r="G454" s="48" t="s">
        <v>322</v>
      </c>
      <c r="H454" s="48" t="s">
        <v>355</v>
      </c>
      <c r="I454" s="47" t="s">
        <v>583</v>
      </c>
      <c r="J454" s="47">
        <v>99</v>
      </c>
      <c r="K454" s="49" t="s">
        <v>958</v>
      </c>
      <c r="L454" s="49" t="s">
        <v>726</v>
      </c>
      <c r="M454" s="50" t="s">
        <v>736</v>
      </c>
      <c r="N454" s="50" t="s">
        <v>1746</v>
      </c>
      <c r="O454" s="51"/>
      <c r="P454" s="51"/>
      <c r="Q454" s="48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0</v>
      </c>
      <c r="AF454" s="1">
        <f t="shared" si="166"/>
        <v>0</v>
      </c>
      <c r="AG454" s="1">
        <f t="shared" si="167"/>
        <v>0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7">
        <v>0</v>
      </c>
      <c r="B455" s="47">
        <v>2</v>
      </c>
      <c r="C455" s="47">
        <v>7</v>
      </c>
      <c r="D455" s="48" t="s">
        <v>74</v>
      </c>
      <c r="E455" s="48" t="s">
        <v>157</v>
      </c>
      <c r="F455" s="48" t="s">
        <v>678</v>
      </c>
      <c r="G455" s="48" t="s">
        <v>266</v>
      </c>
      <c r="H455" s="48" t="s">
        <v>355</v>
      </c>
      <c r="I455" s="47" t="s">
        <v>423</v>
      </c>
      <c r="J455" s="47">
        <v>99</v>
      </c>
      <c r="K455" s="49" t="s">
        <v>716</v>
      </c>
      <c r="L455" s="49" t="s">
        <v>733</v>
      </c>
      <c r="M455" s="50" t="s">
        <v>736</v>
      </c>
      <c r="N455" s="50" t="s">
        <v>1743</v>
      </c>
      <c r="O455" s="51"/>
      <c r="P455" s="51"/>
      <c r="Q455" s="48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0</v>
      </c>
      <c r="AE455" s="1">
        <f t="shared" si="181"/>
        <v>0</v>
      </c>
      <c r="AF455" s="1">
        <f t="shared" si="166"/>
        <v>0</v>
      </c>
      <c r="AG455" s="1">
        <f t="shared" si="167"/>
        <v>0</v>
      </c>
      <c r="AH455" s="1">
        <f t="shared" si="168"/>
        <v>0</v>
      </c>
      <c r="AI455" s="1">
        <f t="shared" si="169"/>
        <v>1</v>
      </c>
    </row>
    <row r="456" spans="1:35" ht="14.25" customHeight="1" x14ac:dyDescent="0.25">
      <c r="A456" s="15">
        <v>0</v>
      </c>
      <c r="B456" s="15">
        <v>2</v>
      </c>
      <c r="C456" s="15">
        <v>7</v>
      </c>
      <c r="D456" s="20" t="s">
        <v>1866</v>
      </c>
      <c r="E456" s="16" t="s">
        <v>157</v>
      </c>
      <c r="F456" s="20" t="s">
        <v>1867</v>
      </c>
      <c r="G456" s="20" t="s">
        <v>284</v>
      </c>
      <c r="H456" s="20" t="s">
        <v>355</v>
      </c>
      <c r="I456" s="21" t="s">
        <v>1868</v>
      </c>
      <c r="J456" s="15">
        <v>99</v>
      </c>
      <c r="K456" s="10" t="s">
        <v>707</v>
      </c>
      <c r="L456" s="10" t="s">
        <v>726</v>
      </c>
      <c r="M456" s="19" t="s">
        <v>736</v>
      </c>
      <c r="N456" s="19"/>
      <c r="Q456" s="20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34">
        <v>0</v>
      </c>
      <c r="B457" s="34">
        <v>2</v>
      </c>
      <c r="C457" s="34">
        <v>7</v>
      </c>
      <c r="D457" s="35" t="s">
        <v>60</v>
      </c>
      <c r="E457" s="35" t="s">
        <v>164</v>
      </c>
      <c r="F457" s="35" t="s">
        <v>228</v>
      </c>
      <c r="G457" s="35" t="s">
        <v>191</v>
      </c>
      <c r="H457" s="35" t="s">
        <v>355</v>
      </c>
      <c r="I457" s="34" t="s">
        <v>400</v>
      </c>
      <c r="J457" s="34">
        <v>99</v>
      </c>
      <c r="K457" s="36" t="s">
        <v>717</v>
      </c>
      <c r="L457" s="36" t="s">
        <v>726</v>
      </c>
      <c r="M457" s="37" t="s">
        <v>736</v>
      </c>
      <c r="N457" s="37" t="s">
        <v>1756</v>
      </c>
      <c r="O457" s="38">
        <v>1</v>
      </c>
      <c r="P457" s="38"/>
      <c r="Q457" s="35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1</v>
      </c>
      <c r="AF457" s="1">
        <f t="shared" si="166"/>
        <v>0</v>
      </c>
      <c r="AG457" s="1">
        <f t="shared" si="167"/>
        <v>1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1337</v>
      </c>
      <c r="E458" s="35" t="s">
        <v>157</v>
      </c>
      <c r="F458" s="35" t="s">
        <v>1149</v>
      </c>
      <c r="G458" s="35" t="s">
        <v>193</v>
      </c>
      <c r="H458" s="35" t="s">
        <v>355</v>
      </c>
      <c r="I458" s="34" t="s">
        <v>1377</v>
      </c>
      <c r="J458" s="34">
        <v>99</v>
      </c>
      <c r="K458" s="36" t="s">
        <v>716</v>
      </c>
      <c r="L458" s="36" t="s">
        <v>39</v>
      </c>
      <c r="M458" s="37" t="s">
        <v>39</v>
      </c>
      <c r="N458" s="37" t="s">
        <v>1735</v>
      </c>
      <c r="O458" s="38">
        <v>1</v>
      </c>
      <c r="P458" s="38">
        <v>1</v>
      </c>
      <c r="Q458" s="35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1</v>
      </c>
      <c r="AE458" s="1">
        <f t="shared" si="201"/>
        <v>0</v>
      </c>
      <c r="AF458" s="1">
        <f t="shared" si="166"/>
        <v>1</v>
      </c>
      <c r="AG458" s="1">
        <f t="shared" si="167"/>
        <v>0</v>
      </c>
      <c r="AH458" s="1">
        <f t="shared" si="168"/>
        <v>1</v>
      </c>
      <c r="AI458" s="1">
        <f t="shared" si="169"/>
        <v>0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591</v>
      </c>
      <c r="E459" s="35" t="s">
        <v>1345</v>
      </c>
      <c r="F459" s="35" t="s">
        <v>679</v>
      </c>
      <c r="G459" s="35" t="s">
        <v>241</v>
      </c>
      <c r="H459" s="35" t="s">
        <v>355</v>
      </c>
      <c r="I459" s="34" t="s">
        <v>406</v>
      </c>
      <c r="J459" s="34">
        <v>1</v>
      </c>
      <c r="K459" s="36" t="s">
        <v>717</v>
      </c>
      <c r="L459" s="36" t="s">
        <v>1719</v>
      </c>
      <c r="M459" s="37" t="s">
        <v>1447</v>
      </c>
      <c r="N459" s="37" t="s">
        <v>1756</v>
      </c>
      <c r="O459" s="38">
        <v>1</v>
      </c>
      <c r="P459" s="38"/>
      <c r="Q459" s="35"/>
      <c r="S459" s="1">
        <f t="shared" si="170"/>
        <v>1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1</v>
      </c>
      <c r="B460" s="34">
        <v>2</v>
      </c>
      <c r="C460" s="34">
        <v>7</v>
      </c>
      <c r="D460" s="35" t="s">
        <v>591</v>
      </c>
      <c r="E460" s="35" t="s">
        <v>1345</v>
      </c>
      <c r="F460" s="35" t="s">
        <v>240</v>
      </c>
      <c r="G460" s="35" t="s">
        <v>179</v>
      </c>
      <c r="H460" s="35" t="s">
        <v>355</v>
      </c>
      <c r="I460" s="34" t="s">
        <v>405</v>
      </c>
      <c r="J460" s="34">
        <v>1</v>
      </c>
      <c r="K460" s="36" t="s">
        <v>717</v>
      </c>
      <c r="L460" s="36" t="s">
        <v>1719</v>
      </c>
      <c r="M460" s="37" t="s">
        <v>1447</v>
      </c>
      <c r="N460" s="37" t="s">
        <v>1756</v>
      </c>
      <c r="O460" s="38">
        <v>1</v>
      </c>
      <c r="P460" s="38"/>
      <c r="Q460" s="39" t="s">
        <v>1919</v>
      </c>
      <c r="S460" s="1">
        <f t="shared" si="170"/>
        <v>1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0</v>
      </c>
      <c r="AE460" s="1">
        <f t="shared" si="201"/>
        <v>1</v>
      </c>
      <c r="AF460" s="1">
        <f t="shared" si="202"/>
        <v>0</v>
      </c>
      <c r="AG460" s="1">
        <f t="shared" si="203"/>
        <v>0</v>
      </c>
      <c r="AH460" s="1">
        <f t="shared" si="204"/>
        <v>0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1338</v>
      </c>
      <c r="E461" s="35" t="s">
        <v>157</v>
      </c>
      <c r="F461" s="35" t="s">
        <v>1364</v>
      </c>
      <c r="G461" s="35" t="s">
        <v>259</v>
      </c>
      <c r="H461" s="35" t="s">
        <v>355</v>
      </c>
      <c r="I461" s="34" t="s">
        <v>1247</v>
      </c>
      <c r="J461" s="34">
        <v>8</v>
      </c>
      <c r="K461" s="36" t="s">
        <v>959</v>
      </c>
      <c r="L461" s="36" t="s">
        <v>726</v>
      </c>
      <c r="M461" s="37" t="s">
        <v>736</v>
      </c>
      <c r="N461" s="37" t="s">
        <v>1756</v>
      </c>
      <c r="O461" s="38">
        <v>1</v>
      </c>
      <c r="P461" s="38"/>
      <c r="Q461" s="35"/>
      <c r="S461" s="1">
        <f t="shared" si="170"/>
        <v>0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1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1338</v>
      </c>
      <c r="E462" s="35" t="s">
        <v>157</v>
      </c>
      <c r="F462" s="35" t="s">
        <v>1226</v>
      </c>
      <c r="G462" s="35" t="s">
        <v>219</v>
      </c>
      <c r="H462" s="35" t="s">
        <v>355</v>
      </c>
      <c r="I462" s="34" t="s">
        <v>1247</v>
      </c>
      <c r="J462" s="34">
        <v>99</v>
      </c>
      <c r="K462" s="36" t="s">
        <v>959</v>
      </c>
      <c r="L462" s="36" t="s">
        <v>726</v>
      </c>
      <c r="M462" s="37" t="s">
        <v>736</v>
      </c>
      <c r="N462" s="37" t="s">
        <v>1756</v>
      </c>
      <c r="O462" s="38">
        <v>1</v>
      </c>
      <c r="P462" s="38"/>
      <c r="Q462" s="35"/>
      <c r="S462" s="1">
        <f t="shared" si="170"/>
        <v>0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47">
        <v>0</v>
      </c>
      <c r="B463" s="47">
        <v>2</v>
      </c>
      <c r="C463" s="47">
        <v>7</v>
      </c>
      <c r="D463" s="48" t="s">
        <v>1256</v>
      </c>
      <c r="E463" s="48" t="s">
        <v>157</v>
      </c>
      <c r="F463" s="48" t="s">
        <v>1258</v>
      </c>
      <c r="G463" s="48" t="s">
        <v>221</v>
      </c>
      <c r="H463" s="48" t="s">
        <v>355</v>
      </c>
      <c r="I463" s="47" t="s">
        <v>1378</v>
      </c>
      <c r="J463" s="47">
        <v>8</v>
      </c>
      <c r="K463" s="49" t="s">
        <v>958</v>
      </c>
      <c r="L463" s="49" t="s">
        <v>726</v>
      </c>
      <c r="M463" s="50" t="s">
        <v>736</v>
      </c>
      <c r="N463" s="50" t="s">
        <v>1743</v>
      </c>
      <c r="O463" s="51"/>
      <c r="P463" s="51"/>
      <c r="Q463" s="48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0</v>
      </c>
      <c r="AF463" s="1">
        <f t="shared" si="202"/>
        <v>0</v>
      </c>
      <c r="AG463" s="1">
        <f t="shared" si="203"/>
        <v>0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47">
        <v>1</v>
      </c>
      <c r="B464" s="47">
        <v>2</v>
      </c>
      <c r="C464" s="47">
        <v>7</v>
      </c>
      <c r="D464" s="48" t="s">
        <v>1256</v>
      </c>
      <c r="E464" s="48" t="s">
        <v>157</v>
      </c>
      <c r="F464" s="48" t="s">
        <v>1365</v>
      </c>
      <c r="G464" s="48" t="s">
        <v>39</v>
      </c>
      <c r="H464" s="48" t="s">
        <v>356</v>
      </c>
      <c r="I464" s="47" t="s">
        <v>1257</v>
      </c>
      <c r="J464" s="47">
        <v>99</v>
      </c>
      <c r="K464" s="49" t="s">
        <v>958</v>
      </c>
      <c r="L464" s="49" t="s">
        <v>726</v>
      </c>
      <c r="M464" s="50" t="s">
        <v>736</v>
      </c>
      <c r="N464" s="50" t="s">
        <v>1743</v>
      </c>
      <c r="O464" s="51"/>
      <c r="P464" s="51"/>
      <c r="Q464" s="68" t="s">
        <v>1912</v>
      </c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0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1</v>
      </c>
      <c r="B465" s="47">
        <v>2</v>
      </c>
      <c r="C465" s="47">
        <v>7</v>
      </c>
      <c r="D465" s="48" t="s">
        <v>1256</v>
      </c>
      <c r="E465" s="48" t="s">
        <v>157</v>
      </c>
      <c r="F465" s="48" t="s">
        <v>1531</v>
      </c>
      <c r="G465" s="48" t="s">
        <v>236</v>
      </c>
      <c r="H465" s="48" t="s">
        <v>355</v>
      </c>
      <c r="I465" s="47" t="s">
        <v>1699</v>
      </c>
      <c r="J465" s="47">
        <v>99</v>
      </c>
      <c r="K465" s="49" t="s">
        <v>958</v>
      </c>
      <c r="L465" s="49" t="s">
        <v>726</v>
      </c>
      <c r="M465" s="50" t="s">
        <v>736</v>
      </c>
      <c r="N465" s="50" t="s">
        <v>1743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0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0</v>
      </c>
    </row>
    <row r="466" spans="1:35" ht="14.25" customHeight="1" x14ac:dyDescent="0.25">
      <c r="A466" s="34">
        <v>0</v>
      </c>
      <c r="B466" s="34">
        <v>2</v>
      </c>
      <c r="C466" s="34">
        <v>7</v>
      </c>
      <c r="D466" s="35" t="s">
        <v>1858</v>
      </c>
      <c r="E466" s="35" t="s">
        <v>1859</v>
      </c>
      <c r="F466" s="35" t="s">
        <v>1860</v>
      </c>
      <c r="G466" s="35" t="s">
        <v>266</v>
      </c>
      <c r="H466" s="35" t="s">
        <v>355</v>
      </c>
      <c r="I466" s="34" t="s">
        <v>1861</v>
      </c>
      <c r="J466" s="34">
        <v>99</v>
      </c>
      <c r="K466" s="36" t="s">
        <v>707</v>
      </c>
      <c r="L466" s="36"/>
      <c r="M466" s="37"/>
      <c r="N466" s="37" t="s">
        <v>1735</v>
      </c>
      <c r="O466" s="38">
        <v>1</v>
      </c>
      <c r="P466" s="38">
        <v>1</v>
      </c>
      <c r="Q466" s="35"/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1</v>
      </c>
      <c r="AE466" s="1">
        <f>O466*(1-P466)</f>
        <v>0</v>
      </c>
      <c r="AF466" s="1">
        <f t="shared" si="202"/>
        <v>1</v>
      </c>
      <c r="AG466" s="1">
        <f t="shared" si="203"/>
        <v>0</v>
      </c>
      <c r="AH466" s="1">
        <f t="shared" si="204"/>
        <v>1</v>
      </c>
      <c r="AI466" s="1">
        <f t="shared" si="205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1251</v>
      </c>
      <c r="E467" s="48" t="s">
        <v>28</v>
      </c>
      <c r="F467" s="48" t="s">
        <v>1244</v>
      </c>
      <c r="G467" s="48" t="s">
        <v>1245</v>
      </c>
      <c r="H467" s="48" t="s">
        <v>355</v>
      </c>
      <c r="I467" s="47" t="s">
        <v>1246</v>
      </c>
      <c r="J467" s="47">
        <v>99</v>
      </c>
      <c r="K467" s="49" t="s">
        <v>716</v>
      </c>
      <c r="L467" s="49" t="s">
        <v>717</v>
      </c>
      <c r="M467" s="50" t="s">
        <v>735</v>
      </c>
      <c r="N467" s="50" t="s">
        <v>1743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28</v>
      </c>
      <c r="F468" s="48" t="s">
        <v>1249</v>
      </c>
      <c r="G468" s="48" t="s">
        <v>525</v>
      </c>
      <c r="H468" s="48" t="s">
        <v>355</v>
      </c>
      <c r="I468" s="47" t="s">
        <v>1250</v>
      </c>
      <c r="J468" s="47">
        <v>99</v>
      </c>
      <c r="K468" s="49" t="s">
        <v>716</v>
      </c>
      <c r="L468" s="49" t="s">
        <v>717</v>
      </c>
      <c r="M468" s="50" t="s">
        <v>735</v>
      </c>
      <c r="N468" s="50" t="s">
        <v>1743</v>
      </c>
      <c r="O468" s="51"/>
      <c r="P468" s="51"/>
      <c r="Q468" s="48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0</v>
      </c>
      <c r="AE468" s="1">
        <f>O468*(1-P468)</f>
        <v>0</v>
      </c>
      <c r="AF468" s="1">
        <f t="shared" si="202"/>
        <v>0</v>
      </c>
      <c r="AG468" s="1">
        <f t="shared" si="203"/>
        <v>0</v>
      </c>
      <c r="AH468" s="1">
        <f t="shared" si="204"/>
        <v>0</v>
      </c>
      <c r="AI468" s="1">
        <f t="shared" si="205"/>
        <v>0</v>
      </c>
    </row>
    <row r="469" spans="1:35" ht="14.25" customHeight="1" x14ac:dyDescent="0.25">
      <c r="A469" s="34">
        <v>0</v>
      </c>
      <c r="B469" s="34">
        <v>2</v>
      </c>
      <c r="C469" s="34">
        <v>7</v>
      </c>
      <c r="D469" s="35" t="s">
        <v>1854</v>
      </c>
      <c r="E469" s="35" t="s">
        <v>1176</v>
      </c>
      <c r="F469" s="35" t="s">
        <v>1855</v>
      </c>
      <c r="G469" s="35"/>
      <c r="H469" s="35" t="s">
        <v>355</v>
      </c>
      <c r="I469" s="34" t="s">
        <v>1856</v>
      </c>
      <c r="J469" s="34">
        <v>6</v>
      </c>
      <c r="K469" s="36" t="s">
        <v>707</v>
      </c>
      <c r="L469" s="36"/>
      <c r="M469" s="37"/>
      <c r="N469" s="37" t="s">
        <v>1756</v>
      </c>
      <c r="O469" s="38">
        <v>1</v>
      </c>
      <c r="P469" s="38"/>
      <c r="Q469" s="35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1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1</v>
      </c>
      <c r="AF469" s="1">
        <f t="shared" si="202"/>
        <v>0</v>
      </c>
      <c r="AG469" s="1">
        <f t="shared" si="203"/>
        <v>1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0</v>
      </c>
      <c r="B470" s="47">
        <v>2</v>
      </c>
      <c r="C470" s="47">
        <v>7</v>
      </c>
      <c r="D470" s="48" t="s">
        <v>1466</v>
      </c>
      <c r="E470" s="48" t="s">
        <v>28</v>
      </c>
      <c r="F470" s="48" t="s">
        <v>1467</v>
      </c>
      <c r="G470" s="48" t="s">
        <v>1468</v>
      </c>
      <c r="H470" s="48" t="s">
        <v>355</v>
      </c>
      <c r="I470" s="47" t="s">
        <v>1469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1743</v>
      </c>
      <c r="O470" s="51"/>
      <c r="P470" s="51"/>
      <c r="Q470" s="48" t="s">
        <v>1939</v>
      </c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1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43</v>
      </c>
      <c r="E471" s="35" t="s">
        <v>543</v>
      </c>
      <c r="F471" s="35" t="s">
        <v>577</v>
      </c>
      <c r="G471" s="35" t="s">
        <v>236</v>
      </c>
      <c r="H471" s="35" t="s">
        <v>355</v>
      </c>
      <c r="I471" s="34" t="s">
        <v>584</v>
      </c>
      <c r="J471" s="34">
        <v>99</v>
      </c>
      <c r="K471" s="36" t="s">
        <v>716</v>
      </c>
      <c r="L471" s="36" t="s">
        <v>733</v>
      </c>
      <c r="M471" s="37" t="s">
        <v>1448</v>
      </c>
      <c r="N471" s="37" t="s">
        <v>1756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0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34">
        <v>1</v>
      </c>
      <c r="B472" s="34">
        <v>2</v>
      </c>
      <c r="C472" s="34">
        <v>7</v>
      </c>
      <c r="D472" s="35" t="s">
        <v>43</v>
      </c>
      <c r="E472" s="35" t="s">
        <v>543</v>
      </c>
      <c r="F472" s="35" t="s">
        <v>272</v>
      </c>
      <c r="G472" s="35" t="s">
        <v>181</v>
      </c>
      <c r="H472" s="35" t="s">
        <v>355</v>
      </c>
      <c r="I472" s="34" t="s">
        <v>427</v>
      </c>
      <c r="J472" s="34">
        <v>10</v>
      </c>
      <c r="K472" s="36" t="s">
        <v>716</v>
      </c>
      <c r="L472" s="36" t="s">
        <v>733</v>
      </c>
      <c r="M472" s="37" t="s">
        <v>1448</v>
      </c>
      <c r="N472" s="37" t="s">
        <v>1756</v>
      </c>
      <c r="O472" s="38">
        <v>1</v>
      </c>
      <c r="P472" s="38"/>
      <c r="Q472" s="35"/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1</v>
      </c>
      <c r="AD472" s="1">
        <f t="shared" si="218"/>
        <v>0</v>
      </c>
      <c r="AE472" s="1">
        <f t="shared" si="219"/>
        <v>1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0</v>
      </c>
    </row>
    <row r="473" spans="1:35" ht="14.25" customHeight="1" x14ac:dyDescent="0.25">
      <c r="A473" s="34">
        <v>1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273</v>
      </c>
      <c r="G473" s="35" t="s">
        <v>39</v>
      </c>
      <c r="H473" s="35" t="s">
        <v>355</v>
      </c>
      <c r="I473" s="34" t="s">
        <v>428</v>
      </c>
      <c r="J473" s="34">
        <v>5</v>
      </c>
      <c r="K473" s="36" t="s">
        <v>716</v>
      </c>
      <c r="L473" s="36" t="s">
        <v>733</v>
      </c>
      <c r="M473" s="37" t="s">
        <v>1448</v>
      </c>
      <c r="N473" s="37" t="s">
        <v>1756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1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0</v>
      </c>
      <c r="AH473" s="1">
        <f t="shared" si="204"/>
        <v>0</v>
      </c>
      <c r="AI473" s="1">
        <f t="shared" si="205"/>
        <v>0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277</v>
      </c>
      <c r="G474" s="35" t="s">
        <v>195</v>
      </c>
      <c r="H474" s="35" t="s">
        <v>355</v>
      </c>
      <c r="I474" s="34" t="s">
        <v>432</v>
      </c>
      <c r="J474" s="34">
        <v>9</v>
      </c>
      <c r="K474" s="36" t="s">
        <v>716</v>
      </c>
      <c r="L474" s="36" t="s">
        <v>733</v>
      </c>
      <c r="M474" s="37" t="s">
        <v>1448</v>
      </c>
      <c r="N474" s="37" t="s">
        <v>1756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1</v>
      </c>
      <c r="AB474" s="1">
        <f t="shared" si="217"/>
        <v>0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47">
        <v>0</v>
      </c>
      <c r="B475" s="47">
        <v>2</v>
      </c>
      <c r="C475" s="47">
        <v>7</v>
      </c>
      <c r="D475" s="48" t="s">
        <v>1569</v>
      </c>
      <c r="E475" s="48" t="s">
        <v>28</v>
      </c>
      <c r="F475" s="48" t="s">
        <v>1570</v>
      </c>
      <c r="G475" s="48" t="s">
        <v>239</v>
      </c>
      <c r="H475" s="48" t="s">
        <v>355</v>
      </c>
      <c r="I475" s="47" t="s">
        <v>1703</v>
      </c>
      <c r="J475" s="47">
        <v>4</v>
      </c>
      <c r="K475" s="49" t="s">
        <v>717</v>
      </c>
      <c r="L475" s="49" t="s">
        <v>717</v>
      </c>
      <c r="M475" s="50" t="s">
        <v>735</v>
      </c>
      <c r="N475" s="50" t="s">
        <v>1743</v>
      </c>
      <c r="O475" s="51"/>
      <c r="P475" s="51"/>
      <c r="Q475" s="48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1</v>
      </c>
      <c r="W475" s="1">
        <f t="shared" si="212"/>
        <v>0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0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1</v>
      </c>
    </row>
    <row r="476" spans="1:35" ht="14.25" customHeight="1" x14ac:dyDescent="0.25">
      <c r="A476" s="47">
        <v>0</v>
      </c>
      <c r="B476" s="47">
        <v>2</v>
      </c>
      <c r="C476" s="47">
        <v>7</v>
      </c>
      <c r="D476" s="48" t="s">
        <v>63</v>
      </c>
      <c r="E476" s="48" t="s">
        <v>44</v>
      </c>
      <c r="F476" s="48" t="s">
        <v>237</v>
      </c>
      <c r="G476" s="48" t="s">
        <v>201</v>
      </c>
      <c r="H476" s="48" t="s">
        <v>355</v>
      </c>
      <c r="I476" s="47" t="s">
        <v>403</v>
      </c>
      <c r="J476" s="47">
        <v>2</v>
      </c>
      <c r="K476" s="49" t="s">
        <v>717</v>
      </c>
      <c r="L476" s="49" t="s">
        <v>726</v>
      </c>
      <c r="M476" s="50" t="s">
        <v>739</v>
      </c>
      <c r="N476" s="50" t="s">
        <v>1743</v>
      </c>
      <c r="O476" s="51"/>
      <c r="P476" s="51"/>
      <c r="Q476" s="48"/>
      <c r="S476" s="1">
        <f t="shared" si="208"/>
        <v>0</v>
      </c>
      <c r="T476" s="1">
        <f t="shared" si="209"/>
        <v>1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0</v>
      </c>
      <c r="AB476" s="1">
        <f t="shared" si="217"/>
        <v>0</v>
      </c>
      <c r="AD476" s="1">
        <f t="shared" si="218"/>
        <v>0</v>
      </c>
      <c r="AE476" s="1">
        <f t="shared" si="219"/>
        <v>0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1</v>
      </c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6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6">
    <sortCondition ref="B8:B476"/>
    <sortCondition ref="C8:C476"/>
    <sortCondition ref="D8:D476"/>
    <sortCondition ref="A8:A47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2026-05-31T08:40:44Z</dcterms:modified>
</cp:coreProperties>
</file>