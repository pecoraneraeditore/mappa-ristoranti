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2EE5F82-DBDF-4A2B-B1CF-FD6A0CF457C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<sst xmlns="http://schemas.openxmlformats.org/spreadsheetml/2006/main" count="4719" uniqueCount="2069">
  <si>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</si>
  <si>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</si>
  <si>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</si>
  <si>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</si>
  <si>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</si>
  <si>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</si>
  <si>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</si>
  <si>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</si>
  <si>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</si>
  <si>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</si>
  <si>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</si>
  <si>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</si>
  <si>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</si>
  <si>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</si>
  <si>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</si>
  <si>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</si>
  <si>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</si>
  <si>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</si>
  <si>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</si>
  <si>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</si>
  <si>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</si>
  <si>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</si>
  <si>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</si>
  <si>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</si>
  <si>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</si>
  <si>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</si>
  <si>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</si>
  <si>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</si>
  <si>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</si>
  <si>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</si>
  <si>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</si>
  <si>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</si>
  <si>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</si>
  <si>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</si>
  <si>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</si>
  <si>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</si>
  <si>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</si>
  <si>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</si>
  <si>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</si>
  <si>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</si>
  <si>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</si>
  <si>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</si>
  <si>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</si>
  <si>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</si>
  <si>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</si>
  <si>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</si>
  <si>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</si>
  <si>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</si>
  <si>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</si>
  <si>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</si>
  <si>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</si>
  <si>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</si>
  <si>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</si>
  <si>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</si>
  <si>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</si>
  <si>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</si>
  <si>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</si>
  <si>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</si>
  <si>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</si>
  <si>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</si>
  <si>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</si>
  <si>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</si>
  <si>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</si>
  <si>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</si>
  <si>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</si>
  <si>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</si>
  <si>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</si>
  <si>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</si>
  <si>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</si>
  <si>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</si>
  <si>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</si>
  <si>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</si>
  <si>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</si>
  <si>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</si>
  <si>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</si>
  <si>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</si>
  <si>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</si>
  <si>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</si>
  <si>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</si>
  <si>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</si>
  <si>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</si>
  <si>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</si>
  <si>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</si>
  <si>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</si>
  <si>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</si>
  <si>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</si>
  <si>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</si>
  <si>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</si>
  <si>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</si>
  <si>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</si>
  <si>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</si>
  <si>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</si>
  <si>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</si>
  <si>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</si>
  <si>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</si>
  <si>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</si>
  <si>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</si>
  <si>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</si>
  <si>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</si>
  <si>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</si>
  <si>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</si>
  <si>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</si>
  <si>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</si>
  <si>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</si>
  <si>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</si>
  <si>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</si>
  <si>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</si>
  <si>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</si>
  <si>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</si>
  <si>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</si>
  <si>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</si>
  <si>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</si>
  <si>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</si>
  <si>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</si>
  <si>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</si>
  <si>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</si>
  <si>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</si>
  <si>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</si>
  <si>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</si>
  <si>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</si>
  <si>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</si>
  <si>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</si>
  <si>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</si>
  <si>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</si>
  <si>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</si>
  <si>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</si>
  <si>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</si>
  <si>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</si>
  <si>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</si>
  <si>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</si>
  <si>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</si>
  <si>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</si>
  <si>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</si>
  <si>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</si>
  <si>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</si>
  <si>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</si>
  <si>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</si>
  <si>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</si>
  <si>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</si>
  <si>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</si>
  <si>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</si>
  <si>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</si>
  <si>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</si>
  <si>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</si>
  <si>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</si>
  <si>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</si>
  <si>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</si>
  <si>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</si>
  <si>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</si>
  <si>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</si>
  <si>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</si>
  <si>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</si>
  <si>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</si>
  <si>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</si>
  <si>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</si>
  <si>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</si>
  <si>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</si>
  <si>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</si>
  <si>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</si>
  <si>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</si>
  <si>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</si>
  <si>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</si>
  <si>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</si>
  <si>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</si>
  <si>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</si>
  <si>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</si>
  <si>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</si>
  <si>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</si>
  <si>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</si>
  <si>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</si>
  <si>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</si>
  <si>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</si>
  <si>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</si>
  <si>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</si>
  <si>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</si>
  <si>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</si>
  <si>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</si>
  <si>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</si>
  <si>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</si>
  <si>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</si>
  <si>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</si>
  <si>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</si>
  <si>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</si>
  <si>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</si>
  <si>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</si>
  <si>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</si>
  <si>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</si>
  <si>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</si>
  <si>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</si>
  <si>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</si>
  <si>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</si>
  <si>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</si>
  <si>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</si>
  <si>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</si>
  <si>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</si>
  <si>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</si>
  <si>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</si>
  <si>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</si>
  <si>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</si>
  <si>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</si>
  <si>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</si>
  <si>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</si>
  <si>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</si>
  <si>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</si>
  <si>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</si>
  <si>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</si>
  <si>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</si>
  <si>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</si>
  <si>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</si>
  <si>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</si>
  <si>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</si>
  <si>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</si>
  <si>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</si>
  <si>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</si>
  <si>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</si>
  <si>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</si>
  <si>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</si>
  <si>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</si>
  <si>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</si>
  <si>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</si>
  <si>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</si>
  <si>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</si>
  <si>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</si>
  <si>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</si>
  <si>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</si>
  <si>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</si>
  <si>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</si>
  <si>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</si>
  <si>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</si>
  <si>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</si>
  <si>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</si>
  <si>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</si>
  <si>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</si>
  <si>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</si>
  <si>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</si>
  <si>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</si>
  <si>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</si>
  <si>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</si>
  <si>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</si>
  <si>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</si>
  <si>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</si>
  <si>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</si>
  <si>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</si>
  <si>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</si>
  <si>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</si>
  <si>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</si>
  <si>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</si>
  <si>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</si>
  <si>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</si>
  <si>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</si>
  <si>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</si>
  <si>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</si>
  <si>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</si>
  <si>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</si>
  <si>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</si>
  <si>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</si>
  <si>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</si>
  <si>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</si>
  <si>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</si>
  <si>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</si>
  <si>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</si>
  <si>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</si>
  <si>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</si>
  <si>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</si>
  <si>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</si>
  <si>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</si>
  <si>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</si>
  <si>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</si>
  <si>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</si>
  <si>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</si>
  <si>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</si>
  <si>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</si>
  <si>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</si>
  <si>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</si>
  <si>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</si>
  <si>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</si>
  <si>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</si>
  <si>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</si>
  <si>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</si>
  <si>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</si>
  <si>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</si>
  <si>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</si>
  <si>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</si>
  <si>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</si>
  <si>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</si>
  <si>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</si>
  <si>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</si>
  <si>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</si>
  <si>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</si>
  <si>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</si>
  <si>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</si>
  <si>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</si>
  <si>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</si>
  <si>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</si>
  <si>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</si>
  <si>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</si>
  <si>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</si>
  <si>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</si>
  <si>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</si>
  <si>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</si>
  <si>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</si>
  <si>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</si>
  <si>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</si>
  <si>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</si>
  <si>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</si>
  <si>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</si>
  <si>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</si>
  <si>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</si>
  <si>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</si>
  <si>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</si>
  <si>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</si>
  <si>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</si>
  <si>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</si>
  <si>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</si>
  <si>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</si>
  <si>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</si>
  <si>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</si>
  <si>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</si>
  <si>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</si>
  <si>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</si>
  <si>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</si>
  <si>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</si>
  <si>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</si>
  <si>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</si>
  <si>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</si>
  <si>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</si>
  <si>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</si>
  <si>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</si>
  <si>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</si>
  <si>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</si>
  <si>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</si>
  <si>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</si>
  <si>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</si>
  <si>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</si>
  <si>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</si>
  <si>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</si>
  <si>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</si>
  <si>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</si>
  <si>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</si>
  <si>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</si>
  <si>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</si>
  <si>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</si>
  <si>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</si>
  <si>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</si>
  <si>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</si>
  <si>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</si>
  <si>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</si>
  <si>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</si>
  <si>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</si>
  <si>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</si>
  <si>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</si>
  <si>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</si>
  <si>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</si>
  <si>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</si>
  <si>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</si>
  <si>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</si>
  <si>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</si>
  <si>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</si>
  <si>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</si>
  <si>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</si>
  <si>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</si>
  <si>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</si>
  <si>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</si>
  <si>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</si>
  <si>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</si>
  <si>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</si>
  <si>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</si>
  <si>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</si>
  <si>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</si>
  <si>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</si>
  <si>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</si>
  <si>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</si>
  <si>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</si>
  <si>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</si>
  <si>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</si>
  <si>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</si>
  <si>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</si>
  <si>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</si>
  <si>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</si>
  <si>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</si>
  <si>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</si>
  <si>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</si>
  <si>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</si>
  <si>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</si>
  <si>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</si>
  <si>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</si>
  <si>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</si>
  <si>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</si>
  <si>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</si>
  <si>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</si>
  <si>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</si>
  <si>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</si>
  <si>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</si>
  <si>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</si>
  <si>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</si>
  <si>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</si>
  <si>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</si>
  <si>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</si>
  <si>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</si>
  <si>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</si>
  <si>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</si>
  <si>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</si>
  <si>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</si>
  <si>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</si>
  <si>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</si>
  <si>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</si>
  <si>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</si>
  <si>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</si>
  <si>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</si>
  <si>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</si>
  <si>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</si>
  <si>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</si>
  <si>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</si>
  <si>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</si>
  <si>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</si>
  <si>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</si>
  <si>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</si>
  <si>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</si>
  <si>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</si>
  <si>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</si>
  <si>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</si>
  <si>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</si>
  <si>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</si>
  <si>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</si>
  <si>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</si>
  <si>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</si>
  <si>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</si>
  <si>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</si>
  <si>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</si>
  <si>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</si>
  <si>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</si>
  <si>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</si>
  <si>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</si>
  <si>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</si>
  <si>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</si>
  <si>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</si>
  <si>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</si>
  <si>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</si>
  <si>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</si>
  <si>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</si>
  <si>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</si>
  <si>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</si>
  <si>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</si>
  <si>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</si>
  <si>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</si>
  <si>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</si>
  <si>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</si>
  <si>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</si>
  <si>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</si>
  <si>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</si>
  <si>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</si>
  <si>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</si>
  <si>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</si>
  <si>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</si>
  <si>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</si>
  <si>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</si>
  <si>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</si>
  <si>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</si>
  <si>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</si>
  <si>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</si>
  <si>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</si>
  <si>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</si>
  <si>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</si>
  <si>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</si>
  <si>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</si>
  <si>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</si>
  <si>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</si>
  <si>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</si>
  <si>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</si>
  <si>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</si>
  <si>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</si>
  <si>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</si>
  <si>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</si>
  <si>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</si>
  <si>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</si>
  <si>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</si>
  <si>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</si>
  <si>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</si>
  <si>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</si>
  <si>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</si>
  <si>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</si>
  <si>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</si>
  <si>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</si>
  <si>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</si>
  <si>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</si>
  <si>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</si>
  <si>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</si>
  <si>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</si>
  <si>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</si>
  <si>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</si>
  <si>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</si>
  <si>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</si>
  <si>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</si>
  <si>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</si>
  <si>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</si>
  <si>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</si>
  <si>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</si>
  <si>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</si>
  <si>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</si>
  <si>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</si>
  <si>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</si>
  <si>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</si>
  <si>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</si>
  <si>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</si>
  <si>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</si>
  <si>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</si>
  <si>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</si>
  <si>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</si>
  <si>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</si>
  <si>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</si>
  <si>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</si>
  <si>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</si>
  <si>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</si>
  <si>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</si>
  <si>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</si>
  <si>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</si>
  <si>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</si>
  <si>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</si>
  <si>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</si>
  <si>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</si>
  <si>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</si>
  <si>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</si>
  <si>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</si>
  <si>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</si>
  <si>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</si>
  <si>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</si>
  <si>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</si>
  <si>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</si>
  <si>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</si>
  <si>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</si>
  <si>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</si>
  <si>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</si>
  <si>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</si>
  <si>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</si>
  <si>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</si>
  <si>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</si>
  <si>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</si>
  <si>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</si>
  <si>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</si>
  <si>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</si>
  <si>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</si>
  <si>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</si>
  <si>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</si>
  <si>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</si>
  <si>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</si>
  <si>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</si>
  <si>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</si>
  <si>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</si>
  <si>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</si>
  <si>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</si>
  <si>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</si>
  <si>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</si>
  <si>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</si>
  <si>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</si>
  <si>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</si>
  <si>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</si>
  <si>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</si>
  <si>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</si>
  <si>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</si>
  <si>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</si>
  <si>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</si>
  <si>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</si>
  <si>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</si>
  <si>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</si>
  <si>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</si>
  <si>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</si>
  <si>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</si>
  <si>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</si>
  <si>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</si>
  <si>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</si>
  <si>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</si>
  <si>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</si>
  <si>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</si>
  <si>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</si>
  <si>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</si>
  <si>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</si>
  <si>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</si>
  <si>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</si>
  <si>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</si>
  <si>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</si>
  <si>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</si>
  <si>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</si>
  <si>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</si>
  <si>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</si>
  <si>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</si>
  <si>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</si>
  <si>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</si>
  <si>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</si>
  <si>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</si>
  <si>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</si>
  <si>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</si>
  <si>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</si>
  <si>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</si>
  <si>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</si>
  <si>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</si>
  <si>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</si>
  <si>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</si>
  <si>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</si>
  <si>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</si>
  <si>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</si>
  <si>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</si>
  <si>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</si>
  <si>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</si>
  <si>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</si>
  <si>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</si>
  <si>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</si>
  <si>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</si>
  <si>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</si>
  <si>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</si>
  <si>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</si>
  <si>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</si>
  <si>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</si>
  <si>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</si>
  <si>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</si>
  <si>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</si>
  <si>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</si>
  <si>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</si>
  <si>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</si>
  <si>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</si>
  <si>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</si>
  <si>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</si>
  <si>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</si>
  <si>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</si>
  <si>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</si>
  <si>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</si>
  <si>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</si>
  <si>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</si>
  <si>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</si>
  <si>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</si>
  <si>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</si>
  <si>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</si>
  <si>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</si>
  <si>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</si>
  <si>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</si>
  <si>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</si>
  <si>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</si>
  <si>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</si>
  <si>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</si>
  <si>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</si>
  <si>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</si>
  <si>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</si>
  <si>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</si>
  <si>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</si>
  <si>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</si>
  <si>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</si>
  <si>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</si>
  <si>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</si>
  <si>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</si>
  <si>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</si>
  <si>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</si>
  <si>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</si>
  <si>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</si>
  <si>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</si>
  <si>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</si>
  <si>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</si>
  <si>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</si>
  <si>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</si>
  <si>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</si>
  <si>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</si>
  <si>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</si>
  <si>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</si>
  <si>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</si>
  <si>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</si>
  <si>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</si>
  <si>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</si>
  <si>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</si>
  <si>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</si>
  <si>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</si>
  <si>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</si>
  <si>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</si>
  <si>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</si>
  <si>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</si>
  <si>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</si>
  <si>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</si>
  <si>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</si>
  <si>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</si>
  <si>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</si>
  <si>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</si>
  <si>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</si>
  <si>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</si>
  <si>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</si>
  <si>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</si>
  <si>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</si>
  <si>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</si>
  <si>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</si>
  <si>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</si>
  <si>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</si>
  <si>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</si>
  <si>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</si>
  <si>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</si>
  <si>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</si>
  <si>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</si>
  <si>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</si>
  <si>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</si>
  <si>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</si>
  <si>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</si>
  <si>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</si>
  <si>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</si>
  <si>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</si>
  <si>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</si>
  <si>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</si>
  <si>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</si>
  <si>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</si>
  <si>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</si>
  <si>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</si>
  <si>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</si>
  <si>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</si>
  <si>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</si>
  <si>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</si>
  <si>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</si>
  <si>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</si>
  <si>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</si>
  <si>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</si>
  <si>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</si>
  <si>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</si>
  <si>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</si>
  <si>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</si>
  <si>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</si>
  <si>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</si>
  <si>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</si>
  <si>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</si>
  <si>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</si>
  <si>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</si>
  <si>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</si>
  <si>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</si>
  <si>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</si>
  <si>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</si>
  <si>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</si>
  <si>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</si>
  <si>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</si>
  <si>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</si>
  <si>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</si>
  <si>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</si>
  <si>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</si>
  <si>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</si>
  <si>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</si>
  <si>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</si>
  <si>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</si>
  <si>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</si>
  <si>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</si>
  <si>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</si>
  <si>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</si>
  <si>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</si>
  <si>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</si>
  <si>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</si>
  <si>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</si>
  <si>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</si>
  <si>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</si>
  <si>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</si>
  <si>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</si>
  <si>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</si>
  <si>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</si>
  <si>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</si>
  <si>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</si>
  <si>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</si>
  <si>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</si>
  <si>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</si>
  <si>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</si>
  <si>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</si>
  <si>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</si>
  <si>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</si>
  <si>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</si>
  <si>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</si>
  <si>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</si>
  <si>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</si>
  <si>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</si>
  <si>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</si>
  <si>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</si>
  <si>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</si>
  <si>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</si>
  <si>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</si>
  <si>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</si>
  <si>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</si>
  <si>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</si>
  <si>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</si>
  <si>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</si>
  <si>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</si>
  <si>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</si>
  <si>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</si>
  <si>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</si>
  <si>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</si>
  <si>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</si>
  <si>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</si>
  <si>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</si>
  <si>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</si>
  <si>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</si>
  <si>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</si>
  <si>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</si>
  <si>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</si>
  <si>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</si>
  <si>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</si>
  <si>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</si>
  <si>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</si>
  <si>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</si>
  <si>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</si>
  <si>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</si>
  <si>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</si>
  <si>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</si>
  <si>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</si>
  <si>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</si>
  <si>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</si>
  <si>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</si>
  <si>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</si>
  <si>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</si>
  <si>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</si>
  <si>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</si>
  <si>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</si>
  <si>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</si>
  <si>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</si>
  <si>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</si>
  <si>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</si>
  <si>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</si>
  <si>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</si>
  <si>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</si>
  <si>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</si>
  <si>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</si>
  <si>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</si>
  <si>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</si>
  <si>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</si>
  <si>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</si>
  <si>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</si>
  <si>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</si>
  <si>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</si>
  <si>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</si>
  <si>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</si>
  <si>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</si>
  <si>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</si>
  <si>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</si>
  <si>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</si>
  <si>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</si>
  <si>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</si>
  <si>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</si>
  <si>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</si>
  <si>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</si>
  <si>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</si>
  <si>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</si>
  <si>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</si>
  <si>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</si>
  <si>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</si>
  <si>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</si>
  <si>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</si>
  <si>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</si>
  <si>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</si>
  <si>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</si>
  <si>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</si>
  <si>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</si>
  <si>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</si>
  <si>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</si>
  <si>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</si>
  <si>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</si>
  <si>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</si>
  <si>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</si>
  <si>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</si>
  <si>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</si>
  <si>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</si>
  <si>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</si>
  <si>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</si>
  <si>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</si>
  <si>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</si>
  <si>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</si>
  <si>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</si>
  <si>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</si>
  <si>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</si>
  <si>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</si>
  <si>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</si>
  <si>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</si>
  <si>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</si>
  <si>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</si>
  <si>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</si>
  <si>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</si>
  <si>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</si>
  <si>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</si>
  <si>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</si>
  <si>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</si>
  <si>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</si>
  <si>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</si>
  <si>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</si>
  <si>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</si>
  <si>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</si>
  <si>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</si>
  <si>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</si>
  <si>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</si>
  <si>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</si>
  <si>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</si>
  <si>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</si>
  <si>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</si>
  <si>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</si>
  <si>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</si>
  <si>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</si>
  <si>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</si>
  <si>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</si>
  <si>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</si>
  <si>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</si>
  <si>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</si>
  <si>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</si>
  <si>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</si>
  <si>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</si>
  <si>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</si>
  <si>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</si>
  <si>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</si>
  <si>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</si>
  <si>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</si>
  <si>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</si>
  <si>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</si>
  <si>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</si>
  <si>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</si>
  <si>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</si>
  <si>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</si>
  <si>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</si>
  <si>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</si>
  <si>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</si>
  <si>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</si>
  <si>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</si>
  <si>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</si>
  <si>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</si>
  <si>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</si>
  <si>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</si>
  <si>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</si>
  <si>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</si>
  <si>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</si>
  <si>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</si>
  <si>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</si>
  <si>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</si>
  <si>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</si>
  <si>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</si>
  <si>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</si>
  <si>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</si>
  <si>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</si>
  <si>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</si>
  <si>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</si>
  <si>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</si>
  <si>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</si>
  <si>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</si>
  <si>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</si>
  <si>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</si>
  <si>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</si>
  <si>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</si>
  <si>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</si>
  <si>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</si>
  <si>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</si>
  <si>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</si>
  <si>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</si>
  <si>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</si>
  <si>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</si>
  <si>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</si>
  <si>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</si>
  <si>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</si>
  <si>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</si>
  <si>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</si>
  <si>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</si>
  <si>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</si>
  <si>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</si>
  <si>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</si>
  <si>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</si>
  <si>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</si>
  <si>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</si>
  <si>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</si>
  <si>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</si>
  <si>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</si>
  <si>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</si>
  <si>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</si>
  <si>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</si>
  <si>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</si>
  <si>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</si>
  <si>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</si>
  <si>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</si>
  <si>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</si>
  <si>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</si>
  <si>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</si>
  <si>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</si>
  <si>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</si>
  <si>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</si>
  <si>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</si>
  <si>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</si>
  <si>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</si>
  <si>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</si>
  <si>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</si>
  <si>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</si>
  <si>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</si>
  <si>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</si>
  <si>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</si>
  <si>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</si>
  <si>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</si>
  <si>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</si>
  <si>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</si>
  <si>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</si>
  <si>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</si>
  <si>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</si>
  <si>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</si>
  <si>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</si>
  <si>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</si>
  <si>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</si>
  <si>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</si>
  <si>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</si>
  <si>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</si>
  <si>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</si>
  <si>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</si>
  <si>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</si>
  <si>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</si>
  <si>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</si>
  <si>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</si>
  <si>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</si>
  <si>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</si>
  <si>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</si>
  <si>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</si>
  <si>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</si>
  <si>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</si>
  <si>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</si>
  <si>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</si>
  <si>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</si>
  <si>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</si>
  <si>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</si>
  <si>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</si>
  <si>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</si>
  <si>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</si>
  <si>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</si>
  <si>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</si>
  <si>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</si>
  <si>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</si>
  <si>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</si>
  <si>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</si>
  <si>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</si>
  <si>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</si>
  <si>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</si>
  <si>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</si>
  <si>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</si>
  <si>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</si>
  <si>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</si>
  <si>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</si>
  <si>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</si>
  <si>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</si>
  <si>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</si>
  <si>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</si>
  <si>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</si>
  <si>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</si>
  <si>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</si>
  <si>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</si>
  <si>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</si>
  <si>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</si>
  <si>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</si>
  <si>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</si>
  <si>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</si>
  <si>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</si>
  <si>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</si>
  <si>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</si>
  <si>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</si>
  <si>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</si>
  <si>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</si>
  <si>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</si>
  <si>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</si>
  <si>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</si>
  <si>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</si>
  <si>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</si>
  <si>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</si>
  <si>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</si>
  <si>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</si>
  <si>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</si>
  <si>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</si>
  <si>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</si>
  <si>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</si>
  <si>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</si>
  <si>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</si>
  <si>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</si>
  <si>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</si>
  <si>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</si>
  <si>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</si>
  <si>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</si>
  <si>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</si>
  <si>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</si>
  <si>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</si>
  <si>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</si>
  <si>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</si>
  <si>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</si>
  <si>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</si>
  <si>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</si>
  <si>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</si>
  <si>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</si>
  <si>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</si>
  <si>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</si>
  <si>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</si>
  <si>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</si>
  <si>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</si>
  <si>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</si>
  <si>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</si>
  <si>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</si>
  <si>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</si>
  <si>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</si>
  <si>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</si>
  <si>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</si>
  <si>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</si>
  <si>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</si>
  <si>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</si>
  <si>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</si>
  <si>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</si>
  <si>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</si>
  <si>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</si>
  <si>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</si>
  <si>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</si>
  <si>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</si>
  <si>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</si>
  <si>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</si>
  <si>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</si>
  <si>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</si>
  <si>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</si>
  <si>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</si>
  <si>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</si>
  <si>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</si>
  <si>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</si>
  <si>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</si>
  <si>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</si>
  <si>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</si>
  <si>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</si>
  <si>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</si>
  <si>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</si>
  <si>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</si>
  <si>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</si>
  <si>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</si>
  <si>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</si>
  <si>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</si>
  <si>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</si>
  <si>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</si>
  <si>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</si>
  <si>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</si>
  <si>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</si>
  <si>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</si>
  <si>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</si>
  <si>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</si>
  <si>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</si>
  <si>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</si>
  <si>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</si>
  <si>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</si>
  <si>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</si>
  <si>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</si>
  <si>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</si>
  <si>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</si>
  <si>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</si>
  <si>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</si>
  <si>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</si>
  <si>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</si>
  <si>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</si>
  <si>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</si>
  <si>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</si>
  <si>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</si>
  <si>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</si>
  <si>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</si>
  <si>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</si>
  <si>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</si>
  <si>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</si>
  <si>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</si>
  <si>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</si>
  <si>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</si>
  <si>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</si>
  <si>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</si>
  <si>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</si>
  <si>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</si>
  <si>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</si>
  <si>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</si>
  <si>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</si>
  <si>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</si>
  <si>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</si>
  <si>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</si>
  <si>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</si>
  <si>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</si>
  <si>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</si>
  <si>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</si>
  <si>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</si>
  <si>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</si>
  <si>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</si>
  <si>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</si>
  <si>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</si>
  <si>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</si>
  <si>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</si>
  <si>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</si>
  <si>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</si>
  <si>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</si>
  <si>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</si>
  <si>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</si>
  <si>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</si>
  <si>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</si>
  <si>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</si>
  <si>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</si>
  <si>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</si>
  <si>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</si>
  <si>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</si>
  <si>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</si>
  <si>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</si>
  <si>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</si>
  <si>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</si>
  <si>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</si>
  <si>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</si>
  <si>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</si>
  <si>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</si>
  <si>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</si>
  <si>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</si>
  <si>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</si>
  <si>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</si>
  <si>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</si>
  <si>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</si>
  <si>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</si>
  <si>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</si>
  <si>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</si>
  <si>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</si>
  <si>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</si>
  <si>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</si>
  <si>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</si>
  <si>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</si>
  <si>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</si>
  <si>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</si>
  <si>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</si>
  <si>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</si>
  <si>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</si>
  <si>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</si>
  <si>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</si>
  <si>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</si>
  <si>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</si>
  <si>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</si>
  <si>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</si>
  <si>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</si>
  <si>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</si>
  <si>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</si>
  <si>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</si>
  <si>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</si>
  <si>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</si>
  <si>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</si>
  <si>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</si>
  <si>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</si>
  <si>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</si>
  <si>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</si>
  <si>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</si>
  <si>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</si>
  <si>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</si>
  <si>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</si>
  <si>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</si>
  <si>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</si>
  <si>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</si>
  <si>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</si>
  <si>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</si>
  <si>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</si>
  <si>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</si>
  <si>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</si>
  <si>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</si>
  <si>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</si>
  <si>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</si>
  <si>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</si>
  <si>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</si>
  <si>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</si>
  <si>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</si>
  <si>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</si>
  <si>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</si>
  <si>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</si>
  <si>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</si>
  <si>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</si>
  <si>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</si>
  <si>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</si>
  <si>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</si>
  <si>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</si>
  <si>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</si>
  <si>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</si>
  <si>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</si>
  <si>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</si>
  <si>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</si>
  <si>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</si>
  <si>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</si>
  <si>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</si>
  <si>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</si>
  <si>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</si>
  <si>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</si>
  <si>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</si>
  <si>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</si>
  <si>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</si>
  <si>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</si>
  <si>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</si>
  <si>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</si>
  <si>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</si>
  <si>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</si>
  <si>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</si>
  <si>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</si>
  <si>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</si>
  <si>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</si>
  <si>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</si>
  <si>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</si>
  <si>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</si>
  <si>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</si>
  <si>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</si>
  <si>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</si>
  <si>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</si>
  <si>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</si>
  <si>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</si>
  <si>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</si>
  <si>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</si>
  <si>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</si>
  <si>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</si>
  <si>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</si>
  <si>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</si>
  <si>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</si>
  <si>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</si>
  <si>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</si>
  <si>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</si>
  <si>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</si>
  <si>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</si>
  <si>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</si>
  <si>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</si>
  <si>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</si>
  <si>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</si>
  <si>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</si>
  <si>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</si>
  <si>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</si>
  <si>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</si>
  <si>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</si>
  <si>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</si>
  <si>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</si>
  <si>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</si>
  <si>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</si>
  <si>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</si>
  <si>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</si>
  <si>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</si>
  <si>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</si>
  <si>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</si>
  <si>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</si>
  <si>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</si>
  <si>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</si>
  <si>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</si>
  <si>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</si>
  <si>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</si>
  <si>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</si>
  <si>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</si>
  <si>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</si>
  <si>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</si>
  <si>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</si>
  <si>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</si>
  <si>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</si>
  <si>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</si>
  <si>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</si>
  <si>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</si>
  <si>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</si>
  <si>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</si>
  <si>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</si>
  <si>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</si>
  <si>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</si>
  <si>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</si>
  <si>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</si>
  <si>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</si>
  <si>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</si>
  <si>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</si>
  <si>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</si>
  <si>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</si>
  <si>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</si>
  <si>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</si>
  <si>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</si>
  <si>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</si>
  <si>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</si>
  <si>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</si>
  <si>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</si>
  <si>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</si>
  <si>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</si>
  <si>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</si>
  <si>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</si>
  <si>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</si>
  <si>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</si>
  <si>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</si>
  <si>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</si>
  <si>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</si>
  <si>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</si>
  <si>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</si>
  <si>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</si>
  <si>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</si>
  <si>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</si>
  <si>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</si>
  <si>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</si>
  <si>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</si>
  <si>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</si>
  <si>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</si>
  <si>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</si>
  <si>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</si>
  <si>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</si>
  <si>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</si>
  <si>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</si>
  <si>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</si>
  <si>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</si>
  <si>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</si>
  <si>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</si>
  <si>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</si>
  <si>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</si>
  <si>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</si>
  <si>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</si>
  <si>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</si>
  <si>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</si>
  <si>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</si>
  <si>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</si>
  <si>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</si>
  <si>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</si>
  <si>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</si>
  <si>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</si>
  <si>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</si>
  <si>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</si>
  <si>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</si>
  <si>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</si>
  <si>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</si>
  <si>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</si>
  <si>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</si>
  <si>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</si>
  <si>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</si>
  <si>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</si>
  <si>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</si>
  <si>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</si>
  <si>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</si>
  <si>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</si>
  <si>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</si>
  <si>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</si>
  <si>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</si>
  <si>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</si>
  <si>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</si>
  <si>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</si>
  <si>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</si>
  <si>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</si>
  <si>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</si>
  <si>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</si>
  <si>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</si>
  <si>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</si>
  <si>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</si>
  <si>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</si>
  <si>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</si>
  <si>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</si>
  <si>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</si>
  <si>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</si>
  <si>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</si>
  <si>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</si>
  <si>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</si>
  <si>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</si>
  <si>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</si>
  <si>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</si>
  <si>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</si>
  <si>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</si>
  <si>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</si>
  <si>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</si>
  <si>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</si>
  <si>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</si>
  <si>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</si>
  <si>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</si>
  <si>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</si>
  <si>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</si>
  <si>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</si>
  <si>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</si>
  <si>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</si>
  <si>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</si>
  <si>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</si>
  <si>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</si>
  <si>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</si>
  <si>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</si>
  <si>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</si>
  <si>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</si>
  <si>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</si>
  <si>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</si>
  <si>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</si>
  <si>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</si>
  <si>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</si>
  <si>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</si>
  <si>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</si>
  <si>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</si>
  <si>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</si>
  <si>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</si>
  <si>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</si>
  <si>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</si>
  <si>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</si>
  <si>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</si>
  <si>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</si>
  <si>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</si>
  <si>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</si>
  <si>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</si>
  <si>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</si>
  <si>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</si>
  <si>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</si>
  <si>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</si>
  <si>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</si>
  <si>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</si>
  <si>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</si>
  <si>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</si>
  <si>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</si>
  <si>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</si>
  <si>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</si>
  <si>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</si>
  <si>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</si>
  <si>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</si>
  <si>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</si>
  <si>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</si>
  <si>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</si>
  <si>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</si>
  <si>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</si>
  <si>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</si>
  <si>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</si>
  <si>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</si>
  <si>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</si>
  <si>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</si>
  <si>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</si>
  <si>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</si>
  <si>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</si>
  <si>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</si>
  <si>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</si>
  <si>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</si>
  <si>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</si>
  <si>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</si>
  <si>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</si>
  <si>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</si>
  <si>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</si>
  <si>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</si>
  <si>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</si>
  <si>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</si>
  <si>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</si>
  <si>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</si>
  <si>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</si>
  <si>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</si>
  <si>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</si>
  <si>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</si>
  <si>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</si>
  <si>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</si>
  <si>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</si>
  <si>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</si>
  <si>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</si>
  <si>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</si>
  <si>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</si>
  <si>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</si>
  <si>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</si>
  <si>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</si>
  <si>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</si>
  <si>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</si>
  <si>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</si>
  <si>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</si>
  <si>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</si>
  <si>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</si>
  <si>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</si>
  <si>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</si>
  <si>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</si>
  <si>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</si>
  <si>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</si>
  <si>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</si>
  <si>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</si>
  <si>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</si>
  <si>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</si>
  <si>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</si>
  <si>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</si>
  <si>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</si>
  <si>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</si>
  <si>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</si>
  <si>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</si>
  <si>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</si>
  <si>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</si>
  <si>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</si>
  <si>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</si>
  <si>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</si>
  <si>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</si>
  <si>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</si>
  <si>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</si>
  <si>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</si>
  <si>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</si>
  <si>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</si>
  <si>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</si>
  <si>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</si>
  <si>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</si>
  <si>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</si>
  <si>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</si>
  <si>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</si>
  <si>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</si>
  <si>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</si>
  <si>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</si>
  <si>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</si>
  <si>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</si>
  <si>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</si>
  <si>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</si>
  <si>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</si>
  <si>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</si>
  <si>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</si>
  <si>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</si>
  <si>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</si>
  <si>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</si>
  <si>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</si>
  <si>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</si>
  <si>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</si>
  <si>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</si>
  <si>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</si>
  <si>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</si>
  <si>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</si>
  <si>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</si>
  <si>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</si>
  <si>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</si>
  <si>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</si>
  <si>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</si>
  <si>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</si>
  <si>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</si>
  <si>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</si>
  <si>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</si>
  <si>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</si>
  <si>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</si>
  <si>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</si>
  <si>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</si>
  <si>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</si>
  <si>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</si>
  <si>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</si>
  <si>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</si>
  <si>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</si>
  <si>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</si>
  <si>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</si>
  <si>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</si>
  <si>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</si>
  <si>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</si>
  <si>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</si>
  <si>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</si>
  <si>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</si>
  <si>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</si>
  <si>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</si>
  <si>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</si>
  <si>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</si>
  <si>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</si>
  <si>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</si>
  <si>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</si>
  <si>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</si>
  <si>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</si>
  <si>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</si>
  <si>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</si>
  <si>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</si>
  <si>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</si>
  <si>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</si>
  <si>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</si>
  <si>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</si>
  <si>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</si>
  <si>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</si>
  <si>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</si>
  <si>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</si>
  <si>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</si>
  <si>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</si>
  <si>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</si>
  <si>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</si>
  <si>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</si>
  <si>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</si>
  <si>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</si>
  <si>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</si>
  <si>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</si>
  <si>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</si>
  <si>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</si>
  <si>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</si>
  <si>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</si>
  <si>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</si>
  <si>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</si>
  <si>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</si>
  <si>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</si>
  <si>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</si>
  <si>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</si>
  <si>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</si>
  <si>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</si>
  <si>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</si>
  <si>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</si>
  <si>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</si>
  <si>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</si>
  <si>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</si>
  <si>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</si>
  <si>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</si>
  <si>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</si>
  <si>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</si>
  <si>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</si>
  <si>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</si>
  <si>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</si>
  <si>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</si>
  <si>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</si>
  <si>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</si>
  <si>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</si>
  <si>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</si>
  <si>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</si>
  <si>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</si>
  <si>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</si>
  <si>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</si>
  <si>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</si>
  <si>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</si>
  <si>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</si>
  <si>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</si>
  <si>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</si>
  <si>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</si>
  <si>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</si>
  <si>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</si>
  <si>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</si>
  <si>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</si>
  <si>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</si>
  <si>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</si>
  <si>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</si>
  <si>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</si>
  <si>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</si>
  <si>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</si>
  <si>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</si>
  <si>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</si>
  <si>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</si>
  <si>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</si>
  <si>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</si>
  <si>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</si>
  <si>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</si>
  <si>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</si>
  <si>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</si>
  <si>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</si>
  <si>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</si>
  <si>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</si>
  <si>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</si>
  <si>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</si>
  <si>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</si>
  <si>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</si>
  <si>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</si>
  <si>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</si>
  <si>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</si>
  <si>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</si>
  <si>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</si>
  <si>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</si>
  <si>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</si>
  <si>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</si>
  <si>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</si>
  <si>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</si>
  <si>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</si>
  <si>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</si>
  <si>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</si>
  <si>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</si>
  <si>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</si>
  <si>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</si>
  <si>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</si>
  <si>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</si>
  <si>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</si>
  <si>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</si>
  <si>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</si>
  <si>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</si>
  <si>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</si>
  <si>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</si>
  <si>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</si>
  <si>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</si>
  <si>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</si>
  <si>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</si>
  <si>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</si>
  <si>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</si>
  <si>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</si>
  <si>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</si>
  <si>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</si>
  <si>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</si>
  <si>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</si>
  <si>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</si>
  <si>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</si>
  <si>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</si>
  <si>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</si>
  <si>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</si>
  <si>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</si>
  <si>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</si>
  <si>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</si>
  <si>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</si>
  <si>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</si>
  <si>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</si>
  <si>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</si>
  <si>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</si>
  <si>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</si>
  <si>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</si>
  <si>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</si>
  <si>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</si>
  <si>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</si>
  <si>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</si>
  <si>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</si>
  <si>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</si>
  <si>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</si>
  <si>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</si>
  <si>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</si>
  <si>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</si>
  <si>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</si>
  <si>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</si>
  <si>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</si>
  <si>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</si>
  <si>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</si>
  <si>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</si>
  <si>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</si>
  <si>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</si>
  <si>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</si>
  <si>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</si>
  <si>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</si>
  <si>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</si>
  <si>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</si>
  <si>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</si>
  <si>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</si>
  <si>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</si>
  <si>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</si>
  <si>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</si>
  <si>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</si>
  <si>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</si>
  <si>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</si>
  <si>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</si>
  <si>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</si>
  <si>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</si>
  <si>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</si>
  <si>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</si>
  <si>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</si>
  <si>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</si>
  <si>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</si>
  <si>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</si>
  <si>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</si>
  <si>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</si>
  <si>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</si>
  <si>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</si>
  <si>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</si>
  <si>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</si>
  <si>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</si>
  <si>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</si>
  <si>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</si>
  <si>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</si>
  <si>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</si>
  <si>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</si>
  <si>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</si>
  <si>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</si>
  <si>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</si>
  <si>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</si>
  <si>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</si>
  <si>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</si>
  <si>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</si>
  <si>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</si>
  <si>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</si>
  <si>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</si>
  <si>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</si>
  <si>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</si>
  <si>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</si>
  <si>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</si>
  <si>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</si>
  <si>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</si>
  <si>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</si>
  <si>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</si>
  <si>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</si>
  <si>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</si>
  <si>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</si>
  <si>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</si>
  <si>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</si>
  <si>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</si>
  <si>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</si>
  <si>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</si>
  <si>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</si>
  <si>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</si>
  <si>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</si>
  <si>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</si>
  <si>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</si>
  <si>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</si>
  <si>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</si>
  <si>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</si>
  <si>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</si>
  <si>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</si>
  <si>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</si>
  <si>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</si>
  <si>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</si>
  <si>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</si>
  <si>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</si>
  <si>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</si>
  <si>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</si>
  <si>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</si>
  <si>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</si>
  <si>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</si>
  <si>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</si>
  <si>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</si>
  <si>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</si>
  <si>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</si>
  <si>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</si>
  <si>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</si>
  <si>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</si>
  <si>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</si>
  <si>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</si>
  <si>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</si>
  <si>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</si>
  <si>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</si>
  <si>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</si>
  <si>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</si>
  <si>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</si>
  <si>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</si>
  <si>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</si>
  <si>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</si>
  <si>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</si>
  <si>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</si>
  <si>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</si>
  <si>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</si>
  <si>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</si>
  <si>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</si>
  <si>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</si>
  <si>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</si>
  <si>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</si>
  <si>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</si>
  <si>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</si>
  <si>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</si>
  <si>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</si>
  <si>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</si>
  <si>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</si>
  <si>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</si>
  <si>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</si>
  <si>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</si>
  <si>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</si>
  <si>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</si>
  <si>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</si>
  <si>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</si>
  <si>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</si>
  <si>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</si>
  <si>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</si>
  <si>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</si>
  <si>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</si>
  <si>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</si>
  <si>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</si>
  <si>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</si>
  <si>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</si>
  <si>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</si>
  <si>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</si>
  <si>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</si>
  <si>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</si>
  <si>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</si>
  <si>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</si>
  <si>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</si>
  <si>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</si>
  <si>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</si>
  <si>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</si>
  <si>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</si>
  <si>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</si>
  <si>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</si>
  <si>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</si>
  <si>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</si>
  <si>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</si>
  <si>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</si>
  <si>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</si>
  <si>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</si>
  <si>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</si>
  <si>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</si>
  <si>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</si>
  <si>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</si>
  <si>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</si>
  <si>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</si>
  <si>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</si>
  <si>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</si>
  <si>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</si>
  <si>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</si>
  <si>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</si>
  <si>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</si>
  <si>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</si>
  <si>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</si>
  <si>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</si>
  <si>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</si>
  <si>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</si>
  <si>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</si>
  <si>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</si>
  <si>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</si>
  <si>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</si>
  <si>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</si>
  <si>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</si>
  <si>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</si>
  <si>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</si>
  <si>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</si>
  <si>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</si>
  <si>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</si>
  <si>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</si>
  <si>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</si>
  <si>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</si>
  <si>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</si>
  <si>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</si>
  <si>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</si>
  <si>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</si>
  <si>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</si>
  <si>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</si>
  <si>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</si>
  <si>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</si>
  <si>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</si>
  <si>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</si>
  <si>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</si>
  <si>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</si>
  <si>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</si>
  <si>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</si>
  <si>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</si>
  <si>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</si>
  <si>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</si>
  <si>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</si>
  <si>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</si>
  <si>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</si>
  <si>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</si>
  <si>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</si>
  <si>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</si>
  <si>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</si>
  <si>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</si>
  <si>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</si>
  <si>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</si>
  <si>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</si>
  <si>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</si>
  <si>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</si>
  <si>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</si>
  <si>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</si>
  <si>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</si>
  <si>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</si>
  <si>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</si>
  <si>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</si>
  <si>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</si>
  <si>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</si>
  <si>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</si>
  <si>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</si>
  <si>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</si>
  <si>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</si>
  <si>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</si>
  <si>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</si>
  <si>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</si>
  <si>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</si>
  <si>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</si>
  <si>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</si>
  <si>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</si>
  <si>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</si>
  <si>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</si>
  <si>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</si>
  <si>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</si>
  <si>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</si>
  <si>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</si>
  <si>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</si>
  <si>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</si>
  <si>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</si>
  <si>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</si>
  <si>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</si>
  <si>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</si>
  <si>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</si>
  <si>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</si>
  <si>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</si>
  <si>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</si>
  <si>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</si>
  <si>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</si>
  <si>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</si>
  <si>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</si>
  <si>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</si>
  <si>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</si>
  <si>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</si>
  <si>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</si>
  <si>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</si>
  <si>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</si>
  <si>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</si>
  <si>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</si>
  <si>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</si>
  <si>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</si>
  <si>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</si>
  <si>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</si>
  <si>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</si>
  <si>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</si>
  <si>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</si>
  <si>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</si>
  <si>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</si>
  <si>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</si>
  <si>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</si>
  <si>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</si>
  <si>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</si>
  <si>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</si>
  <si>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</si>
  <si>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</si>
  <si>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</si>
  <si>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</si>
  <si>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</si>
  <si>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</si>
  <si>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</si>
  <si>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</si>
  <si>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</si>
  <si>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</si>
  <si>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</si>
  <si>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</si>
  <si>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</si>
  <si>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</si>
  <si>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</si>
  <si>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</si>
  <si>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</si>
  <si>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</si>
  <si>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</si>
  <si>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</si>
  <si>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</si>
  <si>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</si>
  <si>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</si>
  <si>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</si>
  <si>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</si>
  <si>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</si>
  <si>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</si>
  <si>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Acqualunae</t>
  </si>
  <si>
    <t>Piazza dei Quiriti, 19/20</t>
  </si>
  <si>
    <t>06/31076456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</si>
</sst>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topLeftCell="B1" zoomScaleNormal="100" workbookViewId="0">
      <pane ySplit="7" topLeftCell="A8" activePane="bottomLeft" state="frozen"/>
      <selection pane="bottomLeft" activeCell="O9" sqref="O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120</v>
      </c>
      <c r="F3" s="5">
        <f>+AD6</f>
        <v>105</v>
      </c>
      <c r="G3" s="5">
        <f>+AF6</f>
        <v>100</v>
      </c>
      <c r="H3" s="5">
        <f>+E3-G3</f>
        <v>20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161</v>
      </c>
      <c r="G4" s="7">
        <f>+AG6</f>
        <v>144</v>
      </c>
      <c r="H4" s="5">
        <f>+E4-G4</f>
        <v>182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446</v>
      </c>
      <c r="F5" s="8">
        <f>+F3+F4</f>
        <v>266</v>
      </c>
      <c r="G5" s="8">
        <f>+G3+G4</f>
        <v>244</v>
      </c>
      <c r="H5" s="8">
        <f>+H3+H4</f>
        <v>202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105</v>
      </c>
      <c r="AE6" s="1">
        <f t="shared" si="1"/>
        <v>161</v>
      </c>
      <c r="AF6" s="1">
        <f t="shared" si="1"/>
        <v>100</v>
      </c>
      <c r="AG6" s="1">
        <f t="shared" si="1"/>
        <v>144</v>
      </c>
      <c r="AH6" s="1">
        <f t="shared" si="1"/>
        <v>120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s="1" customFormat="1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s="1" customFormat="1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2062</v>
      </c>
      <c r="E33" s="36" t="s">
        <v>170</v>
      </c>
      <c r="F33" s="36" t="s">
        <v>2063</v>
      </c>
      <c r="G33" s="36" t="s">
        <v>1534</v>
      </c>
      <c r="H33" s="36" t="s">
        <v>354</v>
      </c>
      <c r="I33" s="37" t="s">
        <v>2064</v>
      </c>
      <c r="J33" s="31">
        <v>5</v>
      </c>
      <c r="K33" s="33" t="s">
        <v>703</v>
      </c>
      <c r="L33" s="33"/>
      <c r="M33" s="34"/>
      <c r="N33" s="34" t="s">
        <v>1727</v>
      </c>
      <c r="O33" s="35">
        <v>1</v>
      </c>
      <c r="P33" s="35">
        <v>1</v>
      </c>
      <c r="Q33" s="36" t="s">
        <v>2065</v>
      </c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1</v>
      </c>
      <c r="X33" s="1">
        <f t="shared" si="24"/>
        <v>0</v>
      </c>
      <c r="Y33" s="1">
        <f t="shared" si="25"/>
        <v>0</v>
      </c>
      <c r="Z33" s="1">
        <f t="shared" si="26"/>
        <v>0</v>
      </c>
      <c r="AA33" s="1">
        <f t="shared" si="27"/>
        <v>0</v>
      </c>
      <c r="AB33" s="1">
        <f t="shared" si="28"/>
        <v>0</v>
      </c>
      <c r="AD33" s="1">
        <f t="shared" si="29"/>
        <v>1</v>
      </c>
      <c r="AE33" s="1">
        <f t="shared" si="30"/>
        <v>0</v>
      </c>
      <c r="AF33" s="1">
        <f t="shared" si="31"/>
        <v>1</v>
      </c>
      <c r="AG33" s="1">
        <f t="shared" si="32"/>
        <v>0</v>
      </c>
      <c r="AH33" s="1">
        <f t="shared" si="33"/>
        <v>1</v>
      </c>
      <c r="AI33" s="1">
        <f t="shared" si="34"/>
        <v>0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1549</v>
      </c>
      <c r="E34" s="36" t="s">
        <v>1246</v>
      </c>
      <c r="F34" s="36" t="s">
        <v>1550</v>
      </c>
      <c r="G34" s="36" t="s">
        <v>258</v>
      </c>
      <c r="H34" s="36" t="s">
        <v>354</v>
      </c>
      <c r="I34" s="37" t="s">
        <v>473</v>
      </c>
      <c r="J34" s="31">
        <v>8</v>
      </c>
      <c r="K34" s="33" t="s">
        <v>702</v>
      </c>
      <c r="L34" s="33" t="s">
        <v>689</v>
      </c>
      <c r="M34" s="34" t="s">
        <v>690</v>
      </c>
      <c r="N34" s="34" t="s">
        <v>1789</v>
      </c>
      <c r="O34" s="35">
        <v>1</v>
      </c>
      <c r="P34" s="35"/>
      <c r="Q34" s="36"/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1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1</v>
      </c>
      <c r="AF34" s="1">
        <f t="shared" si="31"/>
        <v>0</v>
      </c>
      <c r="AG34" s="1">
        <f t="shared" si="32"/>
        <v>1</v>
      </c>
      <c r="AH34" s="1">
        <f t="shared" si="33"/>
        <v>0</v>
      </c>
      <c r="AI34" s="1">
        <f t="shared" si="34"/>
        <v>1</v>
      </c>
    </row>
    <row r="35" spans="1:35" ht="14.25" customHeight="1" x14ac:dyDescent="0.25">
      <c r="A35" s="38">
        <v>0</v>
      </c>
      <c r="B35" s="38">
        <v>1</v>
      </c>
      <c r="C35" s="38">
        <v>2</v>
      </c>
      <c r="D35" s="39" t="s">
        <v>1462</v>
      </c>
      <c r="E35" s="39" t="s">
        <v>1464</v>
      </c>
      <c r="F35" s="39" t="s">
        <v>1463</v>
      </c>
      <c r="G35" s="39"/>
      <c r="H35" s="39" t="s">
        <v>1138</v>
      </c>
      <c r="I35" s="38" t="s">
        <v>1465</v>
      </c>
      <c r="J35" s="38">
        <v>99</v>
      </c>
      <c r="K35" s="40" t="s">
        <v>703</v>
      </c>
      <c r="L35" s="40"/>
      <c r="M35" s="41"/>
      <c r="N35" s="42"/>
      <c r="O35" s="43"/>
      <c r="P35" s="43">
        <v>1</v>
      </c>
      <c r="Q35" s="54" t="s">
        <v>1920</v>
      </c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1</v>
      </c>
      <c r="AI35" s="1">
        <f t="shared" si="34"/>
        <v>0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596</v>
      </c>
      <c r="E36" s="45" t="s">
        <v>175</v>
      </c>
      <c r="F36" s="45" t="s">
        <v>597</v>
      </c>
      <c r="G36" s="45" t="s">
        <v>251</v>
      </c>
      <c r="H36" s="45" t="s">
        <v>354</v>
      </c>
      <c r="I36" s="44" t="s">
        <v>598</v>
      </c>
      <c r="J36" s="44">
        <v>99</v>
      </c>
      <c r="K36" s="46" t="s">
        <v>956</v>
      </c>
      <c r="L36" s="46" t="s">
        <v>689</v>
      </c>
      <c r="M36" s="47" t="s">
        <v>1383</v>
      </c>
      <c r="N36" s="47" t="s">
        <v>1747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4">
        <v>0</v>
      </c>
      <c r="B37" s="44">
        <v>1</v>
      </c>
      <c r="C37" s="44">
        <v>2</v>
      </c>
      <c r="D37" s="45" t="s">
        <v>113</v>
      </c>
      <c r="E37" s="45" t="s">
        <v>175</v>
      </c>
      <c r="F37" s="65" t="s">
        <v>1868</v>
      </c>
      <c r="G37" s="45" t="s">
        <v>312</v>
      </c>
      <c r="H37" s="45" t="s">
        <v>354</v>
      </c>
      <c r="I37" s="44" t="s">
        <v>461</v>
      </c>
      <c r="J37" s="44">
        <v>99</v>
      </c>
      <c r="K37" s="46" t="s">
        <v>702</v>
      </c>
      <c r="L37" s="46" t="s">
        <v>689</v>
      </c>
      <c r="M37" s="47" t="s">
        <v>691</v>
      </c>
      <c r="N37" s="47" t="s">
        <v>1802</v>
      </c>
      <c r="O37" s="48"/>
      <c r="P37" s="48"/>
      <c r="Q37" s="45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1762</v>
      </c>
      <c r="E38" s="36" t="s">
        <v>155</v>
      </c>
      <c r="F38" s="36" t="s">
        <v>1763</v>
      </c>
      <c r="G38" s="36"/>
      <c r="H38" s="36" t="s">
        <v>1764</v>
      </c>
      <c r="I38" s="37" t="s">
        <v>1765</v>
      </c>
      <c r="J38" s="31">
        <v>18</v>
      </c>
      <c r="K38" s="33" t="s">
        <v>703</v>
      </c>
      <c r="L38" s="33">
        <v>55</v>
      </c>
      <c r="M38" s="34" t="s">
        <v>1477</v>
      </c>
      <c r="N38" s="34" t="s">
        <v>1733</v>
      </c>
      <c r="O38" s="35">
        <v>1</v>
      </c>
      <c r="P38" s="35">
        <v>1</v>
      </c>
      <c r="Q38" s="36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599</v>
      </c>
      <c r="E39" s="36" t="s">
        <v>175</v>
      </c>
      <c r="F39" s="36" t="s">
        <v>600</v>
      </c>
      <c r="G39" s="36" t="s">
        <v>573</v>
      </c>
      <c r="H39" s="36" t="s">
        <v>354</v>
      </c>
      <c r="I39" s="37" t="s">
        <v>601</v>
      </c>
      <c r="J39" s="31">
        <v>1</v>
      </c>
      <c r="K39" s="33" t="s">
        <v>956</v>
      </c>
      <c r="L39" s="33" t="s">
        <v>1703</v>
      </c>
      <c r="M39" s="34" t="s">
        <v>1382</v>
      </c>
      <c r="N39" s="34" t="s">
        <v>1748</v>
      </c>
      <c r="O39" s="35">
        <v>1</v>
      </c>
      <c r="P39" s="35"/>
      <c r="Q39" s="36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1751</v>
      </c>
      <c r="E40" s="36" t="s">
        <v>1752</v>
      </c>
      <c r="F40" s="36" t="s">
        <v>1753</v>
      </c>
      <c r="G40" s="36" t="s">
        <v>321</v>
      </c>
      <c r="H40" s="36" t="s">
        <v>354</v>
      </c>
      <c r="I40" s="37" t="s">
        <v>1754</v>
      </c>
      <c r="J40" s="31">
        <v>99</v>
      </c>
      <c r="K40" s="33" t="s">
        <v>703</v>
      </c>
      <c r="L40" s="33"/>
      <c r="M40" s="34"/>
      <c r="N40" s="34" t="s">
        <v>1733</v>
      </c>
      <c r="O40" s="35">
        <v>1</v>
      </c>
      <c r="P40" s="35">
        <v>1</v>
      </c>
      <c r="Q40" s="36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4">
        <v>0</v>
      </c>
      <c r="B41" s="44">
        <v>1</v>
      </c>
      <c r="C41" s="44">
        <v>2</v>
      </c>
      <c r="D41" s="45" t="s">
        <v>642</v>
      </c>
      <c r="E41" s="45" t="s">
        <v>175</v>
      </c>
      <c r="F41" s="45" t="s">
        <v>643</v>
      </c>
      <c r="G41" s="45" t="s">
        <v>220</v>
      </c>
      <c r="H41" s="45" t="s">
        <v>354</v>
      </c>
      <c r="I41" s="44" t="s">
        <v>1111</v>
      </c>
      <c r="J41" s="44">
        <v>8</v>
      </c>
      <c r="K41" s="46" t="s">
        <v>956</v>
      </c>
      <c r="L41" s="46" t="s">
        <v>1700</v>
      </c>
      <c r="M41" s="47" t="s">
        <v>1377</v>
      </c>
      <c r="N41" s="47" t="s">
        <v>1737</v>
      </c>
      <c r="O41" s="48"/>
      <c r="P41" s="48"/>
      <c r="Q41" s="45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6" t="s">
        <v>1512</v>
      </c>
      <c r="E42" s="36" t="s">
        <v>175</v>
      </c>
      <c r="F42" s="36" t="s">
        <v>1660</v>
      </c>
      <c r="G42" s="36" t="s">
        <v>1514</v>
      </c>
      <c r="H42" s="36" t="s">
        <v>354</v>
      </c>
      <c r="I42" s="37" t="s">
        <v>1513</v>
      </c>
      <c r="J42" s="31">
        <v>99</v>
      </c>
      <c r="K42" s="33" t="s">
        <v>957</v>
      </c>
      <c r="L42" s="33" t="s">
        <v>39</v>
      </c>
      <c r="M42" s="34" t="s">
        <v>39</v>
      </c>
      <c r="N42" s="34" t="s">
        <v>1727</v>
      </c>
      <c r="O42" s="35">
        <v>1</v>
      </c>
      <c r="P42" s="35">
        <v>1</v>
      </c>
      <c r="Q42" s="36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880</v>
      </c>
      <c r="E43" s="32" t="s">
        <v>174</v>
      </c>
      <c r="F43" s="32" t="s">
        <v>881</v>
      </c>
      <c r="G43" s="32" t="s">
        <v>39</v>
      </c>
      <c r="H43" s="32" t="s">
        <v>375</v>
      </c>
      <c r="I43" s="31" t="s">
        <v>882</v>
      </c>
      <c r="J43" s="31">
        <v>12</v>
      </c>
      <c r="K43" s="33" t="s">
        <v>702</v>
      </c>
      <c r="L43" s="33" t="s">
        <v>1704</v>
      </c>
      <c r="M43" s="34" t="s">
        <v>1384</v>
      </c>
      <c r="N43" s="34" t="s">
        <v>1825</v>
      </c>
      <c r="O43" s="35">
        <v>1</v>
      </c>
      <c r="P43" s="35"/>
      <c r="Q43" s="32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1815</v>
      </c>
      <c r="E44" s="45" t="s">
        <v>175</v>
      </c>
      <c r="F44" s="45" t="s">
        <v>1816</v>
      </c>
      <c r="G44" s="45" t="s">
        <v>194</v>
      </c>
      <c r="H44" s="45" t="s">
        <v>354</v>
      </c>
      <c r="I44" s="44" t="s">
        <v>1817</v>
      </c>
      <c r="J44" s="44">
        <v>9</v>
      </c>
      <c r="K44" s="46" t="s">
        <v>703</v>
      </c>
      <c r="L44" s="46">
        <v>60</v>
      </c>
      <c r="M44" s="47" t="s">
        <v>1818</v>
      </c>
      <c r="N44" s="47" t="s">
        <v>1809</v>
      </c>
      <c r="O44" s="48"/>
      <c r="P44" s="48"/>
      <c r="Q44" s="45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4">
        <v>0</v>
      </c>
      <c r="B45" s="44">
        <v>1</v>
      </c>
      <c r="C45" s="44">
        <v>2</v>
      </c>
      <c r="D45" s="45" t="s">
        <v>139</v>
      </c>
      <c r="E45" s="45" t="s">
        <v>175</v>
      </c>
      <c r="F45" s="65" t="s">
        <v>1879</v>
      </c>
      <c r="G45" s="45" t="s">
        <v>200</v>
      </c>
      <c r="H45" s="45" t="s">
        <v>354</v>
      </c>
      <c r="I45" s="44" t="s">
        <v>487</v>
      </c>
      <c r="J45" s="44">
        <v>2</v>
      </c>
      <c r="K45" s="46" t="s">
        <v>956</v>
      </c>
      <c r="L45" s="46" t="s">
        <v>693</v>
      </c>
      <c r="M45" s="47" t="s">
        <v>691</v>
      </c>
      <c r="N45" s="47" t="s">
        <v>1738</v>
      </c>
      <c r="O45" s="48"/>
      <c r="P45" s="48"/>
      <c r="Q45" s="65" t="s">
        <v>1907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838</v>
      </c>
      <c r="E46" s="32" t="s">
        <v>175</v>
      </c>
      <c r="F46" s="32" t="s">
        <v>840</v>
      </c>
      <c r="G46" s="32" t="s">
        <v>39</v>
      </c>
      <c r="H46" s="32" t="s">
        <v>354</v>
      </c>
      <c r="I46" s="31" t="s">
        <v>839</v>
      </c>
      <c r="J46" s="31">
        <v>99</v>
      </c>
      <c r="K46" s="33" t="s">
        <v>962</v>
      </c>
      <c r="L46" s="33" t="s">
        <v>39</v>
      </c>
      <c r="M46" s="34" t="s">
        <v>39</v>
      </c>
      <c r="N46" s="34" t="s">
        <v>1733</v>
      </c>
      <c r="O46" s="35">
        <v>1</v>
      </c>
      <c r="P46" s="35">
        <v>1</v>
      </c>
      <c r="Q46" s="32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4">
        <v>0</v>
      </c>
      <c r="B47" s="44">
        <v>1</v>
      </c>
      <c r="C47" s="44">
        <v>2</v>
      </c>
      <c r="D47" s="45" t="s">
        <v>915</v>
      </c>
      <c r="E47" s="45" t="s">
        <v>175</v>
      </c>
      <c r="F47" s="45" t="s">
        <v>783</v>
      </c>
      <c r="G47" s="45" t="s">
        <v>39</v>
      </c>
      <c r="H47" s="45" t="s">
        <v>375</v>
      </c>
      <c r="I47" s="44" t="s">
        <v>784</v>
      </c>
      <c r="J47" s="44">
        <v>12</v>
      </c>
      <c r="K47" s="46" t="s">
        <v>722</v>
      </c>
      <c r="L47" s="46" t="s">
        <v>1699</v>
      </c>
      <c r="M47" s="47" t="s">
        <v>1119</v>
      </c>
      <c r="N47" s="47" t="s">
        <v>1802</v>
      </c>
      <c r="O47" s="48"/>
      <c r="P47" s="48"/>
      <c r="Q47" s="45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38">
        <v>0</v>
      </c>
      <c r="B48" s="38">
        <v>1</v>
      </c>
      <c r="C48" s="38">
        <v>2</v>
      </c>
      <c r="D48" s="39" t="s">
        <v>1635</v>
      </c>
      <c r="E48" s="39" t="s">
        <v>174</v>
      </c>
      <c r="F48" s="39" t="s">
        <v>1661</v>
      </c>
      <c r="G48" s="39" t="s">
        <v>251</v>
      </c>
      <c r="H48" s="39" t="s">
        <v>354</v>
      </c>
      <c r="I48" s="38" t="s">
        <v>1563</v>
      </c>
      <c r="J48" s="38">
        <v>99</v>
      </c>
      <c r="K48" s="40" t="s">
        <v>957</v>
      </c>
      <c r="L48" s="40" t="s">
        <v>39</v>
      </c>
      <c r="M48" s="41" t="s">
        <v>39</v>
      </c>
      <c r="N48" s="42"/>
      <c r="O48" s="43"/>
      <c r="P48" s="43">
        <v>1</v>
      </c>
      <c r="Q48" s="39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1531</v>
      </c>
      <c r="E49" s="32" t="s">
        <v>1649</v>
      </c>
      <c r="F49" s="32" t="s">
        <v>1532</v>
      </c>
      <c r="G49" s="32" t="s">
        <v>200</v>
      </c>
      <c r="H49" s="32" t="s">
        <v>354</v>
      </c>
      <c r="I49" s="31" t="s">
        <v>1533</v>
      </c>
      <c r="J49" s="31">
        <v>2</v>
      </c>
      <c r="K49" s="33" t="s">
        <v>956</v>
      </c>
      <c r="L49" s="33">
        <v>70</v>
      </c>
      <c r="M49" s="34" t="s">
        <v>39</v>
      </c>
      <c r="N49" s="34" t="s">
        <v>1789</v>
      </c>
      <c r="O49" s="35">
        <v>1</v>
      </c>
      <c r="P49" s="35"/>
      <c r="Q49" s="32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1</v>
      </c>
      <c r="AF49" s="1">
        <f t="shared" si="3"/>
        <v>0</v>
      </c>
      <c r="AG49" s="1">
        <f t="shared" si="4"/>
        <v>1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1467</v>
      </c>
      <c r="E50" s="45" t="s">
        <v>1650</v>
      </c>
      <c r="F50" s="45" t="s">
        <v>1466</v>
      </c>
      <c r="G50" s="45" t="s">
        <v>220</v>
      </c>
      <c r="H50" s="45" t="s">
        <v>354</v>
      </c>
      <c r="I50" s="44" t="s">
        <v>1687</v>
      </c>
      <c r="J50" s="44">
        <v>8</v>
      </c>
      <c r="K50" s="46" t="s">
        <v>702</v>
      </c>
      <c r="L50" s="46">
        <v>70</v>
      </c>
      <c r="M50" s="47" t="s">
        <v>39</v>
      </c>
      <c r="N50" s="47" t="s">
        <v>1737</v>
      </c>
      <c r="O50" s="48"/>
      <c r="P50" s="48"/>
      <c r="Q50" s="4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811</v>
      </c>
      <c r="E51" s="32" t="s">
        <v>175</v>
      </c>
      <c r="F51" s="32" t="s">
        <v>812</v>
      </c>
      <c r="G51" s="32" t="s">
        <v>39</v>
      </c>
      <c r="H51" s="32" t="s">
        <v>813</v>
      </c>
      <c r="I51" s="31" t="s">
        <v>814</v>
      </c>
      <c r="J51" s="31">
        <v>11</v>
      </c>
      <c r="K51" s="33" t="s">
        <v>703</v>
      </c>
      <c r="L51" s="33">
        <v>50</v>
      </c>
      <c r="M51" s="34" t="s">
        <v>1119</v>
      </c>
      <c r="N51" s="34" t="s">
        <v>1946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1471</v>
      </c>
      <c r="E52" s="32"/>
      <c r="F52" s="32" t="s">
        <v>1472</v>
      </c>
      <c r="G52" s="32" t="s">
        <v>1473</v>
      </c>
      <c r="H52" s="32" t="s">
        <v>354</v>
      </c>
      <c r="I52" s="31" t="s">
        <v>1474</v>
      </c>
      <c r="J52" s="31">
        <v>99</v>
      </c>
      <c r="K52" s="33" t="s">
        <v>703</v>
      </c>
      <c r="L52" s="33">
        <v>35</v>
      </c>
      <c r="M52" s="34" t="s">
        <v>1479</v>
      </c>
      <c r="N52" s="34" t="s">
        <v>1748</v>
      </c>
      <c r="O52" s="35">
        <v>1</v>
      </c>
      <c r="P52" s="35"/>
      <c r="Q52" s="32"/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0</v>
      </c>
      <c r="AE52" s="1">
        <f t="shared" ref="AE52:AE54" si="46">O52*(1-P52)</f>
        <v>1</v>
      </c>
      <c r="AF52" s="1">
        <f t="shared" ref="AF52:AF54" si="47">+O52*P52*(1-A52)</f>
        <v>0</v>
      </c>
      <c r="AG52" s="1">
        <f t="shared" ref="AG52:AG54" si="48">O52*(1-P52)*(1-A52)</f>
        <v>1</v>
      </c>
      <c r="AH52" s="1">
        <f t="shared" ref="AH52:AH54" si="49">+P52*(1-A52)</f>
        <v>0</v>
      </c>
      <c r="AI52" s="1">
        <f t="shared" ref="AI52:AI54" si="50">+(1-A52)*(1-P52)</f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2002</v>
      </c>
      <c r="E53" s="32" t="s">
        <v>175</v>
      </c>
      <c r="F53" s="32" t="s">
        <v>2003</v>
      </c>
      <c r="G53" s="32" t="s">
        <v>2004</v>
      </c>
      <c r="H53" s="32" t="s">
        <v>354</v>
      </c>
      <c r="I53" s="31" t="s">
        <v>2005</v>
      </c>
      <c r="J53" s="31">
        <v>99</v>
      </c>
      <c r="K53" s="33" t="s">
        <v>703</v>
      </c>
      <c r="L53" s="33"/>
      <c r="M53" s="34"/>
      <c r="N53" s="34" t="s">
        <v>1733</v>
      </c>
      <c r="O53" s="35">
        <v>1</v>
      </c>
      <c r="P53" s="35">
        <v>1</v>
      </c>
      <c r="Q53" s="32" t="s">
        <v>2006</v>
      </c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1</v>
      </c>
      <c r="AE53" s="1">
        <f t="shared" si="46"/>
        <v>0</v>
      </c>
      <c r="AF53" s="1">
        <f t="shared" si="47"/>
        <v>1</v>
      </c>
      <c r="AG53" s="1">
        <f t="shared" si="48"/>
        <v>0</v>
      </c>
      <c r="AH53" s="1">
        <f t="shared" si="49"/>
        <v>1</v>
      </c>
      <c r="AI53" s="1">
        <f t="shared" si="50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122</v>
      </c>
      <c r="E54" s="45" t="s">
        <v>175</v>
      </c>
      <c r="F54" s="45" t="s">
        <v>655</v>
      </c>
      <c r="G54" s="45" t="s">
        <v>39</v>
      </c>
      <c r="H54" s="45" t="s">
        <v>371</v>
      </c>
      <c r="I54" s="44" t="s">
        <v>469</v>
      </c>
      <c r="J54" s="44">
        <v>11</v>
      </c>
      <c r="K54" s="46" t="s">
        <v>703</v>
      </c>
      <c r="L54" s="46">
        <v>40</v>
      </c>
      <c r="M54" s="47" t="s">
        <v>691</v>
      </c>
      <c r="N54" s="47" t="s">
        <v>1802</v>
      </c>
      <c r="O54" s="48"/>
      <c r="P54" s="48"/>
      <c r="Q54" s="45"/>
      <c r="S54" s="1">
        <f t="shared" si="35"/>
        <v>0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0</v>
      </c>
      <c r="AF54" s="1">
        <f t="shared" si="47"/>
        <v>0</v>
      </c>
      <c r="AG54" s="1">
        <f t="shared" si="48"/>
        <v>0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1054</v>
      </c>
      <c r="E55" s="32" t="s">
        <v>175</v>
      </c>
      <c r="F55" s="32" t="s">
        <v>1055</v>
      </c>
      <c r="G55" s="32" t="s">
        <v>1056</v>
      </c>
      <c r="H55" s="32" t="s">
        <v>354</v>
      </c>
      <c r="I55" s="31" t="s">
        <v>1057</v>
      </c>
      <c r="J55" s="31">
        <v>1</v>
      </c>
      <c r="K55" s="33" t="s">
        <v>722</v>
      </c>
      <c r="L55" s="33" t="s">
        <v>687</v>
      </c>
      <c r="M55" s="34" t="s">
        <v>1119</v>
      </c>
      <c r="N55" s="34" t="s">
        <v>1789</v>
      </c>
      <c r="O55" s="35">
        <v>1</v>
      </c>
      <c r="P55" s="35"/>
      <c r="Q55" s="32" t="s">
        <v>1910</v>
      </c>
      <c r="S55" s="1">
        <f t="shared" si="7"/>
        <v>1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1639</v>
      </c>
      <c r="E56" s="32" t="s">
        <v>175</v>
      </c>
      <c r="F56" s="32" t="s">
        <v>1665</v>
      </c>
      <c r="G56" s="32" t="s">
        <v>1666</v>
      </c>
      <c r="H56" s="32" t="s">
        <v>354</v>
      </c>
      <c r="I56" s="31" t="s">
        <v>1478</v>
      </c>
      <c r="J56" s="31">
        <v>99</v>
      </c>
      <c r="K56" s="33" t="s">
        <v>702</v>
      </c>
      <c r="L56" s="33">
        <v>45</v>
      </c>
      <c r="M56" s="34" t="s">
        <v>39</v>
      </c>
      <c r="N56" s="34" t="s">
        <v>1755</v>
      </c>
      <c r="O56" s="35">
        <v>1</v>
      </c>
      <c r="P56" s="35"/>
      <c r="Q56" s="32" t="s">
        <v>2053</v>
      </c>
      <c r="S56" s="1">
        <f t="shared" si="7"/>
        <v>0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1</v>
      </c>
      <c r="AF56" s="1">
        <f t="shared" si="3"/>
        <v>0</v>
      </c>
      <c r="AG56" s="1">
        <f t="shared" si="4"/>
        <v>1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44">
        <v>0</v>
      </c>
      <c r="B57" s="44">
        <v>1</v>
      </c>
      <c r="C57" s="44">
        <v>2</v>
      </c>
      <c r="D57" s="45" t="s">
        <v>647</v>
      </c>
      <c r="E57" s="45" t="s">
        <v>175</v>
      </c>
      <c r="F57" s="45" t="s">
        <v>602</v>
      </c>
      <c r="G57" s="45" t="s">
        <v>595</v>
      </c>
      <c r="H57" s="45" t="s">
        <v>354</v>
      </c>
      <c r="I57" s="44" t="s">
        <v>677</v>
      </c>
      <c r="J57" s="44">
        <v>1</v>
      </c>
      <c r="K57" s="46" t="s">
        <v>702</v>
      </c>
      <c r="L57" s="46" t="s">
        <v>1700</v>
      </c>
      <c r="M57" s="47" t="s">
        <v>1385</v>
      </c>
      <c r="N57" s="47" t="s">
        <v>1735</v>
      </c>
      <c r="O57" s="48"/>
      <c r="P57" s="48"/>
      <c r="Q57" s="45"/>
      <c r="S57" s="1">
        <f t="shared" si="7"/>
        <v>1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1190</v>
      </c>
      <c r="E58" s="16" t="s">
        <v>174</v>
      </c>
      <c r="F58" s="16" t="s">
        <v>1191</v>
      </c>
      <c r="G58" s="16" t="s">
        <v>39</v>
      </c>
      <c r="H58" s="16" t="s">
        <v>1193</v>
      </c>
      <c r="I58" s="15" t="s">
        <v>1192</v>
      </c>
      <c r="J58" s="15">
        <v>17</v>
      </c>
      <c r="K58" s="10" t="s">
        <v>703</v>
      </c>
      <c r="L58" s="10" t="s">
        <v>1386</v>
      </c>
      <c r="M58" s="19" t="s">
        <v>1387</v>
      </c>
      <c r="N58" s="17"/>
      <c r="Q58" s="16" t="s">
        <v>1886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1201</v>
      </c>
      <c r="E59" s="16" t="s">
        <v>174</v>
      </c>
      <c r="F59" s="16" t="s">
        <v>1202</v>
      </c>
      <c r="G59" s="16" t="s">
        <v>39</v>
      </c>
      <c r="H59" s="16" t="s">
        <v>1203</v>
      </c>
      <c r="I59" s="15" t="s">
        <v>1204</v>
      </c>
      <c r="J59" s="15">
        <v>18</v>
      </c>
      <c r="K59" s="10" t="s">
        <v>957</v>
      </c>
      <c r="L59" s="10" t="s">
        <v>695</v>
      </c>
      <c r="M59" s="19" t="s">
        <v>970</v>
      </c>
      <c r="N59" s="17"/>
      <c r="Q59" s="16" t="s">
        <v>1885</v>
      </c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1029</v>
      </c>
      <c r="E60" s="16" t="s">
        <v>175</v>
      </c>
      <c r="F60" s="16" t="s">
        <v>1031</v>
      </c>
      <c r="G60" s="16" t="s">
        <v>39</v>
      </c>
      <c r="H60" s="16" t="s">
        <v>365</v>
      </c>
      <c r="I60" s="15" t="s">
        <v>1030</v>
      </c>
      <c r="J60" s="15">
        <v>18</v>
      </c>
      <c r="K60" s="10" t="s">
        <v>702</v>
      </c>
      <c r="L60" s="10" t="s">
        <v>1141</v>
      </c>
      <c r="M60" s="19" t="s">
        <v>691</v>
      </c>
      <c r="N60" s="17"/>
      <c r="Q60" s="16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0</v>
      </c>
      <c r="AE60" s="1">
        <f t="shared" si="18"/>
        <v>0</v>
      </c>
      <c r="AF60" s="1">
        <f t="shared" si="3"/>
        <v>0</v>
      </c>
      <c r="AG60" s="1">
        <f t="shared" si="4"/>
        <v>0</v>
      </c>
      <c r="AH60" s="1">
        <f t="shared" si="5"/>
        <v>0</v>
      </c>
      <c r="AI60" s="1">
        <f t="shared" si="6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1592</v>
      </c>
      <c r="E61" s="32" t="s">
        <v>175</v>
      </c>
      <c r="F61" s="32" t="s">
        <v>1593</v>
      </c>
      <c r="G61" s="32" t="s">
        <v>1594</v>
      </c>
      <c r="H61" s="32" t="s">
        <v>354</v>
      </c>
      <c r="I61" s="31" t="s">
        <v>1487</v>
      </c>
      <c r="J61" s="31">
        <v>99</v>
      </c>
      <c r="K61" s="33" t="s">
        <v>702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2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1620</v>
      </c>
      <c r="E62" s="32" t="s">
        <v>170</v>
      </c>
      <c r="F62" s="32" t="s">
        <v>1621</v>
      </c>
      <c r="G62" s="32" t="s">
        <v>39</v>
      </c>
      <c r="H62" s="32" t="s">
        <v>355</v>
      </c>
      <c r="I62" s="31" t="s">
        <v>1622</v>
      </c>
      <c r="J62" s="31">
        <v>11</v>
      </c>
      <c r="K62" s="33" t="s">
        <v>957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6" t="s">
        <v>1905</v>
      </c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1617</v>
      </c>
      <c r="E63" s="32" t="s">
        <v>174</v>
      </c>
      <c r="F63" s="32" t="s">
        <v>1618</v>
      </c>
      <c r="G63" s="32" t="s">
        <v>1483</v>
      </c>
      <c r="H63" s="32" t="s">
        <v>354</v>
      </c>
      <c r="I63" s="31" t="s">
        <v>1619</v>
      </c>
      <c r="J63" s="31">
        <v>99</v>
      </c>
      <c r="K63" s="33" t="s">
        <v>962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569</v>
      </c>
      <c r="E64" s="32" t="s">
        <v>579</v>
      </c>
      <c r="F64" s="32" t="s">
        <v>558</v>
      </c>
      <c r="G64" s="32" t="s">
        <v>262</v>
      </c>
      <c r="H64" s="32" t="s">
        <v>354</v>
      </c>
      <c r="I64" s="31" t="s">
        <v>559</v>
      </c>
      <c r="J64" s="31">
        <v>99</v>
      </c>
      <c r="K64" s="33" t="s">
        <v>956</v>
      </c>
      <c r="L64" s="33" t="s">
        <v>39</v>
      </c>
      <c r="M64" s="34" t="s">
        <v>39</v>
      </c>
      <c r="N64" s="34" t="s">
        <v>1727</v>
      </c>
      <c r="O64" s="35">
        <v>1</v>
      </c>
      <c r="P64" s="35">
        <v>1</v>
      </c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1</v>
      </c>
      <c r="AE64" s="1">
        <f t="shared" si="18"/>
        <v>0</v>
      </c>
      <c r="AF64" s="1">
        <f t="shared" si="3"/>
        <v>1</v>
      </c>
      <c r="AG64" s="1">
        <f t="shared" si="4"/>
        <v>0</v>
      </c>
      <c r="AH64" s="1">
        <f t="shared" si="5"/>
        <v>1</v>
      </c>
      <c r="AI64" s="1">
        <f t="shared" si="6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799</v>
      </c>
      <c r="E65" s="32" t="s">
        <v>174</v>
      </c>
      <c r="F65" s="32" t="s">
        <v>801</v>
      </c>
      <c r="G65" s="32" t="s">
        <v>39</v>
      </c>
      <c r="H65" s="32" t="s">
        <v>800</v>
      </c>
      <c r="I65" s="31" t="s">
        <v>802</v>
      </c>
      <c r="J65" s="31">
        <v>14</v>
      </c>
      <c r="K65" s="33" t="s">
        <v>964</v>
      </c>
      <c r="L65" s="33" t="s">
        <v>1706</v>
      </c>
      <c r="M65" s="34" t="s">
        <v>1379</v>
      </c>
      <c r="N65" s="34" t="s">
        <v>1749</v>
      </c>
      <c r="O65" s="35">
        <v>1</v>
      </c>
      <c r="P65" s="35"/>
      <c r="Q65" s="32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1</v>
      </c>
      <c r="AF65" s="1">
        <f t="shared" si="3"/>
        <v>0</v>
      </c>
      <c r="AG65" s="1">
        <f t="shared" si="4"/>
        <v>1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1322</v>
      </c>
      <c r="E66" s="16" t="s">
        <v>175</v>
      </c>
      <c r="F66" s="16" t="s">
        <v>1346</v>
      </c>
      <c r="G66" s="16" t="s">
        <v>39</v>
      </c>
      <c r="H66" s="16" t="s">
        <v>363</v>
      </c>
      <c r="I66" s="15" t="s">
        <v>1142</v>
      </c>
      <c r="J66" s="15">
        <v>14</v>
      </c>
      <c r="K66" s="10" t="s">
        <v>722</v>
      </c>
      <c r="L66" s="10" t="s">
        <v>1699</v>
      </c>
      <c r="M66" s="19" t="s">
        <v>972</v>
      </c>
      <c r="N66" s="17"/>
      <c r="Q66" s="16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1515</v>
      </c>
      <c r="E67" s="45" t="s">
        <v>170</v>
      </c>
      <c r="F67" s="45" t="s">
        <v>1517</v>
      </c>
      <c r="G67" s="45" t="s">
        <v>1165</v>
      </c>
      <c r="H67" s="45" t="s">
        <v>354</v>
      </c>
      <c r="I67" s="44" t="s">
        <v>1516</v>
      </c>
      <c r="J67" s="44">
        <v>11</v>
      </c>
      <c r="K67" s="46" t="s">
        <v>722</v>
      </c>
      <c r="L67" s="46">
        <v>50</v>
      </c>
      <c r="M67" s="47" t="s">
        <v>39</v>
      </c>
      <c r="N67" s="47" t="s">
        <v>1809</v>
      </c>
      <c r="O67" s="48"/>
      <c r="P67" s="48"/>
      <c r="Q67" s="4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1137</v>
      </c>
      <c r="E68" s="32" t="s">
        <v>175</v>
      </c>
      <c r="F68" s="32" t="s">
        <v>1140</v>
      </c>
      <c r="G68" s="32" t="s">
        <v>39</v>
      </c>
      <c r="H68" s="32" t="s">
        <v>1138</v>
      </c>
      <c r="I68" s="31" t="s">
        <v>1139</v>
      </c>
      <c r="J68" s="31">
        <v>12</v>
      </c>
      <c r="K68" s="33" t="s">
        <v>703</v>
      </c>
      <c r="L68" s="33">
        <v>50</v>
      </c>
      <c r="M68" s="34" t="s">
        <v>39</v>
      </c>
      <c r="N68" s="34" t="s">
        <v>1749</v>
      </c>
      <c r="O68" s="35">
        <v>1</v>
      </c>
      <c r="P68" s="35"/>
      <c r="Q68" s="32"/>
      <c r="S68" s="1">
        <f t="shared" si="7"/>
        <v>0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1</v>
      </c>
      <c r="AF68" s="1">
        <f t="shared" si="3"/>
        <v>0</v>
      </c>
      <c r="AG68" s="1">
        <f t="shared" si="4"/>
        <v>1</v>
      </c>
      <c r="AH68" s="1">
        <f t="shared" si="5"/>
        <v>0</v>
      </c>
      <c r="AI68" s="1">
        <f t="shared" si="6"/>
        <v>1</v>
      </c>
    </row>
    <row r="69" spans="1:35" ht="14.25" customHeight="1" x14ac:dyDescent="0.25">
      <c r="A69" s="57">
        <v>0</v>
      </c>
      <c r="B69" s="57">
        <v>1</v>
      </c>
      <c r="C69" s="57">
        <v>2</v>
      </c>
      <c r="D69" s="58" t="s">
        <v>154</v>
      </c>
      <c r="E69" s="58" t="s">
        <v>171</v>
      </c>
      <c r="F69" s="58" t="s">
        <v>935</v>
      </c>
      <c r="G69" s="58" t="s">
        <v>186</v>
      </c>
      <c r="H69" s="58" t="s">
        <v>354</v>
      </c>
      <c r="I69" s="57" t="s">
        <v>501</v>
      </c>
      <c r="J69" s="57">
        <v>1</v>
      </c>
      <c r="K69" s="59" t="s">
        <v>960</v>
      </c>
      <c r="L69" s="59" t="s">
        <v>39</v>
      </c>
      <c r="M69" s="60" t="s">
        <v>39</v>
      </c>
      <c r="N69" s="61"/>
      <c r="O69" s="62"/>
      <c r="P69" s="62">
        <v>1</v>
      </c>
      <c r="Q69" s="58"/>
      <c r="S69" s="1">
        <f t="shared" si="7"/>
        <v>1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0</v>
      </c>
      <c r="AE69" s="1">
        <f t="shared" si="18"/>
        <v>0</v>
      </c>
      <c r="AF69" s="1">
        <f t="shared" si="3"/>
        <v>0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1447</v>
      </c>
      <c r="E70" s="32" t="s">
        <v>175</v>
      </c>
      <c r="F70" s="32" t="s">
        <v>1444</v>
      </c>
      <c r="G70" s="32" t="s">
        <v>39</v>
      </c>
      <c r="H70" s="32" t="s">
        <v>354</v>
      </c>
      <c r="I70" s="31" t="s">
        <v>1445</v>
      </c>
      <c r="J70" s="31">
        <v>99</v>
      </c>
      <c r="K70" s="33" t="s">
        <v>702</v>
      </c>
      <c r="L70" s="33" t="s">
        <v>689</v>
      </c>
      <c r="M70" s="34" t="s">
        <v>1446</v>
      </c>
      <c r="N70" s="34" t="s">
        <v>1727</v>
      </c>
      <c r="O70" s="35">
        <v>1</v>
      </c>
      <c r="P70" s="35">
        <v>1</v>
      </c>
      <c r="Q70" s="32"/>
      <c r="S70" s="1">
        <f t="shared" si="7"/>
        <v>0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1</v>
      </c>
      <c r="AE70" s="1">
        <f t="shared" si="18"/>
        <v>0</v>
      </c>
      <c r="AF70" s="1">
        <f t="shared" si="3"/>
        <v>1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815</v>
      </c>
      <c r="E71" s="39" t="s">
        <v>175</v>
      </c>
      <c r="F71" s="39" t="s">
        <v>936</v>
      </c>
      <c r="G71" s="39" t="s">
        <v>213</v>
      </c>
      <c r="H71" s="39" t="s">
        <v>354</v>
      </c>
      <c r="I71" s="38" t="s">
        <v>816</v>
      </c>
      <c r="J71" s="38">
        <v>1</v>
      </c>
      <c r="K71" s="40" t="s">
        <v>956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7"/>
        <v>1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1323</v>
      </c>
      <c r="E72" s="32" t="s">
        <v>175</v>
      </c>
      <c r="F72" s="32" t="s">
        <v>1126</v>
      </c>
      <c r="G72" s="32" t="s">
        <v>39</v>
      </c>
      <c r="H72" s="32" t="s">
        <v>1125</v>
      </c>
      <c r="I72" s="31" t="s">
        <v>1124</v>
      </c>
      <c r="J72" s="31">
        <v>15</v>
      </c>
      <c r="K72" s="33" t="s">
        <v>957</v>
      </c>
      <c r="L72" s="33">
        <v>75</v>
      </c>
      <c r="M72" s="34" t="s">
        <v>1388</v>
      </c>
      <c r="N72" s="34" t="s">
        <v>1733</v>
      </c>
      <c r="O72" s="35">
        <v>1</v>
      </c>
      <c r="P72" s="35">
        <v>1</v>
      </c>
      <c r="Q72" s="32" t="s">
        <v>1987</v>
      </c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1047</v>
      </c>
      <c r="E73" s="32" t="s">
        <v>174</v>
      </c>
      <c r="F73" s="32" t="s">
        <v>1048</v>
      </c>
      <c r="G73" s="32" t="s">
        <v>628</v>
      </c>
      <c r="H73" s="32" t="s">
        <v>354</v>
      </c>
      <c r="I73" s="31" t="s">
        <v>1049</v>
      </c>
      <c r="J73" s="31">
        <v>99</v>
      </c>
      <c r="K73" s="33" t="s">
        <v>702</v>
      </c>
      <c r="L73" s="33" t="s">
        <v>39</v>
      </c>
      <c r="M73" s="34" t="s">
        <v>39</v>
      </c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2058</v>
      </c>
      <c r="E74" s="32" t="s">
        <v>1983</v>
      </c>
      <c r="F74" s="32" t="s">
        <v>2059</v>
      </c>
      <c r="G74" s="32" t="s">
        <v>285</v>
      </c>
      <c r="H74" s="32" t="s">
        <v>354</v>
      </c>
      <c r="I74" s="31" t="s">
        <v>2060</v>
      </c>
      <c r="J74" s="31">
        <v>10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6" t="s">
        <v>2061</v>
      </c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1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2014</v>
      </c>
      <c r="E75" s="32" t="s">
        <v>175</v>
      </c>
      <c r="F75" s="36" t="s">
        <v>2015</v>
      </c>
      <c r="G75" s="36" t="s">
        <v>220</v>
      </c>
      <c r="H75" s="36" t="s">
        <v>354</v>
      </c>
      <c r="I75" s="37" t="s">
        <v>2016</v>
      </c>
      <c r="J75" s="31">
        <v>8</v>
      </c>
      <c r="K75" s="33" t="s">
        <v>703</v>
      </c>
      <c r="L75" s="33"/>
      <c r="M75" s="34"/>
      <c r="N75" s="34" t="s">
        <v>1733</v>
      </c>
      <c r="O75" s="35">
        <v>1</v>
      </c>
      <c r="P75" s="35">
        <v>1</v>
      </c>
      <c r="Q75" s="32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1</v>
      </c>
      <c r="AA75" s="1">
        <f t="shared" si="15"/>
        <v>0</v>
      </c>
      <c r="AB75" s="1">
        <f t="shared" si="16"/>
        <v>0</v>
      </c>
      <c r="AD75" s="1">
        <f t="shared" si="51"/>
        <v>1</v>
      </c>
      <c r="AE75" s="1">
        <f t="shared" si="52"/>
        <v>0</v>
      </c>
      <c r="AF75" s="1">
        <f t="shared" si="53"/>
        <v>1</v>
      </c>
      <c r="AG75" s="1">
        <f t="shared" si="54"/>
        <v>0</v>
      </c>
      <c r="AH75" s="1">
        <f t="shared" si="55"/>
        <v>1</v>
      </c>
      <c r="AI75" s="1">
        <f t="shared" si="56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584</v>
      </c>
      <c r="E76" s="45" t="s">
        <v>174</v>
      </c>
      <c r="F76" s="45" t="s">
        <v>586</v>
      </c>
      <c r="G76" s="45" t="s">
        <v>39</v>
      </c>
      <c r="H76" s="45" t="s">
        <v>587</v>
      </c>
      <c r="I76" s="44" t="s">
        <v>588</v>
      </c>
      <c r="J76" s="44">
        <v>12</v>
      </c>
      <c r="K76" s="46" t="s">
        <v>960</v>
      </c>
      <c r="L76" s="46" t="s">
        <v>1712</v>
      </c>
      <c r="M76" s="47" t="s">
        <v>1379</v>
      </c>
      <c r="N76" s="47" t="s">
        <v>1738</v>
      </c>
      <c r="O76" s="48"/>
      <c r="P76" s="48"/>
      <c r="Q76" s="45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0</v>
      </c>
      <c r="AF76" s="1">
        <f t="shared" ref="AF76:AF139" si="69">+O76*P76*(1-A76)</f>
        <v>0</v>
      </c>
      <c r="AG76" s="1">
        <f t="shared" ref="AG76:AG139" si="70">O76*(1-P76)*(1-A76)</f>
        <v>0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1842</v>
      </c>
      <c r="E77" s="32" t="s">
        <v>174</v>
      </c>
      <c r="F77" s="32" t="s">
        <v>1843</v>
      </c>
      <c r="G77" s="32"/>
      <c r="H77" s="32" t="s">
        <v>1844</v>
      </c>
      <c r="I77" s="31" t="s">
        <v>1845</v>
      </c>
      <c r="J77" s="31">
        <v>14</v>
      </c>
      <c r="K77" s="33" t="s">
        <v>703</v>
      </c>
      <c r="L77" s="33">
        <v>75</v>
      </c>
      <c r="M77" s="34" t="s">
        <v>971</v>
      </c>
      <c r="N77" s="34" t="s">
        <v>1743</v>
      </c>
      <c r="O77" s="35">
        <v>1</v>
      </c>
      <c r="P77" s="35"/>
      <c r="Q77" s="32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0</v>
      </c>
      <c r="AE77" s="1">
        <f t="shared" si="68"/>
        <v>1</v>
      </c>
      <c r="AF77" s="1">
        <f t="shared" si="69"/>
        <v>0</v>
      </c>
      <c r="AG77" s="1">
        <f t="shared" si="70"/>
        <v>1</v>
      </c>
      <c r="AH77" s="1">
        <f t="shared" si="71"/>
        <v>0</v>
      </c>
      <c r="AI77" s="1">
        <f t="shared" si="7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1724</v>
      </c>
      <c r="E78" s="32" t="s">
        <v>175</v>
      </c>
      <c r="F78" s="36" t="s">
        <v>1725</v>
      </c>
      <c r="G78" s="36" t="s">
        <v>207</v>
      </c>
      <c r="H78" s="36" t="s">
        <v>354</v>
      </c>
      <c r="I78" s="37" t="s">
        <v>1726</v>
      </c>
      <c r="J78" s="31">
        <v>99</v>
      </c>
      <c r="K78" s="33" t="s">
        <v>703</v>
      </c>
      <c r="L78" s="33"/>
      <c r="M78" s="34"/>
      <c r="N78" s="34" t="s">
        <v>1727</v>
      </c>
      <c r="O78" s="35">
        <v>1</v>
      </c>
      <c r="P78" s="35">
        <v>1</v>
      </c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1</v>
      </c>
      <c r="AE78" s="1">
        <f t="shared" ref="AE78:AE144" si="84">O78*(1-P78)</f>
        <v>0</v>
      </c>
      <c r="AF78" s="1">
        <f t="shared" si="69"/>
        <v>1</v>
      </c>
      <c r="AG78" s="1">
        <f t="shared" si="70"/>
        <v>0</v>
      </c>
      <c r="AH78" s="1">
        <f t="shared" si="71"/>
        <v>1</v>
      </c>
      <c r="AI78" s="1">
        <f t="shared" si="72"/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1058</v>
      </c>
      <c r="E79" s="32" t="s">
        <v>175</v>
      </c>
      <c r="F79" s="36" t="s">
        <v>1097</v>
      </c>
      <c r="G79" s="36" t="s">
        <v>39</v>
      </c>
      <c r="H79" s="36" t="s">
        <v>1059</v>
      </c>
      <c r="I79" s="37" t="s">
        <v>1161</v>
      </c>
      <c r="J79" s="31">
        <v>13</v>
      </c>
      <c r="K79" s="33" t="s">
        <v>702</v>
      </c>
      <c r="L79" s="33" t="s">
        <v>689</v>
      </c>
      <c r="M79" s="34" t="s">
        <v>1441</v>
      </c>
      <c r="N79" s="34" t="s">
        <v>1749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1595</v>
      </c>
      <c r="E80" s="32" t="s">
        <v>175</v>
      </c>
      <c r="F80" s="36" t="s">
        <v>1596</v>
      </c>
      <c r="G80" s="36" t="s">
        <v>235</v>
      </c>
      <c r="H80" s="36" t="s">
        <v>354</v>
      </c>
      <c r="I80" s="37" t="s">
        <v>1597</v>
      </c>
      <c r="J80" s="31">
        <v>99</v>
      </c>
      <c r="K80" s="33" t="s">
        <v>956</v>
      </c>
      <c r="L80" s="33">
        <v>45</v>
      </c>
      <c r="M80" s="34" t="s">
        <v>39</v>
      </c>
      <c r="N80" s="34" t="s">
        <v>1789</v>
      </c>
      <c r="O80" s="35">
        <v>1</v>
      </c>
      <c r="P80" s="35"/>
      <c r="Q80" s="36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1</v>
      </c>
      <c r="AF80" s="1">
        <f t="shared" si="69"/>
        <v>0</v>
      </c>
      <c r="AG80" s="1">
        <f t="shared" si="70"/>
        <v>1</v>
      </c>
      <c r="AH80" s="1">
        <f t="shared" si="71"/>
        <v>0</v>
      </c>
      <c r="AI80" s="1">
        <f t="shared" si="72"/>
        <v>1</v>
      </c>
    </row>
    <row r="81" spans="1:35" ht="14.25" customHeight="1" x14ac:dyDescent="0.25">
      <c r="A81" s="38">
        <v>0</v>
      </c>
      <c r="B81" s="38">
        <v>1</v>
      </c>
      <c r="C81" s="38">
        <v>2</v>
      </c>
      <c r="D81" s="54" t="s">
        <v>1325</v>
      </c>
      <c r="E81" s="39" t="s">
        <v>174</v>
      </c>
      <c r="F81" s="39" t="s">
        <v>1268</v>
      </c>
      <c r="G81" s="39" t="s">
        <v>207</v>
      </c>
      <c r="H81" s="39" t="s">
        <v>354</v>
      </c>
      <c r="I81" s="38" t="s">
        <v>1269</v>
      </c>
      <c r="J81" s="38">
        <v>99</v>
      </c>
      <c r="K81" s="40" t="s">
        <v>962</v>
      </c>
      <c r="L81" s="40" t="s">
        <v>39</v>
      </c>
      <c r="M81" s="41" t="s">
        <v>39</v>
      </c>
      <c r="N81" s="42"/>
      <c r="O81" s="43"/>
      <c r="P81" s="43">
        <v>1</v>
      </c>
      <c r="Q81" s="39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0</v>
      </c>
      <c r="AE81" s="1">
        <f t="shared" si="84"/>
        <v>0</v>
      </c>
      <c r="AF81" s="1">
        <f t="shared" si="69"/>
        <v>0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1799</v>
      </c>
      <c r="E82" s="32" t="s">
        <v>170</v>
      </c>
      <c r="F82" s="36" t="s">
        <v>1797</v>
      </c>
      <c r="G82" s="36" t="s">
        <v>232</v>
      </c>
      <c r="H82" s="36" t="s">
        <v>354</v>
      </c>
      <c r="I82" s="37" t="s">
        <v>1798</v>
      </c>
      <c r="J82" s="31">
        <v>99</v>
      </c>
      <c r="K82" s="33" t="s">
        <v>703</v>
      </c>
      <c r="L82" s="33"/>
      <c r="M82" s="34"/>
      <c r="N82" s="34" t="s">
        <v>1727</v>
      </c>
      <c r="O82" s="35">
        <v>1</v>
      </c>
      <c r="P82" s="35">
        <v>1</v>
      </c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1</v>
      </c>
      <c r="AE82" s="1">
        <f t="shared" si="84"/>
        <v>0</v>
      </c>
      <c r="AF82" s="1">
        <f t="shared" si="69"/>
        <v>1</v>
      </c>
      <c r="AG82" s="1">
        <f t="shared" si="70"/>
        <v>0</v>
      </c>
      <c r="AH82" s="1">
        <f t="shared" si="71"/>
        <v>1</v>
      </c>
      <c r="AI82" s="1">
        <f t="shared" si="72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1158</v>
      </c>
      <c r="E83" s="32" t="s">
        <v>170</v>
      </c>
      <c r="F83" s="36" t="s">
        <v>1159</v>
      </c>
      <c r="G83" s="36" t="s">
        <v>39</v>
      </c>
      <c r="H83" s="36" t="s">
        <v>1359</v>
      </c>
      <c r="I83" s="37" t="s">
        <v>1160</v>
      </c>
      <c r="J83" s="31">
        <v>11</v>
      </c>
      <c r="K83" s="33" t="s">
        <v>702</v>
      </c>
      <c r="L83" s="33" t="s">
        <v>1699</v>
      </c>
      <c r="M83" s="34" t="s">
        <v>1389</v>
      </c>
      <c r="N83" s="34" t="s">
        <v>1749</v>
      </c>
      <c r="O83" s="35">
        <v>1</v>
      </c>
      <c r="P83" s="35"/>
      <c r="Q83" s="36"/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124</v>
      </c>
      <c r="E84" s="32" t="s">
        <v>170</v>
      </c>
      <c r="F84" s="36" t="s">
        <v>576</v>
      </c>
      <c r="G84" s="36" t="s">
        <v>39</v>
      </c>
      <c r="H84" s="36" t="s">
        <v>373</v>
      </c>
      <c r="I84" s="37" t="s">
        <v>471</v>
      </c>
      <c r="J84" s="31">
        <v>18</v>
      </c>
      <c r="K84" s="33" t="s">
        <v>703</v>
      </c>
      <c r="L84" s="33" t="s">
        <v>695</v>
      </c>
      <c r="M84" s="34" t="s">
        <v>691</v>
      </c>
      <c r="N84" s="34" t="s">
        <v>1825</v>
      </c>
      <c r="O84" s="35">
        <v>1</v>
      </c>
      <c r="P84" s="35"/>
      <c r="Q84" s="36" t="s">
        <v>1882</v>
      </c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0</v>
      </c>
      <c r="AE84" s="1">
        <f t="shared" si="84"/>
        <v>1</v>
      </c>
      <c r="AF84" s="1">
        <f t="shared" si="69"/>
        <v>0</v>
      </c>
      <c r="AG84" s="1">
        <f t="shared" si="70"/>
        <v>1</v>
      </c>
      <c r="AH84" s="1">
        <f t="shared" si="71"/>
        <v>0</v>
      </c>
      <c r="AI84" s="1">
        <f t="shared" si="72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2066</v>
      </c>
      <c r="E85" s="36" t="s">
        <v>176</v>
      </c>
      <c r="F85" s="36" t="s">
        <v>2067</v>
      </c>
      <c r="G85" s="36" t="s">
        <v>220</v>
      </c>
      <c r="H85" s="36" t="s">
        <v>354</v>
      </c>
      <c r="I85" s="37" t="s">
        <v>2068</v>
      </c>
      <c r="J85" s="31">
        <v>8</v>
      </c>
      <c r="K85" s="33" t="s">
        <v>703</v>
      </c>
      <c r="L85" s="33"/>
      <c r="M85" s="34"/>
      <c r="N85" s="34" t="s">
        <v>1733</v>
      </c>
      <c r="O85" s="35">
        <v>1</v>
      </c>
      <c r="P85" s="35">
        <v>1</v>
      </c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0</v>
      </c>
      <c r="Y85" s="1">
        <f t="shared" si="79"/>
        <v>0</v>
      </c>
      <c r="Z85" s="1">
        <f t="shared" si="80"/>
        <v>1</v>
      </c>
      <c r="AA85" s="1">
        <f t="shared" si="81"/>
        <v>0</v>
      </c>
      <c r="AB85" s="1">
        <f t="shared" si="82"/>
        <v>0</v>
      </c>
      <c r="AD85" s="1">
        <f t="shared" si="83"/>
        <v>1</v>
      </c>
      <c r="AE85" s="1">
        <f t="shared" si="84"/>
        <v>0</v>
      </c>
      <c r="AF85" s="1">
        <f t="shared" si="69"/>
        <v>1</v>
      </c>
      <c r="AG85" s="1">
        <f t="shared" si="70"/>
        <v>0</v>
      </c>
      <c r="AH85" s="1">
        <f t="shared" si="71"/>
        <v>1</v>
      </c>
      <c r="AI85" s="1">
        <f t="shared" si="72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1010</v>
      </c>
      <c r="E86" s="32" t="s">
        <v>172</v>
      </c>
      <c r="F86" s="36" t="s">
        <v>1011</v>
      </c>
      <c r="G86" s="36" t="s">
        <v>1012</v>
      </c>
      <c r="H86" s="36" t="s">
        <v>354</v>
      </c>
      <c r="I86" s="37" t="s">
        <v>1013</v>
      </c>
      <c r="J86" s="31">
        <v>99</v>
      </c>
      <c r="K86" s="33" t="s">
        <v>956</v>
      </c>
      <c r="L86" s="33" t="s">
        <v>39</v>
      </c>
      <c r="M86" s="34" t="s">
        <v>39</v>
      </c>
      <c r="N86" s="34" t="s">
        <v>1733</v>
      </c>
      <c r="O86" s="35">
        <v>1</v>
      </c>
      <c r="P86" s="35">
        <v>1</v>
      </c>
      <c r="Q86" s="36"/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1</v>
      </c>
      <c r="AE86" s="1">
        <f t="shared" si="84"/>
        <v>0</v>
      </c>
      <c r="AF86" s="1">
        <f t="shared" si="69"/>
        <v>1</v>
      </c>
      <c r="AG86" s="1">
        <f t="shared" si="70"/>
        <v>0</v>
      </c>
      <c r="AH86" s="1">
        <f t="shared" si="71"/>
        <v>1</v>
      </c>
      <c r="AI86" s="1">
        <f t="shared" si="72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143</v>
      </c>
      <c r="E87" s="32" t="s">
        <v>175</v>
      </c>
      <c r="F87" s="36" t="s">
        <v>344</v>
      </c>
      <c r="G87" s="36" t="s">
        <v>345</v>
      </c>
      <c r="H87" s="36" t="s">
        <v>354</v>
      </c>
      <c r="I87" s="37" t="s">
        <v>491</v>
      </c>
      <c r="J87" s="31">
        <v>6</v>
      </c>
      <c r="K87" s="33" t="s">
        <v>957</v>
      </c>
      <c r="L87" s="33" t="s">
        <v>687</v>
      </c>
      <c r="M87" s="34" t="s">
        <v>691</v>
      </c>
      <c r="N87" s="34" t="s">
        <v>1743</v>
      </c>
      <c r="O87" s="35">
        <v>1</v>
      </c>
      <c r="P87" s="35"/>
      <c r="Q87" s="36"/>
      <c r="S87" s="1">
        <f t="shared" si="73"/>
        <v>0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1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1786</v>
      </c>
      <c r="E88" s="16" t="s">
        <v>172</v>
      </c>
      <c r="F88" s="16" t="s">
        <v>1788</v>
      </c>
      <c r="G88" s="16"/>
      <c r="H88" s="16" t="s">
        <v>364</v>
      </c>
      <c r="I88" s="15" t="s">
        <v>1787</v>
      </c>
      <c r="J88" s="15">
        <v>17</v>
      </c>
      <c r="K88" s="10" t="s">
        <v>703</v>
      </c>
      <c r="L88" s="10" t="s">
        <v>1742</v>
      </c>
      <c r="M88" s="19" t="s">
        <v>691</v>
      </c>
      <c r="N88" s="17"/>
      <c r="Q88" s="20" t="s">
        <v>1914</v>
      </c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0</v>
      </c>
      <c r="AA88" s="1">
        <f t="shared" si="81"/>
        <v>0</v>
      </c>
      <c r="AB88" s="1">
        <f t="shared" si="82"/>
        <v>0</v>
      </c>
      <c r="AD88" s="1">
        <f t="shared" si="83"/>
        <v>0</v>
      </c>
      <c r="AE88" s="1">
        <f t="shared" si="84"/>
        <v>0</v>
      </c>
      <c r="AF88" s="1">
        <f t="shared" si="69"/>
        <v>0</v>
      </c>
      <c r="AG88" s="1">
        <f t="shared" si="70"/>
        <v>0</v>
      </c>
      <c r="AH88" s="1">
        <f t="shared" si="71"/>
        <v>0</v>
      </c>
      <c r="AI88" s="1">
        <f t="shared" si="72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1810</v>
      </c>
      <c r="E89" s="32" t="s">
        <v>172</v>
      </c>
      <c r="F89" s="32" t="s">
        <v>1811</v>
      </c>
      <c r="G89" s="32" t="s">
        <v>1812</v>
      </c>
      <c r="H89" s="32" t="s">
        <v>354</v>
      </c>
      <c r="I89" s="31" t="s">
        <v>1813</v>
      </c>
      <c r="J89" s="31">
        <v>1</v>
      </c>
      <c r="K89" s="33" t="s">
        <v>703</v>
      </c>
      <c r="L89" s="33">
        <v>60</v>
      </c>
      <c r="M89" s="34" t="s">
        <v>1814</v>
      </c>
      <c r="N89" s="34" t="s">
        <v>1849</v>
      </c>
      <c r="O89" s="35">
        <v>1</v>
      </c>
      <c r="P89" s="35"/>
      <c r="Q89" s="32"/>
      <c r="S89" s="1">
        <f t="shared" si="73"/>
        <v>1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0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1598</v>
      </c>
      <c r="E90" s="32" t="s">
        <v>175</v>
      </c>
      <c r="F90" s="36" t="s">
        <v>319</v>
      </c>
      <c r="G90" s="36" t="s">
        <v>269</v>
      </c>
      <c r="H90" s="36" t="s">
        <v>354</v>
      </c>
      <c r="I90" s="37" t="s">
        <v>466</v>
      </c>
      <c r="J90" s="31">
        <v>8</v>
      </c>
      <c r="K90" s="33" t="s">
        <v>702</v>
      </c>
      <c r="L90" s="33" t="s">
        <v>689</v>
      </c>
      <c r="M90" s="34" t="s">
        <v>691</v>
      </c>
      <c r="N90" s="34" t="s">
        <v>1755</v>
      </c>
      <c r="O90" s="35">
        <v>1</v>
      </c>
      <c r="P90" s="35"/>
      <c r="Q90" s="36"/>
      <c r="S90" s="1">
        <f t="shared" si="73"/>
        <v>0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1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1</v>
      </c>
      <c r="AF90" s="1">
        <f t="shared" si="69"/>
        <v>0</v>
      </c>
      <c r="AG90" s="1">
        <f t="shared" si="70"/>
        <v>1</v>
      </c>
      <c r="AH90" s="1">
        <f t="shared" si="71"/>
        <v>0</v>
      </c>
      <c r="AI90" s="1">
        <f t="shared" si="72"/>
        <v>1</v>
      </c>
    </row>
    <row r="91" spans="1:35" ht="14.25" customHeight="1" x14ac:dyDescent="0.25">
      <c r="A91" s="38">
        <v>0</v>
      </c>
      <c r="B91" s="38">
        <v>1</v>
      </c>
      <c r="C91" s="38">
        <v>3</v>
      </c>
      <c r="D91" s="39" t="s">
        <v>136</v>
      </c>
      <c r="E91" s="39" t="s">
        <v>172</v>
      </c>
      <c r="F91" s="54" t="s">
        <v>1880</v>
      </c>
      <c r="G91" s="39" t="s">
        <v>240</v>
      </c>
      <c r="H91" s="39" t="s">
        <v>354</v>
      </c>
      <c r="I91" s="38" t="s">
        <v>484</v>
      </c>
      <c r="J91" s="38">
        <v>1</v>
      </c>
      <c r="K91" s="40" t="s">
        <v>956</v>
      </c>
      <c r="L91" s="40" t="s">
        <v>689</v>
      </c>
      <c r="M91" s="41" t="s">
        <v>691</v>
      </c>
      <c r="N91" s="42"/>
      <c r="O91" s="43"/>
      <c r="P91" s="43">
        <v>1</v>
      </c>
      <c r="Q91" s="39"/>
      <c r="S91" s="1">
        <f t="shared" si="73"/>
        <v>1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1</v>
      </c>
      <c r="AI91" s="1">
        <f t="shared" si="72"/>
        <v>0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790</v>
      </c>
      <c r="E92" s="45" t="s">
        <v>610</v>
      </c>
      <c r="F92" s="45" t="s">
        <v>792</v>
      </c>
      <c r="G92" s="45" t="s">
        <v>214</v>
      </c>
      <c r="H92" s="45" t="s">
        <v>354</v>
      </c>
      <c r="I92" s="44" t="s">
        <v>791</v>
      </c>
      <c r="J92" s="44">
        <v>99</v>
      </c>
      <c r="K92" s="46" t="s">
        <v>722</v>
      </c>
      <c r="L92" s="46" t="s">
        <v>1699</v>
      </c>
      <c r="M92" s="47" t="s">
        <v>1390</v>
      </c>
      <c r="N92" s="47" t="s">
        <v>1747</v>
      </c>
      <c r="O92" s="48"/>
      <c r="P92" s="48"/>
      <c r="Q92" s="45"/>
      <c r="S92" s="1">
        <f t="shared" si="73"/>
        <v>0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77</v>
      </c>
      <c r="E93" s="45" t="s">
        <v>172</v>
      </c>
      <c r="F93" s="45" t="s">
        <v>267</v>
      </c>
      <c r="G93" s="45" t="s">
        <v>263</v>
      </c>
      <c r="H93" s="45" t="s">
        <v>354</v>
      </c>
      <c r="I93" s="44" t="s">
        <v>424</v>
      </c>
      <c r="J93" s="44">
        <v>1</v>
      </c>
      <c r="K93" s="46" t="s">
        <v>956</v>
      </c>
      <c r="L93" s="46" t="s">
        <v>1699</v>
      </c>
      <c r="M93" s="47" t="s">
        <v>970</v>
      </c>
      <c r="N93" s="47" t="s">
        <v>1735</v>
      </c>
      <c r="O93" s="48"/>
      <c r="P93" s="48"/>
      <c r="Q93" s="45"/>
      <c r="S93" s="1">
        <f t="shared" si="73"/>
        <v>1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20" t="s">
        <v>1952</v>
      </c>
      <c r="E94" s="20" t="s">
        <v>1983</v>
      </c>
      <c r="F94" s="20" t="s">
        <v>1984</v>
      </c>
      <c r="G94" s="20"/>
      <c r="H94" s="20" t="s">
        <v>1980</v>
      </c>
      <c r="I94" s="21" t="s">
        <v>1985</v>
      </c>
      <c r="J94" s="15">
        <v>18</v>
      </c>
      <c r="K94" s="10" t="s">
        <v>703</v>
      </c>
      <c r="L94" s="10" t="s">
        <v>1742</v>
      </c>
      <c r="M94" s="19" t="s">
        <v>971</v>
      </c>
      <c r="N94" s="17"/>
      <c r="Q94" s="20" t="s">
        <v>1986</v>
      </c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0</v>
      </c>
      <c r="AE94" s="1">
        <f t="shared" ref="AE94:AE96" si="96">O94*(1-P94)</f>
        <v>0</v>
      </c>
      <c r="AF94" s="1">
        <f t="shared" si="69"/>
        <v>0</v>
      </c>
      <c r="AG94" s="1">
        <f t="shared" si="70"/>
        <v>0</v>
      </c>
      <c r="AH94" s="1">
        <f t="shared" si="71"/>
        <v>0</v>
      </c>
      <c r="AI94" s="1">
        <f t="shared" si="72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1525</v>
      </c>
      <c r="E95" s="32" t="s">
        <v>176</v>
      </c>
      <c r="F95" s="36" t="s">
        <v>1526</v>
      </c>
      <c r="G95" s="36" t="s">
        <v>39</v>
      </c>
      <c r="H95" s="36" t="s">
        <v>906</v>
      </c>
      <c r="I95" s="37" t="s">
        <v>1527</v>
      </c>
      <c r="J95" s="31">
        <v>11</v>
      </c>
      <c r="K95" s="33" t="s">
        <v>964</v>
      </c>
      <c r="L95" s="33" t="s">
        <v>39</v>
      </c>
      <c r="M95" s="34" t="s">
        <v>39</v>
      </c>
      <c r="N95" s="34" t="s">
        <v>1733</v>
      </c>
      <c r="O95" s="35">
        <v>1</v>
      </c>
      <c r="P95" s="35">
        <v>1</v>
      </c>
      <c r="Q95" s="36"/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1854</v>
      </c>
      <c r="E96" s="36" t="s">
        <v>172</v>
      </c>
      <c r="F96" s="36" t="s">
        <v>1855</v>
      </c>
      <c r="G96" s="36"/>
      <c r="H96" s="36" t="s">
        <v>1856</v>
      </c>
      <c r="I96" s="37" t="s">
        <v>1857</v>
      </c>
      <c r="J96" s="31">
        <v>15</v>
      </c>
      <c r="K96" s="33" t="s">
        <v>703</v>
      </c>
      <c r="L96" s="33"/>
      <c r="M96" s="34"/>
      <c r="N96" s="34" t="s">
        <v>1733</v>
      </c>
      <c r="O96" s="35">
        <v>1</v>
      </c>
      <c r="P96" s="35">
        <v>1</v>
      </c>
      <c r="Q96" s="36" t="s">
        <v>1892</v>
      </c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1</v>
      </c>
      <c r="AE96" s="1">
        <f t="shared" si="96"/>
        <v>0</v>
      </c>
      <c r="AF96" s="1">
        <f t="shared" si="69"/>
        <v>1</v>
      </c>
      <c r="AG96" s="1">
        <f t="shared" si="70"/>
        <v>0</v>
      </c>
      <c r="AH96" s="1">
        <f t="shared" si="71"/>
        <v>1</v>
      </c>
      <c r="AI96" s="1">
        <f t="shared" si="72"/>
        <v>0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16" t="s">
        <v>736</v>
      </c>
      <c r="E97" s="16" t="s">
        <v>1331</v>
      </c>
      <c r="F97" s="16" t="s">
        <v>1658</v>
      </c>
      <c r="G97" s="16" t="s">
        <v>39</v>
      </c>
      <c r="H97" s="16" t="s">
        <v>737</v>
      </c>
      <c r="I97" s="15" t="s">
        <v>738</v>
      </c>
      <c r="J97" s="15">
        <v>18</v>
      </c>
      <c r="K97" s="10" t="s">
        <v>702</v>
      </c>
      <c r="L97" s="10" t="s">
        <v>688</v>
      </c>
      <c r="M97" s="19" t="s">
        <v>970</v>
      </c>
      <c r="N97" s="17"/>
      <c r="Q97" s="16"/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0</v>
      </c>
      <c r="AE97" s="1">
        <f t="shared" si="84"/>
        <v>0</v>
      </c>
      <c r="AF97" s="1">
        <f t="shared" si="69"/>
        <v>0</v>
      </c>
      <c r="AG97" s="1">
        <f t="shared" si="70"/>
        <v>0</v>
      </c>
      <c r="AH97" s="1">
        <f t="shared" si="71"/>
        <v>0</v>
      </c>
      <c r="AI97" s="1">
        <f t="shared" si="72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1546</v>
      </c>
      <c r="E98" s="32" t="s">
        <v>172</v>
      </c>
      <c r="F98" s="32" t="s">
        <v>1547</v>
      </c>
      <c r="G98" s="32" t="s">
        <v>39</v>
      </c>
      <c r="H98" s="32" t="s">
        <v>364</v>
      </c>
      <c r="I98" s="31" t="s">
        <v>1548</v>
      </c>
      <c r="J98" s="31">
        <v>17</v>
      </c>
      <c r="K98" s="33" t="s">
        <v>722</v>
      </c>
      <c r="L98" s="33" t="s">
        <v>688</v>
      </c>
      <c r="M98" s="34" t="s">
        <v>39</v>
      </c>
      <c r="N98" s="34" t="s">
        <v>1727</v>
      </c>
      <c r="O98" s="35">
        <v>1</v>
      </c>
      <c r="P98" s="35">
        <v>1</v>
      </c>
      <c r="Q98" s="36" t="s">
        <v>1916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1</v>
      </c>
      <c r="AE98" s="1">
        <f t="shared" si="84"/>
        <v>0</v>
      </c>
      <c r="AF98" s="1">
        <f t="shared" si="69"/>
        <v>1</v>
      </c>
      <c r="AG98" s="1">
        <f t="shared" si="70"/>
        <v>0</v>
      </c>
      <c r="AH98" s="1">
        <f t="shared" si="71"/>
        <v>1</v>
      </c>
      <c r="AI98" s="1">
        <f t="shared" si="72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119</v>
      </c>
      <c r="E99" s="32" t="s">
        <v>172</v>
      </c>
      <c r="F99" s="36" t="s">
        <v>320</v>
      </c>
      <c r="G99" s="36" t="s">
        <v>39</v>
      </c>
      <c r="H99" s="36" t="s">
        <v>370</v>
      </c>
      <c r="I99" s="37" t="s">
        <v>467</v>
      </c>
      <c r="J99" s="31">
        <v>14</v>
      </c>
      <c r="K99" s="33" t="s">
        <v>956</v>
      </c>
      <c r="L99" s="33" t="s">
        <v>694</v>
      </c>
      <c r="M99" s="34" t="s">
        <v>691</v>
      </c>
      <c r="N99" s="34" t="s">
        <v>1748</v>
      </c>
      <c r="O99" s="35">
        <v>1</v>
      </c>
      <c r="P99" s="35"/>
      <c r="Q99" s="36" t="s">
        <v>1889</v>
      </c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0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0</v>
      </c>
      <c r="AE99" s="1">
        <f t="shared" ref="AE99:AE101" si="108">O99*(1-P99)</f>
        <v>1</v>
      </c>
      <c r="AF99" s="1">
        <f t="shared" ref="AF99:AF101" si="109">+O99*P99*(1-A99)</f>
        <v>0</v>
      </c>
      <c r="AG99" s="1">
        <f t="shared" ref="AG99:AG101" si="110">O99*(1-P99)*(1-A99)</f>
        <v>1</v>
      </c>
      <c r="AH99" s="1">
        <f t="shared" ref="AH99:AH101" si="111">+P99*(1-A99)</f>
        <v>0</v>
      </c>
      <c r="AI99" s="1">
        <f t="shared" ref="AI99:AI101" si="112">+(1-A99)*(1-P99)</f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115</v>
      </c>
      <c r="E100" s="32" t="s">
        <v>170</v>
      </c>
      <c r="F100" s="36" t="s">
        <v>326</v>
      </c>
      <c r="G100" s="36" t="s">
        <v>230</v>
      </c>
      <c r="H100" s="36" t="s">
        <v>354</v>
      </c>
      <c r="I100" s="37" t="s">
        <v>474</v>
      </c>
      <c r="J100" s="31">
        <v>7</v>
      </c>
      <c r="K100" s="33" t="s">
        <v>702</v>
      </c>
      <c r="L100" s="33" t="s">
        <v>39</v>
      </c>
      <c r="M100" s="34" t="s">
        <v>39</v>
      </c>
      <c r="N100" s="34" t="s">
        <v>1733</v>
      </c>
      <c r="O100" s="35">
        <v>1</v>
      </c>
      <c r="P100" s="35">
        <v>1</v>
      </c>
      <c r="Q100" s="36"/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1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1932</v>
      </c>
      <c r="E101" s="32" t="s">
        <v>1933</v>
      </c>
      <c r="F101" s="36" t="s">
        <v>1934</v>
      </c>
      <c r="G101" s="36"/>
      <c r="H101" s="36" t="s">
        <v>366</v>
      </c>
      <c r="I101" s="37" t="s">
        <v>1936</v>
      </c>
      <c r="J101" s="31">
        <v>18</v>
      </c>
      <c r="K101" s="33" t="s">
        <v>703</v>
      </c>
      <c r="L101" s="33"/>
      <c r="M101" s="34"/>
      <c r="N101" s="34" t="s">
        <v>1733</v>
      </c>
      <c r="O101" s="35">
        <v>1</v>
      </c>
      <c r="P101" s="35">
        <v>1</v>
      </c>
      <c r="Q101" s="36" t="s">
        <v>1935</v>
      </c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1</v>
      </c>
      <c r="AE101" s="1">
        <f t="shared" si="108"/>
        <v>0</v>
      </c>
      <c r="AF101" s="1">
        <f t="shared" si="109"/>
        <v>1</v>
      </c>
      <c r="AG101" s="1">
        <f t="shared" si="110"/>
        <v>0</v>
      </c>
      <c r="AH101" s="1">
        <f t="shared" si="111"/>
        <v>1</v>
      </c>
      <c r="AI101" s="1">
        <f t="shared" si="112"/>
        <v>0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1207</v>
      </c>
      <c r="E102" s="45" t="s">
        <v>175</v>
      </c>
      <c r="F102" s="45" t="s">
        <v>1339</v>
      </c>
      <c r="G102" s="45" t="s">
        <v>39</v>
      </c>
      <c r="H102" s="45" t="s">
        <v>611</v>
      </c>
      <c r="I102" s="44" t="s">
        <v>1208</v>
      </c>
      <c r="J102" s="44">
        <v>14</v>
      </c>
      <c r="K102" s="46" t="s">
        <v>956</v>
      </c>
      <c r="L102" s="46" t="s">
        <v>1699</v>
      </c>
      <c r="M102" s="47" t="s">
        <v>1391</v>
      </c>
      <c r="N102" s="47" t="s">
        <v>1802</v>
      </c>
      <c r="O102" s="48"/>
      <c r="P102" s="48"/>
      <c r="Q102" s="45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0</v>
      </c>
      <c r="AE102" s="1">
        <f t="shared" si="84"/>
        <v>0</v>
      </c>
      <c r="AF102" s="1">
        <f t="shared" si="69"/>
        <v>0</v>
      </c>
      <c r="AG102" s="1">
        <f t="shared" si="70"/>
        <v>0</v>
      </c>
      <c r="AH102" s="1">
        <f t="shared" si="71"/>
        <v>0</v>
      </c>
      <c r="AI102" s="1">
        <f t="shared" si="72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821</v>
      </c>
      <c r="E103" s="32" t="s">
        <v>176</v>
      </c>
      <c r="F103" s="36" t="s">
        <v>927</v>
      </c>
      <c r="G103" s="36" t="s">
        <v>39</v>
      </c>
      <c r="H103" s="36" t="s">
        <v>372</v>
      </c>
      <c r="I103" s="37" t="s">
        <v>822</v>
      </c>
      <c r="J103" s="31">
        <v>16</v>
      </c>
      <c r="K103" s="33" t="s">
        <v>957</v>
      </c>
      <c r="L103" s="33" t="s">
        <v>688</v>
      </c>
      <c r="M103" s="34" t="s">
        <v>970</v>
      </c>
      <c r="N103" s="34" t="s">
        <v>1727</v>
      </c>
      <c r="O103" s="35">
        <v>1</v>
      </c>
      <c r="P103" s="35">
        <v>1</v>
      </c>
      <c r="Q103" s="3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1</v>
      </c>
      <c r="AE103" s="1">
        <f t="shared" si="84"/>
        <v>0</v>
      </c>
      <c r="AF103" s="1">
        <f t="shared" si="69"/>
        <v>1</v>
      </c>
      <c r="AG103" s="1">
        <f t="shared" si="70"/>
        <v>0</v>
      </c>
      <c r="AH103" s="1">
        <f t="shared" si="71"/>
        <v>1</v>
      </c>
      <c r="AI103" s="1">
        <f t="shared" si="72"/>
        <v>0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104</v>
      </c>
      <c r="E104" s="16" t="s">
        <v>170</v>
      </c>
      <c r="F104" s="16" t="s">
        <v>303</v>
      </c>
      <c r="G104" s="16" t="s">
        <v>39</v>
      </c>
      <c r="H104" s="16" t="s">
        <v>357</v>
      </c>
      <c r="I104" s="15" t="s">
        <v>451</v>
      </c>
      <c r="J104" s="15">
        <v>18</v>
      </c>
      <c r="K104" s="10" t="s">
        <v>702</v>
      </c>
      <c r="L104" s="10" t="s">
        <v>688</v>
      </c>
      <c r="M104" s="19" t="s">
        <v>691</v>
      </c>
      <c r="N104" s="17"/>
      <c r="Q104" s="16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516</v>
      </c>
      <c r="E105" s="45" t="s">
        <v>170</v>
      </c>
      <c r="F105" s="45" t="s">
        <v>517</v>
      </c>
      <c r="G105" s="45" t="s">
        <v>504</v>
      </c>
      <c r="H105" s="45" t="s">
        <v>354</v>
      </c>
      <c r="I105" s="44" t="s">
        <v>518</v>
      </c>
      <c r="J105" s="44">
        <v>99</v>
      </c>
      <c r="K105" s="46" t="s">
        <v>956</v>
      </c>
      <c r="L105" s="46" t="s">
        <v>694</v>
      </c>
      <c r="M105" s="47" t="s">
        <v>691</v>
      </c>
      <c r="N105" s="47" t="s">
        <v>1747</v>
      </c>
      <c r="O105" s="48"/>
      <c r="P105" s="48"/>
      <c r="Q105" s="45"/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1645</v>
      </c>
      <c r="E106" s="16" t="s">
        <v>1087</v>
      </c>
      <c r="F106" s="16" t="s">
        <v>1219</v>
      </c>
      <c r="G106" s="16" t="s">
        <v>39</v>
      </c>
      <c r="H106" s="16" t="s">
        <v>1220</v>
      </c>
      <c r="I106" s="15" t="s">
        <v>1221</v>
      </c>
      <c r="J106" s="15">
        <v>18</v>
      </c>
      <c r="K106" s="10" t="s">
        <v>958</v>
      </c>
      <c r="L106" s="10" t="s">
        <v>688</v>
      </c>
      <c r="M106" s="19" t="s">
        <v>970</v>
      </c>
      <c r="N106" s="17"/>
      <c r="Q106" s="16" t="s">
        <v>1884</v>
      </c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1558</v>
      </c>
      <c r="E107" s="16" t="s">
        <v>170</v>
      </c>
      <c r="F107" s="16" t="s">
        <v>1677</v>
      </c>
      <c r="G107" s="16" t="s">
        <v>39</v>
      </c>
      <c r="H107" s="16" t="s">
        <v>357</v>
      </c>
      <c r="I107" s="15" t="s">
        <v>1559</v>
      </c>
      <c r="J107" s="15">
        <v>18</v>
      </c>
      <c r="K107" s="10" t="s">
        <v>722</v>
      </c>
      <c r="L107" s="10" t="s">
        <v>688</v>
      </c>
      <c r="M107" s="19" t="s">
        <v>691</v>
      </c>
      <c r="N107" s="17"/>
      <c r="Q107" s="16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0</v>
      </c>
      <c r="AF107" s="1">
        <f t="shared" si="69"/>
        <v>0</v>
      </c>
      <c r="AG107" s="1">
        <f t="shared" si="70"/>
        <v>0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1319</v>
      </c>
      <c r="E108" s="32" t="s">
        <v>175</v>
      </c>
      <c r="F108" s="32" t="s">
        <v>1340</v>
      </c>
      <c r="G108" s="32" t="s">
        <v>39</v>
      </c>
      <c r="H108" s="32" t="s">
        <v>354</v>
      </c>
      <c r="I108" s="31" t="s">
        <v>1136</v>
      </c>
      <c r="J108" s="31">
        <v>99</v>
      </c>
      <c r="K108" s="33" t="s">
        <v>702</v>
      </c>
      <c r="L108" s="33" t="s">
        <v>1699</v>
      </c>
      <c r="M108" s="34" t="s">
        <v>1392</v>
      </c>
      <c r="N108" s="34" t="s">
        <v>1749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1263</v>
      </c>
      <c r="E109" s="32" t="s">
        <v>170</v>
      </c>
      <c r="F109" s="32" t="s">
        <v>1341</v>
      </c>
      <c r="G109" s="32" t="s">
        <v>1194</v>
      </c>
      <c r="H109" s="32" t="s">
        <v>354</v>
      </c>
      <c r="I109" s="31" t="s">
        <v>1195</v>
      </c>
      <c r="J109" s="31">
        <v>99</v>
      </c>
      <c r="K109" s="33" t="s">
        <v>722</v>
      </c>
      <c r="L109" s="33">
        <v>50</v>
      </c>
      <c r="M109" s="34" t="s">
        <v>39</v>
      </c>
      <c r="N109" s="34" t="s">
        <v>1801</v>
      </c>
      <c r="O109" s="35">
        <v>1</v>
      </c>
      <c r="P109" s="35"/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0</v>
      </c>
      <c r="AE109" s="1">
        <f t="shared" si="84"/>
        <v>1</v>
      </c>
      <c r="AF109" s="1">
        <f t="shared" si="69"/>
        <v>0</v>
      </c>
      <c r="AG109" s="1">
        <f t="shared" si="70"/>
        <v>1</v>
      </c>
      <c r="AH109" s="1">
        <f t="shared" si="71"/>
        <v>0</v>
      </c>
      <c r="AI109" s="1">
        <f t="shared" si="72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1019</v>
      </c>
      <c r="E110" s="32" t="s">
        <v>610</v>
      </c>
      <c r="F110" s="32" t="s">
        <v>1020</v>
      </c>
      <c r="G110" s="32" t="s">
        <v>1021</v>
      </c>
      <c r="H110" s="32" t="s">
        <v>354</v>
      </c>
      <c r="I110" s="31" t="s">
        <v>1022</v>
      </c>
      <c r="J110" s="31">
        <v>99</v>
      </c>
      <c r="K110" s="33" t="s">
        <v>956</v>
      </c>
      <c r="L110" s="33" t="s">
        <v>39</v>
      </c>
      <c r="M110" s="34" t="s">
        <v>39</v>
      </c>
      <c r="N110" s="34" t="s">
        <v>1733</v>
      </c>
      <c r="O110" s="35">
        <v>1</v>
      </c>
      <c r="P110" s="35">
        <v>1</v>
      </c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1</v>
      </c>
      <c r="AE110" s="1">
        <f t="shared" si="84"/>
        <v>0</v>
      </c>
      <c r="AF110" s="1">
        <f t="shared" si="69"/>
        <v>1</v>
      </c>
      <c r="AG110" s="1">
        <f t="shared" si="70"/>
        <v>0</v>
      </c>
      <c r="AH110" s="1">
        <f t="shared" si="71"/>
        <v>1</v>
      </c>
      <c r="AI110" s="1">
        <f t="shared" si="72"/>
        <v>0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141</v>
      </c>
      <c r="E111" s="32" t="s">
        <v>175</v>
      </c>
      <c r="F111" s="32" t="s">
        <v>342</v>
      </c>
      <c r="G111" s="32" t="s">
        <v>39</v>
      </c>
      <c r="H111" s="32" t="s">
        <v>376</v>
      </c>
      <c r="I111" s="31" t="s">
        <v>489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1748</v>
      </c>
      <c r="O111" s="35">
        <v>1</v>
      </c>
      <c r="P111" s="35"/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0</v>
      </c>
      <c r="AE111" s="1">
        <f t="shared" si="84"/>
        <v>1</v>
      </c>
      <c r="AF111" s="1">
        <f t="shared" si="69"/>
        <v>0</v>
      </c>
      <c r="AG111" s="1">
        <f t="shared" si="70"/>
        <v>1</v>
      </c>
      <c r="AH111" s="1">
        <f t="shared" si="71"/>
        <v>0</v>
      </c>
      <c r="AI111" s="1">
        <f t="shared" si="72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817</v>
      </c>
      <c r="E112" s="32" t="s">
        <v>172</v>
      </c>
      <c r="F112" s="32" t="s">
        <v>818</v>
      </c>
      <c r="G112" s="32" t="s">
        <v>39</v>
      </c>
      <c r="H112" s="32" t="s">
        <v>819</v>
      </c>
      <c r="I112" s="31" t="s">
        <v>820</v>
      </c>
      <c r="J112" s="31">
        <v>16</v>
      </c>
      <c r="K112" s="33" t="s">
        <v>702</v>
      </c>
      <c r="L112" s="33" t="s">
        <v>688</v>
      </c>
      <c r="M112" s="34" t="s">
        <v>1393</v>
      </c>
      <c r="N112" s="34" t="s">
        <v>1727</v>
      </c>
      <c r="O112" s="35">
        <v>1</v>
      </c>
      <c r="P112" s="35">
        <v>1</v>
      </c>
      <c r="Q112" s="32"/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1</v>
      </c>
      <c r="AE112" s="1">
        <f t="shared" si="84"/>
        <v>0</v>
      </c>
      <c r="AF112" s="1">
        <f t="shared" si="69"/>
        <v>1</v>
      </c>
      <c r="AG112" s="1">
        <f t="shared" si="70"/>
        <v>0</v>
      </c>
      <c r="AH112" s="1">
        <f t="shared" si="71"/>
        <v>1</v>
      </c>
      <c r="AI112" s="1">
        <f t="shared" si="7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108</v>
      </c>
      <c r="E113" s="16" t="s">
        <v>170</v>
      </c>
      <c r="F113" s="16" t="s">
        <v>306</v>
      </c>
      <c r="G113" s="16" t="s">
        <v>39</v>
      </c>
      <c r="H113" s="16" t="s">
        <v>361</v>
      </c>
      <c r="I113" s="15" t="s">
        <v>455</v>
      </c>
      <c r="J113" s="15">
        <v>18</v>
      </c>
      <c r="K113" s="10" t="s">
        <v>703</v>
      </c>
      <c r="L113" s="10" t="s">
        <v>688</v>
      </c>
      <c r="M113" s="19" t="s">
        <v>691</v>
      </c>
      <c r="N113" s="17"/>
      <c r="Q113" s="20" t="s">
        <v>1883</v>
      </c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0</v>
      </c>
      <c r="AF113" s="1">
        <f t="shared" si="69"/>
        <v>0</v>
      </c>
      <c r="AG113" s="1">
        <f t="shared" si="70"/>
        <v>0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1505</v>
      </c>
      <c r="E114" s="32" t="s">
        <v>170</v>
      </c>
      <c r="F114" s="32" t="s">
        <v>1506</v>
      </c>
      <c r="G114" s="32" t="s">
        <v>39</v>
      </c>
      <c r="H114" s="32" t="s">
        <v>374</v>
      </c>
      <c r="I114" s="31" t="s">
        <v>1507</v>
      </c>
      <c r="J114" s="31">
        <v>11</v>
      </c>
      <c r="K114" s="33" t="s">
        <v>722</v>
      </c>
      <c r="L114" s="33">
        <v>50</v>
      </c>
      <c r="M114" s="34" t="s">
        <v>39</v>
      </c>
      <c r="N114" s="34" t="s">
        <v>1749</v>
      </c>
      <c r="O114" s="35">
        <v>1</v>
      </c>
      <c r="P114" s="35"/>
      <c r="Q114" s="32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1</v>
      </c>
      <c r="AF114" s="1">
        <f t="shared" si="69"/>
        <v>0</v>
      </c>
      <c r="AG114" s="1">
        <f t="shared" si="70"/>
        <v>1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107</v>
      </c>
      <c r="E115" s="45" t="s">
        <v>170</v>
      </c>
      <c r="F115" s="45" t="s">
        <v>305</v>
      </c>
      <c r="G115" s="45" t="s">
        <v>39</v>
      </c>
      <c r="H115" s="45" t="s">
        <v>360</v>
      </c>
      <c r="I115" s="44" t="s">
        <v>454</v>
      </c>
      <c r="J115" s="44">
        <v>18</v>
      </c>
      <c r="K115" s="46" t="s">
        <v>702</v>
      </c>
      <c r="L115" s="46">
        <v>55</v>
      </c>
      <c r="M115" s="47" t="s">
        <v>691</v>
      </c>
      <c r="N115" s="47" t="s">
        <v>1734</v>
      </c>
      <c r="O115" s="48"/>
      <c r="P115" s="48"/>
      <c r="Q115" s="45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0</v>
      </c>
      <c r="AF115" s="1">
        <f t="shared" si="69"/>
        <v>0</v>
      </c>
      <c r="AG115" s="1">
        <f t="shared" si="70"/>
        <v>0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128</v>
      </c>
      <c r="E116" s="32" t="s">
        <v>175</v>
      </c>
      <c r="F116" s="32" t="s">
        <v>329</v>
      </c>
      <c r="G116" s="32" t="s">
        <v>39</v>
      </c>
      <c r="H116" s="32" t="s">
        <v>375</v>
      </c>
      <c r="I116" s="31" t="s">
        <v>477</v>
      </c>
      <c r="J116" s="31">
        <v>12</v>
      </c>
      <c r="K116" s="33" t="s">
        <v>702</v>
      </c>
      <c r="L116" s="33">
        <v>35</v>
      </c>
      <c r="M116" s="34" t="s">
        <v>691</v>
      </c>
      <c r="N116" s="34" t="s">
        <v>1749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994</v>
      </c>
      <c r="E117" s="45" t="s">
        <v>170</v>
      </c>
      <c r="F117" s="45" t="s">
        <v>1093</v>
      </c>
      <c r="G117" s="45" t="s">
        <v>232</v>
      </c>
      <c r="H117" s="45" t="s">
        <v>354</v>
      </c>
      <c r="I117" s="44" t="s">
        <v>995</v>
      </c>
      <c r="J117" s="44">
        <v>99</v>
      </c>
      <c r="K117" s="46" t="s">
        <v>956</v>
      </c>
      <c r="L117" s="46">
        <v>40</v>
      </c>
      <c r="M117" s="47" t="s">
        <v>39</v>
      </c>
      <c r="N117" s="47" t="s">
        <v>1747</v>
      </c>
      <c r="O117" s="48"/>
      <c r="P117" s="48"/>
      <c r="Q117" s="45"/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0</v>
      </c>
      <c r="AE117" s="1">
        <f t="shared" si="84"/>
        <v>0</v>
      </c>
      <c r="AF117" s="1">
        <f t="shared" si="69"/>
        <v>0</v>
      </c>
      <c r="AG117" s="1">
        <f t="shared" si="70"/>
        <v>0</v>
      </c>
      <c r="AH117" s="1">
        <f t="shared" si="71"/>
        <v>0</v>
      </c>
      <c r="AI117" s="1">
        <f t="shared" si="72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129</v>
      </c>
      <c r="E118" s="32" t="s">
        <v>170</v>
      </c>
      <c r="F118" s="32" t="s">
        <v>330</v>
      </c>
      <c r="G118" s="32" t="s">
        <v>39</v>
      </c>
      <c r="H118" s="32" t="s">
        <v>371</v>
      </c>
      <c r="I118" s="31" t="s">
        <v>478</v>
      </c>
      <c r="J118" s="31">
        <v>11</v>
      </c>
      <c r="K118" s="33" t="s">
        <v>702</v>
      </c>
      <c r="L118" s="33" t="s">
        <v>39</v>
      </c>
      <c r="M118" s="34" t="s">
        <v>39</v>
      </c>
      <c r="N118" s="34" t="s">
        <v>1727</v>
      </c>
      <c r="O118" s="35">
        <v>1</v>
      </c>
      <c r="P118" s="35">
        <v>1</v>
      </c>
      <c r="Q118" s="32" t="s">
        <v>2041</v>
      </c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1</v>
      </c>
      <c r="AE118" s="1">
        <f t="shared" si="84"/>
        <v>0</v>
      </c>
      <c r="AF118" s="1">
        <f t="shared" si="69"/>
        <v>1</v>
      </c>
      <c r="AG118" s="1">
        <f t="shared" si="70"/>
        <v>0</v>
      </c>
      <c r="AH118" s="1">
        <f t="shared" si="71"/>
        <v>1</v>
      </c>
      <c r="AI118" s="1">
        <f t="shared" si="72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1320</v>
      </c>
      <c r="E119" s="16" t="s">
        <v>172</v>
      </c>
      <c r="F119" s="16" t="s">
        <v>1343</v>
      </c>
      <c r="G119" s="16" t="s">
        <v>39</v>
      </c>
      <c r="H119" s="16" t="s">
        <v>988</v>
      </c>
      <c r="I119" s="15" t="s">
        <v>989</v>
      </c>
      <c r="J119" s="15">
        <v>14</v>
      </c>
      <c r="K119" s="10" t="s">
        <v>703</v>
      </c>
      <c r="L119" s="10">
        <v>30</v>
      </c>
      <c r="M119" s="19" t="s">
        <v>971</v>
      </c>
      <c r="N119" s="17"/>
      <c r="Q119" s="16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44">
        <v>0</v>
      </c>
      <c r="B120" s="44">
        <v>1</v>
      </c>
      <c r="C120" s="44">
        <v>3</v>
      </c>
      <c r="D120" s="45" t="s">
        <v>699</v>
      </c>
      <c r="E120" s="45" t="s">
        <v>175</v>
      </c>
      <c r="F120" s="45" t="s">
        <v>700</v>
      </c>
      <c r="G120" s="45" t="s">
        <v>39</v>
      </c>
      <c r="H120" s="45" t="s">
        <v>701</v>
      </c>
      <c r="I120" s="44" t="s">
        <v>1115</v>
      </c>
      <c r="J120" s="44">
        <v>13</v>
      </c>
      <c r="K120" s="46" t="s">
        <v>702</v>
      </c>
      <c r="L120" s="46" t="s">
        <v>1699</v>
      </c>
      <c r="M120" s="47" t="s">
        <v>970</v>
      </c>
      <c r="N120" s="47" t="s">
        <v>1802</v>
      </c>
      <c r="O120" s="48"/>
      <c r="P120" s="48"/>
      <c r="Q120" s="45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0</v>
      </c>
      <c r="AE120" s="1">
        <f t="shared" si="84"/>
        <v>0</v>
      </c>
      <c r="AF120" s="1">
        <f t="shared" si="69"/>
        <v>0</v>
      </c>
      <c r="AG120" s="1">
        <f t="shared" si="70"/>
        <v>0</v>
      </c>
      <c r="AH120" s="1">
        <f t="shared" si="71"/>
        <v>0</v>
      </c>
      <c r="AI120" s="1">
        <f t="shared" si="72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1520</v>
      </c>
      <c r="E121" s="32" t="s">
        <v>170</v>
      </c>
      <c r="F121" s="32" t="s">
        <v>1667</v>
      </c>
      <c r="G121" s="32" t="s">
        <v>39</v>
      </c>
      <c r="H121" s="32" t="s">
        <v>1521</v>
      </c>
      <c r="I121" s="31" t="s">
        <v>1522</v>
      </c>
      <c r="J121" s="31">
        <v>11</v>
      </c>
      <c r="K121" s="33" t="s">
        <v>722</v>
      </c>
      <c r="L121" s="33">
        <v>40</v>
      </c>
      <c r="M121" s="34" t="s">
        <v>39</v>
      </c>
      <c r="N121" s="34" t="s">
        <v>1727</v>
      </c>
      <c r="O121" s="35">
        <v>1</v>
      </c>
      <c r="P121" s="35">
        <v>1</v>
      </c>
      <c r="Q121" s="32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1</v>
      </c>
      <c r="AE121" s="1">
        <f t="shared" si="84"/>
        <v>0</v>
      </c>
      <c r="AF121" s="1">
        <f t="shared" si="69"/>
        <v>1</v>
      </c>
      <c r="AG121" s="1">
        <f t="shared" si="70"/>
        <v>0</v>
      </c>
      <c r="AH121" s="1">
        <f t="shared" si="71"/>
        <v>1</v>
      </c>
      <c r="AI121" s="1">
        <f t="shared" si="72"/>
        <v>0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146</v>
      </c>
      <c r="E122" s="16" t="s">
        <v>172</v>
      </c>
      <c r="F122" s="16" t="s">
        <v>348</v>
      </c>
      <c r="G122" s="16" t="s">
        <v>39</v>
      </c>
      <c r="H122" s="16" t="s">
        <v>367</v>
      </c>
      <c r="I122" s="15" t="s">
        <v>493</v>
      </c>
      <c r="J122" s="15">
        <v>18</v>
      </c>
      <c r="K122" s="10" t="s">
        <v>956</v>
      </c>
      <c r="L122" s="10" t="s">
        <v>697</v>
      </c>
      <c r="M122" s="19" t="s">
        <v>970</v>
      </c>
      <c r="N122" s="17"/>
      <c r="Q122" s="16"/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20" t="s">
        <v>1978</v>
      </c>
      <c r="E123" s="20" t="s">
        <v>172</v>
      </c>
      <c r="F123" s="20" t="s">
        <v>1975</v>
      </c>
      <c r="G123" s="20"/>
      <c r="H123" s="20" t="s">
        <v>1976</v>
      </c>
      <c r="I123" s="21" t="s">
        <v>1974</v>
      </c>
      <c r="J123" s="15">
        <v>17</v>
      </c>
      <c r="K123" s="10" t="s">
        <v>703</v>
      </c>
      <c r="L123" s="10" t="s">
        <v>1742</v>
      </c>
      <c r="M123" s="19" t="s">
        <v>971</v>
      </c>
      <c r="N123" s="17"/>
      <c r="Q123" s="20" t="s">
        <v>1977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44">
        <v>0</v>
      </c>
      <c r="B124" s="44">
        <v>1</v>
      </c>
      <c r="C124" s="44">
        <v>3</v>
      </c>
      <c r="D124" s="45" t="s">
        <v>1000</v>
      </c>
      <c r="E124" s="45" t="s">
        <v>172</v>
      </c>
      <c r="F124" s="65" t="s">
        <v>1867</v>
      </c>
      <c r="G124" s="45" t="s">
        <v>39</v>
      </c>
      <c r="H124" s="45" t="s">
        <v>1001</v>
      </c>
      <c r="I124" s="44" t="s">
        <v>1116</v>
      </c>
      <c r="J124" s="44">
        <v>16</v>
      </c>
      <c r="K124" s="46" t="s">
        <v>722</v>
      </c>
      <c r="L124" s="46" t="s">
        <v>1742</v>
      </c>
      <c r="M124" s="47" t="s">
        <v>1394</v>
      </c>
      <c r="N124" s="47" t="s">
        <v>1802</v>
      </c>
      <c r="O124" s="48"/>
      <c r="P124" s="48"/>
      <c r="Q124" s="65" t="s">
        <v>1890</v>
      </c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1127</v>
      </c>
      <c r="E125" s="16" t="s">
        <v>172</v>
      </c>
      <c r="F125" s="16" t="s">
        <v>1344</v>
      </c>
      <c r="G125" s="16" t="s">
        <v>39</v>
      </c>
      <c r="H125" s="16" t="s">
        <v>1129</v>
      </c>
      <c r="I125" s="15" t="s">
        <v>1128</v>
      </c>
      <c r="J125" s="15">
        <v>14</v>
      </c>
      <c r="K125" s="10" t="s">
        <v>958</v>
      </c>
      <c r="L125" s="10" t="s">
        <v>1699</v>
      </c>
      <c r="M125" s="19" t="s">
        <v>1395</v>
      </c>
      <c r="N125" s="17"/>
      <c r="Q125" s="16"/>
      <c r="S125" s="1">
        <f t="shared" si="73"/>
        <v>0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0</v>
      </c>
      <c r="AF125" s="1">
        <f t="shared" si="69"/>
        <v>0</v>
      </c>
      <c r="AG125" s="1">
        <f t="shared" si="70"/>
        <v>0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1078</v>
      </c>
      <c r="E126" s="32" t="s">
        <v>172</v>
      </c>
      <c r="F126" s="32" t="s">
        <v>1040</v>
      </c>
      <c r="G126" s="32" t="s">
        <v>1104</v>
      </c>
      <c r="H126" s="32" t="s">
        <v>354</v>
      </c>
      <c r="I126" s="31" t="s">
        <v>1041</v>
      </c>
      <c r="J126" s="31">
        <v>1</v>
      </c>
      <c r="K126" s="33" t="s">
        <v>958</v>
      </c>
      <c r="L126" s="33" t="s">
        <v>687</v>
      </c>
      <c r="M126" s="34" t="s">
        <v>971</v>
      </c>
      <c r="N126" s="34" t="s">
        <v>1755</v>
      </c>
      <c r="O126" s="35">
        <v>1</v>
      </c>
      <c r="P126" s="35"/>
      <c r="Q126" s="32"/>
      <c r="S126" s="1">
        <f t="shared" si="73"/>
        <v>1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1629</v>
      </c>
      <c r="E127" s="32" t="s">
        <v>1087</v>
      </c>
      <c r="F127" s="32" t="s">
        <v>1630</v>
      </c>
      <c r="G127" s="32" t="s">
        <v>39</v>
      </c>
      <c r="H127" s="32" t="s">
        <v>1631</v>
      </c>
      <c r="I127" s="31" t="s">
        <v>1632</v>
      </c>
      <c r="J127" s="31">
        <v>15</v>
      </c>
      <c r="K127" s="33" t="s">
        <v>958</v>
      </c>
      <c r="L127" s="33" t="s">
        <v>39</v>
      </c>
      <c r="M127" s="34" t="s">
        <v>39</v>
      </c>
      <c r="N127" s="34" t="s">
        <v>1748</v>
      </c>
      <c r="O127" s="35">
        <v>1</v>
      </c>
      <c r="P127" s="35"/>
      <c r="Q127" s="36" t="s">
        <v>1895</v>
      </c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1</v>
      </c>
      <c r="AF127" s="1">
        <f t="shared" si="69"/>
        <v>0</v>
      </c>
      <c r="AG127" s="1">
        <f t="shared" si="70"/>
        <v>1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613</v>
      </c>
      <c r="E128" s="16" t="s">
        <v>170</v>
      </c>
      <c r="F128" s="16" t="s">
        <v>614</v>
      </c>
      <c r="G128" s="16" t="s">
        <v>39</v>
      </c>
      <c r="H128" s="16" t="s">
        <v>366</v>
      </c>
      <c r="I128" s="15" t="s">
        <v>615</v>
      </c>
      <c r="J128" s="15">
        <v>18</v>
      </c>
      <c r="K128" s="10" t="s">
        <v>722</v>
      </c>
      <c r="L128" s="10" t="s">
        <v>1742</v>
      </c>
      <c r="M128" s="19" t="s">
        <v>39</v>
      </c>
      <c r="N128" s="17"/>
      <c r="Q128" s="16"/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1950</v>
      </c>
      <c r="E129" s="20" t="s">
        <v>172</v>
      </c>
      <c r="F129" s="20" t="s">
        <v>1971</v>
      </c>
      <c r="G129" s="20"/>
      <c r="H129" s="20" t="s">
        <v>1970</v>
      </c>
      <c r="I129" s="21" t="s">
        <v>1972</v>
      </c>
      <c r="J129" s="15">
        <v>15</v>
      </c>
      <c r="K129" s="10" t="s">
        <v>703</v>
      </c>
      <c r="L129" s="10" t="s">
        <v>1742</v>
      </c>
      <c r="M129" s="19" t="s">
        <v>971</v>
      </c>
      <c r="N129" s="17"/>
      <c r="Q129" s="20" t="s">
        <v>1973</v>
      </c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0</v>
      </c>
      <c r="AE129" s="1">
        <f t="shared" si="84"/>
        <v>0</v>
      </c>
      <c r="AF129" s="1">
        <f t="shared" si="69"/>
        <v>0</v>
      </c>
      <c r="AG129" s="1">
        <f t="shared" si="70"/>
        <v>0</v>
      </c>
      <c r="AH129" s="1">
        <f t="shared" si="71"/>
        <v>0</v>
      </c>
      <c r="AI129" s="1">
        <f t="shared" si="72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920</v>
      </c>
      <c r="E130" s="32" t="s">
        <v>172</v>
      </c>
      <c r="F130" s="32" t="s">
        <v>1157</v>
      </c>
      <c r="G130" s="32" t="s">
        <v>39</v>
      </c>
      <c r="H130" s="32" t="s">
        <v>363</v>
      </c>
      <c r="I130" s="31" t="s">
        <v>891</v>
      </c>
      <c r="J130" s="31">
        <v>14</v>
      </c>
      <c r="K130" s="33" t="s">
        <v>957</v>
      </c>
      <c r="L130" s="33" t="s">
        <v>39</v>
      </c>
      <c r="M130" s="34" t="s">
        <v>39</v>
      </c>
      <c r="N130" s="34" t="s">
        <v>1733</v>
      </c>
      <c r="O130" s="35">
        <v>1</v>
      </c>
      <c r="P130" s="35">
        <v>1</v>
      </c>
      <c r="Q130" s="36"/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1</v>
      </c>
      <c r="AE130" s="1">
        <f t="shared" si="84"/>
        <v>0</v>
      </c>
      <c r="AF130" s="1">
        <f t="shared" si="69"/>
        <v>1</v>
      </c>
      <c r="AG130" s="1">
        <f t="shared" si="70"/>
        <v>0</v>
      </c>
      <c r="AH130" s="1">
        <f t="shared" si="71"/>
        <v>1</v>
      </c>
      <c r="AI130" s="1">
        <f t="shared" si="72"/>
        <v>0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105</v>
      </c>
      <c r="E131" s="16" t="s">
        <v>172</v>
      </c>
      <c r="F131" s="16" t="s">
        <v>931</v>
      </c>
      <c r="G131" s="16" t="s">
        <v>39</v>
      </c>
      <c r="H131" s="16" t="s">
        <v>358</v>
      </c>
      <c r="I131" s="15" t="s">
        <v>452</v>
      </c>
      <c r="J131" s="15">
        <v>18</v>
      </c>
      <c r="K131" s="10" t="s">
        <v>956</v>
      </c>
      <c r="L131" s="10" t="s">
        <v>697</v>
      </c>
      <c r="M131" s="19" t="s">
        <v>691</v>
      </c>
      <c r="N131" s="17"/>
      <c r="Q131" s="16" t="s">
        <v>1888</v>
      </c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0</v>
      </c>
      <c r="AE131" s="1">
        <f t="shared" si="84"/>
        <v>0</v>
      </c>
      <c r="AF131" s="1">
        <f t="shared" si="69"/>
        <v>0</v>
      </c>
      <c r="AG131" s="1">
        <f t="shared" si="70"/>
        <v>0</v>
      </c>
      <c r="AH131" s="1">
        <f t="shared" si="71"/>
        <v>0</v>
      </c>
      <c r="AI131" s="1">
        <f t="shared" si="72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1508</v>
      </c>
      <c r="E132" s="32" t="s">
        <v>1652</v>
      </c>
      <c r="F132" s="32" t="s">
        <v>1510</v>
      </c>
      <c r="G132" s="32" t="s">
        <v>39</v>
      </c>
      <c r="H132" s="32" t="s">
        <v>1511</v>
      </c>
      <c r="I132" s="31" t="s">
        <v>1509</v>
      </c>
      <c r="J132" s="31">
        <v>14</v>
      </c>
      <c r="K132" s="33" t="s">
        <v>962</v>
      </c>
      <c r="L132" s="33" t="s">
        <v>687</v>
      </c>
      <c r="M132" s="34" t="s">
        <v>1396</v>
      </c>
      <c r="N132" s="34" t="s">
        <v>1727</v>
      </c>
      <c r="O132" s="35">
        <v>1</v>
      </c>
      <c r="P132" s="35">
        <v>1</v>
      </c>
      <c r="Q132" s="36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1</v>
      </c>
      <c r="AE132" s="1">
        <f t="shared" si="84"/>
        <v>0</v>
      </c>
      <c r="AF132" s="1">
        <f t="shared" si="69"/>
        <v>1</v>
      </c>
      <c r="AG132" s="1">
        <f t="shared" si="70"/>
        <v>0</v>
      </c>
      <c r="AH132" s="1">
        <f t="shared" si="71"/>
        <v>1</v>
      </c>
      <c r="AI132" s="1">
        <f t="shared" si="72"/>
        <v>0</v>
      </c>
    </row>
    <row r="133" spans="1:35" ht="14.25" customHeight="1" x14ac:dyDescent="0.25">
      <c r="A133" s="44">
        <v>0</v>
      </c>
      <c r="B133" s="44">
        <v>1</v>
      </c>
      <c r="C133" s="44">
        <v>3</v>
      </c>
      <c r="D133" s="45" t="s">
        <v>1256</v>
      </c>
      <c r="E133" s="45" t="s">
        <v>172</v>
      </c>
      <c r="F133" s="45" t="s">
        <v>1257</v>
      </c>
      <c r="G133" s="45" t="s">
        <v>1259</v>
      </c>
      <c r="H133" s="45" t="s">
        <v>354</v>
      </c>
      <c r="I133" s="44" t="s">
        <v>1258</v>
      </c>
      <c r="J133" s="44">
        <v>99</v>
      </c>
      <c r="K133" s="46" t="s">
        <v>958</v>
      </c>
      <c r="L133" s="46" t="s">
        <v>693</v>
      </c>
      <c r="M133" s="47" t="s">
        <v>971</v>
      </c>
      <c r="N133" s="47" t="s">
        <v>1802</v>
      </c>
      <c r="O133" s="48"/>
      <c r="P133" s="48"/>
      <c r="Q133" s="45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1502</v>
      </c>
      <c r="E134" s="16" t="s">
        <v>172</v>
      </c>
      <c r="F134" s="16" t="s">
        <v>1503</v>
      </c>
      <c r="G134" s="16" t="s">
        <v>39</v>
      </c>
      <c r="H134" s="16" t="s">
        <v>365</v>
      </c>
      <c r="I134" s="15" t="s">
        <v>1504</v>
      </c>
      <c r="J134" s="15">
        <v>18</v>
      </c>
      <c r="K134" s="10" t="s">
        <v>956</v>
      </c>
      <c r="L134" s="10" t="s">
        <v>1742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1623</v>
      </c>
      <c r="E135" s="16" t="s">
        <v>172</v>
      </c>
      <c r="F135" s="16" t="s">
        <v>1626</v>
      </c>
      <c r="G135" s="16" t="s">
        <v>39</v>
      </c>
      <c r="H135" s="16" t="s">
        <v>1624</v>
      </c>
      <c r="I135" s="15" t="s">
        <v>1625</v>
      </c>
      <c r="J135" s="15">
        <v>15</v>
      </c>
      <c r="K135" s="10" t="s">
        <v>722</v>
      </c>
      <c r="L135" s="10" t="s">
        <v>39</v>
      </c>
      <c r="M135" s="19" t="s">
        <v>39</v>
      </c>
      <c r="N135" s="17"/>
      <c r="Q135" s="16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0</v>
      </c>
      <c r="AE135" s="1">
        <f t="shared" si="84"/>
        <v>0</v>
      </c>
      <c r="AF135" s="1">
        <f t="shared" si="69"/>
        <v>0</v>
      </c>
      <c r="AG135" s="1">
        <f t="shared" si="70"/>
        <v>0</v>
      </c>
      <c r="AH135" s="1">
        <f t="shared" si="71"/>
        <v>0</v>
      </c>
      <c r="AI135" s="1">
        <f t="shared" si="72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1244</v>
      </c>
      <c r="E136" s="32" t="s">
        <v>1246</v>
      </c>
      <c r="F136" s="32" t="s">
        <v>1247</v>
      </c>
      <c r="G136" s="32" t="s">
        <v>39</v>
      </c>
      <c r="H136" s="32" t="s">
        <v>369</v>
      </c>
      <c r="I136" s="31" t="s">
        <v>1245</v>
      </c>
      <c r="J136" s="31">
        <v>14</v>
      </c>
      <c r="K136" s="33" t="s">
        <v>958</v>
      </c>
      <c r="L136" s="33" t="s">
        <v>687</v>
      </c>
      <c r="M136" s="34" t="s">
        <v>1396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130</v>
      </c>
      <c r="E137" s="32" t="s">
        <v>176</v>
      </c>
      <c r="F137" s="32" t="s">
        <v>331</v>
      </c>
      <c r="G137" s="32" t="s">
        <v>182</v>
      </c>
      <c r="H137" s="32" t="s">
        <v>354</v>
      </c>
      <c r="I137" s="31" t="s">
        <v>479</v>
      </c>
      <c r="J137" s="31">
        <v>99</v>
      </c>
      <c r="K137" s="33" t="s">
        <v>957</v>
      </c>
      <c r="L137" s="33" t="s">
        <v>39</v>
      </c>
      <c r="M137" s="34" t="s">
        <v>39</v>
      </c>
      <c r="N137" s="34" t="s">
        <v>1733</v>
      </c>
      <c r="O137" s="35">
        <v>1</v>
      </c>
      <c r="P137" s="35">
        <v>1</v>
      </c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1</v>
      </c>
      <c r="AE137" s="1">
        <f t="shared" si="84"/>
        <v>0</v>
      </c>
      <c r="AF137" s="1">
        <f t="shared" si="69"/>
        <v>1</v>
      </c>
      <c r="AG137" s="1">
        <f t="shared" si="70"/>
        <v>0</v>
      </c>
      <c r="AH137" s="1">
        <f t="shared" si="71"/>
        <v>1</v>
      </c>
      <c r="AI137" s="1">
        <f t="shared" si="72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921</v>
      </c>
      <c r="E138" s="32" t="s">
        <v>172</v>
      </c>
      <c r="F138" s="32" t="s">
        <v>933</v>
      </c>
      <c r="G138" s="32" t="s">
        <v>235</v>
      </c>
      <c r="H138" s="32" t="s">
        <v>354</v>
      </c>
      <c r="I138" s="31" t="s">
        <v>947</v>
      </c>
      <c r="J138" s="31">
        <v>99</v>
      </c>
      <c r="K138" s="33" t="s">
        <v>722</v>
      </c>
      <c r="L138" s="33">
        <v>45</v>
      </c>
      <c r="M138" s="34" t="s">
        <v>39</v>
      </c>
      <c r="N138" s="34" t="s">
        <v>1801</v>
      </c>
      <c r="O138" s="35">
        <v>1</v>
      </c>
      <c r="P138" s="35"/>
      <c r="Q138" s="32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1</v>
      </c>
      <c r="AF138" s="1">
        <f t="shared" si="69"/>
        <v>0</v>
      </c>
      <c r="AG138" s="1">
        <f t="shared" si="70"/>
        <v>1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44">
        <v>0</v>
      </c>
      <c r="B139" s="44">
        <v>1</v>
      </c>
      <c r="C139" s="44">
        <v>3</v>
      </c>
      <c r="D139" s="45" t="s">
        <v>78</v>
      </c>
      <c r="E139" s="45" t="s">
        <v>610</v>
      </c>
      <c r="F139" s="45" t="s">
        <v>308</v>
      </c>
      <c r="G139" s="45" t="s">
        <v>39</v>
      </c>
      <c r="H139" s="45" t="s">
        <v>362</v>
      </c>
      <c r="I139" s="44" t="s">
        <v>457</v>
      </c>
      <c r="J139" s="44">
        <v>12</v>
      </c>
      <c r="K139" s="46" t="s">
        <v>703</v>
      </c>
      <c r="L139" s="46">
        <v>40</v>
      </c>
      <c r="M139" s="47" t="s">
        <v>971</v>
      </c>
      <c r="N139" s="47" t="s">
        <v>1802</v>
      </c>
      <c r="O139" s="48"/>
      <c r="P139" s="48"/>
      <c r="Q139" s="45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1582</v>
      </c>
      <c r="E140" s="16" t="s">
        <v>170</v>
      </c>
      <c r="F140" s="16" t="s">
        <v>1584</v>
      </c>
      <c r="G140" s="16"/>
      <c r="H140" s="16" t="s">
        <v>365</v>
      </c>
      <c r="I140" s="15" t="s">
        <v>1583</v>
      </c>
      <c r="J140" s="15">
        <v>18</v>
      </c>
      <c r="K140" s="10" t="s">
        <v>703</v>
      </c>
      <c r="L140" s="10" t="s">
        <v>688</v>
      </c>
      <c r="M140" s="19" t="s">
        <v>971</v>
      </c>
      <c r="N140" s="17"/>
      <c r="Q140" s="16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0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0</v>
      </c>
      <c r="AE140" s="1">
        <f t="shared" si="84"/>
        <v>0</v>
      </c>
      <c r="AF140" s="1">
        <f t="shared" ref="AF140:AF207" si="113">+O140*P140*(1-A140)</f>
        <v>0</v>
      </c>
      <c r="AG140" s="1">
        <f t="shared" ref="AG140:AG207" si="114">O140*(1-P140)*(1-A140)</f>
        <v>0</v>
      </c>
      <c r="AH140" s="1">
        <f t="shared" ref="AH140:AH207" si="115">+P140*(1-A140)</f>
        <v>0</v>
      </c>
      <c r="AI140" s="1">
        <f t="shared" ref="AI140:AI207" si="116">+(1-A140)*(1-P140)</f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1287</v>
      </c>
      <c r="E141" s="32" t="s">
        <v>172</v>
      </c>
      <c r="F141" s="32" t="s">
        <v>1288</v>
      </c>
      <c r="G141" s="32" t="s">
        <v>238</v>
      </c>
      <c r="H141" s="32" t="s">
        <v>354</v>
      </c>
      <c r="I141" s="31" t="s">
        <v>1289</v>
      </c>
      <c r="J141" s="31">
        <v>4</v>
      </c>
      <c r="K141" s="33" t="s">
        <v>957</v>
      </c>
      <c r="L141" s="33" t="s">
        <v>39</v>
      </c>
      <c r="M141" s="34" t="s">
        <v>39</v>
      </c>
      <c r="N141" s="34" t="s">
        <v>1727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1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648</v>
      </c>
      <c r="E142" s="32" t="s">
        <v>172</v>
      </c>
      <c r="F142" s="32" t="s">
        <v>657</v>
      </c>
      <c r="G142" s="32" t="s">
        <v>232</v>
      </c>
      <c r="H142" s="32" t="s">
        <v>354</v>
      </c>
      <c r="I142" s="31" t="s">
        <v>612</v>
      </c>
      <c r="J142" s="31">
        <v>99</v>
      </c>
      <c r="K142" s="33" t="s">
        <v>702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1</v>
      </c>
      <c r="AE142" s="1">
        <f t="shared" si="84"/>
        <v>0</v>
      </c>
      <c r="AF142" s="1">
        <f t="shared" si="113"/>
        <v>1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8">
        <v>0</v>
      </c>
      <c r="B143" s="38">
        <v>1</v>
      </c>
      <c r="C143" s="38">
        <v>3</v>
      </c>
      <c r="D143" s="39" t="s">
        <v>873</v>
      </c>
      <c r="E143" s="39" t="s">
        <v>874</v>
      </c>
      <c r="F143" s="39" t="s">
        <v>875</v>
      </c>
      <c r="G143" s="39" t="s">
        <v>39</v>
      </c>
      <c r="H143" s="39" t="s">
        <v>366</v>
      </c>
      <c r="I143" s="38" t="s">
        <v>876</v>
      </c>
      <c r="J143" s="38">
        <v>18</v>
      </c>
      <c r="K143" s="40" t="s">
        <v>956</v>
      </c>
      <c r="L143" s="40" t="s">
        <v>39</v>
      </c>
      <c r="M143" s="41" t="s">
        <v>39</v>
      </c>
      <c r="N143" s="42"/>
      <c r="O143" s="43"/>
      <c r="P143" s="43">
        <v>1</v>
      </c>
      <c r="Q143" s="39"/>
      <c r="S143" s="1">
        <f t="shared" si="73"/>
        <v>0</v>
      </c>
      <c r="T143" s="1">
        <f t="shared" si="74"/>
        <v>0</v>
      </c>
      <c r="U143" s="1">
        <f t="shared" si="75"/>
        <v>0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0</v>
      </c>
      <c r="AE143" s="1">
        <f t="shared" si="84"/>
        <v>0</v>
      </c>
      <c r="AF143" s="1">
        <f t="shared" si="113"/>
        <v>0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1307</v>
      </c>
      <c r="E144" s="32" t="s">
        <v>172</v>
      </c>
      <c r="F144" s="32" t="s">
        <v>1308</v>
      </c>
      <c r="G144" s="32" t="s">
        <v>208</v>
      </c>
      <c r="H144" s="32" t="s">
        <v>354</v>
      </c>
      <c r="I144" s="31" t="s">
        <v>1309</v>
      </c>
      <c r="J144" s="31">
        <v>3</v>
      </c>
      <c r="K144" s="33" t="s">
        <v>956</v>
      </c>
      <c r="L144" s="33" t="s">
        <v>39</v>
      </c>
      <c r="M144" s="34" t="s">
        <v>39</v>
      </c>
      <c r="N144" s="34" t="s">
        <v>1733</v>
      </c>
      <c r="O144" s="35">
        <v>1</v>
      </c>
      <c r="P144" s="35">
        <v>1</v>
      </c>
      <c r="Q144" s="32"/>
      <c r="S144" s="1">
        <f t="shared" si="73"/>
        <v>0</v>
      </c>
      <c r="T144" s="1">
        <f t="shared" si="74"/>
        <v>0</v>
      </c>
      <c r="U144" s="1">
        <f t="shared" si="75"/>
        <v>1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1</v>
      </c>
      <c r="AE144" s="1">
        <f t="shared" si="84"/>
        <v>0</v>
      </c>
      <c r="AF144" s="1">
        <f t="shared" si="113"/>
        <v>1</v>
      </c>
      <c r="AG144" s="1">
        <f t="shared" si="114"/>
        <v>0</v>
      </c>
      <c r="AH144" s="1">
        <f t="shared" si="115"/>
        <v>1</v>
      </c>
      <c r="AI144" s="1">
        <f t="shared" si="116"/>
        <v>0</v>
      </c>
    </row>
    <row r="145" spans="1:35" ht="14.25" customHeight="1" x14ac:dyDescent="0.25">
      <c r="A145" s="44">
        <v>0</v>
      </c>
      <c r="B145" s="44">
        <v>1</v>
      </c>
      <c r="C145" s="44">
        <v>3</v>
      </c>
      <c r="D145" s="45" t="s">
        <v>867</v>
      </c>
      <c r="E145" s="45" t="s">
        <v>170</v>
      </c>
      <c r="F145" s="45" t="s">
        <v>868</v>
      </c>
      <c r="G145" s="45" t="s">
        <v>39</v>
      </c>
      <c r="H145" s="45" t="s">
        <v>869</v>
      </c>
      <c r="I145" s="44" t="s">
        <v>948</v>
      </c>
      <c r="J145" s="44">
        <v>11</v>
      </c>
      <c r="K145" s="46" t="s">
        <v>702</v>
      </c>
      <c r="L145" s="46" t="s">
        <v>689</v>
      </c>
      <c r="M145" s="47" t="s">
        <v>971</v>
      </c>
      <c r="N145" s="47" t="s">
        <v>1741</v>
      </c>
      <c r="O145" s="48"/>
      <c r="P145" s="48"/>
      <c r="Q145" s="45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0</v>
      </c>
      <c r="AF145" s="1">
        <f t="shared" si="113"/>
        <v>0</v>
      </c>
      <c r="AG145" s="1">
        <f t="shared" si="114"/>
        <v>0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506</v>
      </c>
      <c r="E146" s="36" t="s">
        <v>170</v>
      </c>
      <c r="F146" s="36" t="s">
        <v>507</v>
      </c>
      <c r="G146" s="36" t="s">
        <v>504</v>
      </c>
      <c r="H146" s="36" t="s">
        <v>354</v>
      </c>
      <c r="I146" s="37" t="s">
        <v>508</v>
      </c>
      <c r="J146" s="31">
        <v>99</v>
      </c>
      <c r="K146" s="33" t="s">
        <v>703</v>
      </c>
      <c r="L146" s="33">
        <v>40</v>
      </c>
      <c r="M146" s="34" t="s">
        <v>971</v>
      </c>
      <c r="N146" s="34" t="s">
        <v>1946</v>
      </c>
      <c r="O146" s="35">
        <v>1</v>
      </c>
      <c r="P146" s="35"/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0</v>
      </c>
      <c r="AE146" s="1">
        <f t="shared" si="128"/>
        <v>1</v>
      </c>
      <c r="AF146" s="1">
        <f t="shared" si="113"/>
        <v>0</v>
      </c>
      <c r="AG146" s="1">
        <f t="shared" si="114"/>
        <v>1</v>
      </c>
      <c r="AH146" s="1">
        <f t="shared" si="115"/>
        <v>0</v>
      </c>
      <c r="AI146" s="1">
        <f t="shared" si="116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6" t="s">
        <v>1792</v>
      </c>
      <c r="E147" s="36" t="s">
        <v>1793</v>
      </c>
      <c r="F147" s="36" t="s">
        <v>1794</v>
      </c>
      <c r="G147" s="36" t="s">
        <v>1795</v>
      </c>
      <c r="H147" s="36" t="s">
        <v>354</v>
      </c>
      <c r="I147" s="37" t="s">
        <v>1796</v>
      </c>
      <c r="J147" s="31">
        <v>99</v>
      </c>
      <c r="K147" s="33" t="s">
        <v>703</v>
      </c>
      <c r="L147" s="33"/>
      <c r="M147" s="34"/>
      <c r="N147" s="34" t="s">
        <v>1733</v>
      </c>
      <c r="O147" s="35">
        <v>1</v>
      </c>
      <c r="P147" s="35">
        <v>1</v>
      </c>
      <c r="Q147" s="36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529</v>
      </c>
      <c r="E148" s="32" t="s">
        <v>170</v>
      </c>
      <c r="F148" s="32" t="s">
        <v>658</v>
      </c>
      <c r="G148" s="32" t="s">
        <v>39</v>
      </c>
      <c r="H148" s="32" t="s">
        <v>530</v>
      </c>
      <c r="I148" s="31" t="s">
        <v>531</v>
      </c>
      <c r="J148" s="31">
        <v>18</v>
      </c>
      <c r="K148" s="33" t="s">
        <v>956</v>
      </c>
      <c r="L148" s="33" t="s">
        <v>1742</v>
      </c>
      <c r="M148" s="34" t="s">
        <v>970</v>
      </c>
      <c r="N148" s="34" t="s">
        <v>1733</v>
      </c>
      <c r="O148" s="35">
        <v>1</v>
      </c>
      <c r="P148" s="35">
        <v>1</v>
      </c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1</v>
      </c>
      <c r="AE148" s="1">
        <f t="shared" si="128"/>
        <v>0</v>
      </c>
      <c r="AF148" s="1">
        <f t="shared" si="113"/>
        <v>1</v>
      </c>
      <c r="AG148" s="1">
        <f t="shared" si="114"/>
        <v>0</v>
      </c>
      <c r="AH148" s="1">
        <f t="shared" si="115"/>
        <v>1</v>
      </c>
      <c r="AI148" s="1">
        <f t="shared" si="116"/>
        <v>0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975</v>
      </c>
      <c r="E149" s="45" t="s">
        <v>175</v>
      </c>
      <c r="F149" s="45" t="s">
        <v>805</v>
      </c>
      <c r="G149" s="45" t="s">
        <v>39</v>
      </c>
      <c r="H149" s="45" t="s">
        <v>806</v>
      </c>
      <c r="I149" s="44" t="s">
        <v>807</v>
      </c>
      <c r="J149" s="44">
        <v>16</v>
      </c>
      <c r="K149" s="46" t="s">
        <v>957</v>
      </c>
      <c r="L149" s="46" t="s">
        <v>1141</v>
      </c>
      <c r="M149" s="47" t="s">
        <v>970</v>
      </c>
      <c r="N149" s="47" t="s">
        <v>1739</v>
      </c>
      <c r="O149" s="48"/>
      <c r="P149" s="48"/>
      <c r="Q149" s="45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0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0</v>
      </c>
      <c r="AE149" s="1">
        <f t="shared" si="128"/>
        <v>0</v>
      </c>
      <c r="AF149" s="1">
        <f t="shared" si="113"/>
        <v>0</v>
      </c>
      <c r="AG149" s="1">
        <f t="shared" si="114"/>
        <v>0</v>
      </c>
      <c r="AH149" s="1">
        <f t="shared" si="115"/>
        <v>0</v>
      </c>
      <c r="AI149" s="1">
        <f t="shared" si="11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1198</v>
      </c>
      <c r="E150" s="32" t="s">
        <v>172</v>
      </c>
      <c r="F150" s="32" t="s">
        <v>1199</v>
      </c>
      <c r="G150" s="32" t="s">
        <v>238</v>
      </c>
      <c r="H150" s="32" t="s">
        <v>354</v>
      </c>
      <c r="I150" s="31" t="s">
        <v>1200</v>
      </c>
      <c r="J150" s="31">
        <v>4</v>
      </c>
      <c r="K150" s="33" t="s">
        <v>963</v>
      </c>
      <c r="L150" s="33" t="s">
        <v>1699</v>
      </c>
      <c r="M150" s="34" t="s">
        <v>1604</v>
      </c>
      <c r="N150" s="34" t="s">
        <v>1727</v>
      </c>
      <c r="O150" s="35">
        <v>1</v>
      </c>
      <c r="P150" s="35">
        <v>1</v>
      </c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1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1</v>
      </c>
      <c r="AE150" s="1">
        <f t="shared" si="128"/>
        <v>0</v>
      </c>
      <c r="AF150" s="1">
        <f t="shared" si="113"/>
        <v>1</v>
      </c>
      <c r="AG150" s="1">
        <f t="shared" si="114"/>
        <v>0</v>
      </c>
      <c r="AH150" s="1">
        <f t="shared" si="115"/>
        <v>1</v>
      </c>
      <c r="AI150" s="1">
        <f t="shared" si="116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1641</v>
      </c>
      <c r="E151" s="32" t="s">
        <v>170</v>
      </c>
      <c r="F151" s="32" t="s">
        <v>1476</v>
      </c>
      <c r="G151" s="32" t="s">
        <v>1669</v>
      </c>
      <c r="H151" s="32" t="s">
        <v>354</v>
      </c>
      <c r="I151" s="31" t="s">
        <v>1475</v>
      </c>
      <c r="J151" s="31">
        <v>99</v>
      </c>
      <c r="K151" s="33" t="s">
        <v>702</v>
      </c>
      <c r="L151" s="33" t="s">
        <v>1704</v>
      </c>
      <c r="M151" s="34" t="s">
        <v>1477</v>
      </c>
      <c r="N151" s="34" t="s">
        <v>1749</v>
      </c>
      <c r="O151" s="35">
        <v>1</v>
      </c>
      <c r="P151" s="35"/>
      <c r="Q151" s="32"/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1</v>
      </c>
      <c r="AF151" s="1">
        <f t="shared" si="113"/>
        <v>0</v>
      </c>
      <c r="AG151" s="1">
        <f t="shared" si="114"/>
        <v>1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0</v>
      </c>
      <c r="AF157" s="1">
        <f t="shared" ref="AF157:AF161" si="141">+O157*P157*(1-A157)</f>
        <v>0</v>
      </c>
      <c r="AG157" s="1">
        <f t="shared" ref="AG157:AG161" si="142">O157*(1-P157)*(1-A157)</f>
        <v>0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44">
        <v>0</v>
      </c>
      <c r="B158" s="44">
        <v>1</v>
      </c>
      <c r="C158" s="44">
        <v>3</v>
      </c>
      <c r="D158" s="45" t="s">
        <v>123</v>
      </c>
      <c r="E158" s="45" t="s">
        <v>175</v>
      </c>
      <c r="F158" s="45" t="s">
        <v>324</v>
      </c>
      <c r="G158" s="45" t="s">
        <v>39</v>
      </c>
      <c r="H158" s="45" t="s">
        <v>363</v>
      </c>
      <c r="I158" s="44" t="s">
        <v>470</v>
      </c>
      <c r="J158" s="44">
        <v>14</v>
      </c>
      <c r="K158" s="46" t="s">
        <v>722</v>
      </c>
      <c r="L158" s="46" t="s">
        <v>693</v>
      </c>
      <c r="M158" s="47" t="s">
        <v>1379</v>
      </c>
      <c r="N158" s="47" t="s">
        <v>1809</v>
      </c>
      <c r="O158" s="48"/>
      <c r="P158" s="48"/>
      <c r="Q158" s="45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0</v>
      </c>
      <c r="AF158" s="1">
        <f t="shared" si="141"/>
        <v>0</v>
      </c>
      <c r="AG158" s="1">
        <f t="shared" si="142"/>
        <v>0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2042</v>
      </c>
      <c r="E160" s="32" t="s">
        <v>172</v>
      </c>
      <c r="F160" s="32" t="s">
        <v>2043</v>
      </c>
      <c r="G160" s="32"/>
      <c r="H160" s="32" t="s">
        <v>354</v>
      </c>
      <c r="I160" s="31" t="s">
        <v>2044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2045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17"/>
        <v>0</v>
      </c>
      <c r="T162" s="1">
        <f t="shared" si="118"/>
        <v>0</v>
      </c>
      <c r="U162" s="1">
        <f t="shared" si="119"/>
        <v>0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0</v>
      </c>
      <c r="AE170" s="1">
        <f t="shared" ref="AE170:AE171" si="156">O170*(1-P170)</f>
        <v>0</v>
      </c>
      <c r="AF170" s="1">
        <f t="shared" ref="AF170:AF171" si="157">+O170*P170*(1-A170)</f>
        <v>0</v>
      </c>
      <c r="AG170" s="1">
        <f t="shared" ref="AG170:AG171" si="158">O170*(1-P170)*(1-A170)</f>
        <v>0</v>
      </c>
      <c r="AH170" s="1">
        <f t="shared" ref="AH170:AH171" si="159">+P170*(1-A170)</f>
        <v>0</v>
      </c>
      <c r="AI170" s="1">
        <f t="shared" ref="AI170:AI171" si="160">+(1-A170)*(1-P170)</f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44">
        <v>0</v>
      </c>
      <c r="B185" s="44">
        <v>1</v>
      </c>
      <c r="C185" s="44">
        <v>4</v>
      </c>
      <c r="D185" s="45" t="s">
        <v>134</v>
      </c>
      <c r="E185" s="45" t="s">
        <v>177</v>
      </c>
      <c r="F185" s="45" t="s">
        <v>336</v>
      </c>
      <c r="G185" s="45" t="s">
        <v>213</v>
      </c>
      <c r="H185" s="45" t="s">
        <v>354</v>
      </c>
      <c r="I185" s="44" t="s">
        <v>483</v>
      </c>
      <c r="J185" s="44">
        <v>1</v>
      </c>
      <c r="K185" s="46" t="s">
        <v>956</v>
      </c>
      <c r="L185" s="46" t="s">
        <v>689</v>
      </c>
      <c r="M185" s="47" t="s">
        <v>691</v>
      </c>
      <c r="N185" s="47" t="s">
        <v>1735</v>
      </c>
      <c r="O185" s="48"/>
      <c r="P185" s="48"/>
      <c r="Q185" s="45"/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15">
        <v>0</v>
      </c>
      <c r="B186" s="15">
        <v>1</v>
      </c>
      <c r="C186" s="15">
        <v>4</v>
      </c>
      <c r="D186" s="16" t="s">
        <v>884</v>
      </c>
      <c r="E186" s="16" t="s">
        <v>772</v>
      </c>
      <c r="F186" s="16" t="s">
        <v>885</v>
      </c>
      <c r="G186" s="16" t="s">
        <v>39</v>
      </c>
      <c r="H186" s="16" t="s">
        <v>886</v>
      </c>
      <c r="I186" s="15" t="s">
        <v>950</v>
      </c>
      <c r="J186" s="15">
        <v>17</v>
      </c>
      <c r="K186" s="10" t="s">
        <v>703</v>
      </c>
      <c r="L186" s="10" t="s">
        <v>1141</v>
      </c>
      <c r="M186" s="19" t="s">
        <v>972</v>
      </c>
      <c r="N186" s="17"/>
      <c r="Q186" s="16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126</v>
      </c>
      <c r="E187" s="32" t="s">
        <v>526</v>
      </c>
      <c r="F187" s="32" t="s">
        <v>327</v>
      </c>
      <c r="G187" s="32" t="s">
        <v>300</v>
      </c>
      <c r="H187" s="32" t="s">
        <v>354</v>
      </c>
      <c r="I187" s="31" t="s">
        <v>475</v>
      </c>
      <c r="J187" s="31">
        <v>99</v>
      </c>
      <c r="K187" s="33" t="s">
        <v>702</v>
      </c>
      <c r="L187" s="33" t="s">
        <v>689</v>
      </c>
      <c r="M187" s="34" t="s">
        <v>970</v>
      </c>
      <c r="N187" s="34" t="s">
        <v>1743</v>
      </c>
      <c r="O187" s="35">
        <v>1</v>
      </c>
      <c r="P187" s="35"/>
      <c r="Q187" s="32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1729</v>
      </c>
      <c r="E188" s="32" t="s">
        <v>166</v>
      </c>
      <c r="F188" s="32" t="s">
        <v>1730</v>
      </c>
      <c r="G188" s="32" t="s">
        <v>1731</v>
      </c>
      <c r="H188" s="32" t="s">
        <v>354</v>
      </c>
      <c r="I188" s="31" t="s">
        <v>1732</v>
      </c>
      <c r="J188" s="31">
        <v>2</v>
      </c>
      <c r="K188" s="33" t="s">
        <v>703</v>
      </c>
      <c r="L188" s="33"/>
      <c r="M188" s="34"/>
      <c r="N188" s="34" t="s">
        <v>1733</v>
      </c>
      <c r="O188" s="35">
        <v>1</v>
      </c>
      <c r="P188" s="35">
        <v>1</v>
      </c>
      <c r="Q188" s="32"/>
      <c r="S188" s="1">
        <f t="shared" si="117"/>
        <v>0</v>
      </c>
      <c r="T188" s="1">
        <f t="shared" si="118"/>
        <v>1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ref="AD188:AD192" si="161">+O188*P188</f>
        <v>1</v>
      </c>
      <c r="AE188" s="1">
        <f t="shared" ref="AE188:AE192" si="162">O188*(1-P188)</f>
        <v>0</v>
      </c>
      <c r="AF188" s="1">
        <f t="shared" ref="AF188:AF192" si="163">+O188*P188*(1-A188)</f>
        <v>1</v>
      </c>
      <c r="AG188" s="1">
        <f t="shared" si="114"/>
        <v>0</v>
      </c>
      <c r="AH188" s="1">
        <f t="shared" si="115"/>
        <v>1</v>
      </c>
      <c r="AI188" s="1">
        <f t="shared" si="116"/>
        <v>0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87</v>
      </c>
      <c r="E189" s="45" t="s">
        <v>166</v>
      </c>
      <c r="F189" s="45" t="s">
        <v>577</v>
      </c>
      <c r="G189" s="45" t="s">
        <v>194</v>
      </c>
      <c r="H189" s="45" t="s">
        <v>354</v>
      </c>
      <c r="I189" s="44" t="s">
        <v>436</v>
      </c>
      <c r="J189" s="44">
        <v>9</v>
      </c>
      <c r="K189" s="46" t="s">
        <v>956</v>
      </c>
      <c r="L189" s="46" t="s">
        <v>696</v>
      </c>
      <c r="M189" s="47" t="s">
        <v>691</v>
      </c>
      <c r="N189" s="47" t="s">
        <v>1735</v>
      </c>
      <c r="O189" s="48"/>
      <c r="P189" s="48"/>
      <c r="Q189" s="45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1</v>
      </c>
      <c r="AB189" s="1">
        <f t="shared" si="126"/>
        <v>0</v>
      </c>
      <c r="AD189" s="1">
        <f t="shared" si="161"/>
        <v>0</v>
      </c>
      <c r="AE189" s="1">
        <f t="shared" si="162"/>
        <v>0</v>
      </c>
      <c r="AF189" s="1">
        <f t="shared" si="163"/>
        <v>0</v>
      </c>
      <c r="AG189" s="1">
        <f t="shared" si="114"/>
        <v>0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1997</v>
      </c>
      <c r="E190" s="32" t="s">
        <v>166</v>
      </c>
      <c r="F190" s="32" t="s">
        <v>1998</v>
      </c>
      <c r="G190" s="32" t="s">
        <v>2001</v>
      </c>
      <c r="H190" s="32" t="s">
        <v>354</v>
      </c>
      <c r="I190" s="31" t="s">
        <v>1999</v>
      </c>
      <c r="J190" s="31">
        <v>99</v>
      </c>
      <c r="K190" s="33" t="s">
        <v>703</v>
      </c>
      <c r="L190" s="33">
        <v>25</v>
      </c>
      <c r="M190" s="34" t="s">
        <v>691</v>
      </c>
      <c r="N190" s="34" t="s">
        <v>1743</v>
      </c>
      <c r="O190" s="35">
        <v>1</v>
      </c>
      <c r="P190" s="35"/>
      <c r="Q190" s="32" t="s">
        <v>2000</v>
      </c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61"/>
        <v>0</v>
      </c>
      <c r="AE190" s="1">
        <f t="shared" si="162"/>
        <v>1</v>
      </c>
      <c r="AF190" s="1">
        <f t="shared" si="163"/>
        <v>0</v>
      </c>
      <c r="AG190" s="1">
        <f t="shared" si="114"/>
        <v>1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127</v>
      </c>
      <c r="E191" s="45" t="s">
        <v>166</v>
      </c>
      <c r="F191" s="45" t="s">
        <v>328</v>
      </c>
      <c r="G191" s="45" t="s">
        <v>180</v>
      </c>
      <c r="H191" s="45" t="s">
        <v>354</v>
      </c>
      <c r="I191" s="44" t="s">
        <v>476</v>
      </c>
      <c r="J191" s="44">
        <v>10</v>
      </c>
      <c r="K191" s="46" t="s">
        <v>958</v>
      </c>
      <c r="L191" s="46" t="s">
        <v>694</v>
      </c>
      <c r="M191" s="47" t="s">
        <v>691</v>
      </c>
      <c r="N191" s="47" t="s">
        <v>1740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1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0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548</v>
      </c>
      <c r="G192" s="45" t="s">
        <v>220</v>
      </c>
      <c r="H192" s="45" t="s">
        <v>354</v>
      </c>
      <c r="I192" s="44" t="s">
        <v>540</v>
      </c>
      <c r="J192" s="44">
        <v>8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1</v>
      </c>
      <c r="AA192" s="1">
        <f t="shared" si="125"/>
        <v>0</v>
      </c>
      <c r="AB192" s="1">
        <f t="shared" si="126"/>
        <v>0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44">
        <v>1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337</v>
      </c>
      <c r="G193" s="45" t="s">
        <v>338</v>
      </c>
      <c r="H193" s="45" t="s">
        <v>354</v>
      </c>
      <c r="I193" s="44" t="s">
        <v>485</v>
      </c>
      <c r="J193" s="44">
        <v>10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0</v>
      </c>
    </row>
    <row r="194" spans="1:35" ht="14.25" customHeight="1" x14ac:dyDescent="0.25">
      <c r="A194" s="44">
        <v>0</v>
      </c>
      <c r="B194" s="44">
        <v>1</v>
      </c>
      <c r="C194" s="44">
        <v>5</v>
      </c>
      <c r="D194" s="45" t="s">
        <v>1637</v>
      </c>
      <c r="E194" s="45" t="s">
        <v>166</v>
      </c>
      <c r="F194" s="45" t="s">
        <v>865</v>
      </c>
      <c r="G194" s="45" t="s">
        <v>1664</v>
      </c>
      <c r="H194" s="45" t="s">
        <v>354</v>
      </c>
      <c r="I194" s="44" t="s">
        <v>866</v>
      </c>
      <c r="J194" s="44">
        <v>1</v>
      </c>
      <c r="K194" s="46" t="s">
        <v>722</v>
      </c>
      <c r="L194" s="46" t="s">
        <v>1707</v>
      </c>
      <c r="M194" s="47" t="s">
        <v>1400</v>
      </c>
      <c r="N194" s="47" t="s">
        <v>1735</v>
      </c>
      <c r="O194" s="48"/>
      <c r="P194" s="48"/>
      <c r="Q194" s="45"/>
      <c r="S194" s="1">
        <f t="shared" si="117"/>
        <v>1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1949</v>
      </c>
      <c r="E195" s="20" t="s">
        <v>893</v>
      </c>
      <c r="F195" s="20" t="s">
        <v>1967</v>
      </c>
      <c r="G195" s="20"/>
      <c r="H195" s="20" t="s">
        <v>1968</v>
      </c>
      <c r="I195" s="21" t="s">
        <v>1966</v>
      </c>
      <c r="J195" s="15">
        <v>15</v>
      </c>
      <c r="K195" s="10" t="s">
        <v>703</v>
      </c>
      <c r="L195" s="10" t="s">
        <v>697</v>
      </c>
      <c r="M195" s="19" t="s">
        <v>971</v>
      </c>
      <c r="N195" s="17"/>
      <c r="Q195" s="20" t="s">
        <v>1969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0</v>
      </c>
      <c r="AE195" s="1">
        <f t="shared" si="165"/>
        <v>0</v>
      </c>
      <c r="AF195" s="1">
        <f t="shared" si="166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887</v>
      </c>
      <c r="E196" s="32" t="s">
        <v>888</v>
      </c>
      <c r="F196" s="32" t="s">
        <v>1092</v>
      </c>
      <c r="G196" s="32" t="s">
        <v>39</v>
      </c>
      <c r="H196" s="32" t="s">
        <v>889</v>
      </c>
      <c r="I196" s="31" t="s">
        <v>890</v>
      </c>
      <c r="J196" s="31">
        <v>16</v>
      </c>
      <c r="K196" s="33" t="s">
        <v>703</v>
      </c>
      <c r="L196" s="33" t="s">
        <v>692</v>
      </c>
      <c r="M196" s="34" t="s">
        <v>970</v>
      </c>
      <c r="N196" s="34" t="s">
        <v>1733</v>
      </c>
      <c r="O196" s="35">
        <v>1</v>
      </c>
      <c r="P196" s="35">
        <v>1</v>
      </c>
      <c r="Q196" s="36" t="s">
        <v>1894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1</v>
      </c>
      <c r="AE196" s="1">
        <f t="shared" si="128"/>
        <v>0</v>
      </c>
      <c r="AF196" s="1">
        <f t="shared" si="113"/>
        <v>1</v>
      </c>
      <c r="AG196" s="1">
        <f t="shared" si="114"/>
        <v>0</v>
      </c>
      <c r="AH196" s="1">
        <f t="shared" si="115"/>
        <v>1</v>
      </c>
      <c r="AI196" s="1">
        <f t="shared" si="116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106</v>
      </c>
      <c r="E197" s="32" t="s">
        <v>173</v>
      </c>
      <c r="F197" s="32" t="s">
        <v>304</v>
      </c>
      <c r="G197" s="32" t="s">
        <v>39</v>
      </c>
      <c r="H197" s="32" t="s">
        <v>359</v>
      </c>
      <c r="I197" s="31" t="s">
        <v>453</v>
      </c>
      <c r="J197" s="31">
        <v>14</v>
      </c>
      <c r="K197" s="33" t="s">
        <v>956</v>
      </c>
      <c r="L197" s="33" t="s">
        <v>693</v>
      </c>
      <c r="M197" s="34" t="s">
        <v>970</v>
      </c>
      <c r="N197" s="34" t="s">
        <v>1743</v>
      </c>
      <c r="O197" s="35">
        <v>1</v>
      </c>
      <c r="P197" s="35"/>
      <c r="Q197" s="32"/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1</v>
      </c>
      <c r="AF197" s="1">
        <f t="shared" si="113"/>
        <v>0</v>
      </c>
      <c r="AG197" s="1">
        <f t="shared" si="114"/>
        <v>1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20" t="s">
        <v>1951</v>
      </c>
      <c r="E198" s="20" t="s">
        <v>893</v>
      </c>
      <c r="F198" s="20" t="s">
        <v>1981</v>
      </c>
      <c r="G198" s="20"/>
      <c r="H198" s="20" t="s">
        <v>1980</v>
      </c>
      <c r="I198" s="21" t="s">
        <v>1979</v>
      </c>
      <c r="J198" s="15">
        <v>18</v>
      </c>
      <c r="K198" s="10" t="s">
        <v>703</v>
      </c>
      <c r="L198" s="10" t="s">
        <v>697</v>
      </c>
      <c r="M198" s="19" t="s">
        <v>971</v>
      </c>
      <c r="N198" s="17"/>
      <c r="Q198" s="20" t="s">
        <v>1982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513</v>
      </c>
      <c r="E199" s="45" t="s">
        <v>172</v>
      </c>
      <c r="F199" s="45" t="s">
        <v>549</v>
      </c>
      <c r="G199" s="45" t="s">
        <v>39</v>
      </c>
      <c r="H199" s="45" t="s">
        <v>362</v>
      </c>
      <c r="I199" s="44" t="s">
        <v>1114</v>
      </c>
      <c r="J199" s="44">
        <v>12</v>
      </c>
      <c r="K199" s="46" t="s">
        <v>703</v>
      </c>
      <c r="L199" s="46">
        <v>35</v>
      </c>
      <c r="M199" s="47" t="s">
        <v>970</v>
      </c>
      <c r="N199" s="47" t="s">
        <v>1802</v>
      </c>
      <c r="O199" s="48"/>
      <c r="P199" s="48"/>
      <c r="Q199" s="45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151</v>
      </c>
      <c r="E200" s="32" t="s">
        <v>166</v>
      </c>
      <c r="F200" s="36" t="s">
        <v>1870</v>
      </c>
      <c r="G200" s="32" t="s">
        <v>197</v>
      </c>
      <c r="H200" s="32" t="s">
        <v>354</v>
      </c>
      <c r="I200" s="31" t="s">
        <v>498</v>
      </c>
      <c r="J200" s="31">
        <v>99</v>
      </c>
      <c r="K200" s="33" t="s">
        <v>956</v>
      </c>
      <c r="L200" s="33" t="s">
        <v>693</v>
      </c>
      <c r="M200" s="34" t="s">
        <v>970</v>
      </c>
      <c r="N200" s="34" t="s">
        <v>1748</v>
      </c>
      <c r="O200" s="35">
        <v>1</v>
      </c>
      <c r="P200" s="35"/>
      <c r="Q200" s="32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1</v>
      </c>
      <c r="AF200" s="1">
        <f t="shared" si="113"/>
        <v>0</v>
      </c>
      <c r="AG200" s="1">
        <f t="shared" si="114"/>
        <v>1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649</v>
      </c>
      <c r="E201" s="45" t="s">
        <v>684</v>
      </c>
      <c r="F201" s="45" t="s">
        <v>645</v>
      </c>
      <c r="G201" s="45" t="s">
        <v>185</v>
      </c>
      <c r="H201" s="45" t="s">
        <v>354</v>
      </c>
      <c r="I201" s="44" t="s">
        <v>646</v>
      </c>
      <c r="J201" s="44">
        <v>99</v>
      </c>
      <c r="K201" s="46" t="s">
        <v>722</v>
      </c>
      <c r="L201" s="46" t="s">
        <v>693</v>
      </c>
      <c r="M201" s="47" t="s">
        <v>970</v>
      </c>
      <c r="N201" s="47" t="s">
        <v>1734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1310</v>
      </c>
      <c r="E202" s="32" t="s">
        <v>166</v>
      </c>
      <c r="F202" s="32" t="s">
        <v>1311</v>
      </c>
      <c r="G202" s="32" t="s">
        <v>283</v>
      </c>
      <c r="H202" s="32" t="s">
        <v>354</v>
      </c>
      <c r="I202" s="31" t="s">
        <v>1312</v>
      </c>
      <c r="J202" s="31">
        <v>99</v>
      </c>
      <c r="K202" s="33" t="s">
        <v>702</v>
      </c>
      <c r="L202" s="33" t="s">
        <v>39</v>
      </c>
      <c r="M202" s="34" t="s">
        <v>39</v>
      </c>
      <c r="N202" s="34" t="s">
        <v>1733</v>
      </c>
      <c r="O202" s="35">
        <v>1</v>
      </c>
      <c r="P202" s="35">
        <v>1</v>
      </c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1</v>
      </c>
      <c r="AE202" s="1">
        <f t="shared" si="128"/>
        <v>0</v>
      </c>
      <c r="AF202" s="1">
        <f t="shared" si="113"/>
        <v>1</v>
      </c>
      <c r="AG202" s="1">
        <f t="shared" si="114"/>
        <v>0</v>
      </c>
      <c r="AH202" s="1">
        <f t="shared" si="115"/>
        <v>1</v>
      </c>
      <c r="AI202" s="1">
        <f t="shared" si="116"/>
        <v>0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892</v>
      </c>
      <c r="E203" s="45" t="s">
        <v>893</v>
      </c>
      <c r="F203" s="45" t="s">
        <v>934</v>
      </c>
      <c r="G203" s="45" t="s">
        <v>39</v>
      </c>
      <c r="H203" s="45" t="s">
        <v>894</v>
      </c>
      <c r="I203" s="44" t="s">
        <v>895</v>
      </c>
      <c r="J203" s="44">
        <v>17</v>
      </c>
      <c r="K203" s="46" t="s">
        <v>703</v>
      </c>
      <c r="L203" s="46" t="s">
        <v>697</v>
      </c>
      <c r="M203" s="47" t="s">
        <v>970</v>
      </c>
      <c r="N203" s="47" t="s">
        <v>1741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1941</v>
      </c>
      <c r="E204" s="16" t="s">
        <v>893</v>
      </c>
      <c r="F204" s="16" t="s">
        <v>1943</v>
      </c>
      <c r="G204" s="16"/>
      <c r="H204" s="16" t="s">
        <v>1942</v>
      </c>
      <c r="I204" s="15" t="s">
        <v>1944</v>
      </c>
      <c r="J204" s="15">
        <v>16</v>
      </c>
      <c r="K204" s="10" t="s">
        <v>703</v>
      </c>
      <c r="L204" s="10" t="s">
        <v>697</v>
      </c>
      <c r="M204" s="19" t="s">
        <v>970</v>
      </c>
      <c r="N204" s="17"/>
      <c r="Q204" s="20" t="s">
        <v>1945</v>
      </c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131</v>
      </c>
      <c r="E205" s="45" t="s">
        <v>166</v>
      </c>
      <c r="F205" s="45" t="s">
        <v>332</v>
      </c>
      <c r="G205" s="45" t="s">
        <v>333</v>
      </c>
      <c r="H205" s="45" t="s">
        <v>354</v>
      </c>
      <c r="I205" s="44" t="s">
        <v>480</v>
      </c>
      <c r="J205" s="44">
        <v>99</v>
      </c>
      <c r="K205" s="46" t="s">
        <v>722</v>
      </c>
      <c r="L205" s="46" t="s">
        <v>694</v>
      </c>
      <c r="M205" s="47" t="s">
        <v>970</v>
      </c>
      <c r="N205" s="47" t="s">
        <v>1747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109</v>
      </c>
      <c r="E206" s="32" t="s">
        <v>166</v>
      </c>
      <c r="F206" s="32" t="s">
        <v>307</v>
      </c>
      <c r="G206" s="32" t="s">
        <v>231</v>
      </c>
      <c r="H206" s="32" t="s">
        <v>354</v>
      </c>
      <c r="I206" s="31" t="s">
        <v>456</v>
      </c>
      <c r="J206" s="31">
        <v>99</v>
      </c>
      <c r="K206" s="33" t="s">
        <v>722</v>
      </c>
      <c r="L206" s="33" t="s">
        <v>696</v>
      </c>
      <c r="M206" s="34" t="s">
        <v>691</v>
      </c>
      <c r="N206" s="34" t="s">
        <v>1743</v>
      </c>
      <c r="O206" s="35">
        <v>1</v>
      </c>
      <c r="P206" s="35"/>
      <c r="Q206" s="32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16" t="s">
        <v>111</v>
      </c>
      <c r="E207" s="16" t="s">
        <v>172</v>
      </c>
      <c r="F207" s="16" t="s">
        <v>310</v>
      </c>
      <c r="G207" s="16" t="s">
        <v>39</v>
      </c>
      <c r="H207" s="16" t="s">
        <v>364</v>
      </c>
      <c r="I207" s="15" t="s">
        <v>459</v>
      </c>
      <c r="J207" s="15">
        <v>17</v>
      </c>
      <c r="K207" s="10" t="s">
        <v>703</v>
      </c>
      <c r="L207" s="10" t="s">
        <v>697</v>
      </c>
      <c r="M207" s="19" t="s">
        <v>691</v>
      </c>
      <c r="N207" s="17"/>
      <c r="Q207" s="20" t="s">
        <v>1915</v>
      </c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525</v>
      </c>
      <c r="E208" s="32" t="s">
        <v>526</v>
      </c>
      <c r="F208" s="32" t="s">
        <v>527</v>
      </c>
      <c r="G208" s="32" t="s">
        <v>202</v>
      </c>
      <c r="H208" s="32" t="s">
        <v>354</v>
      </c>
      <c r="I208" s="31" t="s">
        <v>528</v>
      </c>
      <c r="J208" s="31">
        <v>10</v>
      </c>
      <c r="K208" s="33" t="s">
        <v>702</v>
      </c>
      <c r="L208" s="33" t="s">
        <v>693</v>
      </c>
      <c r="M208" s="34" t="s">
        <v>970</v>
      </c>
      <c r="N208" s="34" t="s">
        <v>1733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1499</v>
      </c>
      <c r="E209" s="32" t="s">
        <v>166</v>
      </c>
      <c r="F209" s="32" t="s">
        <v>1500</v>
      </c>
      <c r="G209" s="32" t="s">
        <v>180</v>
      </c>
      <c r="H209" s="32" t="s">
        <v>354</v>
      </c>
      <c r="I209" s="31" t="s">
        <v>1501</v>
      </c>
      <c r="J209" s="31">
        <v>10</v>
      </c>
      <c r="K209" s="33" t="s">
        <v>956</v>
      </c>
      <c r="L209" s="33" t="s">
        <v>693</v>
      </c>
      <c r="M209" s="34" t="s">
        <v>970</v>
      </c>
      <c r="N209" s="34" t="s">
        <v>1727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67"/>
        <v>1</v>
      </c>
      <c r="AG209" s="1">
        <f t="shared" si="168"/>
        <v>0</v>
      </c>
      <c r="AH209" s="1">
        <f t="shared" si="169"/>
        <v>1</v>
      </c>
      <c r="AI209" s="1">
        <f t="shared" si="170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1757</v>
      </c>
      <c r="E210" s="32" t="s">
        <v>166</v>
      </c>
      <c r="F210" s="32" t="s">
        <v>1758</v>
      </c>
      <c r="G210" s="32" t="s">
        <v>1759</v>
      </c>
      <c r="H210" s="32" t="s">
        <v>354</v>
      </c>
      <c r="I210" s="31" t="s">
        <v>1760</v>
      </c>
      <c r="J210" s="31">
        <v>1</v>
      </c>
      <c r="K210" s="33" t="s">
        <v>703</v>
      </c>
      <c r="L210" s="33"/>
      <c r="M210" s="34"/>
      <c r="N210" s="34" t="s">
        <v>1748</v>
      </c>
      <c r="O210" s="35">
        <v>1</v>
      </c>
      <c r="P210" s="35"/>
      <c r="Q210" s="32"/>
      <c r="S210" s="1">
        <f t="shared" si="117"/>
        <v>1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67"/>
        <v>0</v>
      </c>
      <c r="AG210" s="1">
        <f t="shared" si="168"/>
        <v>1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1026</v>
      </c>
      <c r="E211" s="45" t="s">
        <v>1087</v>
      </c>
      <c r="F211" s="45" t="s">
        <v>1027</v>
      </c>
      <c r="G211" s="45" t="s">
        <v>194</v>
      </c>
      <c r="H211" s="45" t="s">
        <v>354</v>
      </c>
      <c r="I211" s="44" t="s">
        <v>1028</v>
      </c>
      <c r="J211" s="44">
        <v>9</v>
      </c>
      <c r="K211" s="46" t="s">
        <v>722</v>
      </c>
      <c r="L211" s="46" t="s">
        <v>1704</v>
      </c>
      <c r="M211" s="47" t="s">
        <v>1604</v>
      </c>
      <c r="N211" s="47" t="s">
        <v>1735</v>
      </c>
      <c r="O211" s="48"/>
      <c r="P211" s="48"/>
      <c r="Q211" s="4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1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1614</v>
      </c>
      <c r="E212" s="45" t="s">
        <v>166</v>
      </c>
      <c r="F212" s="45" t="s">
        <v>1615</v>
      </c>
      <c r="G212" s="45" t="s">
        <v>213</v>
      </c>
      <c r="H212" s="45" t="s">
        <v>354</v>
      </c>
      <c r="I212" s="44" t="s">
        <v>1616</v>
      </c>
      <c r="J212" s="44">
        <v>1</v>
      </c>
      <c r="K212" s="46" t="s">
        <v>722</v>
      </c>
      <c r="L212" s="46" t="s">
        <v>694</v>
      </c>
      <c r="M212" s="47" t="s">
        <v>970</v>
      </c>
      <c r="N212" s="47" t="s">
        <v>1736</v>
      </c>
      <c r="O212" s="48"/>
      <c r="P212" s="48"/>
      <c r="Q212" s="45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38">
        <v>0</v>
      </c>
      <c r="B213" s="38">
        <v>1</v>
      </c>
      <c r="C213" s="38">
        <v>5</v>
      </c>
      <c r="D213" s="39" t="s">
        <v>147</v>
      </c>
      <c r="E213" s="39" t="s">
        <v>545</v>
      </c>
      <c r="F213" s="39" t="s">
        <v>1599</v>
      </c>
      <c r="G213" s="39" t="s">
        <v>1673</v>
      </c>
      <c r="H213" s="39" t="s">
        <v>354</v>
      </c>
      <c r="I213" s="38" t="s">
        <v>494</v>
      </c>
      <c r="J213" s="38">
        <v>99</v>
      </c>
      <c r="K213" s="40" t="s">
        <v>702</v>
      </c>
      <c r="L213" s="40" t="s">
        <v>689</v>
      </c>
      <c r="M213" s="41" t="s">
        <v>970</v>
      </c>
      <c r="N213" s="42"/>
      <c r="O213" s="43"/>
      <c r="P213" s="43">
        <v>1</v>
      </c>
      <c r="Q213" s="39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1</v>
      </c>
      <c r="AI213" s="1">
        <f t="shared" si="170"/>
        <v>0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1212</v>
      </c>
      <c r="E214" s="16" t="s">
        <v>166</v>
      </c>
      <c r="F214" s="16" t="s">
        <v>1213</v>
      </c>
      <c r="G214" s="16" t="s">
        <v>1214</v>
      </c>
      <c r="H214" s="16" t="s">
        <v>354</v>
      </c>
      <c r="I214" s="15" t="s">
        <v>1215</v>
      </c>
      <c r="J214" s="15">
        <v>99</v>
      </c>
      <c r="K214" s="10" t="s">
        <v>703</v>
      </c>
      <c r="L214" s="10">
        <v>30</v>
      </c>
      <c r="M214" s="19" t="s">
        <v>970</v>
      </c>
      <c r="N214" s="19"/>
      <c r="Q214" s="16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0</v>
      </c>
      <c r="AF214" s="1">
        <f t="shared" si="167"/>
        <v>0</v>
      </c>
      <c r="AG214" s="1">
        <f t="shared" si="168"/>
        <v>0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1600</v>
      </c>
      <c r="E215" s="32" t="s">
        <v>172</v>
      </c>
      <c r="F215" s="32" t="s">
        <v>808</v>
      </c>
      <c r="G215" s="32" t="s">
        <v>39</v>
      </c>
      <c r="H215" s="32" t="s">
        <v>809</v>
      </c>
      <c r="I215" s="31" t="s">
        <v>810</v>
      </c>
      <c r="J215" s="31">
        <v>16</v>
      </c>
      <c r="K215" s="33" t="s">
        <v>957</v>
      </c>
      <c r="L215" s="33" t="s">
        <v>1742</v>
      </c>
      <c r="M215" s="34" t="s">
        <v>970</v>
      </c>
      <c r="N215" s="34" t="s">
        <v>1748</v>
      </c>
      <c r="O215" s="35">
        <v>1</v>
      </c>
      <c r="P215" s="35"/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0</v>
      </c>
      <c r="AE215" s="1">
        <f t="shared" si="182"/>
        <v>1</v>
      </c>
      <c r="AF215" s="1">
        <f t="shared" si="167"/>
        <v>0</v>
      </c>
      <c r="AG215" s="1">
        <f t="shared" si="168"/>
        <v>1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502</v>
      </c>
      <c r="E216" s="32" t="s">
        <v>166</v>
      </c>
      <c r="F216" s="32" t="s">
        <v>503</v>
      </c>
      <c r="G216" s="32" t="s">
        <v>504</v>
      </c>
      <c r="H216" s="32" t="s">
        <v>354</v>
      </c>
      <c r="I216" s="31" t="s">
        <v>505</v>
      </c>
      <c r="J216" s="31">
        <v>99</v>
      </c>
      <c r="K216" s="33" t="s">
        <v>957</v>
      </c>
      <c r="L216" s="33" t="s">
        <v>694</v>
      </c>
      <c r="M216" s="34" t="s">
        <v>691</v>
      </c>
      <c r="N216" s="34" t="s">
        <v>1727</v>
      </c>
      <c r="O216" s="35">
        <v>1</v>
      </c>
      <c r="P216" s="35">
        <v>1</v>
      </c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1</v>
      </c>
      <c r="AE216" s="1">
        <f t="shared" si="182"/>
        <v>0</v>
      </c>
      <c r="AF216" s="1">
        <f t="shared" si="167"/>
        <v>1</v>
      </c>
      <c r="AG216" s="1">
        <f t="shared" si="168"/>
        <v>0</v>
      </c>
      <c r="AH216" s="1">
        <f t="shared" si="169"/>
        <v>1</v>
      </c>
      <c r="AI216" s="1">
        <f t="shared" si="170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1450</v>
      </c>
      <c r="E217" s="32" t="s">
        <v>167</v>
      </c>
      <c r="F217" s="32" t="s">
        <v>1451</v>
      </c>
      <c r="G217" s="32" t="s">
        <v>179</v>
      </c>
      <c r="H217" s="32" t="s">
        <v>354</v>
      </c>
      <c r="I217" s="31" t="s">
        <v>1452</v>
      </c>
      <c r="J217" s="31">
        <v>99</v>
      </c>
      <c r="K217" s="33" t="s">
        <v>956</v>
      </c>
      <c r="L217" s="33" t="s">
        <v>696</v>
      </c>
      <c r="M217" s="34" t="s">
        <v>1453</v>
      </c>
      <c r="N217" s="34" t="s">
        <v>1749</v>
      </c>
      <c r="O217" s="35">
        <v>1</v>
      </c>
      <c r="P217" s="35"/>
      <c r="Q217" s="36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0</v>
      </c>
      <c r="AE217" s="1">
        <f t="shared" si="182"/>
        <v>1</v>
      </c>
      <c r="AF217" s="1">
        <f t="shared" si="167"/>
        <v>0</v>
      </c>
      <c r="AG217" s="1">
        <f t="shared" si="168"/>
        <v>1</v>
      </c>
      <c r="AH217" s="1">
        <f t="shared" si="169"/>
        <v>0</v>
      </c>
      <c r="AI217" s="1">
        <f t="shared" si="170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1186</v>
      </c>
      <c r="E218" s="32" t="s">
        <v>1189</v>
      </c>
      <c r="F218" s="32" t="s">
        <v>1187</v>
      </c>
      <c r="G218" s="32" t="s">
        <v>39</v>
      </c>
      <c r="H218" s="32" t="s">
        <v>354</v>
      </c>
      <c r="I218" s="31" t="s">
        <v>1188</v>
      </c>
      <c r="J218" s="31">
        <v>99</v>
      </c>
      <c r="K218" s="33" t="s">
        <v>962</v>
      </c>
      <c r="L218" s="33" t="s">
        <v>39</v>
      </c>
      <c r="M218" s="34" t="s">
        <v>39</v>
      </c>
      <c r="N218" s="34" t="s">
        <v>1733</v>
      </c>
      <c r="O218" s="35">
        <v>1</v>
      </c>
      <c r="P218" s="35">
        <v>1</v>
      </c>
      <c r="Q218" s="36" t="s">
        <v>1908</v>
      </c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1648</v>
      </c>
      <c r="E219" s="32" t="s">
        <v>1656</v>
      </c>
      <c r="F219" s="32" t="s">
        <v>1683</v>
      </c>
      <c r="G219" s="32" t="s">
        <v>1684</v>
      </c>
      <c r="H219" s="32" t="s">
        <v>354</v>
      </c>
      <c r="I219" s="31" t="s">
        <v>1696</v>
      </c>
      <c r="J219" s="31">
        <v>1</v>
      </c>
      <c r="K219" s="33" t="s">
        <v>958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71"/>
        <v>1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90</v>
      </c>
      <c r="E220" s="32" t="s">
        <v>168</v>
      </c>
      <c r="F220" s="32" t="s">
        <v>284</v>
      </c>
      <c r="G220" s="32" t="s">
        <v>230</v>
      </c>
      <c r="H220" s="32" t="s">
        <v>354</v>
      </c>
      <c r="I220" s="31" t="s">
        <v>438</v>
      </c>
      <c r="J220" s="31">
        <v>7</v>
      </c>
      <c r="K220" s="33" t="s">
        <v>722</v>
      </c>
      <c r="L220" s="33">
        <v>40</v>
      </c>
      <c r="M220" s="34" t="s">
        <v>39</v>
      </c>
      <c r="N220" s="34" t="s">
        <v>1748</v>
      </c>
      <c r="O220" s="35">
        <v>1</v>
      </c>
      <c r="P220" s="35"/>
      <c r="Q220" s="32"/>
      <c r="S220" s="1">
        <f t="shared" si="171"/>
        <v>0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1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0</v>
      </c>
      <c r="AE220" s="1">
        <f t="shared" si="182"/>
        <v>1</v>
      </c>
      <c r="AF220" s="1">
        <f t="shared" si="167"/>
        <v>0</v>
      </c>
      <c r="AG220" s="1">
        <f t="shared" si="168"/>
        <v>1</v>
      </c>
      <c r="AH220" s="1">
        <f t="shared" si="169"/>
        <v>0</v>
      </c>
      <c r="AI220" s="1">
        <f t="shared" si="170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91</v>
      </c>
      <c r="E221" s="32" t="s">
        <v>165</v>
      </c>
      <c r="F221" s="36" t="s">
        <v>1871</v>
      </c>
      <c r="G221" s="32" t="s">
        <v>240</v>
      </c>
      <c r="H221" s="32" t="s">
        <v>354</v>
      </c>
      <c r="I221" s="31" t="s">
        <v>439</v>
      </c>
      <c r="J221" s="31">
        <v>1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1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92</v>
      </c>
      <c r="E222" s="32" t="s">
        <v>167</v>
      </c>
      <c r="F222" s="32" t="s">
        <v>286</v>
      </c>
      <c r="G222" s="32" t="s">
        <v>200</v>
      </c>
      <c r="H222" s="32" t="s">
        <v>354</v>
      </c>
      <c r="I222" s="31" t="s">
        <v>440</v>
      </c>
      <c r="J222" s="31">
        <v>2</v>
      </c>
      <c r="K222" s="33" t="s">
        <v>962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0</v>
      </c>
      <c r="T222" s="1">
        <f t="shared" si="172"/>
        <v>1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1276</v>
      </c>
      <c r="E223" s="32" t="s">
        <v>167</v>
      </c>
      <c r="F223" s="32" t="s">
        <v>1148</v>
      </c>
      <c r="G223" s="32" t="s">
        <v>1342</v>
      </c>
      <c r="H223" s="32" t="s">
        <v>354</v>
      </c>
      <c r="I223" s="31" t="s">
        <v>1149</v>
      </c>
      <c r="J223" s="31">
        <v>99</v>
      </c>
      <c r="K223" s="33" t="s">
        <v>702</v>
      </c>
      <c r="L223" s="33">
        <v>45</v>
      </c>
      <c r="M223" s="34" t="s">
        <v>39</v>
      </c>
      <c r="N223" s="34" t="s">
        <v>1743</v>
      </c>
      <c r="O223" s="35">
        <v>1</v>
      </c>
      <c r="P223" s="35"/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0</v>
      </c>
      <c r="AE223" s="1">
        <f t="shared" si="182"/>
        <v>1</v>
      </c>
      <c r="AF223" s="1">
        <f t="shared" si="167"/>
        <v>0</v>
      </c>
      <c r="AG223" s="1">
        <f t="shared" si="168"/>
        <v>1</v>
      </c>
      <c r="AH223" s="1">
        <f t="shared" si="169"/>
        <v>0</v>
      </c>
      <c r="AI223" s="1">
        <f t="shared" si="170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1791</v>
      </c>
      <c r="E224" s="32" t="s">
        <v>167</v>
      </c>
      <c r="F224" s="32" t="s">
        <v>1766</v>
      </c>
      <c r="G224" s="32"/>
      <c r="H224" s="32" t="s">
        <v>354</v>
      </c>
      <c r="I224" s="31" t="s">
        <v>1767</v>
      </c>
      <c r="J224" s="31"/>
      <c r="K224" s="33" t="s">
        <v>703</v>
      </c>
      <c r="L224" s="33"/>
      <c r="M224" s="34"/>
      <c r="N224" s="34" t="s">
        <v>1727</v>
      </c>
      <c r="O224" s="35">
        <v>1</v>
      </c>
      <c r="P224" s="35">
        <v>1</v>
      </c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1</v>
      </c>
      <c r="AE224" s="1">
        <f t="shared" si="182"/>
        <v>0</v>
      </c>
      <c r="AF224" s="1">
        <f t="shared" si="167"/>
        <v>1</v>
      </c>
      <c r="AG224" s="1">
        <f t="shared" si="168"/>
        <v>0</v>
      </c>
      <c r="AH224" s="1">
        <f t="shared" si="169"/>
        <v>1</v>
      </c>
      <c r="AI224" s="1">
        <f t="shared" si="170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1790</v>
      </c>
      <c r="E225" s="32" t="s">
        <v>167</v>
      </c>
      <c r="F225" s="32" t="s">
        <v>1768</v>
      </c>
      <c r="G225" s="32"/>
      <c r="H225" s="32" t="s">
        <v>354</v>
      </c>
      <c r="I225" s="31" t="s">
        <v>1769</v>
      </c>
      <c r="J225" s="31"/>
      <c r="K225" s="33" t="s">
        <v>703</v>
      </c>
      <c r="L225" s="33">
        <v>30</v>
      </c>
      <c r="M225" s="34" t="s">
        <v>1770</v>
      </c>
      <c r="N225" s="34" t="s">
        <v>1748</v>
      </c>
      <c r="O225" s="35">
        <v>1</v>
      </c>
      <c r="P225" s="35"/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0</v>
      </c>
      <c r="AE225" s="1">
        <f t="shared" si="182"/>
        <v>1</v>
      </c>
      <c r="AF225" s="1">
        <f t="shared" si="167"/>
        <v>0</v>
      </c>
      <c r="AG225" s="1">
        <f t="shared" si="168"/>
        <v>1</v>
      </c>
      <c r="AH225" s="1">
        <f t="shared" si="169"/>
        <v>0</v>
      </c>
      <c r="AI225" s="1">
        <f t="shared" si="170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1014</v>
      </c>
      <c r="E226" s="32" t="s">
        <v>167</v>
      </c>
      <c r="F226" s="32" t="s">
        <v>1015</v>
      </c>
      <c r="G226" s="32" t="s">
        <v>1103</v>
      </c>
      <c r="H226" s="32" t="s">
        <v>354</v>
      </c>
      <c r="I226" s="31" t="s">
        <v>1016</v>
      </c>
      <c r="J226" s="31">
        <v>99</v>
      </c>
      <c r="K226" s="33" t="s">
        <v>964</v>
      </c>
      <c r="L226" s="33" t="s">
        <v>39</v>
      </c>
      <c r="M226" s="34" t="s">
        <v>39</v>
      </c>
      <c r="N226" s="34" t="s">
        <v>1727</v>
      </c>
      <c r="O226" s="35">
        <v>1</v>
      </c>
      <c r="P226" s="35">
        <v>1</v>
      </c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1</v>
      </c>
      <c r="AE226" s="1">
        <f t="shared" si="182"/>
        <v>0</v>
      </c>
      <c r="AF226" s="1">
        <f t="shared" si="167"/>
        <v>1</v>
      </c>
      <c r="AG226" s="1">
        <f t="shared" si="168"/>
        <v>0</v>
      </c>
      <c r="AH226" s="1">
        <f t="shared" si="169"/>
        <v>1</v>
      </c>
      <c r="AI226" s="1">
        <f t="shared" si="17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94</v>
      </c>
      <c r="E227" s="32" t="s">
        <v>169</v>
      </c>
      <c r="F227" s="32" t="s">
        <v>289</v>
      </c>
      <c r="G227" s="32" t="s">
        <v>194</v>
      </c>
      <c r="H227" s="32" t="s">
        <v>354</v>
      </c>
      <c r="I227" s="31" t="s">
        <v>442</v>
      </c>
      <c r="J227" s="31">
        <v>9</v>
      </c>
      <c r="K227" s="33" t="s">
        <v>702</v>
      </c>
      <c r="L227" s="33" t="s">
        <v>694</v>
      </c>
      <c r="M227" s="34" t="s">
        <v>706</v>
      </c>
      <c r="N227" s="34" t="s">
        <v>1748</v>
      </c>
      <c r="O227" s="35">
        <v>1</v>
      </c>
      <c r="P227" s="35"/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1</v>
      </c>
      <c r="AB227" s="1">
        <f t="shared" si="180"/>
        <v>0</v>
      </c>
      <c r="AD227" s="1">
        <f t="shared" si="181"/>
        <v>0</v>
      </c>
      <c r="AE227" s="1">
        <f t="shared" si="182"/>
        <v>1</v>
      </c>
      <c r="AF227" s="1">
        <f t="shared" si="167"/>
        <v>0</v>
      </c>
      <c r="AG227" s="1">
        <f t="shared" si="168"/>
        <v>1</v>
      </c>
      <c r="AH227" s="1">
        <f t="shared" si="169"/>
        <v>0</v>
      </c>
      <c r="AI227" s="1">
        <f t="shared" si="170"/>
        <v>1</v>
      </c>
    </row>
    <row r="228" spans="1:4094 4097:8191 8194:12288 12291:16384" ht="14.25" customHeight="1" x14ac:dyDescent="0.25">
      <c r="A228" s="38">
        <v>0</v>
      </c>
      <c r="B228" s="38">
        <v>1</v>
      </c>
      <c r="C228" s="38">
        <v>6</v>
      </c>
      <c r="D228" s="54" t="s">
        <v>1609</v>
      </c>
      <c r="E228" s="39" t="s">
        <v>1610</v>
      </c>
      <c r="F228" s="39" t="s">
        <v>1611</v>
      </c>
      <c r="G228" s="39" t="s">
        <v>192</v>
      </c>
      <c r="H228" s="39" t="s">
        <v>354</v>
      </c>
      <c r="I228" s="38" t="s">
        <v>1612</v>
      </c>
      <c r="J228" s="38">
        <v>10</v>
      </c>
      <c r="K228" s="40" t="s">
        <v>956</v>
      </c>
      <c r="L228" s="40" t="s">
        <v>687</v>
      </c>
      <c r="M228" s="41" t="s">
        <v>1613</v>
      </c>
      <c r="N228" s="42"/>
      <c r="O228" s="43"/>
      <c r="P228" s="43">
        <v>1</v>
      </c>
      <c r="Q228" s="39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0</v>
      </c>
      <c r="AB228" s="1">
        <f t="shared" si="180"/>
        <v>1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1</v>
      </c>
      <c r="AI228" s="1">
        <f t="shared" si="170"/>
        <v>0</v>
      </c>
    </row>
    <row r="229" spans="1:4094 4097:8191 8194:12288 12291:16384" ht="14.25" customHeight="1" x14ac:dyDescent="0.25">
      <c r="A229" s="44">
        <v>0</v>
      </c>
      <c r="B229" s="44">
        <v>1</v>
      </c>
      <c r="C229" s="44">
        <v>6</v>
      </c>
      <c r="D229" s="45" t="s">
        <v>95</v>
      </c>
      <c r="E229" s="45" t="s">
        <v>165</v>
      </c>
      <c r="F229" s="45" t="s">
        <v>290</v>
      </c>
      <c r="G229" s="45" t="s">
        <v>291</v>
      </c>
      <c r="H229" s="45" t="s">
        <v>354</v>
      </c>
      <c r="I229" s="44" t="s">
        <v>443</v>
      </c>
      <c r="J229" s="44">
        <v>7</v>
      </c>
      <c r="K229" s="46" t="s">
        <v>702</v>
      </c>
      <c r="L229" s="46" t="s">
        <v>694</v>
      </c>
      <c r="M229" s="47" t="s">
        <v>698</v>
      </c>
      <c r="N229" s="47" t="s">
        <v>1734</v>
      </c>
      <c r="O229" s="48"/>
      <c r="P229" s="48"/>
      <c r="Q229" s="45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1</v>
      </c>
      <c r="Z229" s="1">
        <f t="shared" si="178"/>
        <v>0</v>
      </c>
      <c r="AA229" s="1">
        <f t="shared" si="179"/>
        <v>0</v>
      </c>
      <c r="AB229" s="1">
        <f t="shared" si="180"/>
        <v>0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1085</v>
      </c>
      <c r="E230" s="32" t="s">
        <v>167</v>
      </c>
      <c r="F230" s="32" t="s">
        <v>660</v>
      </c>
      <c r="G230" s="32" t="s">
        <v>179</v>
      </c>
      <c r="H230" s="32" t="s">
        <v>354</v>
      </c>
      <c r="I230" s="31" t="s">
        <v>381</v>
      </c>
      <c r="J230" s="31">
        <v>10</v>
      </c>
      <c r="K230" s="33" t="s">
        <v>722</v>
      </c>
      <c r="L230" s="33" t="s">
        <v>704</v>
      </c>
      <c r="M230" s="34" t="s">
        <v>707</v>
      </c>
      <c r="N230" s="34" t="s">
        <v>1750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1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1229</v>
      </c>
      <c r="E231" s="32" t="s">
        <v>165</v>
      </c>
      <c r="F231" s="32" t="s">
        <v>1230</v>
      </c>
      <c r="G231" s="32" t="s">
        <v>1232</v>
      </c>
      <c r="H231" s="32" t="s">
        <v>354</v>
      </c>
      <c r="I231" s="31" t="s">
        <v>1231</v>
      </c>
      <c r="J231" s="31">
        <v>99</v>
      </c>
      <c r="K231" s="33" t="s">
        <v>722</v>
      </c>
      <c r="L231" s="33" t="s">
        <v>693</v>
      </c>
      <c r="M231" s="34" t="s">
        <v>1401</v>
      </c>
      <c r="N231" s="34" t="s">
        <v>1743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978</v>
      </c>
      <c r="E232" s="32" t="s">
        <v>165</v>
      </c>
      <c r="F232" s="32" t="s">
        <v>976</v>
      </c>
      <c r="G232" s="32" t="s">
        <v>1105</v>
      </c>
      <c r="H232" s="32" t="s">
        <v>354</v>
      </c>
      <c r="I232" s="31" t="s">
        <v>977</v>
      </c>
      <c r="J232" s="31">
        <v>1</v>
      </c>
      <c r="K232" s="33" t="s">
        <v>956</v>
      </c>
      <c r="L232" s="33" t="s">
        <v>689</v>
      </c>
      <c r="M232" s="34" t="s">
        <v>1402</v>
      </c>
      <c r="N232" s="34" t="s">
        <v>1748</v>
      </c>
      <c r="O232" s="35">
        <v>1</v>
      </c>
      <c r="P232" s="35"/>
      <c r="Q232" s="32"/>
      <c r="S232" s="1">
        <f t="shared" si="171"/>
        <v>1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521</v>
      </c>
      <c r="E233" s="32" t="s">
        <v>167</v>
      </c>
      <c r="F233" s="32" t="s">
        <v>522</v>
      </c>
      <c r="G233" s="32" t="s">
        <v>523</v>
      </c>
      <c r="H233" s="32" t="s">
        <v>354</v>
      </c>
      <c r="I233" s="31" t="s">
        <v>524</v>
      </c>
      <c r="J233" s="31">
        <v>99</v>
      </c>
      <c r="K233" s="33" t="s">
        <v>702</v>
      </c>
      <c r="L233" s="33">
        <v>40</v>
      </c>
      <c r="M233" s="34" t="s">
        <v>972</v>
      </c>
      <c r="N233" s="34" t="s">
        <v>1849</v>
      </c>
      <c r="O233" s="35">
        <v>1</v>
      </c>
      <c r="P233" s="35"/>
      <c r="Q233" s="32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39" t="s">
        <v>1837</v>
      </c>
      <c r="E234" s="39" t="s">
        <v>1838</v>
      </c>
      <c r="F234" s="39" t="s">
        <v>1839</v>
      </c>
      <c r="G234" s="39"/>
      <c r="H234" s="39" t="s">
        <v>354</v>
      </c>
      <c r="I234" s="38" t="s">
        <v>1840</v>
      </c>
      <c r="J234" s="38"/>
      <c r="K234" s="40" t="s">
        <v>703</v>
      </c>
      <c r="L234" s="40"/>
      <c r="M234" s="41"/>
      <c r="N234" s="42"/>
      <c r="O234" s="43"/>
      <c r="P234" s="43">
        <v>1</v>
      </c>
      <c r="Q234" s="39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1</v>
      </c>
      <c r="AI234" s="1">
        <f t="shared" si="170"/>
        <v>0</v>
      </c>
    </row>
    <row r="235" spans="1:4094 4097:8191 8194:12288 12291:16384" ht="14.25" customHeight="1" x14ac:dyDescent="0.25">
      <c r="A235" s="44">
        <v>0</v>
      </c>
      <c r="B235" s="44">
        <v>1</v>
      </c>
      <c r="C235" s="44">
        <v>6</v>
      </c>
      <c r="D235" s="45" t="s">
        <v>1480</v>
      </c>
      <c r="E235" s="45" t="s">
        <v>167</v>
      </c>
      <c r="F235" s="45" t="s">
        <v>1482</v>
      </c>
      <c r="G235" s="45" t="s">
        <v>1483</v>
      </c>
      <c r="H235" s="45" t="s">
        <v>354</v>
      </c>
      <c r="I235" s="44" t="s">
        <v>1481</v>
      </c>
      <c r="J235" s="44">
        <v>99</v>
      </c>
      <c r="K235" s="46" t="s">
        <v>703</v>
      </c>
      <c r="L235" s="46">
        <v>62</v>
      </c>
      <c r="M235" s="47"/>
      <c r="N235" s="47" t="s">
        <v>1734</v>
      </c>
      <c r="O235" s="48"/>
      <c r="P235" s="48"/>
      <c r="Q235" s="45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1196</v>
      </c>
      <c r="E236" s="32" t="s">
        <v>165</v>
      </c>
      <c r="F236" s="32" t="s">
        <v>1670</v>
      </c>
      <c r="G236" s="32" t="s">
        <v>213</v>
      </c>
      <c r="H236" s="32" t="s">
        <v>354</v>
      </c>
      <c r="I236" s="31" t="s">
        <v>1197</v>
      </c>
      <c r="J236" s="31">
        <v>1</v>
      </c>
      <c r="K236" s="33" t="s">
        <v>962</v>
      </c>
      <c r="L236" s="33" t="s">
        <v>687</v>
      </c>
      <c r="M236" s="34" t="s">
        <v>1572</v>
      </c>
      <c r="N236" s="34" t="s">
        <v>1755</v>
      </c>
      <c r="O236" s="35">
        <v>1</v>
      </c>
      <c r="P236" s="35"/>
      <c r="Q236" s="32"/>
      <c r="S236" s="1">
        <f t="shared" si="171"/>
        <v>1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ht="14.25" customHeight="1" x14ac:dyDescent="0.25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ht="14.25" customHeight="1" x14ac:dyDescent="0.25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44">
        <v>0</v>
      </c>
      <c r="B260" s="44">
        <v>1</v>
      </c>
      <c r="C260" s="44">
        <v>7</v>
      </c>
      <c r="D260" s="45" t="s">
        <v>89</v>
      </c>
      <c r="E260" s="45" t="s">
        <v>29</v>
      </c>
      <c r="F260" s="45" t="s">
        <v>282</v>
      </c>
      <c r="G260" s="45" t="s">
        <v>283</v>
      </c>
      <c r="H260" s="45" t="s">
        <v>354</v>
      </c>
      <c r="I260" s="44" t="s">
        <v>943</v>
      </c>
      <c r="J260" s="44">
        <v>99</v>
      </c>
      <c r="K260" s="46" t="s">
        <v>955</v>
      </c>
      <c r="L260" s="46" t="s">
        <v>694</v>
      </c>
      <c r="M260" s="47" t="s">
        <v>973</v>
      </c>
      <c r="N260" s="47" t="s">
        <v>1809</v>
      </c>
      <c r="O260" s="48"/>
      <c r="P260" s="48"/>
      <c r="Q260" s="45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0</v>
      </c>
      <c r="AF260" s="1">
        <f t="shared" si="167"/>
        <v>0</v>
      </c>
      <c r="AG260" s="1">
        <f t="shared" si="168"/>
        <v>0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0</v>
      </c>
      <c r="AH264" s="1">
        <f t="shared" ref="AH264:AH265" si="187">+P264*(1-A264)</f>
        <v>0</v>
      </c>
      <c r="AI264" s="1">
        <f t="shared" ref="AI264:AI265" si="188">+(1-A264)*(1-P264)</f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0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2026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1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2028</v>
      </c>
      <c r="G271" s="65" t="s">
        <v>209</v>
      </c>
      <c r="H271" s="45" t="s">
        <v>354</v>
      </c>
      <c r="I271" s="64" t="s">
        <v>2027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ref="AF274:AF338" si="205">+O274*P274*(1-A274)</f>
        <v>1</v>
      </c>
      <c r="AG274" s="1">
        <f t="shared" ref="AG274:AG338" si="206">O274*(1-P274)*(1-A274)</f>
        <v>0</v>
      </c>
      <c r="AH274" s="1">
        <f t="shared" ref="AH274:AH338" si="207">+P274*(1-A274)</f>
        <v>1</v>
      </c>
      <c r="AI274" s="1">
        <f t="shared" ref="AI274:AI338" si="208">+(1-A274)*(1-P274)</f>
        <v>0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1</v>
      </c>
    </row>
    <row r="277" spans="1:35" ht="14.25" customHeight="1" x14ac:dyDescent="0.25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05"/>
        <v>0</v>
      </c>
      <c r="AG277" s="1">
        <f t="shared" si="206"/>
        <v>0</v>
      </c>
      <c r="AH277" s="1">
        <f t="shared" si="207"/>
        <v>0</v>
      </c>
      <c r="AI277" s="1">
        <f t="shared" si="208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1</v>
      </c>
      <c r="AE278" s="1">
        <f t="shared" ref="AE278:AE342" si="220">O278*(1-P278)</f>
        <v>0</v>
      </c>
      <c r="AF278" s="1">
        <f t="shared" si="205"/>
        <v>1</v>
      </c>
      <c r="AG278" s="1">
        <f t="shared" si="206"/>
        <v>0</v>
      </c>
      <c r="AH278" s="1">
        <f t="shared" si="207"/>
        <v>1</v>
      </c>
      <c r="AI278" s="1">
        <f t="shared" si="208"/>
        <v>0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0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1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25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0</v>
      </c>
      <c r="AE283" s="1">
        <f t="shared" si="220"/>
        <v>0</v>
      </c>
      <c r="AF283" s="1">
        <f t="shared" si="205"/>
        <v>0</v>
      </c>
      <c r="AG283" s="1">
        <f t="shared" si="206"/>
        <v>0</v>
      </c>
      <c r="AH283" s="1">
        <f t="shared" si="207"/>
        <v>0</v>
      </c>
      <c r="AI283" s="1">
        <f t="shared" si="208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0</v>
      </c>
      <c r="AA284" s="1">
        <f t="shared" si="217"/>
        <v>0</v>
      </c>
      <c r="AB284" s="1">
        <f t="shared" si="218"/>
        <v>0</v>
      </c>
      <c r="AD284" s="1">
        <f t="shared" si="219"/>
        <v>1</v>
      </c>
      <c r="AE284" s="1">
        <f t="shared" si="220"/>
        <v>0</v>
      </c>
      <c r="AF284" s="1">
        <f t="shared" si="205"/>
        <v>1</v>
      </c>
      <c r="AG284" s="1">
        <f t="shared" si="206"/>
        <v>0</v>
      </c>
      <c r="AH284" s="1">
        <f t="shared" si="207"/>
        <v>1</v>
      </c>
      <c r="AI284" s="1">
        <f t="shared" si="208"/>
        <v>0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0</v>
      </c>
      <c r="Z285" s="1">
        <f t="shared" si="216"/>
        <v>1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09"/>
        <v>0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1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1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0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1</v>
      </c>
      <c r="AD288" s="1">
        <f t="shared" si="219"/>
        <v>0</v>
      </c>
      <c r="AE288" s="1">
        <f t="shared" si="220"/>
        <v>1</v>
      </c>
      <c r="AF288" s="1">
        <f t="shared" si="205"/>
        <v>0</v>
      </c>
      <c r="AG288" s="1">
        <f t="shared" si="206"/>
        <v>1</v>
      </c>
      <c r="AH288" s="1">
        <f t="shared" si="207"/>
        <v>0</v>
      </c>
      <c r="AI288" s="1">
        <f t="shared" si="208"/>
        <v>1</v>
      </c>
    </row>
    <row r="289" spans="1:35" ht="14.25" customHeight="1" x14ac:dyDescent="0.25">
      <c r="A289" s="15">
        <v>0</v>
      </c>
      <c r="B289" s="15">
        <v>2</v>
      </c>
      <c r="C289" s="15">
        <v>1</v>
      </c>
      <c r="D289" s="16" t="s">
        <v>512</v>
      </c>
      <c r="E289" s="16" t="s">
        <v>34</v>
      </c>
      <c r="F289" s="16" t="s">
        <v>511</v>
      </c>
      <c r="G289" s="16" t="s">
        <v>546</v>
      </c>
      <c r="H289" s="16" t="s">
        <v>354</v>
      </c>
      <c r="I289" s="15" t="s">
        <v>1364</v>
      </c>
      <c r="J289" s="15">
        <v>99</v>
      </c>
      <c r="K289" s="10" t="s">
        <v>955</v>
      </c>
      <c r="L289" s="10" t="s">
        <v>713</v>
      </c>
      <c r="M289" s="19" t="s">
        <v>714</v>
      </c>
      <c r="N289" s="19"/>
      <c r="Q289" s="20" t="s">
        <v>2013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0</v>
      </c>
      <c r="AI289" s="1">
        <f t="shared" si="208"/>
        <v>1</v>
      </c>
    </row>
    <row r="290" spans="1:35" ht="14.25" customHeight="1" x14ac:dyDescent="0.25">
      <c r="A290" s="38">
        <v>0</v>
      </c>
      <c r="B290" s="38">
        <v>2</v>
      </c>
      <c r="C290" s="38">
        <v>1</v>
      </c>
      <c r="D290" s="39" t="s">
        <v>1042</v>
      </c>
      <c r="E290" s="39" t="s">
        <v>36</v>
      </c>
      <c r="F290" s="39" t="s">
        <v>1659</v>
      </c>
      <c r="G290" s="39" t="s">
        <v>628</v>
      </c>
      <c r="H290" s="39" t="s">
        <v>354</v>
      </c>
      <c r="I290" s="38" t="s">
        <v>1043</v>
      </c>
      <c r="J290" s="38">
        <v>99</v>
      </c>
      <c r="K290" s="40" t="s">
        <v>959</v>
      </c>
      <c r="L290" s="40" t="s">
        <v>713</v>
      </c>
      <c r="M290" s="41" t="s">
        <v>714</v>
      </c>
      <c r="N290" s="42"/>
      <c r="O290" s="43"/>
      <c r="P290" s="43">
        <v>1</v>
      </c>
      <c r="Q290" s="54" t="s">
        <v>1899</v>
      </c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0</v>
      </c>
      <c r="AF290" s="1">
        <f t="shared" si="205"/>
        <v>0</v>
      </c>
      <c r="AG290" s="1">
        <f t="shared" si="206"/>
        <v>0</v>
      </c>
      <c r="AH290" s="1">
        <f t="shared" si="207"/>
        <v>1</v>
      </c>
      <c r="AI290" s="1">
        <f t="shared" si="208"/>
        <v>0</v>
      </c>
    </row>
    <row r="291" spans="1:35" ht="14.25" customHeight="1" x14ac:dyDescent="0.25">
      <c r="A291" s="31">
        <v>1</v>
      </c>
      <c r="B291" s="31">
        <v>2</v>
      </c>
      <c r="C291" s="31">
        <v>1</v>
      </c>
      <c r="D291" s="32" t="s">
        <v>49</v>
      </c>
      <c r="E291" s="32" t="s">
        <v>1314</v>
      </c>
      <c r="F291" s="32" t="s">
        <v>191</v>
      </c>
      <c r="G291" s="32" t="s">
        <v>192</v>
      </c>
      <c r="H291" s="32" t="s">
        <v>354</v>
      </c>
      <c r="I291" s="31" t="s">
        <v>386</v>
      </c>
      <c r="J291" s="31">
        <v>99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0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0</v>
      </c>
      <c r="AH291" s="1">
        <f t="shared" si="207"/>
        <v>0</v>
      </c>
      <c r="AI291" s="1">
        <f t="shared" si="208"/>
        <v>0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1074</v>
      </c>
      <c r="E292" s="32" t="s">
        <v>1314</v>
      </c>
      <c r="F292" s="32" t="s">
        <v>1089</v>
      </c>
      <c r="G292" s="32" t="s">
        <v>202</v>
      </c>
      <c r="H292" s="32" t="s">
        <v>354</v>
      </c>
      <c r="I292" s="31" t="s">
        <v>386</v>
      </c>
      <c r="J292" s="31">
        <v>10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0</v>
      </c>
      <c r="AA292" s="1">
        <f t="shared" si="217"/>
        <v>0</v>
      </c>
      <c r="AB292" s="1">
        <f t="shared" si="218"/>
        <v>1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1273</v>
      </c>
      <c r="E293" s="32" t="s">
        <v>561</v>
      </c>
      <c r="F293" s="32" t="s">
        <v>1274</v>
      </c>
      <c r="G293" s="32" t="s">
        <v>258</v>
      </c>
      <c r="H293" s="32" t="s">
        <v>354</v>
      </c>
      <c r="I293" s="31" t="s">
        <v>1275</v>
      </c>
      <c r="J293" s="31">
        <v>8</v>
      </c>
      <c r="K293" s="33" t="s">
        <v>954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2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1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1</v>
      </c>
      <c r="AF293" s="1">
        <f t="shared" si="205"/>
        <v>0</v>
      </c>
      <c r="AG293" s="1">
        <f t="shared" si="206"/>
        <v>1</v>
      </c>
      <c r="AH293" s="1">
        <f t="shared" si="207"/>
        <v>0</v>
      </c>
      <c r="AI293" s="1">
        <f t="shared" si="208"/>
        <v>1</v>
      </c>
    </row>
    <row r="294" spans="1:35" ht="14.25" customHeight="1" x14ac:dyDescent="0.25">
      <c r="A294" s="44">
        <v>0</v>
      </c>
      <c r="B294" s="44">
        <v>2</v>
      </c>
      <c r="C294" s="44">
        <v>1</v>
      </c>
      <c r="D294" s="45" t="s">
        <v>48</v>
      </c>
      <c r="E294" s="45" t="s">
        <v>578</v>
      </c>
      <c r="F294" s="45" t="s">
        <v>189</v>
      </c>
      <c r="G294" s="45" t="s">
        <v>300</v>
      </c>
      <c r="H294" s="45" t="s">
        <v>354</v>
      </c>
      <c r="I294" s="44" t="s">
        <v>385</v>
      </c>
      <c r="J294" s="44">
        <v>99</v>
      </c>
      <c r="K294" s="46" t="s">
        <v>713</v>
      </c>
      <c r="L294" s="46" t="s">
        <v>713</v>
      </c>
      <c r="M294" s="47" t="s">
        <v>714</v>
      </c>
      <c r="N294" s="47" t="s">
        <v>1747</v>
      </c>
      <c r="O294" s="48"/>
      <c r="P294" s="48"/>
      <c r="Q294" s="45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0</v>
      </c>
      <c r="AF294" s="1">
        <f t="shared" si="205"/>
        <v>0</v>
      </c>
      <c r="AG294" s="1">
        <f t="shared" si="206"/>
        <v>0</v>
      </c>
      <c r="AH294" s="1">
        <f t="shared" si="207"/>
        <v>0</v>
      </c>
      <c r="AI294" s="1">
        <f t="shared" si="208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57</v>
      </c>
      <c r="E295" s="32" t="s">
        <v>162</v>
      </c>
      <c r="F295" s="32" t="s">
        <v>666</v>
      </c>
      <c r="G295" s="32" t="s">
        <v>221</v>
      </c>
      <c r="H295" s="32" t="s">
        <v>354</v>
      </c>
      <c r="I295" s="31" t="s">
        <v>396</v>
      </c>
      <c r="J295" s="31">
        <v>99</v>
      </c>
      <c r="K295" s="33" t="s">
        <v>961</v>
      </c>
      <c r="L295" s="33" t="s">
        <v>713</v>
      </c>
      <c r="M295" s="34" t="s">
        <v>714</v>
      </c>
      <c r="N295" s="34" t="s">
        <v>1743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0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515</v>
      </c>
      <c r="E296" s="32" t="s">
        <v>561</v>
      </c>
      <c r="F296" s="32" t="s">
        <v>229</v>
      </c>
      <c r="G296" s="32" t="s">
        <v>230</v>
      </c>
      <c r="H296" s="32" t="s">
        <v>354</v>
      </c>
      <c r="I296" s="31" t="s">
        <v>400</v>
      </c>
      <c r="J296" s="31">
        <v>7</v>
      </c>
      <c r="K296" s="33" t="s">
        <v>954</v>
      </c>
      <c r="L296" s="33" t="s">
        <v>713</v>
      </c>
      <c r="M296" s="34" t="s">
        <v>714</v>
      </c>
      <c r="N296" s="34" t="s">
        <v>1749</v>
      </c>
      <c r="O296" s="35">
        <v>1</v>
      </c>
      <c r="P296" s="35"/>
      <c r="Q296" s="32"/>
      <c r="S296" s="1">
        <f t="shared" si="209"/>
        <v>0</v>
      </c>
      <c r="T296" s="1">
        <f t="shared" si="210"/>
        <v>0</v>
      </c>
      <c r="U296" s="1">
        <f t="shared" si="211"/>
        <v>0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1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1</v>
      </c>
      <c r="AF296" s="1">
        <f t="shared" si="205"/>
        <v>0</v>
      </c>
      <c r="AG296" s="1">
        <f t="shared" si="206"/>
        <v>1</v>
      </c>
      <c r="AH296" s="1">
        <f t="shared" si="207"/>
        <v>0</v>
      </c>
      <c r="AI296" s="1">
        <f t="shared" si="208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560</v>
      </c>
      <c r="E297" s="45" t="s">
        <v>561</v>
      </c>
      <c r="F297" s="45" t="s">
        <v>562</v>
      </c>
      <c r="G297" s="45" t="s">
        <v>208</v>
      </c>
      <c r="H297" s="45" t="s">
        <v>354</v>
      </c>
      <c r="I297" s="44" t="s">
        <v>563</v>
      </c>
      <c r="J297" s="44">
        <v>3</v>
      </c>
      <c r="K297" s="46" t="s">
        <v>712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09"/>
        <v>0</v>
      </c>
      <c r="T297" s="1">
        <f t="shared" si="210"/>
        <v>0</v>
      </c>
      <c r="U297" s="1">
        <f t="shared" si="211"/>
        <v>1</v>
      </c>
      <c r="V297" s="1">
        <f t="shared" si="212"/>
        <v>0</v>
      </c>
      <c r="W297" s="1">
        <f t="shared" si="213"/>
        <v>0</v>
      </c>
      <c r="X297" s="1">
        <f t="shared" si="214"/>
        <v>0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0</v>
      </c>
      <c r="AF297" s="1">
        <f t="shared" si="205"/>
        <v>0</v>
      </c>
      <c r="AG297" s="1">
        <f t="shared" si="206"/>
        <v>0</v>
      </c>
      <c r="AH297" s="1">
        <f t="shared" si="207"/>
        <v>0</v>
      </c>
      <c r="AI297" s="1">
        <f t="shared" si="208"/>
        <v>1</v>
      </c>
    </row>
    <row r="298" spans="1:35" ht="14.25" customHeight="1" x14ac:dyDescent="0.25">
      <c r="A298" s="37">
        <v>0</v>
      </c>
      <c r="B298" s="37">
        <v>2</v>
      </c>
      <c r="C298" s="37">
        <v>1</v>
      </c>
      <c r="D298" s="36" t="s">
        <v>1053</v>
      </c>
      <c r="E298" s="36" t="s">
        <v>32</v>
      </c>
      <c r="F298" s="36" t="s">
        <v>1277</v>
      </c>
      <c r="G298" s="36" t="s">
        <v>535</v>
      </c>
      <c r="H298" s="36" t="s">
        <v>354</v>
      </c>
      <c r="I298" s="37" t="s">
        <v>1278</v>
      </c>
      <c r="J298" s="37">
        <v>6</v>
      </c>
      <c r="K298" s="56" t="s">
        <v>713</v>
      </c>
      <c r="L298" s="33" t="s">
        <v>713</v>
      </c>
      <c r="M298" s="34" t="s">
        <v>714</v>
      </c>
      <c r="N298" s="34" t="s">
        <v>1748</v>
      </c>
      <c r="O298" s="35">
        <v>1</v>
      </c>
      <c r="P298" s="35"/>
      <c r="Q298" s="36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1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1</v>
      </c>
      <c r="AF298" s="1">
        <f t="shared" si="205"/>
        <v>0</v>
      </c>
      <c r="AG298" s="1">
        <f t="shared" si="206"/>
        <v>1</v>
      </c>
      <c r="AH298" s="1">
        <f t="shared" si="207"/>
        <v>0</v>
      </c>
      <c r="AI298" s="1">
        <f t="shared" si="208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917</v>
      </c>
      <c r="E299" s="45" t="s">
        <v>1333</v>
      </c>
      <c r="F299" s="45" t="s">
        <v>789</v>
      </c>
      <c r="G299" s="45" t="s">
        <v>257</v>
      </c>
      <c r="H299" s="45" t="s">
        <v>354</v>
      </c>
      <c r="I299" s="44" t="s">
        <v>944</v>
      </c>
      <c r="J299" s="44">
        <v>99</v>
      </c>
      <c r="K299" s="46" t="s">
        <v>712</v>
      </c>
      <c r="L299" s="46" t="s">
        <v>713</v>
      </c>
      <c r="M299" s="47" t="s">
        <v>714</v>
      </c>
      <c r="N299" s="47" t="s">
        <v>1734</v>
      </c>
      <c r="O299" s="48"/>
      <c r="P299" s="48"/>
      <c r="Q299" s="45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0</v>
      </c>
      <c r="AF299" s="1">
        <f t="shared" si="205"/>
        <v>0</v>
      </c>
      <c r="AG299" s="1">
        <f t="shared" si="206"/>
        <v>0</v>
      </c>
      <c r="AH299" s="1">
        <f t="shared" si="207"/>
        <v>0</v>
      </c>
      <c r="AI299" s="1">
        <f t="shared" si="208"/>
        <v>1</v>
      </c>
    </row>
    <row r="300" spans="1:35" ht="14.25" customHeight="1" x14ac:dyDescent="0.25">
      <c r="A300" s="37">
        <v>0</v>
      </c>
      <c r="B300" s="37">
        <v>2</v>
      </c>
      <c r="C300" s="37">
        <v>1</v>
      </c>
      <c r="D300" s="36" t="s">
        <v>1771</v>
      </c>
      <c r="E300" s="36" t="s">
        <v>1772</v>
      </c>
      <c r="F300" s="36" t="s">
        <v>1773</v>
      </c>
      <c r="G300" s="36" t="s">
        <v>180</v>
      </c>
      <c r="H300" s="36" t="s">
        <v>354</v>
      </c>
      <c r="I300" s="37" t="s">
        <v>1774</v>
      </c>
      <c r="J300" s="37"/>
      <c r="K300" s="56" t="s">
        <v>703</v>
      </c>
      <c r="L300" s="33">
        <v>4</v>
      </c>
      <c r="M300" s="34" t="s">
        <v>714</v>
      </c>
      <c r="N300" s="34" t="s">
        <v>1743</v>
      </c>
      <c r="O300" s="35">
        <v>1</v>
      </c>
      <c r="P300" s="35"/>
      <c r="Q300" s="36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619</v>
      </c>
      <c r="E301" s="32" t="s">
        <v>620</v>
      </c>
      <c r="F301" s="32" t="s">
        <v>621</v>
      </c>
      <c r="G301" s="32" t="s">
        <v>622</v>
      </c>
      <c r="H301" s="32" t="s">
        <v>354</v>
      </c>
      <c r="I301" s="31" t="s">
        <v>623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1080</v>
      </c>
      <c r="E302" s="32" t="s">
        <v>1334</v>
      </c>
      <c r="F302" s="32" t="s">
        <v>1663</v>
      </c>
      <c r="G302" s="32" t="s">
        <v>190</v>
      </c>
      <c r="H302" s="32" t="s">
        <v>354</v>
      </c>
      <c r="I302" s="31" t="s">
        <v>1861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1</v>
      </c>
      <c r="AF302" s="1">
        <f t="shared" si="205"/>
        <v>0</v>
      </c>
      <c r="AG302" s="1">
        <f t="shared" si="206"/>
        <v>1</v>
      </c>
      <c r="AH302" s="1">
        <f t="shared" si="207"/>
        <v>0</v>
      </c>
      <c r="AI302" s="1">
        <f t="shared" si="208"/>
        <v>1</v>
      </c>
    </row>
    <row r="303" spans="1:35" ht="14.25" customHeight="1" x14ac:dyDescent="0.25">
      <c r="A303" s="15">
        <v>0</v>
      </c>
      <c r="B303" s="15">
        <v>2</v>
      </c>
      <c r="C303" s="15">
        <v>1</v>
      </c>
      <c r="D303" s="16" t="s">
        <v>651</v>
      </c>
      <c r="E303" s="16" t="s">
        <v>36</v>
      </c>
      <c r="F303" s="16" t="s">
        <v>667</v>
      </c>
      <c r="G303" s="16" t="s">
        <v>201</v>
      </c>
      <c r="H303" s="16" t="s">
        <v>354</v>
      </c>
      <c r="I303" s="15" t="s">
        <v>1005</v>
      </c>
      <c r="J303" s="15">
        <v>99</v>
      </c>
      <c r="K303" s="10" t="s">
        <v>703</v>
      </c>
      <c r="L303" s="10">
        <v>4</v>
      </c>
      <c r="M303" s="19" t="s">
        <v>714</v>
      </c>
      <c r="N303" s="17"/>
      <c r="Q303" s="16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ht="14.25" customHeight="1" x14ac:dyDescent="0.25">
      <c r="A304" s="44">
        <v>0</v>
      </c>
      <c r="B304" s="44">
        <v>2</v>
      </c>
      <c r="C304" s="44">
        <v>1</v>
      </c>
      <c r="D304" s="45" t="s">
        <v>1264</v>
      </c>
      <c r="E304" s="45" t="s">
        <v>1265</v>
      </c>
      <c r="F304" s="45" t="s">
        <v>1266</v>
      </c>
      <c r="G304" s="45" t="s">
        <v>1165</v>
      </c>
      <c r="H304" s="45" t="s">
        <v>354</v>
      </c>
      <c r="I304" s="44" t="s">
        <v>1267</v>
      </c>
      <c r="J304" s="44">
        <v>11</v>
      </c>
      <c r="K304" s="46" t="s">
        <v>703</v>
      </c>
      <c r="L304" s="46">
        <v>6</v>
      </c>
      <c r="M304" s="47" t="s">
        <v>1728</v>
      </c>
      <c r="N304" s="47" t="s">
        <v>1809</v>
      </c>
      <c r="O304" s="48"/>
      <c r="P304" s="48"/>
      <c r="Q304" s="45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0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0</v>
      </c>
      <c r="AF304" s="1">
        <f t="shared" si="205"/>
        <v>0</v>
      </c>
      <c r="AG304" s="1">
        <f t="shared" si="206"/>
        <v>0</v>
      </c>
      <c r="AH304" s="1">
        <f t="shared" si="207"/>
        <v>0</v>
      </c>
      <c r="AI304" s="1">
        <f t="shared" si="208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1123</v>
      </c>
      <c r="E305" s="32" t="s">
        <v>1314</v>
      </c>
      <c r="F305" s="32" t="s">
        <v>1121</v>
      </c>
      <c r="G305" s="32" t="s">
        <v>230</v>
      </c>
      <c r="H305" s="32" t="s">
        <v>354</v>
      </c>
      <c r="I305" s="31" t="s">
        <v>1122</v>
      </c>
      <c r="J305" s="31">
        <v>7</v>
      </c>
      <c r="K305" s="33" t="s">
        <v>713</v>
      </c>
      <c r="L305" s="33" t="s">
        <v>1709</v>
      </c>
      <c r="M305" s="34" t="s">
        <v>714</v>
      </c>
      <c r="N305" s="34" t="s">
        <v>1756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1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1008</v>
      </c>
      <c r="E306" s="32" t="s">
        <v>1336</v>
      </c>
      <c r="F306" s="32" t="s">
        <v>1009</v>
      </c>
      <c r="G306" s="32" t="s">
        <v>1100</v>
      </c>
      <c r="H306" s="32" t="s">
        <v>354</v>
      </c>
      <c r="I306" s="31" t="s">
        <v>408</v>
      </c>
      <c r="J306" s="31">
        <v>99</v>
      </c>
      <c r="K306" s="33" t="s">
        <v>713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0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1130</v>
      </c>
      <c r="E307" s="32" t="s">
        <v>561</v>
      </c>
      <c r="F307" s="32" t="s">
        <v>1354</v>
      </c>
      <c r="G307" s="32" t="s">
        <v>265</v>
      </c>
      <c r="H307" s="32" t="s">
        <v>354</v>
      </c>
      <c r="I307" s="31" t="s">
        <v>1131</v>
      </c>
      <c r="J307" s="31">
        <v>8</v>
      </c>
      <c r="K307" s="33" t="s">
        <v>712</v>
      </c>
      <c r="L307" s="33" t="s">
        <v>1709</v>
      </c>
      <c r="M307" s="34" t="s">
        <v>714</v>
      </c>
      <c r="N307" s="34" t="s">
        <v>1748</v>
      </c>
      <c r="O307" s="35">
        <v>1</v>
      </c>
      <c r="P307" s="35"/>
      <c r="Q307" s="32"/>
      <c r="S307" s="1">
        <f t="shared" si="209"/>
        <v>0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1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1286</v>
      </c>
      <c r="E308" s="32" t="s">
        <v>1334</v>
      </c>
      <c r="F308" s="32" t="s">
        <v>1283</v>
      </c>
      <c r="G308" s="32" t="s">
        <v>1284</v>
      </c>
      <c r="H308" s="32" t="s">
        <v>354</v>
      </c>
      <c r="I308" s="31" t="s">
        <v>1285</v>
      </c>
      <c r="J308" s="31">
        <v>1</v>
      </c>
      <c r="K308" s="33" t="s">
        <v>712</v>
      </c>
      <c r="L308" s="33" t="s">
        <v>713</v>
      </c>
      <c r="M308" s="34" t="s">
        <v>714</v>
      </c>
      <c r="N308" s="34" t="s">
        <v>1761</v>
      </c>
      <c r="O308" s="35">
        <v>1</v>
      </c>
      <c r="P308" s="35"/>
      <c r="Q308" s="32" t="s">
        <v>1902</v>
      </c>
      <c r="S308" s="1">
        <f t="shared" si="209"/>
        <v>1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1</v>
      </c>
      <c r="AF308" s="1">
        <f t="shared" si="205"/>
        <v>0</v>
      </c>
      <c r="AG308" s="1">
        <f t="shared" si="206"/>
        <v>1</v>
      </c>
      <c r="AH308" s="1">
        <f t="shared" si="207"/>
        <v>0</v>
      </c>
      <c r="AI308" s="1">
        <f t="shared" si="208"/>
        <v>1</v>
      </c>
    </row>
    <row r="309" spans="1:35" ht="14.25" customHeight="1" x14ac:dyDescent="0.25">
      <c r="A309" s="44">
        <v>0</v>
      </c>
      <c r="B309" s="44">
        <v>2</v>
      </c>
      <c r="C309" s="44">
        <v>1</v>
      </c>
      <c r="D309" s="45" t="s">
        <v>52</v>
      </c>
      <c r="E309" s="45" t="s">
        <v>32</v>
      </c>
      <c r="F309" s="45" t="s">
        <v>206</v>
      </c>
      <c r="G309" s="45" t="s">
        <v>207</v>
      </c>
      <c r="H309" s="45" t="s">
        <v>354</v>
      </c>
      <c r="I309" s="44" t="s">
        <v>391</v>
      </c>
      <c r="J309" s="44">
        <v>99</v>
      </c>
      <c r="K309" s="46" t="s">
        <v>712</v>
      </c>
      <c r="L309" s="46" t="s">
        <v>713</v>
      </c>
      <c r="M309" s="47" t="s">
        <v>714</v>
      </c>
      <c r="N309" s="47" t="s">
        <v>1747</v>
      </c>
      <c r="O309" s="48"/>
      <c r="P309" s="48"/>
      <c r="Q309" s="45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0</v>
      </c>
      <c r="AF309" s="1">
        <f t="shared" si="205"/>
        <v>0</v>
      </c>
      <c r="AG309" s="1">
        <f t="shared" si="206"/>
        <v>0</v>
      </c>
      <c r="AH309" s="1">
        <f t="shared" si="207"/>
        <v>0</v>
      </c>
      <c r="AI309" s="1">
        <f t="shared" si="208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73</v>
      </c>
      <c r="E310" s="32" t="s">
        <v>561</v>
      </c>
      <c r="F310" s="32" t="s">
        <v>1050</v>
      </c>
      <c r="G310" s="32" t="s">
        <v>190</v>
      </c>
      <c r="H310" s="32" t="s">
        <v>354</v>
      </c>
      <c r="I310" s="31" t="s">
        <v>421</v>
      </c>
      <c r="J310" s="31">
        <v>99</v>
      </c>
      <c r="K310" s="33" t="s">
        <v>954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0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47</v>
      </c>
      <c r="E311" s="32" t="s">
        <v>32</v>
      </c>
      <c r="F311" s="32" t="s">
        <v>187</v>
      </c>
      <c r="G311" s="32" t="s">
        <v>180</v>
      </c>
      <c r="H311" s="32" t="s">
        <v>354</v>
      </c>
      <c r="I311" s="31" t="s">
        <v>383</v>
      </c>
      <c r="J311" s="31">
        <v>10</v>
      </c>
      <c r="K311" s="33" t="s">
        <v>955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1</v>
      </c>
      <c r="AD311" s="1">
        <f t="shared" si="219"/>
        <v>0</v>
      </c>
      <c r="AE311" s="1">
        <f t="shared" si="220"/>
        <v>1</v>
      </c>
      <c r="AF311" s="1">
        <f t="shared" si="205"/>
        <v>0</v>
      </c>
      <c r="AG311" s="1">
        <f t="shared" si="206"/>
        <v>1</v>
      </c>
      <c r="AH311" s="1">
        <f t="shared" si="207"/>
        <v>0</v>
      </c>
      <c r="AI311" s="1">
        <f t="shared" si="208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652</v>
      </c>
      <c r="E312" s="45" t="s">
        <v>160</v>
      </c>
      <c r="F312" s="45" t="s">
        <v>188</v>
      </c>
      <c r="G312" s="45" t="s">
        <v>668</v>
      </c>
      <c r="H312" s="45" t="s">
        <v>354</v>
      </c>
      <c r="I312" s="44" t="s">
        <v>384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1737</v>
      </c>
      <c r="O312" s="48"/>
      <c r="P312" s="48"/>
      <c r="Q312" s="45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0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0</v>
      </c>
      <c r="AI312" s="1">
        <f t="shared" si="208"/>
        <v>1</v>
      </c>
    </row>
    <row r="313" spans="1:35" ht="14.25" customHeight="1" x14ac:dyDescent="0.25">
      <c r="A313" s="38">
        <v>0</v>
      </c>
      <c r="B313" s="38">
        <v>2</v>
      </c>
      <c r="C313" s="38">
        <v>1</v>
      </c>
      <c r="D313" s="39" t="s">
        <v>1304</v>
      </c>
      <c r="E313" s="39" t="s">
        <v>36</v>
      </c>
      <c r="F313" s="39" t="s">
        <v>1305</v>
      </c>
      <c r="G313" s="39" t="s">
        <v>258</v>
      </c>
      <c r="H313" s="39" t="s">
        <v>354</v>
      </c>
      <c r="I313" s="38" t="s">
        <v>1306</v>
      </c>
      <c r="J313" s="38">
        <v>8</v>
      </c>
      <c r="K313" s="40" t="s">
        <v>959</v>
      </c>
      <c r="L313" s="40" t="s">
        <v>713</v>
      </c>
      <c r="M313" s="41" t="s">
        <v>714</v>
      </c>
      <c r="N313" s="42"/>
      <c r="O313" s="43"/>
      <c r="P313" s="43">
        <v>1</v>
      </c>
      <c r="Q313" s="39"/>
      <c r="S313" s="1">
        <f t="shared" si="209"/>
        <v>0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1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0</v>
      </c>
      <c r="AF313" s="1">
        <f t="shared" si="205"/>
        <v>0</v>
      </c>
      <c r="AG313" s="1">
        <f t="shared" si="206"/>
        <v>0</v>
      </c>
      <c r="AH313" s="1">
        <f t="shared" si="207"/>
        <v>1</v>
      </c>
      <c r="AI313" s="1">
        <f t="shared" si="208"/>
        <v>0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54</v>
      </c>
      <c r="E314" s="32" t="s">
        <v>561</v>
      </c>
      <c r="F314" s="32" t="s">
        <v>212</v>
      </c>
      <c r="G314" s="32" t="s">
        <v>213</v>
      </c>
      <c r="H314" s="32" t="s">
        <v>354</v>
      </c>
      <c r="I314" s="31" t="s">
        <v>393</v>
      </c>
      <c r="J314" s="31">
        <v>1</v>
      </c>
      <c r="K314" s="33" t="s">
        <v>955</v>
      </c>
      <c r="L314" s="33" t="s">
        <v>713</v>
      </c>
      <c r="M314" s="34" t="s">
        <v>39</v>
      </c>
      <c r="N314" s="34" t="s">
        <v>1743</v>
      </c>
      <c r="O314" s="35">
        <v>1</v>
      </c>
      <c r="P314" s="35"/>
      <c r="Q314" s="32"/>
      <c r="S314" s="1">
        <f t="shared" si="209"/>
        <v>1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0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1</v>
      </c>
      <c r="AF314" s="1">
        <f t="shared" si="205"/>
        <v>0</v>
      </c>
      <c r="AG314" s="1">
        <f t="shared" si="206"/>
        <v>1</v>
      </c>
      <c r="AH314" s="1">
        <f t="shared" si="207"/>
        <v>0</v>
      </c>
      <c r="AI314" s="1">
        <f t="shared" si="208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61</v>
      </c>
      <c r="E315" s="45" t="s">
        <v>543</v>
      </c>
      <c r="F315" s="45" t="s">
        <v>233</v>
      </c>
      <c r="G315" s="45" t="s">
        <v>204</v>
      </c>
      <c r="H315" s="45" t="s">
        <v>354</v>
      </c>
      <c r="I315" s="44" t="s">
        <v>401</v>
      </c>
      <c r="J315" s="44">
        <v>7</v>
      </c>
      <c r="K315" s="46" t="s">
        <v>712</v>
      </c>
      <c r="L315" s="46" t="s">
        <v>713</v>
      </c>
      <c r="M315" s="47" t="s">
        <v>714</v>
      </c>
      <c r="N315" s="47" t="s">
        <v>1738</v>
      </c>
      <c r="O315" s="48"/>
      <c r="P315" s="48"/>
      <c r="Q315" s="45"/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1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0</v>
      </c>
      <c r="AF315" s="1">
        <f t="shared" si="205"/>
        <v>0</v>
      </c>
      <c r="AG315" s="1">
        <f t="shared" si="206"/>
        <v>0</v>
      </c>
      <c r="AH315" s="1">
        <f t="shared" si="207"/>
        <v>0</v>
      </c>
      <c r="AI315" s="1">
        <f t="shared" si="208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1647</v>
      </c>
      <c r="E316" s="32" t="s">
        <v>561</v>
      </c>
      <c r="F316" s="32" t="s">
        <v>1358</v>
      </c>
      <c r="G316" s="32" t="s">
        <v>1284</v>
      </c>
      <c r="H316" s="32" t="s">
        <v>354</v>
      </c>
      <c r="I316" s="31" t="s">
        <v>1167</v>
      </c>
      <c r="J316" s="31">
        <v>99</v>
      </c>
      <c r="K316" s="33" t="s">
        <v>712</v>
      </c>
      <c r="L316" s="33" t="s">
        <v>713</v>
      </c>
      <c r="M316" s="34" t="s">
        <v>714</v>
      </c>
      <c r="N316" s="34" t="s">
        <v>1748</v>
      </c>
      <c r="O316" s="35">
        <v>1</v>
      </c>
      <c r="P316" s="35"/>
      <c r="Q316" s="32" t="s">
        <v>1901</v>
      </c>
      <c r="S316" s="1">
        <f t="shared" si="209"/>
        <v>0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ht="14.25" customHeight="1" x14ac:dyDescent="0.25">
      <c r="A317" s="49">
        <v>0</v>
      </c>
      <c r="B317" s="49">
        <v>2</v>
      </c>
      <c r="C317" s="49">
        <v>1</v>
      </c>
      <c r="D317" s="50" t="s">
        <v>1782</v>
      </c>
      <c r="E317" s="50" t="s">
        <v>1783</v>
      </c>
      <c r="F317" s="50" t="s">
        <v>1784</v>
      </c>
      <c r="G317" s="50" t="s">
        <v>1785</v>
      </c>
      <c r="H317" s="50" t="s">
        <v>354</v>
      </c>
      <c r="I317" s="49"/>
      <c r="J317" s="49">
        <v>1</v>
      </c>
      <c r="K317" s="51" t="s">
        <v>703</v>
      </c>
      <c r="L317" s="51"/>
      <c r="M317" s="52"/>
      <c r="N317" s="52" t="s">
        <v>1743</v>
      </c>
      <c r="O317" s="53">
        <v>1</v>
      </c>
      <c r="P317" s="53"/>
      <c r="Q317" s="55" t="s">
        <v>1909</v>
      </c>
      <c r="S317" s="1">
        <f t="shared" si="209"/>
        <v>1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1318</v>
      </c>
      <c r="E318" s="32" t="s">
        <v>1338</v>
      </c>
      <c r="F318" s="32" t="s">
        <v>1301</v>
      </c>
      <c r="G318" s="32" t="s">
        <v>1302</v>
      </c>
      <c r="H318" s="32" t="s">
        <v>354</v>
      </c>
      <c r="I318" s="31" t="s">
        <v>1303</v>
      </c>
      <c r="J318" s="31">
        <v>99</v>
      </c>
      <c r="K318" s="33" t="s">
        <v>955</v>
      </c>
      <c r="L318" s="33" t="s">
        <v>713</v>
      </c>
      <c r="M318" s="34" t="s">
        <v>714</v>
      </c>
      <c r="N318" s="34" t="s">
        <v>1919</v>
      </c>
      <c r="O318" s="35">
        <v>1</v>
      </c>
      <c r="P318" s="35"/>
      <c r="Q318" s="32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0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1</v>
      </c>
      <c r="AF318" s="1">
        <f t="shared" si="205"/>
        <v>0</v>
      </c>
      <c r="AG318" s="1">
        <f t="shared" si="206"/>
        <v>1</v>
      </c>
      <c r="AH318" s="1">
        <f t="shared" si="207"/>
        <v>0</v>
      </c>
      <c r="AI318" s="1">
        <f t="shared" si="208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1313</v>
      </c>
      <c r="E319" s="45" t="s">
        <v>160</v>
      </c>
      <c r="F319" s="45" t="s">
        <v>1315</v>
      </c>
      <c r="G319" s="45" t="s">
        <v>1316</v>
      </c>
      <c r="H319" s="45" t="s">
        <v>354</v>
      </c>
      <c r="I319" s="44" t="s">
        <v>1317</v>
      </c>
      <c r="J319" s="44">
        <v>8</v>
      </c>
      <c r="K319" s="46" t="s">
        <v>713</v>
      </c>
      <c r="L319" s="46" t="s">
        <v>713</v>
      </c>
      <c r="M319" s="47" t="s">
        <v>714</v>
      </c>
      <c r="N319" s="47" t="s">
        <v>1747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1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ht="14.25" customHeight="1" x14ac:dyDescent="0.25">
      <c r="A320" s="44">
        <v>0</v>
      </c>
      <c r="B320" s="44">
        <v>2</v>
      </c>
      <c r="C320" s="44">
        <v>2</v>
      </c>
      <c r="D320" s="45" t="s">
        <v>1646</v>
      </c>
      <c r="E320" s="45" t="s">
        <v>1168</v>
      </c>
      <c r="F320" s="45" t="s">
        <v>1680</v>
      </c>
      <c r="G320" s="45" t="s">
        <v>190</v>
      </c>
      <c r="H320" s="45" t="s">
        <v>354</v>
      </c>
      <c r="I320" s="44" t="s">
        <v>1607</v>
      </c>
      <c r="J320" s="44">
        <v>99</v>
      </c>
      <c r="K320" s="46" t="s">
        <v>713</v>
      </c>
      <c r="L320" s="46" t="s">
        <v>696</v>
      </c>
      <c r="M320" s="47" t="s">
        <v>1608</v>
      </c>
      <c r="N320" s="47" t="s">
        <v>1738</v>
      </c>
      <c r="O320" s="48"/>
      <c r="P320" s="48"/>
      <c r="Q320" s="45"/>
      <c r="S320" s="1">
        <f t="shared" si="209"/>
        <v>0</v>
      </c>
      <c r="T320" s="1">
        <f t="shared" si="210"/>
        <v>0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0</v>
      </c>
      <c r="AF320" s="1">
        <f t="shared" si="205"/>
        <v>0</v>
      </c>
      <c r="AG320" s="1">
        <f t="shared" si="206"/>
        <v>0</v>
      </c>
      <c r="AH320" s="1">
        <f t="shared" si="207"/>
        <v>0</v>
      </c>
      <c r="AI320" s="1">
        <f t="shared" si="208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65</v>
      </c>
      <c r="E321" s="50" t="s">
        <v>164</v>
      </c>
      <c r="F321" s="50" t="s">
        <v>243</v>
      </c>
      <c r="G321" s="50" t="s">
        <v>200</v>
      </c>
      <c r="H321" s="50" t="s">
        <v>354</v>
      </c>
      <c r="I321" s="49" t="s">
        <v>407</v>
      </c>
      <c r="J321" s="49">
        <v>2</v>
      </c>
      <c r="K321" s="51" t="s">
        <v>955</v>
      </c>
      <c r="L321" s="51" t="s">
        <v>696</v>
      </c>
      <c r="M321" s="52" t="s">
        <v>715</v>
      </c>
      <c r="N321" s="52" t="s">
        <v>1743</v>
      </c>
      <c r="O321" s="53">
        <v>1</v>
      </c>
      <c r="P321" s="53"/>
      <c r="Q321" s="50"/>
      <c r="S321" s="1">
        <f t="shared" si="209"/>
        <v>0</v>
      </c>
      <c r="T321" s="1">
        <f t="shared" si="210"/>
        <v>1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1</v>
      </c>
      <c r="AF321" s="1">
        <f t="shared" si="205"/>
        <v>0</v>
      </c>
      <c r="AG321" s="1">
        <f t="shared" si="206"/>
        <v>1</v>
      </c>
      <c r="AH321" s="1">
        <f t="shared" si="207"/>
        <v>0</v>
      </c>
      <c r="AI321" s="1">
        <f t="shared" si="208"/>
        <v>1</v>
      </c>
    </row>
    <row r="322" spans="1:35" ht="14.25" customHeight="1" x14ac:dyDescent="0.25">
      <c r="A322" s="44">
        <v>0</v>
      </c>
      <c r="B322" s="44">
        <v>2</v>
      </c>
      <c r="C322" s="44">
        <v>2</v>
      </c>
      <c r="D322" s="45" t="s">
        <v>1182</v>
      </c>
      <c r="E322" s="45" t="s">
        <v>1183</v>
      </c>
      <c r="F322" s="45" t="s">
        <v>1348</v>
      </c>
      <c r="G322" s="45" t="s">
        <v>1056</v>
      </c>
      <c r="H322" s="45" t="s">
        <v>354</v>
      </c>
      <c r="I322" s="44" t="s">
        <v>1184</v>
      </c>
      <c r="J322" s="44">
        <v>1</v>
      </c>
      <c r="K322" s="46" t="s">
        <v>712</v>
      </c>
      <c r="L322" s="46" t="s">
        <v>704</v>
      </c>
      <c r="M322" s="47" t="s">
        <v>1412</v>
      </c>
      <c r="N322" s="47" t="s">
        <v>1735</v>
      </c>
      <c r="O322" s="48"/>
      <c r="P322" s="48"/>
      <c r="Q322" s="45"/>
      <c r="S322" s="1">
        <f t="shared" si="209"/>
        <v>1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0</v>
      </c>
      <c r="AF322" s="1">
        <f t="shared" si="205"/>
        <v>0</v>
      </c>
      <c r="AG322" s="1">
        <f t="shared" si="206"/>
        <v>0</v>
      </c>
      <c r="AH322" s="1">
        <f t="shared" si="207"/>
        <v>0</v>
      </c>
      <c r="AI322" s="1">
        <f t="shared" si="208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1828</v>
      </c>
      <c r="E323" s="32" t="s">
        <v>1829</v>
      </c>
      <c r="F323" s="32" t="s">
        <v>1830</v>
      </c>
      <c r="G323" s="32" t="s">
        <v>196</v>
      </c>
      <c r="H323" s="32" t="s">
        <v>354</v>
      </c>
      <c r="I323" s="31" t="s">
        <v>1831</v>
      </c>
      <c r="J323" s="31"/>
      <c r="K323" s="33" t="s">
        <v>703</v>
      </c>
      <c r="L323" s="33">
        <v>20</v>
      </c>
      <c r="M323" s="34" t="s">
        <v>1832</v>
      </c>
      <c r="N323" s="34" t="s">
        <v>1748</v>
      </c>
      <c r="O323" s="35">
        <v>1</v>
      </c>
      <c r="P323" s="35"/>
      <c r="Q323" s="32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1</v>
      </c>
      <c r="AF323" s="1">
        <f t="shared" si="205"/>
        <v>0</v>
      </c>
      <c r="AG323" s="1">
        <f t="shared" si="206"/>
        <v>1</v>
      </c>
      <c r="AH323" s="1">
        <f t="shared" si="207"/>
        <v>0</v>
      </c>
      <c r="AI323" s="1">
        <f t="shared" si="208"/>
        <v>1</v>
      </c>
    </row>
    <row r="324" spans="1:35" ht="14.25" customHeight="1" x14ac:dyDescent="0.25">
      <c r="A324" s="15">
        <v>0</v>
      </c>
      <c r="B324" s="15">
        <v>2</v>
      </c>
      <c r="C324" s="15">
        <v>2</v>
      </c>
      <c r="D324" s="16" t="s">
        <v>1576</v>
      </c>
      <c r="E324" s="16" t="s">
        <v>1577</v>
      </c>
      <c r="F324" s="16" t="s">
        <v>1579</v>
      </c>
      <c r="G324" s="16" t="s">
        <v>1580</v>
      </c>
      <c r="H324" s="16" t="s">
        <v>354</v>
      </c>
      <c r="I324" s="15" t="s">
        <v>1578</v>
      </c>
      <c r="J324" s="15">
        <v>99</v>
      </c>
      <c r="K324" s="10" t="s">
        <v>703</v>
      </c>
      <c r="L324" s="10">
        <v>18</v>
      </c>
      <c r="M324" s="19" t="s">
        <v>1581</v>
      </c>
      <c r="N324" s="17"/>
      <c r="Q324" s="16"/>
      <c r="S324" s="1">
        <f t="shared" si="209"/>
        <v>0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0</v>
      </c>
      <c r="AF324" s="1">
        <f t="shared" si="205"/>
        <v>0</v>
      </c>
      <c r="AG324" s="1">
        <f t="shared" si="206"/>
        <v>0</v>
      </c>
      <c r="AH324" s="1">
        <f t="shared" si="207"/>
        <v>0</v>
      </c>
      <c r="AI324" s="1">
        <f t="shared" si="208"/>
        <v>1</v>
      </c>
    </row>
    <row r="325" spans="1:35" ht="14.25" customHeight="1" x14ac:dyDescent="0.25">
      <c r="A325" s="49">
        <v>0</v>
      </c>
      <c r="B325" s="49">
        <v>2</v>
      </c>
      <c r="C325" s="49">
        <v>2</v>
      </c>
      <c r="D325" s="50" t="s">
        <v>64</v>
      </c>
      <c r="E325" s="50" t="s">
        <v>33</v>
      </c>
      <c r="F325" s="50" t="s">
        <v>241</v>
      </c>
      <c r="G325" s="50" t="s">
        <v>242</v>
      </c>
      <c r="H325" s="50" t="s">
        <v>354</v>
      </c>
      <c r="I325" s="49" t="s">
        <v>406</v>
      </c>
      <c r="J325" s="49">
        <v>1</v>
      </c>
      <c r="K325" s="51" t="s">
        <v>961</v>
      </c>
      <c r="L325" s="51" t="s">
        <v>716</v>
      </c>
      <c r="M325" s="52" t="s">
        <v>717</v>
      </c>
      <c r="N325" s="52" t="s">
        <v>1743</v>
      </c>
      <c r="O325" s="53">
        <v>1</v>
      </c>
      <c r="P325" s="53"/>
      <c r="Q325" s="50"/>
      <c r="S325" s="1">
        <f t="shared" si="209"/>
        <v>1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ht="14.25" customHeight="1" x14ac:dyDescent="0.25">
      <c r="A326" s="49">
        <v>0</v>
      </c>
      <c r="B326" s="49">
        <v>2</v>
      </c>
      <c r="C326" s="49">
        <v>2</v>
      </c>
      <c r="D326" s="50" t="s">
        <v>62</v>
      </c>
      <c r="E326" s="50" t="s">
        <v>1086</v>
      </c>
      <c r="F326" s="50" t="s">
        <v>234</v>
      </c>
      <c r="G326" s="50" t="s">
        <v>235</v>
      </c>
      <c r="H326" s="50" t="s">
        <v>354</v>
      </c>
      <c r="I326" s="49" t="s">
        <v>1365</v>
      </c>
      <c r="J326" s="49">
        <v>99</v>
      </c>
      <c r="K326" s="51" t="s">
        <v>955</v>
      </c>
      <c r="L326" s="51" t="s">
        <v>716</v>
      </c>
      <c r="M326" s="52" t="s">
        <v>718</v>
      </c>
      <c r="N326" s="52" t="s">
        <v>1743</v>
      </c>
      <c r="O326" s="53">
        <v>1</v>
      </c>
      <c r="P326" s="53"/>
      <c r="Q326" s="50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0</v>
      </c>
      <c r="AE326" s="1">
        <f t="shared" si="220"/>
        <v>1</v>
      </c>
      <c r="AF326" s="1">
        <f t="shared" si="205"/>
        <v>0</v>
      </c>
      <c r="AG326" s="1">
        <f t="shared" si="206"/>
        <v>1</v>
      </c>
      <c r="AH326" s="1">
        <f t="shared" si="207"/>
        <v>0</v>
      </c>
      <c r="AI326" s="1">
        <f t="shared" si="208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1716</v>
      </c>
      <c r="E327" s="32" t="s">
        <v>1718</v>
      </c>
      <c r="F327" s="32" t="s">
        <v>1717</v>
      </c>
      <c r="G327" s="32"/>
      <c r="H327" s="32" t="s">
        <v>354</v>
      </c>
      <c r="I327" s="31" t="s">
        <v>1719</v>
      </c>
      <c r="J327" s="31"/>
      <c r="K327" s="33" t="s">
        <v>703</v>
      </c>
      <c r="L327" s="33"/>
      <c r="M327" s="34"/>
      <c r="N327" s="34" t="s">
        <v>1727</v>
      </c>
      <c r="O327" s="35">
        <v>1</v>
      </c>
      <c r="P327" s="35">
        <v>1</v>
      </c>
      <c r="Q327" s="32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0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1</v>
      </c>
      <c r="AE327" s="1">
        <f t="shared" si="220"/>
        <v>0</v>
      </c>
      <c r="AF327" s="1">
        <f t="shared" si="205"/>
        <v>1</v>
      </c>
      <c r="AG327" s="1">
        <f t="shared" si="206"/>
        <v>0</v>
      </c>
      <c r="AH327" s="1">
        <f t="shared" si="207"/>
        <v>1</v>
      </c>
      <c r="AI327" s="1">
        <f t="shared" si="208"/>
        <v>0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787</v>
      </c>
      <c r="E328" s="45" t="s">
        <v>909</v>
      </c>
      <c r="F328" s="45" t="s">
        <v>1571</v>
      </c>
      <c r="G328" s="45" t="s">
        <v>230</v>
      </c>
      <c r="H328" s="45" t="s">
        <v>354</v>
      </c>
      <c r="I328" s="44" t="s">
        <v>1694</v>
      </c>
      <c r="J328" s="44">
        <v>7</v>
      </c>
      <c r="K328" s="46" t="s">
        <v>713</v>
      </c>
      <c r="L328" s="46">
        <v>20</v>
      </c>
      <c r="M328" s="47" t="s">
        <v>39</v>
      </c>
      <c r="N328" s="47" t="s">
        <v>1734</v>
      </c>
      <c r="O328" s="48"/>
      <c r="P328" s="48"/>
      <c r="Q328" s="45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1</v>
      </c>
      <c r="Z328" s="1">
        <f t="shared" si="216"/>
        <v>0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0</v>
      </c>
      <c r="AF328" s="1">
        <f t="shared" si="205"/>
        <v>0</v>
      </c>
      <c r="AG328" s="1">
        <f t="shared" si="206"/>
        <v>0</v>
      </c>
      <c r="AH328" s="1">
        <f t="shared" si="207"/>
        <v>0</v>
      </c>
      <c r="AI328" s="1">
        <f t="shared" si="208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854</v>
      </c>
      <c r="G329" s="32" t="s">
        <v>220</v>
      </c>
      <c r="H329" s="32" t="s">
        <v>354</v>
      </c>
      <c r="I329" s="31" t="s">
        <v>855</v>
      </c>
      <c r="J329" s="31">
        <v>8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1</v>
      </c>
      <c r="AA329" s="1">
        <f t="shared" si="217"/>
        <v>0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1</v>
      </c>
      <c r="AH329" s="1">
        <f t="shared" si="207"/>
        <v>0</v>
      </c>
      <c r="AI329" s="1">
        <f t="shared" si="208"/>
        <v>1</v>
      </c>
    </row>
    <row r="330" spans="1:35" ht="14.25" customHeight="1" x14ac:dyDescent="0.25">
      <c r="A330" s="31">
        <v>1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1353</v>
      </c>
      <c r="G330" s="32" t="s">
        <v>194</v>
      </c>
      <c r="H330" s="32" t="s">
        <v>354</v>
      </c>
      <c r="I330" s="31" t="s">
        <v>853</v>
      </c>
      <c r="J330" s="31">
        <v>9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0</v>
      </c>
      <c r="Z330" s="1">
        <f t="shared" si="216"/>
        <v>0</v>
      </c>
      <c r="AA330" s="1">
        <f t="shared" si="217"/>
        <v>1</v>
      </c>
      <c r="AB330" s="1">
        <f t="shared" si="218"/>
        <v>0</v>
      </c>
      <c r="AD330" s="1">
        <f t="shared" si="219"/>
        <v>0</v>
      </c>
      <c r="AE330" s="1">
        <f t="shared" si="220"/>
        <v>1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918</v>
      </c>
      <c r="E331" s="45" t="s">
        <v>785</v>
      </c>
      <c r="F331" s="45" t="s">
        <v>786</v>
      </c>
      <c r="G331" s="45" t="s">
        <v>230</v>
      </c>
      <c r="H331" s="45" t="s">
        <v>354</v>
      </c>
      <c r="I331" s="44" t="s">
        <v>788</v>
      </c>
      <c r="J331" s="44">
        <v>7</v>
      </c>
      <c r="K331" s="46" t="s">
        <v>712</v>
      </c>
      <c r="L331" s="46">
        <v>15</v>
      </c>
      <c r="M331" s="47" t="s">
        <v>39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1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ht="14.25" customHeight="1" x14ac:dyDescent="0.25">
      <c r="A332" s="44">
        <v>0</v>
      </c>
      <c r="B332" s="44">
        <v>2</v>
      </c>
      <c r="C332" s="44">
        <v>2</v>
      </c>
      <c r="D332" s="45" t="s">
        <v>83</v>
      </c>
      <c r="E332" s="45" t="s">
        <v>157</v>
      </c>
      <c r="F332" s="65" t="s">
        <v>1872</v>
      </c>
      <c r="G332" s="45" t="s">
        <v>209</v>
      </c>
      <c r="H332" s="45" t="s">
        <v>354</v>
      </c>
      <c r="I332" s="44" t="s">
        <v>432</v>
      </c>
      <c r="J332" s="44">
        <v>99</v>
      </c>
      <c r="K332" s="46" t="s">
        <v>954</v>
      </c>
      <c r="L332" s="46" t="s">
        <v>704</v>
      </c>
      <c r="M332" s="47" t="s">
        <v>719</v>
      </c>
      <c r="N332" s="47" t="s">
        <v>1735</v>
      </c>
      <c r="O332" s="48"/>
      <c r="P332" s="48"/>
      <c r="Q332" s="45"/>
      <c r="S332" s="1">
        <f t="shared" si="209"/>
        <v>0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0</v>
      </c>
      <c r="AE332" s="1">
        <f t="shared" si="220"/>
        <v>0</v>
      </c>
      <c r="AF332" s="1">
        <f t="shared" si="205"/>
        <v>0</v>
      </c>
      <c r="AG332" s="1">
        <f t="shared" si="206"/>
        <v>0</v>
      </c>
      <c r="AH332" s="1">
        <f t="shared" si="207"/>
        <v>0</v>
      </c>
      <c r="AI332" s="1">
        <f t="shared" si="208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1564</v>
      </c>
      <c r="E333" s="32" t="s">
        <v>1334</v>
      </c>
      <c r="F333" s="32" t="s">
        <v>1565</v>
      </c>
      <c r="G333" s="32" t="s">
        <v>1166</v>
      </c>
      <c r="H333" s="32" t="s">
        <v>354</v>
      </c>
      <c r="I333" s="31" t="s">
        <v>1566</v>
      </c>
      <c r="J333" s="31">
        <v>1</v>
      </c>
      <c r="K333" s="33" t="s">
        <v>713</v>
      </c>
      <c r="L333" s="33" t="s">
        <v>39</v>
      </c>
      <c r="M333" s="34" t="s">
        <v>39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1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0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1744</v>
      </c>
      <c r="E334" s="32" t="s">
        <v>27</v>
      </c>
      <c r="F334" s="32" t="s">
        <v>1044</v>
      </c>
      <c r="G334" s="32" t="s">
        <v>220</v>
      </c>
      <c r="H334" s="32" t="s">
        <v>354</v>
      </c>
      <c r="I334" s="31" t="s">
        <v>1045</v>
      </c>
      <c r="J334" s="31">
        <v>8</v>
      </c>
      <c r="K334" s="33" t="s">
        <v>713</v>
      </c>
      <c r="L334" s="33">
        <v>25</v>
      </c>
      <c r="M334" s="34" t="s">
        <v>1745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1</v>
      </c>
      <c r="AA334" s="1">
        <f t="shared" si="217"/>
        <v>0</v>
      </c>
      <c r="AB334" s="1">
        <f t="shared" si="218"/>
        <v>0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45</v>
      </c>
      <c r="E335" s="32" t="s">
        <v>44</v>
      </c>
      <c r="F335" s="32" t="s">
        <v>669</v>
      </c>
      <c r="G335" s="32" t="s">
        <v>180</v>
      </c>
      <c r="H335" s="32" t="s">
        <v>354</v>
      </c>
      <c r="I335" s="31" t="s">
        <v>949</v>
      </c>
      <c r="J335" s="31">
        <v>10</v>
      </c>
      <c r="K335" s="33" t="s">
        <v>713</v>
      </c>
      <c r="L335" s="33" t="s">
        <v>720</v>
      </c>
      <c r="M335" s="34" t="s">
        <v>721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1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1448</v>
      </c>
      <c r="E336" s="32" t="s">
        <v>1653</v>
      </c>
      <c r="F336" s="32" t="s">
        <v>1668</v>
      </c>
      <c r="G336" s="32" t="s">
        <v>230</v>
      </c>
      <c r="H336" s="32" t="s">
        <v>354</v>
      </c>
      <c r="I336" s="31" t="s">
        <v>1449</v>
      </c>
      <c r="J336" s="31">
        <v>99</v>
      </c>
      <c r="K336" s="33" t="s">
        <v>955</v>
      </c>
      <c r="L336" s="33">
        <v>20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1</v>
      </c>
      <c r="AE336" s="1">
        <f t="shared" si="220"/>
        <v>0</v>
      </c>
      <c r="AF336" s="1">
        <f t="shared" si="205"/>
        <v>1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ht="14.25" customHeight="1" x14ac:dyDescent="0.25">
      <c r="A337" s="67">
        <v>0</v>
      </c>
      <c r="B337" s="67">
        <v>2</v>
      </c>
      <c r="C337" s="67">
        <v>2</v>
      </c>
      <c r="D337" s="54" t="s">
        <v>1993</v>
      </c>
      <c r="E337" s="54" t="s">
        <v>1994</v>
      </c>
      <c r="F337" s="54" t="s">
        <v>1995</v>
      </c>
      <c r="G337" s="54" t="s">
        <v>179</v>
      </c>
      <c r="H337" s="54" t="s">
        <v>354</v>
      </c>
      <c r="I337" s="67" t="s">
        <v>1996</v>
      </c>
      <c r="J337" s="67"/>
      <c r="K337" s="67" t="s">
        <v>703</v>
      </c>
      <c r="L337" s="67"/>
      <c r="M337" s="54"/>
      <c r="N337" s="54"/>
      <c r="O337" s="68"/>
      <c r="P337" s="68">
        <v>1</v>
      </c>
      <c r="Q337" s="54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0</v>
      </c>
      <c r="AF337" s="1">
        <f t="shared" si="205"/>
        <v>0</v>
      </c>
      <c r="AG337" s="1">
        <f t="shared" si="206"/>
        <v>0</v>
      </c>
      <c r="AH337" s="1">
        <f t="shared" si="207"/>
        <v>1</v>
      </c>
      <c r="AI337" s="1">
        <f t="shared" si="208"/>
        <v>0</v>
      </c>
    </row>
    <row r="338" spans="1:35" ht="14.25" customHeight="1" x14ac:dyDescent="0.25">
      <c r="A338" s="49">
        <v>0</v>
      </c>
      <c r="B338" s="49">
        <v>2</v>
      </c>
      <c r="C338" s="49">
        <v>2</v>
      </c>
      <c r="D338" s="50" t="s">
        <v>606</v>
      </c>
      <c r="E338" s="50" t="s">
        <v>607</v>
      </c>
      <c r="F338" s="50" t="s">
        <v>608</v>
      </c>
      <c r="G338" s="50" t="s">
        <v>257</v>
      </c>
      <c r="H338" s="50" t="s">
        <v>354</v>
      </c>
      <c r="I338" s="49" t="s">
        <v>609</v>
      </c>
      <c r="J338" s="49">
        <v>99</v>
      </c>
      <c r="K338" s="51" t="s">
        <v>955</v>
      </c>
      <c r="L338" s="51" t="s">
        <v>704</v>
      </c>
      <c r="M338" s="52" t="s">
        <v>1414</v>
      </c>
      <c r="N338" s="52" t="s">
        <v>1743</v>
      </c>
      <c r="O338" s="53">
        <v>1</v>
      </c>
      <c r="P338" s="53"/>
      <c r="Q338" s="50"/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0</v>
      </c>
      <c r="AE338" s="1">
        <f t="shared" si="220"/>
        <v>1</v>
      </c>
      <c r="AF338" s="1">
        <f t="shared" si="205"/>
        <v>0</v>
      </c>
      <c r="AG338" s="1">
        <f t="shared" si="206"/>
        <v>1</v>
      </c>
      <c r="AH338" s="1">
        <f t="shared" si="207"/>
        <v>0</v>
      </c>
      <c r="AI338" s="1">
        <f t="shared" si="208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1925</v>
      </c>
      <c r="E339" s="32" t="s">
        <v>1926</v>
      </c>
      <c r="F339" s="32" t="s">
        <v>1927</v>
      </c>
      <c r="G339" s="32" t="s">
        <v>184</v>
      </c>
      <c r="H339" s="32" t="s">
        <v>354</v>
      </c>
      <c r="I339" s="31" t="s">
        <v>1929</v>
      </c>
      <c r="J339" s="31">
        <v>99</v>
      </c>
      <c r="K339" s="33" t="s">
        <v>703</v>
      </c>
      <c r="L339" s="33"/>
      <c r="M339" s="34"/>
      <c r="N339" s="34" t="s">
        <v>1727</v>
      </c>
      <c r="O339" s="35">
        <v>1</v>
      </c>
      <c r="P339" s="35">
        <v>1</v>
      </c>
      <c r="Q339" s="32" t="s">
        <v>1928</v>
      </c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0</v>
      </c>
      <c r="AD339" s="1">
        <f t="shared" si="219"/>
        <v>1</v>
      </c>
      <c r="AE339" s="1">
        <f t="shared" si="220"/>
        <v>0</v>
      </c>
      <c r="AF339" s="1">
        <f t="shared" ref="AF339:AF403" si="221">+O339*P339*(1-A339)</f>
        <v>1</v>
      </c>
      <c r="AG339" s="1">
        <f t="shared" ref="AG339:AG403" si="222">O339*(1-P339)*(1-A339)</f>
        <v>0</v>
      </c>
      <c r="AH339" s="1">
        <f t="shared" ref="AH339:AH403" si="223">+P339*(1-A339)</f>
        <v>1</v>
      </c>
      <c r="AI339" s="1">
        <f t="shared" ref="AI339:AI403" si="224">+(1-A339)*(1-P339)</f>
        <v>0</v>
      </c>
    </row>
    <row r="340" spans="1:35" ht="14.25" customHeight="1" x14ac:dyDescent="0.25">
      <c r="A340" s="44">
        <v>0</v>
      </c>
      <c r="B340" s="44">
        <v>2</v>
      </c>
      <c r="C340" s="44">
        <v>2</v>
      </c>
      <c r="D340" s="45" t="s">
        <v>1643</v>
      </c>
      <c r="E340" s="45" t="s">
        <v>1168</v>
      </c>
      <c r="F340" s="45" t="s">
        <v>1674</v>
      </c>
      <c r="G340" s="45" t="s">
        <v>180</v>
      </c>
      <c r="H340" s="45" t="s">
        <v>354</v>
      </c>
      <c r="I340" s="44" t="s">
        <v>1494</v>
      </c>
      <c r="J340" s="44">
        <v>10</v>
      </c>
      <c r="K340" s="46" t="s">
        <v>712</v>
      </c>
      <c r="L340" s="46">
        <v>15</v>
      </c>
      <c r="M340" s="47" t="s">
        <v>39</v>
      </c>
      <c r="N340" s="47" t="s">
        <v>1740</v>
      </c>
      <c r="O340" s="48"/>
      <c r="P340" s="48"/>
      <c r="Q340" s="45"/>
      <c r="S340" s="1">
        <f t="shared" si="209"/>
        <v>0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1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ht="14.25" customHeight="1" x14ac:dyDescent="0.25">
      <c r="A341" s="44">
        <v>0</v>
      </c>
      <c r="B341" s="44">
        <v>2</v>
      </c>
      <c r="C341" s="44">
        <v>2</v>
      </c>
      <c r="D341" s="45" t="s">
        <v>862</v>
      </c>
      <c r="E341" s="45" t="s">
        <v>544</v>
      </c>
      <c r="F341" s="45" t="s">
        <v>863</v>
      </c>
      <c r="G341" s="45" t="s">
        <v>314</v>
      </c>
      <c r="H341" s="45" t="s">
        <v>354</v>
      </c>
      <c r="I341" s="44" t="s">
        <v>864</v>
      </c>
      <c r="J341" s="44">
        <v>1</v>
      </c>
      <c r="K341" s="46" t="s">
        <v>712</v>
      </c>
      <c r="L341" s="46">
        <v>25</v>
      </c>
      <c r="M341" s="47" t="s">
        <v>39</v>
      </c>
      <c r="N341" s="47" t="s">
        <v>1735</v>
      </c>
      <c r="O341" s="48"/>
      <c r="P341" s="48"/>
      <c r="Q341" s="45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0</v>
      </c>
      <c r="AE341" s="1">
        <f t="shared" si="220"/>
        <v>0</v>
      </c>
      <c r="AF341" s="1">
        <f t="shared" si="221"/>
        <v>0</v>
      </c>
      <c r="AG341" s="1">
        <f t="shared" si="222"/>
        <v>0</v>
      </c>
      <c r="AH341" s="1">
        <f t="shared" si="223"/>
        <v>0</v>
      </c>
      <c r="AI341" s="1">
        <f t="shared" si="224"/>
        <v>1</v>
      </c>
    </row>
    <row r="342" spans="1:35" ht="14.25" customHeight="1" x14ac:dyDescent="0.25">
      <c r="A342" s="31">
        <v>0</v>
      </c>
      <c r="B342" s="31">
        <v>2</v>
      </c>
      <c r="C342" s="31">
        <v>3</v>
      </c>
      <c r="D342" s="32" t="s">
        <v>568</v>
      </c>
      <c r="E342" s="32" t="s">
        <v>38</v>
      </c>
      <c r="F342" s="32" t="s">
        <v>237</v>
      </c>
      <c r="G342" s="32" t="s">
        <v>539</v>
      </c>
      <c r="H342" s="32" t="s">
        <v>354</v>
      </c>
      <c r="I342" s="31" t="s">
        <v>403</v>
      </c>
      <c r="J342" s="31">
        <v>1</v>
      </c>
      <c r="K342" s="33" t="s">
        <v>712</v>
      </c>
      <c r="L342" s="33" t="s">
        <v>724</v>
      </c>
      <c r="M342" s="34" t="s">
        <v>725</v>
      </c>
      <c r="N342" s="34" t="s">
        <v>1727</v>
      </c>
      <c r="O342" s="35">
        <v>1</v>
      </c>
      <c r="P342" s="35">
        <v>1</v>
      </c>
      <c r="Q342" s="32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1</v>
      </c>
      <c r="AE342" s="1">
        <f t="shared" si="220"/>
        <v>0</v>
      </c>
      <c r="AF342" s="1">
        <f t="shared" si="221"/>
        <v>1</v>
      </c>
      <c r="AG342" s="1">
        <f t="shared" si="222"/>
        <v>0</v>
      </c>
      <c r="AH342" s="1">
        <f t="shared" si="223"/>
        <v>1</v>
      </c>
      <c r="AI342" s="1">
        <f t="shared" si="224"/>
        <v>0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850</v>
      </c>
      <c r="E343" s="45" t="s">
        <v>34</v>
      </c>
      <c r="F343" s="45" t="s">
        <v>926</v>
      </c>
      <c r="G343" s="45" t="s">
        <v>638</v>
      </c>
      <c r="H343" s="45" t="s">
        <v>354</v>
      </c>
      <c r="I343" s="44" t="s">
        <v>851</v>
      </c>
      <c r="J343" s="44">
        <v>1</v>
      </c>
      <c r="K343" s="46" t="s">
        <v>954</v>
      </c>
      <c r="L343" s="46" t="s">
        <v>729</v>
      </c>
      <c r="M343" s="47" t="s">
        <v>723</v>
      </c>
      <c r="N343" s="47" t="s">
        <v>1735</v>
      </c>
      <c r="O343" s="48"/>
      <c r="P343" s="48"/>
      <c r="Q343" s="45"/>
      <c r="S343" s="1">
        <f t="shared" ref="S343:S407" si="225">IF(J343=$S$7,1,0)</f>
        <v>1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ht="14.25" customHeight="1" x14ac:dyDescent="0.25">
      <c r="A344" s="15">
        <v>0</v>
      </c>
      <c r="B344" s="15">
        <v>2</v>
      </c>
      <c r="C344" s="15">
        <v>3</v>
      </c>
      <c r="D344" s="16" t="s">
        <v>793</v>
      </c>
      <c r="E344" s="16" t="s">
        <v>32</v>
      </c>
      <c r="F344" s="16" t="s">
        <v>794</v>
      </c>
      <c r="G344" s="16" t="s">
        <v>251</v>
      </c>
      <c r="H344" s="16" t="s">
        <v>354</v>
      </c>
      <c r="I344" s="15" t="s">
        <v>795</v>
      </c>
      <c r="J344" s="15">
        <v>99</v>
      </c>
      <c r="K344" s="10" t="s">
        <v>713</v>
      </c>
      <c r="L344" s="10" t="s">
        <v>722</v>
      </c>
      <c r="M344" s="19" t="s">
        <v>723</v>
      </c>
      <c r="N344" s="19"/>
      <c r="Q344" s="16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56</v>
      </c>
      <c r="E345" s="45" t="s">
        <v>161</v>
      </c>
      <c r="F345" s="45" t="s">
        <v>219</v>
      </c>
      <c r="G345" s="45" t="s">
        <v>196</v>
      </c>
      <c r="H345" s="45" t="s">
        <v>354</v>
      </c>
      <c r="I345" s="44" t="s">
        <v>551</v>
      </c>
      <c r="J345" s="44">
        <v>99</v>
      </c>
      <c r="K345" s="46" t="s">
        <v>713</v>
      </c>
      <c r="L345" s="46" t="s">
        <v>722</v>
      </c>
      <c r="M345" s="47" t="s">
        <v>723</v>
      </c>
      <c r="N345" s="47" t="s">
        <v>1802</v>
      </c>
      <c r="O345" s="48"/>
      <c r="P345" s="48"/>
      <c r="Q345" s="45"/>
      <c r="S345" s="1">
        <f t="shared" si="225"/>
        <v>0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1175</v>
      </c>
      <c r="E346" s="45" t="s">
        <v>1335</v>
      </c>
      <c r="F346" s="45" t="s">
        <v>1176</v>
      </c>
      <c r="G346" s="45" t="s">
        <v>302</v>
      </c>
      <c r="H346" s="45" t="s">
        <v>354</v>
      </c>
      <c r="I346" s="44" t="s">
        <v>1177</v>
      </c>
      <c r="J346" s="44">
        <v>1</v>
      </c>
      <c r="K346" s="46" t="s">
        <v>955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1172</v>
      </c>
      <c r="E347" s="45" t="s">
        <v>1335</v>
      </c>
      <c r="F347" s="45" t="s">
        <v>1173</v>
      </c>
      <c r="G347" s="45" t="s">
        <v>1056</v>
      </c>
      <c r="H347" s="45" t="s">
        <v>354</v>
      </c>
      <c r="I347" s="44" t="s">
        <v>1174</v>
      </c>
      <c r="J347" s="44">
        <v>1</v>
      </c>
      <c r="K347" s="46" t="s">
        <v>713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25"/>
        <v>1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0</v>
      </c>
      <c r="AE347" s="1">
        <f t="shared" si="236"/>
        <v>0</v>
      </c>
      <c r="AF347" s="1">
        <f t="shared" si="221"/>
        <v>0</v>
      </c>
      <c r="AG347" s="1">
        <f t="shared" si="222"/>
        <v>0</v>
      </c>
      <c r="AH347" s="1">
        <f t="shared" si="223"/>
        <v>0</v>
      </c>
      <c r="AI347" s="1">
        <f t="shared" si="224"/>
        <v>1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1294</v>
      </c>
      <c r="E348" s="32" t="s">
        <v>32</v>
      </c>
      <c r="F348" s="32" t="s">
        <v>1295</v>
      </c>
      <c r="G348" s="32" t="s">
        <v>222</v>
      </c>
      <c r="H348" s="32" t="s">
        <v>354</v>
      </c>
      <c r="I348" s="31" t="s">
        <v>1689</v>
      </c>
      <c r="J348" s="31">
        <v>99</v>
      </c>
      <c r="K348" s="33" t="s">
        <v>713</v>
      </c>
      <c r="L348" s="33" t="s">
        <v>716</v>
      </c>
      <c r="M348" s="34" t="s">
        <v>1296</v>
      </c>
      <c r="N348" s="34" t="s">
        <v>1727</v>
      </c>
      <c r="O348" s="35">
        <v>1</v>
      </c>
      <c r="P348" s="35">
        <v>1</v>
      </c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0</v>
      </c>
      <c r="AA348" s="1">
        <f t="shared" si="233"/>
        <v>0</v>
      </c>
      <c r="AB348" s="1">
        <f t="shared" si="234"/>
        <v>0</v>
      </c>
      <c r="AD348" s="1">
        <f t="shared" si="235"/>
        <v>1</v>
      </c>
      <c r="AE348" s="1">
        <f t="shared" si="236"/>
        <v>0</v>
      </c>
      <c r="AF348" s="1">
        <f t="shared" si="221"/>
        <v>1</v>
      </c>
      <c r="AG348" s="1">
        <f t="shared" si="222"/>
        <v>0</v>
      </c>
      <c r="AH348" s="1">
        <f t="shared" si="223"/>
        <v>1</v>
      </c>
      <c r="AI348" s="1">
        <f t="shared" si="224"/>
        <v>0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761</v>
      </c>
      <c r="E349" s="32" t="s">
        <v>913</v>
      </c>
      <c r="F349" s="32" t="s">
        <v>762</v>
      </c>
      <c r="G349" s="32" t="s">
        <v>220</v>
      </c>
      <c r="H349" s="32" t="s">
        <v>354</v>
      </c>
      <c r="I349" s="31" t="s">
        <v>763</v>
      </c>
      <c r="J349" s="31">
        <v>8</v>
      </c>
      <c r="K349" s="33" t="s">
        <v>955</v>
      </c>
      <c r="L349" s="33" t="s">
        <v>729</v>
      </c>
      <c r="M349" s="34" t="s">
        <v>723</v>
      </c>
      <c r="N349" s="34" t="s">
        <v>1748</v>
      </c>
      <c r="O349" s="35">
        <v>1</v>
      </c>
      <c r="P349" s="35"/>
      <c r="Q349" s="32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0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1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1</v>
      </c>
      <c r="AF349" s="1">
        <f t="shared" si="221"/>
        <v>0</v>
      </c>
      <c r="AG349" s="1">
        <f t="shared" si="222"/>
        <v>1</v>
      </c>
      <c r="AH349" s="1">
        <f t="shared" si="223"/>
        <v>0</v>
      </c>
      <c r="AI349" s="1">
        <f t="shared" si="224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1495</v>
      </c>
      <c r="E350" s="45" t="s">
        <v>1496</v>
      </c>
      <c r="F350" s="45" t="s">
        <v>1497</v>
      </c>
      <c r="G350" s="45" t="s">
        <v>238</v>
      </c>
      <c r="H350" s="45" t="s">
        <v>354</v>
      </c>
      <c r="I350" s="44" t="s">
        <v>1498</v>
      </c>
      <c r="J350" s="44">
        <v>4</v>
      </c>
      <c r="K350" s="46" t="s">
        <v>712</v>
      </c>
      <c r="L350" s="46">
        <v>15</v>
      </c>
      <c r="M350" s="47" t="s">
        <v>39</v>
      </c>
      <c r="N350" s="47" t="s">
        <v>1802</v>
      </c>
      <c r="O350" s="48"/>
      <c r="P350" s="48"/>
      <c r="Q350" s="45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1</v>
      </c>
      <c r="W350" s="1">
        <f t="shared" si="229"/>
        <v>0</v>
      </c>
      <c r="X350" s="1">
        <f t="shared" si="230"/>
        <v>0</v>
      </c>
      <c r="Y350" s="1">
        <f t="shared" si="231"/>
        <v>0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0</v>
      </c>
      <c r="AF350" s="1">
        <f t="shared" si="221"/>
        <v>0</v>
      </c>
      <c r="AG350" s="1">
        <f t="shared" si="222"/>
        <v>0</v>
      </c>
      <c r="AH350" s="1">
        <f t="shared" si="223"/>
        <v>0</v>
      </c>
      <c r="AI350" s="1">
        <f t="shared" si="22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1553</v>
      </c>
      <c r="E351" s="32" t="s">
        <v>1554</v>
      </c>
      <c r="F351" s="32" t="s">
        <v>1555</v>
      </c>
      <c r="G351" s="32" t="s">
        <v>1556</v>
      </c>
      <c r="H351" s="32" t="s">
        <v>354</v>
      </c>
      <c r="I351" s="31" t="s">
        <v>1557</v>
      </c>
      <c r="J351" s="31">
        <v>7</v>
      </c>
      <c r="K351" s="33" t="s">
        <v>955</v>
      </c>
      <c r="L351" s="33">
        <v>10</v>
      </c>
      <c r="M351" s="34" t="s">
        <v>39</v>
      </c>
      <c r="N351" s="34" t="s">
        <v>1743</v>
      </c>
      <c r="O351" s="35">
        <v>1</v>
      </c>
      <c r="P351" s="35"/>
      <c r="Q351" s="32"/>
      <c r="S351" s="1">
        <f t="shared" si="225"/>
        <v>0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1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1</v>
      </c>
      <c r="AF351" s="1">
        <f t="shared" si="221"/>
        <v>0</v>
      </c>
      <c r="AG351" s="1">
        <f t="shared" si="222"/>
        <v>1</v>
      </c>
      <c r="AH351" s="1">
        <f t="shared" si="223"/>
        <v>0</v>
      </c>
      <c r="AI351" s="1">
        <f t="shared" si="224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32</v>
      </c>
      <c r="F352" s="45" t="s">
        <v>843</v>
      </c>
      <c r="G352" s="45" t="s">
        <v>39</v>
      </c>
      <c r="H352" s="45" t="s">
        <v>354</v>
      </c>
      <c r="I352" s="44" t="s">
        <v>842</v>
      </c>
      <c r="J352" s="44">
        <v>1</v>
      </c>
      <c r="K352" s="46" t="s">
        <v>713</v>
      </c>
      <c r="L352" s="46" t="s">
        <v>694</v>
      </c>
      <c r="M352" s="47" t="s">
        <v>1415</v>
      </c>
      <c r="N352" s="47" t="s">
        <v>1735</v>
      </c>
      <c r="O352" s="48"/>
      <c r="P352" s="48"/>
      <c r="Q352" s="45"/>
      <c r="S352" s="1">
        <f t="shared" si="225"/>
        <v>1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ht="14.25" customHeight="1" x14ac:dyDescent="0.25">
      <c r="A353" s="15">
        <v>0</v>
      </c>
      <c r="B353" s="15">
        <v>2</v>
      </c>
      <c r="C353" s="15">
        <v>4</v>
      </c>
      <c r="D353" s="16" t="s">
        <v>764</v>
      </c>
      <c r="E353" s="16" t="s">
        <v>765</v>
      </c>
      <c r="F353" s="16" t="s">
        <v>766</v>
      </c>
      <c r="G353" s="16" t="s">
        <v>767</v>
      </c>
      <c r="H353" s="16" t="s">
        <v>354</v>
      </c>
      <c r="I353" s="15" t="s">
        <v>768</v>
      </c>
      <c r="J353" s="15">
        <v>99</v>
      </c>
      <c r="K353" s="10" t="s">
        <v>703</v>
      </c>
      <c r="L353" s="10">
        <v>15</v>
      </c>
      <c r="M353" s="19" t="s">
        <v>769</v>
      </c>
      <c r="N353" s="19"/>
      <c r="Q353" s="16"/>
      <c r="S353" s="1">
        <f t="shared" si="225"/>
        <v>0</v>
      </c>
      <c r="T353" s="1">
        <f t="shared" si="226"/>
        <v>0</v>
      </c>
      <c r="U353" s="1">
        <f t="shared" si="227"/>
        <v>0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ht="14.25" customHeight="1" x14ac:dyDescent="0.25">
      <c r="A354" s="44">
        <v>0</v>
      </c>
      <c r="B354" s="44">
        <v>2</v>
      </c>
      <c r="C354" s="44">
        <v>4</v>
      </c>
      <c r="D354" s="45" t="s">
        <v>798</v>
      </c>
      <c r="E354" s="45" t="s">
        <v>908</v>
      </c>
      <c r="F354" s="45" t="s">
        <v>925</v>
      </c>
      <c r="G354" s="45" t="s">
        <v>208</v>
      </c>
      <c r="H354" s="45" t="s">
        <v>354</v>
      </c>
      <c r="I354" s="44" t="s">
        <v>1363</v>
      </c>
      <c r="J354" s="44">
        <v>3</v>
      </c>
      <c r="K354" s="46" t="s">
        <v>703</v>
      </c>
      <c r="L354" s="46">
        <v>20</v>
      </c>
      <c r="M354" s="47" t="s">
        <v>1417</v>
      </c>
      <c r="N354" s="47" t="s">
        <v>1802</v>
      </c>
      <c r="O354" s="48"/>
      <c r="P354" s="48"/>
      <c r="Q354" s="45"/>
      <c r="S354" s="1">
        <f t="shared" si="225"/>
        <v>0</v>
      </c>
      <c r="T354" s="1">
        <f t="shared" si="226"/>
        <v>0</v>
      </c>
      <c r="U354" s="1">
        <f t="shared" si="227"/>
        <v>1</v>
      </c>
      <c r="V354" s="1">
        <f t="shared" si="228"/>
        <v>0</v>
      </c>
      <c r="W354" s="1">
        <f t="shared" si="229"/>
        <v>0</v>
      </c>
      <c r="X354" s="1">
        <f t="shared" si="230"/>
        <v>0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ht="14.25" customHeight="1" x14ac:dyDescent="0.25">
      <c r="A355" s="57">
        <v>0</v>
      </c>
      <c r="B355" s="57">
        <v>2</v>
      </c>
      <c r="C355" s="57">
        <v>4</v>
      </c>
      <c r="D355" s="58" t="s">
        <v>567</v>
      </c>
      <c r="E355" s="58" t="s">
        <v>37</v>
      </c>
      <c r="F355" s="58" t="s">
        <v>205</v>
      </c>
      <c r="G355" s="58" t="s">
        <v>39</v>
      </c>
      <c r="H355" s="58" t="s">
        <v>354</v>
      </c>
      <c r="I355" s="57" t="s">
        <v>389</v>
      </c>
      <c r="J355" s="57">
        <v>6</v>
      </c>
      <c r="K355" s="59" t="s">
        <v>703</v>
      </c>
      <c r="L355" s="59" t="s">
        <v>39</v>
      </c>
      <c r="M355" s="60" t="s">
        <v>39</v>
      </c>
      <c r="N355" s="61"/>
      <c r="O355" s="62"/>
      <c r="P355" s="62"/>
      <c r="Q355" s="58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1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0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ht="14.25" customHeight="1" x14ac:dyDescent="0.25">
      <c r="A356" s="44">
        <v>0</v>
      </c>
      <c r="B356" s="44">
        <v>2</v>
      </c>
      <c r="C356" s="44">
        <v>4</v>
      </c>
      <c r="D356" s="45" t="s">
        <v>653</v>
      </c>
      <c r="E356" s="45" t="s">
        <v>910</v>
      </c>
      <c r="F356" s="45" t="s">
        <v>624</v>
      </c>
      <c r="G356" s="45" t="s">
        <v>341</v>
      </c>
      <c r="H356" s="45" t="s">
        <v>354</v>
      </c>
      <c r="I356" s="44" t="s">
        <v>625</v>
      </c>
      <c r="J356" s="44">
        <v>10</v>
      </c>
      <c r="K356" s="46" t="s">
        <v>954</v>
      </c>
      <c r="L356" s="46" t="s">
        <v>704</v>
      </c>
      <c r="M356" s="47" t="s">
        <v>1418</v>
      </c>
      <c r="N356" s="47" t="s">
        <v>1734</v>
      </c>
      <c r="O356" s="48"/>
      <c r="P356" s="48"/>
      <c r="Q356" s="45"/>
      <c r="S356" s="1">
        <f t="shared" si="225"/>
        <v>0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1</v>
      </c>
      <c r="AD356" s="1">
        <f t="shared" si="235"/>
        <v>0</v>
      </c>
      <c r="AE356" s="1">
        <f t="shared" si="236"/>
        <v>0</v>
      </c>
      <c r="AF356" s="1">
        <f t="shared" si="221"/>
        <v>0</v>
      </c>
      <c r="AG356" s="1">
        <f t="shared" si="222"/>
        <v>0</v>
      </c>
      <c r="AH356" s="1">
        <f t="shared" si="223"/>
        <v>0</v>
      </c>
      <c r="AI356" s="1">
        <f t="shared" si="224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75</v>
      </c>
      <c r="E357" s="32" t="s">
        <v>35</v>
      </c>
      <c r="F357" s="32" t="s">
        <v>266</v>
      </c>
      <c r="G357" s="32" t="s">
        <v>213</v>
      </c>
      <c r="H357" s="32" t="s">
        <v>354</v>
      </c>
      <c r="I357" s="31" t="s">
        <v>945</v>
      </c>
      <c r="J357" s="31">
        <v>1</v>
      </c>
      <c r="K357" s="33" t="s">
        <v>713</v>
      </c>
      <c r="L357" s="33" t="s">
        <v>704</v>
      </c>
      <c r="M357" s="34" t="s">
        <v>1419</v>
      </c>
      <c r="N357" s="34" t="s">
        <v>1743</v>
      </c>
      <c r="O357" s="35">
        <v>1</v>
      </c>
      <c r="P357" s="35"/>
      <c r="Q357" s="32"/>
      <c r="S357" s="1">
        <f t="shared" si="225"/>
        <v>1</v>
      </c>
      <c r="T357" s="1">
        <f t="shared" si="226"/>
        <v>0</v>
      </c>
      <c r="U357" s="1">
        <f t="shared" si="227"/>
        <v>0</v>
      </c>
      <c r="V357" s="1">
        <f t="shared" si="228"/>
        <v>0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919</v>
      </c>
      <c r="E358" s="32" t="s">
        <v>912</v>
      </c>
      <c r="F358" s="32" t="s">
        <v>782</v>
      </c>
      <c r="G358" s="32" t="s">
        <v>285</v>
      </c>
      <c r="H358" s="32" t="s">
        <v>354</v>
      </c>
      <c r="I358" s="31" t="s">
        <v>946</v>
      </c>
      <c r="J358" s="31">
        <v>4</v>
      </c>
      <c r="K358" s="33" t="s">
        <v>713</v>
      </c>
      <c r="L358" s="33" t="s">
        <v>696</v>
      </c>
      <c r="M358" s="34" t="s">
        <v>1420</v>
      </c>
      <c r="N358" s="34" t="s">
        <v>1749</v>
      </c>
      <c r="O358" s="35">
        <v>1</v>
      </c>
      <c r="P358" s="35"/>
      <c r="Q358" s="32"/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1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1</v>
      </c>
      <c r="AF358" s="1">
        <f t="shared" si="221"/>
        <v>0</v>
      </c>
      <c r="AG358" s="1">
        <f t="shared" si="222"/>
        <v>1</v>
      </c>
      <c r="AH358" s="1">
        <f t="shared" si="223"/>
        <v>0</v>
      </c>
      <c r="AI358" s="1">
        <f t="shared" si="224"/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629</v>
      </c>
      <c r="E359" s="16" t="s">
        <v>685</v>
      </c>
      <c r="F359" s="16" t="s">
        <v>670</v>
      </c>
      <c r="G359" s="16" t="s">
        <v>628</v>
      </c>
      <c r="H359" s="16" t="s">
        <v>354</v>
      </c>
      <c r="I359" s="15" t="s">
        <v>630</v>
      </c>
      <c r="J359" s="15">
        <v>99</v>
      </c>
      <c r="K359" s="10" t="s">
        <v>955</v>
      </c>
      <c r="L359" s="10" t="s">
        <v>39</v>
      </c>
      <c r="M359" s="19" t="s">
        <v>39</v>
      </c>
      <c r="N359" s="17"/>
      <c r="Q359" s="20" t="s">
        <v>1897</v>
      </c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0</v>
      </c>
      <c r="AF359" s="1">
        <f t="shared" si="221"/>
        <v>0</v>
      </c>
      <c r="AG359" s="1">
        <f t="shared" si="222"/>
        <v>0</v>
      </c>
      <c r="AH359" s="1">
        <f t="shared" si="223"/>
        <v>0</v>
      </c>
      <c r="AI359" s="1">
        <f t="shared" si="224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84</v>
      </c>
      <c r="E360" s="32" t="s">
        <v>35</v>
      </c>
      <c r="F360" s="32" t="s">
        <v>277</v>
      </c>
      <c r="G360" s="32" t="s">
        <v>224</v>
      </c>
      <c r="H360" s="32" t="s">
        <v>354</v>
      </c>
      <c r="I360" s="31" t="s">
        <v>433</v>
      </c>
      <c r="J360" s="31">
        <v>99</v>
      </c>
      <c r="K360" s="33" t="s">
        <v>954</v>
      </c>
      <c r="L360" s="33" t="s">
        <v>704</v>
      </c>
      <c r="M360" s="34" t="s">
        <v>726</v>
      </c>
      <c r="N360" s="34" t="s">
        <v>1761</v>
      </c>
      <c r="O360" s="35">
        <v>1</v>
      </c>
      <c r="P360" s="35"/>
      <c r="Q360" s="32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1</v>
      </c>
      <c r="AF360" s="1">
        <f t="shared" si="221"/>
        <v>0</v>
      </c>
      <c r="AG360" s="1">
        <f t="shared" si="222"/>
        <v>1</v>
      </c>
      <c r="AH360" s="1">
        <f t="shared" si="223"/>
        <v>0</v>
      </c>
      <c r="AI360" s="1">
        <f t="shared" si="224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879</v>
      </c>
      <c r="E361" s="16" t="s">
        <v>772</v>
      </c>
      <c r="F361" s="16" t="s">
        <v>877</v>
      </c>
      <c r="G361" s="16" t="s">
        <v>279</v>
      </c>
      <c r="H361" s="16" t="s">
        <v>354</v>
      </c>
      <c r="I361" s="15" t="s">
        <v>878</v>
      </c>
      <c r="J361" s="15">
        <v>99</v>
      </c>
      <c r="K361" s="10" t="s">
        <v>703</v>
      </c>
      <c r="L361" s="10">
        <v>25</v>
      </c>
      <c r="M361" s="19" t="s">
        <v>1421</v>
      </c>
      <c r="N361" s="19"/>
      <c r="Q361" s="16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0</v>
      </c>
      <c r="AF361" s="1">
        <f t="shared" ref="AF361:AF363" si="239">+O361*P361*(1-A361)</f>
        <v>0</v>
      </c>
      <c r="AG361" s="1">
        <f t="shared" ref="AG361:AG363" si="240">O361*(1-P361)*(1-A361)</f>
        <v>0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922</v>
      </c>
      <c r="E362" s="32" t="s">
        <v>772</v>
      </c>
      <c r="F362" s="32" t="s">
        <v>844</v>
      </c>
      <c r="G362" s="32" t="s">
        <v>209</v>
      </c>
      <c r="H362" s="32" t="s">
        <v>354</v>
      </c>
      <c r="I362" s="31" t="s">
        <v>845</v>
      </c>
      <c r="J362" s="31">
        <v>99</v>
      </c>
      <c r="K362" s="33" t="s">
        <v>712</v>
      </c>
      <c r="L362" s="33" t="s">
        <v>704</v>
      </c>
      <c r="M362" s="34" t="s">
        <v>726</v>
      </c>
      <c r="N362" s="34" t="s">
        <v>1756</v>
      </c>
      <c r="O362" s="35">
        <v>1</v>
      </c>
      <c r="P362" s="35"/>
      <c r="Q362" s="32"/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1</v>
      </c>
      <c r="AF362" s="1">
        <f t="shared" si="239"/>
        <v>0</v>
      </c>
      <c r="AG362" s="1">
        <f t="shared" si="240"/>
        <v>1</v>
      </c>
      <c r="AH362" s="1">
        <f t="shared" si="241"/>
        <v>0</v>
      </c>
      <c r="AI362" s="1">
        <f t="shared" si="242"/>
        <v>1</v>
      </c>
    </row>
    <row r="363" spans="1:35" ht="14.25" customHeight="1" x14ac:dyDescent="0.25">
      <c r="A363" s="15">
        <v>0</v>
      </c>
      <c r="B363" s="15">
        <v>2</v>
      </c>
      <c r="C363" s="15">
        <v>4</v>
      </c>
      <c r="D363" s="16" t="s">
        <v>2029</v>
      </c>
      <c r="E363" s="16" t="s">
        <v>35</v>
      </c>
      <c r="F363" s="16" t="s">
        <v>2030</v>
      </c>
      <c r="G363" s="20" t="s">
        <v>209</v>
      </c>
      <c r="H363" s="20" t="s">
        <v>354</v>
      </c>
      <c r="I363" s="21" t="s">
        <v>2031</v>
      </c>
      <c r="J363" s="15">
        <v>99</v>
      </c>
      <c r="K363" s="10" t="s">
        <v>703</v>
      </c>
      <c r="L363" s="10">
        <v>25</v>
      </c>
      <c r="M363" s="19" t="s">
        <v>2033</v>
      </c>
      <c r="N363" s="19"/>
      <c r="Q363" s="16" t="s">
        <v>2032</v>
      </c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ht="14.25" customHeight="1" x14ac:dyDescent="0.25">
      <c r="A364" s="44">
        <v>0</v>
      </c>
      <c r="B364" s="44">
        <v>2</v>
      </c>
      <c r="C364" s="44">
        <v>4</v>
      </c>
      <c r="D364" s="45" t="s">
        <v>1223</v>
      </c>
      <c r="E364" s="45" t="s">
        <v>1222</v>
      </c>
      <c r="F364" s="45" t="s">
        <v>1224</v>
      </c>
      <c r="G364" s="45" t="s">
        <v>535</v>
      </c>
      <c r="H364" s="45" t="s">
        <v>354</v>
      </c>
      <c r="I364" s="44" t="s">
        <v>1225</v>
      </c>
      <c r="J364" s="44">
        <v>99</v>
      </c>
      <c r="K364" s="46" t="s">
        <v>713</v>
      </c>
      <c r="L364" s="46" t="s">
        <v>694</v>
      </c>
      <c r="M364" s="47" t="s">
        <v>1422</v>
      </c>
      <c r="N364" s="47" t="s">
        <v>1747</v>
      </c>
      <c r="O364" s="48"/>
      <c r="P364" s="48"/>
      <c r="Q364" s="45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0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0</v>
      </c>
      <c r="AE364" s="1">
        <f t="shared" si="236"/>
        <v>0</v>
      </c>
      <c r="AF364" s="1">
        <f t="shared" si="221"/>
        <v>0</v>
      </c>
      <c r="AG364" s="1">
        <f t="shared" si="222"/>
        <v>0</v>
      </c>
      <c r="AH364" s="1">
        <f t="shared" si="223"/>
        <v>0</v>
      </c>
      <c r="AI364" s="1">
        <f t="shared" si="224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823</v>
      </c>
      <c r="E365" s="32" t="s">
        <v>590</v>
      </c>
      <c r="F365" s="32" t="s">
        <v>824</v>
      </c>
      <c r="G365" s="32" t="s">
        <v>937</v>
      </c>
      <c r="H365" s="32" t="s">
        <v>354</v>
      </c>
      <c r="I365" s="31" t="s">
        <v>951</v>
      </c>
      <c r="J365" s="31">
        <v>7</v>
      </c>
      <c r="K365" s="33" t="s">
        <v>712</v>
      </c>
      <c r="L365" s="33" t="s">
        <v>39</v>
      </c>
      <c r="M365" s="34" t="s">
        <v>39</v>
      </c>
      <c r="N365" s="34" t="s">
        <v>1727</v>
      </c>
      <c r="O365" s="35">
        <v>1</v>
      </c>
      <c r="P365" s="35">
        <v>1</v>
      </c>
      <c r="Q365" s="32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1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1</v>
      </c>
      <c r="AE365" s="1">
        <f t="shared" ref="AE365:AE368" si="244">O365*(1-P365)</f>
        <v>0</v>
      </c>
      <c r="AF365" s="1">
        <f t="shared" ref="AF365:AF368" si="245">+O365*P365*(1-A365)</f>
        <v>1</v>
      </c>
      <c r="AG365" s="1">
        <f t="shared" ref="AG365:AG368" si="246">O365*(1-P365)*(1-A365)</f>
        <v>0</v>
      </c>
      <c r="AH365" s="1">
        <f t="shared" ref="AH365:AH368" si="247">+P365*(1-A365)</f>
        <v>1</v>
      </c>
      <c r="AI365" s="1">
        <f t="shared" ref="AI365:AI368" si="248">+(1-A365)*(1-P365)</f>
        <v>0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1605</v>
      </c>
      <c r="E366" s="45" t="s">
        <v>1655</v>
      </c>
      <c r="F366" s="45" t="s">
        <v>1606</v>
      </c>
      <c r="G366" s="45" t="s">
        <v>333</v>
      </c>
      <c r="H366" s="45" t="s">
        <v>354</v>
      </c>
      <c r="I366" s="44" t="s">
        <v>30</v>
      </c>
      <c r="J366" s="44">
        <v>99</v>
      </c>
      <c r="K366" s="46" t="s">
        <v>713</v>
      </c>
      <c r="L366" s="46">
        <v>20</v>
      </c>
      <c r="M366" s="47" t="s">
        <v>39</v>
      </c>
      <c r="N366" s="47" t="s">
        <v>1741</v>
      </c>
      <c r="O366" s="48"/>
      <c r="P366" s="48"/>
      <c r="Q366" s="45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0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0</v>
      </c>
      <c r="AF366" s="1">
        <f t="shared" si="245"/>
        <v>0</v>
      </c>
      <c r="AG366" s="1">
        <f t="shared" si="246"/>
        <v>0</v>
      </c>
      <c r="AH366" s="1">
        <f t="shared" si="247"/>
        <v>0</v>
      </c>
      <c r="AI366" s="1">
        <f t="shared" si="248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58</v>
      </c>
      <c r="E367" s="32" t="s">
        <v>44</v>
      </c>
      <c r="F367" s="32" t="s">
        <v>671</v>
      </c>
      <c r="G367" s="32" t="s">
        <v>223</v>
      </c>
      <c r="H367" s="32" t="s">
        <v>354</v>
      </c>
      <c r="I367" s="31" t="s">
        <v>397</v>
      </c>
      <c r="J367" s="31">
        <v>8</v>
      </c>
      <c r="K367" s="33" t="s">
        <v>713</v>
      </c>
      <c r="L367" s="33" t="s">
        <v>716</v>
      </c>
      <c r="M367" s="34" t="s">
        <v>1423</v>
      </c>
      <c r="N367" s="34" t="s">
        <v>1748</v>
      </c>
      <c r="O367" s="35">
        <v>1</v>
      </c>
      <c r="P367" s="35"/>
      <c r="Q367" s="32"/>
      <c r="S367" s="1">
        <f t="shared" si="225"/>
        <v>0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1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1</v>
      </c>
      <c r="AF367" s="1">
        <f t="shared" si="245"/>
        <v>0</v>
      </c>
      <c r="AG367" s="1">
        <f t="shared" si="246"/>
        <v>1</v>
      </c>
      <c r="AH367" s="1">
        <f t="shared" si="247"/>
        <v>0</v>
      </c>
      <c r="AI367" s="1">
        <f t="shared" si="248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832</v>
      </c>
      <c r="E368" s="45" t="s">
        <v>831</v>
      </c>
      <c r="F368" s="45" t="s">
        <v>924</v>
      </c>
      <c r="G368" s="45" t="s">
        <v>213</v>
      </c>
      <c r="H368" s="45" t="s">
        <v>354</v>
      </c>
      <c r="I368" s="44" t="s">
        <v>833</v>
      </c>
      <c r="J368" s="44">
        <v>1</v>
      </c>
      <c r="K368" s="46" t="s">
        <v>712</v>
      </c>
      <c r="L368" s="46" t="s">
        <v>693</v>
      </c>
      <c r="M368" s="47" t="s">
        <v>1424</v>
      </c>
      <c r="N368" s="47" t="s">
        <v>1735</v>
      </c>
      <c r="O368" s="48"/>
      <c r="P368" s="48"/>
      <c r="Q368" s="45"/>
      <c r="S368" s="1">
        <f t="shared" si="225"/>
        <v>1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0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0</v>
      </c>
      <c r="AE368" s="1">
        <f t="shared" si="244"/>
        <v>0</v>
      </c>
      <c r="AF368" s="1">
        <f t="shared" si="245"/>
        <v>0</v>
      </c>
      <c r="AG368" s="1">
        <f t="shared" si="246"/>
        <v>0</v>
      </c>
      <c r="AH368" s="1">
        <f t="shared" si="247"/>
        <v>0</v>
      </c>
      <c r="AI368" s="1">
        <f t="shared" si="248"/>
        <v>1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ht="14.25" customHeight="1" x14ac:dyDescent="0.25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ht="14.25" customHeight="1" x14ac:dyDescent="0.25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ht="14.25" customHeight="1" x14ac:dyDescent="0.25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ht="14.25" customHeight="1" x14ac:dyDescent="0.25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ht="14.25" customHeight="1" x14ac:dyDescent="0.25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ht="14.25" customHeight="1" x14ac:dyDescent="0.25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ht="14.25" customHeight="1" x14ac:dyDescent="0.25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ht="14.25" customHeight="1" x14ac:dyDescent="0.25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ht="14.25" customHeight="1" x14ac:dyDescent="0.25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ht="14.25" customHeight="1" x14ac:dyDescent="0.25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ht="14.25" customHeight="1" x14ac:dyDescent="0.25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ht="14.25" customHeight="1" x14ac:dyDescent="0.25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ht="14.25" customHeight="1" x14ac:dyDescent="0.25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ht="14.25" customHeight="1" x14ac:dyDescent="0.25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ht="14.25" customHeight="1" x14ac:dyDescent="0.25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ht="14.25" customHeight="1" x14ac:dyDescent="0.25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ht="14.25" customHeight="1" x14ac:dyDescent="0.25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ht="14.25" customHeight="1" x14ac:dyDescent="0.25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ht="14.25" customHeight="1" x14ac:dyDescent="0.25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ht="14.25" customHeight="1" x14ac:dyDescent="0.25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ht="14.25" customHeight="1" x14ac:dyDescent="0.25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ht="14.25" customHeight="1" x14ac:dyDescent="0.25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ht="14.25" customHeight="1" x14ac:dyDescent="0.25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ht="14.25" customHeight="1" x14ac:dyDescent="0.25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ht="14.25" customHeight="1" x14ac:dyDescent="0.25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ht="14.25" customHeight="1" x14ac:dyDescent="0.25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ht="14.25" customHeight="1" x14ac:dyDescent="0.25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ht="14.25" customHeight="1" x14ac:dyDescent="0.25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ht="14.25" customHeight="1" x14ac:dyDescent="0.25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ht="14.25" customHeight="1" x14ac:dyDescent="0.25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ht="14.25" customHeight="1" x14ac:dyDescent="0.25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ht="14.25" customHeight="1" x14ac:dyDescent="0.25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ht="14.25" customHeight="1" x14ac:dyDescent="0.25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ht="14.25" customHeight="1" x14ac:dyDescent="0.25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2026-07-08T21:06:54Z</dcterms:modified>
</cp:coreProperties>
</file>