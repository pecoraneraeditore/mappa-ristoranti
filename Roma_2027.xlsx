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7B3F1914-AB93-4462-98DB-5A4E0C0F680A}" xr6:coauthVersionLast="47" xr6:coauthVersionMax="47" xr10:uidLastSave="{00000000-0000-0000-0000-000000000000}"/>
  <bookViews>
    <workbookView xWindow="-120" yWindow="-120" windowWidth="29040" windowHeight="15840" tabRatio="665" xr2:uid="{370BB6BA-2F30-4775-942F-04016D8D18C4}"/>
  </bookViews>
  <sheets>
    <sheet name="Tavole e pause golose" sheetId="6" r:id="rId1"/>
  </sheets>
  <definedNames>
    <definedName name="_xlnm._FilterDatabase" localSheetId="0" hidden="1">'Tavole e pause golose'!$A$7:$Q$515</definedName>
    <definedName name="_xlnm.Print_Area" localSheetId="0">'Tavole e pause golose'!$D$7:$I$194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01" i="6" l="1"/>
  <c r="AE201" i="6"/>
  <c r="AF201" i="6"/>
  <c r="AG201" i="6"/>
  <c r="AH201" i="6"/>
  <c r="AI201" i="6"/>
  <c r="AD202" i="6"/>
  <c r="AE202" i="6"/>
  <c r="AF202" i="6"/>
  <c r="AG202" i="6"/>
  <c r="AH202" i="6"/>
  <c r="AI202" i="6"/>
  <c r="AD203" i="6"/>
  <c r="AE203" i="6"/>
  <c r="AF203" i="6"/>
  <c r="AG203" i="6"/>
  <c r="AH203" i="6"/>
  <c r="AI203" i="6"/>
  <c r="S202" i="6"/>
  <c r="AD120" i="6"/>
  <c r="AE120" i="6"/>
  <c r="AF120" i="6"/>
  <c r="AG120" i="6"/>
  <c r="AH120" i="6"/>
  <c r="AI120" i="6"/>
  <c r="AD121" i="6"/>
  <c r="AE121" i="6"/>
  <c r="AF121" i="6"/>
  <c r="AG121" i="6"/>
  <c r="AH121" i="6"/>
  <c r="AI121" i="6"/>
  <c r="AD122" i="6"/>
  <c r="AE122" i="6"/>
  <c r="AF122" i="6"/>
  <c r="AG122" i="6"/>
  <c r="AH122" i="6"/>
  <c r="AI122" i="6"/>
  <c r="S121" i="6"/>
  <c r="AD187" i="6"/>
  <c r="AE187" i="6"/>
  <c r="AF187" i="6"/>
  <c r="AG187" i="6"/>
  <c r="AH187" i="6"/>
  <c r="AI187" i="6"/>
  <c r="AD188" i="6"/>
  <c r="AE188" i="6"/>
  <c r="AF188" i="6"/>
  <c r="AG188" i="6"/>
  <c r="AH188" i="6"/>
  <c r="AI188" i="6"/>
  <c r="AD189" i="6"/>
  <c r="AE189" i="6"/>
  <c r="AF189" i="6"/>
  <c r="AG189" i="6"/>
  <c r="AH189" i="6"/>
  <c r="AI189" i="6"/>
  <c r="S187" i="6"/>
  <c r="AD153" i="6" l="1"/>
  <c r="AE153" i="6"/>
  <c r="AF153" i="6"/>
  <c r="AG153" i="6"/>
  <c r="AH153" i="6"/>
  <c r="AI153" i="6"/>
  <c r="AD154" i="6"/>
  <c r="AE154" i="6"/>
  <c r="AF154" i="6"/>
  <c r="AG154" i="6"/>
  <c r="AH154" i="6"/>
  <c r="AI154" i="6"/>
  <c r="AD155" i="6"/>
  <c r="AE155" i="6"/>
  <c r="AF155" i="6"/>
  <c r="AG155" i="6"/>
  <c r="AH155" i="6"/>
  <c r="AI155" i="6"/>
  <c r="S153" i="6"/>
  <c r="AD327" i="6"/>
  <c r="AE327" i="6"/>
  <c r="AF327" i="6"/>
  <c r="AG327" i="6"/>
  <c r="AH327" i="6"/>
  <c r="AI327" i="6"/>
  <c r="AD328" i="6"/>
  <c r="AE328" i="6"/>
  <c r="AF328" i="6"/>
  <c r="AG328" i="6"/>
  <c r="AH328" i="6"/>
  <c r="AI328" i="6"/>
  <c r="AD329" i="6"/>
  <c r="AE329" i="6"/>
  <c r="AF329" i="6"/>
  <c r="AG329" i="6"/>
  <c r="AH329" i="6"/>
  <c r="AI329" i="6"/>
  <c r="AD330" i="6"/>
  <c r="AE330" i="6"/>
  <c r="AF330" i="6"/>
  <c r="AG330" i="6"/>
  <c r="AH330" i="6"/>
  <c r="AI330" i="6"/>
  <c r="AD331" i="6"/>
  <c r="AE331" i="6"/>
  <c r="AF331" i="6"/>
  <c r="AG331" i="6"/>
  <c r="AH331" i="6"/>
  <c r="AI331" i="6"/>
  <c r="AD332" i="6"/>
  <c r="AE332" i="6"/>
  <c r="AF332" i="6"/>
  <c r="AG332" i="6"/>
  <c r="AH332" i="6"/>
  <c r="AI332" i="6"/>
  <c r="S329" i="6"/>
  <c r="AD174" i="6"/>
  <c r="AE174" i="6"/>
  <c r="AD175" i="6"/>
  <c r="AE175" i="6"/>
  <c r="AD176" i="6"/>
  <c r="AE176" i="6"/>
  <c r="S175" i="6"/>
  <c r="AF175" i="6"/>
  <c r="AG175" i="6"/>
  <c r="AH175" i="6"/>
  <c r="AI175" i="6"/>
  <c r="AD386" i="6"/>
  <c r="AE386" i="6"/>
  <c r="AF386" i="6"/>
  <c r="AG386" i="6"/>
  <c r="AH386" i="6"/>
  <c r="AI386" i="6"/>
  <c r="AD387" i="6"/>
  <c r="AE387" i="6"/>
  <c r="AF387" i="6"/>
  <c r="AG387" i="6"/>
  <c r="AH387" i="6"/>
  <c r="AI387" i="6"/>
  <c r="AD388" i="6"/>
  <c r="AE388" i="6"/>
  <c r="AF388" i="6"/>
  <c r="AG388" i="6"/>
  <c r="AH388" i="6"/>
  <c r="AI388" i="6"/>
  <c r="AD389" i="6"/>
  <c r="AE389" i="6"/>
  <c r="AF389" i="6"/>
  <c r="AG389" i="6"/>
  <c r="AH389" i="6"/>
  <c r="AI389" i="6"/>
  <c r="S386" i="6"/>
  <c r="AD456" i="6"/>
  <c r="AE456" i="6"/>
  <c r="AF456" i="6"/>
  <c r="AG456" i="6"/>
  <c r="AH456" i="6"/>
  <c r="AI456" i="6"/>
  <c r="AD457" i="6"/>
  <c r="AE457" i="6"/>
  <c r="AF457" i="6"/>
  <c r="AG457" i="6"/>
  <c r="AH457" i="6"/>
  <c r="AI457" i="6"/>
  <c r="AD458" i="6"/>
  <c r="AE458" i="6"/>
  <c r="AF458" i="6"/>
  <c r="AG458" i="6"/>
  <c r="AH458" i="6"/>
  <c r="AI458" i="6"/>
  <c r="S456" i="6"/>
  <c r="S235" i="6"/>
  <c r="S236" i="6"/>
  <c r="S237" i="6"/>
  <c r="AD236" i="6"/>
  <c r="AE236" i="6"/>
  <c r="AF236" i="6"/>
  <c r="AG236" i="6"/>
  <c r="AH236" i="6"/>
  <c r="AI236" i="6"/>
  <c r="S15" i="6"/>
  <c r="AD15" i="6"/>
  <c r="AE15" i="6"/>
  <c r="AF15" i="6"/>
  <c r="AG15" i="6"/>
  <c r="AH15" i="6"/>
  <c r="AI15" i="6"/>
  <c r="S16" i="6"/>
  <c r="AD16" i="6"/>
  <c r="AE16" i="6"/>
  <c r="AF16" i="6"/>
  <c r="AG16" i="6"/>
  <c r="AH16" i="6"/>
  <c r="AI16" i="6"/>
  <c r="S17" i="6"/>
  <c r="AD17" i="6"/>
  <c r="AE17" i="6"/>
  <c r="AF17" i="6"/>
  <c r="AG17" i="6"/>
  <c r="AH17" i="6"/>
  <c r="AI17" i="6"/>
  <c r="S18" i="6"/>
  <c r="AD18" i="6"/>
  <c r="AE18" i="6"/>
  <c r="AF18" i="6"/>
  <c r="AG18" i="6"/>
  <c r="AH18" i="6"/>
  <c r="AI18" i="6"/>
  <c r="S19" i="6"/>
  <c r="AD19" i="6"/>
  <c r="AE19" i="6"/>
  <c r="AF19" i="6"/>
  <c r="AG19" i="6"/>
  <c r="AH19" i="6"/>
  <c r="AI19" i="6"/>
  <c r="S20" i="6"/>
  <c r="AD20" i="6"/>
  <c r="AE20" i="6"/>
  <c r="AF20" i="6"/>
  <c r="AG20" i="6"/>
  <c r="AH20" i="6"/>
  <c r="AI20" i="6"/>
  <c r="S21" i="6"/>
  <c r="AD21" i="6"/>
  <c r="AE21" i="6"/>
  <c r="AF21" i="6"/>
  <c r="AG21" i="6"/>
  <c r="AH21" i="6"/>
  <c r="AI21" i="6"/>
  <c r="S22" i="6"/>
  <c r="AD22" i="6"/>
  <c r="AE22" i="6"/>
  <c r="AF22" i="6"/>
  <c r="AG22" i="6"/>
  <c r="AH22" i="6"/>
  <c r="AI22" i="6"/>
  <c r="S23" i="6"/>
  <c r="AD23" i="6"/>
  <c r="AE23" i="6"/>
  <c r="AF23" i="6"/>
  <c r="AG23" i="6"/>
  <c r="AH23" i="6"/>
  <c r="AI23" i="6"/>
  <c r="S24" i="6"/>
  <c r="AD24" i="6"/>
  <c r="AE24" i="6"/>
  <c r="AF24" i="6"/>
  <c r="AG24" i="6"/>
  <c r="AH24" i="6"/>
  <c r="AI24" i="6"/>
  <c r="S25" i="6"/>
  <c r="AD25" i="6"/>
  <c r="AE25" i="6"/>
  <c r="AF25" i="6"/>
  <c r="AG25" i="6"/>
  <c r="AH25" i="6"/>
  <c r="AI25" i="6"/>
  <c r="S26" i="6"/>
  <c r="AD26" i="6"/>
  <c r="AE26" i="6"/>
  <c r="AF26" i="6"/>
  <c r="AG26" i="6"/>
  <c r="AH26" i="6"/>
  <c r="AI26" i="6"/>
  <c r="S27" i="6"/>
  <c r="AD27" i="6"/>
  <c r="AE27" i="6"/>
  <c r="AF27" i="6"/>
  <c r="AG27" i="6"/>
  <c r="AH27" i="6"/>
  <c r="AI27" i="6"/>
  <c r="S28" i="6"/>
  <c r="AD28" i="6"/>
  <c r="AE28" i="6"/>
  <c r="AF28" i="6"/>
  <c r="AG28" i="6"/>
  <c r="AH28" i="6"/>
  <c r="AI28" i="6"/>
  <c r="S29" i="6"/>
  <c r="AD29" i="6"/>
  <c r="AE29" i="6"/>
  <c r="AF29" i="6"/>
  <c r="AG29" i="6"/>
  <c r="AH29" i="6"/>
  <c r="AI29" i="6"/>
  <c r="S30" i="6"/>
  <c r="AD30" i="6"/>
  <c r="AE30" i="6"/>
  <c r="AF30" i="6"/>
  <c r="AG30" i="6"/>
  <c r="AH30" i="6"/>
  <c r="AI30" i="6"/>
  <c r="S31" i="6"/>
  <c r="AD31" i="6"/>
  <c r="AE31" i="6"/>
  <c r="AF31" i="6"/>
  <c r="AG31" i="6"/>
  <c r="AH31" i="6"/>
  <c r="AI31" i="6"/>
  <c r="S32" i="6"/>
  <c r="AD32" i="6"/>
  <c r="AE32" i="6"/>
  <c r="AF32" i="6"/>
  <c r="AG32" i="6"/>
  <c r="AH32" i="6"/>
  <c r="AI32" i="6"/>
  <c r="S33" i="6"/>
  <c r="AD33" i="6"/>
  <c r="AE33" i="6"/>
  <c r="AF33" i="6"/>
  <c r="AG33" i="6"/>
  <c r="AH33" i="6"/>
  <c r="AI33" i="6"/>
  <c r="S34" i="6"/>
  <c r="AD34" i="6"/>
  <c r="AE34" i="6"/>
  <c r="AF34" i="6"/>
  <c r="AG34" i="6"/>
  <c r="AH34" i="6"/>
  <c r="AI34" i="6"/>
  <c r="S35" i="6"/>
  <c r="AD35" i="6"/>
  <c r="AE35" i="6"/>
  <c r="AF35" i="6"/>
  <c r="AG35" i="6"/>
  <c r="AH35" i="6"/>
  <c r="AI35" i="6"/>
  <c r="S36" i="6"/>
  <c r="AD36" i="6"/>
  <c r="AE36" i="6"/>
  <c r="AF36" i="6"/>
  <c r="AG36" i="6"/>
  <c r="AH36" i="6"/>
  <c r="AI36" i="6"/>
  <c r="S37" i="6"/>
  <c r="AD37" i="6"/>
  <c r="AE37" i="6"/>
  <c r="AF37" i="6"/>
  <c r="AG37" i="6"/>
  <c r="AH37" i="6"/>
  <c r="AI37" i="6"/>
  <c r="S38" i="6"/>
  <c r="AD38" i="6"/>
  <c r="AE38" i="6"/>
  <c r="AF38" i="6"/>
  <c r="AG38" i="6"/>
  <c r="AH38" i="6"/>
  <c r="AI38" i="6"/>
  <c r="S39" i="6"/>
  <c r="AD39" i="6"/>
  <c r="AE39" i="6"/>
  <c r="AF39" i="6"/>
  <c r="AG39" i="6"/>
  <c r="AH39" i="6"/>
  <c r="AI39" i="6"/>
  <c r="S40" i="6"/>
  <c r="AD40" i="6"/>
  <c r="AE40" i="6"/>
  <c r="AF40" i="6"/>
  <c r="AG40" i="6"/>
  <c r="AH40" i="6"/>
  <c r="AI40" i="6"/>
  <c r="S41" i="6"/>
  <c r="AD41" i="6"/>
  <c r="AE41" i="6"/>
  <c r="AF41" i="6"/>
  <c r="AG41" i="6"/>
  <c r="AH41" i="6"/>
  <c r="AI41" i="6"/>
  <c r="S42" i="6"/>
  <c r="AD42" i="6"/>
  <c r="AE42" i="6"/>
  <c r="AF42" i="6"/>
  <c r="AG42" i="6"/>
  <c r="AH42" i="6"/>
  <c r="AI42" i="6"/>
  <c r="S43" i="6"/>
  <c r="AD43" i="6"/>
  <c r="AE43" i="6"/>
  <c r="AF43" i="6"/>
  <c r="AG43" i="6"/>
  <c r="AH43" i="6"/>
  <c r="AI43" i="6"/>
  <c r="S44" i="6"/>
  <c r="AD44" i="6"/>
  <c r="AE44" i="6"/>
  <c r="AF44" i="6"/>
  <c r="AG44" i="6"/>
  <c r="AH44" i="6"/>
  <c r="AI44" i="6"/>
  <c r="S45" i="6"/>
  <c r="AD45" i="6"/>
  <c r="AE45" i="6"/>
  <c r="AF45" i="6"/>
  <c r="AG45" i="6"/>
  <c r="AH45" i="6"/>
  <c r="AI45" i="6"/>
  <c r="S46" i="6"/>
  <c r="AD46" i="6"/>
  <c r="AE46" i="6"/>
  <c r="AF46" i="6"/>
  <c r="AG46" i="6"/>
  <c r="AH46" i="6"/>
  <c r="AI46" i="6"/>
  <c r="S47" i="6"/>
  <c r="AD47" i="6"/>
  <c r="AE47" i="6"/>
  <c r="AF47" i="6"/>
  <c r="AG47" i="6"/>
  <c r="AH47" i="6"/>
  <c r="AI47" i="6"/>
  <c r="S48" i="6"/>
  <c r="AD48" i="6"/>
  <c r="AE48" i="6"/>
  <c r="AF48" i="6"/>
  <c r="AG48" i="6"/>
  <c r="AH48" i="6"/>
  <c r="AI48" i="6"/>
  <c r="S49" i="6"/>
  <c r="AD49" i="6"/>
  <c r="AE49" i="6"/>
  <c r="AF49" i="6"/>
  <c r="AG49" i="6"/>
  <c r="AH49" i="6"/>
  <c r="AI49" i="6"/>
  <c r="S50" i="6"/>
  <c r="AD50" i="6"/>
  <c r="AE50" i="6"/>
  <c r="AF50" i="6"/>
  <c r="AG50" i="6"/>
  <c r="AH50" i="6"/>
  <c r="AI50" i="6"/>
  <c r="S51" i="6"/>
  <c r="AD51" i="6"/>
  <c r="AE51" i="6"/>
  <c r="AF51" i="6"/>
  <c r="AG51" i="6"/>
  <c r="AH51" i="6"/>
  <c r="AI51" i="6"/>
  <c r="S52" i="6"/>
  <c r="AD52" i="6"/>
  <c r="AE52" i="6"/>
  <c r="AF52" i="6"/>
  <c r="AG52" i="6"/>
  <c r="AH52" i="6"/>
  <c r="AI52" i="6"/>
  <c r="S53" i="6"/>
  <c r="AD53" i="6"/>
  <c r="AE53" i="6"/>
  <c r="AF53" i="6"/>
  <c r="AG53" i="6"/>
  <c r="AH53" i="6"/>
  <c r="AI53" i="6"/>
  <c r="S54" i="6"/>
  <c r="AD54" i="6"/>
  <c r="AE54" i="6"/>
  <c r="AF54" i="6"/>
  <c r="AG54" i="6"/>
  <c r="AH54" i="6"/>
  <c r="AI54" i="6"/>
  <c r="S55" i="6"/>
  <c r="AD55" i="6"/>
  <c r="AE55" i="6"/>
  <c r="AF55" i="6"/>
  <c r="AG55" i="6"/>
  <c r="AH55" i="6"/>
  <c r="AI55" i="6"/>
  <c r="S56" i="6"/>
  <c r="AD56" i="6"/>
  <c r="AE56" i="6"/>
  <c r="AF56" i="6"/>
  <c r="AG56" i="6"/>
  <c r="AH56" i="6"/>
  <c r="AI56" i="6"/>
  <c r="S57" i="6"/>
  <c r="AD57" i="6"/>
  <c r="AE57" i="6"/>
  <c r="AF57" i="6"/>
  <c r="AG57" i="6"/>
  <c r="AH57" i="6"/>
  <c r="AI57" i="6"/>
  <c r="S58" i="6"/>
  <c r="AD58" i="6"/>
  <c r="AE58" i="6"/>
  <c r="AF58" i="6"/>
  <c r="AG58" i="6"/>
  <c r="AH58" i="6"/>
  <c r="AI58" i="6"/>
  <c r="S59" i="6"/>
  <c r="AD59" i="6"/>
  <c r="AE59" i="6"/>
  <c r="AF59" i="6"/>
  <c r="AG59" i="6"/>
  <c r="AH59" i="6"/>
  <c r="AI59" i="6"/>
  <c r="S60" i="6"/>
  <c r="AD60" i="6"/>
  <c r="AE60" i="6"/>
  <c r="AF60" i="6"/>
  <c r="AG60" i="6"/>
  <c r="AH60" i="6"/>
  <c r="AI60" i="6"/>
  <c r="S61" i="6"/>
  <c r="AD61" i="6"/>
  <c r="AE61" i="6"/>
  <c r="AF61" i="6"/>
  <c r="AG61" i="6"/>
  <c r="AH61" i="6"/>
  <c r="AI61" i="6"/>
  <c r="S62" i="6"/>
  <c r="AD62" i="6"/>
  <c r="AE62" i="6"/>
  <c r="AF62" i="6"/>
  <c r="AG62" i="6"/>
  <c r="AH62" i="6"/>
  <c r="AI62" i="6"/>
  <c r="S63" i="6"/>
  <c r="AD63" i="6"/>
  <c r="AE63" i="6"/>
  <c r="AF63" i="6"/>
  <c r="AG63" i="6"/>
  <c r="AH63" i="6"/>
  <c r="AI63" i="6"/>
  <c r="S64" i="6"/>
  <c r="AD64" i="6"/>
  <c r="AE64" i="6"/>
  <c r="AF64" i="6"/>
  <c r="AG64" i="6"/>
  <c r="AH64" i="6"/>
  <c r="AI64" i="6"/>
  <c r="S65" i="6"/>
  <c r="AD65" i="6"/>
  <c r="AE65" i="6"/>
  <c r="AF65" i="6"/>
  <c r="AG65" i="6"/>
  <c r="AH65" i="6"/>
  <c r="AI65" i="6"/>
  <c r="S66" i="6"/>
  <c r="AD66" i="6"/>
  <c r="AE66" i="6"/>
  <c r="AF66" i="6"/>
  <c r="AG66" i="6"/>
  <c r="AH66" i="6"/>
  <c r="AI66" i="6"/>
  <c r="S67" i="6"/>
  <c r="AD67" i="6"/>
  <c r="AE67" i="6"/>
  <c r="AF67" i="6"/>
  <c r="AG67" i="6"/>
  <c r="AH67" i="6"/>
  <c r="AI67" i="6"/>
  <c r="S68" i="6"/>
  <c r="AD68" i="6"/>
  <c r="AE68" i="6"/>
  <c r="AF68" i="6"/>
  <c r="AG68" i="6"/>
  <c r="AH68" i="6"/>
  <c r="AI68" i="6"/>
  <c r="S69" i="6"/>
  <c r="AD69" i="6"/>
  <c r="AE69" i="6"/>
  <c r="AF69" i="6"/>
  <c r="AG69" i="6"/>
  <c r="AH69" i="6"/>
  <c r="AI69" i="6"/>
  <c r="S70" i="6"/>
  <c r="AD70" i="6"/>
  <c r="AE70" i="6"/>
  <c r="AF70" i="6"/>
  <c r="AG70" i="6"/>
  <c r="AH70" i="6"/>
  <c r="AI70" i="6"/>
  <c r="S71" i="6"/>
  <c r="AD71" i="6"/>
  <c r="AE71" i="6"/>
  <c r="AF71" i="6"/>
  <c r="AG71" i="6"/>
  <c r="AH71" i="6"/>
  <c r="AI71" i="6"/>
  <c r="S72" i="6"/>
  <c r="AD72" i="6"/>
  <c r="AE72" i="6"/>
  <c r="AF72" i="6"/>
  <c r="AG72" i="6"/>
  <c r="AH72" i="6"/>
  <c r="AI72" i="6"/>
  <c r="S73" i="6"/>
  <c r="AD73" i="6"/>
  <c r="AE73" i="6"/>
  <c r="AF73" i="6"/>
  <c r="AG73" i="6"/>
  <c r="AH73" i="6"/>
  <c r="AI73" i="6"/>
  <c r="S74" i="6"/>
  <c r="AD74" i="6"/>
  <c r="AE74" i="6"/>
  <c r="AF74" i="6"/>
  <c r="AG74" i="6"/>
  <c r="AH74" i="6"/>
  <c r="AI74" i="6"/>
  <c r="S75" i="6"/>
  <c r="AD75" i="6"/>
  <c r="AE75" i="6"/>
  <c r="AF75" i="6"/>
  <c r="AG75" i="6"/>
  <c r="AH75" i="6"/>
  <c r="AI75" i="6"/>
  <c r="S76" i="6"/>
  <c r="AD76" i="6"/>
  <c r="AE76" i="6"/>
  <c r="AF76" i="6"/>
  <c r="AG76" i="6"/>
  <c r="AH76" i="6"/>
  <c r="AI76" i="6"/>
  <c r="S77" i="6"/>
  <c r="AD77" i="6"/>
  <c r="AE77" i="6"/>
  <c r="AF77" i="6"/>
  <c r="AG77" i="6"/>
  <c r="AH77" i="6"/>
  <c r="AI77" i="6"/>
  <c r="S78" i="6"/>
  <c r="AD78" i="6"/>
  <c r="AE78" i="6"/>
  <c r="AF78" i="6"/>
  <c r="AG78" i="6"/>
  <c r="AH78" i="6"/>
  <c r="AI78" i="6"/>
  <c r="S79" i="6"/>
  <c r="AD79" i="6"/>
  <c r="AE79" i="6"/>
  <c r="AF79" i="6"/>
  <c r="AG79" i="6"/>
  <c r="AH79" i="6"/>
  <c r="AI79" i="6"/>
  <c r="S80" i="6"/>
  <c r="AD80" i="6"/>
  <c r="AE80" i="6"/>
  <c r="AF80" i="6"/>
  <c r="AG80" i="6"/>
  <c r="AH80" i="6"/>
  <c r="AI80" i="6"/>
  <c r="S81" i="6"/>
  <c r="AD81" i="6"/>
  <c r="AE81" i="6"/>
  <c r="AF81" i="6"/>
  <c r="AG81" i="6"/>
  <c r="AH81" i="6"/>
  <c r="AI81" i="6"/>
  <c r="S82" i="6"/>
  <c r="AD82" i="6"/>
  <c r="AE82" i="6"/>
  <c r="AF82" i="6"/>
  <c r="AG82" i="6"/>
  <c r="AH82" i="6"/>
  <c r="AI82" i="6"/>
  <c r="S83" i="6"/>
  <c r="AD83" i="6"/>
  <c r="AE83" i="6"/>
  <c r="AF83" i="6"/>
  <c r="AG83" i="6"/>
  <c r="AH83" i="6"/>
  <c r="AI83" i="6"/>
  <c r="S84" i="6"/>
  <c r="AD84" i="6"/>
  <c r="AE84" i="6"/>
  <c r="AF84" i="6"/>
  <c r="AG84" i="6"/>
  <c r="AH84" i="6"/>
  <c r="AI84" i="6"/>
  <c r="S85" i="6"/>
  <c r="AD85" i="6"/>
  <c r="AE85" i="6"/>
  <c r="AF85" i="6"/>
  <c r="AG85" i="6"/>
  <c r="AH85" i="6"/>
  <c r="AI85" i="6"/>
  <c r="S86" i="6"/>
  <c r="AD86" i="6"/>
  <c r="AE86" i="6"/>
  <c r="AF86" i="6"/>
  <c r="AG86" i="6"/>
  <c r="AH86" i="6"/>
  <c r="AI86" i="6"/>
  <c r="S87" i="6"/>
  <c r="AD87" i="6"/>
  <c r="AE87" i="6"/>
  <c r="AF87" i="6"/>
  <c r="AG87" i="6"/>
  <c r="AH87" i="6"/>
  <c r="AI87" i="6"/>
  <c r="S88" i="6"/>
  <c r="AD88" i="6"/>
  <c r="AE88" i="6"/>
  <c r="AF88" i="6"/>
  <c r="AG88" i="6"/>
  <c r="AH88" i="6"/>
  <c r="AI88" i="6"/>
  <c r="S89" i="6"/>
  <c r="AD89" i="6"/>
  <c r="AE89" i="6"/>
  <c r="AF89" i="6"/>
  <c r="AG89" i="6"/>
  <c r="AH89" i="6"/>
  <c r="AI89" i="6"/>
  <c r="S90" i="6"/>
  <c r="AD90" i="6"/>
  <c r="AE90" i="6"/>
  <c r="AF90" i="6"/>
  <c r="AG90" i="6"/>
  <c r="AH90" i="6"/>
  <c r="AI90" i="6"/>
  <c r="S91" i="6"/>
  <c r="AD91" i="6"/>
  <c r="AE91" i="6"/>
  <c r="AF91" i="6"/>
  <c r="AG91" i="6"/>
  <c r="AH91" i="6"/>
  <c r="AI91" i="6"/>
  <c r="S92" i="6"/>
  <c r="AD92" i="6"/>
  <c r="AE92" i="6"/>
  <c r="AF92" i="6"/>
  <c r="AG92" i="6"/>
  <c r="AH92" i="6"/>
  <c r="AI92" i="6"/>
  <c r="S93" i="6"/>
  <c r="AD93" i="6"/>
  <c r="AE93" i="6"/>
  <c r="AF93" i="6"/>
  <c r="AG93" i="6"/>
  <c r="AH93" i="6"/>
  <c r="AI93" i="6"/>
  <c r="S94" i="6"/>
  <c r="AD94" i="6"/>
  <c r="AE94" i="6"/>
  <c r="AF94" i="6"/>
  <c r="AG94" i="6"/>
  <c r="AH94" i="6"/>
  <c r="AI94" i="6"/>
  <c r="S95" i="6"/>
  <c r="AD95" i="6"/>
  <c r="AE95" i="6"/>
  <c r="AF95" i="6"/>
  <c r="AG95" i="6"/>
  <c r="AH95" i="6"/>
  <c r="AI95" i="6"/>
  <c r="S96" i="6"/>
  <c r="AD96" i="6"/>
  <c r="AE96" i="6"/>
  <c r="AF96" i="6"/>
  <c r="AG96" i="6"/>
  <c r="AH96" i="6"/>
  <c r="AI96" i="6"/>
  <c r="S97" i="6"/>
  <c r="AD97" i="6"/>
  <c r="AE97" i="6"/>
  <c r="AF97" i="6"/>
  <c r="AG97" i="6"/>
  <c r="AH97" i="6"/>
  <c r="AI97" i="6"/>
  <c r="S98" i="6"/>
  <c r="AD98" i="6"/>
  <c r="AE98" i="6"/>
  <c r="AF98" i="6"/>
  <c r="AG98" i="6"/>
  <c r="AH98" i="6"/>
  <c r="AI98" i="6"/>
  <c r="S99" i="6"/>
  <c r="AD99" i="6"/>
  <c r="AE99" i="6"/>
  <c r="AF99" i="6"/>
  <c r="AG99" i="6"/>
  <c r="AH99" i="6"/>
  <c r="AI99" i="6"/>
  <c r="S100" i="6"/>
  <c r="AD100" i="6"/>
  <c r="AE100" i="6"/>
  <c r="AF100" i="6"/>
  <c r="AG100" i="6"/>
  <c r="AH100" i="6"/>
  <c r="AI100" i="6"/>
  <c r="S101" i="6"/>
  <c r="AD101" i="6"/>
  <c r="AE101" i="6"/>
  <c r="AF101" i="6"/>
  <c r="AG101" i="6"/>
  <c r="AH101" i="6"/>
  <c r="AI101" i="6"/>
  <c r="S102" i="6"/>
  <c r="AD102" i="6"/>
  <c r="AE102" i="6"/>
  <c r="AF102" i="6"/>
  <c r="AG102" i="6"/>
  <c r="AH102" i="6"/>
  <c r="AI102" i="6"/>
  <c r="S103" i="6"/>
  <c r="AD103" i="6"/>
  <c r="AE103" i="6"/>
  <c r="AF103" i="6"/>
  <c r="AG103" i="6"/>
  <c r="AH103" i="6"/>
  <c r="AI103" i="6"/>
  <c r="S104" i="6"/>
  <c r="AD104" i="6"/>
  <c r="AE104" i="6"/>
  <c r="AF104" i="6"/>
  <c r="AG104" i="6"/>
  <c r="AH104" i="6"/>
  <c r="AI104" i="6"/>
  <c r="S105" i="6"/>
  <c r="AD105" i="6"/>
  <c r="AE105" i="6"/>
  <c r="AF105" i="6"/>
  <c r="AG105" i="6"/>
  <c r="AH105" i="6"/>
  <c r="AI105" i="6"/>
  <c r="S106" i="6"/>
  <c r="AD106" i="6"/>
  <c r="AE106" i="6"/>
  <c r="AF106" i="6"/>
  <c r="AG106" i="6"/>
  <c r="AH106" i="6"/>
  <c r="AI106" i="6"/>
  <c r="S107" i="6"/>
  <c r="AD107" i="6"/>
  <c r="AE107" i="6"/>
  <c r="AF107" i="6"/>
  <c r="AG107" i="6"/>
  <c r="AH107" i="6"/>
  <c r="AI107" i="6"/>
  <c r="S108" i="6"/>
  <c r="AD108" i="6"/>
  <c r="AE108" i="6"/>
  <c r="AF108" i="6"/>
  <c r="AG108" i="6"/>
  <c r="AH108" i="6"/>
  <c r="AI108" i="6"/>
  <c r="S109" i="6"/>
  <c r="AD109" i="6"/>
  <c r="AE109" i="6"/>
  <c r="AF109" i="6"/>
  <c r="AG109" i="6"/>
  <c r="AH109" i="6"/>
  <c r="AI109" i="6"/>
  <c r="S110" i="6"/>
  <c r="AD110" i="6"/>
  <c r="AE110" i="6"/>
  <c r="AF110" i="6"/>
  <c r="AG110" i="6"/>
  <c r="AH110" i="6"/>
  <c r="AI110" i="6"/>
  <c r="S111" i="6"/>
  <c r="AD111" i="6"/>
  <c r="AE111" i="6"/>
  <c r="AF111" i="6"/>
  <c r="AG111" i="6"/>
  <c r="AH111" i="6"/>
  <c r="AI111" i="6"/>
  <c r="S112" i="6"/>
  <c r="AD112" i="6"/>
  <c r="AE112" i="6"/>
  <c r="AF112" i="6"/>
  <c r="AG112" i="6"/>
  <c r="AH112" i="6"/>
  <c r="AI112" i="6"/>
  <c r="S113" i="6"/>
  <c r="AD113" i="6"/>
  <c r="AE113" i="6"/>
  <c r="AF113" i="6"/>
  <c r="AG113" i="6"/>
  <c r="AH113" i="6"/>
  <c r="AI113" i="6"/>
  <c r="S114" i="6"/>
  <c r="AD114" i="6"/>
  <c r="AE114" i="6"/>
  <c r="AF114" i="6"/>
  <c r="AG114" i="6"/>
  <c r="AH114" i="6"/>
  <c r="AI114" i="6"/>
  <c r="S115" i="6"/>
  <c r="AD115" i="6"/>
  <c r="AE115" i="6"/>
  <c r="AF115" i="6"/>
  <c r="AG115" i="6"/>
  <c r="AH115" i="6"/>
  <c r="AI115" i="6"/>
  <c r="S116" i="6"/>
  <c r="AD116" i="6"/>
  <c r="AE116" i="6"/>
  <c r="AF116" i="6"/>
  <c r="AG116" i="6"/>
  <c r="AH116" i="6"/>
  <c r="AI116" i="6"/>
  <c r="S117" i="6"/>
  <c r="AD117" i="6"/>
  <c r="AE117" i="6"/>
  <c r="AF117" i="6"/>
  <c r="AG117" i="6"/>
  <c r="AH117" i="6"/>
  <c r="AI117" i="6"/>
  <c r="S118" i="6"/>
  <c r="AD118" i="6"/>
  <c r="AE118" i="6"/>
  <c r="AF118" i="6"/>
  <c r="AG118" i="6"/>
  <c r="AH118" i="6"/>
  <c r="AI118" i="6"/>
  <c r="S119" i="6"/>
  <c r="AD119" i="6"/>
  <c r="AE119" i="6"/>
  <c r="AF119" i="6"/>
  <c r="AG119" i="6"/>
  <c r="AH119" i="6"/>
  <c r="AI119" i="6"/>
  <c r="S120" i="6"/>
  <c r="S122" i="6"/>
  <c r="S123" i="6"/>
  <c r="AD123" i="6"/>
  <c r="AE123" i="6"/>
  <c r="AF123" i="6"/>
  <c r="AG123" i="6"/>
  <c r="AH123" i="6"/>
  <c r="AI123" i="6"/>
  <c r="S124" i="6"/>
  <c r="AD124" i="6"/>
  <c r="AE124" i="6"/>
  <c r="AF124" i="6"/>
  <c r="AG124" i="6"/>
  <c r="AH124" i="6"/>
  <c r="AI124" i="6"/>
  <c r="S125" i="6"/>
  <c r="AD125" i="6"/>
  <c r="AE125" i="6"/>
  <c r="AF125" i="6"/>
  <c r="AG125" i="6"/>
  <c r="AH125" i="6"/>
  <c r="AI125" i="6"/>
  <c r="S126" i="6"/>
  <c r="AD126" i="6"/>
  <c r="AE126" i="6"/>
  <c r="AF126" i="6"/>
  <c r="AG126" i="6"/>
  <c r="AH126" i="6"/>
  <c r="AI126" i="6"/>
  <c r="S127" i="6"/>
  <c r="AD127" i="6"/>
  <c r="AE127" i="6"/>
  <c r="AF127" i="6"/>
  <c r="AG127" i="6"/>
  <c r="AH127" i="6"/>
  <c r="AI127" i="6"/>
  <c r="S128" i="6"/>
  <c r="AD128" i="6"/>
  <c r="AE128" i="6"/>
  <c r="AF128" i="6"/>
  <c r="AG128" i="6"/>
  <c r="AH128" i="6"/>
  <c r="AI128" i="6"/>
  <c r="S129" i="6"/>
  <c r="AD129" i="6"/>
  <c r="AE129" i="6"/>
  <c r="AF129" i="6"/>
  <c r="AG129" i="6"/>
  <c r="AH129" i="6"/>
  <c r="AI129" i="6"/>
  <c r="S130" i="6"/>
  <c r="AD130" i="6"/>
  <c r="AE130" i="6"/>
  <c r="AF130" i="6"/>
  <c r="AG130" i="6"/>
  <c r="AH130" i="6"/>
  <c r="AI130" i="6"/>
  <c r="S131" i="6"/>
  <c r="AD131" i="6"/>
  <c r="AE131" i="6"/>
  <c r="AF131" i="6"/>
  <c r="AG131" i="6"/>
  <c r="AH131" i="6"/>
  <c r="AI131" i="6"/>
  <c r="S132" i="6"/>
  <c r="AD132" i="6"/>
  <c r="AE132" i="6"/>
  <c r="AF132" i="6"/>
  <c r="AG132" i="6"/>
  <c r="AH132" i="6"/>
  <c r="AI132" i="6"/>
  <c r="S133" i="6"/>
  <c r="AD133" i="6"/>
  <c r="AE133" i="6"/>
  <c r="AF133" i="6"/>
  <c r="AG133" i="6"/>
  <c r="AH133" i="6"/>
  <c r="AI133" i="6"/>
  <c r="S134" i="6"/>
  <c r="AD134" i="6"/>
  <c r="AE134" i="6"/>
  <c r="AF134" i="6"/>
  <c r="AG134" i="6"/>
  <c r="AH134" i="6"/>
  <c r="AI134" i="6"/>
  <c r="S135" i="6"/>
  <c r="AD135" i="6"/>
  <c r="AE135" i="6"/>
  <c r="AF135" i="6"/>
  <c r="AG135" i="6"/>
  <c r="AH135" i="6"/>
  <c r="AI135" i="6"/>
  <c r="S136" i="6"/>
  <c r="AD136" i="6"/>
  <c r="AE136" i="6"/>
  <c r="AF136" i="6"/>
  <c r="AG136" i="6"/>
  <c r="AH136" i="6"/>
  <c r="AI136" i="6"/>
  <c r="S137" i="6"/>
  <c r="AD137" i="6"/>
  <c r="AE137" i="6"/>
  <c r="AF137" i="6"/>
  <c r="AG137" i="6"/>
  <c r="AH137" i="6"/>
  <c r="AI137" i="6"/>
  <c r="S138" i="6"/>
  <c r="AD138" i="6"/>
  <c r="AE138" i="6"/>
  <c r="AF138" i="6"/>
  <c r="AG138" i="6"/>
  <c r="AH138" i="6"/>
  <c r="AI138" i="6"/>
  <c r="S139" i="6"/>
  <c r="AD139" i="6"/>
  <c r="AE139" i="6"/>
  <c r="AF139" i="6"/>
  <c r="AG139" i="6"/>
  <c r="AH139" i="6"/>
  <c r="AI139" i="6"/>
  <c r="S140" i="6"/>
  <c r="AD140" i="6"/>
  <c r="AE140" i="6"/>
  <c r="AF140" i="6"/>
  <c r="AG140" i="6"/>
  <c r="AH140" i="6"/>
  <c r="AI140" i="6"/>
  <c r="S141" i="6"/>
  <c r="AD141" i="6"/>
  <c r="AE141" i="6"/>
  <c r="AF141" i="6"/>
  <c r="AG141" i="6"/>
  <c r="AH141" i="6"/>
  <c r="AI141" i="6"/>
  <c r="S142" i="6"/>
  <c r="AD142" i="6"/>
  <c r="AE142" i="6"/>
  <c r="AF142" i="6"/>
  <c r="AG142" i="6"/>
  <c r="AH142" i="6"/>
  <c r="AI142" i="6"/>
  <c r="S143" i="6"/>
  <c r="AD143" i="6"/>
  <c r="AE143" i="6"/>
  <c r="AF143" i="6"/>
  <c r="AG143" i="6"/>
  <c r="AH143" i="6"/>
  <c r="AI143" i="6"/>
  <c r="S144" i="6"/>
  <c r="AD144" i="6"/>
  <c r="AE144" i="6"/>
  <c r="AF144" i="6"/>
  <c r="AG144" i="6"/>
  <c r="AH144" i="6"/>
  <c r="AI144" i="6"/>
  <c r="S145" i="6"/>
  <c r="AD145" i="6"/>
  <c r="AE145" i="6"/>
  <c r="AF145" i="6"/>
  <c r="AG145" i="6"/>
  <c r="AH145" i="6"/>
  <c r="AI145" i="6"/>
  <c r="S146" i="6"/>
  <c r="AD146" i="6"/>
  <c r="AE146" i="6"/>
  <c r="AF146" i="6"/>
  <c r="AG146" i="6"/>
  <c r="AH146" i="6"/>
  <c r="AI146" i="6"/>
  <c r="S147" i="6"/>
  <c r="AD147" i="6"/>
  <c r="AE147" i="6"/>
  <c r="AF147" i="6"/>
  <c r="AG147" i="6"/>
  <c r="AH147" i="6"/>
  <c r="AI147" i="6"/>
  <c r="S148" i="6"/>
  <c r="AD148" i="6"/>
  <c r="AE148" i="6"/>
  <c r="AF148" i="6"/>
  <c r="AG148" i="6"/>
  <c r="AH148" i="6"/>
  <c r="AI148" i="6"/>
  <c r="S149" i="6"/>
  <c r="AD149" i="6"/>
  <c r="AE149" i="6"/>
  <c r="AF149" i="6"/>
  <c r="AG149" i="6"/>
  <c r="AH149" i="6"/>
  <c r="AI149" i="6"/>
  <c r="S150" i="6"/>
  <c r="AD150" i="6"/>
  <c r="AE150" i="6"/>
  <c r="AF150" i="6"/>
  <c r="AG150" i="6"/>
  <c r="AH150" i="6"/>
  <c r="AI150" i="6"/>
  <c r="S151" i="6"/>
  <c r="AD151" i="6"/>
  <c r="AE151" i="6"/>
  <c r="AF151" i="6"/>
  <c r="AG151" i="6"/>
  <c r="AH151" i="6"/>
  <c r="AI151" i="6"/>
  <c r="S152" i="6"/>
  <c r="AD152" i="6"/>
  <c r="AE152" i="6"/>
  <c r="AF152" i="6"/>
  <c r="AG152" i="6"/>
  <c r="AH152" i="6"/>
  <c r="AI152" i="6"/>
  <c r="S154" i="6"/>
  <c r="S155" i="6"/>
  <c r="S156" i="6"/>
  <c r="AD156" i="6"/>
  <c r="AE156" i="6"/>
  <c r="AF156" i="6"/>
  <c r="AG156" i="6"/>
  <c r="AH156" i="6"/>
  <c r="AI156" i="6"/>
  <c r="S157" i="6"/>
  <c r="AD157" i="6"/>
  <c r="AE157" i="6"/>
  <c r="AF157" i="6"/>
  <c r="AG157" i="6"/>
  <c r="AH157" i="6"/>
  <c r="AI157" i="6"/>
  <c r="S158" i="6"/>
  <c r="AD158" i="6"/>
  <c r="AE158" i="6"/>
  <c r="AF158" i="6"/>
  <c r="AG158" i="6"/>
  <c r="AH158" i="6"/>
  <c r="AI158" i="6"/>
  <c r="S159" i="6"/>
  <c r="AD159" i="6"/>
  <c r="AE159" i="6"/>
  <c r="AF159" i="6"/>
  <c r="AG159" i="6"/>
  <c r="AH159" i="6"/>
  <c r="AI159" i="6"/>
  <c r="S160" i="6"/>
  <c r="AD160" i="6"/>
  <c r="AE160" i="6"/>
  <c r="AF160" i="6"/>
  <c r="AG160" i="6"/>
  <c r="AH160" i="6"/>
  <c r="AI160" i="6"/>
  <c r="S161" i="6"/>
  <c r="AD161" i="6"/>
  <c r="AE161" i="6"/>
  <c r="AF161" i="6"/>
  <c r="AG161" i="6"/>
  <c r="AH161" i="6"/>
  <c r="AI161" i="6"/>
  <c r="S162" i="6"/>
  <c r="AD162" i="6"/>
  <c r="AE162" i="6"/>
  <c r="AF162" i="6"/>
  <c r="AG162" i="6"/>
  <c r="AH162" i="6"/>
  <c r="AI162" i="6"/>
  <c r="S163" i="6"/>
  <c r="AD163" i="6"/>
  <c r="AE163" i="6"/>
  <c r="AF163" i="6"/>
  <c r="AG163" i="6"/>
  <c r="AH163" i="6"/>
  <c r="AI163" i="6"/>
  <c r="S164" i="6"/>
  <c r="AD164" i="6"/>
  <c r="AE164" i="6"/>
  <c r="AF164" i="6"/>
  <c r="AG164" i="6"/>
  <c r="AH164" i="6"/>
  <c r="AI164" i="6"/>
  <c r="S165" i="6"/>
  <c r="AD165" i="6"/>
  <c r="AE165" i="6"/>
  <c r="AF165" i="6"/>
  <c r="AG165" i="6"/>
  <c r="AH165" i="6"/>
  <c r="AI165" i="6"/>
  <c r="S166" i="6"/>
  <c r="AD166" i="6"/>
  <c r="AE166" i="6"/>
  <c r="AF166" i="6"/>
  <c r="AG166" i="6"/>
  <c r="AH166" i="6"/>
  <c r="AI166" i="6"/>
  <c r="S167" i="6"/>
  <c r="AD167" i="6"/>
  <c r="AE167" i="6"/>
  <c r="AF167" i="6"/>
  <c r="AG167" i="6"/>
  <c r="AH167" i="6"/>
  <c r="AI167" i="6"/>
  <c r="S168" i="6"/>
  <c r="AD168" i="6"/>
  <c r="AE168" i="6"/>
  <c r="AF168" i="6"/>
  <c r="AG168" i="6"/>
  <c r="AH168" i="6"/>
  <c r="AI168" i="6"/>
  <c r="S169" i="6"/>
  <c r="AD169" i="6"/>
  <c r="AE169" i="6"/>
  <c r="AF169" i="6"/>
  <c r="AG169" i="6"/>
  <c r="AH169" i="6"/>
  <c r="AI169" i="6"/>
  <c r="S170" i="6"/>
  <c r="AD170" i="6"/>
  <c r="AE170" i="6"/>
  <c r="AF170" i="6"/>
  <c r="AG170" i="6"/>
  <c r="AH170" i="6"/>
  <c r="AI170" i="6"/>
  <c r="S171" i="6"/>
  <c r="AD171" i="6"/>
  <c r="AE171" i="6"/>
  <c r="AF171" i="6"/>
  <c r="AG171" i="6"/>
  <c r="AH171" i="6"/>
  <c r="AI171" i="6"/>
  <c r="S172" i="6"/>
  <c r="AD172" i="6"/>
  <c r="AE172" i="6"/>
  <c r="AF172" i="6"/>
  <c r="AG172" i="6"/>
  <c r="AH172" i="6"/>
  <c r="AI172" i="6"/>
  <c r="S173" i="6"/>
  <c r="AD173" i="6"/>
  <c r="AE173" i="6"/>
  <c r="AF173" i="6"/>
  <c r="AG173" i="6"/>
  <c r="AH173" i="6"/>
  <c r="AI173" i="6"/>
  <c r="S174" i="6"/>
  <c r="AF174" i="6"/>
  <c r="AG174" i="6"/>
  <c r="AH174" i="6"/>
  <c r="AI174" i="6"/>
  <c r="S176" i="6"/>
  <c r="AF176" i="6"/>
  <c r="AG176" i="6"/>
  <c r="AH176" i="6"/>
  <c r="AI176" i="6"/>
  <c r="S177" i="6"/>
  <c r="AD177" i="6"/>
  <c r="AE177" i="6"/>
  <c r="AF177" i="6"/>
  <c r="AG177" i="6"/>
  <c r="AH177" i="6"/>
  <c r="AI177" i="6"/>
  <c r="S178" i="6"/>
  <c r="AD178" i="6"/>
  <c r="AE178" i="6"/>
  <c r="AF178" i="6"/>
  <c r="AG178" i="6"/>
  <c r="AH178" i="6"/>
  <c r="AI178" i="6"/>
  <c r="S179" i="6"/>
  <c r="AD179" i="6"/>
  <c r="AE179" i="6"/>
  <c r="AF179" i="6"/>
  <c r="AG179" i="6"/>
  <c r="AH179" i="6"/>
  <c r="AI179" i="6"/>
  <c r="S180" i="6"/>
  <c r="AD180" i="6"/>
  <c r="AE180" i="6"/>
  <c r="AF180" i="6"/>
  <c r="AG180" i="6"/>
  <c r="AH180" i="6"/>
  <c r="AI180" i="6"/>
  <c r="S181" i="6"/>
  <c r="AD181" i="6"/>
  <c r="AE181" i="6"/>
  <c r="AF181" i="6"/>
  <c r="AG181" i="6"/>
  <c r="AH181" i="6"/>
  <c r="AI181" i="6"/>
  <c r="S182" i="6"/>
  <c r="AD182" i="6"/>
  <c r="AE182" i="6"/>
  <c r="AF182" i="6"/>
  <c r="AG182" i="6"/>
  <c r="AH182" i="6"/>
  <c r="AI182" i="6"/>
  <c r="S183" i="6"/>
  <c r="AD183" i="6"/>
  <c r="AE183" i="6"/>
  <c r="AF183" i="6"/>
  <c r="AG183" i="6"/>
  <c r="AH183" i="6"/>
  <c r="AI183" i="6"/>
  <c r="S184" i="6"/>
  <c r="AD184" i="6"/>
  <c r="AE184" i="6"/>
  <c r="AF184" i="6"/>
  <c r="AG184" i="6"/>
  <c r="AH184" i="6"/>
  <c r="AI184" i="6"/>
  <c r="S185" i="6"/>
  <c r="AD185" i="6"/>
  <c r="AE185" i="6"/>
  <c r="AF185" i="6"/>
  <c r="AG185" i="6"/>
  <c r="AH185" i="6"/>
  <c r="AI185" i="6"/>
  <c r="S186" i="6"/>
  <c r="AD186" i="6"/>
  <c r="AE186" i="6"/>
  <c r="AF186" i="6"/>
  <c r="AG186" i="6"/>
  <c r="AH186" i="6"/>
  <c r="AI186" i="6"/>
  <c r="S188" i="6"/>
  <c r="S189" i="6"/>
  <c r="S190" i="6"/>
  <c r="AD190" i="6"/>
  <c r="AE190" i="6"/>
  <c r="AF190" i="6"/>
  <c r="AG190" i="6"/>
  <c r="AH190" i="6"/>
  <c r="AI190" i="6"/>
  <c r="S191" i="6"/>
  <c r="AD191" i="6"/>
  <c r="AE191" i="6"/>
  <c r="AF191" i="6"/>
  <c r="AG191" i="6"/>
  <c r="AH191" i="6"/>
  <c r="AI191" i="6"/>
  <c r="S192" i="6"/>
  <c r="AD192" i="6"/>
  <c r="AE192" i="6"/>
  <c r="AF192" i="6"/>
  <c r="AG192" i="6"/>
  <c r="AH192" i="6"/>
  <c r="AI192" i="6"/>
  <c r="S193" i="6"/>
  <c r="AD193" i="6"/>
  <c r="AE193" i="6"/>
  <c r="AF193" i="6"/>
  <c r="AG193" i="6"/>
  <c r="AH193" i="6"/>
  <c r="AI193" i="6"/>
  <c r="S194" i="6"/>
  <c r="AD194" i="6"/>
  <c r="AE194" i="6"/>
  <c r="AF194" i="6"/>
  <c r="AG194" i="6"/>
  <c r="AH194" i="6"/>
  <c r="AI194" i="6"/>
  <c r="S195" i="6"/>
  <c r="AD195" i="6"/>
  <c r="AE195" i="6"/>
  <c r="AF195" i="6"/>
  <c r="AG195" i="6"/>
  <c r="AH195" i="6"/>
  <c r="AI195" i="6"/>
  <c r="S196" i="6"/>
  <c r="AD196" i="6"/>
  <c r="AE196" i="6"/>
  <c r="AF196" i="6"/>
  <c r="AG196" i="6"/>
  <c r="AH196" i="6"/>
  <c r="AI196" i="6"/>
  <c r="S197" i="6"/>
  <c r="AD197" i="6"/>
  <c r="AE197" i="6"/>
  <c r="AF197" i="6"/>
  <c r="AG197" i="6"/>
  <c r="AH197" i="6"/>
  <c r="AI197" i="6"/>
  <c r="S198" i="6"/>
  <c r="AD198" i="6"/>
  <c r="AE198" i="6"/>
  <c r="AF198" i="6"/>
  <c r="AG198" i="6"/>
  <c r="AH198" i="6"/>
  <c r="AI198" i="6"/>
  <c r="S199" i="6"/>
  <c r="AD199" i="6"/>
  <c r="AE199" i="6"/>
  <c r="AF199" i="6"/>
  <c r="AG199" i="6"/>
  <c r="AH199" i="6"/>
  <c r="AI199" i="6"/>
  <c r="S200" i="6"/>
  <c r="AD200" i="6"/>
  <c r="AE200" i="6"/>
  <c r="AF200" i="6"/>
  <c r="AG200" i="6"/>
  <c r="AH200" i="6"/>
  <c r="AI200" i="6"/>
  <c r="S201" i="6"/>
  <c r="S203" i="6"/>
  <c r="S204" i="6"/>
  <c r="AD204" i="6"/>
  <c r="AE204" i="6"/>
  <c r="AF204" i="6"/>
  <c r="AG204" i="6"/>
  <c r="AH204" i="6"/>
  <c r="AI204" i="6"/>
  <c r="S205" i="6"/>
  <c r="AD205" i="6"/>
  <c r="AE205" i="6"/>
  <c r="AF205" i="6"/>
  <c r="AG205" i="6"/>
  <c r="AH205" i="6"/>
  <c r="AI205" i="6"/>
  <c r="S206" i="6"/>
  <c r="AD206" i="6"/>
  <c r="AE206" i="6"/>
  <c r="AF206" i="6"/>
  <c r="AG206" i="6"/>
  <c r="AH206" i="6"/>
  <c r="AI206" i="6"/>
  <c r="S207" i="6"/>
  <c r="AD207" i="6"/>
  <c r="AE207" i="6"/>
  <c r="AF207" i="6"/>
  <c r="AG207" i="6"/>
  <c r="AH207" i="6"/>
  <c r="AI207" i="6"/>
  <c r="S208" i="6"/>
  <c r="AD208" i="6"/>
  <c r="AE208" i="6"/>
  <c r="AF208" i="6"/>
  <c r="AG208" i="6"/>
  <c r="AH208" i="6"/>
  <c r="AI208" i="6"/>
  <c r="S209" i="6"/>
  <c r="AD209" i="6"/>
  <c r="AE209" i="6"/>
  <c r="AF209" i="6"/>
  <c r="AG209" i="6"/>
  <c r="AH209" i="6"/>
  <c r="AI209" i="6"/>
  <c r="S210" i="6"/>
  <c r="AD210" i="6"/>
  <c r="AE210" i="6"/>
  <c r="AF210" i="6"/>
  <c r="AG210" i="6"/>
  <c r="AH210" i="6"/>
  <c r="AI210" i="6"/>
  <c r="S211" i="6"/>
  <c r="AD211" i="6"/>
  <c r="AE211" i="6"/>
  <c r="AF211" i="6"/>
  <c r="AG211" i="6"/>
  <c r="AH211" i="6"/>
  <c r="AI211" i="6"/>
  <c r="S212" i="6"/>
  <c r="AD212" i="6"/>
  <c r="AE212" i="6"/>
  <c r="AF212" i="6"/>
  <c r="AG212" i="6"/>
  <c r="AH212" i="6"/>
  <c r="AI212" i="6"/>
  <c r="S213" i="6"/>
  <c r="AD213" i="6"/>
  <c r="AE213" i="6"/>
  <c r="AF213" i="6"/>
  <c r="AG213" i="6"/>
  <c r="AH213" i="6"/>
  <c r="AI213" i="6"/>
  <c r="S214" i="6"/>
  <c r="AD214" i="6"/>
  <c r="AE214" i="6"/>
  <c r="AF214" i="6"/>
  <c r="AG214" i="6"/>
  <c r="AH214" i="6"/>
  <c r="AI214" i="6"/>
  <c r="S215" i="6"/>
  <c r="AD215" i="6"/>
  <c r="AE215" i="6"/>
  <c r="AF215" i="6"/>
  <c r="AG215" i="6"/>
  <c r="AH215" i="6"/>
  <c r="AI215" i="6"/>
  <c r="S216" i="6"/>
  <c r="AD216" i="6"/>
  <c r="AE216" i="6"/>
  <c r="AF216" i="6"/>
  <c r="AG216" i="6"/>
  <c r="AH216" i="6"/>
  <c r="AI216" i="6"/>
  <c r="S217" i="6"/>
  <c r="AD217" i="6"/>
  <c r="AE217" i="6"/>
  <c r="AF217" i="6"/>
  <c r="AG217" i="6"/>
  <c r="AH217" i="6"/>
  <c r="AI217" i="6"/>
  <c r="S218" i="6"/>
  <c r="AD218" i="6"/>
  <c r="AE218" i="6"/>
  <c r="AF218" i="6"/>
  <c r="AG218" i="6"/>
  <c r="AH218" i="6"/>
  <c r="AI218" i="6"/>
  <c r="S219" i="6"/>
  <c r="AD219" i="6"/>
  <c r="AE219" i="6"/>
  <c r="AF219" i="6"/>
  <c r="AG219" i="6"/>
  <c r="AH219" i="6"/>
  <c r="AI219" i="6"/>
  <c r="S220" i="6"/>
  <c r="AD220" i="6"/>
  <c r="AE220" i="6"/>
  <c r="AF220" i="6"/>
  <c r="AG220" i="6"/>
  <c r="AH220" i="6"/>
  <c r="AI220" i="6"/>
  <c r="S221" i="6"/>
  <c r="AD221" i="6"/>
  <c r="AE221" i="6"/>
  <c r="AF221" i="6"/>
  <c r="AG221" i="6"/>
  <c r="AH221" i="6"/>
  <c r="AI221" i="6"/>
  <c r="S222" i="6"/>
  <c r="AD222" i="6"/>
  <c r="AE222" i="6"/>
  <c r="AF222" i="6"/>
  <c r="AG222" i="6"/>
  <c r="AH222" i="6"/>
  <c r="AI222" i="6"/>
  <c r="S223" i="6"/>
  <c r="AD223" i="6"/>
  <c r="AE223" i="6"/>
  <c r="AF223" i="6"/>
  <c r="AG223" i="6"/>
  <c r="AH223" i="6"/>
  <c r="AI223" i="6"/>
  <c r="S224" i="6"/>
  <c r="AD224" i="6"/>
  <c r="AE224" i="6"/>
  <c r="AF224" i="6"/>
  <c r="AG224" i="6"/>
  <c r="AH224" i="6"/>
  <c r="AI224" i="6"/>
  <c r="S225" i="6"/>
  <c r="AD225" i="6"/>
  <c r="AE225" i="6"/>
  <c r="AF225" i="6"/>
  <c r="AG225" i="6"/>
  <c r="AH225" i="6"/>
  <c r="AI225" i="6"/>
  <c r="S226" i="6"/>
  <c r="AD226" i="6"/>
  <c r="AE226" i="6"/>
  <c r="AF226" i="6"/>
  <c r="AG226" i="6"/>
  <c r="AH226" i="6"/>
  <c r="AI226" i="6"/>
  <c r="S227" i="6"/>
  <c r="AD227" i="6"/>
  <c r="AE227" i="6"/>
  <c r="AF227" i="6"/>
  <c r="AG227" i="6"/>
  <c r="AH227" i="6"/>
  <c r="AI227" i="6"/>
  <c r="S228" i="6"/>
  <c r="AD228" i="6"/>
  <c r="AE228" i="6"/>
  <c r="AF228" i="6"/>
  <c r="AG228" i="6"/>
  <c r="AH228" i="6"/>
  <c r="AI228" i="6"/>
  <c r="S229" i="6"/>
  <c r="AD229" i="6"/>
  <c r="AE229" i="6"/>
  <c r="AF229" i="6"/>
  <c r="AG229" i="6"/>
  <c r="AH229" i="6"/>
  <c r="AI229" i="6"/>
  <c r="S230" i="6"/>
  <c r="AD230" i="6"/>
  <c r="AE230" i="6"/>
  <c r="AF230" i="6"/>
  <c r="AG230" i="6"/>
  <c r="AH230" i="6"/>
  <c r="AI230" i="6"/>
  <c r="S231" i="6"/>
  <c r="AD231" i="6"/>
  <c r="AE231" i="6"/>
  <c r="AF231" i="6"/>
  <c r="AG231" i="6"/>
  <c r="AH231" i="6"/>
  <c r="AI231" i="6"/>
  <c r="S232" i="6"/>
  <c r="AD232" i="6"/>
  <c r="AE232" i="6"/>
  <c r="AF232" i="6"/>
  <c r="AG232" i="6"/>
  <c r="AH232" i="6"/>
  <c r="AI232" i="6"/>
  <c r="S233" i="6"/>
  <c r="AD233" i="6"/>
  <c r="AE233" i="6"/>
  <c r="AF233" i="6"/>
  <c r="AG233" i="6"/>
  <c r="AH233" i="6"/>
  <c r="AI233" i="6"/>
  <c r="S234" i="6"/>
  <c r="AD234" i="6"/>
  <c r="AE234" i="6"/>
  <c r="AF234" i="6"/>
  <c r="AG234" i="6"/>
  <c r="AH234" i="6"/>
  <c r="AI234" i="6"/>
  <c r="AD235" i="6"/>
  <c r="AE235" i="6"/>
  <c r="AF235" i="6"/>
  <c r="AG235" i="6"/>
  <c r="AH235" i="6"/>
  <c r="AI235" i="6"/>
  <c r="AD237" i="6"/>
  <c r="AE237" i="6"/>
  <c r="AF237" i="6"/>
  <c r="AG237" i="6"/>
  <c r="AH237" i="6"/>
  <c r="AI237" i="6"/>
  <c r="S238" i="6"/>
  <c r="AD238" i="6"/>
  <c r="AE238" i="6"/>
  <c r="AF238" i="6"/>
  <c r="AG238" i="6"/>
  <c r="AH238" i="6"/>
  <c r="AI238" i="6"/>
  <c r="S239" i="6"/>
  <c r="AD239" i="6"/>
  <c r="AE239" i="6"/>
  <c r="AF239" i="6"/>
  <c r="AG239" i="6"/>
  <c r="AH239" i="6"/>
  <c r="AI239" i="6"/>
  <c r="S240" i="6"/>
  <c r="AD240" i="6"/>
  <c r="AE240" i="6"/>
  <c r="AF240" i="6"/>
  <c r="AG240" i="6"/>
  <c r="AH240" i="6"/>
  <c r="AI240" i="6"/>
  <c r="S241" i="6"/>
  <c r="AD241" i="6"/>
  <c r="AE241" i="6"/>
  <c r="AF241" i="6"/>
  <c r="AG241" i="6"/>
  <c r="AH241" i="6"/>
  <c r="AI241" i="6"/>
  <c r="S242" i="6"/>
  <c r="AD242" i="6"/>
  <c r="AE242" i="6"/>
  <c r="AF242" i="6"/>
  <c r="AG242" i="6"/>
  <c r="AH242" i="6"/>
  <c r="AI242" i="6"/>
  <c r="S243" i="6"/>
  <c r="AD243" i="6"/>
  <c r="AE243" i="6"/>
  <c r="AF243" i="6"/>
  <c r="AG243" i="6"/>
  <c r="AH243" i="6"/>
  <c r="AI243" i="6"/>
  <c r="S244" i="6"/>
  <c r="AD244" i="6"/>
  <c r="AE244" i="6"/>
  <c r="AF244" i="6"/>
  <c r="AG244" i="6"/>
  <c r="AH244" i="6"/>
  <c r="AI244" i="6"/>
  <c r="S245" i="6"/>
  <c r="AD245" i="6"/>
  <c r="AE245" i="6"/>
  <c r="AF245" i="6"/>
  <c r="AG245" i="6"/>
  <c r="AH245" i="6"/>
  <c r="AI245" i="6"/>
  <c r="S246" i="6"/>
  <c r="AD246" i="6"/>
  <c r="AE246" i="6"/>
  <c r="AF246" i="6"/>
  <c r="AG246" i="6"/>
  <c r="AH246" i="6"/>
  <c r="AI246" i="6"/>
  <c r="S247" i="6"/>
  <c r="AD247" i="6"/>
  <c r="AE247" i="6"/>
  <c r="AF247" i="6"/>
  <c r="AG247" i="6"/>
  <c r="AH247" i="6"/>
  <c r="AI247" i="6"/>
  <c r="S248" i="6"/>
  <c r="AD248" i="6"/>
  <c r="AE248" i="6"/>
  <c r="AF248" i="6"/>
  <c r="AG248" i="6"/>
  <c r="AH248" i="6"/>
  <c r="AI248" i="6"/>
  <c r="S249" i="6"/>
  <c r="AD249" i="6"/>
  <c r="AE249" i="6"/>
  <c r="AF249" i="6"/>
  <c r="AG249" i="6"/>
  <c r="AH249" i="6"/>
  <c r="AI249" i="6"/>
  <c r="S250" i="6"/>
  <c r="AD250" i="6"/>
  <c r="AE250" i="6"/>
  <c r="AF250" i="6"/>
  <c r="AG250" i="6"/>
  <c r="AH250" i="6"/>
  <c r="AI250" i="6"/>
  <c r="S251" i="6"/>
  <c r="AD251" i="6"/>
  <c r="AE251" i="6"/>
  <c r="AF251" i="6"/>
  <c r="AG251" i="6"/>
  <c r="AH251" i="6"/>
  <c r="AI251" i="6"/>
  <c r="S252" i="6"/>
  <c r="AD252" i="6"/>
  <c r="AE252" i="6"/>
  <c r="AF252" i="6"/>
  <c r="AG252" i="6"/>
  <c r="AH252" i="6"/>
  <c r="AI252" i="6"/>
  <c r="S253" i="6"/>
  <c r="AD253" i="6"/>
  <c r="AE253" i="6"/>
  <c r="AF253" i="6"/>
  <c r="AG253" i="6"/>
  <c r="AH253" i="6"/>
  <c r="AI253" i="6"/>
  <c r="S254" i="6"/>
  <c r="AD254" i="6"/>
  <c r="AE254" i="6"/>
  <c r="AF254" i="6"/>
  <c r="AG254" i="6"/>
  <c r="AH254" i="6"/>
  <c r="AI254" i="6"/>
  <c r="S255" i="6"/>
  <c r="AD255" i="6"/>
  <c r="AE255" i="6"/>
  <c r="AF255" i="6"/>
  <c r="AG255" i="6"/>
  <c r="AH255" i="6"/>
  <c r="AI255" i="6"/>
  <c r="S256" i="6"/>
  <c r="AD256" i="6"/>
  <c r="AE256" i="6"/>
  <c r="AF256" i="6"/>
  <c r="AG256" i="6"/>
  <c r="AH256" i="6"/>
  <c r="AI256" i="6"/>
  <c r="S257" i="6"/>
  <c r="AD257" i="6"/>
  <c r="AE257" i="6"/>
  <c r="AF257" i="6"/>
  <c r="AG257" i="6"/>
  <c r="AH257" i="6"/>
  <c r="AI257" i="6"/>
  <c r="S258" i="6"/>
  <c r="AD258" i="6"/>
  <c r="AE258" i="6"/>
  <c r="AF258" i="6"/>
  <c r="AG258" i="6"/>
  <c r="AH258" i="6"/>
  <c r="AI258" i="6"/>
  <c r="S259" i="6"/>
  <c r="AD259" i="6"/>
  <c r="AE259" i="6"/>
  <c r="AF259" i="6"/>
  <c r="AG259" i="6"/>
  <c r="AH259" i="6"/>
  <c r="AI259" i="6"/>
  <c r="S260" i="6"/>
  <c r="AD260" i="6"/>
  <c r="AE260" i="6"/>
  <c r="AF260" i="6"/>
  <c r="AG260" i="6"/>
  <c r="AH260" i="6"/>
  <c r="AI260" i="6"/>
  <c r="S261" i="6"/>
  <c r="AD261" i="6"/>
  <c r="AE261" i="6"/>
  <c r="AF261" i="6"/>
  <c r="AG261" i="6"/>
  <c r="AH261" i="6"/>
  <c r="AI261" i="6"/>
  <c r="S262" i="6"/>
  <c r="AD262" i="6"/>
  <c r="AE262" i="6"/>
  <c r="AF262" i="6"/>
  <c r="AG262" i="6"/>
  <c r="AH262" i="6"/>
  <c r="AI262" i="6"/>
  <c r="S263" i="6"/>
  <c r="AD263" i="6"/>
  <c r="AE263" i="6"/>
  <c r="AF263" i="6"/>
  <c r="AG263" i="6"/>
  <c r="AH263" i="6"/>
  <c r="AI263" i="6"/>
  <c r="S264" i="6"/>
  <c r="AD264" i="6"/>
  <c r="AE264" i="6"/>
  <c r="AF264" i="6"/>
  <c r="AG264" i="6"/>
  <c r="AH264" i="6"/>
  <c r="AI264" i="6"/>
  <c r="S265" i="6"/>
  <c r="AD265" i="6"/>
  <c r="AE265" i="6"/>
  <c r="AF265" i="6"/>
  <c r="AG265" i="6"/>
  <c r="AH265" i="6"/>
  <c r="AI265" i="6"/>
  <c r="S266" i="6"/>
  <c r="AD266" i="6"/>
  <c r="AE266" i="6"/>
  <c r="AF266" i="6"/>
  <c r="AG266" i="6"/>
  <c r="AH266" i="6"/>
  <c r="AI266" i="6"/>
  <c r="S267" i="6"/>
  <c r="AD267" i="6"/>
  <c r="AE267" i="6"/>
  <c r="AF267" i="6"/>
  <c r="AG267" i="6"/>
  <c r="AH267" i="6"/>
  <c r="AI267" i="6"/>
  <c r="S268" i="6"/>
  <c r="AD268" i="6"/>
  <c r="AE268" i="6"/>
  <c r="AF268" i="6"/>
  <c r="AG268" i="6"/>
  <c r="AH268" i="6"/>
  <c r="AI268" i="6"/>
  <c r="S269" i="6"/>
  <c r="AD269" i="6"/>
  <c r="AE269" i="6"/>
  <c r="AF269" i="6"/>
  <c r="AG269" i="6"/>
  <c r="AH269" i="6"/>
  <c r="AI269" i="6"/>
  <c r="S270" i="6"/>
  <c r="AD270" i="6"/>
  <c r="AE270" i="6"/>
  <c r="AF270" i="6"/>
  <c r="AG270" i="6"/>
  <c r="AH270" i="6"/>
  <c r="AI270" i="6"/>
  <c r="S271" i="6"/>
  <c r="AD271" i="6"/>
  <c r="AE271" i="6"/>
  <c r="AF271" i="6"/>
  <c r="AG271" i="6"/>
  <c r="AH271" i="6"/>
  <c r="AI271" i="6"/>
  <c r="S272" i="6"/>
  <c r="AD272" i="6"/>
  <c r="AE272" i="6"/>
  <c r="AF272" i="6"/>
  <c r="AG272" i="6"/>
  <c r="AH272" i="6"/>
  <c r="AI272" i="6"/>
  <c r="S273" i="6"/>
  <c r="AD273" i="6"/>
  <c r="AE273" i="6"/>
  <c r="AF273" i="6"/>
  <c r="AG273" i="6"/>
  <c r="AH273" i="6"/>
  <c r="AI273" i="6"/>
  <c r="S274" i="6"/>
  <c r="AD274" i="6"/>
  <c r="AE274" i="6"/>
  <c r="AF274" i="6"/>
  <c r="AG274" i="6"/>
  <c r="AH274" i="6"/>
  <c r="AI274" i="6"/>
  <c r="S275" i="6"/>
  <c r="AD275" i="6"/>
  <c r="AE275" i="6"/>
  <c r="AF275" i="6"/>
  <c r="AG275" i="6"/>
  <c r="AH275" i="6"/>
  <c r="AI275" i="6"/>
  <c r="S276" i="6"/>
  <c r="AD276" i="6"/>
  <c r="AE276" i="6"/>
  <c r="AF276" i="6"/>
  <c r="AG276" i="6"/>
  <c r="AH276" i="6"/>
  <c r="AI276" i="6"/>
  <c r="S277" i="6"/>
  <c r="AD277" i="6"/>
  <c r="AE277" i="6"/>
  <c r="AF277" i="6"/>
  <c r="AG277" i="6"/>
  <c r="AH277" i="6"/>
  <c r="AI277" i="6"/>
  <c r="S278" i="6"/>
  <c r="AD278" i="6"/>
  <c r="AE278" i="6"/>
  <c r="AF278" i="6"/>
  <c r="AG278" i="6"/>
  <c r="AH278" i="6"/>
  <c r="AI278" i="6"/>
  <c r="S279" i="6"/>
  <c r="AD279" i="6"/>
  <c r="AE279" i="6"/>
  <c r="AF279" i="6"/>
  <c r="AG279" i="6"/>
  <c r="AH279" i="6"/>
  <c r="AI279" i="6"/>
  <c r="S280" i="6"/>
  <c r="AD280" i="6"/>
  <c r="AE280" i="6"/>
  <c r="AF280" i="6"/>
  <c r="AG280" i="6"/>
  <c r="AH280" i="6"/>
  <c r="AI280" i="6"/>
  <c r="S281" i="6"/>
  <c r="AD281" i="6"/>
  <c r="AE281" i="6"/>
  <c r="AF281" i="6"/>
  <c r="AG281" i="6"/>
  <c r="AH281" i="6"/>
  <c r="AI281" i="6"/>
  <c r="S282" i="6"/>
  <c r="AD282" i="6"/>
  <c r="AE282" i="6"/>
  <c r="AF282" i="6"/>
  <c r="AG282" i="6"/>
  <c r="AH282" i="6"/>
  <c r="AI282" i="6"/>
  <c r="S283" i="6"/>
  <c r="AD283" i="6"/>
  <c r="AE283" i="6"/>
  <c r="AF283" i="6"/>
  <c r="AG283" i="6"/>
  <c r="AH283" i="6"/>
  <c r="AI283" i="6"/>
  <c r="S284" i="6"/>
  <c r="AD284" i="6"/>
  <c r="AE284" i="6"/>
  <c r="AF284" i="6"/>
  <c r="AG284" i="6"/>
  <c r="AH284" i="6"/>
  <c r="AI284" i="6"/>
  <c r="S285" i="6"/>
  <c r="AD285" i="6"/>
  <c r="AE285" i="6"/>
  <c r="AF285" i="6"/>
  <c r="AG285" i="6"/>
  <c r="AH285" i="6"/>
  <c r="AI285" i="6"/>
  <c r="S286" i="6"/>
  <c r="AD286" i="6"/>
  <c r="AE286" i="6"/>
  <c r="AF286" i="6"/>
  <c r="AG286" i="6"/>
  <c r="AH286" i="6"/>
  <c r="AI286" i="6"/>
  <c r="S287" i="6"/>
  <c r="AD287" i="6"/>
  <c r="AE287" i="6"/>
  <c r="AF287" i="6"/>
  <c r="AG287" i="6"/>
  <c r="AH287" i="6"/>
  <c r="AI287" i="6"/>
  <c r="S288" i="6"/>
  <c r="AD288" i="6"/>
  <c r="AE288" i="6"/>
  <c r="AF288" i="6"/>
  <c r="AG288" i="6"/>
  <c r="AH288" i="6"/>
  <c r="AI288" i="6"/>
  <c r="S289" i="6"/>
  <c r="AD289" i="6"/>
  <c r="AE289" i="6"/>
  <c r="AF289" i="6"/>
  <c r="AG289" i="6"/>
  <c r="AH289" i="6"/>
  <c r="AI289" i="6"/>
  <c r="S290" i="6"/>
  <c r="AD290" i="6"/>
  <c r="AE290" i="6"/>
  <c r="AF290" i="6"/>
  <c r="AG290" i="6"/>
  <c r="AH290" i="6"/>
  <c r="AI290" i="6"/>
  <c r="S291" i="6"/>
  <c r="AD291" i="6"/>
  <c r="AE291" i="6"/>
  <c r="AF291" i="6"/>
  <c r="AG291" i="6"/>
  <c r="AH291" i="6"/>
  <c r="AI291" i="6"/>
  <c r="S292" i="6"/>
  <c r="AD292" i="6"/>
  <c r="AE292" i="6"/>
  <c r="AF292" i="6"/>
  <c r="AG292" i="6"/>
  <c r="AH292" i="6"/>
  <c r="AI292" i="6"/>
  <c r="S293" i="6"/>
  <c r="AD293" i="6"/>
  <c r="AE293" i="6"/>
  <c r="AF293" i="6"/>
  <c r="AG293" i="6"/>
  <c r="AH293" i="6"/>
  <c r="AI293" i="6"/>
  <c r="S294" i="6"/>
  <c r="AD294" i="6"/>
  <c r="AE294" i="6"/>
  <c r="AF294" i="6"/>
  <c r="AG294" i="6"/>
  <c r="AH294" i="6"/>
  <c r="AI294" i="6"/>
  <c r="S295" i="6"/>
  <c r="AD295" i="6"/>
  <c r="AE295" i="6"/>
  <c r="AF295" i="6"/>
  <c r="AG295" i="6"/>
  <c r="AH295" i="6"/>
  <c r="AI295" i="6"/>
  <c r="S296" i="6"/>
  <c r="AD296" i="6"/>
  <c r="AE296" i="6"/>
  <c r="AF296" i="6"/>
  <c r="AG296" i="6"/>
  <c r="AH296" i="6"/>
  <c r="AI296" i="6"/>
  <c r="S297" i="6"/>
  <c r="AD297" i="6"/>
  <c r="AE297" i="6"/>
  <c r="AF297" i="6"/>
  <c r="AG297" i="6"/>
  <c r="AH297" i="6"/>
  <c r="AI297" i="6"/>
  <c r="S298" i="6"/>
  <c r="AD298" i="6"/>
  <c r="AE298" i="6"/>
  <c r="AF298" i="6"/>
  <c r="AG298" i="6"/>
  <c r="AH298" i="6"/>
  <c r="AI298" i="6"/>
  <c r="S299" i="6"/>
  <c r="AD299" i="6"/>
  <c r="AE299" i="6"/>
  <c r="AF299" i="6"/>
  <c r="AG299" i="6"/>
  <c r="AH299" i="6"/>
  <c r="AI299" i="6"/>
  <c r="S300" i="6"/>
  <c r="AD300" i="6"/>
  <c r="AE300" i="6"/>
  <c r="AF300" i="6"/>
  <c r="AG300" i="6"/>
  <c r="AH300" i="6"/>
  <c r="AI300" i="6"/>
  <c r="S301" i="6"/>
  <c r="AD301" i="6"/>
  <c r="AE301" i="6"/>
  <c r="AF301" i="6"/>
  <c r="AG301" i="6"/>
  <c r="AH301" i="6"/>
  <c r="AI301" i="6"/>
  <c r="S302" i="6"/>
  <c r="AD302" i="6"/>
  <c r="AE302" i="6"/>
  <c r="AF302" i="6"/>
  <c r="AG302" i="6"/>
  <c r="AH302" i="6"/>
  <c r="AI302" i="6"/>
  <c r="S303" i="6"/>
  <c r="AD303" i="6"/>
  <c r="AE303" i="6"/>
  <c r="AF303" i="6"/>
  <c r="AG303" i="6"/>
  <c r="AH303" i="6"/>
  <c r="AI303" i="6"/>
  <c r="S304" i="6"/>
  <c r="AD304" i="6"/>
  <c r="AE304" i="6"/>
  <c r="AF304" i="6"/>
  <c r="AG304" i="6"/>
  <c r="AH304" i="6"/>
  <c r="AI304" i="6"/>
  <c r="S305" i="6"/>
  <c r="AD305" i="6"/>
  <c r="AE305" i="6"/>
  <c r="AF305" i="6"/>
  <c r="AG305" i="6"/>
  <c r="AH305" i="6"/>
  <c r="AI305" i="6"/>
  <c r="S306" i="6"/>
  <c r="AD306" i="6"/>
  <c r="AE306" i="6"/>
  <c r="AF306" i="6"/>
  <c r="AG306" i="6"/>
  <c r="AH306" i="6"/>
  <c r="AI306" i="6"/>
  <c r="S307" i="6"/>
  <c r="AD307" i="6"/>
  <c r="AE307" i="6"/>
  <c r="AF307" i="6"/>
  <c r="AG307" i="6"/>
  <c r="AH307" i="6"/>
  <c r="AI307" i="6"/>
  <c r="S308" i="6"/>
  <c r="AD308" i="6"/>
  <c r="AE308" i="6"/>
  <c r="AF308" i="6"/>
  <c r="AG308" i="6"/>
  <c r="AH308" i="6"/>
  <c r="AI308" i="6"/>
  <c r="S309" i="6"/>
  <c r="AD309" i="6"/>
  <c r="AE309" i="6"/>
  <c r="AF309" i="6"/>
  <c r="AG309" i="6"/>
  <c r="AH309" i="6"/>
  <c r="AI309" i="6"/>
  <c r="S310" i="6"/>
  <c r="AD310" i="6"/>
  <c r="AE310" i="6"/>
  <c r="AF310" i="6"/>
  <c r="AG310" i="6"/>
  <c r="AH310" i="6"/>
  <c r="AI310" i="6"/>
  <c r="S311" i="6"/>
  <c r="AD311" i="6"/>
  <c r="AE311" i="6"/>
  <c r="AF311" i="6"/>
  <c r="AG311" i="6"/>
  <c r="AH311" i="6"/>
  <c r="AI311" i="6"/>
  <c r="S312" i="6"/>
  <c r="AD312" i="6"/>
  <c r="AE312" i="6"/>
  <c r="AF312" i="6"/>
  <c r="AG312" i="6"/>
  <c r="AH312" i="6"/>
  <c r="AI312" i="6"/>
  <c r="S313" i="6"/>
  <c r="AD313" i="6"/>
  <c r="AE313" i="6"/>
  <c r="AF313" i="6"/>
  <c r="AG313" i="6"/>
  <c r="AH313" i="6"/>
  <c r="AI313" i="6"/>
  <c r="S314" i="6"/>
  <c r="AD314" i="6"/>
  <c r="AE314" i="6"/>
  <c r="AF314" i="6"/>
  <c r="AG314" i="6"/>
  <c r="AH314" i="6"/>
  <c r="AI314" i="6"/>
  <c r="S315" i="6"/>
  <c r="AD315" i="6"/>
  <c r="AE315" i="6"/>
  <c r="AF315" i="6"/>
  <c r="AG315" i="6"/>
  <c r="AH315" i="6"/>
  <c r="AI315" i="6"/>
  <c r="S316" i="6"/>
  <c r="AD316" i="6"/>
  <c r="AE316" i="6"/>
  <c r="AF316" i="6"/>
  <c r="AG316" i="6"/>
  <c r="AH316" i="6"/>
  <c r="AI316" i="6"/>
  <c r="S317" i="6"/>
  <c r="AD317" i="6"/>
  <c r="AE317" i="6"/>
  <c r="AF317" i="6"/>
  <c r="AG317" i="6"/>
  <c r="AH317" i="6"/>
  <c r="AI317" i="6"/>
  <c r="S318" i="6"/>
  <c r="AD318" i="6"/>
  <c r="AE318" i="6"/>
  <c r="AF318" i="6"/>
  <c r="AG318" i="6"/>
  <c r="AH318" i="6"/>
  <c r="AI318" i="6"/>
  <c r="S319" i="6"/>
  <c r="AD319" i="6"/>
  <c r="AE319" i="6"/>
  <c r="AF319" i="6"/>
  <c r="AG319" i="6"/>
  <c r="AH319" i="6"/>
  <c r="AI319" i="6"/>
  <c r="S320" i="6"/>
  <c r="AD320" i="6"/>
  <c r="AE320" i="6"/>
  <c r="AF320" i="6"/>
  <c r="AG320" i="6"/>
  <c r="AH320" i="6"/>
  <c r="AI320" i="6"/>
  <c r="S321" i="6"/>
  <c r="AD321" i="6"/>
  <c r="AE321" i="6"/>
  <c r="AF321" i="6"/>
  <c r="AG321" i="6"/>
  <c r="AH321" i="6"/>
  <c r="AI321" i="6"/>
  <c r="S322" i="6"/>
  <c r="AD322" i="6"/>
  <c r="AE322" i="6"/>
  <c r="AF322" i="6"/>
  <c r="AG322" i="6"/>
  <c r="AH322" i="6"/>
  <c r="AI322" i="6"/>
  <c r="S323" i="6"/>
  <c r="AD323" i="6"/>
  <c r="AE323" i="6"/>
  <c r="AF323" i="6"/>
  <c r="AG323" i="6"/>
  <c r="AH323" i="6"/>
  <c r="AI323" i="6"/>
  <c r="S324" i="6"/>
  <c r="AD324" i="6"/>
  <c r="AE324" i="6"/>
  <c r="AF324" i="6"/>
  <c r="AG324" i="6"/>
  <c r="AH324" i="6"/>
  <c r="AI324" i="6"/>
  <c r="S325" i="6"/>
  <c r="AD325" i="6"/>
  <c r="AE325" i="6"/>
  <c r="AF325" i="6"/>
  <c r="AG325" i="6"/>
  <c r="AH325" i="6"/>
  <c r="AI325" i="6"/>
  <c r="S326" i="6"/>
  <c r="AD326" i="6"/>
  <c r="AE326" i="6"/>
  <c r="AF326" i="6"/>
  <c r="AG326" i="6"/>
  <c r="AH326" i="6"/>
  <c r="AI326" i="6"/>
  <c r="S327" i="6"/>
  <c r="S328" i="6"/>
  <c r="S330" i="6"/>
  <c r="S331" i="6"/>
  <c r="S332" i="6"/>
  <c r="S333" i="6"/>
  <c r="AD333" i="6"/>
  <c r="AE333" i="6"/>
  <c r="AF333" i="6"/>
  <c r="AG333" i="6"/>
  <c r="AH333" i="6"/>
  <c r="AI333" i="6"/>
  <c r="S334" i="6"/>
  <c r="AD334" i="6"/>
  <c r="AE334" i="6"/>
  <c r="AF334" i="6"/>
  <c r="AG334" i="6"/>
  <c r="AH334" i="6"/>
  <c r="AI334" i="6"/>
  <c r="S335" i="6"/>
  <c r="AD335" i="6"/>
  <c r="AE335" i="6"/>
  <c r="AF335" i="6"/>
  <c r="AG335" i="6"/>
  <c r="AH335" i="6"/>
  <c r="AI335" i="6"/>
  <c r="S336" i="6"/>
  <c r="AD336" i="6"/>
  <c r="AE336" i="6"/>
  <c r="AF336" i="6"/>
  <c r="AG336" i="6"/>
  <c r="AH336" i="6"/>
  <c r="AI336" i="6"/>
  <c r="S337" i="6"/>
  <c r="AD337" i="6"/>
  <c r="AE337" i="6"/>
  <c r="AF337" i="6"/>
  <c r="AG337" i="6"/>
  <c r="AH337" i="6"/>
  <c r="AI337" i="6"/>
  <c r="S338" i="6"/>
  <c r="AD338" i="6"/>
  <c r="AE338" i="6"/>
  <c r="AF338" i="6"/>
  <c r="AG338" i="6"/>
  <c r="AH338" i="6"/>
  <c r="AI338" i="6"/>
  <c r="S339" i="6"/>
  <c r="AD339" i="6"/>
  <c r="AE339" i="6"/>
  <c r="AF339" i="6"/>
  <c r="AG339" i="6"/>
  <c r="AH339" i="6"/>
  <c r="AI339" i="6"/>
  <c r="S340" i="6"/>
  <c r="AD340" i="6"/>
  <c r="AE340" i="6"/>
  <c r="AF340" i="6"/>
  <c r="AG340" i="6"/>
  <c r="AH340" i="6"/>
  <c r="AI340" i="6"/>
  <c r="S341" i="6"/>
  <c r="AD341" i="6"/>
  <c r="AE341" i="6"/>
  <c r="AF341" i="6"/>
  <c r="AG341" i="6"/>
  <c r="AH341" i="6"/>
  <c r="AI341" i="6"/>
  <c r="S342" i="6"/>
  <c r="AD342" i="6"/>
  <c r="AE342" i="6"/>
  <c r="AF342" i="6"/>
  <c r="AG342" i="6"/>
  <c r="AH342" i="6"/>
  <c r="AI342" i="6"/>
  <c r="S343" i="6"/>
  <c r="AD343" i="6"/>
  <c r="AE343" i="6"/>
  <c r="AF343" i="6"/>
  <c r="AG343" i="6"/>
  <c r="AH343" i="6"/>
  <c r="AI343" i="6"/>
  <c r="S344" i="6"/>
  <c r="AD344" i="6"/>
  <c r="AE344" i="6"/>
  <c r="AF344" i="6"/>
  <c r="AG344" i="6"/>
  <c r="AH344" i="6"/>
  <c r="AI344" i="6"/>
  <c r="S345" i="6"/>
  <c r="AD345" i="6"/>
  <c r="AE345" i="6"/>
  <c r="AF345" i="6"/>
  <c r="AG345" i="6"/>
  <c r="AH345" i="6"/>
  <c r="AI345" i="6"/>
  <c r="S346" i="6"/>
  <c r="AD346" i="6"/>
  <c r="AE346" i="6"/>
  <c r="AF346" i="6"/>
  <c r="AG346" i="6"/>
  <c r="AH346" i="6"/>
  <c r="AI346" i="6"/>
  <c r="S347" i="6"/>
  <c r="AD347" i="6"/>
  <c r="AE347" i="6"/>
  <c r="AF347" i="6"/>
  <c r="AG347" i="6"/>
  <c r="AH347" i="6"/>
  <c r="AI347" i="6"/>
  <c r="S348" i="6"/>
  <c r="AD348" i="6"/>
  <c r="AE348" i="6"/>
  <c r="AF348" i="6"/>
  <c r="AG348" i="6"/>
  <c r="AH348" i="6"/>
  <c r="AI348" i="6"/>
  <c r="S349" i="6"/>
  <c r="AD349" i="6"/>
  <c r="AE349" i="6"/>
  <c r="AF349" i="6"/>
  <c r="AG349" i="6"/>
  <c r="AH349" i="6"/>
  <c r="AI349" i="6"/>
  <c r="S350" i="6"/>
  <c r="AD350" i="6"/>
  <c r="AE350" i="6"/>
  <c r="AF350" i="6"/>
  <c r="AG350" i="6"/>
  <c r="AH350" i="6"/>
  <c r="AI350" i="6"/>
  <c r="S351" i="6"/>
  <c r="AD351" i="6"/>
  <c r="AE351" i="6"/>
  <c r="AF351" i="6"/>
  <c r="AG351" i="6"/>
  <c r="AH351" i="6"/>
  <c r="AI351" i="6"/>
  <c r="S352" i="6"/>
  <c r="AD352" i="6"/>
  <c r="AE352" i="6"/>
  <c r="AF352" i="6"/>
  <c r="AG352" i="6"/>
  <c r="AH352" i="6"/>
  <c r="AI352" i="6"/>
  <c r="S353" i="6"/>
  <c r="AD353" i="6"/>
  <c r="AE353" i="6"/>
  <c r="AF353" i="6"/>
  <c r="AG353" i="6"/>
  <c r="AH353" i="6"/>
  <c r="AI353" i="6"/>
  <c r="S354" i="6"/>
  <c r="AD354" i="6"/>
  <c r="AE354" i="6"/>
  <c r="AF354" i="6"/>
  <c r="AG354" i="6"/>
  <c r="AH354" i="6"/>
  <c r="AI354" i="6"/>
  <c r="S355" i="6"/>
  <c r="AD355" i="6"/>
  <c r="AE355" i="6"/>
  <c r="AF355" i="6"/>
  <c r="AG355" i="6"/>
  <c r="AH355" i="6"/>
  <c r="AI355" i="6"/>
  <c r="S356" i="6"/>
  <c r="AD356" i="6"/>
  <c r="AE356" i="6"/>
  <c r="AF356" i="6"/>
  <c r="AG356" i="6"/>
  <c r="AH356" i="6"/>
  <c r="AI356" i="6"/>
  <c r="S357" i="6"/>
  <c r="AD357" i="6"/>
  <c r="AE357" i="6"/>
  <c r="AF357" i="6"/>
  <c r="AG357" i="6"/>
  <c r="AH357" i="6"/>
  <c r="AI357" i="6"/>
  <c r="S358" i="6"/>
  <c r="AD358" i="6"/>
  <c r="AE358" i="6"/>
  <c r="AF358" i="6"/>
  <c r="AG358" i="6"/>
  <c r="AH358" i="6"/>
  <c r="AI358" i="6"/>
  <c r="S359" i="6"/>
  <c r="AD359" i="6"/>
  <c r="AE359" i="6"/>
  <c r="AF359" i="6"/>
  <c r="AG359" i="6"/>
  <c r="AH359" i="6"/>
  <c r="AI359" i="6"/>
  <c r="S360" i="6"/>
  <c r="AD360" i="6"/>
  <c r="AE360" i="6"/>
  <c r="AF360" i="6"/>
  <c r="AG360" i="6"/>
  <c r="AH360" i="6"/>
  <c r="AI360" i="6"/>
  <c r="S361" i="6"/>
  <c r="AD361" i="6"/>
  <c r="AE361" i="6"/>
  <c r="AF361" i="6"/>
  <c r="AG361" i="6"/>
  <c r="AH361" i="6"/>
  <c r="AI361" i="6"/>
  <c r="S362" i="6"/>
  <c r="AD362" i="6"/>
  <c r="AE362" i="6"/>
  <c r="AF362" i="6"/>
  <c r="AG362" i="6"/>
  <c r="AH362" i="6"/>
  <c r="AI362" i="6"/>
  <c r="S363" i="6"/>
  <c r="AD363" i="6"/>
  <c r="AE363" i="6"/>
  <c r="AF363" i="6"/>
  <c r="AG363" i="6"/>
  <c r="AH363" i="6"/>
  <c r="AI363" i="6"/>
  <c r="S364" i="6"/>
  <c r="AD364" i="6"/>
  <c r="AE364" i="6"/>
  <c r="AF364" i="6"/>
  <c r="AG364" i="6"/>
  <c r="AH364" i="6"/>
  <c r="AI364" i="6"/>
  <c r="S365" i="6"/>
  <c r="AD365" i="6"/>
  <c r="AE365" i="6"/>
  <c r="AF365" i="6"/>
  <c r="AG365" i="6"/>
  <c r="AH365" i="6"/>
  <c r="AI365" i="6"/>
  <c r="S366" i="6"/>
  <c r="AD366" i="6"/>
  <c r="AE366" i="6"/>
  <c r="AF366" i="6"/>
  <c r="AG366" i="6"/>
  <c r="AH366" i="6"/>
  <c r="AI366" i="6"/>
  <c r="S367" i="6"/>
  <c r="AD367" i="6"/>
  <c r="AE367" i="6"/>
  <c r="AF367" i="6"/>
  <c r="AG367" i="6"/>
  <c r="AH367" i="6"/>
  <c r="AI367" i="6"/>
  <c r="S368" i="6"/>
  <c r="AD368" i="6"/>
  <c r="AE368" i="6"/>
  <c r="AF368" i="6"/>
  <c r="AG368" i="6"/>
  <c r="AH368" i="6"/>
  <c r="AI368" i="6"/>
  <c r="S369" i="6"/>
  <c r="AD369" i="6"/>
  <c r="AE369" i="6"/>
  <c r="AF369" i="6"/>
  <c r="AG369" i="6"/>
  <c r="AH369" i="6"/>
  <c r="AI369" i="6"/>
  <c r="S370" i="6"/>
  <c r="AD370" i="6"/>
  <c r="AE370" i="6"/>
  <c r="AF370" i="6"/>
  <c r="AG370" i="6"/>
  <c r="AH370" i="6"/>
  <c r="AI370" i="6"/>
  <c r="S371" i="6"/>
  <c r="AD371" i="6"/>
  <c r="AE371" i="6"/>
  <c r="AF371" i="6"/>
  <c r="AG371" i="6"/>
  <c r="AH371" i="6"/>
  <c r="AI371" i="6"/>
  <c r="S372" i="6"/>
  <c r="AD372" i="6"/>
  <c r="AE372" i="6"/>
  <c r="AF372" i="6"/>
  <c r="AG372" i="6"/>
  <c r="AH372" i="6"/>
  <c r="AI372" i="6"/>
  <c r="S373" i="6"/>
  <c r="AD373" i="6"/>
  <c r="AE373" i="6"/>
  <c r="AF373" i="6"/>
  <c r="AG373" i="6"/>
  <c r="AH373" i="6"/>
  <c r="AI373" i="6"/>
  <c r="S374" i="6"/>
  <c r="AD374" i="6"/>
  <c r="AE374" i="6"/>
  <c r="AF374" i="6"/>
  <c r="AG374" i="6"/>
  <c r="AH374" i="6"/>
  <c r="AI374" i="6"/>
  <c r="S375" i="6"/>
  <c r="AD375" i="6"/>
  <c r="AE375" i="6"/>
  <c r="AF375" i="6"/>
  <c r="AG375" i="6"/>
  <c r="AH375" i="6"/>
  <c r="AI375" i="6"/>
  <c r="S376" i="6"/>
  <c r="AD376" i="6"/>
  <c r="AE376" i="6"/>
  <c r="AF376" i="6"/>
  <c r="AG376" i="6"/>
  <c r="AH376" i="6"/>
  <c r="AI376" i="6"/>
  <c r="S377" i="6"/>
  <c r="AD377" i="6"/>
  <c r="AE377" i="6"/>
  <c r="AF377" i="6"/>
  <c r="AG377" i="6"/>
  <c r="AH377" i="6"/>
  <c r="AI377" i="6"/>
  <c r="S378" i="6"/>
  <c r="AD378" i="6"/>
  <c r="AE378" i="6"/>
  <c r="AF378" i="6"/>
  <c r="AG378" i="6"/>
  <c r="AH378" i="6"/>
  <c r="AI378" i="6"/>
  <c r="S379" i="6"/>
  <c r="AD379" i="6"/>
  <c r="AE379" i="6"/>
  <c r="AF379" i="6"/>
  <c r="AG379" i="6"/>
  <c r="AH379" i="6"/>
  <c r="AI379" i="6"/>
  <c r="S380" i="6"/>
  <c r="AD380" i="6"/>
  <c r="AE380" i="6"/>
  <c r="AF380" i="6"/>
  <c r="AG380" i="6"/>
  <c r="AH380" i="6"/>
  <c r="AI380" i="6"/>
  <c r="S381" i="6"/>
  <c r="AD381" i="6"/>
  <c r="AE381" i="6"/>
  <c r="AF381" i="6"/>
  <c r="AG381" i="6"/>
  <c r="AH381" i="6"/>
  <c r="AI381" i="6"/>
  <c r="S382" i="6"/>
  <c r="AD382" i="6"/>
  <c r="AE382" i="6"/>
  <c r="AF382" i="6"/>
  <c r="AG382" i="6"/>
  <c r="AH382" i="6"/>
  <c r="AI382" i="6"/>
  <c r="S383" i="6"/>
  <c r="AD383" i="6"/>
  <c r="AE383" i="6"/>
  <c r="AF383" i="6"/>
  <c r="AG383" i="6"/>
  <c r="AH383" i="6"/>
  <c r="AI383" i="6"/>
  <c r="S384" i="6"/>
  <c r="AD384" i="6"/>
  <c r="AE384" i="6"/>
  <c r="AF384" i="6"/>
  <c r="AG384" i="6"/>
  <c r="AH384" i="6"/>
  <c r="AI384" i="6"/>
  <c r="S385" i="6"/>
  <c r="AD385" i="6"/>
  <c r="AE385" i="6"/>
  <c r="AF385" i="6"/>
  <c r="AG385" i="6"/>
  <c r="AH385" i="6"/>
  <c r="AI385" i="6"/>
  <c r="S387" i="6"/>
  <c r="S388" i="6"/>
  <c r="S389" i="6"/>
  <c r="S390" i="6"/>
  <c r="AD390" i="6"/>
  <c r="AE390" i="6"/>
  <c r="AF390" i="6"/>
  <c r="AG390" i="6"/>
  <c r="AH390" i="6"/>
  <c r="AI390" i="6"/>
  <c r="S391" i="6"/>
  <c r="AD391" i="6"/>
  <c r="AE391" i="6"/>
  <c r="AF391" i="6"/>
  <c r="AG391" i="6"/>
  <c r="AH391" i="6"/>
  <c r="AI391" i="6"/>
  <c r="S392" i="6"/>
  <c r="AD392" i="6"/>
  <c r="AE392" i="6"/>
  <c r="AF392" i="6"/>
  <c r="AG392" i="6"/>
  <c r="AH392" i="6"/>
  <c r="AI392" i="6"/>
  <c r="S393" i="6"/>
  <c r="AD393" i="6"/>
  <c r="AE393" i="6"/>
  <c r="AF393" i="6"/>
  <c r="AG393" i="6"/>
  <c r="AH393" i="6"/>
  <c r="AI393" i="6"/>
  <c r="S394" i="6"/>
  <c r="AD394" i="6"/>
  <c r="AE394" i="6"/>
  <c r="AF394" i="6"/>
  <c r="AG394" i="6"/>
  <c r="AH394" i="6"/>
  <c r="AI394" i="6"/>
  <c r="S395" i="6"/>
  <c r="AD395" i="6"/>
  <c r="AE395" i="6"/>
  <c r="AF395" i="6"/>
  <c r="AG395" i="6"/>
  <c r="AH395" i="6"/>
  <c r="AI395" i="6"/>
  <c r="S396" i="6"/>
  <c r="AD396" i="6"/>
  <c r="AE396" i="6"/>
  <c r="AF396" i="6"/>
  <c r="AG396" i="6"/>
  <c r="AH396" i="6"/>
  <c r="AI396" i="6"/>
  <c r="S397" i="6"/>
  <c r="AD397" i="6"/>
  <c r="AE397" i="6"/>
  <c r="AF397" i="6"/>
  <c r="AG397" i="6"/>
  <c r="AH397" i="6"/>
  <c r="AI397" i="6"/>
  <c r="S398" i="6"/>
  <c r="AD398" i="6"/>
  <c r="AE398" i="6"/>
  <c r="AF398" i="6"/>
  <c r="AG398" i="6"/>
  <c r="AH398" i="6"/>
  <c r="AI398" i="6"/>
  <c r="S399" i="6"/>
  <c r="AD399" i="6"/>
  <c r="AE399" i="6"/>
  <c r="AF399" i="6"/>
  <c r="AG399" i="6"/>
  <c r="AH399" i="6"/>
  <c r="AI399" i="6"/>
  <c r="S400" i="6"/>
  <c r="AD400" i="6"/>
  <c r="AE400" i="6"/>
  <c r="AF400" i="6"/>
  <c r="AG400" i="6"/>
  <c r="AH400" i="6"/>
  <c r="AI400" i="6"/>
  <c r="S401" i="6"/>
  <c r="AD401" i="6"/>
  <c r="AE401" i="6"/>
  <c r="AF401" i="6"/>
  <c r="AG401" i="6"/>
  <c r="AH401" i="6"/>
  <c r="AI401" i="6"/>
  <c r="S402" i="6"/>
  <c r="AD402" i="6"/>
  <c r="AE402" i="6"/>
  <c r="AF402" i="6"/>
  <c r="AG402" i="6"/>
  <c r="AH402" i="6"/>
  <c r="AI402" i="6"/>
  <c r="S403" i="6"/>
  <c r="AD403" i="6"/>
  <c r="AE403" i="6"/>
  <c r="AF403" i="6"/>
  <c r="AG403" i="6"/>
  <c r="AH403" i="6"/>
  <c r="AI403" i="6"/>
  <c r="S404" i="6"/>
  <c r="AD404" i="6"/>
  <c r="AE404" i="6"/>
  <c r="AF404" i="6"/>
  <c r="AG404" i="6"/>
  <c r="AH404" i="6"/>
  <c r="AI404" i="6"/>
  <c r="S405" i="6"/>
  <c r="AD405" i="6"/>
  <c r="AE405" i="6"/>
  <c r="AF405" i="6"/>
  <c r="AG405" i="6"/>
  <c r="AH405" i="6"/>
  <c r="AI405" i="6"/>
  <c r="S406" i="6"/>
  <c r="AD406" i="6"/>
  <c r="AE406" i="6"/>
  <c r="AF406" i="6"/>
  <c r="AG406" i="6"/>
  <c r="AH406" i="6"/>
  <c r="AI406" i="6"/>
  <c r="S407" i="6"/>
  <c r="AD407" i="6"/>
  <c r="AE407" i="6"/>
  <c r="AF407" i="6"/>
  <c r="AG407" i="6"/>
  <c r="AH407" i="6"/>
  <c r="AI407" i="6"/>
  <c r="S408" i="6"/>
  <c r="AD408" i="6"/>
  <c r="AE408" i="6"/>
  <c r="AF408" i="6"/>
  <c r="AG408" i="6"/>
  <c r="AH408" i="6"/>
  <c r="AI408" i="6"/>
  <c r="S409" i="6"/>
  <c r="AD409" i="6"/>
  <c r="AE409" i="6"/>
  <c r="AF409" i="6"/>
  <c r="AG409" i="6"/>
  <c r="AH409" i="6"/>
  <c r="AI409" i="6"/>
  <c r="S410" i="6"/>
  <c r="AD410" i="6"/>
  <c r="AE410" i="6"/>
  <c r="AF410" i="6"/>
  <c r="AG410" i="6"/>
  <c r="AH410" i="6"/>
  <c r="AI410" i="6"/>
  <c r="S411" i="6"/>
  <c r="AD411" i="6"/>
  <c r="AE411" i="6"/>
  <c r="AF411" i="6"/>
  <c r="AG411" i="6"/>
  <c r="AH411" i="6"/>
  <c r="AI411" i="6"/>
  <c r="S412" i="6"/>
  <c r="AD412" i="6"/>
  <c r="AE412" i="6"/>
  <c r="AF412" i="6"/>
  <c r="AG412" i="6"/>
  <c r="AH412" i="6"/>
  <c r="AI412" i="6"/>
  <c r="S413" i="6"/>
  <c r="AD413" i="6"/>
  <c r="AE413" i="6"/>
  <c r="AF413" i="6"/>
  <c r="AG413" i="6"/>
  <c r="AH413" i="6"/>
  <c r="AI413" i="6"/>
  <c r="S414" i="6"/>
  <c r="AD414" i="6"/>
  <c r="AE414" i="6"/>
  <c r="AF414" i="6"/>
  <c r="AG414" i="6"/>
  <c r="AH414" i="6"/>
  <c r="AI414" i="6"/>
  <c r="S415" i="6"/>
  <c r="AD415" i="6"/>
  <c r="AE415" i="6"/>
  <c r="AF415" i="6"/>
  <c r="AG415" i="6"/>
  <c r="AH415" i="6"/>
  <c r="AI415" i="6"/>
  <c r="S416" i="6"/>
  <c r="AD416" i="6"/>
  <c r="AE416" i="6"/>
  <c r="AF416" i="6"/>
  <c r="AG416" i="6"/>
  <c r="AH416" i="6"/>
  <c r="AI416" i="6"/>
  <c r="S417" i="6"/>
  <c r="AD417" i="6"/>
  <c r="AE417" i="6"/>
  <c r="AF417" i="6"/>
  <c r="AG417" i="6"/>
  <c r="AH417" i="6"/>
  <c r="AI417" i="6"/>
  <c r="S418" i="6"/>
  <c r="AD418" i="6"/>
  <c r="AE418" i="6"/>
  <c r="AF418" i="6"/>
  <c r="AG418" i="6"/>
  <c r="AH418" i="6"/>
  <c r="AI418" i="6"/>
  <c r="S419" i="6"/>
  <c r="AD419" i="6"/>
  <c r="AE419" i="6"/>
  <c r="AF419" i="6"/>
  <c r="AG419" i="6"/>
  <c r="AH419" i="6"/>
  <c r="AI419" i="6"/>
  <c r="S420" i="6"/>
  <c r="AD420" i="6"/>
  <c r="AE420" i="6"/>
  <c r="AF420" i="6"/>
  <c r="AG420" i="6"/>
  <c r="AH420" i="6"/>
  <c r="AI420" i="6"/>
  <c r="S421" i="6"/>
  <c r="AD421" i="6"/>
  <c r="AE421" i="6"/>
  <c r="AF421" i="6"/>
  <c r="AG421" i="6"/>
  <c r="AH421" i="6"/>
  <c r="AI421" i="6"/>
  <c r="S422" i="6"/>
  <c r="AD422" i="6"/>
  <c r="AE422" i="6"/>
  <c r="AF422" i="6"/>
  <c r="AG422" i="6"/>
  <c r="AH422" i="6"/>
  <c r="AI422" i="6"/>
  <c r="S423" i="6"/>
  <c r="AD423" i="6"/>
  <c r="AE423" i="6"/>
  <c r="AF423" i="6"/>
  <c r="AG423" i="6"/>
  <c r="AH423" i="6"/>
  <c r="AI423" i="6"/>
  <c r="S424" i="6"/>
  <c r="AD424" i="6"/>
  <c r="AE424" i="6"/>
  <c r="AF424" i="6"/>
  <c r="AG424" i="6"/>
  <c r="AH424" i="6"/>
  <c r="AI424" i="6"/>
  <c r="S425" i="6"/>
  <c r="AD425" i="6"/>
  <c r="AE425" i="6"/>
  <c r="AF425" i="6"/>
  <c r="AG425" i="6"/>
  <c r="AH425" i="6"/>
  <c r="AI425" i="6"/>
  <c r="S426" i="6"/>
  <c r="AD426" i="6"/>
  <c r="AE426" i="6"/>
  <c r="AF426" i="6"/>
  <c r="AG426" i="6"/>
  <c r="AH426" i="6"/>
  <c r="AI426" i="6"/>
  <c r="S427" i="6"/>
  <c r="AD427" i="6"/>
  <c r="AE427" i="6"/>
  <c r="AF427" i="6"/>
  <c r="AG427" i="6"/>
  <c r="AH427" i="6"/>
  <c r="AI427" i="6"/>
  <c r="S428" i="6"/>
  <c r="AD428" i="6"/>
  <c r="AE428" i="6"/>
  <c r="AF428" i="6"/>
  <c r="AG428" i="6"/>
  <c r="AH428" i="6"/>
  <c r="AI428" i="6"/>
  <c r="S429" i="6"/>
  <c r="AD429" i="6"/>
  <c r="AE429" i="6"/>
  <c r="AF429" i="6"/>
  <c r="AG429" i="6"/>
  <c r="AH429" i="6"/>
  <c r="AI429" i="6"/>
  <c r="S430" i="6"/>
  <c r="AD430" i="6"/>
  <c r="AE430" i="6"/>
  <c r="AF430" i="6"/>
  <c r="AG430" i="6"/>
  <c r="AH430" i="6"/>
  <c r="AI430" i="6"/>
  <c r="S431" i="6"/>
  <c r="AD431" i="6"/>
  <c r="AE431" i="6"/>
  <c r="AF431" i="6"/>
  <c r="AG431" i="6"/>
  <c r="AH431" i="6"/>
  <c r="AI431" i="6"/>
  <c r="S432" i="6"/>
  <c r="AD432" i="6"/>
  <c r="AE432" i="6"/>
  <c r="AF432" i="6"/>
  <c r="AG432" i="6"/>
  <c r="AH432" i="6"/>
  <c r="AI432" i="6"/>
  <c r="S433" i="6"/>
  <c r="AD433" i="6"/>
  <c r="AE433" i="6"/>
  <c r="AF433" i="6"/>
  <c r="AG433" i="6"/>
  <c r="AH433" i="6"/>
  <c r="AI433" i="6"/>
  <c r="S434" i="6"/>
  <c r="AD434" i="6"/>
  <c r="AE434" i="6"/>
  <c r="AF434" i="6"/>
  <c r="AG434" i="6"/>
  <c r="AH434" i="6"/>
  <c r="AI434" i="6"/>
  <c r="S435" i="6"/>
  <c r="AD435" i="6"/>
  <c r="AE435" i="6"/>
  <c r="AF435" i="6"/>
  <c r="AG435" i="6"/>
  <c r="AH435" i="6"/>
  <c r="AI435" i="6"/>
  <c r="S436" i="6"/>
  <c r="AD436" i="6"/>
  <c r="AE436" i="6"/>
  <c r="AF436" i="6"/>
  <c r="AG436" i="6"/>
  <c r="AH436" i="6"/>
  <c r="AI436" i="6"/>
  <c r="S437" i="6"/>
  <c r="AD437" i="6"/>
  <c r="AE437" i="6"/>
  <c r="AF437" i="6"/>
  <c r="AG437" i="6"/>
  <c r="AH437" i="6"/>
  <c r="AI437" i="6"/>
  <c r="S438" i="6"/>
  <c r="AD438" i="6"/>
  <c r="AE438" i="6"/>
  <c r="AF438" i="6"/>
  <c r="AG438" i="6"/>
  <c r="AH438" i="6"/>
  <c r="AI438" i="6"/>
  <c r="S439" i="6"/>
  <c r="AD439" i="6"/>
  <c r="AE439" i="6"/>
  <c r="AF439" i="6"/>
  <c r="AG439" i="6"/>
  <c r="AH439" i="6"/>
  <c r="AI439" i="6"/>
  <c r="S440" i="6"/>
  <c r="AD440" i="6"/>
  <c r="AE440" i="6"/>
  <c r="AF440" i="6"/>
  <c r="AG440" i="6"/>
  <c r="AH440" i="6"/>
  <c r="AI440" i="6"/>
  <c r="S441" i="6"/>
  <c r="AD441" i="6"/>
  <c r="AE441" i="6"/>
  <c r="AF441" i="6"/>
  <c r="AG441" i="6"/>
  <c r="AH441" i="6"/>
  <c r="AI441" i="6"/>
  <c r="S442" i="6"/>
  <c r="AD442" i="6"/>
  <c r="AE442" i="6"/>
  <c r="AF442" i="6"/>
  <c r="AG442" i="6"/>
  <c r="AH442" i="6"/>
  <c r="AI442" i="6"/>
  <c r="S443" i="6"/>
  <c r="AD443" i="6"/>
  <c r="AE443" i="6"/>
  <c r="AF443" i="6"/>
  <c r="AG443" i="6"/>
  <c r="AH443" i="6"/>
  <c r="AI443" i="6"/>
  <c r="S444" i="6"/>
  <c r="AD444" i="6"/>
  <c r="AE444" i="6"/>
  <c r="AF444" i="6"/>
  <c r="AG444" i="6"/>
  <c r="AH444" i="6"/>
  <c r="AI444" i="6"/>
  <c r="S445" i="6"/>
  <c r="AD445" i="6"/>
  <c r="AE445" i="6"/>
  <c r="AF445" i="6"/>
  <c r="AG445" i="6"/>
  <c r="AH445" i="6"/>
  <c r="AI445" i="6"/>
  <c r="S446" i="6"/>
  <c r="AD446" i="6"/>
  <c r="AE446" i="6"/>
  <c r="AF446" i="6"/>
  <c r="AG446" i="6"/>
  <c r="AH446" i="6"/>
  <c r="AI446" i="6"/>
  <c r="S447" i="6"/>
  <c r="AD447" i="6"/>
  <c r="AE447" i="6"/>
  <c r="AF447" i="6"/>
  <c r="AG447" i="6"/>
  <c r="AH447" i="6"/>
  <c r="AI447" i="6"/>
  <c r="S448" i="6"/>
  <c r="AD448" i="6"/>
  <c r="AE448" i="6"/>
  <c r="AF448" i="6"/>
  <c r="AG448" i="6"/>
  <c r="AH448" i="6"/>
  <c r="AI448" i="6"/>
  <c r="S449" i="6"/>
  <c r="AD449" i="6"/>
  <c r="AE449" i="6"/>
  <c r="AF449" i="6"/>
  <c r="AG449" i="6"/>
  <c r="AH449" i="6"/>
  <c r="AI449" i="6"/>
  <c r="S450" i="6"/>
  <c r="AD450" i="6"/>
  <c r="AE450" i="6"/>
  <c r="AF450" i="6"/>
  <c r="AG450" i="6"/>
  <c r="AH450" i="6"/>
  <c r="AI450" i="6"/>
  <c r="S451" i="6"/>
  <c r="AD451" i="6"/>
  <c r="AE451" i="6"/>
  <c r="AF451" i="6"/>
  <c r="AG451" i="6"/>
  <c r="AH451" i="6"/>
  <c r="AI451" i="6"/>
  <c r="S452" i="6"/>
  <c r="AD452" i="6"/>
  <c r="AE452" i="6"/>
  <c r="AF452" i="6"/>
  <c r="AG452" i="6"/>
  <c r="AH452" i="6"/>
  <c r="AI452" i="6"/>
  <c r="S453" i="6"/>
  <c r="AD453" i="6"/>
  <c r="AE453" i="6"/>
  <c r="AF453" i="6"/>
  <c r="AG453" i="6"/>
  <c r="AH453" i="6"/>
  <c r="AI453" i="6"/>
  <c r="S454" i="6"/>
  <c r="AD454" i="6"/>
  <c r="AE454" i="6"/>
  <c r="AF454" i="6"/>
  <c r="AG454" i="6"/>
  <c r="AH454" i="6"/>
  <c r="AI454" i="6"/>
  <c r="S455" i="6"/>
  <c r="AD455" i="6"/>
  <c r="AE455" i="6"/>
  <c r="AF455" i="6"/>
  <c r="AG455" i="6"/>
  <c r="AH455" i="6"/>
  <c r="AI455" i="6"/>
  <c r="S457" i="6"/>
  <c r="S458" i="6"/>
  <c r="S459" i="6"/>
  <c r="AD459" i="6"/>
  <c r="AE459" i="6"/>
  <c r="AF459" i="6"/>
  <c r="AG459" i="6"/>
  <c r="AH459" i="6"/>
  <c r="AI459" i="6"/>
  <c r="S460" i="6"/>
  <c r="AD460" i="6"/>
  <c r="AE460" i="6"/>
  <c r="AF460" i="6"/>
  <c r="AG460" i="6"/>
  <c r="AH460" i="6"/>
  <c r="AI460" i="6"/>
  <c r="S461" i="6"/>
  <c r="AD461" i="6"/>
  <c r="AE461" i="6"/>
  <c r="AF461" i="6"/>
  <c r="AG461" i="6"/>
  <c r="AH461" i="6"/>
  <c r="AI461" i="6"/>
  <c r="S462" i="6"/>
  <c r="AD462" i="6"/>
  <c r="AE462" i="6"/>
  <c r="AF462" i="6"/>
  <c r="AG462" i="6"/>
  <c r="AH462" i="6"/>
  <c r="AI462" i="6"/>
  <c r="S463" i="6"/>
  <c r="AD463" i="6"/>
  <c r="AE463" i="6"/>
  <c r="AF463" i="6"/>
  <c r="AG463" i="6"/>
  <c r="AH463" i="6"/>
  <c r="AI463" i="6"/>
  <c r="S464" i="6"/>
  <c r="AD464" i="6"/>
  <c r="AE464" i="6"/>
  <c r="AF464" i="6"/>
  <c r="AG464" i="6"/>
  <c r="AH464" i="6"/>
  <c r="AI464" i="6"/>
  <c r="S465" i="6"/>
  <c r="AD465" i="6"/>
  <c r="AE465" i="6"/>
  <c r="AF465" i="6"/>
  <c r="AG465" i="6"/>
  <c r="AH465" i="6"/>
  <c r="AI465" i="6"/>
  <c r="S466" i="6"/>
  <c r="AD466" i="6"/>
  <c r="AE466" i="6"/>
  <c r="AF466" i="6"/>
  <c r="AG466" i="6"/>
  <c r="AH466" i="6"/>
  <c r="AI466" i="6"/>
  <c r="S467" i="6"/>
  <c r="AD467" i="6"/>
  <c r="AE467" i="6"/>
  <c r="AF467" i="6"/>
  <c r="AG467" i="6"/>
  <c r="AH467" i="6"/>
  <c r="AI467" i="6"/>
  <c r="S468" i="6"/>
  <c r="AD468" i="6"/>
  <c r="AE468" i="6"/>
  <c r="AF468" i="6"/>
  <c r="AG468" i="6"/>
  <c r="AH468" i="6"/>
  <c r="AI468" i="6"/>
  <c r="S469" i="6"/>
  <c r="AD469" i="6"/>
  <c r="AE469" i="6"/>
  <c r="AF469" i="6"/>
  <c r="AG469" i="6"/>
  <c r="AH469" i="6"/>
  <c r="AI469" i="6"/>
  <c r="S470" i="6"/>
  <c r="AD470" i="6"/>
  <c r="AE470" i="6"/>
  <c r="AF470" i="6"/>
  <c r="AG470" i="6"/>
  <c r="AH470" i="6"/>
  <c r="AI470" i="6"/>
  <c r="S471" i="6"/>
  <c r="AD471" i="6"/>
  <c r="AE471" i="6"/>
  <c r="AF471" i="6"/>
  <c r="AG471" i="6"/>
  <c r="AH471" i="6"/>
  <c r="AI471" i="6"/>
  <c r="S472" i="6"/>
  <c r="AD472" i="6"/>
  <c r="AE472" i="6"/>
  <c r="AF472" i="6"/>
  <c r="AG472" i="6"/>
  <c r="AH472" i="6"/>
  <c r="AI472" i="6"/>
  <c r="S473" i="6"/>
  <c r="AD473" i="6"/>
  <c r="AE473" i="6"/>
  <c r="AF473" i="6"/>
  <c r="AG473" i="6"/>
  <c r="AH473" i="6"/>
  <c r="AI473" i="6"/>
  <c r="S474" i="6"/>
  <c r="AD474" i="6"/>
  <c r="AE474" i="6"/>
  <c r="AF474" i="6"/>
  <c r="AG474" i="6"/>
  <c r="AH474" i="6"/>
  <c r="AI474" i="6"/>
  <c r="S475" i="6"/>
  <c r="AD475" i="6"/>
  <c r="AE475" i="6"/>
  <c r="AF475" i="6"/>
  <c r="AG475" i="6"/>
  <c r="AH475" i="6"/>
  <c r="AI475" i="6"/>
  <c r="S476" i="6"/>
  <c r="AD476" i="6"/>
  <c r="AE476" i="6"/>
  <c r="AF476" i="6"/>
  <c r="AG476" i="6"/>
  <c r="AH476" i="6"/>
  <c r="AI476" i="6"/>
  <c r="S477" i="6"/>
  <c r="AD477" i="6"/>
  <c r="AE477" i="6"/>
  <c r="AF477" i="6"/>
  <c r="AG477" i="6"/>
  <c r="AH477" i="6"/>
  <c r="AI477" i="6"/>
  <c r="S478" i="6"/>
  <c r="AD478" i="6"/>
  <c r="AE478" i="6"/>
  <c r="AF478" i="6"/>
  <c r="AG478" i="6"/>
  <c r="AH478" i="6"/>
  <c r="AI478" i="6"/>
  <c r="S479" i="6"/>
  <c r="AD479" i="6"/>
  <c r="AE479" i="6"/>
  <c r="AF479" i="6"/>
  <c r="AG479" i="6"/>
  <c r="AH479" i="6"/>
  <c r="AI479" i="6"/>
  <c r="S480" i="6"/>
  <c r="AD480" i="6"/>
  <c r="AE480" i="6"/>
  <c r="AF480" i="6"/>
  <c r="AG480" i="6"/>
  <c r="AH480" i="6"/>
  <c r="AI480" i="6"/>
  <c r="S481" i="6"/>
  <c r="AD481" i="6"/>
  <c r="AE481" i="6"/>
  <c r="AF481" i="6"/>
  <c r="AG481" i="6"/>
  <c r="AH481" i="6"/>
  <c r="AI481" i="6"/>
  <c r="S482" i="6"/>
  <c r="AD482" i="6"/>
  <c r="AE482" i="6"/>
  <c r="AF482" i="6"/>
  <c r="AG482" i="6"/>
  <c r="AH482" i="6"/>
  <c r="AI482" i="6"/>
  <c r="S483" i="6"/>
  <c r="AD483" i="6"/>
  <c r="AE483" i="6"/>
  <c r="AF483" i="6"/>
  <c r="AG483" i="6"/>
  <c r="AH483" i="6"/>
  <c r="AI483" i="6"/>
  <c r="S484" i="6"/>
  <c r="AD484" i="6"/>
  <c r="AE484" i="6"/>
  <c r="AF484" i="6"/>
  <c r="AG484" i="6"/>
  <c r="AH484" i="6"/>
  <c r="AI484" i="6"/>
  <c r="S485" i="6"/>
  <c r="AD485" i="6"/>
  <c r="AE485" i="6"/>
  <c r="AF485" i="6"/>
  <c r="AG485" i="6"/>
  <c r="AH485" i="6"/>
  <c r="AI485" i="6"/>
  <c r="S486" i="6"/>
  <c r="AD486" i="6"/>
  <c r="AE486" i="6"/>
  <c r="AF486" i="6"/>
  <c r="AG486" i="6"/>
  <c r="AH486" i="6"/>
  <c r="AI486" i="6"/>
  <c r="S487" i="6"/>
  <c r="AD487" i="6"/>
  <c r="AE487" i="6"/>
  <c r="AF487" i="6"/>
  <c r="AG487" i="6"/>
  <c r="AH487" i="6"/>
  <c r="AI487" i="6"/>
  <c r="S488" i="6"/>
  <c r="AD488" i="6"/>
  <c r="AE488" i="6"/>
  <c r="AF488" i="6"/>
  <c r="AG488" i="6"/>
  <c r="AH488" i="6"/>
  <c r="AI488" i="6"/>
  <c r="S489" i="6"/>
  <c r="AD489" i="6"/>
  <c r="AE489" i="6"/>
  <c r="AF489" i="6"/>
  <c r="AG489" i="6"/>
  <c r="AH489" i="6"/>
  <c r="AI489" i="6"/>
  <c r="S490" i="6"/>
  <c r="AD490" i="6"/>
  <c r="AE490" i="6"/>
  <c r="AF490" i="6"/>
  <c r="AG490" i="6"/>
  <c r="AH490" i="6"/>
  <c r="AI490" i="6"/>
  <c r="S491" i="6"/>
  <c r="AD491" i="6"/>
  <c r="AE491" i="6"/>
  <c r="AF491" i="6"/>
  <c r="AG491" i="6"/>
  <c r="AH491" i="6"/>
  <c r="AI491" i="6"/>
  <c r="S492" i="6"/>
  <c r="AD492" i="6"/>
  <c r="AE492" i="6"/>
  <c r="AF492" i="6"/>
  <c r="AG492" i="6"/>
  <c r="AH492" i="6"/>
  <c r="AI492" i="6"/>
  <c r="S493" i="6"/>
  <c r="AD493" i="6"/>
  <c r="AE493" i="6"/>
  <c r="AF493" i="6"/>
  <c r="AG493" i="6"/>
  <c r="AH493" i="6"/>
  <c r="AI493" i="6"/>
  <c r="S494" i="6"/>
  <c r="AD494" i="6"/>
  <c r="AE494" i="6"/>
  <c r="AF494" i="6"/>
  <c r="AG494" i="6"/>
  <c r="AH494" i="6"/>
  <c r="AI494" i="6"/>
  <c r="S495" i="6"/>
  <c r="AD495" i="6"/>
  <c r="AE495" i="6"/>
  <c r="AF495" i="6"/>
  <c r="AG495" i="6"/>
  <c r="AH495" i="6"/>
  <c r="AI495" i="6"/>
  <c r="S496" i="6"/>
  <c r="AD496" i="6"/>
  <c r="AE496" i="6"/>
  <c r="AF496" i="6"/>
  <c r="AG496" i="6"/>
  <c r="AH496" i="6"/>
  <c r="AI496" i="6"/>
  <c r="S497" i="6"/>
  <c r="AD497" i="6"/>
  <c r="AE497" i="6"/>
  <c r="AF497" i="6"/>
  <c r="AG497" i="6"/>
  <c r="AH497" i="6"/>
  <c r="AI497" i="6"/>
  <c r="S498" i="6"/>
  <c r="AD498" i="6"/>
  <c r="AE498" i="6"/>
  <c r="AF498" i="6"/>
  <c r="AG498" i="6"/>
  <c r="AH498" i="6"/>
  <c r="AI498" i="6"/>
  <c r="S499" i="6"/>
  <c r="AD499" i="6"/>
  <c r="AE499" i="6"/>
  <c r="AF499" i="6"/>
  <c r="AG499" i="6"/>
  <c r="AH499" i="6"/>
  <c r="AI499" i="6"/>
  <c r="S500" i="6"/>
  <c r="AD500" i="6"/>
  <c r="AE500" i="6"/>
  <c r="AF500" i="6"/>
  <c r="AG500" i="6"/>
  <c r="AH500" i="6"/>
  <c r="AI500" i="6"/>
  <c r="S501" i="6"/>
  <c r="AD501" i="6"/>
  <c r="AE501" i="6"/>
  <c r="AF501" i="6"/>
  <c r="AG501" i="6"/>
  <c r="AH501" i="6"/>
  <c r="AI501" i="6"/>
  <c r="S502" i="6"/>
  <c r="AD502" i="6"/>
  <c r="AE502" i="6"/>
  <c r="AF502" i="6"/>
  <c r="AG502" i="6"/>
  <c r="AH502" i="6"/>
  <c r="AI502" i="6"/>
  <c r="S503" i="6"/>
  <c r="AD503" i="6"/>
  <c r="AE503" i="6"/>
  <c r="AF503" i="6"/>
  <c r="AG503" i="6"/>
  <c r="AH503" i="6"/>
  <c r="AI503" i="6"/>
  <c r="S504" i="6"/>
  <c r="AD504" i="6"/>
  <c r="AE504" i="6"/>
  <c r="AF504" i="6"/>
  <c r="AG504" i="6"/>
  <c r="AH504" i="6"/>
  <c r="AI504" i="6"/>
  <c r="S505" i="6"/>
  <c r="AD505" i="6"/>
  <c r="AE505" i="6"/>
  <c r="AF505" i="6"/>
  <c r="AG505" i="6"/>
  <c r="AH505" i="6"/>
  <c r="AI505" i="6"/>
  <c r="S506" i="6"/>
  <c r="AD506" i="6"/>
  <c r="AE506" i="6"/>
  <c r="AF506" i="6"/>
  <c r="AG506" i="6"/>
  <c r="AH506" i="6"/>
  <c r="AI506" i="6"/>
  <c r="S507" i="6"/>
  <c r="AD507" i="6"/>
  <c r="AE507" i="6"/>
  <c r="AF507" i="6"/>
  <c r="AG507" i="6"/>
  <c r="AH507" i="6"/>
  <c r="AI507" i="6"/>
  <c r="S508" i="6"/>
  <c r="AD508" i="6"/>
  <c r="AE508" i="6"/>
  <c r="AF508" i="6"/>
  <c r="AG508" i="6"/>
  <c r="AH508" i="6"/>
  <c r="AI508" i="6"/>
  <c r="S509" i="6"/>
  <c r="AD509" i="6"/>
  <c r="AE509" i="6"/>
  <c r="AF509" i="6"/>
  <c r="AG509" i="6"/>
  <c r="AH509" i="6"/>
  <c r="AI509" i="6"/>
  <c r="S510" i="6"/>
  <c r="AD510" i="6"/>
  <c r="AE510" i="6"/>
  <c r="AF510" i="6"/>
  <c r="AG510" i="6"/>
  <c r="AH510" i="6"/>
  <c r="AI510" i="6"/>
  <c r="S511" i="6"/>
  <c r="AD511" i="6"/>
  <c r="AE511" i="6"/>
  <c r="AF511" i="6"/>
  <c r="AG511" i="6"/>
  <c r="AH511" i="6"/>
  <c r="AI511" i="6"/>
  <c r="S512" i="6"/>
  <c r="AD512" i="6"/>
  <c r="AE512" i="6"/>
  <c r="AF512" i="6"/>
  <c r="AG512" i="6"/>
  <c r="AH512" i="6"/>
  <c r="AI512" i="6"/>
  <c r="S513" i="6"/>
  <c r="AD513" i="6"/>
  <c r="AE513" i="6"/>
  <c r="AF513" i="6"/>
  <c r="AG513" i="6"/>
  <c r="AH513" i="6"/>
  <c r="AI513" i="6"/>
  <c r="S514" i="6"/>
  <c r="AD514" i="6"/>
  <c r="AE514" i="6"/>
  <c r="AF514" i="6"/>
  <c r="AG514" i="6"/>
  <c r="AH514" i="6"/>
  <c r="AI514" i="6"/>
  <c r="S515" i="6"/>
  <c r="AD515" i="6"/>
  <c r="AE515" i="6"/>
  <c r="AF515" i="6"/>
  <c r="AG515" i="6"/>
  <c r="AH515" i="6"/>
  <c r="AI515" i="6"/>
  <c r="S13" i="6" l="1"/>
  <c r="AD13" i="6"/>
  <c r="AE13" i="6"/>
  <c r="AF13" i="6"/>
  <c r="AG13" i="6"/>
  <c r="AH13" i="6"/>
  <c r="AI13" i="6"/>
  <c r="S14" i="6"/>
  <c r="AD14" i="6"/>
  <c r="AE14" i="6"/>
  <c r="AF14" i="6"/>
  <c r="AG14" i="6"/>
  <c r="AH14" i="6"/>
  <c r="AI14" i="6"/>
  <c r="S12" i="6"/>
  <c r="AD12" i="6"/>
  <c r="AE12" i="6"/>
  <c r="AF12" i="6"/>
  <c r="AG12" i="6"/>
  <c r="AH12" i="6"/>
  <c r="AI12" i="6"/>
  <c r="S9" i="6"/>
  <c r="AD9" i="6"/>
  <c r="AE9" i="6"/>
  <c r="AF9" i="6"/>
  <c r="AG9" i="6"/>
  <c r="AH9" i="6"/>
  <c r="AI9" i="6"/>
  <c r="S10" i="6"/>
  <c r="AD10" i="6"/>
  <c r="AE10" i="6"/>
  <c r="AF10" i="6"/>
  <c r="AG10" i="6"/>
  <c r="AH10" i="6"/>
  <c r="AI10" i="6"/>
  <c r="S11" i="6"/>
  <c r="AD11" i="6"/>
  <c r="AE11" i="6"/>
  <c r="AF11" i="6"/>
  <c r="AG11" i="6"/>
  <c r="AH11" i="6"/>
  <c r="AI11" i="6"/>
  <c r="S8" i="6"/>
  <c r="AD8" i="6"/>
  <c r="AE8" i="6"/>
  <c r="AF8" i="6"/>
  <c r="AG8" i="6"/>
  <c r="AH8" i="6"/>
  <c r="AI8" i="6"/>
  <c r="T7" i="6"/>
  <c r="T121" i="6" l="1"/>
  <c r="T202" i="6"/>
  <c r="T153" i="6"/>
  <c r="T187" i="6"/>
  <c r="T175" i="6"/>
  <c r="T329" i="6"/>
  <c r="T456" i="6"/>
  <c r="T386" i="6"/>
  <c r="T235" i="6"/>
  <c r="T237" i="6"/>
  <c r="T236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5" i="6"/>
  <c r="T133" i="6"/>
  <c r="T143" i="6"/>
  <c r="T136" i="6"/>
  <c r="T122" i="6"/>
  <c r="T130" i="6"/>
  <c r="T142" i="6"/>
  <c r="T127" i="6"/>
  <c r="T141" i="6"/>
  <c r="T135" i="6"/>
  <c r="T124" i="6"/>
  <c r="T132" i="6"/>
  <c r="T140" i="6"/>
  <c r="T120" i="6"/>
  <c r="T129" i="6"/>
  <c r="T139" i="6"/>
  <c r="T126" i="6"/>
  <c r="T134" i="6"/>
  <c r="T138" i="6"/>
  <c r="T146" i="6"/>
  <c r="T147" i="6"/>
  <c r="T148" i="6"/>
  <c r="T149" i="6"/>
  <c r="T150" i="6"/>
  <c r="T151" i="6"/>
  <c r="T152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6" i="6"/>
  <c r="T177" i="6"/>
  <c r="T178" i="6"/>
  <c r="T179" i="6"/>
  <c r="T180" i="6"/>
  <c r="T181" i="6"/>
  <c r="T182" i="6"/>
  <c r="T183" i="6"/>
  <c r="T184" i="6"/>
  <c r="T185" i="6"/>
  <c r="T186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128" i="6"/>
  <c r="T137" i="6"/>
  <c r="T144" i="6"/>
  <c r="T228" i="6"/>
  <c r="T245" i="6"/>
  <c r="T227" i="6"/>
  <c r="T244" i="6"/>
  <c r="T123" i="6"/>
  <c r="T223" i="6"/>
  <c r="T226" i="6"/>
  <c r="T234" i="6"/>
  <c r="T243" i="6"/>
  <c r="T233" i="6"/>
  <c r="T242" i="6"/>
  <c r="T225" i="6"/>
  <c r="T232" i="6"/>
  <c r="T241" i="6"/>
  <c r="T145" i="6"/>
  <c r="T231" i="6"/>
  <c r="T240" i="6"/>
  <c r="T230" i="6"/>
  <c r="T239" i="6"/>
  <c r="T224" i="6"/>
  <c r="T229" i="6"/>
  <c r="T248" i="6"/>
  <c r="T264" i="6"/>
  <c r="T279" i="6"/>
  <c r="T295" i="6"/>
  <c r="T257" i="6"/>
  <c r="T273" i="6"/>
  <c r="T288" i="6"/>
  <c r="T304" i="6"/>
  <c r="T250" i="6"/>
  <c r="T266" i="6"/>
  <c r="T281" i="6"/>
  <c r="T297" i="6"/>
  <c r="T259" i="6"/>
  <c r="T274" i="6"/>
  <c r="T290" i="6"/>
  <c r="T306" i="6"/>
  <c r="T311" i="6"/>
  <c r="T315" i="6"/>
  <c r="T319" i="6"/>
  <c r="T323" i="6"/>
  <c r="T327" i="6"/>
  <c r="T252" i="6"/>
  <c r="T268" i="6"/>
  <c r="T283" i="6"/>
  <c r="T299" i="6"/>
  <c r="T261" i="6"/>
  <c r="T276" i="6"/>
  <c r="T292" i="6"/>
  <c r="T308" i="6"/>
  <c r="T254" i="6"/>
  <c r="T270" i="6"/>
  <c r="T285" i="6"/>
  <c r="T301" i="6"/>
  <c r="T247" i="6"/>
  <c r="T263" i="6"/>
  <c r="T278" i="6"/>
  <c r="T294" i="6"/>
  <c r="T310" i="6"/>
  <c r="T314" i="6"/>
  <c r="T318" i="6"/>
  <c r="T322" i="6"/>
  <c r="T326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7" i="6"/>
  <c r="T388" i="6"/>
  <c r="T389" i="6"/>
  <c r="T390" i="6"/>
  <c r="T131" i="6"/>
  <c r="T256" i="6"/>
  <c r="T272" i="6"/>
  <c r="T287" i="6"/>
  <c r="T303" i="6"/>
  <c r="T249" i="6"/>
  <c r="T265" i="6"/>
  <c r="T280" i="6"/>
  <c r="T296" i="6"/>
  <c r="T258" i="6"/>
  <c r="T289" i="6"/>
  <c r="T305" i="6"/>
  <c r="T251" i="6"/>
  <c r="T267" i="6"/>
  <c r="T282" i="6"/>
  <c r="T298" i="6"/>
  <c r="T313" i="6"/>
  <c r="T317" i="6"/>
  <c r="T321" i="6"/>
  <c r="T325" i="6"/>
  <c r="T330" i="6"/>
  <c r="T260" i="6"/>
  <c r="T275" i="6"/>
  <c r="T291" i="6"/>
  <c r="T307" i="6"/>
  <c r="T253" i="6"/>
  <c r="T269" i="6"/>
  <c r="T284" i="6"/>
  <c r="T300" i="6"/>
  <c r="T320" i="6"/>
  <c r="T396" i="6"/>
  <c r="T271" i="6"/>
  <c r="T316" i="6"/>
  <c r="T238" i="6"/>
  <c r="T312" i="6"/>
  <c r="T395" i="6"/>
  <c r="T277" i="6"/>
  <c r="T394" i="6"/>
  <c r="T286" i="6"/>
  <c r="T393" i="6"/>
  <c r="T293" i="6"/>
  <c r="T392" i="6"/>
  <c r="T302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399" i="6"/>
  <c r="T246" i="6"/>
  <c r="T309" i="6"/>
  <c r="T391" i="6"/>
  <c r="T398" i="6"/>
  <c r="T255" i="6"/>
  <c r="T328" i="6"/>
  <c r="T459" i="6"/>
  <c r="T397" i="6"/>
  <c r="T464" i="6"/>
  <c r="T452" i="6"/>
  <c r="T469" i="6"/>
  <c r="T324" i="6"/>
  <c r="T458" i="6"/>
  <c r="T463" i="6"/>
  <c r="T474" i="6"/>
  <c r="T479" i="6"/>
  <c r="T481" i="6"/>
  <c r="T485" i="6"/>
  <c r="T488" i="6"/>
  <c r="T491" i="6"/>
  <c r="T495" i="6"/>
  <c r="T497" i="6"/>
  <c r="T500" i="6"/>
  <c r="T504" i="6"/>
  <c r="T508" i="6"/>
  <c r="T510" i="6"/>
  <c r="T513" i="6"/>
  <c r="T451" i="6"/>
  <c r="T468" i="6"/>
  <c r="T476" i="6"/>
  <c r="T482" i="6"/>
  <c r="T487" i="6"/>
  <c r="T490" i="6"/>
  <c r="T494" i="6"/>
  <c r="T499" i="6"/>
  <c r="T502" i="6"/>
  <c r="T506" i="6"/>
  <c r="T509" i="6"/>
  <c r="T512" i="6"/>
  <c r="T514" i="6"/>
  <c r="T457" i="6"/>
  <c r="T475" i="6"/>
  <c r="T478" i="6"/>
  <c r="T480" i="6"/>
  <c r="T483" i="6"/>
  <c r="T486" i="6"/>
  <c r="T489" i="6"/>
  <c r="T492" i="6"/>
  <c r="T496" i="6"/>
  <c r="T498" i="6"/>
  <c r="T501" i="6"/>
  <c r="T505" i="6"/>
  <c r="T507" i="6"/>
  <c r="T511" i="6"/>
  <c r="T515" i="6"/>
  <c r="T462" i="6"/>
  <c r="T473" i="6"/>
  <c r="T477" i="6"/>
  <c r="T484" i="6"/>
  <c r="T493" i="6"/>
  <c r="T503" i="6"/>
  <c r="T470" i="6"/>
  <c r="T450" i="6"/>
  <c r="T467" i="6"/>
  <c r="T472" i="6"/>
  <c r="T262" i="6"/>
  <c r="T455" i="6"/>
  <c r="T461" i="6"/>
  <c r="T453" i="6"/>
  <c r="T449" i="6"/>
  <c r="T466" i="6"/>
  <c r="T454" i="6"/>
  <c r="T471" i="6"/>
  <c r="T460" i="6"/>
  <c r="T465" i="6"/>
  <c r="T13" i="6"/>
  <c r="T14" i="6"/>
  <c r="T9" i="6"/>
  <c r="T11" i="6"/>
  <c r="U7" i="6"/>
  <c r="T12" i="6"/>
  <c r="T10" i="6"/>
  <c r="AD6" i="6"/>
  <c r="F3" i="6" s="1"/>
  <c r="S5" i="6"/>
  <c r="AF6" i="6"/>
  <c r="G3" i="6" s="1"/>
  <c r="AG6" i="6"/>
  <c r="G4" i="6" s="1"/>
  <c r="AE6" i="6"/>
  <c r="F4" i="6" s="1"/>
  <c r="AI6" i="6"/>
  <c r="E4" i="6" s="1"/>
  <c r="AH6" i="6"/>
  <c r="E3" i="6" s="1"/>
  <c r="T8" i="6"/>
  <c r="U121" i="6" l="1"/>
  <c r="U202" i="6"/>
  <c r="U153" i="6"/>
  <c r="U187" i="6"/>
  <c r="U175" i="6"/>
  <c r="U329" i="6"/>
  <c r="U456" i="6"/>
  <c r="U386" i="6"/>
  <c r="U235" i="6"/>
  <c r="U237" i="6"/>
  <c r="U236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3" i="6"/>
  <c r="U119" i="6"/>
  <c r="U128" i="6"/>
  <c r="U137" i="6"/>
  <c r="U144" i="6"/>
  <c r="U112" i="6"/>
  <c r="U105" i="6"/>
  <c r="U125" i="6"/>
  <c r="U133" i="6"/>
  <c r="U143" i="6"/>
  <c r="U114" i="6"/>
  <c r="U136" i="6"/>
  <c r="U107" i="6"/>
  <c r="U122" i="6"/>
  <c r="U130" i="6"/>
  <c r="U142" i="6"/>
  <c r="U100" i="6"/>
  <c r="U116" i="6"/>
  <c r="U109" i="6"/>
  <c r="U127" i="6"/>
  <c r="U141" i="6"/>
  <c r="U102" i="6"/>
  <c r="U118" i="6"/>
  <c r="U135" i="6"/>
  <c r="U111" i="6"/>
  <c r="U124" i="6"/>
  <c r="U132" i="6"/>
  <c r="U140" i="6"/>
  <c r="U104" i="6"/>
  <c r="U113" i="6"/>
  <c r="U120" i="6"/>
  <c r="U129" i="6"/>
  <c r="U139" i="6"/>
  <c r="U106" i="6"/>
  <c r="U115" i="6"/>
  <c r="U126" i="6"/>
  <c r="U134" i="6"/>
  <c r="U110" i="6"/>
  <c r="U161" i="6"/>
  <c r="U178" i="6"/>
  <c r="U195" i="6"/>
  <c r="U212" i="6"/>
  <c r="U154" i="6"/>
  <c r="U170" i="6"/>
  <c r="U188" i="6"/>
  <c r="U205" i="6"/>
  <c r="U221" i="6"/>
  <c r="U228" i="6"/>
  <c r="U245" i="6"/>
  <c r="U146" i="6"/>
  <c r="U163" i="6"/>
  <c r="U180" i="6"/>
  <c r="U197" i="6"/>
  <c r="U214" i="6"/>
  <c r="U138" i="6"/>
  <c r="U156" i="6"/>
  <c r="U172" i="6"/>
  <c r="U190" i="6"/>
  <c r="U207" i="6"/>
  <c r="U227" i="6"/>
  <c r="U244" i="6"/>
  <c r="U123" i="6"/>
  <c r="U148" i="6"/>
  <c r="U165" i="6"/>
  <c r="U182" i="6"/>
  <c r="U199" i="6"/>
  <c r="U216" i="6"/>
  <c r="U223" i="6"/>
  <c r="U158" i="6"/>
  <c r="U174" i="6"/>
  <c r="U192" i="6"/>
  <c r="U209" i="6"/>
  <c r="U226" i="6"/>
  <c r="U234" i="6"/>
  <c r="U243" i="6"/>
  <c r="U150" i="6"/>
  <c r="U167" i="6"/>
  <c r="U184" i="6"/>
  <c r="U201" i="6"/>
  <c r="U218" i="6"/>
  <c r="U160" i="6"/>
  <c r="U177" i="6"/>
  <c r="U194" i="6"/>
  <c r="U211" i="6"/>
  <c r="U233" i="6"/>
  <c r="U242" i="6"/>
  <c r="U152" i="6"/>
  <c r="U169" i="6"/>
  <c r="U186" i="6"/>
  <c r="U204" i="6"/>
  <c r="U220" i="6"/>
  <c r="U162" i="6"/>
  <c r="U179" i="6"/>
  <c r="U196" i="6"/>
  <c r="U213" i="6"/>
  <c r="U225" i="6"/>
  <c r="U232" i="6"/>
  <c r="U241" i="6"/>
  <c r="U145" i="6"/>
  <c r="U155" i="6"/>
  <c r="U171" i="6"/>
  <c r="U189" i="6"/>
  <c r="U206" i="6"/>
  <c r="U222" i="6"/>
  <c r="U101" i="6"/>
  <c r="U147" i="6"/>
  <c r="U164" i="6"/>
  <c r="U181" i="6"/>
  <c r="U198" i="6"/>
  <c r="U215" i="6"/>
  <c r="U231" i="6"/>
  <c r="U240" i="6"/>
  <c r="U157" i="6"/>
  <c r="U173" i="6"/>
  <c r="U191" i="6"/>
  <c r="U208" i="6"/>
  <c r="U108" i="6"/>
  <c r="U149" i="6"/>
  <c r="U166" i="6"/>
  <c r="U183" i="6"/>
  <c r="U200" i="6"/>
  <c r="U217" i="6"/>
  <c r="U230" i="6"/>
  <c r="U239" i="6"/>
  <c r="U238" i="6"/>
  <c r="U255" i="6"/>
  <c r="U271" i="6"/>
  <c r="U286" i="6"/>
  <c r="U302" i="6"/>
  <c r="U312" i="6"/>
  <c r="U316" i="6"/>
  <c r="U320" i="6"/>
  <c r="U324" i="6"/>
  <c r="U328" i="6"/>
  <c r="U193" i="6"/>
  <c r="U229" i="6"/>
  <c r="U248" i="6"/>
  <c r="U264" i="6"/>
  <c r="U279" i="6"/>
  <c r="U295" i="6"/>
  <c r="U257" i="6"/>
  <c r="U273" i="6"/>
  <c r="U288" i="6"/>
  <c r="U304" i="6"/>
  <c r="U203" i="6"/>
  <c r="U250" i="6"/>
  <c r="U266" i="6"/>
  <c r="U281" i="6"/>
  <c r="U297" i="6"/>
  <c r="U259" i="6"/>
  <c r="U274" i="6"/>
  <c r="U290" i="6"/>
  <c r="U306" i="6"/>
  <c r="U311" i="6"/>
  <c r="U315" i="6"/>
  <c r="U319" i="6"/>
  <c r="U323" i="6"/>
  <c r="U327" i="6"/>
  <c r="U210" i="6"/>
  <c r="U252" i="6"/>
  <c r="U268" i="6"/>
  <c r="U283" i="6"/>
  <c r="U299" i="6"/>
  <c r="U261" i="6"/>
  <c r="U276" i="6"/>
  <c r="U292" i="6"/>
  <c r="U308" i="6"/>
  <c r="U151" i="6"/>
  <c r="U219" i="6"/>
  <c r="U254" i="6"/>
  <c r="U270" i="6"/>
  <c r="U285" i="6"/>
  <c r="U301" i="6"/>
  <c r="U247" i="6"/>
  <c r="U263" i="6"/>
  <c r="U278" i="6"/>
  <c r="U294" i="6"/>
  <c r="U310" i="6"/>
  <c r="U314" i="6"/>
  <c r="U318" i="6"/>
  <c r="U322" i="6"/>
  <c r="U326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131" i="6"/>
  <c r="U159" i="6"/>
  <c r="U256" i="6"/>
  <c r="U272" i="6"/>
  <c r="U287" i="6"/>
  <c r="U303" i="6"/>
  <c r="U249" i="6"/>
  <c r="U265" i="6"/>
  <c r="U280" i="6"/>
  <c r="U296" i="6"/>
  <c r="U168" i="6"/>
  <c r="U224" i="6"/>
  <c r="U258" i="6"/>
  <c r="U289" i="6"/>
  <c r="U305" i="6"/>
  <c r="U117" i="6"/>
  <c r="U251" i="6"/>
  <c r="U267" i="6"/>
  <c r="U282" i="6"/>
  <c r="U298" i="6"/>
  <c r="U313" i="6"/>
  <c r="U317" i="6"/>
  <c r="U321" i="6"/>
  <c r="U325" i="6"/>
  <c r="U330" i="6"/>
  <c r="U176" i="6"/>
  <c r="U260" i="6"/>
  <c r="U275" i="6"/>
  <c r="U291" i="6"/>
  <c r="U307" i="6"/>
  <c r="U262" i="6"/>
  <c r="U269" i="6"/>
  <c r="U185" i="6"/>
  <c r="U277" i="6"/>
  <c r="U284" i="6"/>
  <c r="U293" i="6"/>
  <c r="U300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399" i="6"/>
  <c r="U246" i="6"/>
  <c r="U309" i="6"/>
  <c r="U448" i="6"/>
  <c r="U453" i="6"/>
  <c r="U470" i="6"/>
  <c r="U459" i="6"/>
  <c r="U464" i="6"/>
  <c r="U452" i="6"/>
  <c r="U469" i="6"/>
  <c r="U465" i="6"/>
  <c r="U444" i="6"/>
  <c r="U458" i="6"/>
  <c r="U447" i="6"/>
  <c r="U463" i="6"/>
  <c r="U451" i="6"/>
  <c r="U468" i="6"/>
  <c r="U457" i="6"/>
  <c r="U46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253" i="6"/>
  <c r="U450" i="6"/>
  <c r="U467" i="6"/>
  <c r="U446" i="6"/>
  <c r="U455" i="6"/>
  <c r="U472" i="6"/>
  <c r="U445" i="6"/>
  <c r="U461" i="6"/>
  <c r="U449" i="6"/>
  <c r="U466" i="6"/>
  <c r="U454" i="6"/>
  <c r="U471" i="6"/>
  <c r="U460" i="6"/>
  <c r="U13" i="6"/>
  <c r="U14" i="6"/>
  <c r="V7" i="6"/>
  <c r="U9" i="6"/>
  <c r="U11" i="6"/>
  <c r="U10" i="6"/>
  <c r="U8" i="6"/>
  <c r="U12" i="6"/>
  <c r="F5" i="6"/>
  <c r="G5" i="6"/>
  <c r="E5" i="6"/>
  <c r="H4" i="6"/>
  <c r="H3" i="6"/>
  <c r="T5" i="6"/>
  <c r="V121" i="6" l="1"/>
  <c r="V202" i="6"/>
  <c r="V153" i="6"/>
  <c r="V187" i="6"/>
  <c r="V175" i="6"/>
  <c r="V329" i="6"/>
  <c r="V456" i="6"/>
  <c r="V386" i="6"/>
  <c r="V235" i="6"/>
  <c r="V237" i="6"/>
  <c r="V236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10" i="6"/>
  <c r="V103" i="6"/>
  <c r="V119" i="6"/>
  <c r="V128" i="6"/>
  <c r="V137" i="6"/>
  <c r="V144" i="6"/>
  <c r="V112" i="6"/>
  <c r="V105" i="6"/>
  <c r="V125" i="6"/>
  <c r="V133" i="6"/>
  <c r="V143" i="6"/>
  <c r="V114" i="6"/>
  <c r="V136" i="6"/>
  <c r="V107" i="6"/>
  <c r="V122" i="6"/>
  <c r="V130" i="6"/>
  <c r="V142" i="6"/>
  <c r="V100" i="6"/>
  <c r="V116" i="6"/>
  <c r="V109" i="6"/>
  <c r="V127" i="6"/>
  <c r="V141" i="6"/>
  <c r="V102" i="6"/>
  <c r="V118" i="6"/>
  <c r="V135" i="6"/>
  <c r="V111" i="6"/>
  <c r="V124" i="6"/>
  <c r="V132" i="6"/>
  <c r="V140" i="6"/>
  <c r="V104" i="6"/>
  <c r="V113" i="6"/>
  <c r="V120" i="6"/>
  <c r="V129" i="6"/>
  <c r="V139" i="6"/>
  <c r="V106" i="6"/>
  <c r="V101" i="6"/>
  <c r="V117" i="6"/>
  <c r="V123" i="6"/>
  <c r="V131" i="6"/>
  <c r="V145" i="6"/>
  <c r="V115" i="6"/>
  <c r="V151" i="6"/>
  <c r="V168" i="6"/>
  <c r="V185" i="6"/>
  <c r="V203" i="6"/>
  <c r="V219" i="6"/>
  <c r="V229" i="6"/>
  <c r="V238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30" i="6"/>
  <c r="V161" i="6"/>
  <c r="V178" i="6"/>
  <c r="V195" i="6"/>
  <c r="V212" i="6"/>
  <c r="V154" i="6"/>
  <c r="V170" i="6"/>
  <c r="V188" i="6"/>
  <c r="V205" i="6"/>
  <c r="V221" i="6"/>
  <c r="V228" i="6"/>
  <c r="V245" i="6"/>
  <c r="V146" i="6"/>
  <c r="V163" i="6"/>
  <c r="V180" i="6"/>
  <c r="V197" i="6"/>
  <c r="V214" i="6"/>
  <c r="V138" i="6"/>
  <c r="V156" i="6"/>
  <c r="V172" i="6"/>
  <c r="V190" i="6"/>
  <c r="V207" i="6"/>
  <c r="V227" i="6"/>
  <c r="V244" i="6"/>
  <c r="V134" i="6"/>
  <c r="V148" i="6"/>
  <c r="V165" i="6"/>
  <c r="V182" i="6"/>
  <c r="V199" i="6"/>
  <c r="V216" i="6"/>
  <c r="V223" i="6"/>
  <c r="V158" i="6"/>
  <c r="V174" i="6"/>
  <c r="V192" i="6"/>
  <c r="V209" i="6"/>
  <c r="V226" i="6"/>
  <c r="V234" i="6"/>
  <c r="V243" i="6"/>
  <c r="V150" i="6"/>
  <c r="V167" i="6"/>
  <c r="V184" i="6"/>
  <c r="V201" i="6"/>
  <c r="V218" i="6"/>
  <c r="V160" i="6"/>
  <c r="V177" i="6"/>
  <c r="V194" i="6"/>
  <c r="V211" i="6"/>
  <c r="V233" i="6"/>
  <c r="V242" i="6"/>
  <c r="V152" i="6"/>
  <c r="V169" i="6"/>
  <c r="V186" i="6"/>
  <c r="V204" i="6"/>
  <c r="V220" i="6"/>
  <c r="V126" i="6"/>
  <c r="V162" i="6"/>
  <c r="V179" i="6"/>
  <c r="V196" i="6"/>
  <c r="V213" i="6"/>
  <c r="V225" i="6"/>
  <c r="V232" i="6"/>
  <c r="V241" i="6"/>
  <c r="V155" i="6"/>
  <c r="V171" i="6"/>
  <c r="V189" i="6"/>
  <c r="V206" i="6"/>
  <c r="V222" i="6"/>
  <c r="V147" i="6"/>
  <c r="V164" i="6"/>
  <c r="V181" i="6"/>
  <c r="V198" i="6"/>
  <c r="V215" i="6"/>
  <c r="V231" i="6"/>
  <c r="V240" i="6"/>
  <c r="V157" i="6"/>
  <c r="V173" i="6"/>
  <c r="V191" i="6"/>
  <c r="V208" i="6"/>
  <c r="V183" i="6"/>
  <c r="V193" i="6"/>
  <c r="V200" i="6"/>
  <c r="V210" i="6"/>
  <c r="V149" i="6"/>
  <c r="V217" i="6"/>
  <c r="V239" i="6"/>
  <c r="V2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159" i="6"/>
  <c r="V108" i="6"/>
  <c r="V166" i="6"/>
  <c r="V224" i="6"/>
  <c r="V396" i="6"/>
  <c r="V176" i="6"/>
  <c r="V389" i="6"/>
  <c r="V395" i="6"/>
  <c r="V394" i="6"/>
  <c r="V388" i="6"/>
  <c r="V393" i="6"/>
  <c r="V392" i="6"/>
  <c r="V387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391" i="6"/>
  <c r="V399" i="6"/>
  <c r="V398" i="6"/>
  <c r="V442" i="6"/>
  <c r="V445" i="6"/>
  <c r="V465" i="6"/>
  <c r="V459" i="6"/>
  <c r="V448" i="6"/>
  <c r="V453" i="6"/>
  <c r="V470" i="6"/>
  <c r="V397" i="6"/>
  <c r="V464" i="6"/>
  <c r="V452" i="6"/>
  <c r="V469" i="6"/>
  <c r="V493" i="6"/>
  <c r="V499" i="6"/>
  <c r="V507" i="6"/>
  <c r="V513" i="6"/>
  <c r="V444" i="6"/>
  <c r="V458" i="6"/>
  <c r="V492" i="6"/>
  <c r="V503" i="6"/>
  <c r="V511" i="6"/>
  <c r="V460" i="6"/>
  <c r="V441" i="6"/>
  <c r="V447" i="6"/>
  <c r="V463" i="6"/>
  <c r="V494" i="6"/>
  <c r="V500" i="6"/>
  <c r="V506" i="6"/>
  <c r="V510" i="6"/>
  <c r="V451" i="6"/>
  <c r="V468" i="6"/>
  <c r="V502" i="6"/>
  <c r="V508" i="6"/>
  <c r="V514" i="6"/>
  <c r="V457" i="6"/>
  <c r="V474" i="6"/>
  <c r="V476" i="6"/>
  <c r="V477" i="6"/>
  <c r="V479" i="6"/>
  <c r="V481" i="6"/>
  <c r="V483" i="6"/>
  <c r="V484" i="6"/>
  <c r="V486" i="6"/>
  <c r="V488" i="6"/>
  <c r="V489" i="6"/>
  <c r="V491" i="6"/>
  <c r="V496" i="6"/>
  <c r="V497" i="6"/>
  <c r="V501" i="6"/>
  <c r="V504" i="6"/>
  <c r="V509" i="6"/>
  <c r="V512" i="6"/>
  <c r="V462" i="6"/>
  <c r="V473" i="6"/>
  <c r="V475" i="6"/>
  <c r="V478" i="6"/>
  <c r="V480" i="6"/>
  <c r="V482" i="6"/>
  <c r="V485" i="6"/>
  <c r="V487" i="6"/>
  <c r="V490" i="6"/>
  <c r="V495" i="6"/>
  <c r="V498" i="6"/>
  <c r="V505" i="6"/>
  <c r="V515" i="6"/>
  <c r="V443" i="6"/>
  <c r="V450" i="6"/>
  <c r="V467" i="6"/>
  <c r="V446" i="6"/>
  <c r="V455" i="6"/>
  <c r="V472" i="6"/>
  <c r="V390" i="6"/>
  <c r="V461" i="6"/>
  <c r="V385" i="6"/>
  <c r="V449" i="6"/>
  <c r="V466" i="6"/>
  <c r="V471" i="6"/>
  <c r="V454" i="6"/>
  <c r="V13" i="6"/>
  <c r="V14" i="6"/>
  <c r="V12" i="6"/>
  <c r="V9" i="6"/>
  <c r="W7" i="6"/>
  <c r="V10" i="6"/>
  <c r="V11" i="6"/>
  <c r="V8" i="6"/>
  <c r="U5" i="6"/>
  <c r="H5" i="6"/>
  <c r="W121" i="6" l="1"/>
  <c r="W202" i="6"/>
  <c r="W153" i="6"/>
  <c r="W187" i="6"/>
  <c r="W175" i="6"/>
  <c r="W329" i="6"/>
  <c r="W456" i="6"/>
  <c r="W386" i="6"/>
  <c r="W235" i="6"/>
  <c r="W237" i="6"/>
  <c r="W236" i="6"/>
  <c r="W15" i="6"/>
  <c r="W17" i="6"/>
  <c r="W19" i="6"/>
  <c r="W21" i="6"/>
  <c r="W23" i="6"/>
  <c r="W25" i="6"/>
  <c r="W27" i="6"/>
  <c r="W29" i="6"/>
  <c r="W31" i="6"/>
  <c r="W33" i="6"/>
  <c r="W35" i="6"/>
  <c r="W37" i="6"/>
  <c r="W39" i="6"/>
  <c r="W41" i="6"/>
  <c r="W43" i="6"/>
  <c r="W45" i="6"/>
  <c r="W47" i="6"/>
  <c r="W49" i="6"/>
  <c r="W51" i="6"/>
  <c r="W53" i="6"/>
  <c r="W55" i="6"/>
  <c r="W57" i="6"/>
  <c r="W59" i="6"/>
  <c r="W61" i="6"/>
  <c r="W63" i="6"/>
  <c r="W65" i="6"/>
  <c r="W67" i="6"/>
  <c r="W69" i="6"/>
  <c r="W71" i="6"/>
  <c r="W73" i="6"/>
  <c r="W75" i="6"/>
  <c r="W77" i="6"/>
  <c r="W79" i="6"/>
  <c r="W81" i="6"/>
  <c r="W83" i="6"/>
  <c r="W85" i="6"/>
  <c r="W87" i="6"/>
  <c r="W89" i="6"/>
  <c r="W91" i="6"/>
  <c r="W93" i="6"/>
  <c r="W95" i="6"/>
  <c r="W97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99" i="6"/>
  <c r="W16" i="6"/>
  <c r="W18" i="6"/>
  <c r="W20" i="6"/>
  <c r="W22" i="6"/>
  <c r="W24" i="6"/>
  <c r="W26" i="6"/>
  <c r="W28" i="6"/>
  <c r="W30" i="6"/>
  <c r="W32" i="6"/>
  <c r="W34" i="6"/>
  <c r="W36" i="6"/>
  <c r="W38" i="6"/>
  <c r="W40" i="6"/>
  <c r="W42" i="6"/>
  <c r="W44" i="6"/>
  <c r="W46" i="6"/>
  <c r="W48" i="6"/>
  <c r="W50" i="6"/>
  <c r="W52" i="6"/>
  <c r="W54" i="6"/>
  <c r="W56" i="6"/>
  <c r="W58" i="6"/>
  <c r="W60" i="6"/>
  <c r="W62" i="6"/>
  <c r="W64" i="6"/>
  <c r="W66" i="6"/>
  <c r="W68" i="6"/>
  <c r="W70" i="6"/>
  <c r="W72" i="6"/>
  <c r="W74" i="6"/>
  <c r="W76" i="6"/>
  <c r="W78" i="6"/>
  <c r="W80" i="6"/>
  <c r="W82" i="6"/>
  <c r="W84" i="6"/>
  <c r="W86" i="6"/>
  <c r="W88" i="6"/>
  <c r="W90" i="6"/>
  <c r="W92" i="6"/>
  <c r="W94" i="6"/>
  <c r="W96" i="6"/>
  <c r="W98" i="6"/>
  <c r="W145" i="6"/>
  <c r="W146" i="6"/>
  <c r="W147" i="6"/>
  <c r="W148" i="6"/>
  <c r="W149" i="6"/>
  <c r="W150" i="6"/>
  <c r="W151" i="6"/>
  <c r="W152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6" i="6"/>
  <c r="W177" i="6"/>
  <c r="W178" i="6"/>
  <c r="W179" i="6"/>
  <c r="W180" i="6"/>
  <c r="W181" i="6"/>
  <c r="W182" i="6"/>
  <c r="W183" i="6"/>
  <c r="W184" i="6"/>
  <c r="W185" i="6"/>
  <c r="W186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9" i="6"/>
  <c r="W238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30" i="6"/>
  <c r="W228" i="6"/>
  <c r="W245" i="6"/>
  <c r="W227" i="6"/>
  <c r="W244" i="6"/>
  <c r="W226" i="6"/>
  <c r="W234" i="6"/>
  <c r="W243" i="6"/>
  <c r="W233" i="6"/>
  <c r="W242" i="6"/>
  <c r="W225" i="6"/>
  <c r="W232" i="6"/>
  <c r="W241" i="6"/>
  <c r="W231" i="6"/>
  <c r="W240" i="6"/>
  <c r="W239" i="6"/>
  <c r="W2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90" i="6"/>
  <c r="W397" i="6"/>
  <c r="W396" i="6"/>
  <c r="W389" i="6"/>
  <c r="W395" i="6"/>
  <c r="W394" i="6"/>
  <c r="W388" i="6"/>
  <c r="W393" i="6"/>
  <c r="W392" i="6"/>
  <c r="W387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391" i="6"/>
  <c r="W399" i="6"/>
  <c r="W460" i="6"/>
  <c r="W465" i="6"/>
  <c r="W453" i="6"/>
  <c r="W470" i="6"/>
  <c r="W459" i="6"/>
  <c r="W464" i="6"/>
  <c r="W492" i="6"/>
  <c r="W502" i="6"/>
  <c r="W510" i="6"/>
  <c r="W452" i="6"/>
  <c r="W469" i="6"/>
  <c r="W493" i="6"/>
  <c r="W497" i="6"/>
  <c r="W503" i="6"/>
  <c r="W509" i="6"/>
  <c r="W514" i="6"/>
  <c r="W458" i="6"/>
  <c r="W490" i="6"/>
  <c r="W504" i="6"/>
  <c r="W511" i="6"/>
  <c r="W463" i="6"/>
  <c r="W495" i="6"/>
  <c r="W505" i="6"/>
  <c r="W513" i="6"/>
  <c r="W451" i="6"/>
  <c r="W468" i="6"/>
  <c r="W491" i="6"/>
  <c r="W499" i="6"/>
  <c r="W508" i="6"/>
  <c r="W515" i="6"/>
  <c r="W457" i="6"/>
  <c r="W496" i="6"/>
  <c r="W500" i="6"/>
  <c r="W506" i="6"/>
  <c r="W512" i="6"/>
  <c r="W398" i="6"/>
  <c r="W46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4" i="6"/>
  <c r="W498" i="6"/>
  <c r="W501" i="6"/>
  <c r="W507" i="6"/>
  <c r="W450" i="6"/>
  <c r="W467" i="6"/>
  <c r="W455" i="6"/>
  <c r="W472" i="6"/>
  <c r="W461" i="6"/>
  <c r="W449" i="6"/>
  <c r="W466" i="6"/>
  <c r="W454" i="6"/>
  <c r="W471" i="6"/>
  <c r="W13" i="6"/>
  <c r="W14" i="6"/>
  <c r="W12" i="6"/>
  <c r="W8" i="6"/>
  <c r="V5" i="6"/>
  <c r="X7" i="6"/>
  <c r="W10" i="6"/>
  <c r="W9" i="6"/>
  <c r="W11" i="6"/>
  <c r="X121" i="6" l="1"/>
  <c r="X202" i="6"/>
  <c r="X153" i="6"/>
  <c r="X187" i="6"/>
  <c r="X175" i="6"/>
  <c r="X329" i="6"/>
  <c r="X456" i="6"/>
  <c r="X386" i="6"/>
  <c r="X235" i="6"/>
  <c r="X237" i="6"/>
  <c r="X236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6" i="6"/>
  <c r="X177" i="6"/>
  <c r="X178" i="6"/>
  <c r="X179" i="6"/>
  <c r="X180" i="6"/>
  <c r="X181" i="6"/>
  <c r="X182" i="6"/>
  <c r="X183" i="6"/>
  <c r="X184" i="6"/>
  <c r="X185" i="6"/>
  <c r="X186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2" i="6"/>
  <c r="X316" i="6"/>
  <c r="X320" i="6"/>
  <c r="X324" i="6"/>
  <c r="X328" i="6"/>
  <c r="X311" i="6"/>
  <c r="X315" i="6"/>
  <c r="X319" i="6"/>
  <c r="X323" i="6"/>
  <c r="X327" i="6"/>
  <c r="X310" i="6"/>
  <c r="X314" i="6"/>
  <c r="X318" i="6"/>
  <c r="X322" i="6"/>
  <c r="X326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7" i="6"/>
  <c r="X388" i="6"/>
  <c r="X389" i="6"/>
  <c r="X390" i="6"/>
  <c r="X391" i="6"/>
  <c r="X313" i="6"/>
  <c r="X317" i="6"/>
  <c r="X321" i="6"/>
  <c r="X325" i="6"/>
  <c r="X330" i="6"/>
  <c r="X397" i="6"/>
  <c r="X396" i="6"/>
  <c r="X395" i="6"/>
  <c r="X394" i="6"/>
  <c r="X393" i="6"/>
  <c r="X392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399" i="6"/>
  <c r="X502" i="6"/>
  <c r="X509" i="6"/>
  <c r="X501" i="6"/>
  <c r="X511" i="6"/>
  <c r="X500" i="6"/>
  <c r="X508" i="6"/>
  <c r="X507" i="6"/>
  <c r="X514" i="6"/>
  <c r="X503" i="6"/>
  <c r="X510" i="6"/>
  <c r="X504" i="6"/>
  <c r="X515" i="6"/>
  <c r="X505" i="6"/>
  <c r="X513" i="6"/>
  <c r="X398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6" i="6"/>
  <c r="X512" i="6"/>
  <c r="X472" i="6"/>
  <c r="X13" i="6"/>
  <c r="X14" i="6"/>
  <c r="W5" i="6"/>
  <c r="X10" i="6"/>
  <c r="Y7" i="6"/>
  <c r="X9" i="6"/>
  <c r="X11" i="6"/>
  <c r="X12" i="6"/>
  <c r="X8" i="6"/>
  <c r="Y121" i="6" l="1"/>
  <c r="Y202" i="6"/>
  <c r="Y153" i="6"/>
  <c r="Y187" i="6"/>
  <c r="Y175" i="6"/>
  <c r="Y329" i="6"/>
  <c r="Y456" i="6"/>
  <c r="Y386" i="6"/>
  <c r="Y236" i="6"/>
  <c r="Y235" i="6"/>
  <c r="Y237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45" i="6"/>
  <c r="Y146" i="6"/>
  <c r="Y147" i="6"/>
  <c r="Y148" i="6"/>
  <c r="Y149" i="6"/>
  <c r="Y150" i="6"/>
  <c r="Y151" i="6"/>
  <c r="Y152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6" i="6"/>
  <c r="Y177" i="6"/>
  <c r="Y178" i="6"/>
  <c r="Y179" i="6"/>
  <c r="Y180" i="6"/>
  <c r="Y181" i="6"/>
  <c r="Y182" i="6"/>
  <c r="Y183" i="6"/>
  <c r="Y184" i="6"/>
  <c r="Y185" i="6"/>
  <c r="Y186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8" i="6"/>
  <c r="Y239" i="6"/>
  <c r="Y240" i="6"/>
  <c r="Y241" i="6"/>
  <c r="Y242" i="6"/>
  <c r="Y243" i="6"/>
  <c r="Y244" i="6"/>
  <c r="Y245" i="6"/>
  <c r="Y137" i="6"/>
  <c r="Y144" i="6"/>
  <c r="Y143" i="6"/>
  <c r="Y136" i="6"/>
  <c r="Y142" i="6"/>
  <c r="Y141" i="6"/>
  <c r="Y135" i="6"/>
  <c r="Y140" i="6"/>
  <c r="Y139" i="6"/>
  <c r="Y138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134" i="6"/>
  <c r="Y312" i="6"/>
  <c r="Y316" i="6"/>
  <c r="Y320" i="6"/>
  <c r="Y324" i="6"/>
  <c r="Y328" i="6"/>
  <c r="Y311" i="6"/>
  <c r="Y315" i="6"/>
  <c r="Y319" i="6"/>
  <c r="Y323" i="6"/>
  <c r="Y327" i="6"/>
  <c r="Y310" i="6"/>
  <c r="Y314" i="6"/>
  <c r="Y318" i="6"/>
  <c r="Y322" i="6"/>
  <c r="Y326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98" i="6"/>
  <c r="Y385" i="6"/>
  <c r="Y390" i="6"/>
  <c r="Y397" i="6"/>
  <c r="Y396" i="6"/>
  <c r="Y384" i="6"/>
  <c r="Y389" i="6"/>
  <c r="Y330" i="6"/>
  <c r="Y395" i="6"/>
  <c r="Y325" i="6"/>
  <c r="Y321" i="6"/>
  <c r="Y394" i="6"/>
  <c r="Y317" i="6"/>
  <c r="Y388" i="6"/>
  <c r="Y313" i="6"/>
  <c r="Y393" i="6"/>
  <c r="Y392" i="6"/>
  <c r="Y387" i="6"/>
  <c r="Y404" i="6"/>
  <c r="Y419" i="6"/>
  <c r="Y435" i="6"/>
  <c r="Y454" i="6"/>
  <c r="Y471" i="6"/>
  <c r="Y413" i="6"/>
  <c r="Y428" i="6"/>
  <c r="Y442" i="6"/>
  <c r="Y445" i="6"/>
  <c r="Y460" i="6"/>
  <c r="Y406" i="6"/>
  <c r="Y421" i="6"/>
  <c r="Y437" i="6"/>
  <c r="Y448" i="6"/>
  <c r="Y465" i="6"/>
  <c r="Y415" i="6"/>
  <c r="Y430" i="6"/>
  <c r="Y453" i="6"/>
  <c r="Y470" i="6"/>
  <c r="Y391" i="6"/>
  <c r="Y399" i="6"/>
  <c r="Y408" i="6"/>
  <c r="Y423" i="6"/>
  <c r="Y439" i="6"/>
  <c r="Y459" i="6"/>
  <c r="Y502" i="6"/>
  <c r="Y505" i="6"/>
  <c r="Y514" i="6"/>
  <c r="Y401" i="6"/>
  <c r="Y432" i="6"/>
  <c r="Y464" i="6"/>
  <c r="Y500" i="6"/>
  <c r="Y508" i="6"/>
  <c r="Y410" i="6"/>
  <c r="Y425" i="6"/>
  <c r="Y444" i="6"/>
  <c r="Y452" i="6"/>
  <c r="Y469" i="6"/>
  <c r="Y501" i="6"/>
  <c r="Y506" i="6"/>
  <c r="Y403" i="6"/>
  <c r="Y418" i="6"/>
  <c r="Y434" i="6"/>
  <c r="Y441" i="6"/>
  <c r="Y447" i="6"/>
  <c r="Y458" i="6"/>
  <c r="Y495" i="6"/>
  <c r="Y511" i="6"/>
  <c r="Y412" i="6"/>
  <c r="Y427" i="6"/>
  <c r="Y463" i="6"/>
  <c r="Y499" i="6"/>
  <c r="Y507" i="6"/>
  <c r="Y405" i="6"/>
  <c r="Y420" i="6"/>
  <c r="Y436" i="6"/>
  <c r="Y451" i="6"/>
  <c r="Y468" i="6"/>
  <c r="Y498" i="6"/>
  <c r="Y510" i="6"/>
  <c r="Y414" i="6"/>
  <c r="Y429" i="6"/>
  <c r="Y457" i="6"/>
  <c r="Y497" i="6"/>
  <c r="Y509" i="6"/>
  <c r="Y407" i="6"/>
  <c r="Y422" i="6"/>
  <c r="Y438" i="6"/>
  <c r="Y443" i="6"/>
  <c r="Y462" i="6"/>
  <c r="Y503" i="6"/>
  <c r="Y512" i="6"/>
  <c r="Y515" i="6"/>
  <c r="Y400" i="6"/>
  <c r="Y416" i="6"/>
  <c r="Y431" i="6"/>
  <c r="Y446" i="6"/>
  <c r="Y450" i="6"/>
  <c r="Y467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6" i="6"/>
  <c r="Y504" i="6"/>
  <c r="Y513" i="6"/>
  <c r="Y426" i="6"/>
  <c r="Y409" i="6"/>
  <c r="Y424" i="6"/>
  <c r="Y440" i="6"/>
  <c r="Y455" i="6"/>
  <c r="Y449" i="6"/>
  <c r="Y402" i="6"/>
  <c r="Y417" i="6"/>
  <c r="Y433" i="6"/>
  <c r="Y461" i="6"/>
  <c r="Y472" i="6"/>
  <c r="Y411" i="6"/>
  <c r="Y466" i="6"/>
  <c r="Y13" i="6"/>
  <c r="Y14" i="6"/>
  <c r="Y12" i="6"/>
  <c r="Y9" i="6"/>
  <c r="Y8" i="6"/>
  <c r="Y10" i="6"/>
  <c r="Y11" i="6"/>
  <c r="Z7" i="6"/>
  <c r="X5" i="6"/>
  <c r="Z121" i="6" l="1"/>
  <c r="Z202" i="6"/>
  <c r="Z153" i="6"/>
  <c r="Z187" i="6"/>
  <c r="Z175" i="6"/>
  <c r="Z329" i="6"/>
  <c r="Z456" i="6"/>
  <c r="Z386" i="6"/>
  <c r="Z236" i="6"/>
  <c r="Z235" i="6"/>
  <c r="Z237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99" i="6"/>
  <c r="Z138" i="6"/>
  <c r="Z145" i="6"/>
  <c r="Z146" i="6"/>
  <c r="Z147" i="6"/>
  <c r="Z148" i="6"/>
  <c r="Z149" i="6"/>
  <c r="Z150" i="6"/>
  <c r="Z151" i="6"/>
  <c r="Z152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6" i="6"/>
  <c r="Z177" i="6"/>
  <c r="Z178" i="6"/>
  <c r="Z179" i="6"/>
  <c r="Z180" i="6"/>
  <c r="Z181" i="6"/>
  <c r="Z182" i="6"/>
  <c r="Z183" i="6"/>
  <c r="Z184" i="6"/>
  <c r="Z185" i="6"/>
  <c r="Z186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137" i="6"/>
  <c r="Z144" i="6"/>
  <c r="Z143" i="6"/>
  <c r="Z136" i="6"/>
  <c r="Z142" i="6"/>
  <c r="Z141" i="6"/>
  <c r="Z135" i="6"/>
  <c r="Z140" i="6"/>
  <c r="Z230" i="6"/>
  <c r="Z239" i="6"/>
  <c r="Z229" i="6"/>
  <c r="Z238" i="6"/>
  <c r="Z228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227" i="6"/>
  <c r="Z244" i="6"/>
  <c r="Z226" i="6"/>
  <c r="Z234" i="6"/>
  <c r="Z243" i="6"/>
  <c r="Z233" i="6"/>
  <c r="Z242" i="6"/>
  <c r="Z139" i="6"/>
  <c r="Z232" i="6"/>
  <c r="Z241" i="6"/>
  <c r="Z240" i="6"/>
  <c r="Z231" i="6"/>
  <c r="Z312" i="6"/>
  <c r="Z316" i="6"/>
  <c r="Z320" i="6"/>
  <c r="Z324" i="6"/>
  <c r="Z328" i="6"/>
  <c r="Z311" i="6"/>
  <c r="Z315" i="6"/>
  <c r="Z319" i="6"/>
  <c r="Z323" i="6"/>
  <c r="Z327" i="6"/>
  <c r="Z310" i="6"/>
  <c r="Z314" i="6"/>
  <c r="Z318" i="6"/>
  <c r="Z322" i="6"/>
  <c r="Z326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330" i="6"/>
  <c r="Z325" i="6"/>
  <c r="Z321" i="6"/>
  <c r="Z317" i="6"/>
  <c r="Z313" i="6"/>
  <c r="Z411" i="6"/>
  <c r="Z426" i="6"/>
  <c r="Z449" i="6"/>
  <c r="Z466" i="6"/>
  <c r="Z404" i="6"/>
  <c r="Z419" i="6"/>
  <c r="Z435" i="6"/>
  <c r="Z454" i="6"/>
  <c r="Z471" i="6"/>
  <c r="Z460" i="6"/>
  <c r="Z413" i="6"/>
  <c r="Z428" i="6"/>
  <c r="Z442" i="6"/>
  <c r="Z445" i="6"/>
  <c r="Z406" i="6"/>
  <c r="Z421" i="6"/>
  <c r="Z437" i="6"/>
  <c r="Z448" i="6"/>
  <c r="Z465" i="6"/>
  <c r="Z415" i="6"/>
  <c r="Z430" i="6"/>
  <c r="Z453" i="6"/>
  <c r="Z470" i="6"/>
  <c r="Z408" i="6"/>
  <c r="Z423" i="6"/>
  <c r="Z439" i="6"/>
  <c r="Z459" i="6"/>
  <c r="Z401" i="6"/>
  <c r="Z432" i="6"/>
  <c r="Z464" i="6"/>
  <c r="Z469" i="6"/>
  <c r="Z461" i="6"/>
  <c r="Z410" i="6"/>
  <c r="Z425" i="6"/>
  <c r="Z444" i="6"/>
  <c r="Z452" i="6"/>
  <c r="Z403" i="6"/>
  <c r="Z418" i="6"/>
  <c r="Z434" i="6"/>
  <c r="Z441" i="6"/>
  <c r="Z447" i="6"/>
  <c r="Z458" i="6"/>
  <c r="Z412" i="6"/>
  <c r="Z427" i="6"/>
  <c r="Z463" i="6"/>
  <c r="Z405" i="6"/>
  <c r="Z420" i="6"/>
  <c r="Z436" i="6"/>
  <c r="Z451" i="6"/>
  <c r="Z468" i="6"/>
  <c r="Z417" i="6"/>
  <c r="Z414" i="6"/>
  <c r="Z429" i="6"/>
  <c r="Z457" i="6"/>
  <c r="Z402" i="6"/>
  <c r="Z472" i="6"/>
  <c r="Z407" i="6"/>
  <c r="Z422" i="6"/>
  <c r="Z438" i="6"/>
  <c r="Z443" i="6"/>
  <c r="Z462" i="6"/>
  <c r="Z400" i="6"/>
  <c r="Z416" i="6"/>
  <c r="Z431" i="6"/>
  <c r="Z446" i="6"/>
  <c r="Z450" i="6"/>
  <c r="Z467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409" i="6"/>
  <c r="Z424" i="6"/>
  <c r="Z440" i="6"/>
  <c r="Z455" i="6"/>
  <c r="Z433" i="6"/>
  <c r="Z13" i="6"/>
  <c r="Z14" i="6"/>
  <c r="Z12" i="6"/>
  <c r="Z8" i="6"/>
  <c r="Y5" i="6"/>
  <c r="AA7" i="6"/>
  <c r="Z10" i="6"/>
  <c r="Z9" i="6"/>
  <c r="Z11" i="6"/>
  <c r="AA121" i="6" l="1"/>
  <c r="AA202" i="6"/>
  <c r="AA153" i="6"/>
  <c r="AA187" i="6"/>
  <c r="AA175" i="6"/>
  <c r="AA329" i="6"/>
  <c r="AA456" i="6"/>
  <c r="AA386" i="6"/>
  <c r="AA236" i="6"/>
  <c r="AA235" i="6"/>
  <c r="AA237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99" i="6"/>
  <c r="AA138" i="6"/>
  <c r="AA145" i="6"/>
  <c r="AA146" i="6"/>
  <c r="AA147" i="6"/>
  <c r="AA148" i="6"/>
  <c r="AA149" i="6"/>
  <c r="AA150" i="6"/>
  <c r="AA151" i="6"/>
  <c r="AA152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6" i="6"/>
  <c r="AA177" i="6"/>
  <c r="AA178" i="6"/>
  <c r="AA179" i="6"/>
  <c r="AA180" i="6"/>
  <c r="AA181" i="6"/>
  <c r="AA182" i="6"/>
  <c r="AA183" i="6"/>
  <c r="AA184" i="6"/>
  <c r="AA185" i="6"/>
  <c r="AA186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137" i="6"/>
  <c r="AA144" i="6"/>
  <c r="AA98" i="6"/>
  <c r="AA143" i="6"/>
  <c r="AA136" i="6"/>
  <c r="AA142" i="6"/>
  <c r="AA141" i="6"/>
  <c r="AA140" i="6"/>
  <c r="AA230" i="6"/>
  <c r="AA239" i="6"/>
  <c r="AA229" i="6"/>
  <c r="AA238" i="6"/>
  <c r="AA228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30" i="6"/>
  <c r="AA227" i="6"/>
  <c r="AA244" i="6"/>
  <c r="AA226" i="6"/>
  <c r="AA234" i="6"/>
  <c r="AA243" i="6"/>
  <c r="AA233" i="6"/>
  <c r="AA242" i="6"/>
  <c r="AA139" i="6"/>
  <c r="AA232" i="6"/>
  <c r="AA241" i="6"/>
  <c r="AA240" i="6"/>
  <c r="AA231" i="6"/>
  <c r="AA340" i="6"/>
  <c r="AA356" i="6"/>
  <c r="AA371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333" i="6"/>
  <c r="AA349" i="6"/>
  <c r="AA365" i="6"/>
  <c r="AA380" i="6"/>
  <c r="AA398" i="6"/>
  <c r="AA342" i="6"/>
  <c r="AA358" i="6"/>
  <c r="AA373" i="6"/>
  <c r="AA385" i="6"/>
  <c r="AA390" i="6"/>
  <c r="AA335" i="6"/>
  <c r="AA351" i="6"/>
  <c r="AA367" i="6"/>
  <c r="AA382" i="6"/>
  <c r="AA397" i="6"/>
  <c r="AA344" i="6"/>
  <c r="AA360" i="6"/>
  <c r="AA375" i="6"/>
  <c r="AA337" i="6"/>
  <c r="AA353" i="6"/>
  <c r="AA369" i="6"/>
  <c r="AA396" i="6"/>
  <c r="AA346" i="6"/>
  <c r="AA362" i="6"/>
  <c r="AA377" i="6"/>
  <c r="AA384" i="6"/>
  <c r="AA389" i="6"/>
  <c r="AA339" i="6"/>
  <c r="AA355" i="6"/>
  <c r="AA370" i="6"/>
  <c r="AA395" i="6"/>
  <c r="AA332" i="6"/>
  <c r="AA348" i="6"/>
  <c r="AA364" i="6"/>
  <c r="AA379" i="6"/>
  <c r="AA341" i="6"/>
  <c r="AA357" i="6"/>
  <c r="AA372" i="6"/>
  <c r="AA394" i="6"/>
  <c r="AA334" i="6"/>
  <c r="AA350" i="6"/>
  <c r="AA366" i="6"/>
  <c r="AA381" i="6"/>
  <c r="AA388" i="6"/>
  <c r="AA343" i="6"/>
  <c r="AA359" i="6"/>
  <c r="AA374" i="6"/>
  <c r="AA393" i="6"/>
  <c r="AA336" i="6"/>
  <c r="AA352" i="6"/>
  <c r="AA368" i="6"/>
  <c r="AA383" i="6"/>
  <c r="AA345" i="6"/>
  <c r="AA361" i="6"/>
  <c r="AA376" i="6"/>
  <c r="AA392" i="6"/>
  <c r="AA338" i="6"/>
  <c r="AA347" i="6"/>
  <c r="AA354" i="6"/>
  <c r="AA387" i="6"/>
  <c r="AA391" i="6"/>
  <c r="AA363" i="6"/>
  <c r="AA331" i="6"/>
  <c r="AA378" i="6"/>
  <c r="AA473" i="6"/>
  <c r="AA475" i="6"/>
  <c r="AA476" i="6"/>
  <c r="AA478" i="6"/>
  <c r="AA480" i="6"/>
  <c r="AA482" i="6"/>
  <c r="AA484" i="6"/>
  <c r="AA486" i="6"/>
  <c r="AA488" i="6"/>
  <c r="AA490" i="6"/>
  <c r="AA492" i="6"/>
  <c r="AA494" i="6"/>
  <c r="AA496" i="6"/>
  <c r="AA498" i="6"/>
  <c r="AA500" i="6"/>
  <c r="AA501" i="6"/>
  <c r="AA504" i="6"/>
  <c r="AA506" i="6"/>
  <c r="AA509" i="6"/>
  <c r="AA511" i="6"/>
  <c r="AA513" i="6"/>
  <c r="AA515" i="6"/>
  <c r="AA474" i="6"/>
  <c r="AA477" i="6"/>
  <c r="AA479" i="6"/>
  <c r="AA481" i="6"/>
  <c r="AA483" i="6"/>
  <c r="AA485" i="6"/>
  <c r="AA487" i="6"/>
  <c r="AA489" i="6"/>
  <c r="AA491" i="6"/>
  <c r="AA493" i="6"/>
  <c r="AA495" i="6"/>
  <c r="AA497" i="6"/>
  <c r="AA499" i="6"/>
  <c r="AA502" i="6"/>
  <c r="AA503" i="6"/>
  <c r="AA505" i="6"/>
  <c r="AA507" i="6"/>
  <c r="AA508" i="6"/>
  <c r="AA510" i="6"/>
  <c r="AA512" i="6"/>
  <c r="AA514" i="6"/>
  <c r="AA13" i="6"/>
  <c r="AA14" i="6"/>
  <c r="AA11" i="6"/>
  <c r="Z5" i="6"/>
  <c r="AA8" i="6"/>
  <c r="AA10" i="6"/>
  <c r="AA12" i="6"/>
  <c r="AA9" i="6"/>
  <c r="AB7" i="6"/>
  <c r="AB121" i="6" l="1"/>
  <c r="AB202" i="6"/>
  <c r="AB153" i="6"/>
  <c r="AB187" i="6"/>
  <c r="AB175" i="6"/>
  <c r="AB329" i="6"/>
  <c r="AB456" i="6"/>
  <c r="AB386" i="6"/>
  <c r="AB236" i="6"/>
  <c r="AB235" i="6"/>
  <c r="AB237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45" i="6"/>
  <c r="AB146" i="6"/>
  <c r="AB147" i="6"/>
  <c r="AB148" i="6"/>
  <c r="AB149" i="6"/>
  <c r="AB150" i="6"/>
  <c r="AB151" i="6"/>
  <c r="AB152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6" i="6"/>
  <c r="AB177" i="6"/>
  <c r="AB178" i="6"/>
  <c r="AB179" i="6"/>
  <c r="AB180" i="6"/>
  <c r="AB181" i="6"/>
  <c r="AB182" i="6"/>
  <c r="AB183" i="6"/>
  <c r="AB184" i="6"/>
  <c r="AB185" i="6"/>
  <c r="AB186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144" i="6"/>
  <c r="AB143" i="6"/>
  <c r="AB142" i="6"/>
  <c r="AB141" i="6"/>
  <c r="AB139" i="6"/>
  <c r="AB231" i="6"/>
  <c r="AB240" i="6"/>
  <c r="AB230" i="6"/>
  <c r="AB239" i="6"/>
  <c r="AB229" i="6"/>
  <c r="AB238" i="6"/>
  <c r="AB140" i="6"/>
  <c r="AB228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30" i="6"/>
  <c r="AB227" i="6"/>
  <c r="AB244" i="6"/>
  <c r="AB226" i="6"/>
  <c r="AB234" i="6"/>
  <c r="AB243" i="6"/>
  <c r="AB225" i="6"/>
  <c r="AB233" i="6"/>
  <c r="AB242" i="6"/>
  <c r="AB241" i="6"/>
  <c r="AB232" i="6"/>
  <c r="AB331" i="6"/>
  <c r="AB347" i="6"/>
  <c r="AB363" i="6"/>
  <c r="AB378" i="6"/>
  <c r="AB391" i="6"/>
  <c r="AB340" i="6"/>
  <c r="AB356" i="6"/>
  <c r="AB371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333" i="6"/>
  <c r="AB349" i="6"/>
  <c r="AB365" i="6"/>
  <c r="AB380" i="6"/>
  <c r="AB398" i="6"/>
  <c r="AB342" i="6"/>
  <c r="AB358" i="6"/>
  <c r="AB373" i="6"/>
  <c r="AB385" i="6"/>
  <c r="AB390" i="6"/>
  <c r="AB335" i="6"/>
  <c r="AB351" i="6"/>
  <c r="AB367" i="6"/>
  <c r="AB382" i="6"/>
  <c r="AB397" i="6"/>
  <c r="AB344" i="6"/>
  <c r="AB360" i="6"/>
  <c r="AB375" i="6"/>
  <c r="AB337" i="6"/>
  <c r="AB353" i="6"/>
  <c r="AB369" i="6"/>
  <c r="AB396" i="6"/>
  <c r="AB346" i="6"/>
  <c r="AB362" i="6"/>
  <c r="AB377" i="6"/>
  <c r="AB384" i="6"/>
  <c r="AB389" i="6"/>
  <c r="AB339" i="6"/>
  <c r="AB355" i="6"/>
  <c r="AB370" i="6"/>
  <c r="AB395" i="6"/>
  <c r="AB332" i="6"/>
  <c r="AB348" i="6"/>
  <c r="AB364" i="6"/>
  <c r="AB379" i="6"/>
  <c r="AB341" i="6"/>
  <c r="AB357" i="6"/>
  <c r="AB372" i="6"/>
  <c r="AB394" i="6"/>
  <c r="AB334" i="6"/>
  <c r="AB350" i="6"/>
  <c r="AB366" i="6"/>
  <c r="AB381" i="6"/>
  <c r="AB388" i="6"/>
  <c r="AB343" i="6"/>
  <c r="AB359" i="6"/>
  <c r="AB374" i="6"/>
  <c r="AB393" i="6"/>
  <c r="AB336" i="6"/>
  <c r="AB352" i="6"/>
  <c r="AB368" i="6"/>
  <c r="AB383" i="6"/>
  <c r="AB479" i="6"/>
  <c r="AB503" i="6"/>
  <c r="AB476" i="6"/>
  <c r="AB504" i="6"/>
  <c r="AB338" i="6"/>
  <c r="AB487" i="6"/>
  <c r="AB502" i="6"/>
  <c r="AB491" i="6"/>
  <c r="AB513" i="6"/>
  <c r="AB345" i="6"/>
  <c r="AB478" i="6"/>
  <c r="AB508" i="6"/>
  <c r="AB512" i="6"/>
  <c r="AB354" i="6"/>
  <c r="AB387" i="6"/>
  <c r="AB507" i="6"/>
  <c r="AB482" i="6"/>
  <c r="AB490" i="6"/>
  <c r="AB498" i="6"/>
  <c r="AB510" i="6"/>
  <c r="AB361" i="6"/>
  <c r="AB497" i="6"/>
  <c r="AB477" i="6"/>
  <c r="AB488" i="6"/>
  <c r="AB499" i="6"/>
  <c r="AB514" i="6"/>
  <c r="AB474" i="6"/>
  <c r="AB483" i="6"/>
  <c r="AB489" i="6"/>
  <c r="AB496" i="6"/>
  <c r="AB501" i="6"/>
  <c r="AB511" i="6"/>
  <c r="AB485" i="6"/>
  <c r="AB495" i="6"/>
  <c r="AB505" i="6"/>
  <c r="AB515" i="6"/>
  <c r="AB376" i="6"/>
  <c r="AB473" i="6"/>
  <c r="AB481" i="6"/>
  <c r="AB486" i="6"/>
  <c r="AB493" i="6"/>
  <c r="AB500" i="6"/>
  <c r="AB509" i="6"/>
  <c r="AB392" i="6"/>
  <c r="AB492" i="6"/>
  <c r="AB475" i="6"/>
  <c r="AB480" i="6"/>
  <c r="AB484" i="6"/>
  <c r="AB494" i="6"/>
  <c r="AB506" i="6"/>
  <c r="AB13" i="6"/>
  <c r="AB14" i="6"/>
  <c r="AB11" i="6"/>
  <c r="AB9" i="6"/>
  <c r="AB12" i="6"/>
  <c r="AB10" i="6"/>
  <c r="AA5" i="6"/>
  <c r="AB8" i="6"/>
  <c r="AB5" i="6" l="1"/>
</calcChain>
</file>

<file path=xl/sharedStrings.xml><?xml version="1.0" encoding="utf-8"?>
<sst xmlns="http://schemas.openxmlformats.org/spreadsheetml/2006/main" count="4943" uniqueCount="2160">
  <si>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</si>
  <si>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</si>
  <si>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</si>
  <si>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</si>
  <si>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</si>
  <si>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</si>
  <si>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</si>
  <si>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</si>
  <si>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</si>
  <si>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</si>
  <si>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</si>
  <si>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</si>
  <si>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</si>
  <si>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</si>
  <si>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</si>
  <si>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</si>
  <si>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</si>
  <si>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Rimborso</t>
  </si>
  <si>
    <t>Zona</t>
  </si>
  <si>
    <t>da finire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</si>
  <si>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</si>
  <si>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</si>
  <si>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</si>
  <si>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</si>
  <si>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</si>
  <si>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</si>
  <si>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</si>
  <si>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bistrot</t>
  </si>
  <si>
    <t>gelateria</t>
  </si>
  <si>
    <t>pizzeria</t>
  </si>
  <si>
    <t>n.d.</t>
  </si>
  <si>
    <t>cocktail bar</t>
  </si>
  <si>
    <t>pasticceria / caffetteria</t>
  </si>
  <si>
    <t>pastificio con cucina</t>
  </si>
  <si>
    <t>caffetteria</t>
  </si>
  <si>
    <t>enoteca</t>
  </si>
  <si>
    <t>bar / pasticceria</t>
  </si>
  <si>
    <t>ristorante / cocktail bar</t>
  </si>
  <si>
    <t>sala da tè</t>
  </si>
  <si>
    <t/>
  </si>
  <si>
    <t>Berberè</t>
  </si>
  <si>
    <t>non recensibile</t>
  </si>
  <si>
    <t>Città</t>
  </si>
  <si>
    <t>Trapizzino</t>
  </si>
  <si>
    <t>panineria</t>
  </si>
  <si>
    <t>Mordi &amp; Vai</t>
  </si>
  <si>
    <t>Elettroforno Frontoni</t>
  </si>
  <si>
    <t>Pasticceria Barberini</t>
  </si>
  <si>
    <t>Cristalli di Zucchero</t>
  </si>
  <si>
    <t>Casa Manfredi</t>
  </si>
  <si>
    <t>Latteria</t>
  </si>
  <si>
    <t>Gori Gelato</t>
  </si>
  <si>
    <t>Nero Vaniglia</t>
  </si>
  <si>
    <t>Jerry Thomas Speakeasy</t>
  </si>
  <si>
    <t>Roscioli Caffè</t>
  </si>
  <si>
    <t>Claudio Torcè</t>
  </si>
  <si>
    <t>Fabrica</t>
  </si>
  <si>
    <t>D'Antoni dal 1974</t>
  </si>
  <si>
    <t>200 gradi</t>
  </si>
  <si>
    <t>Pane e Tempesta</t>
  </si>
  <si>
    <t>Prelibato</t>
  </si>
  <si>
    <t>Santi Sebastiano e Valentino</t>
  </si>
  <si>
    <t>Cus Cus</t>
  </si>
  <si>
    <t>Zia Rosetta</t>
  </si>
  <si>
    <t>Ciao Checca</t>
  </si>
  <si>
    <t>Aromaticus</t>
  </si>
  <si>
    <t>Neve di Latte</t>
  </si>
  <si>
    <t>Fatamorgana</t>
  </si>
  <si>
    <t>Come il Latte</t>
  </si>
  <si>
    <t>Cremeria Alpi</t>
  </si>
  <si>
    <t>Al Settimo Gelo</t>
  </si>
  <si>
    <t>Cremeria Aurelia</t>
  </si>
  <si>
    <t>Gelateria dei Gracchi</t>
  </si>
  <si>
    <t>Otaleg!</t>
  </si>
  <si>
    <t>Pizzarium</t>
  </si>
  <si>
    <t>Il Goccetto</t>
  </si>
  <si>
    <t>La Gourmandise</t>
  </si>
  <si>
    <t>Baccano</t>
  </si>
  <si>
    <t>Mangiafuoco</t>
  </si>
  <si>
    <t>Open Baladin</t>
  </si>
  <si>
    <t>Metropolita</t>
  </si>
  <si>
    <t>Pinsere</t>
  </si>
  <si>
    <t>La Casa del Cremolato</t>
  </si>
  <si>
    <t>La Differenza</t>
  </si>
  <si>
    <t>Mostò</t>
  </si>
  <si>
    <t>Gelateria I Mannari</t>
  </si>
  <si>
    <t>180g pizzeria romana</t>
  </si>
  <si>
    <t>Da Enzo al 29</t>
  </si>
  <si>
    <t>Fermentum</t>
  </si>
  <si>
    <t>Galbi</t>
  </si>
  <si>
    <t>Green T.</t>
  </si>
  <si>
    <t>Hasekura</t>
  </si>
  <si>
    <t>La Gatta Mangiona</t>
  </si>
  <si>
    <t>La Punta Expendio de Agave</t>
  </si>
  <si>
    <t>Lin</t>
  </si>
  <si>
    <t>Magnifica</t>
  </si>
  <si>
    <t>Piccolo Buco</t>
  </si>
  <si>
    <t>Sakana Sushi</t>
  </si>
  <si>
    <t>Seu Pizza Illuminati</t>
  </si>
  <si>
    <t>Waraku</t>
  </si>
  <si>
    <t>La Trota</t>
  </si>
  <si>
    <t>Trattoria del Pesce</t>
  </si>
  <si>
    <t>Per Me</t>
  </si>
  <si>
    <t>Da Fausto</t>
  </si>
  <si>
    <t>Lo Stuzzichino</t>
  </si>
  <si>
    <t>Iotto</t>
  </si>
  <si>
    <t>Il Pacchero Solitario</t>
  </si>
  <si>
    <t>Il Giardino</t>
  </si>
  <si>
    <t>Osteria del Velodromo Vecchio</t>
  </si>
  <si>
    <t>Il Pagliaccio</t>
  </si>
  <si>
    <t>Osteria del Vicolo Fatato</t>
  </si>
  <si>
    <t>Pascucci al Porticciolo</t>
  </si>
  <si>
    <t>Bistrot 64</t>
  </si>
  <si>
    <t>Pipero</t>
  </si>
  <si>
    <t>Chinappi</t>
  </si>
  <si>
    <t>Il Convivio Troiani</t>
  </si>
  <si>
    <t>Enoteca La Torre</t>
  </si>
  <si>
    <t>Materia Prima</t>
  </si>
  <si>
    <t>Chalet del Lago</t>
  </si>
  <si>
    <t>Il Tino</t>
  </si>
  <si>
    <t>La Pergola del Rome Cavalieri</t>
  </si>
  <si>
    <t>Hand Made</t>
  </si>
  <si>
    <t>Osteria La Briciola</t>
  </si>
  <si>
    <t>Acqua Pazza</t>
  </si>
  <si>
    <t>Acquolina</t>
  </si>
  <si>
    <t>Da Cesare</t>
  </si>
  <si>
    <t>Felice</t>
  </si>
  <si>
    <t>Il Torchio</t>
  </si>
  <si>
    <t>La Baia</t>
  </si>
  <si>
    <t>Mamma Angelina</t>
  </si>
  <si>
    <t>Osteria Bonelli</t>
  </si>
  <si>
    <t>Prato di Sopra</t>
  </si>
  <si>
    <t>Riso Amaro</t>
  </si>
  <si>
    <t>Roscioli</t>
  </si>
  <si>
    <t>Trattoria Monti</t>
  </si>
  <si>
    <t>Armando al Pantheon</t>
  </si>
  <si>
    <t>Flavio al Velavevodetto</t>
  </si>
  <si>
    <t>Moma</t>
  </si>
  <si>
    <t>Cuoco e Camicia</t>
  </si>
  <si>
    <t>Glass Hostaria</t>
  </si>
  <si>
    <t>Il Calice e la Stella</t>
  </si>
  <si>
    <t>Ristorante degli Angeli</t>
  </si>
  <si>
    <t>Al Ceppo</t>
  </si>
  <si>
    <t>Satricvm</t>
  </si>
  <si>
    <t>Osteria “Il Bersagliere”</t>
  </si>
  <si>
    <t>La Locanda del Bere</t>
  </si>
  <si>
    <t>Santo Palato</t>
  </si>
  <si>
    <t>La Parolina</t>
  </si>
  <si>
    <t>Sora Maria e Arcangelo</t>
  </si>
  <si>
    <t>All'Oro</t>
  </si>
  <si>
    <t>La Tavernaccia</t>
  </si>
  <si>
    <t>Zia Restaurant</t>
  </si>
  <si>
    <t>Osteria del Borgo</t>
  </si>
  <si>
    <t>Retrobottega</t>
  </si>
  <si>
    <t>vineria con cucina</t>
  </si>
  <si>
    <t>pizzeria al taglio</t>
  </si>
  <si>
    <t>gastronomia</t>
  </si>
  <si>
    <t>street food venezuelano</t>
  </si>
  <si>
    <t>birreria con cucina</t>
  </si>
  <si>
    <t>caffetteria / pasticceria</t>
  </si>
  <si>
    <t>bistrot / sala da tè</t>
  </si>
  <si>
    <t>bar / pasticceria / gelateria</t>
  </si>
  <si>
    <t>pizzeria al taglio / panificio</t>
  </si>
  <si>
    <t>negozio / bistrot</t>
  </si>
  <si>
    <t>cinese</t>
  </si>
  <si>
    <t>romana</t>
  </si>
  <si>
    <t>giapponese</t>
  </si>
  <si>
    <t>coreana</t>
  </si>
  <si>
    <t>messicana</t>
  </si>
  <si>
    <t>pesce</t>
  </si>
  <si>
    <t>ricercata</t>
  </si>
  <si>
    <t>tradizionale</t>
  </si>
  <si>
    <t>legata al territorio</t>
  </si>
  <si>
    <t>creativa</t>
  </si>
  <si>
    <t>tradizionale con spunti creativi</t>
  </si>
  <si>
    <t>principalmente pesce</t>
  </si>
  <si>
    <t>gastronomia con cucina</t>
  </si>
  <si>
    <t>Piazza del Popolo</t>
  </si>
  <si>
    <t>San Paolo</t>
  </si>
  <si>
    <t>Testaccio</t>
  </si>
  <si>
    <t>Piazza Istria</t>
  </si>
  <si>
    <t>Largo Somalia</t>
  </si>
  <si>
    <t>Via Ostiense, 387</t>
  </si>
  <si>
    <t>Batteria Nomentana</t>
  </si>
  <si>
    <t>Montesacro</t>
  </si>
  <si>
    <t>Piazza Navona</t>
  </si>
  <si>
    <t>Via Marmorata, 41</t>
  </si>
  <si>
    <t>Largo Benedetto Bompiani, 8/10</t>
  </si>
  <si>
    <t>Via di Val Tellina, 114</t>
  </si>
  <si>
    <t>Monteverde</t>
  </si>
  <si>
    <t>Viale Aventino, 91/93</t>
  </si>
  <si>
    <t>FAO</t>
  </si>
  <si>
    <t>Vicolo della Scala, 1</t>
  </si>
  <si>
    <t>Trastevere</t>
  </si>
  <si>
    <t>Via Tolemaide, 16</t>
  </si>
  <si>
    <t>Trionfale</t>
  </si>
  <si>
    <t>Porta Portese</t>
  </si>
  <si>
    <t>Via Carlo Caneva, 15</t>
  </si>
  <si>
    <t>Portonaccio</t>
  </si>
  <si>
    <t>Monti</t>
  </si>
  <si>
    <t>Laurentino</t>
  </si>
  <si>
    <t>Piramide</t>
  </si>
  <si>
    <t>Talenti</t>
  </si>
  <si>
    <t>Salario</t>
  </si>
  <si>
    <t>Viale Parioli, 200</t>
  </si>
  <si>
    <t>Circonvallazione Ostiense, 201</t>
  </si>
  <si>
    <t>Garbatella</t>
  </si>
  <si>
    <t>Pigneto</t>
  </si>
  <si>
    <t>San Giovanni</t>
  </si>
  <si>
    <t>Vicolo Cellini, 30</t>
  </si>
  <si>
    <t>Corso Vittorio Emanuele</t>
  </si>
  <si>
    <t>Piazza Benedetto Cairoli, 16</t>
  </si>
  <si>
    <t>Campo de' Fiori</t>
  </si>
  <si>
    <t>Aventino</t>
  </si>
  <si>
    <t>Viale Aventino, 59</t>
  </si>
  <si>
    <t>Viale Marconi, 445</t>
  </si>
  <si>
    <t>Viale dell'Aeronautica, 105</t>
  </si>
  <si>
    <t>EUR</t>
  </si>
  <si>
    <t>Via Girolamo Savonarola, 8</t>
  </si>
  <si>
    <t>Prati</t>
  </si>
  <si>
    <t>Collatino</t>
  </si>
  <si>
    <t>Furio Camillo</t>
  </si>
  <si>
    <t>Musei Vaticani</t>
  </si>
  <si>
    <t>Flaminio</t>
  </si>
  <si>
    <t>Via Giovanni de Calvi, 23/25</t>
  </si>
  <si>
    <t>Colli Portuensi</t>
  </si>
  <si>
    <t>Viale di Villa Pamphili, 214</t>
  </si>
  <si>
    <t>Pietralata</t>
  </si>
  <si>
    <t>Via Piave, 55</t>
  </si>
  <si>
    <t>Piazza Fiume</t>
  </si>
  <si>
    <t>Arco di Travertino</t>
  </si>
  <si>
    <t>Centocelle</t>
  </si>
  <si>
    <t>Via Tirso, 107</t>
  </si>
  <si>
    <t>Via Arezzo, 39</t>
  </si>
  <si>
    <t>Piazza Bologna</t>
  </si>
  <si>
    <t>Via Urbana, 54</t>
  </si>
  <si>
    <t>Piazza di Spagna, 23</t>
  </si>
  <si>
    <t>San Lorenzo</t>
  </si>
  <si>
    <t>Via di Ripetta, 40</t>
  </si>
  <si>
    <t>Pantheon</t>
  </si>
  <si>
    <t>Piazza di Firenze, 25/26</t>
  </si>
  <si>
    <t>Campo Marzio</t>
  </si>
  <si>
    <t>Via Urbana, 134</t>
  </si>
  <si>
    <t>Viale Europa, 339</t>
  </si>
  <si>
    <t>Via Luigi Poletti, 6</t>
  </si>
  <si>
    <t>Via Federico Cesi, 1</t>
  </si>
  <si>
    <t>Via dei Chiavari, 37</t>
  </si>
  <si>
    <t>Via Lago di Lesina, 9/11</t>
  </si>
  <si>
    <t>Trieste</t>
  </si>
  <si>
    <t>Piazza degli Zingari, 5</t>
  </si>
  <si>
    <t>Piazza Re di Roma</t>
  </si>
  <si>
    <t>Via Roma Libera, 11</t>
  </si>
  <si>
    <t>Via Silvio Spaventa 24/26</t>
  </si>
  <si>
    <t>Piazza Sallustio</t>
  </si>
  <si>
    <t>Via Padre Reginaldo Giuliani, 16</t>
  </si>
  <si>
    <t>Acilia</t>
  </si>
  <si>
    <t>Esquilino</t>
  </si>
  <si>
    <t>Piazza Mazzini</t>
  </si>
  <si>
    <t>Piazza Irnerio</t>
  </si>
  <si>
    <t>Via di Ripetta, 261</t>
  </si>
  <si>
    <t>Via dei Gracchi, 272</t>
  </si>
  <si>
    <t>Appio Latino</t>
  </si>
  <si>
    <t>Fontana di Trevi</t>
  </si>
  <si>
    <t>Via di San Cosimato, 14/A</t>
  </si>
  <si>
    <t>Piazzale degli Eroi</t>
  </si>
  <si>
    <t>Via dei Banchi Vecchi, 14</t>
  </si>
  <si>
    <t>Via delle Muratte, 23</t>
  </si>
  <si>
    <t>Via degli Specchi, 6</t>
  </si>
  <si>
    <t>Piazza Cavour</t>
  </si>
  <si>
    <t>Piazza Gentile da Fabriano, 2</t>
  </si>
  <si>
    <t>Via Giovanni Branca, 88</t>
  </si>
  <si>
    <t>Piazzale di Ponte Milvio, 13</t>
  </si>
  <si>
    <t>Via Flavia, 98</t>
  </si>
  <si>
    <t>Via di Priscilla, 18</t>
  </si>
  <si>
    <t>Piazza Crati</t>
  </si>
  <si>
    <t>Piazza Trilussa, 46</t>
  </si>
  <si>
    <t>Viale Pinturicchio, 32</t>
  </si>
  <si>
    <t>Via di Grotta Perfetta, 125</t>
  </si>
  <si>
    <t>Montagnola</t>
  </si>
  <si>
    <t>Via Mantova, 5</t>
  </si>
  <si>
    <t>Via Lemonia, 214</t>
  </si>
  <si>
    <t>Cinecittà</t>
  </si>
  <si>
    <t>Via Cremera, 21</t>
  </si>
  <si>
    <t>Ostiense</t>
  </si>
  <si>
    <t>Via dei Serpenti, 27</t>
  </si>
  <si>
    <t>Portuense</t>
  </si>
  <si>
    <t>Via Federico Ozanam, 30/32</t>
  </si>
  <si>
    <t>Via di Santa Cecilia, 8</t>
  </si>
  <si>
    <t>Via Basento, 70/76</t>
  </si>
  <si>
    <t>Via Po</t>
  </si>
  <si>
    <t>Via Ugo de Carolis, 72/D</t>
  </si>
  <si>
    <t>Balduina</t>
  </si>
  <si>
    <t>Via della Torre Clementina, 114</t>
  </si>
  <si>
    <t>Via del Lavatore, 91</t>
  </si>
  <si>
    <t>Via del Gazometro, 54</t>
  </si>
  <si>
    <t>Via Angelo Bargoni, 10/18</t>
  </si>
  <si>
    <t>Via Santa Susanna, 33</t>
  </si>
  <si>
    <t>Via Folco Portinari, 27</t>
  </si>
  <si>
    <t>Monteverde Nuovo</t>
  </si>
  <si>
    <t>Vicolo del Malpasso, 9</t>
  </si>
  <si>
    <t>Via Giulia</t>
  </si>
  <si>
    <t>Piazza Cesare Beccaria, 6</t>
  </si>
  <si>
    <t>Corso Vittorio Emanuele, 96</t>
  </si>
  <si>
    <t>Via Giuseppe Verdi, 29</t>
  </si>
  <si>
    <t>Via degli Ulivi, 43</t>
  </si>
  <si>
    <t>Via Genzano, 139</t>
  </si>
  <si>
    <t>Via Cicerone, 40</t>
  </si>
  <si>
    <t>Via dei Banchi Vecchi, 129/A</t>
  </si>
  <si>
    <t>Vicolo Forno Fatato, 11</t>
  </si>
  <si>
    <t>Viale Traiano, 85</t>
  </si>
  <si>
    <t>MAXXI</t>
  </si>
  <si>
    <t>Corso Vittorio Emanuele II, 250</t>
  </si>
  <si>
    <t>Chiesa Nuova</t>
  </si>
  <si>
    <t>Vicolo dei Soldati, 31</t>
  </si>
  <si>
    <t>Lungotevere delle Armi, 22/23</t>
  </si>
  <si>
    <t>Piazza Monte Grappa</t>
  </si>
  <si>
    <t>Via Sardegna, 8</t>
  </si>
  <si>
    <t>Via G.G. Belli, 59/61</t>
  </si>
  <si>
    <t>Via Reginaldo Belloni, 28/29</t>
  </si>
  <si>
    <t>Tuscolano</t>
  </si>
  <si>
    <t>Via Cadlolo, 101</t>
  </si>
  <si>
    <t>Monte Mario</t>
  </si>
  <si>
    <t>Via Scuole Rurali, 1</t>
  </si>
  <si>
    <t>Via del Vantaggio, 14</t>
  </si>
  <si>
    <t>Via Augusto Valenziani, 19</t>
  </si>
  <si>
    <t>Via del Casaletto, 45</t>
  </si>
  <si>
    <t>Via Mastro Giorgio, 29</t>
  </si>
  <si>
    <t>Via Goffredo Mameli, 3</t>
  </si>
  <si>
    <t>Via Silvi Marina, 1</t>
  </si>
  <si>
    <t>Viale Arrigo Boito, 65</t>
  </si>
  <si>
    <t>Viale dell'Acquedotto Alessandrino, 172/174</t>
  </si>
  <si>
    <t>Torpignattara</t>
  </si>
  <si>
    <t>Via Principe Amedeo, 7</t>
  </si>
  <si>
    <t>Viale Regina Margherita, 22</t>
  </si>
  <si>
    <t>Via dei Giubbonari, 21/22</t>
  </si>
  <si>
    <t>Via di Monte Testaccio, 97/99</t>
  </si>
  <si>
    <t>Ex Mattatoio</t>
  </si>
  <si>
    <t>Via di San Basilio, 42/43</t>
  </si>
  <si>
    <t>Vicolo del Cinque, 58</t>
  </si>
  <si>
    <t>Piazza Trilussa</t>
  </si>
  <si>
    <t>Piazza Garibaldi, 9</t>
  </si>
  <si>
    <t>Località Madonna degli Angeli</t>
  </si>
  <si>
    <t>Via Panama, 2</t>
  </si>
  <si>
    <t>Piazza Ungheria</t>
  </si>
  <si>
    <t>Strada Nettuno-Cisterna, 1227 - Loc. Le Ferriere</t>
  </si>
  <si>
    <t>Via Casilina, km 25,000</t>
  </si>
  <si>
    <t>Via Foro Appio, 64 - Loc. Borgo Faiti</t>
  </si>
  <si>
    <t>Via Giacomo Leopardi, 1</t>
  </si>
  <si>
    <t>Via Roma, 45</t>
  </si>
  <si>
    <t>Via Giuseppe Pisanelli, 23/25</t>
  </si>
  <si>
    <t>Via Goffredo Mameli, 45</t>
  </si>
  <si>
    <t>Via Borgo di Sopra, 21/23</t>
  </si>
  <si>
    <t>Roma</t>
  </si>
  <si>
    <t>Fiumicino</t>
  </si>
  <si>
    <t>Rivodutri</t>
  </si>
  <si>
    <t>Fondi</t>
  </si>
  <si>
    <t>Campodimele</t>
  </si>
  <si>
    <t>Campagnano di Roma</t>
  </si>
  <si>
    <t>Aprilia</t>
  </si>
  <si>
    <t>Ventotene</t>
  </si>
  <si>
    <t>Grottaferrata</t>
  </si>
  <si>
    <t>Tivoli</t>
  </si>
  <si>
    <t>Piglio</t>
  </si>
  <si>
    <t>Terracina</t>
  </si>
  <si>
    <t>Formia</t>
  </si>
  <si>
    <t>Latina</t>
  </si>
  <si>
    <t>Pontinia</t>
  </si>
  <si>
    <t>Genazzano</t>
  </si>
  <si>
    <t>Anguillara Sabazia</t>
  </si>
  <si>
    <t>Fregene</t>
  </si>
  <si>
    <t>Viterbo</t>
  </si>
  <si>
    <t>Ponza</t>
  </si>
  <si>
    <t>Anzio</t>
  </si>
  <si>
    <t>Frascati</t>
  </si>
  <si>
    <t>Canepina</t>
  </si>
  <si>
    <t>Magliano Sabina</t>
  </si>
  <si>
    <t>Colonna</t>
  </si>
  <si>
    <t>Trevinano</t>
  </si>
  <si>
    <t>Olevano Romano</t>
  </si>
  <si>
    <t>393/8123386</t>
  </si>
  <si>
    <t>06/45619534</t>
  </si>
  <si>
    <t>06/57250431</t>
  </si>
  <si>
    <t>06/5124103</t>
  </si>
  <si>
    <t>06/58230323</t>
  </si>
  <si>
    <t>06/97605892</t>
  </si>
  <si>
    <t>06/58332008</t>
  </si>
  <si>
    <t>06/45551271</t>
  </si>
  <si>
    <t>06/80662455</t>
  </si>
  <si>
    <t>06/8272092</t>
  </si>
  <si>
    <t>06/5780306</t>
  </si>
  <si>
    <t>06/96845937</t>
  </si>
  <si>
    <t>06/89165330</t>
  </si>
  <si>
    <t>06/5746876</t>
  </si>
  <si>
    <t>06/97882939</t>
  </si>
  <si>
    <t>06/2593441</t>
  </si>
  <si>
    <t>06/39754239</t>
  </si>
  <si>
    <t>06/87725015</t>
  </si>
  <si>
    <t>06/93577165</t>
  </si>
  <si>
    <t>06/42815714</t>
  </si>
  <si>
    <t>06/87568048</t>
  </si>
  <si>
    <t>06/31052516</t>
  </si>
  <si>
    <t>06/6786027</t>
  </si>
  <si>
    <t>06/32652670</t>
  </si>
  <si>
    <t>06/68803029</t>
  </si>
  <si>
    <t>06/68300368</t>
  </si>
  <si>
    <t>06/4881355</t>
  </si>
  <si>
    <t>06/69363592</t>
  </si>
  <si>
    <t>06/3208485</t>
  </si>
  <si>
    <t>06/3225744</t>
  </si>
  <si>
    <t>06/86391589</t>
  </si>
  <si>
    <t>06/48906955</t>
  </si>
  <si>
    <t>06/5803615</t>
  </si>
  <si>
    <t>06/42903882</t>
  </si>
  <si>
    <t>06/88921386</t>
  </si>
  <si>
    <t>06/5211942</t>
  </si>
  <si>
    <t>06/3725567</t>
  </si>
  <si>
    <t>06/6632499</t>
  </si>
  <si>
    <t>06/3224727</t>
  </si>
  <si>
    <t>06/3216668</t>
  </si>
  <si>
    <t>338/6515450</t>
  </si>
  <si>
    <t>06/39745416</t>
  </si>
  <si>
    <t>377/4116621</t>
  </si>
  <si>
    <t>06/69941166</t>
  </si>
  <si>
    <t>06/6838989</t>
  </si>
  <si>
    <t>06/43419624</t>
  </si>
  <si>
    <t>06/33221964</t>
  </si>
  <si>
    <t>06/42020924</t>
  </si>
  <si>
    <t>06/86200724</t>
  </si>
  <si>
    <t>06/64012423</t>
  </si>
  <si>
    <t>06/5817312</t>
  </si>
  <si>
    <t>06/70496477</t>
  </si>
  <si>
    <t>392/2579616</t>
  </si>
  <si>
    <t>06/5410448</t>
  </si>
  <si>
    <t>06/45654390</t>
  </si>
  <si>
    <t>06/5812260</t>
  </si>
  <si>
    <t>06/8842132</t>
  </si>
  <si>
    <t>06/6798628</t>
  </si>
  <si>
    <t>06/483648</t>
  </si>
  <si>
    <t>06/5346702</t>
  </si>
  <si>
    <t>06/5816665</t>
  </si>
  <si>
    <t>06/8546270</t>
  </si>
  <si>
    <t>06/6505251</t>
  </si>
  <si>
    <t>06/69380163</t>
  </si>
  <si>
    <t>06/5883384</t>
  </si>
  <si>
    <t>06/21702358</t>
  </si>
  <si>
    <t>0746/685078</t>
  </si>
  <si>
    <t>06/95945393</t>
  </si>
  <si>
    <t>06/6877365</t>
  </si>
  <si>
    <t>0771/531268</t>
  </si>
  <si>
    <t>0771/598099</t>
  </si>
  <si>
    <t>06/9041746</t>
  </si>
  <si>
    <t>06/92062042</t>
  </si>
  <si>
    <t>0771/85020</t>
  </si>
  <si>
    <t>06/7886793</t>
  </si>
  <si>
    <t>06/9411904</t>
  </si>
  <si>
    <t>06/68809595</t>
  </si>
  <si>
    <t>0775/503035</t>
  </si>
  <si>
    <t>06/65029204</t>
  </si>
  <si>
    <t>06/3235531</t>
  </si>
  <si>
    <t>06/68139022</t>
  </si>
  <si>
    <t>06/6869432</t>
  </si>
  <si>
    <t>06/45668304</t>
  </si>
  <si>
    <t>0773/86391</t>
  </si>
  <si>
    <t>06/3210992</t>
  </si>
  <si>
    <t>06/9968229</t>
  </si>
  <si>
    <t>06/35092152</t>
  </si>
  <si>
    <t>06/66562063</t>
  </si>
  <si>
    <t>0774/418421</t>
  </si>
  <si>
    <t>0771/80643</t>
  </si>
  <si>
    <t>06/3201590</t>
  </si>
  <si>
    <t>06/35072243</t>
  </si>
  <si>
    <t>06/4819005</t>
  </si>
  <si>
    <t>06/536015</t>
  </si>
  <si>
    <t>06/5746800</t>
  </si>
  <si>
    <t>06/9425520</t>
  </si>
  <si>
    <t>06/66561647</t>
  </si>
  <si>
    <t>06/8608928</t>
  </si>
  <si>
    <t>329/8633077</t>
  </si>
  <si>
    <t>06/94315464</t>
  </si>
  <si>
    <t>0771/523655</t>
  </si>
  <si>
    <t>06/6875287</t>
  </si>
  <si>
    <t>06/68803034</t>
  </si>
  <si>
    <t>06/5744194</t>
  </si>
  <si>
    <t>06/42011798</t>
  </si>
  <si>
    <t>06/88922987</t>
  </si>
  <si>
    <t>06/58335903</t>
  </si>
  <si>
    <t>328/9024761</t>
  </si>
  <si>
    <t>0744/91377</t>
  </si>
  <si>
    <t>06/8419696</t>
  </si>
  <si>
    <t>349/1923153</t>
  </si>
  <si>
    <t>0773/258620</t>
  </si>
  <si>
    <t>06/77207354</t>
  </si>
  <si>
    <t>0763/717130</t>
  </si>
  <si>
    <t>06/9564043</t>
  </si>
  <si>
    <t>06/97996907</t>
  </si>
  <si>
    <t>06/5812792</t>
  </si>
  <si>
    <t>06/23488093</t>
  </si>
  <si>
    <t>06/30430023</t>
  </si>
  <si>
    <t>Trecca - cucina di mercato</t>
  </si>
  <si>
    <t>Via Alessandro Severo, 222</t>
  </si>
  <si>
    <t>Ex Fiera</t>
  </si>
  <si>
    <t>06/88650867</t>
  </si>
  <si>
    <t>Molo 29</t>
  </si>
  <si>
    <t>Via Mario Musco, 29/31</t>
  </si>
  <si>
    <t>06/59600651</t>
  </si>
  <si>
    <t>Agostino</t>
  </si>
  <si>
    <t>Corso Trieste, 66</t>
  </si>
  <si>
    <t>Via Tuscolana, 1677</t>
  </si>
  <si>
    <t>Caffè Conti</t>
  </si>
  <si>
    <t>La Briciola di Adriana</t>
  </si>
  <si>
    <t>Pizza Chef</t>
  </si>
  <si>
    <t>Faro - Caffè Specialty</t>
  </si>
  <si>
    <t>Da Michele</t>
  </si>
  <si>
    <t>Via Tiberio Imperatore, 95/97</t>
  </si>
  <si>
    <t>06/5404352</t>
  </si>
  <si>
    <t>Drink Kong</t>
  </si>
  <si>
    <t>06/23488666</t>
  </si>
  <si>
    <t>Mikachan</t>
  </si>
  <si>
    <t>Via Torcegno, 39</t>
  </si>
  <si>
    <t>Infernetto</t>
  </si>
  <si>
    <t>338/1737246</t>
  </si>
  <si>
    <t>Osteria Fratelli Mori</t>
  </si>
  <si>
    <t>romana / pizzeria</t>
  </si>
  <si>
    <t>Via dei Conciatori, 10</t>
  </si>
  <si>
    <t>331/3234399</t>
  </si>
  <si>
    <t>Mudejar Spiriti e Cucina</t>
  </si>
  <si>
    <t>Sperlonga</t>
  </si>
  <si>
    <t>338/6839418</t>
  </si>
  <si>
    <t>Mater</t>
  </si>
  <si>
    <t>Fiano Romano</t>
  </si>
  <si>
    <t>Idylio by Apreda</t>
  </si>
  <si>
    <t>Parioli</t>
  </si>
  <si>
    <t>Artigiano del Caffè</t>
  </si>
  <si>
    <t>Via Famagosta, 14</t>
  </si>
  <si>
    <t>329/7467044</t>
  </si>
  <si>
    <t>Piazza di Spagna</t>
  </si>
  <si>
    <t>06/36000009</t>
  </si>
  <si>
    <t>street food romano</t>
  </si>
  <si>
    <t>El maiz</t>
  </si>
  <si>
    <t>panificio con cucina</t>
  </si>
  <si>
    <t>forno / bistrot</t>
  </si>
  <si>
    <t>tradizionale / romana</t>
  </si>
  <si>
    <t>Vermicino</t>
  </si>
  <si>
    <t>Via Natale del Grande, 6/7</t>
  </si>
  <si>
    <t>Piazza dei Quiriti, 4/5</t>
  </si>
  <si>
    <t>Via Domenichino, 14</t>
  </si>
  <si>
    <t>06/66006878</t>
  </si>
  <si>
    <t>06/3972 5514</t>
  </si>
  <si>
    <t>06/88798381</t>
  </si>
  <si>
    <t>Gelato d'Essai</t>
  </si>
  <si>
    <t>Prenestino</t>
  </si>
  <si>
    <t>06/89232228</t>
  </si>
  <si>
    <t>Colli Aniene</t>
  </si>
  <si>
    <t>06/64264692</t>
  </si>
  <si>
    <t>Fax Factory</t>
  </si>
  <si>
    <t>caffetteria specialty</t>
  </si>
  <si>
    <t>Via Antonio Raimondi, 87</t>
  </si>
  <si>
    <t>06/69301043</t>
  </si>
  <si>
    <t>Sushisen</t>
  </si>
  <si>
    <t>indirizzo
plurimo</t>
  </si>
  <si>
    <t>riservato
per</t>
  </si>
  <si>
    <t>Duke's - Fine Casual Bar &amp; Restaurant</t>
  </si>
  <si>
    <t>Babingtons</t>
  </si>
  <si>
    <t>Via Cristoforo Colombo, 1897</t>
  </si>
  <si>
    <t>Casal Palocco</t>
  </si>
  <si>
    <t>Via Bisagno, 19</t>
  </si>
  <si>
    <t>Ghetto</t>
  </si>
  <si>
    <t>Via Clelia, 63/A</t>
  </si>
  <si>
    <t>Piazzale delle Province, 9</t>
  </si>
  <si>
    <t>Via Dietro la Chiesa, 3/4</t>
  </si>
  <si>
    <t>Via dei Vascellari, 29</t>
  </si>
  <si>
    <t>pasticceria</t>
  </si>
  <si>
    <t>06/53095459</t>
  </si>
  <si>
    <t>06/87566046</t>
  </si>
  <si>
    <t>06/90239685</t>
  </si>
  <si>
    <t>06/5756945</t>
  </si>
  <si>
    <t>Sintesi</t>
  </si>
  <si>
    <t>Via Adige, 19/21</t>
  </si>
  <si>
    <t>Viale dei Castani, 17</t>
  </si>
  <si>
    <t>Ariccia</t>
  </si>
  <si>
    <t>06/45557597</t>
  </si>
  <si>
    <t>Salmoneria</t>
  </si>
  <si>
    <t>bottega con cucina</t>
  </si>
  <si>
    <t>Angelo Pezzella</t>
  </si>
  <si>
    <t>Via Appia Nuova, 1095</t>
  </si>
  <si>
    <t>06/7188560</t>
  </si>
  <si>
    <t>06/45495604</t>
  </si>
  <si>
    <t>Largo Argentina</t>
  </si>
  <si>
    <t>Barred</t>
  </si>
  <si>
    <t>Via Cesena, 30</t>
  </si>
  <si>
    <t>06/97273382</t>
  </si>
  <si>
    <t>Bottega Tredici</t>
  </si>
  <si>
    <t>Via dei Falegnami, 14</t>
  </si>
  <si>
    <t>06/92118504</t>
  </si>
  <si>
    <t>Via dell'Arco della Ciambella, 20</t>
  </si>
  <si>
    <t>Sinosteria</t>
  </si>
  <si>
    <t>324/6399916</t>
  </si>
  <si>
    <t>Viale Guglielmo Marconi, 586</t>
  </si>
  <si>
    <t>Radici - pizzicheria salentina</t>
  </si>
  <si>
    <t>street food pugliese</t>
  </si>
  <si>
    <t>Via Emanuele Filiberto, 38</t>
  </si>
  <si>
    <t>06/89021483</t>
  </si>
  <si>
    <t>tradizionale / carne</t>
  </si>
  <si>
    <t>Subiaco</t>
  </si>
  <si>
    <t>06/86937299</t>
  </si>
  <si>
    <t>La Villetta</t>
  </si>
  <si>
    <t>Via del Porticciolo Romano, snc</t>
  </si>
  <si>
    <t>0771/723113</t>
  </si>
  <si>
    <t>Dumpling Bar</t>
  </si>
  <si>
    <t>Piazza Antonio Meucci, 1</t>
  </si>
  <si>
    <t>344/0658913</t>
  </si>
  <si>
    <t>Gastromario</t>
  </si>
  <si>
    <t>pasticceria / bistrot</t>
  </si>
  <si>
    <t>Via Voghera, 10</t>
  </si>
  <si>
    <t>Piazza Lodi</t>
  </si>
  <si>
    <t>06/79782584</t>
  </si>
  <si>
    <t>Vicolo del Bologna, 19</t>
  </si>
  <si>
    <t>342/3006808</t>
  </si>
  <si>
    <t>Via di Tor Pignattara, 190</t>
  </si>
  <si>
    <t>345/5479532</t>
  </si>
  <si>
    <t>Collina Fleming</t>
  </si>
  <si>
    <t>Mine</t>
  </si>
  <si>
    <t>06/3337879</t>
  </si>
  <si>
    <t>347/9998983</t>
  </si>
  <si>
    <t>Porto Quadro</t>
  </si>
  <si>
    <t>Piazza Ippolito Nievo, 13/14</t>
  </si>
  <si>
    <t>340/8640569</t>
  </si>
  <si>
    <t>Tram Tram</t>
  </si>
  <si>
    <t>06/490416</t>
  </si>
  <si>
    <t>Via dei Reti, 44/46</t>
  </si>
  <si>
    <t>Centro</t>
  </si>
  <si>
    <t>N.O.D.O.</t>
  </si>
  <si>
    <t>Piazza delle Coppelle, 52</t>
  </si>
  <si>
    <t>06/94376334</t>
  </si>
  <si>
    <t>Carter Oblio</t>
  </si>
  <si>
    <t>Via Giuseppe Gioachino Belli, 21</t>
  </si>
  <si>
    <t>Piazza Euclide, 25</t>
  </si>
  <si>
    <t>Via Val di Sangro, 35</t>
  </si>
  <si>
    <t>348/0081620</t>
  </si>
  <si>
    <t>La Ciambella bar à vin</t>
  </si>
  <si>
    <t>Menabó Vino e Cucina</t>
  </si>
  <si>
    <t>Mangiadischi la moderna trattoria</t>
  </si>
  <si>
    <t>a Rota - pizzeria romanesca</t>
  </si>
  <si>
    <t>Il tuo fornaio</t>
  </si>
  <si>
    <t>Pasticceria Walter Musco</t>
  </si>
  <si>
    <t>Enoteca L'Antidoto</t>
  </si>
  <si>
    <t>amARanto</t>
  </si>
  <si>
    <t>Viale della Pineta di Fregene, 52/C</t>
  </si>
  <si>
    <t>San Pietro</t>
  </si>
  <si>
    <t>Via delle Palme, 44/D-E</t>
  </si>
  <si>
    <t>Corso San Leone, 3/A</t>
  </si>
  <si>
    <t>Via San Vito, 13/A</t>
  </si>
  <si>
    <t>Via Ostiense, 166/A</t>
  </si>
  <si>
    <t>Via Giuseppe Giulietti, 21/A</t>
  </si>
  <si>
    <t>Via Prenestina, 321/A</t>
  </si>
  <si>
    <t>Via Genazzano, 32</t>
  </si>
  <si>
    <t>Villa Gordiani</t>
  </si>
  <si>
    <t>Via Pier Paolo Pasolini, snc</t>
  </si>
  <si>
    <t>Via Dino Penazzato, 83/H</t>
  </si>
  <si>
    <t>Via Francesco Sapori, 35</t>
  </si>
  <si>
    <t>Tor Marancia</t>
  </si>
  <si>
    <t>Via Beniamino Franklin, 12/E</t>
  </si>
  <si>
    <t>Via Flaminia, 732/B</t>
  </si>
  <si>
    <t>Piazza del Risorgimento, 3</t>
  </si>
  <si>
    <t>Piazza di San Martino ai Monti, 8</t>
  </si>
  <si>
    <t>Via Vodice, 21/A</t>
  </si>
  <si>
    <t>Piazza Menenio Agrippa, 8/B-C</t>
  </si>
  <si>
    <t>Via della Meloria, 43</t>
  </si>
  <si>
    <t>Via della Dogana Vecchia, 12/13</t>
  </si>
  <si>
    <t>06/6832930</t>
  </si>
  <si>
    <t>06/84381895</t>
  </si>
  <si>
    <t>06/93374742</t>
  </si>
  <si>
    <t>creativa / pesce</t>
  </si>
  <si>
    <t>tradizionale / rivisitata</t>
  </si>
  <si>
    <t>vegetariana / vegana</t>
  </si>
  <si>
    <t>principalmente romana</t>
  </si>
  <si>
    <t>bottega / bistrot</t>
  </si>
  <si>
    <t>ravioleria cinese</t>
  </si>
  <si>
    <t>45</t>
  </si>
  <si>
    <t>40+20</t>
  </si>
  <si>
    <t>40</t>
  </si>
  <si>
    <t xml:space="preserve">	primo, secondo e dolce (o antipasto)</t>
  </si>
  <si>
    <t>primo, secondo e dolce (o antipasto)</t>
  </si>
  <si>
    <t>25+20</t>
  </si>
  <si>
    <t>35</t>
  </si>
  <si>
    <t>30</t>
  </si>
  <si>
    <t>50+20</t>
  </si>
  <si>
    <t>25</t>
  </si>
  <si>
    <t>30+20</t>
  </si>
  <si>
    <t>antipasto, primo e secondo</t>
  </si>
  <si>
    <t>La Galleria di Sopra</t>
  </si>
  <si>
    <t>Via Leonardo Murialdo, 9</t>
  </si>
  <si>
    <t>Albano Laziale</t>
  </si>
  <si>
    <t>7½</t>
  </si>
  <si>
    <t>novità</t>
  </si>
  <si>
    <t>20</t>
  </si>
  <si>
    <t>1 tipo di sushi (roll o nigiri), un piatto caldo, 1 frittura, 1 dolce</t>
  </si>
  <si>
    <t>1 tacos, 2 piatti forti</t>
  </si>
  <si>
    <t>1 ramen + altri due piatti salati</t>
  </si>
  <si>
    <t>un antipasto e due pizze</t>
  </si>
  <si>
    <t>Tonda</t>
  </si>
  <si>
    <t>Via Valle Corteno, 31</t>
  </si>
  <si>
    <t>06/8180960</t>
  </si>
  <si>
    <t>4,5</t>
  </si>
  <si>
    <t>4</t>
  </si>
  <si>
    <t>1 caffè, 1 cappuccino, 1 lievito</t>
  </si>
  <si>
    <t>2 piatti salati e una centrifuga o succo</t>
  </si>
  <si>
    <t>15</t>
  </si>
  <si>
    <t>2 piatti di pasta diversi</t>
  </si>
  <si>
    <t>2 ciotole cuscus diverse e un antipasto</t>
  </si>
  <si>
    <t>1 panino + 1 piatto freddo</t>
  </si>
  <si>
    <t>12</t>
  </si>
  <si>
    <t>due panini diversi e un fritto</t>
  </si>
  <si>
    <t>7</t>
  </si>
  <si>
    <t>tè + fetta di torta o dolce monoporzione</t>
  </si>
  <si>
    <t>17</t>
  </si>
  <si>
    <t>tea menù</t>
  </si>
  <si>
    <t>1 calice di vino + 2 piatti</t>
  </si>
  <si>
    <t>1 burger + 1 un'alra preparazione salata</t>
  </si>
  <si>
    <t>2 cocktail diversi</t>
  </si>
  <si>
    <t>10</t>
  </si>
  <si>
    <t>1 panino + 1 tagliere</t>
  </si>
  <si>
    <t>1 cono o 1 coppetta con tre gusti+panna</t>
  </si>
  <si>
    <t>2 tranci di pizza piccoli (obbligatorio la margherita) + 1 fritto caratteristico</t>
  </si>
  <si>
    <t>9</t>
  </si>
  <si>
    <t>2 pinse diverse</t>
  </si>
  <si>
    <t>3 mini panini diversi</t>
  </si>
  <si>
    <t>Buccia</t>
  </si>
  <si>
    <t>Sabaudia</t>
  </si>
  <si>
    <t>366/4990849</t>
  </si>
  <si>
    <t>Osteria del Tempo Perso</t>
  </si>
  <si>
    <t>Piazza San Rocco, 13</t>
  </si>
  <si>
    <t>Casalvieri</t>
  </si>
  <si>
    <t>0776/638039</t>
  </si>
  <si>
    <t>Osteria Santa Lucia</t>
  </si>
  <si>
    <t>Corso della Repubblica, 26</t>
  </si>
  <si>
    <t>Frosinone</t>
  </si>
  <si>
    <t>0775/211863</t>
  </si>
  <si>
    <t>Via Santi Sebastiano e Rocco, 95</t>
  </si>
  <si>
    <t>Sezze</t>
  </si>
  <si>
    <t>0773/888573</t>
  </si>
  <si>
    <t>Pupillo Pura Pizza</t>
  </si>
  <si>
    <t>Madeleine</t>
  </si>
  <si>
    <t>Via Monte Santo, 64</t>
  </si>
  <si>
    <t>06/3728537</t>
  </si>
  <si>
    <t>19.2 Winebar Enoteca</t>
  </si>
  <si>
    <t>winebar / caffetteria</t>
  </si>
  <si>
    <t>Largo Benito Jacovitti, 16</t>
  </si>
  <si>
    <t>Torrino</t>
  </si>
  <si>
    <t>347/4387426</t>
  </si>
  <si>
    <t>1 tagliere + 1 sfizio</t>
  </si>
  <si>
    <t>06/52831571</t>
  </si>
  <si>
    <t>Nettuno</t>
  </si>
  <si>
    <t>enoteca con cucina</t>
  </si>
  <si>
    <t>Via Pontina Km 74,000</t>
  </si>
  <si>
    <t>1 primo, 1 secondo+ 1 antipasto o 1 dolce</t>
  </si>
  <si>
    <t>Enoteca La Mescita</t>
  </si>
  <si>
    <t>333/3015847</t>
  </si>
  <si>
    <t>Via Luigi Fincati, 44</t>
  </si>
  <si>
    <t>Gelateria I Gemelli</t>
  </si>
  <si>
    <t>Via Fonte Buono, 114</t>
  </si>
  <si>
    <t>349/8360994</t>
  </si>
  <si>
    <t>0773/241940</t>
  </si>
  <si>
    <t>Via Antonio Pacinotti, 83</t>
  </si>
  <si>
    <t>Via Nino Bixio, 1</t>
  </si>
  <si>
    <t>06/630640</t>
  </si>
  <si>
    <t>street food cinese</t>
  </si>
  <si>
    <t>Via Bergamo, 15</t>
  </si>
  <si>
    <t>Drogherie del Mare</t>
  </si>
  <si>
    <t>388/8348616</t>
  </si>
  <si>
    <t>Via Giusti, 18</t>
  </si>
  <si>
    <t>Aventina</t>
  </si>
  <si>
    <t>06/66594151</t>
  </si>
  <si>
    <t>Viale della Piramide Cestia, 9</t>
  </si>
  <si>
    <t>Via Vercelli, 12/14</t>
  </si>
  <si>
    <t>06/25399727</t>
  </si>
  <si>
    <t>Magazzino Scipioni</t>
  </si>
  <si>
    <t>06/39745233</t>
  </si>
  <si>
    <t>Bosco - Officine del Tartufo</t>
  </si>
  <si>
    <t>Mogano</t>
  </si>
  <si>
    <t>Formello</t>
  </si>
  <si>
    <t>Via del Praticello Alto, 5</t>
  </si>
  <si>
    <t>327/2312156</t>
  </si>
  <si>
    <t>Spiazzo</t>
  </si>
  <si>
    <t>Ponte di Ferro</t>
  </si>
  <si>
    <t>Via Giovan Battista Marzi, 1</t>
  </si>
  <si>
    <t>Tarquinia</t>
  </si>
  <si>
    <t>0766/731637</t>
  </si>
  <si>
    <t>Via Filippo Nicolai, 44</t>
  </si>
  <si>
    <t>Caprarola</t>
  </si>
  <si>
    <t>0761/646173</t>
  </si>
  <si>
    <t>Forma</t>
  </si>
  <si>
    <t>Via Trieste, 9</t>
  </si>
  <si>
    <t>Civitavecchia</t>
  </si>
  <si>
    <t>0766/672647</t>
  </si>
  <si>
    <t>Rimessa Roscioli</t>
  </si>
  <si>
    <t>06/68803914</t>
  </si>
  <si>
    <t>Il Casaletto</t>
  </si>
  <si>
    <t>Strada Grottana, 9</t>
  </si>
  <si>
    <t>Grotte Santo Stefano</t>
  </si>
  <si>
    <t>0761/367077</t>
  </si>
  <si>
    <t>Contrasto</t>
  </si>
  <si>
    <t>0761/973117</t>
  </si>
  <si>
    <t>Spaccio Grosso</t>
  </si>
  <si>
    <t>Via Ancona, 40</t>
  </si>
  <si>
    <t>06/9419004</t>
  </si>
  <si>
    <t>Ristorante Belvedere dal 1933</t>
  </si>
  <si>
    <t>Via Regina Margherita, 29</t>
  </si>
  <si>
    <t>Dazio Roma</t>
  </si>
  <si>
    <t>Via Nomentana, 1206</t>
  </si>
  <si>
    <t>06/83525515</t>
  </si>
  <si>
    <t>tapas bar</t>
  </si>
  <si>
    <t>53 Untitled</t>
  </si>
  <si>
    <t>375/7150155</t>
  </si>
  <si>
    <t>Pastorie</t>
  </si>
  <si>
    <t>Via Pesaro, 40</t>
  </si>
  <si>
    <t>393/9558235</t>
  </si>
  <si>
    <t>Vinificio</t>
  </si>
  <si>
    <t>Dogma</t>
  </si>
  <si>
    <t>06/86679819</t>
  </si>
  <si>
    <t>Piazza Zama, 34</t>
  </si>
  <si>
    <t>Velo Pasticceria</t>
  </si>
  <si>
    <t>06/45427861</t>
  </si>
  <si>
    <t>Via del Corso, 63</t>
  </si>
  <si>
    <t>Via Faleria, 12</t>
  </si>
  <si>
    <t>06/97278919</t>
  </si>
  <si>
    <t>I Quintili</t>
  </si>
  <si>
    <t>Via Eurialo, 7/C</t>
  </si>
  <si>
    <t>06/80077157</t>
  </si>
  <si>
    <t>06/2016003</t>
  </si>
  <si>
    <t>Caffè Doria</t>
  </si>
  <si>
    <t>06/6793805</t>
  </si>
  <si>
    <t>Il Maritozzo Rosso</t>
  </si>
  <si>
    <t>06/5817363</t>
  </si>
  <si>
    <t>Via Pietro Cavallini, 25</t>
  </si>
  <si>
    <t>06/90543525</t>
  </si>
  <si>
    <t>Pulejo</t>
  </si>
  <si>
    <t>Via dei Gracchi, 31</t>
  </si>
  <si>
    <t>06/85956532</t>
  </si>
  <si>
    <t>Baccio e i Gradini</t>
  </si>
  <si>
    <t>Viale della Piramide Cestia, 25</t>
  </si>
  <si>
    <t>351/8823737</t>
  </si>
  <si>
    <t>Tulipane</t>
  </si>
  <si>
    <t>Via del Pavone, 28</t>
  </si>
  <si>
    <t>06/01903840</t>
  </si>
  <si>
    <t>Piazza della Cancelleria, 80</t>
  </si>
  <si>
    <t>06/6897080</t>
  </si>
  <si>
    <t>Molo 21</t>
  </si>
  <si>
    <t>Lungomare Guglielmo Marconi, 21</t>
  </si>
  <si>
    <t>Santa Marinella</t>
  </si>
  <si>
    <t>L'Elementare</t>
  </si>
  <si>
    <t>Via Benedetta, 23</t>
  </si>
  <si>
    <t>06/5894016</t>
  </si>
  <si>
    <t>Michele Chinappi</t>
  </si>
  <si>
    <t>pesce / pizzeria</t>
  </si>
  <si>
    <t>Via Abate Tosti, 101</t>
  </si>
  <si>
    <t>0771/279917</t>
  </si>
  <si>
    <t>Via Guido de Ruggiero, 64</t>
  </si>
  <si>
    <t>06/95938970</t>
  </si>
  <si>
    <t>oWine</t>
  </si>
  <si>
    <t>Contatto</t>
  </si>
  <si>
    <t>Via Gioberti, 11</t>
  </si>
  <si>
    <t>06/21700957</t>
  </si>
  <si>
    <t>0773/703921</t>
  </si>
  <si>
    <t>Cassino</t>
  </si>
  <si>
    <t>Il Vecchio Mulino</t>
  </si>
  <si>
    <t>territoriale</t>
  </si>
  <si>
    <t>Lubriano</t>
  </si>
  <si>
    <t>0761/780505</t>
  </si>
  <si>
    <t>0774/282499</t>
  </si>
  <si>
    <t>NU' Trattoria Italiana dal 1960</t>
  </si>
  <si>
    <t>tipica</t>
  </si>
  <si>
    <t>Acuto</t>
  </si>
  <si>
    <t>0775/56372</t>
  </si>
  <si>
    <t>L'Osteria dell'Orologio</t>
  </si>
  <si>
    <t>Umami - trattoria giapponese</t>
  </si>
  <si>
    <t>Clementina</t>
  </si>
  <si>
    <t>Via della Torre Clementina, 158</t>
  </si>
  <si>
    <t>328/8181651</t>
  </si>
  <si>
    <t>Extremis</t>
  </si>
  <si>
    <t>Via del Casale Rocchi, 20/22</t>
  </si>
  <si>
    <t>06/87809051</t>
  </si>
  <si>
    <t>Osteria di Maccarese</t>
  </si>
  <si>
    <t>06/30328324</t>
  </si>
  <si>
    <t>Maccarese</t>
  </si>
  <si>
    <t>ricercata / principalmente pesce</t>
  </si>
  <si>
    <t>street food al tartufo</t>
  </si>
  <si>
    <t>panini di mare</t>
  </si>
  <si>
    <t>enoteca naturale</t>
  </si>
  <si>
    <t>hamburgheria / ristorante di carne</t>
  </si>
  <si>
    <t>cocktail bar / bistrot</t>
  </si>
  <si>
    <t>caffetteria / sala da tè</t>
  </si>
  <si>
    <t>abruzzese</t>
  </si>
  <si>
    <t>Dopo Lavoro Ricreativo</t>
  </si>
  <si>
    <t>Er Macellaio</t>
  </si>
  <si>
    <t>Forno Conti &amp; Co.</t>
  </si>
  <si>
    <t>Jiamo Lab</t>
  </si>
  <si>
    <t>LATTA - Fermenti e miscele</t>
  </si>
  <si>
    <t>Li Somari</t>
  </si>
  <si>
    <t>Mamma Orso</t>
  </si>
  <si>
    <t>Piano C - Circolo del vino</t>
  </si>
  <si>
    <t>Vineria Cesare dal 1963</t>
  </si>
  <si>
    <t>Via del Monte della Farina, 53</t>
  </si>
  <si>
    <t>Via Macerata, 8/C</t>
  </si>
  <si>
    <t>Galleria Doria Pamphilj, Via della Gatta, 1</t>
  </si>
  <si>
    <t>Via Cardinal Pietro La Fontaine, 21</t>
  </si>
  <si>
    <t>GRA</t>
  </si>
  <si>
    <t>Viale Aurelio Galleppini, 60/66</t>
  </si>
  <si>
    <t>Via Francesco Cangiullo, 16</t>
  </si>
  <si>
    <t>Contrada Taverna</t>
  </si>
  <si>
    <t>Via degli Scipioni, 30-30/A</t>
  </si>
  <si>
    <t>Via Arezzo, 17</t>
  </si>
  <si>
    <t>Via Prenestina, 27</t>
  </si>
  <si>
    <t>Via del Conservatorio, 58</t>
  </si>
  <si>
    <t>Porta Pia</t>
  </si>
  <si>
    <t>Via Mario Menghini, 99</t>
  </si>
  <si>
    <t>Parco della Caffarella</t>
  </si>
  <si>
    <t>Via San Francesco Nuovo, 1</t>
  </si>
  <si>
    <t>Piazza dell’Emporio, 1</t>
  </si>
  <si>
    <t>06/84382178</t>
  </si>
  <si>
    <t>06/88939709</t>
  </si>
  <si>
    <t>06/2757595</t>
  </si>
  <si>
    <t>06/99448583</t>
  </si>
  <si>
    <t>06/88923791</t>
  </si>
  <si>
    <t>06/97277922</t>
  </si>
  <si>
    <t>0766/1894210</t>
  </si>
  <si>
    <t>347/6632731</t>
  </si>
  <si>
    <t>331/4428878</t>
  </si>
  <si>
    <t>065562738</t>
  </si>
  <si>
    <t>06/89138094</t>
  </si>
  <si>
    <t>5</t>
  </si>
  <si>
    <t>3,5</t>
  </si>
  <si>
    <t>7+</t>
  </si>
  <si>
    <t>8-</t>
  </si>
  <si>
    <t>7-</t>
  </si>
  <si>
    <t>2,5</t>
  </si>
  <si>
    <t>8½</t>
  </si>
  <si>
    <t>3</t>
  </si>
  <si>
    <t>8</t>
  </si>
  <si>
    <t>6½</t>
  </si>
  <si>
    <t>8+</t>
  </si>
  <si>
    <t>9½</t>
  </si>
  <si>
    <t>9-</t>
  </si>
  <si>
    <t>9+</t>
  </si>
  <si>
    <t>2 cremolati diversi + panna</t>
  </si>
  <si>
    <t>due piatti salati + 1 dolce</t>
  </si>
  <si>
    <t>antipasto, primo, secondo, dolce</t>
  </si>
  <si>
    <t>antipasto, primo, secondo e dolce</t>
  </si>
  <si>
    <t>uno dei due menù degustazione</t>
  </si>
  <si>
    <t>due pizze diverse + 1 fritto</t>
  </si>
  <si>
    <t>Via Nomentana, 335/F</t>
  </si>
  <si>
    <t>Namo Ristobottega</t>
  </si>
  <si>
    <t>Via Firenze, 30</t>
  </si>
  <si>
    <t>06/87759632</t>
  </si>
  <si>
    <t>Mifang</t>
  </si>
  <si>
    <t>Scottadito</t>
  </si>
  <si>
    <t>Via Veglia, 14</t>
  </si>
  <si>
    <t>06/97162153</t>
  </si>
  <si>
    <t>06/52372056</t>
  </si>
  <si>
    <t>Al Setaccio</t>
  </si>
  <si>
    <t>Via di Mezzocammino, 193</t>
  </si>
  <si>
    <t>Tor de Cenci</t>
  </si>
  <si>
    <t>Via Francesco D'Ovidio, 27</t>
  </si>
  <si>
    <t>06/87609540</t>
  </si>
  <si>
    <t>Montelanico</t>
  </si>
  <si>
    <t>353/4196130</t>
  </si>
  <si>
    <t>Trattoria della Fortuna</t>
  </si>
  <si>
    <t>06/9004098</t>
  </si>
  <si>
    <t>Monterotondo</t>
  </si>
  <si>
    <t>Via Salaria, 57</t>
  </si>
  <si>
    <t>Iodio</t>
  </si>
  <si>
    <t>06/89619556</t>
  </si>
  <si>
    <t>La Barrique</t>
  </si>
  <si>
    <t>06/47825953</t>
  </si>
  <si>
    <t>Piazza di Sant'Eustachio, 47</t>
  </si>
  <si>
    <t>Via dei Pettinari, 43</t>
  </si>
  <si>
    <t>La Locanda della Chiocciola</t>
  </si>
  <si>
    <t>Orte</t>
  </si>
  <si>
    <t>Piazza delle Coppelle, 8</t>
  </si>
  <si>
    <t>06/89024862</t>
  </si>
  <si>
    <t>Via degli Stradivari, 1</t>
  </si>
  <si>
    <t>06/5017873</t>
  </si>
  <si>
    <t>Via Fratelli Bonnet, 5</t>
  </si>
  <si>
    <t>349/6134850</t>
  </si>
  <si>
    <t>Lievito Francesco Arnesano</t>
  </si>
  <si>
    <t>Via Simone Martini, 6/8</t>
  </si>
  <si>
    <t>Ai Due Otri</t>
  </si>
  <si>
    <t>Via Antonio de Viti de Marco, 36/38</t>
  </si>
  <si>
    <t>Corso Francia</t>
  </si>
  <si>
    <t>06/3292209</t>
  </si>
  <si>
    <t>Kohaku</t>
  </si>
  <si>
    <t>Via Marche, 66</t>
  </si>
  <si>
    <t>06/45665202</t>
  </si>
  <si>
    <t>Arte Bianca di Gabriele</t>
  </si>
  <si>
    <t>06/2757763</t>
  </si>
  <si>
    <t>Garibaldi dal 1970</t>
  </si>
  <si>
    <t>Via Tiberina, 62</t>
  </si>
  <si>
    <t>Prima Porta</t>
  </si>
  <si>
    <t>06/33611962</t>
  </si>
  <si>
    <t>Fior di Luna</t>
  </si>
  <si>
    <t>Via della Lungaretta, 96</t>
  </si>
  <si>
    <t>06/64561314</t>
  </si>
  <si>
    <t>Proloco Trastevere</t>
  </si>
  <si>
    <t>Via Goffredo Mameli, 23</t>
  </si>
  <si>
    <t>06/45596137</t>
  </si>
  <si>
    <t>Locanda Altobelli</t>
  </si>
  <si>
    <t>346/8256622</t>
  </si>
  <si>
    <t>Via Annunziata, 121</t>
  </si>
  <si>
    <t>Dieci</t>
  </si>
  <si>
    <t>Nepi</t>
  </si>
  <si>
    <t>Via Vittorio Veneto, 112</t>
  </si>
  <si>
    <t>06/87756896</t>
  </si>
  <si>
    <t>Via dei Banchi Vecchi, 140</t>
  </si>
  <si>
    <t>06/69276422</t>
  </si>
  <si>
    <t>Ludovisi</t>
  </si>
  <si>
    <t>Via della Croce, 46/47</t>
  </si>
  <si>
    <t>Piazza della Quercia, 23</t>
  </si>
  <si>
    <t>06/68300932</t>
  </si>
  <si>
    <t>Caffè Fleming</t>
  </si>
  <si>
    <t>06/3333960</t>
  </si>
  <si>
    <t>Via della Giuliana, 33</t>
  </si>
  <si>
    <t>06/98874558</t>
  </si>
  <si>
    <t>panificio / pizzeria al taglio</t>
  </si>
  <si>
    <t>Ristorante Moi</t>
  </si>
  <si>
    <t>Via Antonio Serra, 15</t>
  </si>
  <si>
    <t>06/87600399</t>
  </si>
  <si>
    <t>Viale dei Quattro Venti, 70</t>
  </si>
  <si>
    <t>Orma</t>
  </si>
  <si>
    <t>06/8543182</t>
  </si>
  <si>
    <t>Federico Prodon Pâtisserie</t>
  </si>
  <si>
    <t>Il Marchese</t>
  </si>
  <si>
    <t>Via di Ripetta, 162</t>
  </si>
  <si>
    <t>Ara Pacis</t>
  </si>
  <si>
    <t>06/90218872</t>
  </si>
  <si>
    <t>Tinello Bistrot</t>
  </si>
  <si>
    <t>Castel Gandolfo</t>
  </si>
  <si>
    <t>Via dei Dalmati, 3</t>
  </si>
  <si>
    <t>06/65498083</t>
  </si>
  <si>
    <t>Criollo - Il Bistrot Del Gelato</t>
  </si>
  <si>
    <t>Via Giuseppe Bagnera, 59</t>
  </si>
  <si>
    <t>Viale Marconi</t>
  </si>
  <si>
    <t>328/2511673</t>
  </si>
  <si>
    <t>Piazza di Santa Maria Ausiliatrice, 17/18</t>
  </si>
  <si>
    <t>327/9470778</t>
  </si>
  <si>
    <t>Via Licinio Stolone, 92</t>
  </si>
  <si>
    <t>327/4128238</t>
  </si>
  <si>
    <t>Antico Forno Roscioli</t>
  </si>
  <si>
    <t>Via dei Chiavari, 34</t>
  </si>
  <si>
    <t>06/6864045</t>
  </si>
  <si>
    <t>Capannelle</t>
  </si>
  <si>
    <t>Casa Manfredi Teatro</t>
  </si>
  <si>
    <t>Panificio Marè Prati</t>
  </si>
  <si>
    <t>Viale Angelico, 88</t>
  </si>
  <si>
    <t>06/37511594</t>
  </si>
  <si>
    <t>La Quercia</t>
  </si>
  <si>
    <t>Forno Ottavi 1921</t>
  </si>
  <si>
    <t>Grani, farine e caffè</t>
  </si>
  <si>
    <t>Günther Gelato</t>
  </si>
  <si>
    <t>Lento - Vineria con Cucina</t>
  </si>
  <si>
    <t>Pork’n’Roll</t>
  </si>
  <si>
    <t>Crunch!</t>
  </si>
  <si>
    <t>Mama-ya Ramen</t>
  </si>
  <si>
    <t>couscouseria siciliana</t>
  </si>
  <si>
    <t>tradizionale / pizzeria</t>
  </si>
  <si>
    <t>Largo Sangemini, 7/B-C</t>
  </si>
  <si>
    <t>Via dei Conciatori, 5/A</t>
  </si>
  <si>
    <t>Via Tortolini, 3/A</t>
  </si>
  <si>
    <t>Via Monte Cadria, 125</t>
  </si>
  <si>
    <t>Via G. Marconi, 25/A</t>
  </si>
  <si>
    <t>Via Tor de' Schiavi, 55/d</t>
  </si>
  <si>
    <t>Via del Boschetto, 41</t>
  </si>
  <si>
    <t>Via Boncompagni, 31/33</t>
  </si>
  <si>
    <t>Via dei Pastori, 26-A/28</t>
  </si>
  <si>
    <t>Via Vigna di Corte, 6</t>
  </si>
  <si>
    <t>Camilluccia</t>
  </si>
  <si>
    <t>Lungotevere dei Vallati</t>
  </si>
  <si>
    <t>Serafico</t>
  </si>
  <si>
    <t>Viale XXI Aprile</t>
  </si>
  <si>
    <t>Ponte Testaccio</t>
  </si>
  <si>
    <t>Via Boncompagni</t>
  </si>
  <si>
    <t>Piazza Farnese</t>
  </si>
  <si>
    <t>Repubblica</t>
  </si>
  <si>
    <t>06/68808292</t>
  </si>
  <si>
    <t>06/68395030</t>
  </si>
  <si>
    <t>06/69346839</t>
  </si>
  <si>
    <t>389/1798451</t>
  </si>
  <si>
    <t>06/83082083</t>
  </si>
  <si>
    <t>06/39728547</t>
  </si>
  <si>
    <t>0761/770885</t>
  </si>
  <si>
    <t>06/5522778</t>
  </si>
  <si>
    <t>06/9459338</t>
  </si>
  <si>
    <t>06/9322791</t>
  </si>
  <si>
    <t>0761/402734</t>
  </si>
  <si>
    <t>06/35452285</t>
  </si>
  <si>
    <t>06/5744958</t>
  </si>
  <si>
    <t xml:space="preserve">1 antipasto, 1 primo, 1 secondo, 1 dolce </t>
  </si>
  <si>
    <t>Via Piave, 8</t>
  </si>
  <si>
    <t>376/2067672</t>
  </si>
  <si>
    <t>Le Levain Café</t>
  </si>
  <si>
    <t>0746/249202</t>
  </si>
  <si>
    <t>Contigliano</t>
  </si>
  <si>
    <t>Via Umberto I, 2</t>
  </si>
  <si>
    <t>La Palazzina</t>
  </si>
  <si>
    <t>351/7164206</t>
  </si>
  <si>
    <t>San Cesareo</t>
  </si>
  <si>
    <t>Love</t>
  </si>
  <si>
    <t>06/96525119</t>
  </si>
  <si>
    <t>366/8171293</t>
  </si>
  <si>
    <t>Portale 21 - Opificio di cucina</t>
  </si>
  <si>
    <t>Marino</t>
  </si>
  <si>
    <t>06/94837668</t>
  </si>
  <si>
    <t>Via Rodolfo Morandi, 32</t>
  </si>
  <si>
    <t>45+20</t>
  </si>
  <si>
    <t>0774/282912</t>
  </si>
  <si>
    <t>Viale Aventino, 46</t>
  </si>
  <si>
    <t>Santa Romana</t>
  </si>
  <si>
    <t>Piazza Certaldo, 12</t>
  </si>
  <si>
    <t>06/69317674</t>
  </si>
  <si>
    <t>Magliana</t>
  </si>
  <si>
    <t>Via Reggio Emilia, 24</t>
  </si>
  <si>
    <t>06/88936084</t>
  </si>
  <si>
    <t>06/2590699</t>
  </si>
  <si>
    <t>Via del Gazometro, 5/A</t>
  </si>
  <si>
    <t>06/45479738</t>
  </si>
  <si>
    <t>Don Choc</t>
  </si>
  <si>
    <t>gelateria / cioccolateria</t>
  </si>
  <si>
    <t>06/33221585</t>
  </si>
  <si>
    <t>06/64760483</t>
  </si>
  <si>
    <t>Piazza Rivarola, 21</t>
  </si>
  <si>
    <t>266 La Barraca</t>
  </si>
  <si>
    <t>Lungomare delle Meduse, 266</t>
  </si>
  <si>
    <t>06/85386554</t>
  </si>
  <si>
    <t>06/24597135</t>
  </si>
  <si>
    <t>Song</t>
  </si>
  <si>
    <t>06/3215804</t>
  </si>
  <si>
    <t>Via Valadier, 14</t>
  </si>
  <si>
    <t>Lido di Ostia</t>
  </si>
  <si>
    <t>Piazza Barberini</t>
  </si>
  <si>
    <t>06/3231436</t>
  </si>
  <si>
    <t>street food</t>
  </si>
  <si>
    <t>Osteria La Massaia</t>
  </si>
  <si>
    <t>06/52205140</t>
  </si>
  <si>
    <t>Via della Seta, 1</t>
  </si>
  <si>
    <t>Hotel Vilòn</t>
  </si>
  <si>
    <t>Via dell'Arancio, 68/69</t>
  </si>
  <si>
    <t>06/878187</t>
  </si>
  <si>
    <t>Hotel De' Ricci</t>
  </si>
  <si>
    <t>Via della Barchetta, 14</t>
  </si>
  <si>
    <t>06/6874775</t>
  </si>
  <si>
    <t>Da Tullio</t>
  </si>
  <si>
    <t>Via della Balduina, 211</t>
  </si>
  <si>
    <t>06/35347252</t>
  </si>
  <si>
    <t>Conca d'Oro</t>
  </si>
  <si>
    <t>Gelato Romano</t>
  </si>
  <si>
    <t>Casaloca</t>
  </si>
  <si>
    <t>Corso di Francia, 207</t>
  </si>
  <si>
    <t>06/40069361</t>
  </si>
  <si>
    <t>spagnola</t>
  </si>
  <si>
    <t>La Perla</t>
  </si>
  <si>
    <t>Via Collebianco, 11</t>
  </si>
  <si>
    <t>339/8876306</t>
  </si>
  <si>
    <t>Arpino</t>
  </si>
  <si>
    <t>Porta Maggiore</t>
  </si>
  <si>
    <t>06/69350147</t>
  </si>
  <si>
    <t>Oolong</t>
  </si>
  <si>
    <t>06/21707385</t>
  </si>
  <si>
    <t>Nena Mercato&amp;Cucina</t>
  </si>
  <si>
    <t>Via dei Sabelli, 193</t>
  </si>
  <si>
    <t>06/83434951</t>
  </si>
  <si>
    <t>La Tana dei Carbonari</t>
  </si>
  <si>
    <t>Via XX Settembre, 35</t>
  </si>
  <si>
    <t>Roccagorga</t>
  </si>
  <si>
    <t>351/7434838</t>
  </si>
  <si>
    <t>Becco</t>
  </si>
  <si>
    <t>Piazzale degli Eroi, 7</t>
  </si>
  <si>
    <t>Contrada Rapello</t>
  </si>
  <si>
    <t>0774/034382</t>
  </si>
  <si>
    <t>Popina Trattoria</t>
  </si>
  <si>
    <t>06/72499997</t>
  </si>
  <si>
    <t>Via Giovanni Verga, 42</t>
  </si>
  <si>
    <t>Trattoria A Casa Di Rita</t>
  </si>
  <si>
    <t>Via delle Ciliegie, 145</t>
  </si>
  <si>
    <t>Alessandrino</t>
  </si>
  <si>
    <t>338/9860960</t>
  </si>
  <si>
    <t>Il Maratoneta</t>
  </si>
  <si>
    <t>Via dei Volsci, 99</t>
  </si>
  <si>
    <t>Viale Europa, 15</t>
  </si>
  <si>
    <t>Via Santa Margherita, 1</t>
  </si>
  <si>
    <t>Cori</t>
  </si>
  <si>
    <t>06/9678949</t>
  </si>
  <si>
    <t>wine bar / bistrot</t>
  </si>
  <si>
    <t>Sottobanco</t>
  </si>
  <si>
    <t>Via Paolo Frisi, 1</t>
  </si>
  <si>
    <t>06/85857447</t>
  </si>
  <si>
    <t>Frumentario</t>
  </si>
  <si>
    <t>Via Tuscolana, 26</t>
  </si>
  <si>
    <t>324/0578982</t>
  </si>
  <si>
    <t>Mi Cucina Cinese Contemporanea</t>
  </si>
  <si>
    <t>Via Giovanni Botero, 31/33</t>
  </si>
  <si>
    <t>06/89346223</t>
  </si>
  <si>
    <t>Colli Albani</t>
  </si>
  <si>
    <t>InFucina</t>
  </si>
  <si>
    <t>Via dei Salentini, 6/12</t>
  </si>
  <si>
    <t>06/88791819</t>
  </si>
  <si>
    <t>Via Enrico Fermi, 102/104</t>
  </si>
  <si>
    <t>Marconi</t>
  </si>
  <si>
    <t>06/55296621</t>
  </si>
  <si>
    <t>06/45683049</t>
  </si>
  <si>
    <t>Stefano Ferrara - Gelateria</t>
  </si>
  <si>
    <t>Via Francesco Cilea, 244/246</t>
  </si>
  <si>
    <t>06/5578634</t>
  </si>
  <si>
    <t>Stefano Ferrara - Formaessenza</t>
  </si>
  <si>
    <t>Maksymovych</t>
  </si>
  <si>
    <t>06/5576474</t>
  </si>
  <si>
    <t>tradizionale con spunti creativi / pizzeria</t>
  </si>
  <si>
    <t>Via della Portella, 31</t>
  </si>
  <si>
    <t>Sancho</t>
  </si>
  <si>
    <t>06/6580690</t>
  </si>
  <si>
    <t>Via Giuseppe Gioachino Belli, 3/A</t>
  </si>
  <si>
    <t>Viale Trastevere, 255</t>
  </si>
  <si>
    <t>Via Pietro Blaserna, 11</t>
  </si>
  <si>
    <t>Giuffrè forno &amp; gelato</t>
  </si>
  <si>
    <t>06/77205274</t>
  </si>
  <si>
    <t>06/5899616</t>
  </si>
  <si>
    <t>Locanda Nocera</t>
  </si>
  <si>
    <t>Via Viggiano, 155</t>
  </si>
  <si>
    <t>351/7590202</t>
  </si>
  <si>
    <t>Tor Carbone</t>
  </si>
  <si>
    <t>Zero Miglia</t>
  </si>
  <si>
    <t>06/9803030</t>
  </si>
  <si>
    <t>Gallo Ristorante di Pesce</t>
  </si>
  <si>
    <t>Krapfen Paglia</t>
  </si>
  <si>
    <t>bar/ pasticceria</t>
  </si>
  <si>
    <t>Piazza Anco Marzio, 18/19</t>
  </si>
  <si>
    <t>06/5623344</t>
  </si>
  <si>
    <t>Via Girolamo Benzoni, 34</t>
  </si>
  <si>
    <t>334/3855945</t>
  </si>
  <si>
    <t>Koû Koû</t>
  </si>
  <si>
    <t>pasticceria / cucina giapponese</t>
  </si>
  <si>
    <t>Via Monte Pertica, 41</t>
  </si>
  <si>
    <t>Casa Matti</t>
  </si>
  <si>
    <t>Via Sabotino, 49/51</t>
  </si>
  <si>
    <t>06/93563371</t>
  </si>
  <si>
    <t>Hiromi La Maison</t>
  </si>
  <si>
    <t>Via Giovanni Schiaparelli, 21</t>
  </si>
  <si>
    <t>06/89325263</t>
  </si>
  <si>
    <t>TAC - Thin And Crunchy</t>
  </si>
  <si>
    <t>Via Fiume delle Perle, 136/138</t>
  </si>
  <si>
    <t>Mostacciano</t>
  </si>
  <si>
    <t>06/45652738</t>
  </si>
  <si>
    <t>Via Flaminia, 64</t>
  </si>
  <si>
    <t>Piazzale Flaminio</t>
  </si>
  <si>
    <t>06/64781692</t>
  </si>
  <si>
    <t>Marzapane Café &amp; Bakery</t>
  </si>
  <si>
    <t>Mazzo</t>
  </si>
  <si>
    <t>Via degli Equi, 62</t>
  </si>
  <si>
    <t>06/69420455</t>
  </si>
  <si>
    <t>Bap</t>
  </si>
  <si>
    <t>Via Raffaele Cadorna, 5</t>
  </si>
  <si>
    <t>06/2428174</t>
  </si>
  <si>
    <t>Piazza dei Caprettari, 56/60</t>
  </si>
  <si>
    <t>Libera</t>
  </si>
  <si>
    <t>Via Luigi Tosti, 54</t>
  </si>
  <si>
    <t>due dolci e una bevanda "lavorata" (tè, caffè)</t>
  </si>
  <si>
    <t>Scima</t>
  </si>
  <si>
    <t>Via Annia Regilla, 110</t>
  </si>
  <si>
    <t>Quarto Miglio</t>
  </si>
  <si>
    <t>339/8743355</t>
  </si>
  <si>
    <t>Via Cassia, 1839</t>
  </si>
  <si>
    <t>La Storta</t>
  </si>
  <si>
    <t>06/94379873</t>
  </si>
  <si>
    <t>Pontisso</t>
  </si>
  <si>
    <t>Via Antonio Cantore, 3</t>
  </si>
  <si>
    <t>06/86214524</t>
  </si>
  <si>
    <t>Mile</t>
  </si>
  <si>
    <t>Via Pesaro, 8</t>
  </si>
  <si>
    <t>327/5878046</t>
  </si>
  <si>
    <t>N'Antro</t>
  </si>
  <si>
    <t>Largo Appio Claudio, 350</t>
  </si>
  <si>
    <t>333/3900984</t>
  </si>
  <si>
    <t>TE Caffè</t>
  </si>
  <si>
    <t>caffetteria specialty / pasticceria</t>
  </si>
  <si>
    <t>Via Sforza Pallavicini, 19/25</t>
  </si>
  <si>
    <t>Castel Sant'Angelo</t>
  </si>
  <si>
    <t>375/7051217</t>
  </si>
  <si>
    <t>Sordoni</t>
  </si>
  <si>
    <t>Friccico Mangia&amp;Bevi</t>
  </si>
  <si>
    <t>La Bottega delle tre Sorelle</t>
  </si>
  <si>
    <t>MIA - pizzeria creativa</t>
  </si>
  <si>
    <t>NUH Osteria Contemporanea</t>
  </si>
  <si>
    <t>Ristorante Delicato</t>
  </si>
  <si>
    <t>Svario-Pizza Bar</t>
  </si>
  <si>
    <t>UMA</t>
  </si>
  <si>
    <t>Barnum Café</t>
  </si>
  <si>
    <t>Cafè Merenda</t>
  </si>
  <si>
    <t>Gelateria daRe</t>
  </si>
  <si>
    <t>Ruver - teglia frazionata</t>
  </si>
  <si>
    <t>San Biagio pizza e bolle</t>
  </si>
  <si>
    <t>cucina tradizionale con spunti creativi</t>
  </si>
  <si>
    <t>tramezzineria</t>
  </si>
  <si>
    <t>forno / caffetteria specialty</t>
  </si>
  <si>
    <t>caffetteria specialty / bakery</t>
  </si>
  <si>
    <t>albergo con sala da tè</t>
  </si>
  <si>
    <t>caffetteria specialty / forno</t>
  </si>
  <si>
    <t>sandwicheria</t>
  </si>
  <si>
    <t>bar / pasticceria / bistrot</t>
  </si>
  <si>
    <t>Contrada Rapello, 13</t>
  </si>
  <si>
    <t>Viale dei Colli Portuensi, 169</t>
  </si>
  <si>
    <t>Via di Santa Croce in Gerusalemme, 29</t>
  </si>
  <si>
    <t>Piazza Alessandria</t>
  </si>
  <si>
    <t>Via Giovanni XXIII, snc</t>
  </si>
  <si>
    <t>Via del Carzolese, 1 ang. Via Casilina</t>
  </si>
  <si>
    <t>Via Collatina, 126/D</t>
  </si>
  <si>
    <t>Via della Missione, 56</t>
  </si>
  <si>
    <t>Via Val Senio, 18</t>
  </si>
  <si>
    <t>Via Aurelia, 388/B</t>
  </si>
  <si>
    <t>Mezzocammino</t>
  </si>
  <si>
    <t>Campo dei Fiori</t>
  </si>
  <si>
    <t>Casalbertone</t>
  </si>
  <si>
    <t>Vicolo del Cedro, 26</t>
  </si>
  <si>
    <t>Via Tunisi, 51</t>
  </si>
  <si>
    <t>Via Oslavia, 39</t>
  </si>
  <si>
    <t>Via della Torre Clementina 142/A</t>
  </si>
  <si>
    <t>Via Flaminia, 67</t>
  </si>
  <si>
    <t>Torvaianica</t>
  </si>
  <si>
    <t>06/87807070</t>
  </si>
  <si>
    <t>06/42990845</t>
  </si>
  <si>
    <t>320/6851104</t>
  </si>
  <si>
    <t>06/701 8134</t>
  </si>
  <si>
    <t>351/9711876</t>
  </si>
  <si>
    <t>06/97997519 - 349/3603694</t>
  </si>
  <si>
    <t>06/24406688</t>
  </si>
  <si>
    <t>06/23488536</t>
  </si>
  <si>
    <t>327/0737999</t>
  </si>
  <si>
    <t>06/86299316</t>
  </si>
  <si>
    <t>pl.</t>
  </si>
  <si>
    <t>m.</t>
  </si>
  <si>
    <t>c.</t>
  </si>
  <si>
    <t>Perc.</t>
  </si>
  <si>
    <t>Piatti da provare</t>
  </si>
  <si>
    <t>menù il "vostro All'Oro"</t>
  </si>
  <si>
    <t>menù degustazione 5 portate</t>
  </si>
  <si>
    <t>menù Idylio Butterfly</t>
  </si>
  <si>
    <t>menù degustazione</t>
  </si>
  <si>
    <t>menù "primi passi"</t>
  </si>
  <si>
    <t>menù "piccolo"</t>
  </si>
  <si>
    <t>menù degustazione 6 portate</t>
  </si>
  <si>
    <t>3 piatti salati e 1 dolce</t>
  </si>
  <si>
    <t>menù 5 portate</t>
  </si>
  <si>
    <t>menù "bar a vin"</t>
  </si>
  <si>
    <t>55+20</t>
  </si>
  <si>
    <t>menù degustazione "La Perla"</t>
  </si>
  <si>
    <t>menù degustazione 6 piatti</t>
  </si>
  <si>
    <t>degustazione da 5 portate</t>
  </si>
  <si>
    <t>antipasto (no taglieri), primo, secondo a base di carne, dolci</t>
  </si>
  <si>
    <t>antipasto,primo,secondo e dolce</t>
  </si>
  <si>
    <t>1 antipasto, 1 primo, 1 secondo, 1 dolce (no semplici verdure)</t>
  </si>
  <si>
    <t>antipasto, primo,secondo e dolce</t>
  </si>
  <si>
    <t>1 antipasto (no taglieri e bruschette, verificare se quello della casa contiene cose cucinate, in caso prenderlo, altrimenti sostituirlo con un altro primo), 1 primo, 1 secondo e 1 dolce</t>
  </si>
  <si>
    <t>antipasto (no salumi e sott'oli, primo, secondo e dolce</t>
  </si>
  <si>
    <t>antipasto, primo,secondo, dolce</t>
  </si>
  <si>
    <t>antipasto,primo, secondo e dolce</t>
  </si>
  <si>
    <t>antipasto, primo, secondo,dolce</t>
  </si>
  <si>
    <t>da provare a cena: antipasto, primo, secondo e dolce</t>
  </si>
  <si>
    <t>menù percorso romano</t>
  </si>
  <si>
    <t>antipasto, riso o noodles, secondo di carne o pesce, dolce</t>
  </si>
  <si>
    <t>1 raviolo (no verdure), 1 dim sum, 1 piatto di riso (no semplice), 1 secondo (carne o verdure ma non piatti semplici)</t>
  </si>
  <si>
    <t>menù dim sum</t>
  </si>
  <si>
    <t>1 ramen, 1 piatto tra gyoza, bun o agemono, 1 tipo di huramaki</t>
  </si>
  <si>
    <t>1 fritto, 1 pizza classica, 1 gourmet, 1 dolce</t>
  </si>
  <si>
    <t>due pizze diverse + 1 fritto + 1 lingotto</t>
  </si>
  <si>
    <t>due pizze diverse+1antipasto o fritto+1 dolce</t>
  </si>
  <si>
    <t>due pizze diverse + 1 antipasto</t>
  </si>
  <si>
    <t>due pizze diverse+1 fritto+ 1 dolce</t>
  </si>
  <si>
    <t>1 fritto, due pizze diverse,1 dolce</t>
  </si>
  <si>
    <t>1 fritto, uno spicchio di pizza al padellino, 2 pizze diverse, 1 cocktail</t>
  </si>
  <si>
    <t>3 maritozzi piccoli, magari due salati e uno dolce</t>
  </si>
  <si>
    <t>1 puccia, 1 primo o secondo</t>
  </si>
  <si>
    <t>formula afternoon tea</t>
  </si>
  <si>
    <t>3 piatti salati + 1 calice di vino</t>
  </si>
  <si>
    <t>1 calice di vino + 1 sfizio+1 crostone</t>
  </si>
  <si>
    <t>2 piatti dal menù (no dolce e no piatti di sole verdure); per il vino ho calcolato 5€ di rimborso come il costo medio di un calice anche se la bottiglia rimane a chi la compra.</t>
  </si>
  <si>
    <t>un calice e 2 piatti (no cose semplici o di sole verdure)</t>
  </si>
  <si>
    <t>un calice + 1 fermentato e 2 piatti</t>
  </si>
  <si>
    <t>un calice + 2 fermini e 1 piatto</t>
  </si>
  <si>
    <t>2 piatti salati (no ostriche) e 1 calice di vino</t>
  </si>
  <si>
    <t>2 panini diversi</t>
  </si>
  <si>
    <t>short trip</t>
  </si>
  <si>
    <t>tre varietà di dumpling diversi</t>
  </si>
  <si>
    <t>1 calice di vino, 1 snack, 2 piatti diversi</t>
  </si>
  <si>
    <t>2 hamburger diversi + 1 fritto</t>
  </si>
  <si>
    <t>1 crostino, 1 tagliere misto, 1 piatto, 1 calice di vino</t>
  </si>
  <si>
    <t>3 piatti salati e 1 dolce (no salumi e formaggi, una sola tapas)</t>
  </si>
  <si>
    <t>2 cocktail diversi più due tapas</t>
  </si>
  <si>
    <t>2 cocktail + 1 piatto</t>
  </si>
  <si>
    <t>2 cocktail diversi + 1 piatto</t>
  </si>
  <si>
    <t>2 pizze al tegamino (1 "tradizione", 1 "evoluzione")</t>
  </si>
  <si>
    <t>2 tranci di pizza diversi + 1 fritto</t>
  </si>
  <si>
    <t>3 tramezzini diversi</t>
  </si>
  <si>
    <t>1 arepas, 1 empanada, 1 piatto a scelta</t>
  </si>
  <si>
    <t>2 tranci di pizza piccoli + 1 fritto caratteristico</t>
  </si>
  <si>
    <t>2 panini diversi con tipologie di pesce diverse</t>
  </si>
  <si>
    <t>2 trapizzini diversi + 1 fritto</t>
  </si>
  <si>
    <t>3 piatti salati + 1 dolce</t>
  </si>
  <si>
    <t>due pizze diverse, 1 fritto o antipasto, 1 dolce</t>
  </si>
  <si>
    <t>menù serale: antipasto (no insalate), primo, secondo (no sandwiches), dolce</t>
  </si>
  <si>
    <t>Via Conca d'Oro, 38</t>
  </si>
  <si>
    <t>06/83797040</t>
  </si>
  <si>
    <t>menù da 6 portate</t>
  </si>
  <si>
    <t>Riccioli d'Oro</t>
  </si>
  <si>
    <t>Mordi Roma</t>
  </si>
  <si>
    <t>334/7301833</t>
  </si>
  <si>
    <t>Aiki Pub</t>
  </si>
  <si>
    <t>Via Gaetano Rappini, 23</t>
  </si>
  <si>
    <t>378/3064424</t>
  </si>
  <si>
    <t>4 piatti salati (no sfizi iniziali e solo verdure)+ 1 dolce</t>
  </si>
  <si>
    <t>GioMà</t>
  </si>
  <si>
    <t>Via Calpurnio Fiamma, 40/44</t>
  </si>
  <si>
    <t>06/7674717</t>
  </si>
  <si>
    <t>1 fritto, 2 pizze diverse, 1 dolce</t>
  </si>
  <si>
    <t>Terra Gelato</t>
  </si>
  <si>
    <t>Piazza Santa Maria Maggiore, 9</t>
  </si>
  <si>
    <t>Via Cavour</t>
  </si>
  <si>
    <t>06/45666656</t>
  </si>
  <si>
    <t>Avus</t>
  </si>
  <si>
    <t>Via Cavour, 117</t>
  </si>
  <si>
    <t>vegetariano ma non solo</t>
  </si>
  <si>
    <t>06/30324564</t>
  </si>
  <si>
    <t>Via Muggia, 14</t>
  </si>
  <si>
    <t>Fase - cucina spontanea</t>
  </si>
  <si>
    <t>Quadraro</t>
  </si>
  <si>
    <t>370/1411858</t>
  </si>
  <si>
    <t xml:space="preserve">2 tapas salate e una dolce+2 birre diverse </t>
  </si>
  <si>
    <t>Giù Upside Down Restaurant</t>
  </si>
  <si>
    <t>Via Paolo Stoppa, 40</t>
  </si>
  <si>
    <t>Giardino di Roma</t>
  </si>
  <si>
    <t>375/5475445</t>
  </si>
  <si>
    <t>06/69401880</t>
  </si>
  <si>
    <t>Via Siria, 3</t>
  </si>
  <si>
    <t>menù 6 portate</t>
  </si>
  <si>
    <t>06/23209132</t>
  </si>
  <si>
    <t>3 piatti salati+1 dolce</t>
  </si>
  <si>
    <t>Nomisan</t>
  </si>
  <si>
    <t xml:space="preserve"> 342/8036080</t>
  </si>
  <si>
    <t>Viale Gianluigi Bonelli, 237</t>
  </si>
  <si>
    <t>Mezzocamino</t>
  </si>
  <si>
    <t>Brucio - La Contemporanea</t>
  </si>
  <si>
    <t>Brucio - La Romana</t>
  </si>
  <si>
    <t>Ciaparat</t>
  </si>
  <si>
    <t>06/86299221</t>
  </si>
  <si>
    <t>Enofficina</t>
  </si>
  <si>
    <t>Via Trionfale, 50</t>
  </si>
  <si>
    <t>06/39742353</t>
  </si>
  <si>
    <t>Via Vibio Mariano, 5</t>
  </si>
  <si>
    <t>Tomba di Nerone</t>
  </si>
  <si>
    <t>06/33251114 - 334/3112437</t>
  </si>
  <si>
    <t>333/4327944</t>
  </si>
  <si>
    <t>Piatto Romano</t>
  </si>
  <si>
    <t>Via Giovanni Battista Bodoni, 62</t>
  </si>
  <si>
    <t>06/64014447</t>
  </si>
  <si>
    <t>Locanda Ruggieri</t>
  </si>
  <si>
    <t>Via del Rio, 10</t>
  </si>
  <si>
    <t>333/4758507</t>
  </si>
  <si>
    <t>Il Grecale</t>
  </si>
  <si>
    <t>Riviera Zanardelli, 57</t>
  </si>
  <si>
    <t>06/9846822</t>
  </si>
  <si>
    <t>Locanda Dorica</t>
  </si>
  <si>
    <t>06/5590376</t>
  </si>
  <si>
    <t>Velletri</t>
  </si>
  <si>
    <t>Casa Malgarini</t>
  </si>
  <si>
    <t>06/87772889</t>
  </si>
  <si>
    <t>Parco di Veio</t>
  </si>
  <si>
    <t>Osteria Landi</t>
  </si>
  <si>
    <t>06/56305565</t>
  </si>
  <si>
    <t>Via Claudio, 28</t>
  </si>
  <si>
    <t>Santa Pizza</t>
  </si>
  <si>
    <t>06/85951563</t>
  </si>
  <si>
    <t>La Lampara</t>
  </si>
  <si>
    <t>Passoscuro</t>
  </si>
  <si>
    <t>06/6672038</t>
  </si>
  <si>
    <t>Via Catania, 51</t>
  </si>
  <si>
    <t>Borgo San Giorgio</t>
  </si>
  <si>
    <t>Via dei Pastori, 30</t>
  </si>
  <si>
    <t>06/59603683</t>
  </si>
  <si>
    <t>Tratto</t>
  </si>
  <si>
    <t>Viale Dell’Aeronautica 67/69</t>
  </si>
  <si>
    <t>06/5921244</t>
  </si>
  <si>
    <t>Enoteca Cavour 313</t>
  </si>
  <si>
    <t>Via Cavour, 313</t>
  </si>
  <si>
    <t>06/6785496</t>
  </si>
  <si>
    <t>Ponte Milvio</t>
  </si>
  <si>
    <t>Via Appia Nuova, 37</t>
  </si>
  <si>
    <t>379/1290077</t>
  </si>
  <si>
    <t>Gelasio</t>
  </si>
  <si>
    <t>Lina - La Pizza in Teglia</t>
  </si>
  <si>
    <t>Circonvallazione Trionfale, 53</t>
  </si>
  <si>
    <t>351/7747767</t>
  </si>
  <si>
    <t>Via Ponte Gregoriano, 1</t>
  </si>
  <si>
    <t>0774/011261</t>
  </si>
  <si>
    <t>Da Brando</t>
  </si>
  <si>
    <t>06/33225327</t>
  </si>
  <si>
    <t>Via Flaminia, 532</t>
  </si>
  <si>
    <t>Casale Verdeluna</t>
  </si>
  <si>
    <t>Località Civitella, 3</t>
  </si>
  <si>
    <t>0775/503051</t>
  </si>
  <si>
    <t>Atlas</t>
  </si>
  <si>
    <t>Via Ciro Menotti, 16/18</t>
  </si>
  <si>
    <t>Via Latina, 80</t>
  </si>
  <si>
    <t>06/86675708</t>
  </si>
  <si>
    <t>Shell</t>
  </si>
  <si>
    <t>libreria / bistrot</t>
  </si>
  <si>
    <t>Vicolo della Fontana, 28</t>
  </si>
  <si>
    <t>Villa Paganini</t>
  </si>
  <si>
    <t>06/86726388</t>
  </si>
  <si>
    <t>Divina Giulia</t>
  </si>
  <si>
    <t>340/8244624</t>
  </si>
  <si>
    <t>menù degustazione Albore</t>
  </si>
  <si>
    <t>Zelato</t>
  </si>
  <si>
    <t>Via degli Aurunci, 40</t>
  </si>
  <si>
    <t>342/5470485</t>
  </si>
  <si>
    <t>Luna</t>
  </si>
  <si>
    <t>Via delle Quattro Fontane, 175</t>
  </si>
  <si>
    <t>06/45595900</t>
  </si>
  <si>
    <t>Osteria Anna</t>
  </si>
  <si>
    <t>S.R. 630 Cassino Formia km. 15</t>
  </si>
  <si>
    <t>Castelnuovo Parano</t>
  </si>
  <si>
    <t>0776/952596</t>
  </si>
  <si>
    <t>Via Savoia, 38/42</t>
  </si>
  <si>
    <t>menù degustazione Dim Sum e Ramen</t>
  </si>
  <si>
    <t>Nonnarè</t>
  </si>
  <si>
    <t>Piazza Augusto Albini, 10</t>
  </si>
  <si>
    <t>328/5367252</t>
  </si>
  <si>
    <t>Cheebo</t>
  </si>
  <si>
    <t>hamburgheria</t>
  </si>
  <si>
    <t>351/7598556</t>
  </si>
  <si>
    <t>Via Aretusa, 6</t>
  </si>
  <si>
    <t>La Rustica</t>
  </si>
  <si>
    <t>1 smashburger, 1 burger con pollo o pulled pork</t>
  </si>
  <si>
    <t>Mario L'Ostricaro</t>
  </si>
  <si>
    <t>0773/702461</t>
  </si>
  <si>
    <t>Via Appia, km 102</t>
  </si>
  <si>
    <t>Garage Forno</t>
  </si>
  <si>
    <t>Via Paolo II, 14</t>
  </si>
  <si>
    <t>392/2984896</t>
  </si>
  <si>
    <t>Nomos Ante</t>
  </si>
  <si>
    <t>Via di San Paolo alla Regola, 3</t>
  </si>
  <si>
    <t>06/84102388</t>
  </si>
  <si>
    <t>Al Madrigale</t>
  </si>
  <si>
    <t>Mafè - osteria moderna</t>
  </si>
  <si>
    <t>Via Valsavaranche, 29/31</t>
  </si>
  <si>
    <t>Prati Fiscali</t>
  </si>
  <si>
    <t>Toma 52</t>
  </si>
  <si>
    <t>Via Cremona, 52/B</t>
  </si>
  <si>
    <t>06/5126917</t>
  </si>
  <si>
    <t>Arcangelo Vino &amp; Cucina</t>
  </si>
  <si>
    <t>Via Gallia, 28</t>
  </si>
  <si>
    <t>Trattoria del Cimino dal 1895</t>
  </si>
  <si>
    <t>Viale dello Scalo di San Lorenzo, 10</t>
  </si>
  <si>
    <t>06/85874176</t>
  </si>
  <si>
    <t>Taps</t>
  </si>
  <si>
    <t>1 antipasto, 1 primo, 1 secondo e 1 dolce</t>
  </si>
  <si>
    <t>Tante Care Cose</t>
  </si>
  <si>
    <t>Via Carlo Errera, 46</t>
  </si>
  <si>
    <t>333/6776681</t>
  </si>
  <si>
    <t>3 piatti salati</t>
  </si>
  <si>
    <t>La Renardière</t>
  </si>
  <si>
    <t>francese</t>
  </si>
  <si>
    <t>Viale Aventino, 31</t>
  </si>
  <si>
    <t>06/87785445</t>
  </si>
  <si>
    <t>due primi tipici, un secondo e un dolce</t>
  </si>
  <si>
    <t>Rosina - cucina di casa</t>
  </si>
  <si>
    <t>Vicolo delle Grotte, 27</t>
  </si>
  <si>
    <t>06/69374499</t>
  </si>
  <si>
    <t>Metis</t>
  </si>
  <si>
    <t>Piazza Enrico Martini, 24/25</t>
  </si>
  <si>
    <t>06/40066729</t>
  </si>
  <si>
    <t>Mare Bistrot</t>
  </si>
  <si>
    <t>Via della Torre Clementina, 126</t>
  </si>
  <si>
    <t>334/7978290</t>
  </si>
  <si>
    <t>L'Osteria di Ianus</t>
  </si>
  <si>
    <t>Antrodoco</t>
  </si>
  <si>
    <t>335/6151823</t>
  </si>
  <si>
    <t>Via Amiterno, 70</t>
  </si>
  <si>
    <t>Avenida Calò</t>
  </si>
  <si>
    <t>06/89238209</t>
  </si>
  <si>
    <t>La Taverna dei Corsari</t>
  </si>
  <si>
    <t>Piazza Vittorio Veneto, 10</t>
  </si>
  <si>
    <t>Montopoli di Sabina</t>
  </si>
  <si>
    <t>0765/279279</t>
  </si>
  <si>
    <t>v.26</t>
  </si>
  <si>
    <t>Amerina - la pizzetta</t>
  </si>
  <si>
    <t>EGO</t>
  </si>
  <si>
    <t>GianPà</t>
  </si>
  <si>
    <t>Hosteria Grappolo d'Oro</t>
  </si>
  <si>
    <t>Inverso</t>
  </si>
  <si>
    <t>Isotta - Trattoria Cortese</t>
  </si>
  <si>
    <t>Lievito Pizza Pane</t>
  </si>
  <si>
    <t>NuAN</t>
  </si>
  <si>
    <t>Santí - tradizione contadina</t>
  </si>
  <si>
    <t>Sicché - Roba toscana</t>
  </si>
  <si>
    <t>Trattoria Enoteca Assunta</t>
  </si>
  <si>
    <t>De Novo e D'Antico</t>
  </si>
  <si>
    <t>Aqla</t>
  </si>
  <si>
    <t>Sensorio Coffee Lab</t>
  </si>
  <si>
    <t>Dar Basha</t>
  </si>
  <si>
    <t>italiana / francese</t>
  </si>
  <si>
    <t>creativo</t>
  </si>
  <si>
    <t>pizzeria al taglio / forno</t>
  </si>
  <si>
    <t>tradizionale rivisitata</t>
  </si>
  <si>
    <t>cucina romana</t>
  </si>
  <si>
    <t>osteria contemporanea</t>
  </si>
  <si>
    <t>bar</t>
  </si>
  <si>
    <t>marocchina</t>
  </si>
  <si>
    <t>Largo dei Librari, 82</t>
  </si>
  <si>
    <t>Via Litoranea, Km 20,600</t>
  </si>
  <si>
    <t>Via Flaminia, 677/A</t>
  </si>
  <si>
    <t>Via della Giustiniana, 670/B</t>
  </si>
  <si>
    <t>Via Etruria, 35</t>
  </si>
  <si>
    <t>Via Portuense, 727 F/G</t>
  </si>
  <si>
    <t>Viale dei Quattro Venti, 152/C</t>
  </si>
  <si>
    <t>Campo dei fiori</t>
  </si>
  <si>
    <t>Via Carlo Livi, 10/16</t>
  </si>
  <si>
    <t>Torrevecchia</t>
  </si>
  <si>
    <t>Via Carbonia, 35</t>
  </si>
  <si>
    <t>Piazza Alessandria c/o Mercato Nomentano - box A2</t>
  </si>
  <si>
    <t>Re di Roma</t>
  </si>
  <si>
    <t>Piazza di San Paolo alla Regola, 40</t>
  </si>
  <si>
    <t>Via di Villa Faonte, 94</t>
  </si>
  <si>
    <t>Tufello</t>
  </si>
  <si>
    <t>Porta Metronia</t>
  </si>
  <si>
    <t>Via Beniamino Franklin, 12/C</t>
  </si>
  <si>
    <t>Piazza Giuseppe Mazzini, 45</t>
  </si>
  <si>
    <t>Via Giovanni Amendola 1/B</t>
  </si>
  <si>
    <t>Via Giacomo Boni, 33/35</t>
  </si>
  <si>
    <t>Piazza Santa Maria Consolatrice, 15/16</t>
  </si>
  <si>
    <t>Via Andrea Busiri Vici, 13</t>
  </si>
  <si>
    <t>Via Felice Cavallotti, 36/B</t>
  </si>
  <si>
    <t>Viale Pinturicchio, 38/42</t>
  </si>
  <si>
    <t>Via Aurora, 10</t>
  </si>
  <si>
    <t>Porta Pinciana</t>
  </si>
  <si>
    <t>06/98183647</t>
  </si>
  <si>
    <t>06/89716513</t>
  </si>
  <si>
    <t>331/1264351</t>
  </si>
  <si>
    <t>06/6858 5315</t>
  </si>
  <si>
    <t>06/90537554</t>
  </si>
  <si>
    <t>06/55280963</t>
  </si>
  <si>
    <t>329/9299705</t>
  </si>
  <si>
    <t>06/4466573</t>
  </si>
  <si>
    <t>333/2256285</t>
  </si>
  <si>
    <t>375/8666287</t>
  </si>
  <si>
    <t>06/94377684 - 375/8207355</t>
  </si>
  <si>
    <t>6+</t>
  </si>
  <si>
    <t>10-</t>
  </si>
  <si>
    <t>50</t>
  </si>
  <si>
    <t>60</t>
  </si>
  <si>
    <t>85</t>
  </si>
  <si>
    <t>115</t>
  </si>
  <si>
    <t>65</t>
  </si>
  <si>
    <t>55</t>
  </si>
  <si>
    <t>150</t>
  </si>
  <si>
    <t>80</t>
  </si>
  <si>
    <t>34</t>
  </si>
  <si>
    <t>130</t>
  </si>
  <si>
    <t>6</t>
  </si>
  <si>
    <t>110</t>
  </si>
  <si>
    <t>18</t>
  </si>
  <si>
    <t>70</t>
  </si>
  <si>
    <t>29</t>
  </si>
  <si>
    <t>120</t>
  </si>
  <si>
    <t>100</t>
  </si>
  <si>
    <t>Dondolo</t>
  </si>
  <si>
    <t>Via di Monte Sacro, 23</t>
  </si>
  <si>
    <t>bakery</t>
  </si>
  <si>
    <t>06/45752197</t>
  </si>
  <si>
    <t>Diego Vitagliano</t>
  </si>
  <si>
    <t>Via Chiana, 80</t>
  </si>
  <si>
    <t>06/72276443</t>
  </si>
  <si>
    <t>351/3100815</t>
  </si>
  <si>
    <t>Stecca</t>
  </si>
  <si>
    <t>Viale Guglielmo Massaia, 28</t>
  </si>
  <si>
    <t>06/01906053</t>
  </si>
  <si>
    <t>Fernanda D'Arienzo</t>
  </si>
  <si>
    <t>1 caffè, 1 cappuccino, 1 krapfen e 1 lievito</t>
  </si>
  <si>
    <t>Da Danilo</t>
  </si>
  <si>
    <t>Via Petrarca, 13</t>
  </si>
  <si>
    <t>Piazza Vittorio</t>
  </si>
  <si>
    <t>06/77200111</t>
  </si>
  <si>
    <t>Simone Cargiani</t>
  </si>
  <si>
    <t>35+20</t>
  </si>
  <si>
    <t>Fabrizio Sbicca</t>
  </si>
  <si>
    <t>MAE - Slow Brunchers</t>
  </si>
  <si>
    <t>1 tipo di pancake, 1 tipo di uova, 1 tipo di bagel, 1 bevanda</t>
  </si>
  <si>
    <t>1 fritto e 3 tranci piccoli di pizze diverse</t>
  </si>
  <si>
    <t>Luca Veglianti</t>
  </si>
  <si>
    <t>Elisa Del Frate</t>
  </si>
  <si>
    <t>Andrea Angiolino</t>
  </si>
  <si>
    <t>Brado</t>
  </si>
  <si>
    <t>carne / selvaggina</t>
  </si>
  <si>
    <t>Viale Amelia, 42</t>
  </si>
  <si>
    <t>375/5140851</t>
  </si>
  <si>
    <t>Valentino Affinita</t>
  </si>
  <si>
    <t>Giorgio Sorbino</t>
  </si>
  <si>
    <t>Poldo e Gianna</t>
  </si>
  <si>
    <t>Vicolo Rosini, 6</t>
  </si>
  <si>
    <t>Parlamento</t>
  </si>
  <si>
    <t>06/6893499</t>
  </si>
  <si>
    <t>Giulia Maria Bellucci</t>
  </si>
  <si>
    <t>Bless</t>
  </si>
  <si>
    <t>Via dell’Indipendenza, 208</t>
  </si>
  <si>
    <t>Gaeta</t>
  </si>
  <si>
    <t>0771/030188</t>
  </si>
  <si>
    <t>Via Marcantonio Bragadin, 13</t>
  </si>
  <si>
    <t>348/4302368 - 06/69459860</t>
  </si>
  <si>
    <t>Via Emilio Faà di Bruno, 31</t>
  </si>
  <si>
    <t>392/4799773</t>
  </si>
  <si>
    <t>4 piatti scelti dalle varie categorie</t>
  </si>
  <si>
    <t>Forno Ritorno</t>
  </si>
  <si>
    <t>forno / caffetteria</t>
  </si>
  <si>
    <t>Via Amerigo Vespucci, 20</t>
  </si>
  <si>
    <t>392/7768427</t>
  </si>
  <si>
    <t>Pizza Baar</t>
  </si>
  <si>
    <t>pizzeria al taglio / caffetteria specialty</t>
  </si>
  <si>
    <t xml:space="preserve">Via di Donna Olimpia, 71 </t>
  </si>
  <si>
    <t>Vineria Risorgimento</t>
  </si>
  <si>
    <t>Piazza del Risorgimento, 7</t>
  </si>
  <si>
    <t>06/89533745</t>
  </si>
  <si>
    <t>i calice di vino, 1 pane&amp;olio (per verificare lo stato dell'olio), 1 piatto dalla sezione Gastronomia, 1 piatto da Padellotto (no solo verdure), 1 trancio di pizza</t>
  </si>
  <si>
    <t>Slow</t>
  </si>
  <si>
    <t>Corso Vittorio Emanuele II, 73</t>
  </si>
  <si>
    <t>Largo di Torre Argentina</t>
  </si>
  <si>
    <t>Alla Magnatora</t>
  </si>
  <si>
    <t>0775/1626000</t>
  </si>
  <si>
    <t>Via Volubro, 4</t>
  </si>
  <si>
    <t>Marco Silleni</t>
  </si>
  <si>
    <t>Ie Koji Sakaba</t>
  </si>
  <si>
    <t>Mr. Meat Kitchen and Grill</t>
  </si>
  <si>
    <t>carne</t>
  </si>
  <si>
    <t>Via di Salone, 248</t>
  </si>
  <si>
    <t>Settecamini</t>
  </si>
  <si>
    <t>345/1764800</t>
  </si>
  <si>
    <t>Viale delle Orchidee, 100</t>
  </si>
  <si>
    <t>349/2422046</t>
  </si>
  <si>
    <t>100C Vino e Pesce</t>
  </si>
  <si>
    <t>1 montanara, 1 pizza Bruma, 1 pizza Roots, 1 spicchio doppio crunch</t>
  </si>
  <si>
    <t>Francesca Sebastio</t>
  </si>
  <si>
    <t>Futura</t>
  </si>
  <si>
    <t>Piazza di Santa Maria Liberatrice, 31</t>
  </si>
  <si>
    <t>375/6342191</t>
  </si>
  <si>
    <t>Crunch Teglia</t>
  </si>
  <si>
    <t>Via della Bufalotta, 284</t>
  </si>
  <si>
    <t>06/99606077</t>
  </si>
  <si>
    <t xml:space="preserve">Angelino "ai Fori" dal 1947 </t>
  </si>
  <si>
    <t>Largo Corrado Ricci, 40</t>
  </si>
  <si>
    <t>Fori Imperiali</t>
  </si>
  <si>
    <t>06/6791121</t>
  </si>
  <si>
    <t>antipasto (no salumi e formaggi), primo (preferibilmente della tradizione romana), secondo, dolce</t>
  </si>
  <si>
    <t>Controluce</t>
  </si>
  <si>
    <t>Via della Luce, 44</t>
  </si>
  <si>
    <t>06/5814839</t>
  </si>
  <si>
    <t>1 antipasto, 1 primo, 1 secondo, 1 dolce (no piatti semplici)</t>
  </si>
  <si>
    <t>Concreto Cucina e Vino</t>
  </si>
  <si>
    <t>Via Marianna Dionigi, 4</t>
  </si>
  <si>
    <t>06/5415084</t>
  </si>
  <si>
    <t xml:space="preserve">novità </t>
  </si>
  <si>
    <t>3 piatti salati (no giardiniera, no selezione formaggi e salumi, no sfizi iniziali)+ 1 dolce</t>
  </si>
  <si>
    <t>Via Antonio Cantore, 13</t>
  </si>
  <si>
    <t>Anca Enache</t>
  </si>
  <si>
    <t>Piazza delle Erbe, 16</t>
  </si>
  <si>
    <t>348/7277746</t>
  </si>
  <si>
    <t>Bottega Popolare</t>
  </si>
  <si>
    <t>cucina piemontese</t>
  </si>
  <si>
    <t>Via Andrea Doria, 41 Mercato Trionfale Box 113</t>
  </si>
  <si>
    <t>334/3351068</t>
  </si>
  <si>
    <t>farinata, plin, vitello tonnato</t>
  </si>
  <si>
    <t>Forno Bianchi</t>
  </si>
  <si>
    <t>forno / pizzeria</t>
  </si>
  <si>
    <t>Largo delle Sette Chiese, 16</t>
  </si>
  <si>
    <t>2 pezzi di pizza diversi+1 croissant salato</t>
  </si>
  <si>
    <t>Mrgda Ristorante</t>
  </si>
  <si>
    <t>etiope / eritrea</t>
  </si>
  <si>
    <t>Via Prenestina, 182</t>
  </si>
  <si>
    <t>329/933355</t>
  </si>
  <si>
    <t>Schenardino - Cucina Pizza &amp; Vino</t>
  </si>
  <si>
    <t>Specus</t>
  </si>
  <si>
    <t>Via Casilina, 315</t>
  </si>
  <si>
    <t>Valmontone</t>
  </si>
  <si>
    <t>06/89522332</t>
  </si>
  <si>
    <t>SupplicAmy</t>
  </si>
  <si>
    <t>Viale Parioli, 69</t>
  </si>
  <si>
    <t>377/3192153</t>
  </si>
  <si>
    <t>Vanessa Picena</t>
  </si>
  <si>
    <t>Sando Ie Koji</t>
  </si>
  <si>
    <t>street food giapponese</t>
  </si>
  <si>
    <t>Via Andrea Doria, 32</t>
  </si>
  <si>
    <t>392/8208889</t>
  </si>
  <si>
    <t>Brasserie La Neige</t>
  </si>
  <si>
    <t>Piazzale Plan De Valli, 50</t>
  </si>
  <si>
    <t>Terminillo</t>
  </si>
  <si>
    <t>379/1573597</t>
  </si>
  <si>
    <t>POP Pizzeria Popolare</t>
  </si>
  <si>
    <t>Largo Appio Claudio, 384</t>
  </si>
  <si>
    <t>351/7850356</t>
  </si>
  <si>
    <t>347/6145569</t>
  </si>
  <si>
    <t>Laverve fermenteria</t>
  </si>
  <si>
    <t>kombucha bar</t>
  </si>
  <si>
    <t>Via di Portonaccio, 21</t>
  </si>
  <si>
    <t>340/0832288</t>
  </si>
  <si>
    <t>kombucha alla spina, cocktail base kombucha e 2 sfizi (no patatine)</t>
  </si>
  <si>
    <t>Località Seripola, snc</t>
  </si>
  <si>
    <t>Via Guglielmo Calderini, 64</t>
  </si>
  <si>
    <t>Cesano</t>
  </si>
  <si>
    <t>Via Giovanni da Castel Bolognese, 63</t>
  </si>
  <si>
    <t>Via del Piè di Marmo, 28</t>
  </si>
  <si>
    <t>Largo Magnagrecia, 4</t>
  </si>
  <si>
    <t>Piazza S. Donà di Piave, 14</t>
  </si>
  <si>
    <t>Via dei Basaldella</t>
  </si>
  <si>
    <t>Viale Battista Bardanzellu, 77</t>
  </si>
  <si>
    <t>Via Tor de' Schiavi, 295</t>
  </si>
  <si>
    <t>Via Flaminia, 732</t>
  </si>
  <si>
    <t>Via di Monte Polacco, 4</t>
  </si>
  <si>
    <t>Salita de' Crescenzi, 31</t>
  </si>
  <si>
    <t>GPS</t>
  </si>
  <si>
    <t>40.895192392463066, 12.967058864523024</t>
  </si>
  <si>
    <t>40.79678482724941, 13.431396627622997</t>
  </si>
  <si>
    <t>41.639568304291025, 12.914128534051267</t>
  </si>
  <si>
    <t>41.52541475846666, 13.154755650341361</t>
  </si>
  <si>
    <t>41.668130127692955, 13.606285625808828</t>
  </si>
  <si>
    <t>41.63148771384029, 13.713537624096158</t>
  </si>
  <si>
    <t>41.39343717130358, 13.520841403709602</t>
  </si>
  <si>
    <t>42.09074687985093, 12.262343120947389</t>
  </si>
  <si>
    <t>42.47050614347387, 12.359566954675824</t>
  </si>
  <si>
    <t>42.38615019515154, 12.495906231519927</t>
  </si>
  <si>
    <t>42.45690899942159, 12.978489249161939</t>
  </si>
  <si>
    <t>42.498441707211114, 12.849190594785567</t>
  </si>
  <si>
    <t>42.63589349730473, 12.10927651128648</t>
  </si>
  <si>
    <t>42.24496578825659, 12.692992578950797</t>
  </si>
  <si>
    <t>42.08197413933925, 12.34996953999624</t>
  </si>
  <si>
    <t>41.94512375144278, 12.472919696984244</t>
  </si>
  <si>
    <t>41.94568113790995, 12.473223499943083</t>
  </si>
  <si>
    <t>41.94655573927396, 12.473496611504828</t>
  </si>
  <si>
    <t>41.9397435293709, 12.46968372581943</t>
  </si>
  <si>
    <t>41.9142700552323, 12.474733789090989</t>
  </si>
  <si>
    <t>41.91405522000567, 12.47504955492014</t>
  </si>
  <si>
    <t>41.77138755806573, 12.228188973513207</t>
  </si>
  <si>
    <t>41.77134406682577, 12.229144156450465</t>
  </si>
  <si>
    <t>41.77138359115486, 12.229620634749661</t>
  </si>
  <si>
    <t>41.51116783711071, 12.741851017737611</t>
  </si>
  <si>
    <t>41.8944379009184, 12.493778041993513</t>
  </si>
  <si>
    <t>41.94435489991688, 12.469034833268445</t>
  </si>
  <si>
    <t>41.89638993454456, 12.476047171258973</t>
  </si>
  <si>
    <t>41.9043954992026, 12.47526483926433</t>
  </si>
  <si>
    <t>41.90816049359635, 12.476063715583715</t>
  </si>
  <si>
    <t>41.89776107504589, 12.468759116941461</t>
  </si>
  <si>
    <t>41.37728946359321, 13.737764537660487</t>
  </si>
  <si>
    <t>41.82955701496672, 13.166111144621077</t>
  </si>
  <si>
    <t>41.82857927673047, 13.143353525815082</t>
  </si>
  <si>
    <t>41.80976549234967, 13.122920514770096</t>
  </si>
  <si>
    <t>41.89472309055656, 12.474234812461015</t>
  </si>
  <si>
    <t>41.89456883018618, 12.474274381610769</t>
  </si>
  <si>
    <t>Luca Veglianti (chiuso)</t>
  </si>
  <si>
    <t>41.768741212395845, 12.661723908109279</t>
  </si>
  <si>
    <t>IMHO</t>
  </si>
  <si>
    <t>Via Renzo da Ceri, 6</t>
  </si>
  <si>
    <t>06/94410660</t>
  </si>
  <si>
    <t>41.89206094245367, 12.5381366209542</t>
  </si>
  <si>
    <t>Radici Social Food</t>
  </si>
  <si>
    <t>brunch / caffetteria specialty</t>
  </si>
  <si>
    <t>Via Val Chisone, 28</t>
  </si>
  <si>
    <t>41.93387740594664, 12.52730874517291</t>
  </si>
  <si>
    <t>06/85353456</t>
  </si>
  <si>
    <t>41.8956791569936, 12.501959002216351</t>
  </si>
  <si>
    <t>41.89679564973395, 12.499504573152592</t>
  </si>
  <si>
    <t>Chinappi dal Presidente</t>
  </si>
  <si>
    <t>principalmente pesce / pizzeria</t>
  </si>
  <si>
    <t>Via Anfiteatro, 8</t>
  </si>
  <si>
    <t>41.257529410024596, 13.607647265635304</t>
  </si>
  <si>
    <t>0771/790002</t>
  </si>
  <si>
    <t>Gelateria Numa</t>
  </si>
  <si>
    <t>Via Franco Sacchetti, 105</t>
  </si>
  <si>
    <t>352/0104703</t>
  </si>
  <si>
    <t>41.94700822535606, 12.54287904662492</t>
  </si>
  <si>
    <t>Osteria al Forno di Agnese</t>
  </si>
  <si>
    <t>Civita di Bagnoregio</t>
  </si>
  <si>
    <t>Via S. Maria del Cassero</t>
  </si>
  <si>
    <t>0761/792571</t>
  </si>
  <si>
    <t>42.62801832889736, 12.113497979928281</t>
  </si>
  <si>
    <t>Parco delle Querce</t>
  </si>
  <si>
    <t>Orsola</t>
  </si>
  <si>
    <t>Il Filo Rosso di Coralli</t>
  </si>
  <si>
    <t>Leon d'Oro</t>
  </si>
  <si>
    <t>Bacchettone e Zazzà</t>
  </si>
  <si>
    <t>Piazzetta del Sole</t>
  </si>
  <si>
    <t>0761/458606</t>
  </si>
  <si>
    <t>Via XX Settembre, 129</t>
  </si>
  <si>
    <t>Farnese</t>
  </si>
  <si>
    <t>42.54204862838347, 11.832933159518674</t>
  </si>
  <si>
    <t>Km 15, SP13</t>
  </si>
  <si>
    <t>Valentano</t>
  </si>
  <si>
    <t>331/7702747</t>
  </si>
  <si>
    <t>42.54891885981214, 11.722242354291765</t>
  </si>
  <si>
    <t>0766/96070</t>
  </si>
  <si>
    <t>Allumiere</t>
  </si>
  <si>
    <t>Piazza della Repubblica, 4</t>
  </si>
  <si>
    <t>42.15604104501563, 11.902343389858135</t>
  </si>
  <si>
    <t>339/3998616</t>
  </si>
  <si>
    <t>Via Costa Del Sole, snc</t>
  </si>
  <si>
    <t>Collebaccaro</t>
  </si>
  <si>
    <t>42.39219014190762, 12.772112791252264</t>
  </si>
  <si>
    <t>Leonessa</t>
  </si>
  <si>
    <t>Corso San Giuseppe da Leonessa, 120</t>
  </si>
  <si>
    <t>0746/923320</t>
  </si>
  <si>
    <t>42.56262903667231, 12.963527058287966</t>
  </si>
  <si>
    <t>0775/662091</t>
  </si>
  <si>
    <t>Via dell'Orologio, 11/A</t>
  </si>
  <si>
    <t>Castro dei Volsci</t>
  </si>
  <si>
    <t>41.50866221112778, 13.40640249472946</t>
  </si>
  <si>
    <t>La Locanda del Ditirambo</t>
  </si>
  <si>
    <t>Castelforte</t>
  </si>
  <si>
    <t>principalmente carne</t>
  </si>
  <si>
    <t>Via delle Terme, 77</t>
  </si>
  <si>
    <t>0771/607015</t>
  </si>
  <si>
    <t>41.28954879741742, 13.83952498668336</t>
  </si>
  <si>
    <t>42.40925664400598, 12.76587676294282</t>
  </si>
  <si>
    <t>Via del Pellegrino, 63/65</t>
  </si>
  <si>
    <t>Terracotta Osteria con Brace</t>
  </si>
  <si>
    <t>osteria con brace</t>
  </si>
  <si>
    <t>Viale Maresciallo Pilsudski, 44</t>
  </si>
  <si>
    <t>393/0692511</t>
  </si>
  <si>
    <t>Origine</t>
  </si>
  <si>
    <t>Via Corinto, 66</t>
  </si>
  <si>
    <t>06/83405656</t>
  </si>
  <si>
    <t>Da Zacca ar 20</t>
  </si>
  <si>
    <t>Via Domenico Millelire, 20</t>
  </si>
  <si>
    <t>345/5017051</t>
  </si>
  <si>
    <t>41.90530306820849, 12.44651286331835</t>
  </si>
  <si>
    <t>Cipro</t>
  </si>
  <si>
    <t>Gordito</t>
  </si>
  <si>
    <t>Via Francesco Coletti, 21</t>
  </si>
  <si>
    <t>Vigna Clara</t>
  </si>
  <si>
    <t>366/5038646</t>
  </si>
  <si>
    <t>41.94641094326607, 12.465099700815312</t>
  </si>
  <si>
    <t>Via Tuscolana, 1472</t>
  </si>
  <si>
    <t>393/1161874</t>
  </si>
  <si>
    <t>Via Tornimparte, 3A</t>
  </si>
  <si>
    <t>Castelverde</t>
  </si>
  <si>
    <t>340/2752791</t>
  </si>
  <si>
    <t>41.819274095380585, 12.647856071662343</t>
  </si>
  <si>
    <t>Scambio Cucina Condivisa</t>
  </si>
  <si>
    <t>Via Federico Cesi, 22</t>
  </si>
  <si>
    <t>06/95008310</t>
  </si>
  <si>
    <t>41.90631739386229, 12.47060841676495</t>
  </si>
  <si>
    <t>Crema Alta Gelateria</t>
  </si>
  <si>
    <t>Via Leone IV, 62a</t>
  </si>
  <si>
    <t>Via Giulia, 18</t>
  </si>
  <si>
    <t>06/68805851</t>
  </si>
  <si>
    <t>06/42917005</t>
  </si>
  <si>
    <t>41.89563754119089, 12.468609293963063</t>
  </si>
  <si>
    <t>41.90996742029194, 12.454795365832444</t>
  </si>
  <si>
    <t>Largo Trionfale</t>
  </si>
  <si>
    <t>Via degli Stradivari, 25</t>
  </si>
  <si>
    <t>06/69310694</t>
  </si>
  <si>
    <t>Via Gallia, 83</t>
  </si>
  <si>
    <t>Ruvido</t>
  </si>
  <si>
    <t>Via Apulia, 11</t>
  </si>
  <si>
    <t>06/97619059</t>
  </si>
  <si>
    <t>41.88173174194172, 12.504400880125283</t>
  </si>
  <si>
    <t>due piatti principali + calice di vino</t>
  </si>
  <si>
    <t>Labhalo</t>
  </si>
  <si>
    <t>Via Giuseppe Candiani, 69</t>
  </si>
  <si>
    <t>Tor Tre Teste</t>
  </si>
  <si>
    <t>327/4576545</t>
  </si>
  <si>
    <t>fast fusion food</t>
  </si>
  <si>
    <t>41.891703213366675, 12.584924888955737</t>
  </si>
  <si>
    <t>1 snack (no nachos, no plant), 1 bao o 1 taco, 1 ciotola piccola con proteine</t>
  </si>
  <si>
    <t>41.861343527588865, 12.18767684194969</t>
  </si>
  <si>
    <t>Osteria Pontina</t>
  </si>
  <si>
    <t>Via Anime Sante, 31</t>
  </si>
  <si>
    <t>338/2477534</t>
  </si>
  <si>
    <t>41.55425946313123, 12.962091128660296</t>
  </si>
  <si>
    <t>Vetro</t>
  </si>
  <si>
    <t>snack bar</t>
  </si>
  <si>
    <t>Viale Carso, 17</t>
  </si>
  <si>
    <t>06/69317804</t>
  </si>
  <si>
    <t>41.919368054530466, 12.45991023163961</t>
  </si>
  <si>
    <t>Piazzale Clodio</t>
  </si>
  <si>
    <t>41.90607809405537, 12.53551711972588</t>
  </si>
  <si>
    <t>41.934777415596464, 12.420204632620242</t>
  </si>
  <si>
    <t>Clove</t>
  </si>
  <si>
    <t>Via dei Gracchi, 229</t>
  </si>
  <si>
    <t>06/35291876</t>
  </si>
  <si>
    <t>1 menù pranzo oppure due spicchi salati e un fritto</t>
  </si>
  <si>
    <t>Sbracio</t>
  </si>
  <si>
    <t>Via Enrico Fermi, 142</t>
  </si>
  <si>
    <t>06/45544466</t>
  </si>
  <si>
    <t>41.864863982721744, 12.473675090627594</t>
  </si>
  <si>
    <t>Alicina</t>
  </si>
  <si>
    <t>Via Riano, 15 - Mercato Rionale Ponte Milvio, box 8-9-10</t>
  </si>
  <si>
    <t>335/7743957</t>
  </si>
  <si>
    <t>41.93843330293366, 12.469444484857682</t>
  </si>
  <si>
    <t>Piazza dei Quiriti, 19/20</t>
  </si>
  <si>
    <t>06/31076456</t>
  </si>
  <si>
    <t>Aqualunae</t>
  </si>
  <si>
    <t>Caffè Colombo</t>
  </si>
  <si>
    <t>Via Bartolomeo Cavaceppi, 103/111</t>
  </si>
  <si>
    <t>1 caffè, 1 cappuccino, 2 lieviti (1 tradizionale, 1 vegano)</t>
  </si>
  <si>
    <t>06/59879544</t>
  </si>
  <si>
    <t>41.79699881917897, 12.430385400824383</t>
  </si>
  <si>
    <t>Parseh</t>
  </si>
  <si>
    <t>persiana</t>
  </si>
  <si>
    <t>Via Isidoro di Carace, 6</t>
  </si>
  <si>
    <t>351/7745120</t>
  </si>
  <si>
    <t>3 piatti salati, 1 dolce</t>
  </si>
  <si>
    <t>Origini Cibo e Vino</t>
  </si>
  <si>
    <t>Via della Pila, 14</t>
  </si>
  <si>
    <t>328/2466250</t>
  </si>
  <si>
    <t>41.922880689590514, 13.09081426816814</t>
  </si>
  <si>
    <t>Via delle Zoccolette, 28</t>
  </si>
  <si>
    <t>06/95550234</t>
  </si>
  <si>
    <t>41.89282296914112, 12.472263712577922</t>
  </si>
  <si>
    <t>Raimondo</t>
  </si>
  <si>
    <t>Via Rosa Raimondi Garibaldi, 4</t>
  </si>
  <si>
    <t>06/86673381</t>
  </si>
  <si>
    <t>41.85970610279957, 12.493624587269387</t>
  </si>
  <si>
    <t>Via del Velabro, 9</t>
  </si>
  <si>
    <t>Circo Massimo</t>
  </si>
  <si>
    <t>41.889136189812106, 12.482551076173982</t>
  </si>
  <si>
    <t>Nakai</t>
  </si>
  <si>
    <t>Via di Santa Maria alle Fornaci, 14</t>
  </si>
  <si>
    <t>06/5133215</t>
  </si>
  <si>
    <t>41.898029886075065, 12.455706103885415</t>
  </si>
  <si>
    <t>La Tartaruga</t>
  </si>
  <si>
    <t>Via degli Ontani, 5</t>
  </si>
  <si>
    <t>Colleferro</t>
  </si>
  <si>
    <t>393/2933251</t>
  </si>
  <si>
    <t>41.722300234899336, 12.985776634939107</t>
  </si>
  <si>
    <t>Via Cesare Battisti, 30</t>
  </si>
  <si>
    <t>352/0640619</t>
  </si>
  <si>
    <t>Le Murelle</t>
  </si>
  <si>
    <t>Strada delle Murelle</t>
  </si>
  <si>
    <t>Montalto di Castro</t>
  </si>
  <si>
    <t>380/3424684</t>
  </si>
  <si>
    <t>42.31012456889271, 11.603388514188062</t>
  </si>
  <si>
    <t>Albertino alla Garbatella
--
Albertino alla Garbatella</t>
  </si>
  <si>
    <t>Via Guglielmo Massaia, 25/b</t>
  </si>
  <si>
    <t>392/7753940</t>
  </si>
  <si>
    <t>41.864422414935156, 12.492143684658373</t>
  </si>
  <si>
    <t>Il Duca in Trastevere</t>
  </si>
  <si>
    <t>Vicolo del Cinque, 56</t>
  </si>
  <si>
    <t>06/5817706</t>
  </si>
  <si>
    <t>41.89062969509955, 12.469286624826061</t>
  </si>
  <si>
    <t>Pepe Nero</t>
  </si>
  <si>
    <t>Viale Regina Margherita, snc</t>
  </si>
  <si>
    <t>Capodimonte</t>
  </si>
  <si>
    <t>0761/871909</t>
  </si>
  <si>
    <t>42.553602550849845, 11.89465268098301</t>
  </si>
  <si>
    <t>Hosteria Amedeo</t>
  </si>
  <si>
    <t>Via Montecompatri, 31</t>
  </si>
  <si>
    <t>Monte Porzio Catone</t>
  </si>
  <si>
    <t>06/94341163</t>
  </si>
  <si>
    <t>41.809800593317306, 12.726402166442702</t>
  </si>
  <si>
    <t>41.82441192672199, 12.794924682160278</t>
  </si>
  <si>
    <t xml:space="preserve">Il Picchio </t>
  </si>
  <si>
    <t>Piazza Vittorio Emanuele, 33</t>
  </si>
  <si>
    <t>Torano</t>
  </si>
  <si>
    <t>348/2328300</t>
  </si>
  <si>
    <t>42.1527981195671, 13.25939272388225</t>
  </si>
  <si>
    <t>Vico Pizza &amp; Wine</t>
  </si>
  <si>
    <t>Piazza Rondanini, 47</t>
  </si>
  <si>
    <t>06/87809501</t>
  </si>
  <si>
    <t>41.89979359752863, 12.475981967920298</t>
  </si>
  <si>
    <t>Tiella</t>
  </si>
  <si>
    <t>Via Vito Giuseppe Galati, 52</t>
  </si>
  <si>
    <t>393/9192692</t>
  </si>
  <si>
    <t>Piazza Regina Margherita, 25/26</t>
  </si>
  <si>
    <t>caffè specialty / brunch</t>
  </si>
  <si>
    <t>Via Pellegrino Rossi, 1</t>
  </si>
  <si>
    <t>Cafè Conti &amp; Co.</t>
  </si>
  <si>
    <t>La Clessidra</t>
  </si>
  <si>
    <t>antipasto, primo, secondo e dolce (provare un pesce dry aging)</t>
  </si>
  <si>
    <t>Via Antonio Gramsci, 97</t>
  </si>
  <si>
    <t>375/7975609</t>
  </si>
  <si>
    <t>41.45183832097367, 12.633921659316934</t>
  </si>
  <si>
    <t>Via Gaio Melisso, 32</t>
  </si>
  <si>
    <t>Para Compartir</t>
  </si>
  <si>
    <t>Via Carlo Lorenzini, 15</t>
  </si>
  <si>
    <t>351/4210351</t>
  </si>
  <si>
    <t>L'Acqua Bulle</t>
  </si>
  <si>
    <t>Viale Vittorio Veneto, 133</t>
  </si>
  <si>
    <t>06/68975537</t>
  </si>
  <si>
    <t>41.77738105113258, 12.682042775213542</t>
  </si>
  <si>
    <t>41.77006211765232, 12.22735940892787</t>
  </si>
  <si>
    <t>Via di Casal Bertone, 64</t>
  </si>
  <si>
    <t>Dahab</t>
  </si>
  <si>
    <t>06/89112891</t>
  </si>
  <si>
    <t>41.89708722399942, 12.532899721318955</t>
  </si>
  <si>
    <t xml:space="preserve">menù degustazione da 5 portate </t>
  </si>
  <si>
    <t>N'uovo Vino e Cucina</t>
  </si>
  <si>
    <t>0761/586988</t>
  </si>
  <si>
    <t>Sutri</t>
  </si>
  <si>
    <t>60+20</t>
  </si>
  <si>
    <t>menù degustazione di 4 portate o superiore</t>
  </si>
  <si>
    <t>SS Cassia km 46, 700</t>
  </si>
  <si>
    <t>42.23075667813577, 12.258508349882923</t>
  </si>
  <si>
    <t>Donkey's Bar</t>
  </si>
  <si>
    <t>Lungotevere Arnaldo da Brescia, 2</t>
  </si>
  <si>
    <t>327/4852960</t>
  </si>
  <si>
    <t>41.91037576013152, 12.47341002086633</t>
  </si>
  <si>
    <t>Da Santuccio</t>
  </si>
  <si>
    <t>Via Guido Nati, 15</t>
  </si>
  <si>
    <t>Ie Koji</t>
  </si>
  <si>
    <t>Via Settembrini, 21/25</t>
  </si>
  <si>
    <t>06/88795874</t>
  </si>
  <si>
    <t>Casal Bertone</t>
  </si>
  <si>
    <t>06/83428715</t>
  </si>
  <si>
    <t>Der Biondo</t>
  </si>
  <si>
    <t>Gandhi</t>
  </si>
  <si>
    <t>indiana</t>
  </si>
  <si>
    <t>Via Pellegrino Matteucci, 124</t>
  </si>
  <si>
    <t>06/64420047</t>
  </si>
  <si>
    <t>Gelabakery</t>
  </si>
  <si>
    <t>gelateria / pasticceria</t>
  </si>
  <si>
    <t>351/9236312</t>
  </si>
  <si>
    <t>Via dei Colombi, 59 B/C</t>
  </si>
  <si>
    <t>Torre Maura</t>
  </si>
  <si>
    <t>41.86962392680513, 12.593240551998313</t>
  </si>
  <si>
    <t>Tibibbo</t>
  </si>
  <si>
    <t>wine bar</t>
  </si>
  <si>
    <t>Via Poggio Ameno, 52</t>
  </si>
  <si>
    <t>370/3741308</t>
  </si>
  <si>
    <t>tre piatti diversi e un calice</t>
  </si>
  <si>
    <t>41.847407047892766, 12.489860861650634</t>
  </si>
  <si>
    <t>1 antipasto, 1 piatto tandoori, 1 di carne,1 vegetale</t>
  </si>
  <si>
    <t>Pasqualina</t>
  </si>
  <si>
    <t>Via Santi Filippo e Giacomo, 12/14</t>
  </si>
  <si>
    <t>06/88929413</t>
  </si>
  <si>
    <t>41.80685427608568, 12.681206946039827</t>
  </si>
  <si>
    <t>Viale Romania, 31</t>
  </si>
  <si>
    <t>379/3506384</t>
  </si>
  <si>
    <t>41.92438626568828, 12.492692774797485</t>
  </si>
  <si>
    <t>coffee specialty / brunch</t>
  </si>
  <si>
    <t>ØRA Specialty Coffee</t>
  </si>
  <si>
    <t>75+20</t>
  </si>
  <si>
    <t>Mensana masseria urbana</t>
  </si>
  <si>
    <t>pugliese</t>
  </si>
  <si>
    <t>Via di Pietralata, 138b</t>
  </si>
  <si>
    <t>334/9943965</t>
  </si>
  <si>
    <t>Tenuta del Duca</t>
  </si>
  <si>
    <t>Via Carlo del Prete, snc</t>
  </si>
  <si>
    <t>366/2386289</t>
  </si>
  <si>
    <t>41.78192952612999, 12.254367904456137</t>
  </si>
  <si>
    <t>Il Tempo Ritrovato</t>
  </si>
  <si>
    <t>Largo S. Anna</t>
  </si>
  <si>
    <t>333/2602123</t>
  </si>
  <si>
    <t>41.25586773100765, 13.601183808241768</t>
  </si>
  <si>
    <t xml:space="preserve">romana </t>
  </si>
  <si>
    <t>Via del Pellegrino, 117</t>
  </si>
  <si>
    <t>06/68801978</t>
  </si>
  <si>
    <t>Pasticceria Charlotte</t>
  </si>
  <si>
    <t>Rimessa F.A.B.</t>
  </si>
  <si>
    <t>0765/480785 - 331/1650624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</si>
</sst>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0" fontId="6" fillId="0" borderId="0"/>
    <xf numFmtId="0" fontId="3" fillId="0" borderId="0"/>
    <xf numFmtId="0" fontId="13" fillId="0" borderId="0"/>
    <xf numFmtId="0" fontId="3" fillId="0" borderId="0"/>
    <xf numFmtId="0" fontId="7" fillId="0" borderId="0"/>
    <xf numFmtId="0" fontId="5" fillId="0" borderId="0"/>
    <xf numFmtId="0" fontId="9" fillId="0" borderId="0"/>
    <xf numFmtId="0" fontId="5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8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8" applyFont="1" applyAlignment="1">
      <alignment vertical="center" wrapText="1"/>
    </xf>
    <xf numFmtId="0" fontId="10" fillId="0" borderId="0" xfId="9" applyFont="1" applyAlignment="1">
      <alignment horizontal="center" wrapText="1"/>
    </xf>
    <xf numFmtId="0" fontId="10" fillId="0" borderId="0" xfId="9" applyFont="1" applyAlignment="1">
      <alignment wrapText="1"/>
    </xf>
    <xf numFmtId="0" fontId="10" fillId="0" borderId="0" xfId="9" applyFont="1" applyAlignment="1">
      <alignment horizontal="left" wrapText="1"/>
    </xf>
    <xf numFmtId="0" fontId="8" fillId="3" borderId="4" xfId="7" applyFont="1" applyFill="1" applyBorder="1" applyAlignment="1">
      <alignment horizontal="center"/>
    </xf>
    <xf numFmtId="0" fontId="8" fillId="0" borderId="0" xfId="9" applyFont="1" applyAlignment="1">
      <alignment horizontal="left" wrapText="1"/>
    </xf>
    <xf numFmtId="0" fontId="8" fillId="0" borderId="0" xfId="9" applyFont="1" applyAlignment="1">
      <alignment wrapText="1"/>
    </xf>
    <xf numFmtId="0" fontId="8" fillId="0" borderId="0" xfId="9" applyFont="1" applyAlignment="1">
      <alignment horizontal="center" wrapText="1"/>
    </xf>
    <xf numFmtId="0" fontId="11" fillId="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 wrapText="1"/>
    </xf>
    <xf numFmtId="0" fontId="11" fillId="8" borderId="0" xfId="8" applyFont="1" applyFill="1" applyAlignment="1">
      <alignment horizontal="center" vertical="center" wrapText="1"/>
    </xf>
    <xf numFmtId="0" fontId="8" fillId="3" borderId="6" xfId="10" applyFont="1" applyFill="1" applyBorder="1" applyAlignment="1">
      <alignment horizontal="center"/>
    </xf>
    <xf numFmtId="0" fontId="8" fillId="3" borderId="4" xfId="9" applyFont="1" applyFill="1" applyBorder="1" applyAlignment="1">
      <alignment horizontal="left"/>
    </xf>
    <xf numFmtId="0" fontId="8" fillId="3" borderId="6" xfId="10" applyFont="1" applyFill="1" applyBorder="1" applyAlignment="1">
      <alignment horizontal="left"/>
    </xf>
    <xf numFmtId="0" fontId="11" fillId="9" borderId="5" xfId="0" applyFont="1" applyFill="1" applyBorder="1" applyAlignment="1">
      <alignment horizontal="center" vertical="center"/>
    </xf>
    <xf numFmtId="0" fontId="10" fillId="10" borderId="0" xfId="9" applyFont="1" applyFill="1" applyAlignment="1">
      <alignment horizontal="center" wrapText="1"/>
    </xf>
    <xf numFmtId="0" fontId="10" fillId="10" borderId="0" xfId="9" applyFont="1" applyFill="1" applyAlignment="1">
      <alignment wrapText="1"/>
    </xf>
    <xf numFmtId="0" fontId="3" fillId="10" borderId="0" xfId="8" applyFont="1" applyFill="1" applyAlignment="1">
      <alignment horizontal="center" vertical="center" wrapText="1"/>
    </xf>
    <xf numFmtId="0" fontId="8" fillId="10" borderId="0" xfId="9" applyFont="1" applyFill="1" applyAlignment="1">
      <alignment horizontal="left" wrapText="1"/>
    </xf>
    <xf numFmtId="0" fontId="3" fillId="10" borderId="0" xfId="0" applyFont="1" applyFill="1" applyAlignment="1">
      <alignment horizontal="center" vertical="center"/>
    </xf>
    <xf numFmtId="0" fontId="8" fillId="10" borderId="0" xfId="9" applyFont="1" applyFill="1" applyAlignment="1">
      <alignment wrapText="1"/>
    </xf>
    <xf numFmtId="0" fontId="8" fillId="10" borderId="0" xfId="9" applyFont="1" applyFill="1" applyAlignment="1">
      <alignment horizontal="center" wrapText="1"/>
    </xf>
    <xf numFmtId="0" fontId="10" fillId="9" borderId="0" xfId="9" applyFont="1" applyFill="1" applyAlignment="1">
      <alignment horizontal="center" wrapText="1"/>
    </xf>
    <xf numFmtId="0" fontId="10" fillId="9" borderId="0" xfId="9" applyFont="1" applyFill="1" applyAlignment="1">
      <alignment wrapText="1"/>
    </xf>
    <xf numFmtId="0" fontId="3" fillId="9" borderId="0" xfId="8" applyFont="1" applyFill="1" applyAlignment="1">
      <alignment horizontal="center" vertical="center" wrapText="1"/>
    </xf>
    <xf numFmtId="0" fontId="8" fillId="9" borderId="0" xfId="9" applyFont="1" applyFill="1" applyAlignment="1">
      <alignment horizontal="left" wrapText="1"/>
    </xf>
    <xf numFmtId="0" fontId="10" fillId="9" borderId="0" xfId="9" applyFont="1" applyFill="1" applyAlignment="1">
      <alignment horizontal="left" wrapText="1"/>
    </xf>
    <xf numFmtId="0" fontId="3" fillId="9" borderId="0" xfId="0" applyFont="1" applyFill="1" applyAlignment="1">
      <alignment horizontal="center" vertical="center"/>
    </xf>
    <xf numFmtId="0" fontId="8" fillId="9" borderId="0" xfId="9" applyFont="1" applyFill="1" applyAlignment="1">
      <alignment wrapText="1"/>
    </xf>
    <xf numFmtId="0" fontId="5" fillId="10" borderId="0" xfId="9" applyFont="1" applyFill="1" applyAlignment="1">
      <alignment horizontal="center" wrapText="1"/>
    </xf>
    <xf numFmtId="0" fontId="10" fillId="8" borderId="0" xfId="9" applyFont="1" applyFill="1" applyAlignment="1">
      <alignment horizontal="center" wrapText="1"/>
    </xf>
    <xf numFmtId="0" fontId="10" fillId="8" borderId="0" xfId="9" applyFont="1" applyFill="1" applyAlignment="1">
      <alignment wrapText="1"/>
    </xf>
    <xf numFmtId="0" fontId="3" fillId="8" borderId="0" xfId="8" applyFont="1" applyFill="1" applyAlignment="1">
      <alignment horizontal="center" vertical="center" wrapText="1"/>
    </xf>
    <xf numFmtId="0" fontId="8" fillId="8" borderId="0" xfId="9" applyFont="1" applyFill="1" applyAlignment="1">
      <alignment horizontal="left" wrapText="1"/>
    </xf>
    <xf numFmtId="0" fontId="10" fillId="8" borderId="0" xfId="9" applyFont="1" applyFill="1" applyAlignment="1">
      <alignment horizontal="left" wrapText="1"/>
    </xf>
    <xf numFmtId="0" fontId="3" fillId="8" borderId="0" xfId="0" applyFont="1" applyFill="1" applyAlignment="1">
      <alignment horizontal="center" vertical="center"/>
    </xf>
    <xf numFmtId="0" fontId="8" fillId="8" borderId="0" xfId="9" applyFont="1" applyFill="1" applyAlignment="1">
      <alignment wrapText="1"/>
    </xf>
    <xf numFmtId="0" fontId="8" fillId="9" borderId="0" xfId="9" applyFont="1" applyFill="1" applyAlignment="1">
      <alignment horizontal="center" wrapText="1"/>
    </xf>
    <xf numFmtId="0" fontId="15" fillId="9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11" borderId="0" xfId="9" applyFont="1" applyFill="1" applyAlignment="1">
      <alignment horizontal="center" wrapText="1"/>
    </xf>
    <xf numFmtId="0" fontId="10" fillId="11" borderId="0" xfId="9" applyFont="1" applyFill="1" applyAlignment="1">
      <alignment wrapText="1"/>
    </xf>
    <xf numFmtId="0" fontId="3" fillId="11" borderId="0" xfId="8" applyFont="1" applyFill="1" applyAlignment="1">
      <alignment horizontal="center" vertical="center" wrapText="1"/>
    </xf>
    <xf numFmtId="0" fontId="8" fillId="11" borderId="0" xfId="9" applyFont="1" applyFill="1" applyAlignment="1">
      <alignment horizontal="left" wrapText="1"/>
    </xf>
    <xf numFmtId="0" fontId="3" fillId="11" borderId="0" xfId="0" applyFont="1" applyFill="1" applyAlignment="1">
      <alignment horizontal="center" vertical="center"/>
    </xf>
    <xf numFmtId="0" fontId="8" fillId="11" borderId="0" xfId="9" applyFont="1" applyFill="1" applyAlignment="1">
      <alignment wrapText="1"/>
    </xf>
    <xf numFmtId="0" fontId="8" fillId="11" borderId="0" xfId="9" applyFont="1" applyFill="1" applyAlignment="1">
      <alignment horizontal="center" wrapText="1"/>
    </xf>
  </cellXfs>
  <cellStyles count="23">
    <cellStyle name="Collegamento ipertestuale 2" xfId="1" xr:uid="{BB94F41A-D5C6-4F8C-A563-8CC3AA6A9845}"/>
    <cellStyle name="Migliaia 2" xfId="2" xr:uid="{4B29E8E3-4E0F-4FC7-892F-A3B6FFAC2F05}"/>
    <cellStyle name="Normale" xfId="0" builtinId="0"/>
    <cellStyle name="Normale 2" xfId="3" xr:uid="{096CBD50-F433-46C8-80F5-B79FAE02FD52}"/>
    <cellStyle name="Normale 2 2" xfId="4" xr:uid="{CB6DAD72-1EB8-4FDC-9CB6-B9E82A86A6B9}"/>
    <cellStyle name="Normale 3" xfId="5" xr:uid="{85935AF1-2163-4E90-B3E1-017E40D5A6F4}"/>
    <cellStyle name="Normale 4" xfId="6" xr:uid="{A400F8A0-6216-4910-8DA0-197CB13D271B}"/>
    <cellStyle name="Normale_Locali da provare_4" xfId="7" xr:uid="{39E0E402-CF6C-4005-AE64-5DEF6D6DA7D1}"/>
    <cellStyle name="Normale_Ristoranti" xfId="8" xr:uid="{255E40EE-50BA-4C07-A4A9-E348E5495724}"/>
    <cellStyle name="Normale_Tavole e pause golose" xfId="9" xr:uid="{F9E92C35-1D2E-4658-BB67-EA93AF7462FE}"/>
    <cellStyle name="Normale_Tavole e pause golose_1" xfId="10" xr:uid="{85702457-6C8D-4DA2-90E2-E0D71DF14F11}"/>
    <cellStyle name="Percentuale 2" xfId="11" xr:uid="{DC49FEE1-D34F-4833-AB65-8127900D4206}"/>
    <cellStyle name="Percentuale 2 2" xfId="12" xr:uid="{71FAADCA-3C99-44E4-B744-C2F4B56061F1}"/>
    <cellStyle name="Percentuale 2 2 2" xfId="13" xr:uid="{B67F6AE5-5390-4D84-994A-D3E71488B8EA}"/>
    <cellStyle name="Percentuale 2 2 2 2" xfId="14" xr:uid="{3D568C5B-67DB-44DB-B93A-26C009CA29BA}"/>
    <cellStyle name="Percentuale 2 3" xfId="15" xr:uid="{8576ACC6-7B92-4287-A6F5-1DF2FE433CC0}"/>
    <cellStyle name="Percentuale 2 3 2" xfId="16" xr:uid="{34D0E967-D0D9-402B-8D01-01A86A43CA2A}"/>
    <cellStyle name="Percentuale 3" xfId="17" xr:uid="{EF2C2284-8F09-415E-B84F-57F287EFFD29}"/>
    <cellStyle name="Percentuale 3 2" xfId="18" xr:uid="{6CDD1AA1-B6DC-4EAB-BE85-CED041A5C7AA}"/>
    <cellStyle name="Percentuale 3 2 2" xfId="19" xr:uid="{68ECB8EA-AF8E-4CCE-8C44-B018BD1C06C0}"/>
    <cellStyle name="Percentuale 3 2 2 2" xfId="20" xr:uid="{EF0E4ABE-C49C-4DE8-8541-1413AF901F2B}"/>
    <cellStyle name="Percentuale 3 3" xfId="21" xr:uid="{18355B6F-3AB5-4FB7-9A26-80642E63573B}"/>
    <cellStyle name="Percentuale 3 3 2" xfId="22" xr:uid="{75C47007-311F-4D25-B521-E0F82B8334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1B98-D301-4D81-BF1C-BA4579F153A5}">
  <sheetPr>
    <pageSetUpPr fitToPage="1"/>
  </sheetPr>
  <dimension ref="A1:XFD814"/>
  <sheetViews>
    <sheetView tabSelected="1" zoomScaleNormal="100" workbookViewId="0">
      <pane ySplit="7" topLeftCell="A112" activePane="bottomLeft" state="frozen"/>
      <selection pane="bottomLeft"/>
    </sheetView>
  </sheetViews>
  <sheetFormatPr defaultColWidth="9.140625" defaultRowHeight="14.25" customHeight="1" x14ac:dyDescent="0.2"/>
  <cols>
    <col min="1" max="1" width="4.85546875" style="1" customWidth="1"/>
    <col min="2" max="2" width="3.7109375" style="1" customWidth="1"/>
    <col min="3" max="3" width="3.85546875" style="1" customWidth="1"/>
    <col min="4" max="4" width="29.7109375" style="2" customWidth="1"/>
    <col min="5" max="5" width="19" style="11" customWidth="1"/>
    <col min="6" max="6" width="25.7109375" style="2" customWidth="1"/>
    <col min="7" max="7" width="27" style="11" customWidth="1"/>
    <col min="8" max="8" width="17.28515625" style="11" customWidth="1"/>
    <col min="9" max="9" width="19" style="1" customWidth="1"/>
    <col min="10" max="10" width="10.5703125" style="1" customWidth="1"/>
    <col min="11" max="11" width="9.28515625" style="1" customWidth="1"/>
    <col min="12" max="12" width="12.42578125" style="10" customWidth="1"/>
    <col min="13" max="13" width="35.7109375" style="14" customWidth="1"/>
    <col min="14" max="14" width="21.140625" style="14" customWidth="1"/>
    <col min="15" max="15" width="6.42578125" style="1" customWidth="1"/>
    <col min="16" max="16" width="7" style="1" customWidth="1"/>
    <col min="17" max="17" width="17.28515625" style="11" customWidth="1"/>
    <col min="18" max="18" width="7.42578125" style="1" customWidth="1"/>
    <col min="19" max="19" width="9.28515625" style="1" customWidth="1"/>
    <col min="20" max="20" width="8.28515625" style="1" customWidth="1"/>
    <col min="21" max="21" width="5.7109375" style="1" customWidth="1"/>
    <col min="22" max="27" width="9.42578125" style="1" bestFit="1" customWidth="1"/>
    <col min="28" max="28" width="10.85546875" style="1" bestFit="1" customWidth="1"/>
    <col min="29" max="29" width="7" style="1" customWidth="1"/>
    <col min="30" max="30" width="21.85546875" style="1" customWidth="1"/>
    <col min="31" max="31" width="27.28515625" style="1" customWidth="1"/>
    <col min="32" max="32" width="18" style="1" customWidth="1"/>
    <col min="33" max="33" width="19.85546875" style="1" customWidth="1"/>
    <col min="34" max="34" width="15.140625" style="1" customWidth="1"/>
    <col min="35" max="35" width="18.140625" style="1" customWidth="1"/>
    <col min="36" max="16384" width="9.140625" style="1"/>
  </cols>
  <sheetData>
    <row r="1" spans="1:35" ht="14.25" customHeight="1" x14ac:dyDescent="0.2">
      <c r="D1" s="1"/>
      <c r="F1" s="1"/>
    </row>
    <row r="2" spans="1:35" ht="14.25" customHeight="1" x14ac:dyDescent="0.2">
      <c r="D2" s="3" t="s">
        <v>8</v>
      </c>
      <c r="E2" s="12" t="s">
        <v>24</v>
      </c>
      <c r="F2" s="3" t="s">
        <v>25</v>
      </c>
      <c r="G2" s="12" t="s">
        <v>26</v>
      </c>
      <c r="H2" s="12" t="s">
        <v>20</v>
      </c>
    </row>
    <row r="3" spans="1:35" ht="27" customHeight="1" x14ac:dyDescent="0.2">
      <c r="D3" s="1" t="s">
        <v>2</v>
      </c>
      <c r="E3" s="5">
        <f>+AH6</f>
        <v>135</v>
      </c>
      <c r="F3" s="5">
        <f>+AD6</f>
        <v>137</v>
      </c>
      <c r="G3" s="5">
        <f>+AF6</f>
        <v>132</v>
      </c>
      <c r="H3" s="5">
        <f>+E3-G3</f>
        <v>3</v>
      </c>
      <c r="I3" s="13" t="s">
        <v>9</v>
      </c>
      <c r="J3" s="4"/>
      <c r="K3" s="4"/>
    </row>
    <row r="4" spans="1:35" ht="27" customHeight="1" x14ac:dyDescent="0.25">
      <c r="D4" s="6" t="s">
        <v>3</v>
      </c>
      <c r="E4" s="7">
        <f>+AI6</f>
        <v>331</v>
      </c>
      <c r="F4" s="7">
        <f>+AE6</f>
        <v>324</v>
      </c>
      <c r="G4" s="7">
        <f>+AG6</f>
        <v>287</v>
      </c>
      <c r="H4" s="5">
        <f>+E4-G4</f>
        <v>44</v>
      </c>
      <c r="I4" s="22" t="s">
        <v>10</v>
      </c>
      <c r="J4" s="23" t="s">
        <v>560</v>
      </c>
      <c r="K4" s="24" t="s">
        <v>19</v>
      </c>
      <c r="M4" s="17"/>
      <c r="N4" s="17"/>
    </row>
    <row r="5" spans="1:35" ht="14.25" customHeight="1" x14ac:dyDescent="0.25">
      <c r="D5" s="8" t="s">
        <v>12</v>
      </c>
      <c r="E5" s="8">
        <f>+E3+E4</f>
        <v>466</v>
      </c>
      <c r="F5" s="8">
        <f>+F3+F4</f>
        <v>461</v>
      </c>
      <c r="G5" s="8">
        <f>+G3+G4</f>
        <v>419</v>
      </c>
      <c r="H5" s="8">
        <f>+H3+H4</f>
        <v>47</v>
      </c>
      <c r="I5" s="30" t="s">
        <v>16</v>
      </c>
      <c r="J5" s="25" t="s">
        <v>559</v>
      </c>
      <c r="K5" s="26" t="s">
        <v>41</v>
      </c>
      <c r="M5" s="17"/>
      <c r="N5" s="17"/>
      <c r="Q5" s="9"/>
      <c r="S5" s="9">
        <f t="shared" ref="S5:AB5" si="0">SUM(S8:S2457)</f>
        <v>61</v>
      </c>
      <c r="T5" s="9">
        <f t="shared" si="0"/>
        <v>10</v>
      </c>
      <c r="U5" s="9">
        <f t="shared" si="0"/>
        <v>6</v>
      </c>
      <c r="V5" s="9">
        <f t="shared" si="0"/>
        <v>5</v>
      </c>
      <c r="W5" s="9">
        <f t="shared" si="0"/>
        <v>3</v>
      </c>
      <c r="X5" s="9">
        <f t="shared" si="0"/>
        <v>6</v>
      </c>
      <c r="Y5" s="9">
        <f t="shared" si="0"/>
        <v>18</v>
      </c>
      <c r="Z5" s="9">
        <f t="shared" si="0"/>
        <v>30</v>
      </c>
      <c r="AA5" s="9">
        <f t="shared" si="0"/>
        <v>18</v>
      </c>
      <c r="AB5" s="9">
        <f t="shared" si="0"/>
        <v>23</v>
      </c>
      <c r="AC5" s="9"/>
      <c r="AD5" s="9"/>
      <c r="AE5" s="9"/>
      <c r="AF5" s="9"/>
      <c r="AG5" s="9"/>
    </row>
    <row r="6" spans="1:35" ht="14.25" customHeight="1" x14ac:dyDescent="0.25">
      <c r="D6" s="1"/>
      <c r="F6" s="1"/>
      <c r="M6" s="17"/>
      <c r="N6" s="17"/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B6" s="1" t="s">
        <v>15</v>
      </c>
      <c r="AD6" s="1">
        <f t="shared" ref="AD6:AI6" si="1">SUM(AD8:AD1726)</f>
        <v>137</v>
      </c>
      <c r="AE6" s="1">
        <f t="shared" si="1"/>
        <v>324</v>
      </c>
      <c r="AF6" s="1">
        <f t="shared" si="1"/>
        <v>132</v>
      </c>
      <c r="AG6" s="1">
        <f t="shared" si="1"/>
        <v>287</v>
      </c>
      <c r="AH6" s="1">
        <f t="shared" si="1"/>
        <v>135</v>
      </c>
      <c r="AI6" s="1">
        <f t="shared" si="1"/>
        <v>331</v>
      </c>
    </row>
    <row r="7" spans="1:35" s="55" customFormat="1" ht="14.25" customHeight="1" x14ac:dyDescent="0.25">
      <c r="A7" s="27" t="s">
        <v>1335</v>
      </c>
      <c r="B7" s="27" t="s">
        <v>1336</v>
      </c>
      <c r="C7" s="27" t="s">
        <v>1337</v>
      </c>
      <c r="D7" s="29" t="s">
        <v>13</v>
      </c>
      <c r="E7" s="29" t="s">
        <v>23</v>
      </c>
      <c r="F7" s="29" t="s">
        <v>14</v>
      </c>
      <c r="G7" s="29" t="s">
        <v>18</v>
      </c>
      <c r="H7" s="29" t="s">
        <v>42</v>
      </c>
      <c r="I7" s="27" t="s">
        <v>11</v>
      </c>
      <c r="J7" s="27" t="s">
        <v>1338</v>
      </c>
      <c r="K7" s="27" t="s">
        <v>1589</v>
      </c>
      <c r="L7" s="27" t="s">
        <v>17</v>
      </c>
      <c r="M7" s="29" t="s">
        <v>1339</v>
      </c>
      <c r="N7" s="28" t="s">
        <v>0</v>
      </c>
      <c r="O7" s="18" t="s">
        <v>1</v>
      </c>
      <c r="P7" s="18" t="s">
        <v>2</v>
      </c>
      <c r="Q7" s="29" t="s">
        <v>1821</v>
      </c>
      <c r="S7" s="55">
        <v>1</v>
      </c>
      <c r="T7" s="55">
        <f>+S7+1</f>
        <v>2</v>
      </c>
      <c r="U7" s="55">
        <f t="shared" ref="U7:AB7" si="2">+T7+1</f>
        <v>3</v>
      </c>
      <c r="V7" s="55">
        <f t="shared" si="2"/>
        <v>4</v>
      </c>
      <c r="W7" s="55">
        <f t="shared" si="2"/>
        <v>5</v>
      </c>
      <c r="X7" s="55">
        <f t="shared" si="2"/>
        <v>6</v>
      </c>
      <c r="Y7" s="55">
        <f t="shared" si="2"/>
        <v>7</v>
      </c>
      <c r="Z7" s="55">
        <f t="shared" si="2"/>
        <v>8</v>
      </c>
      <c r="AA7" s="55">
        <f t="shared" si="2"/>
        <v>9</v>
      </c>
      <c r="AB7" s="55">
        <f t="shared" si="2"/>
        <v>10</v>
      </c>
      <c r="AD7" s="55" t="s">
        <v>21</v>
      </c>
      <c r="AE7" s="55" t="s">
        <v>22</v>
      </c>
      <c r="AF7" s="55" t="s">
        <v>4</v>
      </c>
      <c r="AG7" s="55" t="s">
        <v>5</v>
      </c>
      <c r="AH7" s="55" t="s">
        <v>6</v>
      </c>
      <c r="AI7" s="55" t="s">
        <v>7</v>
      </c>
    </row>
    <row r="8" spans="1:35" ht="14.25" customHeight="1" x14ac:dyDescent="0.25">
      <c r="A8" s="31">
        <v>0</v>
      </c>
      <c r="B8" s="31">
        <v>1</v>
      </c>
      <c r="C8" s="31">
        <v>1</v>
      </c>
      <c r="D8" s="32" t="s">
        <v>124</v>
      </c>
      <c r="E8" s="32" t="s">
        <v>885</v>
      </c>
      <c r="F8" s="32" t="s">
        <v>323</v>
      </c>
      <c r="G8" s="32" t="s">
        <v>177</v>
      </c>
      <c r="H8" s="32" t="s">
        <v>352</v>
      </c>
      <c r="I8" s="31" t="s">
        <v>469</v>
      </c>
      <c r="J8" s="31">
        <v>1</v>
      </c>
      <c r="K8" s="33" t="s">
        <v>724</v>
      </c>
      <c r="L8" s="33">
        <v>200</v>
      </c>
      <c r="M8" s="34" t="s">
        <v>39</v>
      </c>
      <c r="N8" s="34" t="s">
        <v>1689</v>
      </c>
      <c r="O8" s="35">
        <v>1</v>
      </c>
      <c r="P8" s="35"/>
      <c r="Q8" s="32"/>
      <c r="S8" s="1">
        <f>IF(J8=$S$7,1,0)</f>
        <v>1</v>
      </c>
      <c r="T8" s="1">
        <f>IF(J8=$T$7,1,0)</f>
        <v>0</v>
      </c>
      <c r="U8" s="1">
        <f>IF(J8=$U$7,1,0)</f>
        <v>0</v>
      </c>
      <c r="V8" s="1">
        <f>IF(J8=$V$7,1,0)</f>
        <v>0</v>
      </c>
      <c r="W8" s="1">
        <f>IF(J8=$W$7,1,0)</f>
        <v>0</v>
      </c>
      <c r="X8" s="1">
        <f>IF(J8=$X$7,1,0)</f>
        <v>0</v>
      </c>
      <c r="Y8" s="1">
        <f>IF(J8=$Y$7,1,0)</f>
        <v>0</v>
      </c>
      <c r="Z8" s="1">
        <f>IF(J8=$Z$7,1,0)</f>
        <v>0</v>
      </c>
      <c r="AA8" s="1">
        <f>IF(J8=$AA$7,1,0)</f>
        <v>0</v>
      </c>
      <c r="AB8" s="1">
        <f>IF(J8=$AB$7,1,0)</f>
        <v>0</v>
      </c>
      <c r="AD8" s="1">
        <f>+O8*P8</f>
        <v>0</v>
      </c>
      <c r="AE8" s="1">
        <f>O8*(1-P8)</f>
        <v>1</v>
      </c>
      <c r="AF8" s="1">
        <f t="shared" ref="AF8:AF12" si="3">+O8*P8*(1-A8)</f>
        <v>0</v>
      </c>
      <c r="AG8" s="1">
        <f t="shared" ref="AG8:AG12" si="4">O8*(1-P8)*(1-A8)</f>
        <v>1</v>
      </c>
      <c r="AH8" s="1">
        <f t="shared" ref="AH8:AH12" si="5">+P8*(1-A8)</f>
        <v>0</v>
      </c>
      <c r="AI8" s="1">
        <f t="shared" ref="AI8:AI12" si="6">+(1-A8)*(1-P8)</f>
        <v>1</v>
      </c>
    </row>
    <row r="9" spans="1:35" ht="14.25" customHeight="1" x14ac:dyDescent="0.25">
      <c r="A9" s="31">
        <v>0</v>
      </c>
      <c r="B9" s="31">
        <v>1</v>
      </c>
      <c r="C9" s="31">
        <v>1</v>
      </c>
      <c r="D9" s="32" t="s">
        <v>1547</v>
      </c>
      <c r="E9" s="32" t="s">
        <v>170</v>
      </c>
      <c r="F9" s="32" t="s">
        <v>1497</v>
      </c>
      <c r="G9" s="32" t="s">
        <v>39</v>
      </c>
      <c r="H9" s="32" t="s">
        <v>361</v>
      </c>
      <c r="I9" s="31" t="s">
        <v>1498</v>
      </c>
      <c r="J9" s="31">
        <v>99</v>
      </c>
      <c r="K9" s="33" t="s">
        <v>940</v>
      </c>
      <c r="L9" s="33" t="s">
        <v>1655</v>
      </c>
      <c r="M9" s="34" t="s">
        <v>1343</v>
      </c>
      <c r="N9" s="34" t="s">
        <v>1681</v>
      </c>
      <c r="O9" s="35">
        <v>1</v>
      </c>
      <c r="P9" s="35">
        <v>1</v>
      </c>
      <c r="Q9" s="32"/>
      <c r="S9" s="1">
        <f>IF(J9=$S$7,1,0)</f>
        <v>0</v>
      </c>
      <c r="T9" s="1">
        <f>IF(J9=$T$7,1,0)</f>
        <v>0</v>
      </c>
      <c r="U9" s="1">
        <f>IF(J9=$U$7,1,0)</f>
        <v>0</v>
      </c>
      <c r="V9" s="1">
        <f>IF(J9=$V$7,1,0)</f>
        <v>0</v>
      </c>
      <c r="W9" s="1">
        <f>IF(J9=$W$7,1,0)</f>
        <v>0</v>
      </c>
      <c r="X9" s="1">
        <f>IF(J9=$X$7,1,0)</f>
        <v>0</v>
      </c>
      <c r="Y9" s="1">
        <f>IF(J9=$Y$7,1,0)</f>
        <v>0</v>
      </c>
      <c r="Z9" s="1">
        <f>IF(J9=$Z$7,1,0)</f>
        <v>0</v>
      </c>
      <c r="AA9" s="1">
        <f>IF(J9=$AA$7,1,0)</f>
        <v>0</v>
      </c>
      <c r="AB9" s="1">
        <f>IF(J9=$AB$7,1,0)</f>
        <v>0</v>
      </c>
      <c r="AD9" s="1">
        <f>+O9*P9</f>
        <v>1</v>
      </c>
      <c r="AE9" s="1">
        <f>O9*(1-P9)</f>
        <v>0</v>
      </c>
      <c r="AF9" s="1">
        <f t="shared" si="3"/>
        <v>1</v>
      </c>
      <c r="AG9" s="1">
        <f t="shared" si="4"/>
        <v>0</v>
      </c>
      <c r="AH9" s="1">
        <f t="shared" si="5"/>
        <v>1</v>
      </c>
      <c r="AI9" s="1">
        <f t="shared" si="6"/>
        <v>0</v>
      </c>
    </row>
    <row r="10" spans="1:35" ht="14.25" customHeight="1" x14ac:dyDescent="0.25">
      <c r="A10" s="31">
        <v>0</v>
      </c>
      <c r="B10" s="31">
        <v>1</v>
      </c>
      <c r="C10" s="31">
        <v>1</v>
      </c>
      <c r="D10" s="32" t="s">
        <v>149</v>
      </c>
      <c r="E10" s="32" t="s">
        <v>170</v>
      </c>
      <c r="F10" s="32" t="s">
        <v>349</v>
      </c>
      <c r="G10" s="32" t="s">
        <v>177</v>
      </c>
      <c r="H10" s="32" t="s">
        <v>352</v>
      </c>
      <c r="I10" s="31" t="s">
        <v>494</v>
      </c>
      <c r="J10" s="31">
        <v>1</v>
      </c>
      <c r="K10" s="33" t="s">
        <v>940</v>
      </c>
      <c r="L10" s="33" t="s">
        <v>1656</v>
      </c>
      <c r="M10" s="34" t="s">
        <v>1340</v>
      </c>
      <c r="N10" s="34" t="s">
        <v>1790</v>
      </c>
      <c r="O10" s="35">
        <v>1</v>
      </c>
      <c r="P10" s="35"/>
      <c r="Q10" s="32"/>
      <c r="S10" s="1">
        <f>IF(J10=$S$7,1,0)</f>
        <v>1</v>
      </c>
      <c r="T10" s="1">
        <f>IF(J10=$T$7,1,0)</f>
        <v>0</v>
      </c>
      <c r="U10" s="1">
        <f>IF(J10=$U$7,1,0)</f>
        <v>0</v>
      </c>
      <c r="V10" s="1">
        <f>IF(J10=$V$7,1,0)</f>
        <v>0</v>
      </c>
      <c r="W10" s="1">
        <f>IF(J10=$W$7,1,0)</f>
        <v>0</v>
      </c>
      <c r="X10" s="1">
        <f>IF(J10=$X$7,1,0)</f>
        <v>0</v>
      </c>
      <c r="Y10" s="1">
        <f>IF(J10=$Y$7,1,0)</f>
        <v>0</v>
      </c>
      <c r="Z10" s="1">
        <f>IF(J10=$Z$7,1,0)</f>
        <v>0</v>
      </c>
      <c r="AA10" s="1">
        <f>IF(J10=$AA$7,1,0)</f>
        <v>0</v>
      </c>
      <c r="AB10" s="1">
        <f>IF(J10=$AB$7,1,0)</f>
        <v>0</v>
      </c>
      <c r="AD10" s="1">
        <f>+O10*P10</f>
        <v>0</v>
      </c>
      <c r="AE10" s="1">
        <f>O10*(1-P10)</f>
        <v>1</v>
      </c>
      <c r="AF10" s="1">
        <f t="shared" si="3"/>
        <v>0</v>
      </c>
      <c r="AG10" s="1">
        <f t="shared" si="4"/>
        <v>1</v>
      </c>
      <c r="AH10" s="1">
        <f t="shared" si="5"/>
        <v>0</v>
      </c>
      <c r="AI10" s="1">
        <f t="shared" si="6"/>
        <v>1</v>
      </c>
    </row>
    <row r="11" spans="1:35" ht="14.25" customHeight="1" x14ac:dyDescent="0.25">
      <c r="A11" s="31">
        <v>0</v>
      </c>
      <c r="B11" s="31">
        <v>1</v>
      </c>
      <c r="C11" s="31">
        <v>1</v>
      </c>
      <c r="D11" s="32" t="s">
        <v>1008</v>
      </c>
      <c r="E11" s="32" t="s">
        <v>173</v>
      </c>
      <c r="F11" s="32" t="s">
        <v>1066</v>
      </c>
      <c r="G11" s="32" t="s">
        <v>39</v>
      </c>
      <c r="H11" s="32" t="s">
        <v>1009</v>
      </c>
      <c r="I11" s="31" t="s">
        <v>1088</v>
      </c>
      <c r="J11" s="31">
        <v>16</v>
      </c>
      <c r="K11" s="33" t="s">
        <v>938</v>
      </c>
      <c r="L11" s="33">
        <v>45</v>
      </c>
      <c r="M11" s="34" t="s">
        <v>1341</v>
      </c>
      <c r="N11" s="34" t="s">
        <v>1766</v>
      </c>
      <c r="O11" s="35">
        <v>1</v>
      </c>
      <c r="P11" s="35"/>
      <c r="Q11" s="32"/>
      <c r="S11" s="1">
        <f>IF(J11=$S$7,1,0)</f>
        <v>0</v>
      </c>
      <c r="T11" s="1">
        <f>IF(J11=$T$7,1,0)</f>
        <v>0</v>
      </c>
      <c r="U11" s="1">
        <f>IF(J11=$U$7,1,0)</f>
        <v>0</v>
      </c>
      <c r="V11" s="1">
        <f>IF(J11=$V$7,1,0)</f>
        <v>0</v>
      </c>
      <c r="W11" s="1">
        <f>IF(J11=$W$7,1,0)</f>
        <v>0</v>
      </c>
      <c r="X11" s="1">
        <f>IF(J11=$X$7,1,0)</f>
        <v>0</v>
      </c>
      <c r="Y11" s="1">
        <f>IF(J11=$Y$7,1,0)</f>
        <v>0</v>
      </c>
      <c r="Z11" s="1">
        <f>IF(J11=$Z$7,1,0)</f>
        <v>0</v>
      </c>
      <c r="AA11" s="1">
        <f>IF(J11=$AA$7,1,0)</f>
        <v>0</v>
      </c>
      <c r="AB11" s="1">
        <f>IF(J11=$AB$7,1,0)</f>
        <v>0</v>
      </c>
      <c r="AD11" s="1">
        <f>+O11*P11</f>
        <v>0</v>
      </c>
      <c r="AE11" s="1">
        <f>O11*(1-P11)</f>
        <v>1</v>
      </c>
      <c r="AF11" s="1">
        <f t="shared" si="3"/>
        <v>0</v>
      </c>
      <c r="AG11" s="1">
        <f t="shared" si="4"/>
        <v>1</v>
      </c>
      <c r="AH11" s="1">
        <f t="shared" si="5"/>
        <v>0</v>
      </c>
      <c r="AI11" s="1">
        <f t="shared" si="6"/>
        <v>1</v>
      </c>
    </row>
    <row r="12" spans="1:35" ht="14.25" customHeight="1" x14ac:dyDescent="0.25">
      <c r="A12" s="31">
        <v>0</v>
      </c>
      <c r="B12" s="31">
        <v>1</v>
      </c>
      <c r="C12" s="31">
        <v>1</v>
      </c>
      <c r="D12" s="32" t="s">
        <v>116</v>
      </c>
      <c r="E12" s="32" t="s">
        <v>170</v>
      </c>
      <c r="F12" s="32" t="s">
        <v>314</v>
      </c>
      <c r="G12" s="32" t="s">
        <v>315</v>
      </c>
      <c r="H12" s="32" t="s">
        <v>352</v>
      </c>
      <c r="I12" s="31" t="s">
        <v>461</v>
      </c>
      <c r="J12" s="31">
        <v>8</v>
      </c>
      <c r="K12" s="33" t="s">
        <v>942</v>
      </c>
      <c r="L12" s="33" t="s">
        <v>1659</v>
      </c>
      <c r="M12" s="34" t="s">
        <v>1095</v>
      </c>
      <c r="N12" s="34" t="s">
        <v>1744</v>
      </c>
      <c r="O12" s="35">
        <v>1</v>
      </c>
      <c r="P12" s="35"/>
      <c r="Q12" s="32"/>
      <c r="S12" s="1">
        <f t="shared" ref="S12:S18" si="7">IF(J12=$S$7,1,0)</f>
        <v>0</v>
      </c>
      <c r="T12" s="1">
        <f t="shared" ref="T12:T18" si="8">IF(J12=$T$7,1,0)</f>
        <v>0</v>
      </c>
      <c r="U12" s="1">
        <f t="shared" ref="U12:U18" si="9">IF(J12=$U$7,1,0)</f>
        <v>0</v>
      </c>
      <c r="V12" s="1">
        <f t="shared" ref="V12:V18" si="10">IF(J12=$V$7,1,0)</f>
        <v>0</v>
      </c>
      <c r="W12" s="1">
        <f t="shared" ref="W12:W18" si="11">IF(J12=$W$7,1,0)</f>
        <v>0</v>
      </c>
      <c r="X12" s="1">
        <f t="shared" ref="X12:X18" si="12">IF(J12=$X$7,1,0)</f>
        <v>0</v>
      </c>
      <c r="Y12" s="1">
        <f t="shared" ref="Y12:Y18" si="13">IF(J12=$Y$7,1,0)</f>
        <v>0</v>
      </c>
      <c r="Z12" s="1">
        <f t="shared" ref="Z12:Z18" si="14">IF(J12=$Z$7,1,0)</f>
        <v>1</v>
      </c>
      <c r="AA12" s="1">
        <f t="shared" ref="AA12:AA18" si="15">IF(J12=$AA$7,1,0)</f>
        <v>0</v>
      </c>
      <c r="AB12" s="1">
        <f t="shared" ref="AB12:AB18" si="16">IF(J12=$AB$7,1,0)</f>
        <v>0</v>
      </c>
      <c r="AD12" s="1">
        <f t="shared" ref="AD12:AD18" si="17">+O12*P12</f>
        <v>0</v>
      </c>
      <c r="AE12" s="1">
        <f t="shared" ref="AE12:AE18" si="18">O12*(1-P12)</f>
        <v>1</v>
      </c>
      <c r="AF12" s="1">
        <f t="shared" si="3"/>
        <v>0</v>
      </c>
      <c r="AG12" s="1">
        <f t="shared" si="4"/>
        <v>1</v>
      </c>
      <c r="AH12" s="1">
        <f t="shared" si="5"/>
        <v>0</v>
      </c>
      <c r="AI12" s="1">
        <f t="shared" si="6"/>
        <v>1</v>
      </c>
    </row>
    <row r="13" spans="1:35" ht="14.25" customHeight="1" x14ac:dyDescent="0.25">
      <c r="A13" s="31">
        <v>0</v>
      </c>
      <c r="B13" s="31">
        <v>1</v>
      </c>
      <c r="C13" s="31">
        <v>1</v>
      </c>
      <c r="D13" s="32" t="s">
        <v>139</v>
      </c>
      <c r="E13" s="32" t="s">
        <v>170</v>
      </c>
      <c r="F13" s="32" t="s">
        <v>338</v>
      </c>
      <c r="G13" s="32" t="s">
        <v>339</v>
      </c>
      <c r="H13" s="32" t="s">
        <v>352</v>
      </c>
      <c r="I13" s="31" t="s">
        <v>485</v>
      </c>
      <c r="J13" s="31">
        <v>10</v>
      </c>
      <c r="K13" s="33" t="s">
        <v>940</v>
      </c>
      <c r="L13" s="33" t="s">
        <v>1660</v>
      </c>
      <c r="M13" s="34" t="s">
        <v>1095</v>
      </c>
      <c r="N13" s="34" t="s">
        <v>1744</v>
      </c>
      <c r="O13" s="35">
        <v>1</v>
      </c>
      <c r="P13" s="35"/>
      <c r="Q13" s="32"/>
      <c r="S13" s="1">
        <f t="shared" si="7"/>
        <v>0</v>
      </c>
      <c r="T13" s="1">
        <f t="shared" si="8"/>
        <v>0</v>
      </c>
      <c r="U13" s="1">
        <f t="shared" si="9"/>
        <v>0</v>
      </c>
      <c r="V13" s="1">
        <f t="shared" si="10"/>
        <v>0</v>
      </c>
      <c r="W13" s="1">
        <f t="shared" si="11"/>
        <v>0</v>
      </c>
      <c r="X13" s="1">
        <f t="shared" si="12"/>
        <v>0</v>
      </c>
      <c r="Y13" s="1">
        <f t="shared" si="13"/>
        <v>0</v>
      </c>
      <c r="Z13" s="1">
        <f t="shared" si="14"/>
        <v>0</v>
      </c>
      <c r="AA13" s="1">
        <f t="shared" si="15"/>
        <v>0</v>
      </c>
      <c r="AB13" s="1">
        <f t="shared" si="16"/>
        <v>1</v>
      </c>
      <c r="AD13" s="1">
        <f t="shared" si="17"/>
        <v>0</v>
      </c>
      <c r="AE13" s="1">
        <f t="shared" si="18"/>
        <v>1</v>
      </c>
      <c r="AF13" s="1">
        <f t="shared" ref="AF13:AF19" si="19">+O13*P13*(1-A13)</f>
        <v>0</v>
      </c>
      <c r="AG13" s="1">
        <f t="shared" ref="AG13:AG19" si="20">O13*(1-P13)*(1-A13)</f>
        <v>1</v>
      </c>
      <c r="AH13" s="1">
        <f t="shared" ref="AH13:AH19" si="21">+P13*(1-A13)</f>
        <v>0</v>
      </c>
      <c r="AI13" s="1">
        <f t="shared" ref="AI13:AI19" si="22">+(1-A13)*(1-P13)</f>
        <v>1</v>
      </c>
    </row>
    <row r="14" spans="1:35" ht="14.25" customHeight="1" x14ac:dyDescent="0.25">
      <c r="A14" s="31">
        <v>0</v>
      </c>
      <c r="B14" s="31">
        <v>1</v>
      </c>
      <c r="C14" s="31">
        <v>1</v>
      </c>
      <c r="D14" s="32" t="s">
        <v>530</v>
      </c>
      <c r="E14" s="32" t="s">
        <v>170</v>
      </c>
      <c r="F14" s="32" t="s">
        <v>1260</v>
      </c>
      <c r="G14" s="32" t="s">
        <v>239</v>
      </c>
      <c r="H14" s="32" t="s">
        <v>352</v>
      </c>
      <c r="I14" s="31" t="s">
        <v>1325</v>
      </c>
      <c r="J14" s="31">
        <v>1</v>
      </c>
      <c r="K14" s="33" t="s">
        <v>936</v>
      </c>
      <c r="L14" s="33" t="s">
        <v>1662</v>
      </c>
      <c r="M14" s="34" t="s">
        <v>1342</v>
      </c>
      <c r="N14" s="34" t="s">
        <v>1693</v>
      </c>
      <c r="O14" s="35">
        <v>1</v>
      </c>
      <c r="P14" s="35"/>
      <c r="Q14" s="32"/>
      <c r="S14" s="1">
        <f t="shared" si="7"/>
        <v>1</v>
      </c>
      <c r="T14" s="1">
        <f t="shared" si="8"/>
        <v>0</v>
      </c>
      <c r="U14" s="1">
        <f t="shared" si="9"/>
        <v>0</v>
      </c>
      <c r="V14" s="1">
        <f t="shared" si="10"/>
        <v>0</v>
      </c>
      <c r="W14" s="1">
        <f t="shared" si="11"/>
        <v>0</v>
      </c>
      <c r="X14" s="1">
        <f t="shared" si="12"/>
        <v>0</v>
      </c>
      <c r="Y14" s="1">
        <f t="shared" si="13"/>
        <v>0</v>
      </c>
      <c r="Z14" s="1">
        <f t="shared" si="14"/>
        <v>0</v>
      </c>
      <c r="AA14" s="1">
        <f t="shared" si="15"/>
        <v>0</v>
      </c>
      <c r="AB14" s="1">
        <f t="shared" si="16"/>
        <v>0</v>
      </c>
      <c r="AD14" s="1">
        <f t="shared" si="17"/>
        <v>0</v>
      </c>
      <c r="AE14" s="1">
        <f t="shared" si="18"/>
        <v>1</v>
      </c>
      <c r="AF14" s="1">
        <f t="shared" si="19"/>
        <v>0</v>
      </c>
      <c r="AG14" s="1">
        <f t="shared" si="20"/>
        <v>1</v>
      </c>
      <c r="AH14" s="1">
        <f t="shared" si="21"/>
        <v>0</v>
      </c>
      <c r="AI14" s="1">
        <f t="shared" si="22"/>
        <v>1</v>
      </c>
    </row>
    <row r="15" spans="1:35" ht="14.25" customHeight="1" x14ac:dyDescent="0.25">
      <c r="A15" s="31">
        <v>0</v>
      </c>
      <c r="B15" s="31">
        <v>1</v>
      </c>
      <c r="C15" s="31">
        <v>1</v>
      </c>
      <c r="D15" s="32" t="s">
        <v>115</v>
      </c>
      <c r="E15" s="32" t="s">
        <v>170</v>
      </c>
      <c r="F15" s="32" t="s">
        <v>313</v>
      </c>
      <c r="G15" s="32" t="s">
        <v>185</v>
      </c>
      <c r="H15" s="32" t="s">
        <v>352</v>
      </c>
      <c r="I15" s="31" t="s">
        <v>460</v>
      </c>
      <c r="J15" s="31">
        <v>1</v>
      </c>
      <c r="K15" s="33" t="s">
        <v>940</v>
      </c>
      <c r="L15" s="33">
        <v>135</v>
      </c>
      <c r="M15" s="34" t="s">
        <v>2095</v>
      </c>
      <c r="N15" s="34" t="s">
        <v>1790</v>
      </c>
      <c r="O15" s="35">
        <v>1</v>
      </c>
      <c r="P15" s="35"/>
      <c r="Q15" s="32"/>
      <c r="S15" s="1">
        <f t="shared" si="7"/>
        <v>1</v>
      </c>
      <c r="T15" s="1">
        <f t="shared" si="8"/>
        <v>0</v>
      </c>
      <c r="U15" s="1">
        <f t="shared" si="9"/>
        <v>0</v>
      </c>
      <c r="V15" s="1">
        <f t="shared" si="10"/>
        <v>0</v>
      </c>
      <c r="W15" s="1">
        <f t="shared" si="11"/>
        <v>0</v>
      </c>
      <c r="X15" s="1">
        <f t="shared" si="12"/>
        <v>0</v>
      </c>
      <c r="Y15" s="1">
        <f t="shared" si="13"/>
        <v>0</v>
      </c>
      <c r="Z15" s="1">
        <f t="shared" si="14"/>
        <v>0</v>
      </c>
      <c r="AA15" s="1">
        <f t="shared" si="15"/>
        <v>0</v>
      </c>
      <c r="AB15" s="1">
        <f t="shared" si="16"/>
        <v>0</v>
      </c>
      <c r="AD15" s="1">
        <f t="shared" si="17"/>
        <v>0</v>
      </c>
      <c r="AE15" s="1">
        <f t="shared" si="18"/>
        <v>1</v>
      </c>
      <c r="AF15" s="1">
        <f t="shared" si="19"/>
        <v>0</v>
      </c>
      <c r="AG15" s="1">
        <f t="shared" si="20"/>
        <v>1</v>
      </c>
      <c r="AH15" s="1">
        <f t="shared" si="21"/>
        <v>0</v>
      </c>
      <c r="AI15" s="1">
        <f t="shared" si="22"/>
        <v>1</v>
      </c>
    </row>
    <row r="16" spans="1:35" ht="14.25" customHeight="1" x14ac:dyDescent="0.25">
      <c r="A16" s="31">
        <v>0</v>
      </c>
      <c r="B16" s="31">
        <v>1</v>
      </c>
      <c r="C16" s="31">
        <v>1</v>
      </c>
      <c r="D16" s="32" t="s">
        <v>109</v>
      </c>
      <c r="E16" s="32" t="s">
        <v>170</v>
      </c>
      <c r="F16" s="32" t="s">
        <v>307</v>
      </c>
      <c r="G16" s="32" t="s">
        <v>212</v>
      </c>
      <c r="H16" s="32" t="s">
        <v>352</v>
      </c>
      <c r="I16" s="31" t="s">
        <v>455</v>
      </c>
      <c r="J16" s="31">
        <v>1</v>
      </c>
      <c r="K16" s="33" t="s">
        <v>1652</v>
      </c>
      <c r="L16" s="33" t="s">
        <v>39</v>
      </c>
      <c r="M16" s="34" t="s">
        <v>39</v>
      </c>
      <c r="N16" s="34" t="s">
        <v>1687</v>
      </c>
      <c r="O16" s="35">
        <v>1</v>
      </c>
      <c r="P16" s="35">
        <v>1</v>
      </c>
      <c r="Q16" s="32"/>
      <c r="S16" s="1">
        <f t="shared" si="7"/>
        <v>1</v>
      </c>
      <c r="T16" s="1">
        <f t="shared" si="8"/>
        <v>0</v>
      </c>
      <c r="U16" s="1">
        <f t="shared" si="9"/>
        <v>0</v>
      </c>
      <c r="V16" s="1">
        <f t="shared" si="10"/>
        <v>0</v>
      </c>
      <c r="W16" s="1">
        <f t="shared" si="11"/>
        <v>0</v>
      </c>
      <c r="X16" s="1">
        <f t="shared" si="12"/>
        <v>0</v>
      </c>
      <c r="Y16" s="1">
        <f t="shared" si="13"/>
        <v>0</v>
      </c>
      <c r="Z16" s="1">
        <f t="shared" si="14"/>
        <v>0</v>
      </c>
      <c r="AA16" s="1">
        <f t="shared" si="15"/>
        <v>0</v>
      </c>
      <c r="AB16" s="1">
        <f t="shared" si="16"/>
        <v>0</v>
      </c>
      <c r="AD16" s="1">
        <f t="shared" si="17"/>
        <v>1</v>
      </c>
      <c r="AE16" s="1">
        <f t="shared" si="18"/>
        <v>0</v>
      </c>
      <c r="AF16" s="1">
        <f t="shared" si="19"/>
        <v>1</v>
      </c>
      <c r="AG16" s="1">
        <f t="shared" si="20"/>
        <v>0</v>
      </c>
      <c r="AH16" s="1">
        <f t="shared" si="21"/>
        <v>1</v>
      </c>
      <c r="AI16" s="1">
        <f t="shared" si="22"/>
        <v>0</v>
      </c>
    </row>
    <row r="17" spans="1:35" ht="14.25" customHeight="1" x14ac:dyDescent="0.25">
      <c r="A17" s="31">
        <v>0</v>
      </c>
      <c r="B17" s="31">
        <v>1</v>
      </c>
      <c r="C17" s="31">
        <v>1</v>
      </c>
      <c r="D17" s="32" t="s">
        <v>119</v>
      </c>
      <c r="E17" s="32" t="s">
        <v>672</v>
      </c>
      <c r="F17" s="32" t="s">
        <v>1067</v>
      </c>
      <c r="G17" s="32" t="s">
        <v>39</v>
      </c>
      <c r="H17" s="32" t="s">
        <v>353</v>
      </c>
      <c r="I17" s="31" t="s">
        <v>1089</v>
      </c>
      <c r="J17" s="31">
        <v>11</v>
      </c>
      <c r="K17" s="33" t="s">
        <v>942</v>
      </c>
      <c r="L17" s="33" t="s">
        <v>1668</v>
      </c>
      <c r="M17" s="34" t="s">
        <v>1343</v>
      </c>
      <c r="N17" s="34" t="s">
        <v>1700</v>
      </c>
      <c r="O17" s="35">
        <v>1</v>
      </c>
      <c r="P17" s="35"/>
      <c r="Q17" s="32"/>
      <c r="S17" s="1">
        <f t="shared" si="7"/>
        <v>0</v>
      </c>
      <c r="T17" s="1">
        <f t="shared" si="8"/>
        <v>0</v>
      </c>
      <c r="U17" s="1">
        <f t="shared" si="9"/>
        <v>0</v>
      </c>
      <c r="V17" s="1">
        <f t="shared" si="10"/>
        <v>0</v>
      </c>
      <c r="W17" s="1">
        <f t="shared" si="11"/>
        <v>0</v>
      </c>
      <c r="X17" s="1">
        <f t="shared" si="12"/>
        <v>0</v>
      </c>
      <c r="Y17" s="1">
        <f t="shared" si="13"/>
        <v>0</v>
      </c>
      <c r="Z17" s="1">
        <f t="shared" si="14"/>
        <v>0</v>
      </c>
      <c r="AA17" s="1">
        <f t="shared" si="15"/>
        <v>0</v>
      </c>
      <c r="AB17" s="1">
        <f t="shared" si="16"/>
        <v>0</v>
      </c>
      <c r="AD17" s="1">
        <f t="shared" si="17"/>
        <v>0</v>
      </c>
      <c r="AE17" s="1">
        <f t="shared" si="18"/>
        <v>1</v>
      </c>
      <c r="AF17" s="1">
        <f t="shared" si="19"/>
        <v>0</v>
      </c>
      <c r="AG17" s="1">
        <f t="shared" si="20"/>
        <v>1</v>
      </c>
      <c r="AH17" s="1">
        <f t="shared" si="21"/>
        <v>0</v>
      </c>
      <c r="AI17" s="1">
        <f t="shared" si="22"/>
        <v>1</v>
      </c>
    </row>
    <row r="18" spans="1:35" ht="14.25" customHeight="1" x14ac:dyDescent="0.25">
      <c r="A18" s="31">
        <v>0</v>
      </c>
      <c r="B18" s="31">
        <v>1</v>
      </c>
      <c r="C18" s="31">
        <v>1</v>
      </c>
      <c r="D18" s="32" t="s">
        <v>147</v>
      </c>
      <c r="E18" s="32" t="s">
        <v>170</v>
      </c>
      <c r="F18" s="32" t="s">
        <v>347</v>
      </c>
      <c r="G18" s="32" t="s">
        <v>39</v>
      </c>
      <c r="H18" s="32" t="s">
        <v>377</v>
      </c>
      <c r="I18" s="31" t="s">
        <v>492</v>
      </c>
      <c r="J18" s="31">
        <v>16</v>
      </c>
      <c r="K18" s="33" t="s">
        <v>936</v>
      </c>
      <c r="L18" s="33" t="s">
        <v>2141</v>
      </c>
      <c r="M18" s="34" t="s">
        <v>1343</v>
      </c>
      <c r="N18" s="34" t="s">
        <v>1766</v>
      </c>
      <c r="O18" s="35">
        <v>1</v>
      </c>
      <c r="P18" s="35"/>
      <c r="Q18" s="32"/>
      <c r="S18" s="1">
        <f t="shared" si="7"/>
        <v>0</v>
      </c>
      <c r="T18" s="1">
        <f t="shared" si="8"/>
        <v>0</v>
      </c>
      <c r="U18" s="1">
        <f t="shared" si="9"/>
        <v>0</v>
      </c>
      <c r="V18" s="1">
        <f t="shared" si="10"/>
        <v>0</v>
      </c>
      <c r="W18" s="1">
        <f t="shared" si="11"/>
        <v>0</v>
      </c>
      <c r="X18" s="1">
        <f t="shared" si="12"/>
        <v>0</v>
      </c>
      <c r="Y18" s="1">
        <f t="shared" si="13"/>
        <v>0</v>
      </c>
      <c r="Z18" s="1">
        <f t="shared" si="14"/>
        <v>0</v>
      </c>
      <c r="AA18" s="1">
        <f t="shared" si="15"/>
        <v>0</v>
      </c>
      <c r="AB18" s="1">
        <f t="shared" si="16"/>
        <v>0</v>
      </c>
      <c r="AD18" s="1">
        <f t="shared" si="17"/>
        <v>0</v>
      </c>
      <c r="AE18" s="1">
        <f t="shared" si="18"/>
        <v>1</v>
      </c>
      <c r="AF18" s="1">
        <f t="shared" si="19"/>
        <v>0</v>
      </c>
      <c r="AG18" s="1">
        <f t="shared" si="20"/>
        <v>1</v>
      </c>
      <c r="AH18" s="1">
        <f t="shared" si="21"/>
        <v>0</v>
      </c>
      <c r="AI18" s="1">
        <f t="shared" si="22"/>
        <v>1</v>
      </c>
    </row>
    <row r="19" spans="1:35" ht="14.25" customHeight="1" x14ac:dyDescent="0.25">
      <c r="A19" s="31">
        <v>0</v>
      </c>
      <c r="B19" s="31">
        <v>1</v>
      </c>
      <c r="C19" s="31">
        <v>1</v>
      </c>
      <c r="D19" s="32" t="s">
        <v>120</v>
      </c>
      <c r="E19" s="32" t="s">
        <v>170</v>
      </c>
      <c r="F19" s="32" t="s">
        <v>320</v>
      </c>
      <c r="G19" s="32" t="s">
        <v>321</v>
      </c>
      <c r="H19" s="32" t="s">
        <v>352</v>
      </c>
      <c r="I19" s="31" t="s">
        <v>465</v>
      </c>
      <c r="J19" s="31">
        <v>99</v>
      </c>
      <c r="K19" s="33" t="s">
        <v>941</v>
      </c>
      <c r="L19" s="33">
        <v>200</v>
      </c>
      <c r="M19" s="34" t="s">
        <v>39</v>
      </c>
      <c r="N19" s="34" t="s">
        <v>1790</v>
      </c>
      <c r="O19" s="35">
        <v>1</v>
      </c>
      <c r="P19" s="35"/>
      <c r="Q19" s="32"/>
      <c r="S19" s="1">
        <f t="shared" ref="S19:S81" si="23">IF(J19=$S$7,1,0)</f>
        <v>0</v>
      </c>
      <c r="T19" s="1">
        <f t="shared" ref="T19:T81" si="24">IF(J19=$T$7,1,0)</f>
        <v>0</v>
      </c>
      <c r="U19" s="1">
        <f t="shared" ref="U19:U81" si="25">IF(J19=$U$7,1,0)</f>
        <v>0</v>
      </c>
      <c r="V19" s="1">
        <f t="shared" ref="V19:V81" si="26">IF(J19=$V$7,1,0)</f>
        <v>0</v>
      </c>
      <c r="W19" s="1">
        <f t="shared" ref="W19:W81" si="27">IF(J19=$W$7,1,0)</f>
        <v>0</v>
      </c>
      <c r="X19" s="1">
        <f t="shared" ref="X19:X81" si="28">IF(J19=$X$7,1,0)</f>
        <v>0</v>
      </c>
      <c r="Y19" s="1">
        <f t="shared" ref="Y19:Y81" si="29">IF(J19=$Y$7,1,0)</f>
        <v>0</v>
      </c>
      <c r="Z19" s="1">
        <f t="shared" ref="Z19:Z81" si="30">IF(J19=$Z$7,1,0)</f>
        <v>0</v>
      </c>
      <c r="AA19" s="1">
        <f t="shared" ref="AA19:AA81" si="31">IF(J19=$AA$7,1,0)</f>
        <v>0</v>
      </c>
      <c r="AB19" s="1">
        <f t="shared" ref="AB19:AB81" si="32">IF(J19=$AB$7,1,0)</f>
        <v>0</v>
      </c>
      <c r="AD19" s="1">
        <f t="shared" ref="AD19:AD81" si="33">+O19*P19</f>
        <v>0</v>
      </c>
      <c r="AE19" s="1">
        <f t="shared" ref="AE19:AE81" si="34">O19*(1-P19)</f>
        <v>1</v>
      </c>
      <c r="AF19" s="1">
        <f t="shared" si="19"/>
        <v>0</v>
      </c>
      <c r="AG19" s="1">
        <f t="shared" si="20"/>
        <v>1</v>
      </c>
      <c r="AH19" s="1">
        <f t="shared" si="21"/>
        <v>0</v>
      </c>
      <c r="AI19" s="1">
        <f t="shared" si="22"/>
        <v>1</v>
      </c>
    </row>
    <row r="20" spans="1:35" ht="14.25" customHeight="1" x14ac:dyDescent="0.25">
      <c r="A20" s="31">
        <v>0</v>
      </c>
      <c r="B20" s="31">
        <v>1</v>
      </c>
      <c r="C20" s="31">
        <v>1</v>
      </c>
      <c r="D20" s="32" t="s">
        <v>100</v>
      </c>
      <c r="E20" s="32" t="s">
        <v>170</v>
      </c>
      <c r="F20" s="32" t="s">
        <v>296</v>
      </c>
      <c r="G20" s="32" t="s">
        <v>39</v>
      </c>
      <c r="H20" s="32" t="s">
        <v>354</v>
      </c>
      <c r="I20" s="31" t="s">
        <v>445</v>
      </c>
      <c r="J20" s="31">
        <v>15</v>
      </c>
      <c r="K20" s="33" t="s">
        <v>943</v>
      </c>
      <c r="L20" s="33" t="s">
        <v>39</v>
      </c>
      <c r="M20" s="34" t="s">
        <v>39</v>
      </c>
      <c r="N20" s="34" t="s">
        <v>1687</v>
      </c>
      <c r="O20" s="35">
        <v>1</v>
      </c>
      <c r="P20" s="35">
        <v>1</v>
      </c>
      <c r="Q20" s="32" t="s">
        <v>1833</v>
      </c>
      <c r="S20" s="1">
        <f t="shared" si="23"/>
        <v>0</v>
      </c>
      <c r="T20" s="1">
        <f t="shared" si="24"/>
        <v>0</v>
      </c>
      <c r="U20" s="1">
        <f t="shared" si="25"/>
        <v>0</v>
      </c>
      <c r="V20" s="1">
        <f t="shared" si="26"/>
        <v>0</v>
      </c>
      <c r="W20" s="1">
        <f t="shared" si="27"/>
        <v>0</v>
      </c>
      <c r="X20" s="1">
        <f t="shared" si="28"/>
        <v>0</v>
      </c>
      <c r="Y20" s="1">
        <f t="shared" si="29"/>
        <v>0</v>
      </c>
      <c r="Z20" s="1">
        <f t="shared" si="30"/>
        <v>0</v>
      </c>
      <c r="AA20" s="1">
        <f t="shared" si="31"/>
        <v>0</v>
      </c>
      <c r="AB20" s="1">
        <f t="shared" si="32"/>
        <v>0</v>
      </c>
      <c r="AD20" s="1">
        <f t="shared" si="33"/>
        <v>1</v>
      </c>
      <c r="AE20" s="1">
        <f t="shared" si="34"/>
        <v>0</v>
      </c>
      <c r="AF20" s="1">
        <f t="shared" ref="AF20:AF82" si="35">+O20*P20*(1-A20)</f>
        <v>1</v>
      </c>
      <c r="AG20" s="1">
        <f t="shared" ref="AG20:AG82" si="36">O20*(1-P20)*(1-A20)</f>
        <v>0</v>
      </c>
      <c r="AH20" s="1">
        <f t="shared" ref="AH20:AH82" si="37">+P20*(1-A20)</f>
        <v>1</v>
      </c>
      <c r="AI20" s="1">
        <f t="shared" ref="AI20:AI82" si="38">+(1-A20)*(1-P20)</f>
        <v>0</v>
      </c>
    </row>
    <row r="21" spans="1:35" ht="14.25" customHeight="1" x14ac:dyDescent="0.25">
      <c r="A21" s="31">
        <v>0</v>
      </c>
      <c r="B21" s="31">
        <v>1</v>
      </c>
      <c r="C21" s="31">
        <v>1</v>
      </c>
      <c r="D21" s="32" t="s">
        <v>874</v>
      </c>
      <c r="E21" s="32" t="s">
        <v>169</v>
      </c>
      <c r="F21" s="32" t="s">
        <v>292</v>
      </c>
      <c r="G21" s="32" t="s">
        <v>39</v>
      </c>
      <c r="H21" s="32" t="s">
        <v>353</v>
      </c>
      <c r="I21" s="31" t="s">
        <v>441</v>
      </c>
      <c r="J21" s="31">
        <v>11</v>
      </c>
      <c r="K21" s="33" t="s">
        <v>936</v>
      </c>
      <c r="L21" s="33" t="s">
        <v>39</v>
      </c>
      <c r="M21" s="34" t="s">
        <v>39</v>
      </c>
      <c r="N21" s="34" t="s">
        <v>1681</v>
      </c>
      <c r="O21" s="35">
        <v>1</v>
      </c>
      <c r="P21" s="35">
        <v>1</v>
      </c>
      <c r="Q21" s="32"/>
      <c r="S21" s="1">
        <f t="shared" si="23"/>
        <v>0</v>
      </c>
      <c r="T21" s="1">
        <f t="shared" si="24"/>
        <v>0</v>
      </c>
      <c r="U21" s="1">
        <f t="shared" si="25"/>
        <v>0</v>
      </c>
      <c r="V21" s="1">
        <f t="shared" si="26"/>
        <v>0</v>
      </c>
      <c r="W21" s="1">
        <f t="shared" si="27"/>
        <v>0</v>
      </c>
      <c r="X21" s="1">
        <f t="shared" si="28"/>
        <v>0</v>
      </c>
      <c r="Y21" s="1">
        <f t="shared" si="29"/>
        <v>0</v>
      </c>
      <c r="Z21" s="1">
        <f t="shared" si="30"/>
        <v>0</v>
      </c>
      <c r="AA21" s="1">
        <f t="shared" si="31"/>
        <v>0</v>
      </c>
      <c r="AB21" s="1">
        <f t="shared" si="32"/>
        <v>0</v>
      </c>
      <c r="AD21" s="1">
        <f t="shared" si="33"/>
        <v>1</v>
      </c>
      <c r="AE21" s="1">
        <f t="shared" si="34"/>
        <v>0</v>
      </c>
      <c r="AF21" s="1">
        <f t="shared" si="35"/>
        <v>1</v>
      </c>
      <c r="AG21" s="1">
        <f t="shared" si="36"/>
        <v>0</v>
      </c>
      <c r="AH21" s="1">
        <f t="shared" si="37"/>
        <v>1</v>
      </c>
      <c r="AI21" s="1">
        <f t="shared" si="38"/>
        <v>0</v>
      </c>
    </row>
    <row r="22" spans="1:35" ht="14.25" customHeight="1" x14ac:dyDescent="0.25">
      <c r="A22" s="31">
        <v>0</v>
      </c>
      <c r="B22" s="31">
        <v>1</v>
      </c>
      <c r="C22" s="31">
        <v>1</v>
      </c>
      <c r="D22" s="32" t="s">
        <v>117</v>
      </c>
      <c r="E22" s="32" t="s">
        <v>170</v>
      </c>
      <c r="F22" s="32" t="s">
        <v>316</v>
      </c>
      <c r="G22" s="32" t="s">
        <v>39</v>
      </c>
      <c r="H22" s="32" t="s">
        <v>366</v>
      </c>
      <c r="I22" s="31" t="s">
        <v>462</v>
      </c>
      <c r="J22" s="31">
        <v>18</v>
      </c>
      <c r="K22" s="33" t="s">
        <v>943</v>
      </c>
      <c r="L22" s="33" t="s">
        <v>39</v>
      </c>
      <c r="M22" s="34" t="s">
        <v>39</v>
      </c>
      <c r="N22" s="34" t="s">
        <v>1687</v>
      </c>
      <c r="O22" s="35">
        <v>1</v>
      </c>
      <c r="P22" s="35">
        <v>1</v>
      </c>
      <c r="Q22" s="32"/>
      <c r="S22" s="1">
        <f t="shared" si="23"/>
        <v>0</v>
      </c>
      <c r="T22" s="1">
        <f t="shared" si="24"/>
        <v>0</v>
      </c>
      <c r="U22" s="1">
        <f t="shared" si="25"/>
        <v>0</v>
      </c>
      <c r="V22" s="1">
        <f t="shared" si="26"/>
        <v>0</v>
      </c>
      <c r="W22" s="1">
        <f t="shared" si="27"/>
        <v>0</v>
      </c>
      <c r="X22" s="1">
        <f t="shared" si="28"/>
        <v>0</v>
      </c>
      <c r="Y22" s="1">
        <f t="shared" si="29"/>
        <v>0</v>
      </c>
      <c r="Z22" s="1">
        <f t="shared" si="30"/>
        <v>0</v>
      </c>
      <c r="AA22" s="1">
        <f t="shared" si="31"/>
        <v>0</v>
      </c>
      <c r="AB22" s="1">
        <f t="shared" si="32"/>
        <v>0</v>
      </c>
      <c r="AD22" s="1">
        <f t="shared" si="33"/>
        <v>1</v>
      </c>
      <c r="AE22" s="1">
        <f t="shared" si="34"/>
        <v>0</v>
      </c>
      <c r="AF22" s="1">
        <f t="shared" si="35"/>
        <v>1</v>
      </c>
      <c r="AG22" s="1">
        <f t="shared" si="36"/>
        <v>0</v>
      </c>
      <c r="AH22" s="1">
        <f t="shared" si="37"/>
        <v>1</v>
      </c>
      <c r="AI22" s="1">
        <f t="shared" si="38"/>
        <v>0</v>
      </c>
    </row>
    <row r="23" spans="1:35" ht="14.25" customHeight="1" x14ac:dyDescent="0.25">
      <c r="A23" s="31">
        <v>0</v>
      </c>
      <c r="B23" s="31">
        <v>1</v>
      </c>
      <c r="C23" s="31">
        <v>1</v>
      </c>
      <c r="D23" s="32" t="s">
        <v>137</v>
      </c>
      <c r="E23" s="32" t="s">
        <v>673</v>
      </c>
      <c r="F23" s="32" t="s">
        <v>337</v>
      </c>
      <c r="G23" s="32" t="s">
        <v>1137</v>
      </c>
      <c r="H23" s="32" t="s">
        <v>352</v>
      </c>
      <c r="I23" s="31" t="s">
        <v>483</v>
      </c>
      <c r="J23" s="31">
        <v>1</v>
      </c>
      <c r="K23" s="33" t="s">
        <v>936</v>
      </c>
      <c r="L23" s="33" t="s">
        <v>1660</v>
      </c>
      <c r="M23" s="34" t="s">
        <v>1095</v>
      </c>
      <c r="N23" s="34" t="s">
        <v>1689</v>
      </c>
      <c r="O23" s="35">
        <v>1</v>
      </c>
      <c r="P23" s="35"/>
      <c r="Q23" s="32"/>
      <c r="S23" s="1">
        <f t="shared" si="23"/>
        <v>1</v>
      </c>
      <c r="T23" s="1">
        <f t="shared" si="24"/>
        <v>0</v>
      </c>
      <c r="U23" s="1">
        <f t="shared" si="25"/>
        <v>0</v>
      </c>
      <c r="V23" s="1">
        <f t="shared" si="26"/>
        <v>0</v>
      </c>
      <c r="W23" s="1">
        <f t="shared" si="27"/>
        <v>0</v>
      </c>
      <c r="X23" s="1">
        <f t="shared" si="28"/>
        <v>0</v>
      </c>
      <c r="Y23" s="1">
        <f t="shared" si="29"/>
        <v>0</v>
      </c>
      <c r="Z23" s="1">
        <f t="shared" si="30"/>
        <v>0</v>
      </c>
      <c r="AA23" s="1">
        <f t="shared" si="31"/>
        <v>0</v>
      </c>
      <c r="AB23" s="1">
        <f t="shared" si="32"/>
        <v>0</v>
      </c>
      <c r="AD23" s="1">
        <f t="shared" si="33"/>
        <v>0</v>
      </c>
      <c r="AE23" s="1">
        <f t="shared" si="34"/>
        <v>1</v>
      </c>
      <c r="AF23" s="1">
        <f t="shared" si="35"/>
        <v>0</v>
      </c>
      <c r="AG23" s="1">
        <f t="shared" si="36"/>
        <v>1</v>
      </c>
      <c r="AH23" s="1">
        <f t="shared" si="37"/>
        <v>0</v>
      </c>
      <c r="AI23" s="1">
        <f t="shared" si="38"/>
        <v>1</v>
      </c>
    </row>
    <row r="24" spans="1:35" ht="14.25" customHeight="1" x14ac:dyDescent="0.25">
      <c r="A24" s="31">
        <v>0</v>
      </c>
      <c r="B24" s="31">
        <v>1</v>
      </c>
      <c r="C24" s="31">
        <v>1</v>
      </c>
      <c r="D24" s="32" t="s">
        <v>1544</v>
      </c>
      <c r="E24" s="32" t="s">
        <v>170</v>
      </c>
      <c r="F24" s="32" t="s">
        <v>1545</v>
      </c>
      <c r="G24" s="32" t="s">
        <v>212</v>
      </c>
      <c r="H24" s="32" t="s">
        <v>352</v>
      </c>
      <c r="I24" s="31" t="s">
        <v>1546</v>
      </c>
      <c r="J24" s="31">
        <v>1</v>
      </c>
      <c r="K24" s="33" t="s">
        <v>942</v>
      </c>
      <c r="L24" s="33" t="s">
        <v>39</v>
      </c>
      <c r="M24" s="34" t="s">
        <v>39</v>
      </c>
      <c r="N24" s="34" t="s">
        <v>1681</v>
      </c>
      <c r="O24" s="35">
        <v>1</v>
      </c>
      <c r="P24" s="35">
        <v>1</v>
      </c>
      <c r="Q24" s="32"/>
      <c r="S24" s="1">
        <f t="shared" si="23"/>
        <v>1</v>
      </c>
      <c r="T24" s="1">
        <f t="shared" si="24"/>
        <v>0</v>
      </c>
      <c r="U24" s="1">
        <f t="shared" si="25"/>
        <v>0</v>
      </c>
      <c r="V24" s="1">
        <f t="shared" si="26"/>
        <v>0</v>
      </c>
      <c r="W24" s="1">
        <f t="shared" si="27"/>
        <v>0</v>
      </c>
      <c r="X24" s="1">
        <f t="shared" si="28"/>
        <v>0</v>
      </c>
      <c r="Y24" s="1">
        <f t="shared" si="29"/>
        <v>0</v>
      </c>
      <c r="Z24" s="1">
        <f t="shared" si="30"/>
        <v>0</v>
      </c>
      <c r="AA24" s="1">
        <f t="shared" si="31"/>
        <v>0</v>
      </c>
      <c r="AB24" s="1">
        <f t="shared" si="32"/>
        <v>0</v>
      </c>
      <c r="AD24" s="1">
        <f t="shared" si="33"/>
        <v>1</v>
      </c>
      <c r="AE24" s="1">
        <f t="shared" si="34"/>
        <v>0</v>
      </c>
      <c r="AF24" s="1">
        <f t="shared" si="35"/>
        <v>1</v>
      </c>
      <c r="AG24" s="1">
        <f t="shared" si="36"/>
        <v>0</v>
      </c>
      <c r="AH24" s="1">
        <f t="shared" si="37"/>
        <v>1</v>
      </c>
      <c r="AI24" s="1">
        <f t="shared" si="38"/>
        <v>0</v>
      </c>
    </row>
    <row r="25" spans="1:35" ht="14.25" customHeight="1" x14ac:dyDescent="0.25">
      <c r="A25" s="31">
        <v>0</v>
      </c>
      <c r="B25" s="31">
        <v>1</v>
      </c>
      <c r="C25" s="31">
        <v>1</v>
      </c>
      <c r="D25" s="32" t="s">
        <v>1027</v>
      </c>
      <c r="E25" s="32" t="s">
        <v>170</v>
      </c>
      <c r="F25" s="32" t="s">
        <v>1071</v>
      </c>
      <c r="G25" s="32" t="s">
        <v>1014</v>
      </c>
      <c r="H25" s="32" t="s">
        <v>352</v>
      </c>
      <c r="I25" s="31" t="s">
        <v>1028</v>
      </c>
      <c r="J25" s="31">
        <v>99</v>
      </c>
      <c r="K25" s="33" t="s">
        <v>724</v>
      </c>
      <c r="L25" s="33">
        <v>150</v>
      </c>
      <c r="M25" s="34" t="s">
        <v>39</v>
      </c>
      <c r="N25" s="34" t="s">
        <v>1694</v>
      </c>
      <c r="O25" s="35">
        <v>1</v>
      </c>
      <c r="P25" s="35"/>
      <c r="Q25" s="32"/>
      <c r="S25" s="1">
        <f t="shared" si="23"/>
        <v>0</v>
      </c>
      <c r="T25" s="1">
        <f t="shared" si="24"/>
        <v>0</v>
      </c>
      <c r="U25" s="1">
        <f t="shared" si="25"/>
        <v>0</v>
      </c>
      <c r="V25" s="1">
        <f t="shared" si="26"/>
        <v>0</v>
      </c>
      <c r="W25" s="1">
        <f t="shared" si="27"/>
        <v>0</v>
      </c>
      <c r="X25" s="1">
        <f t="shared" si="28"/>
        <v>0</v>
      </c>
      <c r="Y25" s="1">
        <f t="shared" si="29"/>
        <v>0</v>
      </c>
      <c r="Z25" s="1">
        <f t="shared" si="30"/>
        <v>0</v>
      </c>
      <c r="AA25" s="1">
        <f t="shared" si="31"/>
        <v>0</v>
      </c>
      <c r="AB25" s="1">
        <f t="shared" si="32"/>
        <v>0</v>
      </c>
      <c r="AD25" s="1">
        <f t="shared" si="33"/>
        <v>0</v>
      </c>
      <c r="AE25" s="1">
        <f t="shared" si="34"/>
        <v>1</v>
      </c>
      <c r="AF25" s="1">
        <f t="shared" si="35"/>
        <v>0</v>
      </c>
      <c r="AG25" s="1">
        <f t="shared" si="36"/>
        <v>1</v>
      </c>
      <c r="AH25" s="1">
        <f t="shared" si="37"/>
        <v>0</v>
      </c>
      <c r="AI25" s="1">
        <f t="shared" si="38"/>
        <v>1</v>
      </c>
    </row>
    <row r="26" spans="1:35" ht="14.25" customHeight="1" x14ac:dyDescent="0.25">
      <c r="A26" s="31">
        <v>0</v>
      </c>
      <c r="B26" s="31">
        <v>1</v>
      </c>
      <c r="C26" s="31">
        <v>1</v>
      </c>
      <c r="D26" s="32" t="s">
        <v>111</v>
      </c>
      <c r="E26" s="32" t="s">
        <v>169</v>
      </c>
      <c r="F26" s="32" t="s">
        <v>309</v>
      </c>
      <c r="G26" s="32" t="s">
        <v>39</v>
      </c>
      <c r="H26" s="32" t="s">
        <v>353</v>
      </c>
      <c r="I26" s="31" t="s">
        <v>457</v>
      </c>
      <c r="J26" s="31">
        <v>11</v>
      </c>
      <c r="K26" s="33" t="s">
        <v>724</v>
      </c>
      <c r="L26" s="33" t="s">
        <v>39</v>
      </c>
      <c r="M26" s="34" t="s">
        <v>39</v>
      </c>
      <c r="N26" s="34" t="s">
        <v>1687</v>
      </c>
      <c r="O26" s="35">
        <v>1</v>
      </c>
      <c r="P26" s="35">
        <v>1</v>
      </c>
      <c r="Q26" s="32" t="s">
        <v>2090</v>
      </c>
      <c r="S26" s="1">
        <f t="shared" si="23"/>
        <v>0</v>
      </c>
      <c r="T26" s="1">
        <f t="shared" si="24"/>
        <v>0</v>
      </c>
      <c r="U26" s="1">
        <f t="shared" si="25"/>
        <v>0</v>
      </c>
      <c r="V26" s="1">
        <f t="shared" si="26"/>
        <v>0</v>
      </c>
      <c r="W26" s="1">
        <f t="shared" si="27"/>
        <v>0</v>
      </c>
      <c r="X26" s="1">
        <f t="shared" si="28"/>
        <v>0</v>
      </c>
      <c r="Y26" s="1">
        <f t="shared" si="29"/>
        <v>0</v>
      </c>
      <c r="Z26" s="1">
        <f t="shared" si="30"/>
        <v>0</v>
      </c>
      <c r="AA26" s="1">
        <f t="shared" si="31"/>
        <v>0</v>
      </c>
      <c r="AB26" s="1">
        <f t="shared" si="32"/>
        <v>0</v>
      </c>
      <c r="AD26" s="1">
        <f t="shared" si="33"/>
        <v>1</v>
      </c>
      <c r="AE26" s="1">
        <f t="shared" si="34"/>
        <v>0</v>
      </c>
      <c r="AF26" s="1">
        <f t="shared" si="35"/>
        <v>1</v>
      </c>
      <c r="AG26" s="1">
        <f t="shared" si="36"/>
        <v>0</v>
      </c>
      <c r="AH26" s="1">
        <f t="shared" si="37"/>
        <v>1</v>
      </c>
      <c r="AI26" s="1">
        <f t="shared" si="38"/>
        <v>0</v>
      </c>
    </row>
    <row r="27" spans="1:35" ht="14.25" customHeight="1" x14ac:dyDescent="0.25">
      <c r="A27" s="31">
        <v>0</v>
      </c>
      <c r="B27" s="31">
        <v>1</v>
      </c>
      <c r="C27" s="31">
        <v>1</v>
      </c>
      <c r="D27" s="32" t="s">
        <v>102</v>
      </c>
      <c r="E27" s="32" t="s">
        <v>170</v>
      </c>
      <c r="F27" s="32" t="s">
        <v>299</v>
      </c>
      <c r="G27" s="32" t="s">
        <v>300</v>
      </c>
      <c r="H27" s="32" t="s">
        <v>352</v>
      </c>
      <c r="I27" s="31" t="s">
        <v>447</v>
      </c>
      <c r="J27" s="31">
        <v>1</v>
      </c>
      <c r="K27" s="33" t="s">
        <v>940</v>
      </c>
      <c r="L27" s="33" t="s">
        <v>1669</v>
      </c>
      <c r="M27" s="34" t="s">
        <v>1344</v>
      </c>
      <c r="N27" s="34" t="s">
        <v>1744</v>
      </c>
      <c r="O27" s="35">
        <v>1</v>
      </c>
      <c r="P27" s="35"/>
      <c r="Q27" s="32"/>
      <c r="S27" s="1">
        <f t="shared" si="23"/>
        <v>1</v>
      </c>
      <c r="T27" s="1">
        <f t="shared" si="24"/>
        <v>0</v>
      </c>
      <c r="U27" s="1">
        <f t="shared" si="25"/>
        <v>0</v>
      </c>
      <c r="V27" s="1">
        <f t="shared" si="26"/>
        <v>0</v>
      </c>
      <c r="W27" s="1">
        <f t="shared" si="27"/>
        <v>0</v>
      </c>
      <c r="X27" s="1">
        <f t="shared" si="28"/>
        <v>0</v>
      </c>
      <c r="Y27" s="1">
        <f t="shared" si="29"/>
        <v>0</v>
      </c>
      <c r="Z27" s="1">
        <f t="shared" si="30"/>
        <v>0</v>
      </c>
      <c r="AA27" s="1">
        <f t="shared" si="31"/>
        <v>0</v>
      </c>
      <c r="AB27" s="1">
        <f t="shared" si="32"/>
        <v>0</v>
      </c>
      <c r="AD27" s="1">
        <f t="shared" si="33"/>
        <v>0</v>
      </c>
      <c r="AE27" s="1">
        <f t="shared" si="34"/>
        <v>1</v>
      </c>
      <c r="AF27" s="1">
        <f t="shared" si="35"/>
        <v>0</v>
      </c>
      <c r="AG27" s="1">
        <f t="shared" si="36"/>
        <v>1</v>
      </c>
      <c r="AH27" s="1">
        <f t="shared" si="37"/>
        <v>0</v>
      </c>
      <c r="AI27" s="1">
        <f t="shared" si="38"/>
        <v>1</v>
      </c>
    </row>
    <row r="28" spans="1:35" ht="14.25" customHeight="1" x14ac:dyDescent="0.25">
      <c r="A28" s="31">
        <v>0</v>
      </c>
      <c r="B28" s="31">
        <v>1</v>
      </c>
      <c r="C28" s="31">
        <v>1</v>
      </c>
      <c r="D28" s="32" t="s">
        <v>113</v>
      </c>
      <c r="E28" s="32" t="s">
        <v>170</v>
      </c>
      <c r="F28" s="32" t="s">
        <v>311</v>
      </c>
      <c r="G28" s="32" t="s">
        <v>312</v>
      </c>
      <c r="H28" s="32" t="s">
        <v>352</v>
      </c>
      <c r="I28" s="31" t="s">
        <v>459</v>
      </c>
      <c r="J28" s="31">
        <v>1</v>
      </c>
      <c r="K28" s="33" t="s">
        <v>943</v>
      </c>
      <c r="L28" s="33" t="s">
        <v>39</v>
      </c>
      <c r="M28" s="34" t="s">
        <v>39</v>
      </c>
      <c r="N28" s="34" t="s">
        <v>1687</v>
      </c>
      <c r="O28" s="35">
        <v>1</v>
      </c>
      <c r="P28" s="35">
        <v>1</v>
      </c>
      <c r="Q28" s="32" t="s">
        <v>1852</v>
      </c>
      <c r="S28" s="1">
        <f t="shared" si="23"/>
        <v>1</v>
      </c>
      <c r="T28" s="1">
        <f t="shared" si="24"/>
        <v>0</v>
      </c>
      <c r="U28" s="1">
        <f t="shared" si="25"/>
        <v>0</v>
      </c>
      <c r="V28" s="1">
        <f t="shared" si="26"/>
        <v>0</v>
      </c>
      <c r="W28" s="1">
        <f t="shared" si="27"/>
        <v>0</v>
      </c>
      <c r="X28" s="1">
        <f t="shared" si="28"/>
        <v>0</v>
      </c>
      <c r="Y28" s="1">
        <f t="shared" si="29"/>
        <v>0</v>
      </c>
      <c r="Z28" s="1">
        <f t="shared" si="30"/>
        <v>0</v>
      </c>
      <c r="AA28" s="1">
        <f t="shared" si="31"/>
        <v>0</v>
      </c>
      <c r="AB28" s="1">
        <f t="shared" si="32"/>
        <v>0</v>
      </c>
      <c r="AD28" s="1">
        <f t="shared" si="33"/>
        <v>1</v>
      </c>
      <c r="AE28" s="1">
        <f t="shared" si="34"/>
        <v>0</v>
      </c>
      <c r="AF28" s="1">
        <f t="shared" si="35"/>
        <v>1</v>
      </c>
      <c r="AG28" s="1">
        <f t="shared" si="36"/>
        <v>0</v>
      </c>
      <c r="AH28" s="1">
        <f t="shared" si="37"/>
        <v>1</v>
      </c>
      <c r="AI28" s="1">
        <f t="shared" si="38"/>
        <v>0</v>
      </c>
    </row>
    <row r="29" spans="1:35" ht="14.25" customHeight="1" x14ac:dyDescent="0.25">
      <c r="A29" s="31">
        <v>0</v>
      </c>
      <c r="B29" s="31">
        <v>1</v>
      </c>
      <c r="C29" s="31">
        <v>1</v>
      </c>
      <c r="D29" s="32" t="s">
        <v>836</v>
      </c>
      <c r="E29" s="32" t="s">
        <v>170</v>
      </c>
      <c r="F29" s="32" t="s">
        <v>837</v>
      </c>
      <c r="G29" s="32" t="s">
        <v>219</v>
      </c>
      <c r="H29" s="32" t="s">
        <v>352</v>
      </c>
      <c r="I29" s="31" t="s">
        <v>838</v>
      </c>
      <c r="J29" s="31">
        <v>8</v>
      </c>
      <c r="K29" s="33" t="s">
        <v>940</v>
      </c>
      <c r="L29" s="33" t="s">
        <v>1664</v>
      </c>
      <c r="M29" s="34" t="s">
        <v>1516</v>
      </c>
      <c r="N29" s="34" t="s">
        <v>1701</v>
      </c>
      <c r="O29" s="35">
        <v>1</v>
      </c>
      <c r="P29" s="35"/>
      <c r="Q29" s="32"/>
      <c r="S29" s="1">
        <f t="shared" si="23"/>
        <v>0</v>
      </c>
      <c r="T29" s="1">
        <f t="shared" si="24"/>
        <v>0</v>
      </c>
      <c r="U29" s="1">
        <f t="shared" si="25"/>
        <v>0</v>
      </c>
      <c r="V29" s="1">
        <f t="shared" si="26"/>
        <v>0</v>
      </c>
      <c r="W29" s="1">
        <f t="shared" si="27"/>
        <v>0</v>
      </c>
      <c r="X29" s="1">
        <f t="shared" si="28"/>
        <v>0</v>
      </c>
      <c r="Y29" s="1">
        <f t="shared" si="29"/>
        <v>0</v>
      </c>
      <c r="Z29" s="1">
        <f t="shared" si="30"/>
        <v>1</v>
      </c>
      <c r="AA29" s="1">
        <f t="shared" si="31"/>
        <v>0</v>
      </c>
      <c r="AB29" s="1">
        <f t="shared" si="32"/>
        <v>0</v>
      </c>
      <c r="AD29" s="1">
        <f t="shared" si="33"/>
        <v>0</v>
      </c>
      <c r="AE29" s="1">
        <f t="shared" si="34"/>
        <v>1</v>
      </c>
      <c r="AF29" s="1">
        <f t="shared" si="35"/>
        <v>0</v>
      </c>
      <c r="AG29" s="1">
        <f t="shared" si="36"/>
        <v>1</v>
      </c>
      <c r="AH29" s="1">
        <f t="shared" si="37"/>
        <v>0</v>
      </c>
      <c r="AI29" s="1">
        <f t="shared" si="38"/>
        <v>1</v>
      </c>
    </row>
    <row r="30" spans="1:35" ht="14.25" customHeight="1" x14ac:dyDescent="0.25">
      <c r="A30" s="31">
        <v>0</v>
      </c>
      <c r="B30" s="31">
        <v>1</v>
      </c>
      <c r="C30" s="31">
        <v>1</v>
      </c>
      <c r="D30" s="32" t="s">
        <v>132</v>
      </c>
      <c r="E30" s="32" t="s">
        <v>170</v>
      </c>
      <c r="F30" s="32" t="s">
        <v>333</v>
      </c>
      <c r="G30" s="32" t="s">
        <v>39</v>
      </c>
      <c r="H30" s="32" t="s">
        <v>355</v>
      </c>
      <c r="I30" s="31" t="s">
        <v>479</v>
      </c>
      <c r="J30" s="31">
        <v>18</v>
      </c>
      <c r="K30" s="33" t="s">
        <v>936</v>
      </c>
      <c r="L30" s="33" t="s">
        <v>39</v>
      </c>
      <c r="M30" s="34" t="s">
        <v>39</v>
      </c>
      <c r="N30" s="34" t="s">
        <v>1687</v>
      </c>
      <c r="O30" s="35">
        <v>1</v>
      </c>
      <c r="P30" s="35">
        <v>1</v>
      </c>
      <c r="Q30" s="32"/>
      <c r="S30" s="1">
        <f t="shared" si="23"/>
        <v>0</v>
      </c>
      <c r="T30" s="1">
        <f t="shared" si="24"/>
        <v>0</v>
      </c>
      <c r="U30" s="1">
        <f t="shared" si="25"/>
        <v>0</v>
      </c>
      <c r="V30" s="1">
        <f t="shared" si="26"/>
        <v>0</v>
      </c>
      <c r="W30" s="1">
        <f t="shared" si="27"/>
        <v>0</v>
      </c>
      <c r="X30" s="1">
        <f t="shared" si="28"/>
        <v>0</v>
      </c>
      <c r="Y30" s="1">
        <f t="shared" si="29"/>
        <v>0</v>
      </c>
      <c r="Z30" s="1">
        <f t="shared" si="30"/>
        <v>0</v>
      </c>
      <c r="AA30" s="1">
        <f t="shared" si="31"/>
        <v>0</v>
      </c>
      <c r="AB30" s="1">
        <f t="shared" si="32"/>
        <v>0</v>
      </c>
      <c r="AD30" s="1">
        <f t="shared" si="33"/>
        <v>1</v>
      </c>
      <c r="AE30" s="1">
        <f t="shared" si="34"/>
        <v>0</v>
      </c>
      <c r="AF30" s="1">
        <f t="shared" si="35"/>
        <v>1</v>
      </c>
      <c r="AG30" s="1">
        <f t="shared" si="36"/>
        <v>0</v>
      </c>
      <c r="AH30" s="1">
        <f t="shared" si="37"/>
        <v>1</v>
      </c>
      <c r="AI30" s="1">
        <f t="shared" si="38"/>
        <v>0</v>
      </c>
    </row>
    <row r="31" spans="1:35" ht="14.25" customHeight="1" x14ac:dyDescent="0.25">
      <c r="A31" s="31">
        <v>0</v>
      </c>
      <c r="B31" s="31">
        <v>1</v>
      </c>
      <c r="C31" s="31">
        <v>1</v>
      </c>
      <c r="D31" s="32" t="s">
        <v>143</v>
      </c>
      <c r="E31" s="32" t="s">
        <v>173</v>
      </c>
      <c r="F31" s="32" t="s">
        <v>344</v>
      </c>
      <c r="G31" s="32" t="s">
        <v>39</v>
      </c>
      <c r="H31" s="32" t="s">
        <v>365</v>
      </c>
      <c r="I31" s="31" t="s">
        <v>489</v>
      </c>
      <c r="J31" s="31">
        <v>18</v>
      </c>
      <c r="K31" s="33" t="s">
        <v>940</v>
      </c>
      <c r="L31" s="33">
        <v>70</v>
      </c>
      <c r="M31" s="34" t="s">
        <v>1345</v>
      </c>
      <c r="N31" s="34" t="s">
        <v>1694</v>
      </c>
      <c r="O31" s="35">
        <v>1</v>
      </c>
      <c r="P31" s="35"/>
      <c r="Q31" s="32" t="s">
        <v>1846</v>
      </c>
      <c r="S31" s="1">
        <f t="shared" si="23"/>
        <v>0</v>
      </c>
      <c r="T31" s="1">
        <f t="shared" si="24"/>
        <v>0</v>
      </c>
      <c r="U31" s="1">
        <f t="shared" si="25"/>
        <v>0</v>
      </c>
      <c r="V31" s="1">
        <f t="shared" si="26"/>
        <v>0</v>
      </c>
      <c r="W31" s="1">
        <f t="shared" si="27"/>
        <v>0</v>
      </c>
      <c r="X31" s="1">
        <f t="shared" si="28"/>
        <v>0</v>
      </c>
      <c r="Y31" s="1">
        <f t="shared" si="29"/>
        <v>0</v>
      </c>
      <c r="Z31" s="1">
        <f t="shared" si="30"/>
        <v>0</v>
      </c>
      <c r="AA31" s="1">
        <f t="shared" si="31"/>
        <v>0</v>
      </c>
      <c r="AB31" s="1">
        <f t="shared" si="32"/>
        <v>0</v>
      </c>
      <c r="AD31" s="1">
        <f t="shared" si="33"/>
        <v>0</v>
      </c>
      <c r="AE31" s="1">
        <f t="shared" si="34"/>
        <v>1</v>
      </c>
      <c r="AF31" s="1">
        <f t="shared" si="35"/>
        <v>0</v>
      </c>
      <c r="AG31" s="1">
        <f t="shared" si="36"/>
        <v>1</v>
      </c>
      <c r="AH31" s="1">
        <f t="shared" si="37"/>
        <v>0</v>
      </c>
      <c r="AI31" s="1">
        <f t="shared" si="38"/>
        <v>1</v>
      </c>
    </row>
    <row r="32" spans="1:35" ht="14.25" customHeight="1" x14ac:dyDescent="0.25">
      <c r="A32" s="31">
        <v>0</v>
      </c>
      <c r="B32" s="31">
        <v>1</v>
      </c>
      <c r="C32" s="31">
        <v>1</v>
      </c>
      <c r="D32" s="36" t="s">
        <v>151</v>
      </c>
      <c r="E32" s="36" t="s">
        <v>170</v>
      </c>
      <c r="F32" s="36" t="s">
        <v>350</v>
      </c>
      <c r="G32" s="36" t="s">
        <v>193</v>
      </c>
      <c r="H32" s="36" t="s">
        <v>352</v>
      </c>
      <c r="I32" s="37" t="s">
        <v>496</v>
      </c>
      <c r="J32" s="31">
        <v>9</v>
      </c>
      <c r="K32" s="33" t="s">
        <v>936</v>
      </c>
      <c r="L32" s="33" t="s">
        <v>1660</v>
      </c>
      <c r="M32" s="34" t="s">
        <v>1346</v>
      </c>
      <c r="N32" s="34" t="s">
        <v>1701</v>
      </c>
      <c r="O32" s="35">
        <v>1</v>
      </c>
      <c r="P32" s="35"/>
      <c r="Q32" s="36"/>
      <c r="S32" s="1">
        <f t="shared" si="23"/>
        <v>0</v>
      </c>
      <c r="T32" s="1">
        <f t="shared" si="24"/>
        <v>0</v>
      </c>
      <c r="U32" s="1">
        <f t="shared" si="25"/>
        <v>0</v>
      </c>
      <c r="V32" s="1">
        <f t="shared" si="26"/>
        <v>0</v>
      </c>
      <c r="W32" s="1">
        <f t="shared" si="27"/>
        <v>0</v>
      </c>
      <c r="X32" s="1">
        <f t="shared" si="28"/>
        <v>0</v>
      </c>
      <c r="Y32" s="1">
        <f t="shared" si="29"/>
        <v>0</v>
      </c>
      <c r="Z32" s="1">
        <f t="shared" si="30"/>
        <v>0</v>
      </c>
      <c r="AA32" s="1">
        <f t="shared" si="31"/>
        <v>1</v>
      </c>
      <c r="AB32" s="1">
        <f t="shared" si="32"/>
        <v>0</v>
      </c>
      <c r="AD32" s="1">
        <f t="shared" si="33"/>
        <v>0</v>
      </c>
      <c r="AE32" s="1">
        <f t="shared" si="34"/>
        <v>1</v>
      </c>
      <c r="AF32" s="1">
        <f t="shared" si="35"/>
        <v>0</v>
      </c>
      <c r="AG32" s="1">
        <f t="shared" si="36"/>
        <v>1</v>
      </c>
      <c r="AH32" s="1">
        <f t="shared" si="37"/>
        <v>0</v>
      </c>
      <c r="AI32" s="1">
        <f t="shared" si="38"/>
        <v>1</v>
      </c>
    </row>
    <row r="33" spans="1:35" ht="14.25" customHeight="1" x14ac:dyDescent="0.25">
      <c r="A33" s="31">
        <v>0</v>
      </c>
      <c r="B33" s="31">
        <v>1</v>
      </c>
      <c r="C33" s="31">
        <v>2</v>
      </c>
      <c r="D33" s="36" t="s">
        <v>1505</v>
      </c>
      <c r="E33" s="36" t="s">
        <v>1214</v>
      </c>
      <c r="F33" s="36" t="s">
        <v>1506</v>
      </c>
      <c r="G33" s="36" t="s">
        <v>257</v>
      </c>
      <c r="H33" s="36" t="s">
        <v>352</v>
      </c>
      <c r="I33" s="37" t="s">
        <v>470</v>
      </c>
      <c r="J33" s="31">
        <v>8</v>
      </c>
      <c r="K33" s="33" t="s">
        <v>693</v>
      </c>
      <c r="L33" s="33" t="s">
        <v>680</v>
      </c>
      <c r="M33" s="34" t="s">
        <v>681</v>
      </c>
      <c r="N33" s="34" t="s">
        <v>1733</v>
      </c>
      <c r="O33" s="35">
        <v>1</v>
      </c>
      <c r="P33" s="35"/>
      <c r="Q33" s="36"/>
      <c r="S33" s="1">
        <f t="shared" si="23"/>
        <v>0</v>
      </c>
      <c r="T33" s="1">
        <f t="shared" si="24"/>
        <v>0</v>
      </c>
      <c r="U33" s="1">
        <f t="shared" si="25"/>
        <v>0</v>
      </c>
      <c r="V33" s="1">
        <f t="shared" si="26"/>
        <v>0</v>
      </c>
      <c r="W33" s="1">
        <f t="shared" si="27"/>
        <v>0</v>
      </c>
      <c r="X33" s="1">
        <f t="shared" si="28"/>
        <v>0</v>
      </c>
      <c r="Y33" s="1">
        <f t="shared" si="29"/>
        <v>0</v>
      </c>
      <c r="Z33" s="1">
        <f t="shared" si="30"/>
        <v>1</v>
      </c>
      <c r="AA33" s="1">
        <f t="shared" si="31"/>
        <v>0</v>
      </c>
      <c r="AB33" s="1">
        <f t="shared" si="32"/>
        <v>0</v>
      </c>
      <c r="AD33" s="1">
        <f t="shared" si="33"/>
        <v>0</v>
      </c>
      <c r="AE33" s="1">
        <f t="shared" si="34"/>
        <v>1</v>
      </c>
      <c r="AF33" s="1">
        <f t="shared" si="35"/>
        <v>0</v>
      </c>
      <c r="AG33" s="1">
        <f t="shared" si="36"/>
        <v>1</v>
      </c>
      <c r="AH33" s="1">
        <f t="shared" si="37"/>
        <v>0</v>
      </c>
      <c r="AI33" s="1">
        <f t="shared" si="38"/>
        <v>1</v>
      </c>
    </row>
    <row r="34" spans="1:35" ht="14.25" customHeight="1" x14ac:dyDescent="0.25">
      <c r="A34" s="31">
        <v>0</v>
      </c>
      <c r="B34" s="31">
        <v>1</v>
      </c>
      <c r="C34" s="31">
        <v>2</v>
      </c>
      <c r="D34" s="36" t="s">
        <v>1424</v>
      </c>
      <c r="E34" s="36" t="s">
        <v>1426</v>
      </c>
      <c r="F34" s="36" t="s">
        <v>1425</v>
      </c>
      <c r="G34" s="36"/>
      <c r="H34" s="36" t="s">
        <v>1109</v>
      </c>
      <c r="I34" s="37" t="s">
        <v>1427</v>
      </c>
      <c r="J34" s="31">
        <v>99</v>
      </c>
      <c r="K34" s="33" t="s">
        <v>694</v>
      </c>
      <c r="L34" s="33"/>
      <c r="M34" s="34"/>
      <c r="N34" s="34" t="s">
        <v>1681</v>
      </c>
      <c r="O34" s="35">
        <v>1</v>
      </c>
      <c r="P34" s="35">
        <v>1</v>
      </c>
      <c r="Q34" s="36" t="s">
        <v>1860</v>
      </c>
      <c r="S34" s="1">
        <f t="shared" si="23"/>
        <v>0</v>
      </c>
      <c r="T34" s="1">
        <f t="shared" si="24"/>
        <v>0</v>
      </c>
      <c r="U34" s="1">
        <f t="shared" si="25"/>
        <v>0</v>
      </c>
      <c r="V34" s="1">
        <f t="shared" si="26"/>
        <v>0</v>
      </c>
      <c r="W34" s="1">
        <f t="shared" si="27"/>
        <v>0</v>
      </c>
      <c r="X34" s="1">
        <f t="shared" si="28"/>
        <v>0</v>
      </c>
      <c r="Y34" s="1">
        <f t="shared" si="29"/>
        <v>0</v>
      </c>
      <c r="Z34" s="1">
        <f t="shared" si="30"/>
        <v>0</v>
      </c>
      <c r="AA34" s="1">
        <f t="shared" si="31"/>
        <v>0</v>
      </c>
      <c r="AB34" s="1">
        <f t="shared" si="32"/>
        <v>0</v>
      </c>
      <c r="AD34" s="1">
        <f t="shared" si="33"/>
        <v>1</v>
      </c>
      <c r="AE34" s="1">
        <f t="shared" si="34"/>
        <v>0</v>
      </c>
      <c r="AF34" s="1">
        <f t="shared" si="35"/>
        <v>1</v>
      </c>
      <c r="AG34" s="1">
        <f t="shared" si="36"/>
        <v>0</v>
      </c>
      <c r="AH34" s="1">
        <f t="shared" si="37"/>
        <v>1</v>
      </c>
      <c r="AI34" s="1">
        <f t="shared" si="38"/>
        <v>0</v>
      </c>
    </row>
    <row r="35" spans="1:35" ht="14.25" customHeight="1" x14ac:dyDescent="0.25">
      <c r="A35" s="46">
        <v>0</v>
      </c>
      <c r="B35" s="46">
        <v>1</v>
      </c>
      <c r="C35" s="46">
        <v>2</v>
      </c>
      <c r="D35" s="47" t="s">
        <v>588</v>
      </c>
      <c r="E35" s="47" t="s">
        <v>174</v>
      </c>
      <c r="F35" s="47" t="s">
        <v>589</v>
      </c>
      <c r="G35" s="47" t="s">
        <v>250</v>
      </c>
      <c r="H35" s="47" t="s">
        <v>352</v>
      </c>
      <c r="I35" s="46" t="s">
        <v>590</v>
      </c>
      <c r="J35" s="46">
        <v>99</v>
      </c>
      <c r="K35" s="48" t="s">
        <v>932</v>
      </c>
      <c r="L35" s="48" t="s">
        <v>680</v>
      </c>
      <c r="M35" s="49" t="s">
        <v>1347</v>
      </c>
      <c r="N35" s="50"/>
      <c r="O35" s="51"/>
      <c r="P35" s="51"/>
      <c r="Q35" s="47"/>
      <c r="S35" s="1">
        <f t="shared" si="23"/>
        <v>0</v>
      </c>
      <c r="T35" s="1">
        <f t="shared" si="24"/>
        <v>0</v>
      </c>
      <c r="U35" s="1">
        <f t="shared" si="25"/>
        <v>0</v>
      </c>
      <c r="V35" s="1">
        <f t="shared" si="26"/>
        <v>0</v>
      </c>
      <c r="W35" s="1">
        <f t="shared" si="27"/>
        <v>0</v>
      </c>
      <c r="X35" s="1">
        <f t="shared" si="28"/>
        <v>0</v>
      </c>
      <c r="Y35" s="1">
        <f t="shared" si="29"/>
        <v>0</v>
      </c>
      <c r="Z35" s="1">
        <f t="shared" si="30"/>
        <v>0</v>
      </c>
      <c r="AA35" s="1">
        <f t="shared" si="31"/>
        <v>0</v>
      </c>
      <c r="AB35" s="1">
        <f t="shared" si="32"/>
        <v>0</v>
      </c>
      <c r="AD35" s="1">
        <f t="shared" si="33"/>
        <v>0</v>
      </c>
      <c r="AE35" s="1">
        <f t="shared" si="34"/>
        <v>0</v>
      </c>
      <c r="AF35" s="1">
        <f t="shared" si="35"/>
        <v>0</v>
      </c>
      <c r="AG35" s="1">
        <f t="shared" si="36"/>
        <v>0</v>
      </c>
      <c r="AH35" s="1">
        <f t="shared" si="37"/>
        <v>0</v>
      </c>
      <c r="AI35" s="1">
        <f t="shared" si="38"/>
        <v>1</v>
      </c>
    </row>
    <row r="36" spans="1:35" ht="14.25" customHeight="1" x14ac:dyDescent="0.25">
      <c r="A36" s="31">
        <v>0</v>
      </c>
      <c r="B36" s="31">
        <v>1</v>
      </c>
      <c r="C36" s="31">
        <v>2</v>
      </c>
      <c r="D36" s="36" t="s">
        <v>112</v>
      </c>
      <c r="E36" s="36" t="s">
        <v>174</v>
      </c>
      <c r="F36" s="36" t="s">
        <v>1809</v>
      </c>
      <c r="G36" s="36" t="s">
        <v>310</v>
      </c>
      <c r="H36" s="36" t="s">
        <v>352</v>
      </c>
      <c r="I36" s="37" t="s">
        <v>458</v>
      </c>
      <c r="J36" s="31">
        <v>99</v>
      </c>
      <c r="K36" s="33" t="s">
        <v>693</v>
      </c>
      <c r="L36" s="33" t="s">
        <v>680</v>
      </c>
      <c r="M36" s="34" t="s">
        <v>682</v>
      </c>
      <c r="N36" s="34" t="s">
        <v>1766</v>
      </c>
      <c r="O36" s="35">
        <v>1</v>
      </c>
      <c r="P36" s="35"/>
      <c r="Q36" s="36"/>
      <c r="S36" s="1">
        <f t="shared" si="23"/>
        <v>0</v>
      </c>
      <c r="T36" s="1">
        <f t="shared" si="24"/>
        <v>0</v>
      </c>
      <c r="U36" s="1">
        <f t="shared" si="25"/>
        <v>0</v>
      </c>
      <c r="V36" s="1">
        <f t="shared" si="26"/>
        <v>0</v>
      </c>
      <c r="W36" s="1">
        <f t="shared" si="27"/>
        <v>0</v>
      </c>
      <c r="X36" s="1">
        <f t="shared" si="28"/>
        <v>0</v>
      </c>
      <c r="Y36" s="1">
        <f t="shared" si="29"/>
        <v>0</v>
      </c>
      <c r="Z36" s="1">
        <f t="shared" si="30"/>
        <v>0</v>
      </c>
      <c r="AA36" s="1">
        <f t="shared" si="31"/>
        <v>0</v>
      </c>
      <c r="AB36" s="1">
        <f t="shared" si="32"/>
        <v>0</v>
      </c>
      <c r="AD36" s="1">
        <f t="shared" si="33"/>
        <v>0</v>
      </c>
      <c r="AE36" s="1">
        <f t="shared" si="34"/>
        <v>1</v>
      </c>
      <c r="AF36" s="1">
        <f t="shared" si="35"/>
        <v>0</v>
      </c>
      <c r="AG36" s="1">
        <f t="shared" si="36"/>
        <v>1</v>
      </c>
      <c r="AH36" s="1">
        <f t="shared" si="37"/>
        <v>0</v>
      </c>
      <c r="AI36" s="1">
        <f t="shared" si="38"/>
        <v>1</v>
      </c>
    </row>
    <row r="37" spans="1:35" ht="14.25" customHeight="1" x14ac:dyDescent="0.25">
      <c r="A37" s="31">
        <v>0</v>
      </c>
      <c r="B37" s="31">
        <v>1</v>
      </c>
      <c r="C37" s="31">
        <v>2</v>
      </c>
      <c r="D37" s="36" t="s">
        <v>1707</v>
      </c>
      <c r="E37" s="36" t="s">
        <v>154</v>
      </c>
      <c r="F37" s="36" t="s">
        <v>1708</v>
      </c>
      <c r="G37" s="36"/>
      <c r="H37" s="36" t="s">
        <v>1709</v>
      </c>
      <c r="I37" s="37" t="s">
        <v>1710</v>
      </c>
      <c r="J37" s="31">
        <v>18</v>
      </c>
      <c r="K37" s="33" t="s">
        <v>694</v>
      </c>
      <c r="L37" s="33">
        <v>55</v>
      </c>
      <c r="M37" s="34" t="s">
        <v>1439</v>
      </c>
      <c r="N37" s="34" t="s">
        <v>1687</v>
      </c>
      <c r="O37" s="35">
        <v>1</v>
      </c>
      <c r="P37" s="35">
        <v>1</v>
      </c>
      <c r="Q37" s="36"/>
      <c r="S37" s="1">
        <f t="shared" si="23"/>
        <v>0</v>
      </c>
      <c r="T37" s="1">
        <f t="shared" si="24"/>
        <v>0</v>
      </c>
      <c r="U37" s="1">
        <f t="shared" si="25"/>
        <v>0</v>
      </c>
      <c r="V37" s="1">
        <f t="shared" si="26"/>
        <v>0</v>
      </c>
      <c r="W37" s="1">
        <f t="shared" si="27"/>
        <v>0</v>
      </c>
      <c r="X37" s="1">
        <f t="shared" si="28"/>
        <v>0</v>
      </c>
      <c r="Y37" s="1">
        <f t="shared" si="29"/>
        <v>0</v>
      </c>
      <c r="Z37" s="1">
        <f t="shared" si="30"/>
        <v>0</v>
      </c>
      <c r="AA37" s="1">
        <f t="shared" si="31"/>
        <v>0</v>
      </c>
      <c r="AB37" s="1">
        <f t="shared" si="32"/>
        <v>0</v>
      </c>
      <c r="AD37" s="1">
        <f t="shared" si="33"/>
        <v>1</v>
      </c>
      <c r="AE37" s="1">
        <f t="shared" si="34"/>
        <v>0</v>
      </c>
      <c r="AF37" s="1">
        <f t="shared" si="35"/>
        <v>1</v>
      </c>
      <c r="AG37" s="1">
        <f t="shared" si="36"/>
        <v>0</v>
      </c>
      <c r="AH37" s="1">
        <f t="shared" si="37"/>
        <v>1</v>
      </c>
      <c r="AI37" s="1">
        <f t="shared" si="38"/>
        <v>0</v>
      </c>
    </row>
    <row r="38" spans="1:35" ht="14.25" customHeight="1" x14ac:dyDescent="0.25">
      <c r="A38" s="31">
        <v>0</v>
      </c>
      <c r="B38" s="31">
        <v>1</v>
      </c>
      <c r="C38" s="31">
        <v>2</v>
      </c>
      <c r="D38" s="36" t="s">
        <v>591</v>
      </c>
      <c r="E38" s="36" t="s">
        <v>174</v>
      </c>
      <c r="F38" s="36" t="s">
        <v>592</v>
      </c>
      <c r="G38" s="36" t="s">
        <v>566</v>
      </c>
      <c r="H38" s="36" t="s">
        <v>352</v>
      </c>
      <c r="I38" s="37" t="s">
        <v>593</v>
      </c>
      <c r="J38" s="31">
        <v>1</v>
      </c>
      <c r="K38" s="33" t="s">
        <v>932</v>
      </c>
      <c r="L38" s="33" t="s">
        <v>1657</v>
      </c>
      <c r="M38" s="34" t="s">
        <v>1346</v>
      </c>
      <c r="N38" s="34" t="s">
        <v>1693</v>
      </c>
      <c r="O38" s="35">
        <v>1</v>
      </c>
      <c r="P38" s="35"/>
      <c r="Q38" s="36"/>
      <c r="S38" s="1">
        <f t="shared" si="23"/>
        <v>1</v>
      </c>
      <c r="T38" s="1">
        <f t="shared" si="24"/>
        <v>0</v>
      </c>
      <c r="U38" s="1">
        <f t="shared" si="25"/>
        <v>0</v>
      </c>
      <c r="V38" s="1">
        <f t="shared" si="26"/>
        <v>0</v>
      </c>
      <c r="W38" s="1">
        <f t="shared" si="27"/>
        <v>0</v>
      </c>
      <c r="X38" s="1">
        <f t="shared" si="28"/>
        <v>0</v>
      </c>
      <c r="Y38" s="1">
        <f t="shared" si="29"/>
        <v>0</v>
      </c>
      <c r="Z38" s="1">
        <f t="shared" si="30"/>
        <v>0</v>
      </c>
      <c r="AA38" s="1">
        <f t="shared" si="31"/>
        <v>0</v>
      </c>
      <c r="AB38" s="1">
        <f t="shared" si="32"/>
        <v>0</v>
      </c>
      <c r="AD38" s="1">
        <f t="shared" si="33"/>
        <v>0</v>
      </c>
      <c r="AE38" s="1">
        <f t="shared" si="34"/>
        <v>1</v>
      </c>
      <c r="AF38" s="1">
        <f t="shared" si="35"/>
        <v>0</v>
      </c>
      <c r="AG38" s="1">
        <f t="shared" si="36"/>
        <v>1</v>
      </c>
      <c r="AH38" s="1">
        <f t="shared" si="37"/>
        <v>0</v>
      </c>
      <c r="AI38" s="1">
        <f t="shared" si="38"/>
        <v>1</v>
      </c>
    </row>
    <row r="39" spans="1:35" ht="14.25" customHeight="1" x14ac:dyDescent="0.25">
      <c r="A39" s="31">
        <v>0</v>
      </c>
      <c r="B39" s="31">
        <v>1</v>
      </c>
      <c r="C39" s="31">
        <v>2</v>
      </c>
      <c r="D39" s="36" t="s">
        <v>1696</v>
      </c>
      <c r="E39" s="36" t="s">
        <v>1697</v>
      </c>
      <c r="F39" s="36" t="s">
        <v>1698</v>
      </c>
      <c r="G39" s="36" t="s">
        <v>319</v>
      </c>
      <c r="H39" s="36" t="s">
        <v>352</v>
      </c>
      <c r="I39" s="37" t="s">
        <v>1699</v>
      </c>
      <c r="J39" s="31">
        <v>99</v>
      </c>
      <c r="K39" s="33" t="s">
        <v>694</v>
      </c>
      <c r="L39" s="33"/>
      <c r="M39" s="34"/>
      <c r="N39" s="34" t="s">
        <v>1687</v>
      </c>
      <c r="O39" s="35">
        <v>1</v>
      </c>
      <c r="P39" s="35">
        <v>1</v>
      </c>
      <c r="Q39" s="36"/>
      <c r="S39" s="1">
        <f t="shared" si="23"/>
        <v>0</v>
      </c>
      <c r="T39" s="1">
        <f t="shared" si="24"/>
        <v>0</v>
      </c>
      <c r="U39" s="1">
        <f t="shared" si="25"/>
        <v>0</v>
      </c>
      <c r="V39" s="1">
        <f t="shared" si="26"/>
        <v>0</v>
      </c>
      <c r="W39" s="1">
        <f t="shared" si="27"/>
        <v>0</v>
      </c>
      <c r="X39" s="1">
        <f t="shared" si="28"/>
        <v>0</v>
      </c>
      <c r="Y39" s="1">
        <f t="shared" si="29"/>
        <v>0</v>
      </c>
      <c r="Z39" s="1">
        <f t="shared" si="30"/>
        <v>0</v>
      </c>
      <c r="AA39" s="1">
        <f t="shared" si="31"/>
        <v>0</v>
      </c>
      <c r="AB39" s="1">
        <f t="shared" si="32"/>
        <v>0</v>
      </c>
      <c r="AD39" s="1">
        <f t="shared" si="33"/>
        <v>1</v>
      </c>
      <c r="AE39" s="1">
        <f t="shared" si="34"/>
        <v>0</v>
      </c>
      <c r="AF39" s="1">
        <f t="shared" si="35"/>
        <v>1</v>
      </c>
      <c r="AG39" s="1">
        <f t="shared" si="36"/>
        <v>0</v>
      </c>
      <c r="AH39" s="1">
        <f t="shared" si="37"/>
        <v>1</v>
      </c>
      <c r="AI39" s="1">
        <f t="shared" si="38"/>
        <v>0</v>
      </c>
    </row>
    <row r="40" spans="1:35" ht="14.25" customHeight="1" x14ac:dyDescent="0.25">
      <c r="A40" s="31">
        <v>0</v>
      </c>
      <c r="B40" s="31">
        <v>1</v>
      </c>
      <c r="C40" s="31">
        <v>2</v>
      </c>
      <c r="D40" s="36" t="s">
        <v>634</v>
      </c>
      <c r="E40" s="36" t="s">
        <v>174</v>
      </c>
      <c r="F40" s="36" t="s">
        <v>635</v>
      </c>
      <c r="G40" s="36" t="s">
        <v>219</v>
      </c>
      <c r="H40" s="36" t="s">
        <v>352</v>
      </c>
      <c r="I40" s="37" t="s">
        <v>1087</v>
      </c>
      <c r="J40" s="31">
        <v>8</v>
      </c>
      <c r="K40" s="33" t="s">
        <v>932</v>
      </c>
      <c r="L40" s="33" t="s">
        <v>1654</v>
      </c>
      <c r="M40" s="34" t="s">
        <v>1341</v>
      </c>
      <c r="N40" s="34" t="s">
        <v>1790</v>
      </c>
      <c r="O40" s="35">
        <v>1</v>
      </c>
      <c r="P40" s="35"/>
      <c r="Q40" s="36"/>
      <c r="S40" s="1">
        <f t="shared" si="23"/>
        <v>0</v>
      </c>
      <c r="T40" s="1">
        <f t="shared" si="24"/>
        <v>0</v>
      </c>
      <c r="U40" s="1">
        <f t="shared" si="25"/>
        <v>0</v>
      </c>
      <c r="V40" s="1">
        <f t="shared" si="26"/>
        <v>0</v>
      </c>
      <c r="W40" s="1">
        <f t="shared" si="27"/>
        <v>0</v>
      </c>
      <c r="X40" s="1">
        <f t="shared" si="28"/>
        <v>0</v>
      </c>
      <c r="Y40" s="1">
        <f t="shared" si="29"/>
        <v>0</v>
      </c>
      <c r="Z40" s="1">
        <f t="shared" si="30"/>
        <v>1</v>
      </c>
      <c r="AA40" s="1">
        <f t="shared" si="31"/>
        <v>0</v>
      </c>
      <c r="AB40" s="1">
        <f t="shared" si="32"/>
        <v>0</v>
      </c>
      <c r="AD40" s="1">
        <f t="shared" si="33"/>
        <v>0</v>
      </c>
      <c r="AE40" s="1">
        <f t="shared" si="34"/>
        <v>1</v>
      </c>
      <c r="AF40" s="1">
        <f t="shared" si="35"/>
        <v>0</v>
      </c>
      <c r="AG40" s="1">
        <f t="shared" si="36"/>
        <v>1</v>
      </c>
      <c r="AH40" s="1">
        <f t="shared" si="37"/>
        <v>0</v>
      </c>
      <c r="AI40" s="1">
        <f t="shared" si="38"/>
        <v>1</v>
      </c>
    </row>
    <row r="41" spans="1:35" ht="14.25" customHeight="1" x14ac:dyDescent="0.25">
      <c r="A41" s="31">
        <v>0</v>
      </c>
      <c r="B41" s="31">
        <v>1</v>
      </c>
      <c r="C41" s="31">
        <v>2</v>
      </c>
      <c r="D41" s="36" t="s">
        <v>1469</v>
      </c>
      <c r="E41" s="36" t="s">
        <v>174</v>
      </c>
      <c r="F41" s="36" t="s">
        <v>1616</v>
      </c>
      <c r="G41" s="36" t="s">
        <v>1471</v>
      </c>
      <c r="H41" s="36" t="s">
        <v>352</v>
      </c>
      <c r="I41" s="37" t="s">
        <v>1470</v>
      </c>
      <c r="J41" s="31">
        <v>99</v>
      </c>
      <c r="K41" s="33" t="s">
        <v>933</v>
      </c>
      <c r="L41" s="33" t="s">
        <v>39</v>
      </c>
      <c r="M41" s="34" t="s">
        <v>39</v>
      </c>
      <c r="N41" s="34" t="s">
        <v>1681</v>
      </c>
      <c r="O41" s="35">
        <v>1</v>
      </c>
      <c r="P41" s="35">
        <v>1</v>
      </c>
      <c r="Q41" s="36"/>
      <c r="S41" s="1">
        <f t="shared" si="23"/>
        <v>0</v>
      </c>
      <c r="T41" s="1">
        <f t="shared" si="24"/>
        <v>0</v>
      </c>
      <c r="U41" s="1">
        <f t="shared" si="25"/>
        <v>0</v>
      </c>
      <c r="V41" s="1">
        <f t="shared" si="26"/>
        <v>0</v>
      </c>
      <c r="W41" s="1">
        <f t="shared" si="27"/>
        <v>0</v>
      </c>
      <c r="X41" s="1">
        <f t="shared" si="28"/>
        <v>0</v>
      </c>
      <c r="Y41" s="1">
        <f t="shared" si="29"/>
        <v>0</v>
      </c>
      <c r="Z41" s="1">
        <f t="shared" si="30"/>
        <v>0</v>
      </c>
      <c r="AA41" s="1">
        <f t="shared" si="31"/>
        <v>0</v>
      </c>
      <c r="AB41" s="1">
        <f t="shared" si="32"/>
        <v>0</v>
      </c>
      <c r="AD41" s="1">
        <f t="shared" si="33"/>
        <v>1</v>
      </c>
      <c r="AE41" s="1">
        <f t="shared" si="34"/>
        <v>0</v>
      </c>
      <c r="AF41" s="1">
        <f t="shared" si="35"/>
        <v>1</v>
      </c>
      <c r="AG41" s="1">
        <f t="shared" si="36"/>
        <v>0</v>
      </c>
      <c r="AH41" s="1">
        <f t="shared" si="37"/>
        <v>1</v>
      </c>
      <c r="AI41" s="1">
        <f t="shared" si="38"/>
        <v>0</v>
      </c>
    </row>
    <row r="42" spans="1:35" ht="14.25" customHeight="1" x14ac:dyDescent="0.25">
      <c r="A42" s="31">
        <v>0</v>
      </c>
      <c r="B42" s="31">
        <v>1</v>
      </c>
      <c r="C42" s="31">
        <v>2</v>
      </c>
      <c r="D42" s="32" t="s">
        <v>860</v>
      </c>
      <c r="E42" s="32" t="s">
        <v>173</v>
      </c>
      <c r="F42" s="32" t="s">
        <v>861</v>
      </c>
      <c r="G42" s="32" t="s">
        <v>39</v>
      </c>
      <c r="H42" s="32" t="s">
        <v>373</v>
      </c>
      <c r="I42" s="31" t="s">
        <v>862</v>
      </c>
      <c r="J42" s="31">
        <v>12</v>
      </c>
      <c r="K42" s="33" t="s">
        <v>693</v>
      </c>
      <c r="L42" s="33" t="s">
        <v>1658</v>
      </c>
      <c r="M42" s="34" t="s">
        <v>1348</v>
      </c>
      <c r="N42" s="34" t="s">
        <v>1766</v>
      </c>
      <c r="O42" s="35">
        <v>1</v>
      </c>
      <c r="P42" s="35"/>
      <c r="Q42" s="32"/>
      <c r="S42" s="1">
        <f t="shared" si="23"/>
        <v>0</v>
      </c>
      <c r="T42" s="1">
        <f t="shared" si="24"/>
        <v>0</v>
      </c>
      <c r="U42" s="1">
        <f t="shared" si="25"/>
        <v>0</v>
      </c>
      <c r="V42" s="1">
        <f t="shared" si="26"/>
        <v>0</v>
      </c>
      <c r="W42" s="1">
        <f t="shared" si="27"/>
        <v>0</v>
      </c>
      <c r="X42" s="1">
        <f t="shared" si="28"/>
        <v>0</v>
      </c>
      <c r="Y42" s="1">
        <f t="shared" si="29"/>
        <v>0</v>
      </c>
      <c r="Z42" s="1">
        <f t="shared" si="30"/>
        <v>0</v>
      </c>
      <c r="AA42" s="1">
        <f t="shared" si="31"/>
        <v>0</v>
      </c>
      <c r="AB42" s="1">
        <f t="shared" si="32"/>
        <v>0</v>
      </c>
      <c r="AD42" s="1">
        <f t="shared" si="33"/>
        <v>0</v>
      </c>
      <c r="AE42" s="1">
        <f t="shared" si="34"/>
        <v>1</v>
      </c>
      <c r="AF42" s="1">
        <f t="shared" si="35"/>
        <v>0</v>
      </c>
      <c r="AG42" s="1">
        <f t="shared" si="36"/>
        <v>1</v>
      </c>
      <c r="AH42" s="1">
        <f t="shared" si="37"/>
        <v>0</v>
      </c>
      <c r="AI42" s="1">
        <f t="shared" si="38"/>
        <v>1</v>
      </c>
    </row>
    <row r="43" spans="1:35" ht="14.25" customHeight="1" x14ac:dyDescent="0.25">
      <c r="A43" s="31">
        <v>0</v>
      </c>
      <c r="B43" s="31">
        <v>1</v>
      </c>
      <c r="C43" s="31">
        <v>2</v>
      </c>
      <c r="D43" s="32" t="s">
        <v>1756</v>
      </c>
      <c r="E43" s="32" t="s">
        <v>174</v>
      </c>
      <c r="F43" s="32" t="s">
        <v>1757</v>
      </c>
      <c r="G43" s="32" t="s">
        <v>193</v>
      </c>
      <c r="H43" s="32" t="s">
        <v>352</v>
      </c>
      <c r="I43" s="31" t="s">
        <v>1758</v>
      </c>
      <c r="J43" s="31">
        <v>9</v>
      </c>
      <c r="K43" s="33" t="s">
        <v>694</v>
      </c>
      <c r="L43" s="33">
        <v>60</v>
      </c>
      <c r="M43" s="34" t="s">
        <v>1759</v>
      </c>
      <c r="N43" s="34" t="s">
        <v>1790</v>
      </c>
      <c r="O43" s="35">
        <v>1</v>
      </c>
      <c r="P43" s="35"/>
      <c r="Q43" s="32"/>
      <c r="S43" s="1">
        <f t="shared" si="23"/>
        <v>0</v>
      </c>
      <c r="T43" s="1">
        <f t="shared" si="24"/>
        <v>0</v>
      </c>
      <c r="U43" s="1">
        <f t="shared" si="25"/>
        <v>0</v>
      </c>
      <c r="V43" s="1">
        <f t="shared" si="26"/>
        <v>0</v>
      </c>
      <c r="W43" s="1">
        <f t="shared" si="27"/>
        <v>0</v>
      </c>
      <c r="X43" s="1">
        <f t="shared" si="28"/>
        <v>0</v>
      </c>
      <c r="Y43" s="1">
        <f t="shared" si="29"/>
        <v>0</v>
      </c>
      <c r="Z43" s="1">
        <f t="shared" si="30"/>
        <v>0</v>
      </c>
      <c r="AA43" s="1">
        <f t="shared" si="31"/>
        <v>1</v>
      </c>
      <c r="AB43" s="1">
        <f t="shared" si="32"/>
        <v>0</v>
      </c>
      <c r="AD43" s="1">
        <f t="shared" si="33"/>
        <v>0</v>
      </c>
      <c r="AE43" s="1">
        <f t="shared" si="34"/>
        <v>1</v>
      </c>
      <c r="AF43" s="1">
        <f t="shared" si="35"/>
        <v>0</v>
      </c>
      <c r="AG43" s="1">
        <f t="shared" si="36"/>
        <v>1</v>
      </c>
      <c r="AH43" s="1">
        <f t="shared" si="37"/>
        <v>0</v>
      </c>
      <c r="AI43" s="1">
        <f t="shared" si="38"/>
        <v>1</v>
      </c>
    </row>
    <row r="44" spans="1:35" ht="14.25" customHeight="1" x14ac:dyDescent="0.25">
      <c r="A44" s="31">
        <v>0</v>
      </c>
      <c r="B44" s="31">
        <v>1</v>
      </c>
      <c r="C44" s="31">
        <v>2</v>
      </c>
      <c r="D44" s="32" t="s">
        <v>138</v>
      </c>
      <c r="E44" s="32" t="s">
        <v>174</v>
      </c>
      <c r="F44" s="32" t="s">
        <v>1819</v>
      </c>
      <c r="G44" s="32" t="s">
        <v>199</v>
      </c>
      <c r="H44" s="32" t="s">
        <v>352</v>
      </c>
      <c r="I44" s="31" t="s">
        <v>484</v>
      </c>
      <c r="J44" s="31">
        <v>2</v>
      </c>
      <c r="K44" s="33" t="s">
        <v>932</v>
      </c>
      <c r="L44" s="33" t="s">
        <v>684</v>
      </c>
      <c r="M44" s="34" t="s">
        <v>682</v>
      </c>
      <c r="N44" s="34" t="s">
        <v>1706</v>
      </c>
      <c r="O44" s="35">
        <v>1</v>
      </c>
      <c r="P44" s="35"/>
      <c r="Q44" s="32" t="s">
        <v>1847</v>
      </c>
      <c r="S44" s="1">
        <f t="shared" si="23"/>
        <v>0</v>
      </c>
      <c r="T44" s="1">
        <f t="shared" si="24"/>
        <v>1</v>
      </c>
      <c r="U44" s="1">
        <f t="shared" si="25"/>
        <v>0</v>
      </c>
      <c r="V44" s="1">
        <f t="shared" si="26"/>
        <v>0</v>
      </c>
      <c r="W44" s="1">
        <f t="shared" si="27"/>
        <v>0</v>
      </c>
      <c r="X44" s="1">
        <f t="shared" si="28"/>
        <v>0</v>
      </c>
      <c r="Y44" s="1">
        <f t="shared" si="29"/>
        <v>0</v>
      </c>
      <c r="Z44" s="1">
        <f t="shared" si="30"/>
        <v>0</v>
      </c>
      <c r="AA44" s="1">
        <f t="shared" si="31"/>
        <v>0</v>
      </c>
      <c r="AB44" s="1">
        <f t="shared" si="32"/>
        <v>0</v>
      </c>
      <c r="AD44" s="1">
        <f t="shared" si="33"/>
        <v>0</v>
      </c>
      <c r="AE44" s="1">
        <f t="shared" si="34"/>
        <v>1</v>
      </c>
      <c r="AF44" s="1">
        <f t="shared" si="35"/>
        <v>0</v>
      </c>
      <c r="AG44" s="1">
        <f t="shared" si="36"/>
        <v>1</v>
      </c>
      <c r="AH44" s="1">
        <f t="shared" si="37"/>
        <v>0</v>
      </c>
      <c r="AI44" s="1">
        <f t="shared" si="38"/>
        <v>1</v>
      </c>
    </row>
    <row r="45" spans="1:35" ht="14.25" customHeight="1" x14ac:dyDescent="0.25">
      <c r="A45" s="31">
        <v>0</v>
      </c>
      <c r="B45" s="31">
        <v>1</v>
      </c>
      <c r="C45" s="31">
        <v>2</v>
      </c>
      <c r="D45" s="32" t="s">
        <v>818</v>
      </c>
      <c r="E45" s="32" t="s">
        <v>174</v>
      </c>
      <c r="F45" s="32" t="s">
        <v>820</v>
      </c>
      <c r="G45" s="32" t="s">
        <v>39</v>
      </c>
      <c r="H45" s="32" t="s">
        <v>352</v>
      </c>
      <c r="I45" s="31" t="s">
        <v>819</v>
      </c>
      <c r="J45" s="31">
        <v>99</v>
      </c>
      <c r="K45" s="33" t="s">
        <v>938</v>
      </c>
      <c r="L45" s="33" t="s">
        <v>39</v>
      </c>
      <c r="M45" s="34" t="s">
        <v>39</v>
      </c>
      <c r="N45" s="34" t="s">
        <v>1687</v>
      </c>
      <c r="O45" s="35">
        <v>1</v>
      </c>
      <c r="P45" s="35">
        <v>1</v>
      </c>
      <c r="Q45" s="32"/>
      <c r="S45" s="1">
        <f t="shared" si="23"/>
        <v>0</v>
      </c>
      <c r="T45" s="1">
        <f t="shared" si="24"/>
        <v>0</v>
      </c>
      <c r="U45" s="1">
        <f t="shared" si="25"/>
        <v>0</v>
      </c>
      <c r="V45" s="1">
        <f t="shared" si="26"/>
        <v>0</v>
      </c>
      <c r="W45" s="1">
        <f t="shared" si="27"/>
        <v>0</v>
      </c>
      <c r="X45" s="1">
        <f t="shared" si="28"/>
        <v>0</v>
      </c>
      <c r="Y45" s="1">
        <f t="shared" si="29"/>
        <v>0</v>
      </c>
      <c r="Z45" s="1">
        <f t="shared" si="30"/>
        <v>0</v>
      </c>
      <c r="AA45" s="1">
        <f t="shared" si="31"/>
        <v>0</v>
      </c>
      <c r="AB45" s="1">
        <f t="shared" si="32"/>
        <v>0</v>
      </c>
      <c r="AD45" s="1">
        <f t="shared" si="33"/>
        <v>1</v>
      </c>
      <c r="AE45" s="1">
        <f t="shared" si="34"/>
        <v>0</v>
      </c>
      <c r="AF45" s="1">
        <f t="shared" si="35"/>
        <v>1</v>
      </c>
      <c r="AG45" s="1">
        <f t="shared" si="36"/>
        <v>0</v>
      </c>
      <c r="AH45" s="1">
        <f t="shared" si="37"/>
        <v>1</v>
      </c>
      <c r="AI45" s="1">
        <f t="shared" si="38"/>
        <v>0</v>
      </c>
    </row>
    <row r="46" spans="1:35" ht="14.25" customHeight="1" x14ac:dyDescent="0.25">
      <c r="A46" s="31">
        <v>0</v>
      </c>
      <c r="B46" s="31">
        <v>1</v>
      </c>
      <c r="C46" s="31">
        <v>2</v>
      </c>
      <c r="D46" s="32" t="s">
        <v>2103</v>
      </c>
      <c r="E46" s="32" t="s">
        <v>174</v>
      </c>
      <c r="F46" s="32" t="s">
        <v>2104</v>
      </c>
      <c r="G46" s="32" t="s">
        <v>177</v>
      </c>
      <c r="H46" s="32" t="s">
        <v>352</v>
      </c>
      <c r="I46" s="31" t="s">
        <v>2105</v>
      </c>
      <c r="J46" s="31">
        <v>1</v>
      </c>
      <c r="K46" s="33" t="s">
        <v>694</v>
      </c>
      <c r="L46" s="33"/>
      <c r="M46" s="34"/>
      <c r="N46" s="34" t="s">
        <v>1687</v>
      </c>
      <c r="O46" s="35">
        <v>1</v>
      </c>
      <c r="P46" s="35">
        <v>1</v>
      </c>
      <c r="Q46" s="32" t="s">
        <v>2106</v>
      </c>
      <c r="S46" s="1">
        <f t="shared" si="23"/>
        <v>1</v>
      </c>
      <c r="T46" s="1">
        <f t="shared" si="24"/>
        <v>0</v>
      </c>
      <c r="U46" s="1">
        <f t="shared" si="25"/>
        <v>0</v>
      </c>
      <c r="V46" s="1">
        <f t="shared" si="26"/>
        <v>0</v>
      </c>
      <c r="W46" s="1">
        <f t="shared" si="27"/>
        <v>0</v>
      </c>
      <c r="X46" s="1">
        <f t="shared" si="28"/>
        <v>0</v>
      </c>
      <c r="Y46" s="1">
        <f t="shared" si="29"/>
        <v>0</v>
      </c>
      <c r="Z46" s="1">
        <f t="shared" si="30"/>
        <v>0</v>
      </c>
      <c r="AA46" s="1">
        <f t="shared" si="31"/>
        <v>0</v>
      </c>
      <c r="AB46" s="1">
        <f t="shared" si="32"/>
        <v>0</v>
      </c>
      <c r="AD46" s="1">
        <f t="shared" si="33"/>
        <v>1</v>
      </c>
      <c r="AE46" s="1">
        <f t="shared" si="34"/>
        <v>0</v>
      </c>
      <c r="AF46" s="1">
        <f t="shared" si="35"/>
        <v>1</v>
      </c>
      <c r="AG46" s="1">
        <f t="shared" si="36"/>
        <v>0</v>
      </c>
      <c r="AH46" s="1">
        <f t="shared" si="37"/>
        <v>1</v>
      </c>
      <c r="AI46" s="1">
        <f t="shared" si="38"/>
        <v>0</v>
      </c>
    </row>
    <row r="47" spans="1:35" ht="14.25" customHeight="1" x14ac:dyDescent="0.25">
      <c r="A47" s="31">
        <v>0</v>
      </c>
      <c r="B47" s="31">
        <v>1</v>
      </c>
      <c r="C47" s="31">
        <v>2</v>
      </c>
      <c r="D47" s="32" t="s">
        <v>893</v>
      </c>
      <c r="E47" s="32" t="s">
        <v>174</v>
      </c>
      <c r="F47" s="32" t="s">
        <v>764</v>
      </c>
      <c r="G47" s="32" t="s">
        <v>39</v>
      </c>
      <c r="H47" s="32" t="s">
        <v>373</v>
      </c>
      <c r="I47" s="31" t="s">
        <v>765</v>
      </c>
      <c r="J47" s="31">
        <v>12</v>
      </c>
      <c r="K47" s="33" t="s">
        <v>713</v>
      </c>
      <c r="L47" s="33" t="s">
        <v>1653</v>
      </c>
      <c r="M47" s="34" t="s">
        <v>1095</v>
      </c>
      <c r="N47" s="34" t="s">
        <v>1766</v>
      </c>
      <c r="O47" s="35">
        <v>1</v>
      </c>
      <c r="P47" s="35"/>
      <c r="Q47" s="32"/>
      <c r="S47" s="1">
        <f t="shared" si="23"/>
        <v>0</v>
      </c>
      <c r="T47" s="1">
        <f t="shared" si="24"/>
        <v>0</v>
      </c>
      <c r="U47" s="1">
        <f t="shared" si="25"/>
        <v>0</v>
      </c>
      <c r="V47" s="1">
        <f t="shared" si="26"/>
        <v>0</v>
      </c>
      <c r="W47" s="1">
        <f t="shared" si="27"/>
        <v>0</v>
      </c>
      <c r="X47" s="1">
        <f t="shared" si="28"/>
        <v>0</v>
      </c>
      <c r="Y47" s="1">
        <f t="shared" si="29"/>
        <v>0</v>
      </c>
      <c r="Z47" s="1">
        <f t="shared" si="30"/>
        <v>0</v>
      </c>
      <c r="AA47" s="1">
        <f t="shared" si="31"/>
        <v>0</v>
      </c>
      <c r="AB47" s="1">
        <f t="shared" si="32"/>
        <v>0</v>
      </c>
      <c r="AD47" s="1">
        <f t="shared" si="33"/>
        <v>0</v>
      </c>
      <c r="AE47" s="1">
        <f t="shared" si="34"/>
        <v>1</v>
      </c>
      <c r="AF47" s="1">
        <f t="shared" si="35"/>
        <v>0</v>
      </c>
      <c r="AG47" s="1">
        <f t="shared" si="36"/>
        <v>1</v>
      </c>
      <c r="AH47" s="1">
        <f t="shared" si="37"/>
        <v>0</v>
      </c>
      <c r="AI47" s="1">
        <f t="shared" si="38"/>
        <v>1</v>
      </c>
    </row>
    <row r="48" spans="1:35" ht="14.25" customHeight="1" x14ac:dyDescent="0.25">
      <c r="A48" s="31">
        <v>0</v>
      </c>
      <c r="B48" s="31">
        <v>1</v>
      </c>
      <c r="C48" s="31">
        <v>2</v>
      </c>
      <c r="D48" s="32" t="s">
        <v>1591</v>
      </c>
      <c r="E48" s="32" t="s">
        <v>173</v>
      </c>
      <c r="F48" s="32" t="s">
        <v>1617</v>
      </c>
      <c r="G48" s="32" t="s">
        <v>250</v>
      </c>
      <c r="H48" s="32" t="s">
        <v>352</v>
      </c>
      <c r="I48" s="31" t="s">
        <v>1519</v>
      </c>
      <c r="J48" s="31">
        <v>99</v>
      </c>
      <c r="K48" s="33" t="s">
        <v>933</v>
      </c>
      <c r="L48" s="33" t="s">
        <v>39</v>
      </c>
      <c r="M48" s="34" t="s">
        <v>39</v>
      </c>
      <c r="N48" s="34" t="s">
        <v>1681</v>
      </c>
      <c r="O48" s="35">
        <v>1</v>
      </c>
      <c r="P48" s="35">
        <v>1</v>
      </c>
      <c r="Q48" s="32"/>
      <c r="S48" s="1">
        <f t="shared" si="23"/>
        <v>0</v>
      </c>
      <c r="T48" s="1">
        <f t="shared" si="24"/>
        <v>0</v>
      </c>
      <c r="U48" s="1">
        <f t="shared" si="25"/>
        <v>0</v>
      </c>
      <c r="V48" s="1">
        <f t="shared" si="26"/>
        <v>0</v>
      </c>
      <c r="W48" s="1">
        <f t="shared" si="27"/>
        <v>0</v>
      </c>
      <c r="X48" s="1">
        <f t="shared" si="28"/>
        <v>0</v>
      </c>
      <c r="Y48" s="1">
        <f t="shared" si="29"/>
        <v>0</v>
      </c>
      <c r="Z48" s="1">
        <f t="shared" si="30"/>
        <v>0</v>
      </c>
      <c r="AA48" s="1">
        <f t="shared" si="31"/>
        <v>0</v>
      </c>
      <c r="AB48" s="1">
        <f t="shared" si="32"/>
        <v>0</v>
      </c>
      <c r="AD48" s="1">
        <f t="shared" si="33"/>
        <v>1</v>
      </c>
      <c r="AE48" s="1">
        <f t="shared" si="34"/>
        <v>0</v>
      </c>
      <c r="AF48" s="1">
        <f t="shared" si="35"/>
        <v>1</v>
      </c>
      <c r="AG48" s="1">
        <f t="shared" si="36"/>
        <v>0</v>
      </c>
      <c r="AH48" s="1">
        <f t="shared" si="37"/>
        <v>1</v>
      </c>
      <c r="AI48" s="1">
        <f t="shared" si="38"/>
        <v>0</v>
      </c>
    </row>
    <row r="49" spans="1:35" ht="14.25" customHeight="1" x14ac:dyDescent="0.25">
      <c r="A49" s="31">
        <v>0</v>
      </c>
      <c r="B49" s="31">
        <v>1</v>
      </c>
      <c r="C49" s="31">
        <v>2</v>
      </c>
      <c r="D49" s="32" t="s">
        <v>1487</v>
      </c>
      <c r="E49" s="32" t="s">
        <v>1605</v>
      </c>
      <c r="F49" s="32" t="s">
        <v>1488</v>
      </c>
      <c r="G49" s="32" t="s">
        <v>199</v>
      </c>
      <c r="H49" s="32" t="s">
        <v>352</v>
      </c>
      <c r="I49" s="31" t="s">
        <v>1489</v>
      </c>
      <c r="J49" s="31">
        <v>2</v>
      </c>
      <c r="K49" s="33" t="s">
        <v>932</v>
      </c>
      <c r="L49" s="33">
        <v>70</v>
      </c>
      <c r="M49" s="34" t="s">
        <v>39</v>
      </c>
      <c r="N49" s="34" t="s">
        <v>1733</v>
      </c>
      <c r="O49" s="35">
        <v>1</v>
      </c>
      <c r="P49" s="35"/>
      <c r="Q49" s="32"/>
      <c r="S49" s="1">
        <f t="shared" si="23"/>
        <v>0</v>
      </c>
      <c r="T49" s="1">
        <f t="shared" si="24"/>
        <v>1</v>
      </c>
      <c r="U49" s="1">
        <f t="shared" si="25"/>
        <v>0</v>
      </c>
      <c r="V49" s="1">
        <f t="shared" si="26"/>
        <v>0</v>
      </c>
      <c r="W49" s="1">
        <f t="shared" si="27"/>
        <v>0</v>
      </c>
      <c r="X49" s="1">
        <f t="shared" si="28"/>
        <v>0</v>
      </c>
      <c r="Y49" s="1">
        <f t="shared" si="29"/>
        <v>0</v>
      </c>
      <c r="Z49" s="1">
        <f t="shared" si="30"/>
        <v>0</v>
      </c>
      <c r="AA49" s="1">
        <f t="shared" si="31"/>
        <v>0</v>
      </c>
      <c r="AB49" s="1">
        <f t="shared" si="32"/>
        <v>0</v>
      </c>
      <c r="AD49" s="1">
        <f t="shared" si="33"/>
        <v>0</v>
      </c>
      <c r="AE49" s="1">
        <f t="shared" si="34"/>
        <v>1</v>
      </c>
      <c r="AF49" s="1">
        <f t="shared" si="35"/>
        <v>0</v>
      </c>
      <c r="AG49" s="1">
        <f t="shared" si="36"/>
        <v>1</v>
      </c>
      <c r="AH49" s="1">
        <f t="shared" si="37"/>
        <v>0</v>
      </c>
      <c r="AI49" s="1">
        <f t="shared" si="38"/>
        <v>1</v>
      </c>
    </row>
    <row r="50" spans="1:35" ht="14.25" customHeight="1" x14ac:dyDescent="0.25">
      <c r="A50" s="31">
        <v>0</v>
      </c>
      <c r="B50" s="31">
        <v>1</v>
      </c>
      <c r="C50" s="31">
        <v>2</v>
      </c>
      <c r="D50" s="32" t="s">
        <v>1429</v>
      </c>
      <c r="E50" s="32" t="s">
        <v>1606</v>
      </c>
      <c r="F50" s="32" t="s">
        <v>1428</v>
      </c>
      <c r="G50" s="32" t="s">
        <v>219</v>
      </c>
      <c r="H50" s="32" t="s">
        <v>352</v>
      </c>
      <c r="I50" s="31" t="s">
        <v>1642</v>
      </c>
      <c r="J50" s="31">
        <v>8</v>
      </c>
      <c r="K50" s="33" t="s">
        <v>693</v>
      </c>
      <c r="L50" s="33">
        <v>70</v>
      </c>
      <c r="M50" s="34" t="s">
        <v>39</v>
      </c>
      <c r="N50" s="34" t="s">
        <v>1701</v>
      </c>
      <c r="O50" s="35">
        <v>1</v>
      </c>
      <c r="P50" s="35"/>
      <c r="Q50" s="32"/>
      <c r="S50" s="1">
        <f t="shared" si="23"/>
        <v>0</v>
      </c>
      <c r="T50" s="1">
        <f t="shared" si="24"/>
        <v>0</v>
      </c>
      <c r="U50" s="1">
        <f t="shared" si="25"/>
        <v>0</v>
      </c>
      <c r="V50" s="1">
        <f t="shared" si="26"/>
        <v>0</v>
      </c>
      <c r="W50" s="1">
        <f t="shared" si="27"/>
        <v>0</v>
      </c>
      <c r="X50" s="1">
        <f t="shared" si="28"/>
        <v>0</v>
      </c>
      <c r="Y50" s="1">
        <f t="shared" si="29"/>
        <v>0</v>
      </c>
      <c r="Z50" s="1">
        <f t="shared" si="30"/>
        <v>1</v>
      </c>
      <c r="AA50" s="1">
        <f t="shared" si="31"/>
        <v>0</v>
      </c>
      <c r="AB50" s="1">
        <f t="shared" si="32"/>
        <v>0</v>
      </c>
      <c r="AD50" s="1">
        <f t="shared" si="33"/>
        <v>0</v>
      </c>
      <c r="AE50" s="1">
        <f t="shared" si="34"/>
        <v>1</v>
      </c>
      <c r="AF50" s="1">
        <f t="shared" si="35"/>
        <v>0</v>
      </c>
      <c r="AG50" s="1">
        <f t="shared" si="36"/>
        <v>1</v>
      </c>
      <c r="AH50" s="1">
        <f t="shared" si="37"/>
        <v>0</v>
      </c>
      <c r="AI50" s="1">
        <f t="shared" si="38"/>
        <v>1</v>
      </c>
    </row>
    <row r="51" spans="1:35" ht="14.25" customHeight="1" x14ac:dyDescent="0.25">
      <c r="A51" s="15">
        <v>0</v>
      </c>
      <c r="B51" s="15">
        <v>1</v>
      </c>
      <c r="C51" s="15">
        <v>2</v>
      </c>
      <c r="D51" s="16" t="s">
        <v>791</v>
      </c>
      <c r="E51" s="16" t="s">
        <v>174</v>
      </c>
      <c r="F51" s="16" t="s">
        <v>792</v>
      </c>
      <c r="G51" s="16" t="s">
        <v>39</v>
      </c>
      <c r="H51" s="16" t="s">
        <v>793</v>
      </c>
      <c r="I51" s="15" t="s">
        <v>794</v>
      </c>
      <c r="J51" s="15">
        <v>11</v>
      </c>
      <c r="K51" s="10" t="s">
        <v>694</v>
      </c>
      <c r="L51" s="10">
        <v>50</v>
      </c>
      <c r="M51" s="19" t="s">
        <v>1095</v>
      </c>
      <c r="N51" s="19"/>
      <c r="Q51" s="16"/>
      <c r="S51" s="1">
        <f t="shared" si="23"/>
        <v>0</v>
      </c>
      <c r="T51" s="1">
        <f t="shared" si="24"/>
        <v>0</v>
      </c>
      <c r="U51" s="1">
        <f t="shared" si="25"/>
        <v>0</v>
      </c>
      <c r="V51" s="1">
        <f t="shared" si="26"/>
        <v>0</v>
      </c>
      <c r="W51" s="1">
        <f t="shared" si="27"/>
        <v>0</v>
      </c>
      <c r="X51" s="1">
        <f t="shared" si="28"/>
        <v>0</v>
      </c>
      <c r="Y51" s="1">
        <f t="shared" si="29"/>
        <v>0</v>
      </c>
      <c r="Z51" s="1">
        <f t="shared" si="30"/>
        <v>0</v>
      </c>
      <c r="AA51" s="1">
        <f t="shared" si="31"/>
        <v>0</v>
      </c>
      <c r="AB51" s="1">
        <f t="shared" si="32"/>
        <v>0</v>
      </c>
      <c r="AD51" s="1">
        <f t="shared" si="33"/>
        <v>0</v>
      </c>
      <c r="AE51" s="1">
        <f t="shared" si="34"/>
        <v>0</v>
      </c>
      <c r="AF51" s="1">
        <f t="shared" si="35"/>
        <v>0</v>
      </c>
      <c r="AG51" s="1">
        <f t="shared" si="36"/>
        <v>0</v>
      </c>
      <c r="AH51" s="1">
        <f t="shared" si="37"/>
        <v>0</v>
      </c>
      <c r="AI51" s="1">
        <f t="shared" si="38"/>
        <v>1</v>
      </c>
    </row>
    <row r="52" spans="1:35" ht="14.25" customHeight="1" x14ac:dyDescent="0.25">
      <c r="A52" s="31">
        <v>0</v>
      </c>
      <c r="B52" s="31">
        <v>1</v>
      </c>
      <c r="C52" s="31">
        <v>2</v>
      </c>
      <c r="D52" s="32" t="s">
        <v>1433</v>
      </c>
      <c r="E52" s="32"/>
      <c r="F52" s="32" t="s">
        <v>1434</v>
      </c>
      <c r="G52" s="32" t="s">
        <v>1435</v>
      </c>
      <c r="H52" s="32" t="s">
        <v>352</v>
      </c>
      <c r="I52" s="31" t="s">
        <v>1436</v>
      </c>
      <c r="J52" s="31">
        <v>99</v>
      </c>
      <c r="K52" s="33" t="s">
        <v>694</v>
      </c>
      <c r="L52" s="33">
        <v>35</v>
      </c>
      <c r="M52" s="34" t="s">
        <v>1441</v>
      </c>
      <c r="N52" s="34" t="s">
        <v>1693</v>
      </c>
      <c r="O52" s="35">
        <v>1</v>
      </c>
      <c r="P52" s="35"/>
      <c r="Q52" s="32"/>
      <c r="S52" s="1">
        <f t="shared" si="23"/>
        <v>0</v>
      </c>
      <c r="T52" s="1">
        <f t="shared" si="24"/>
        <v>0</v>
      </c>
      <c r="U52" s="1">
        <f t="shared" si="25"/>
        <v>0</v>
      </c>
      <c r="V52" s="1">
        <f t="shared" si="26"/>
        <v>0</v>
      </c>
      <c r="W52" s="1">
        <f t="shared" si="27"/>
        <v>0</v>
      </c>
      <c r="X52" s="1">
        <f t="shared" si="28"/>
        <v>0</v>
      </c>
      <c r="Y52" s="1">
        <f t="shared" si="29"/>
        <v>0</v>
      </c>
      <c r="Z52" s="1">
        <f t="shared" si="30"/>
        <v>0</v>
      </c>
      <c r="AA52" s="1">
        <f t="shared" si="31"/>
        <v>0</v>
      </c>
      <c r="AB52" s="1">
        <f t="shared" si="32"/>
        <v>0</v>
      </c>
      <c r="AD52" s="1">
        <f t="shared" si="33"/>
        <v>0</v>
      </c>
      <c r="AE52" s="1">
        <f t="shared" si="34"/>
        <v>1</v>
      </c>
      <c r="AF52" s="1">
        <f t="shared" si="35"/>
        <v>0</v>
      </c>
      <c r="AG52" s="1">
        <f t="shared" si="36"/>
        <v>1</v>
      </c>
      <c r="AH52" s="1">
        <f t="shared" si="37"/>
        <v>0</v>
      </c>
      <c r="AI52" s="1">
        <f t="shared" si="38"/>
        <v>1</v>
      </c>
    </row>
    <row r="53" spans="1:35" ht="14.25" customHeight="1" x14ac:dyDescent="0.25">
      <c r="A53" s="31">
        <v>0</v>
      </c>
      <c r="B53" s="31">
        <v>1</v>
      </c>
      <c r="C53" s="31">
        <v>2</v>
      </c>
      <c r="D53" s="32" t="s">
        <v>1936</v>
      </c>
      <c r="E53" s="32" t="s">
        <v>174</v>
      </c>
      <c r="F53" s="32" t="s">
        <v>1937</v>
      </c>
      <c r="G53" s="32" t="s">
        <v>1938</v>
      </c>
      <c r="H53" s="32" t="s">
        <v>352</v>
      </c>
      <c r="I53" s="31" t="s">
        <v>1939</v>
      </c>
      <c r="J53" s="31">
        <v>99</v>
      </c>
      <c r="K53" s="33" t="s">
        <v>694</v>
      </c>
      <c r="L53" s="33"/>
      <c r="M53" s="34"/>
      <c r="N53" s="34" t="s">
        <v>1687</v>
      </c>
      <c r="O53" s="35">
        <v>1</v>
      </c>
      <c r="P53" s="35">
        <v>1</v>
      </c>
      <c r="Q53" s="32" t="s">
        <v>1940</v>
      </c>
      <c r="S53" s="1">
        <f t="shared" si="23"/>
        <v>0</v>
      </c>
      <c r="T53" s="1">
        <f t="shared" si="24"/>
        <v>0</v>
      </c>
      <c r="U53" s="1">
        <f t="shared" si="25"/>
        <v>0</v>
      </c>
      <c r="V53" s="1">
        <f t="shared" si="26"/>
        <v>0</v>
      </c>
      <c r="W53" s="1">
        <f t="shared" si="27"/>
        <v>0</v>
      </c>
      <c r="X53" s="1">
        <f t="shared" si="28"/>
        <v>0</v>
      </c>
      <c r="Y53" s="1">
        <f t="shared" si="29"/>
        <v>0</v>
      </c>
      <c r="Z53" s="1">
        <f t="shared" si="30"/>
        <v>0</v>
      </c>
      <c r="AA53" s="1">
        <f t="shared" si="31"/>
        <v>0</v>
      </c>
      <c r="AB53" s="1">
        <f t="shared" si="32"/>
        <v>0</v>
      </c>
      <c r="AD53" s="1">
        <f t="shared" si="33"/>
        <v>1</v>
      </c>
      <c r="AE53" s="1">
        <f t="shared" si="34"/>
        <v>0</v>
      </c>
      <c r="AF53" s="1">
        <f t="shared" si="35"/>
        <v>1</v>
      </c>
      <c r="AG53" s="1">
        <f t="shared" si="36"/>
        <v>0</v>
      </c>
      <c r="AH53" s="1">
        <f t="shared" si="37"/>
        <v>1</v>
      </c>
      <c r="AI53" s="1">
        <f t="shared" si="38"/>
        <v>0</v>
      </c>
    </row>
    <row r="54" spans="1:35" ht="14.25" customHeight="1" x14ac:dyDescent="0.25">
      <c r="A54" s="46">
        <v>0</v>
      </c>
      <c r="B54" s="46">
        <v>1</v>
      </c>
      <c r="C54" s="46">
        <v>2</v>
      </c>
      <c r="D54" s="47" t="s">
        <v>121</v>
      </c>
      <c r="E54" s="47" t="s">
        <v>174</v>
      </c>
      <c r="F54" s="47" t="s">
        <v>647</v>
      </c>
      <c r="G54" s="47" t="s">
        <v>39</v>
      </c>
      <c r="H54" s="47" t="s">
        <v>369</v>
      </c>
      <c r="I54" s="46" t="s">
        <v>466</v>
      </c>
      <c r="J54" s="46">
        <v>11</v>
      </c>
      <c r="K54" s="48" t="s">
        <v>694</v>
      </c>
      <c r="L54" s="48">
        <v>40</v>
      </c>
      <c r="M54" s="49" t="s">
        <v>682</v>
      </c>
      <c r="N54" s="50"/>
      <c r="O54" s="51"/>
      <c r="P54" s="51"/>
      <c r="Q54" s="47"/>
      <c r="S54" s="1">
        <f t="shared" si="23"/>
        <v>0</v>
      </c>
      <c r="T54" s="1">
        <f t="shared" si="24"/>
        <v>0</v>
      </c>
      <c r="U54" s="1">
        <f t="shared" si="25"/>
        <v>0</v>
      </c>
      <c r="V54" s="1">
        <f t="shared" si="26"/>
        <v>0</v>
      </c>
      <c r="W54" s="1">
        <f t="shared" si="27"/>
        <v>0</v>
      </c>
      <c r="X54" s="1">
        <f t="shared" si="28"/>
        <v>0</v>
      </c>
      <c r="Y54" s="1">
        <f t="shared" si="29"/>
        <v>0</v>
      </c>
      <c r="Z54" s="1">
        <f t="shared" si="30"/>
        <v>0</v>
      </c>
      <c r="AA54" s="1">
        <f t="shared" si="31"/>
        <v>0</v>
      </c>
      <c r="AB54" s="1">
        <f t="shared" si="32"/>
        <v>0</v>
      </c>
      <c r="AD54" s="1">
        <f t="shared" si="33"/>
        <v>0</v>
      </c>
      <c r="AE54" s="1">
        <f t="shared" si="34"/>
        <v>0</v>
      </c>
      <c r="AF54" s="1">
        <f t="shared" si="35"/>
        <v>0</v>
      </c>
      <c r="AG54" s="1">
        <f t="shared" si="36"/>
        <v>0</v>
      </c>
      <c r="AH54" s="1">
        <f t="shared" si="37"/>
        <v>0</v>
      </c>
      <c r="AI54" s="1">
        <f t="shared" si="38"/>
        <v>1</v>
      </c>
    </row>
    <row r="55" spans="1:35" ht="14.25" customHeight="1" x14ac:dyDescent="0.25">
      <c r="A55" s="31">
        <v>0</v>
      </c>
      <c r="B55" s="31">
        <v>1</v>
      </c>
      <c r="C55" s="31">
        <v>2</v>
      </c>
      <c r="D55" s="32" t="s">
        <v>1030</v>
      </c>
      <c r="E55" s="32" t="s">
        <v>174</v>
      </c>
      <c r="F55" s="32" t="s">
        <v>1031</v>
      </c>
      <c r="G55" s="32" t="s">
        <v>1032</v>
      </c>
      <c r="H55" s="32" t="s">
        <v>352</v>
      </c>
      <c r="I55" s="31" t="s">
        <v>1033</v>
      </c>
      <c r="J55" s="31">
        <v>1</v>
      </c>
      <c r="K55" s="33" t="s">
        <v>713</v>
      </c>
      <c r="L55" s="33" t="s">
        <v>678</v>
      </c>
      <c r="M55" s="34" t="s">
        <v>1095</v>
      </c>
      <c r="N55" s="34" t="s">
        <v>1733</v>
      </c>
      <c r="O55" s="35">
        <v>1</v>
      </c>
      <c r="P55" s="35"/>
      <c r="Q55" s="32" t="s">
        <v>1850</v>
      </c>
      <c r="S55" s="1">
        <f t="shared" si="23"/>
        <v>1</v>
      </c>
      <c r="T55" s="1">
        <f t="shared" si="24"/>
        <v>0</v>
      </c>
      <c r="U55" s="1">
        <f t="shared" si="25"/>
        <v>0</v>
      </c>
      <c r="V55" s="1">
        <f t="shared" si="26"/>
        <v>0</v>
      </c>
      <c r="W55" s="1">
        <f t="shared" si="27"/>
        <v>0</v>
      </c>
      <c r="X55" s="1">
        <f t="shared" si="28"/>
        <v>0</v>
      </c>
      <c r="Y55" s="1">
        <f t="shared" si="29"/>
        <v>0</v>
      </c>
      <c r="Z55" s="1">
        <f t="shared" si="30"/>
        <v>0</v>
      </c>
      <c r="AA55" s="1">
        <f t="shared" si="31"/>
        <v>0</v>
      </c>
      <c r="AB55" s="1">
        <f t="shared" si="32"/>
        <v>0</v>
      </c>
      <c r="AD55" s="1">
        <f t="shared" si="33"/>
        <v>0</v>
      </c>
      <c r="AE55" s="1">
        <f t="shared" si="34"/>
        <v>1</v>
      </c>
      <c r="AF55" s="1">
        <f t="shared" si="35"/>
        <v>0</v>
      </c>
      <c r="AG55" s="1">
        <f t="shared" si="36"/>
        <v>1</v>
      </c>
      <c r="AH55" s="1">
        <f t="shared" si="37"/>
        <v>0</v>
      </c>
      <c r="AI55" s="1">
        <f t="shared" si="38"/>
        <v>1</v>
      </c>
    </row>
    <row r="56" spans="1:35" ht="14.25" customHeight="1" x14ac:dyDescent="0.25">
      <c r="A56" s="15">
        <v>0</v>
      </c>
      <c r="B56" s="15">
        <v>1</v>
      </c>
      <c r="C56" s="15">
        <v>2</v>
      </c>
      <c r="D56" s="16" t="s">
        <v>2061</v>
      </c>
      <c r="E56" s="16" t="s">
        <v>171</v>
      </c>
      <c r="F56" s="16" t="s">
        <v>2062</v>
      </c>
      <c r="G56" s="16"/>
      <c r="H56" s="16" t="s">
        <v>2063</v>
      </c>
      <c r="I56" s="15" t="s">
        <v>2064</v>
      </c>
      <c r="J56" s="15">
        <v>15</v>
      </c>
      <c r="K56" s="10" t="s">
        <v>694</v>
      </c>
      <c r="L56" s="10" t="s">
        <v>1688</v>
      </c>
      <c r="M56" s="19" t="s">
        <v>1095</v>
      </c>
      <c r="N56" s="17"/>
      <c r="Q56" s="16" t="s">
        <v>2065</v>
      </c>
      <c r="S56" s="1">
        <f t="shared" si="23"/>
        <v>0</v>
      </c>
      <c r="T56" s="1">
        <f t="shared" si="24"/>
        <v>0</v>
      </c>
      <c r="U56" s="1">
        <f t="shared" si="25"/>
        <v>0</v>
      </c>
      <c r="V56" s="1">
        <f t="shared" si="26"/>
        <v>0</v>
      </c>
      <c r="W56" s="1">
        <f t="shared" si="27"/>
        <v>0</v>
      </c>
      <c r="X56" s="1">
        <f t="shared" si="28"/>
        <v>0</v>
      </c>
      <c r="Y56" s="1">
        <f t="shared" si="29"/>
        <v>0</v>
      </c>
      <c r="Z56" s="1">
        <f t="shared" si="30"/>
        <v>0</v>
      </c>
      <c r="AA56" s="1">
        <f t="shared" si="31"/>
        <v>0</v>
      </c>
      <c r="AB56" s="1">
        <f t="shared" si="32"/>
        <v>0</v>
      </c>
      <c r="AD56" s="1">
        <f t="shared" si="33"/>
        <v>0</v>
      </c>
      <c r="AE56" s="1">
        <f t="shared" si="34"/>
        <v>0</v>
      </c>
      <c r="AF56" s="1">
        <f t="shared" si="35"/>
        <v>0</v>
      </c>
      <c r="AG56" s="1">
        <f t="shared" si="36"/>
        <v>0</v>
      </c>
      <c r="AH56" s="1">
        <f t="shared" si="37"/>
        <v>0</v>
      </c>
      <c r="AI56" s="1">
        <f t="shared" si="38"/>
        <v>1</v>
      </c>
    </row>
    <row r="57" spans="1:35" ht="14.25" customHeight="1" x14ac:dyDescent="0.25">
      <c r="A57" s="31">
        <v>0</v>
      </c>
      <c r="B57" s="31">
        <v>1</v>
      </c>
      <c r="C57" s="31">
        <v>2</v>
      </c>
      <c r="D57" s="32" t="s">
        <v>1595</v>
      </c>
      <c r="E57" s="32" t="s">
        <v>174</v>
      </c>
      <c r="F57" s="32" t="s">
        <v>1621</v>
      </c>
      <c r="G57" s="32" t="s">
        <v>1622</v>
      </c>
      <c r="H57" s="32" t="s">
        <v>352</v>
      </c>
      <c r="I57" s="31" t="s">
        <v>1440</v>
      </c>
      <c r="J57" s="31">
        <v>99</v>
      </c>
      <c r="K57" s="33" t="s">
        <v>693</v>
      </c>
      <c r="L57" s="33">
        <v>45</v>
      </c>
      <c r="M57" s="34" t="s">
        <v>39</v>
      </c>
      <c r="N57" s="34" t="s">
        <v>1700</v>
      </c>
      <c r="O57" s="35">
        <v>1</v>
      </c>
      <c r="P57" s="35"/>
      <c r="Q57" s="32" t="s">
        <v>1986</v>
      </c>
      <c r="S57" s="1">
        <f t="shared" si="23"/>
        <v>0</v>
      </c>
      <c r="T57" s="1">
        <f t="shared" si="24"/>
        <v>0</v>
      </c>
      <c r="U57" s="1">
        <f t="shared" si="25"/>
        <v>0</v>
      </c>
      <c r="V57" s="1">
        <f t="shared" si="26"/>
        <v>0</v>
      </c>
      <c r="W57" s="1">
        <f t="shared" si="27"/>
        <v>0</v>
      </c>
      <c r="X57" s="1">
        <f t="shared" si="28"/>
        <v>0</v>
      </c>
      <c r="Y57" s="1">
        <f t="shared" si="29"/>
        <v>0</v>
      </c>
      <c r="Z57" s="1">
        <f t="shared" si="30"/>
        <v>0</v>
      </c>
      <c r="AA57" s="1">
        <f t="shared" si="31"/>
        <v>0</v>
      </c>
      <c r="AB57" s="1">
        <f t="shared" si="32"/>
        <v>0</v>
      </c>
      <c r="AD57" s="1">
        <f t="shared" si="33"/>
        <v>0</v>
      </c>
      <c r="AE57" s="1">
        <f t="shared" si="34"/>
        <v>1</v>
      </c>
      <c r="AF57" s="1">
        <f t="shared" si="35"/>
        <v>0</v>
      </c>
      <c r="AG57" s="1">
        <f t="shared" si="36"/>
        <v>1</v>
      </c>
      <c r="AH57" s="1">
        <f t="shared" si="37"/>
        <v>0</v>
      </c>
      <c r="AI57" s="1">
        <f t="shared" si="38"/>
        <v>1</v>
      </c>
    </row>
    <row r="58" spans="1:35" ht="14.25" customHeight="1" x14ac:dyDescent="0.25">
      <c r="A58" s="31">
        <v>0</v>
      </c>
      <c r="B58" s="31">
        <v>1</v>
      </c>
      <c r="C58" s="31">
        <v>2</v>
      </c>
      <c r="D58" s="32" t="s">
        <v>639</v>
      </c>
      <c r="E58" s="32" t="s">
        <v>174</v>
      </c>
      <c r="F58" s="32" t="s">
        <v>594</v>
      </c>
      <c r="G58" s="32" t="s">
        <v>587</v>
      </c>
      <c r="H58" s="32" t="s">
        <v>352</v>
      </c>
      <c r="I58" s="31" t="s">
        <v>669</v>
      </c>
      <c r="J58" s="31">
        <v>1</v>
      </c>
      <c r="K58" s="33" t="s">
        <v>693</v>
      </c>
      <c r="L58" s="33" t="s">
        <v>1654</v>
      </c>
      <c r="M58" s="34" t="s">
        <v>1349</v>
      </c>
      <c r="N58" s="34" t="s">
        <v>1689</v>
      </c>
      <c r="O58" s="35">
        <v>1</v>
      </c>
      <c r="P58" s="35"/>
      <c r="Q58" s="32"/>
      <c r="S58" s="1">
        <f t="shared" si="23"/>
        <v>1</v>
      </c>
      <c r="T58" s="1">
        <f t="shared" si="24"/>
        <v>0</v>
      </c>
      <c r="U58" s="1">
        <f t="shared" si="25"/>
        <v>0</v>
      </c>
      <c r="V58" s="1">
        <f t="shared" si="26"/>
        <v>0</v>
      </c>
      <c r="W58" s="1">
        <f t="shared" si="27"/>
        <v>0</v>
      </c>
      <c r="X58" s="1">
        <f t="shared" si="28"/>
        <v>0</v>
      </c>
      <c r="Y58" s="1">
        <f t="shared" si="29"/>
        <v>0</v>
      </c>
      <c r="Z58" s="1">
        <f t="shared" si="30"/>
        <v>0</v>
      </c>
      <c r="AA58" s="1">
        <f t="shared" si="31"/>
        <v>0</v>
      </c>
      <c r="AB58" s="1">
        <f t="shared" si="32"/>
        <v>0</v>
      </c>
      <c r="AD58" s="1">
        <f t="shared" si="33"/>
        <v>0</v>
      </c>
      <c r="AE58" s="1">
        <f t="shared" si="34"/>
        <v>1</v>
      </c>
      <c r="AF58" s="1">
        <f t="shared" si="35"/>
        <v>0</v>
      </c>
      <c r="AG58" s="1">
        <f t="shared" si="36"/>
        <v>1</v>
      </c>
      <c r="AH58" s="1">
        <f t="shared" si="37"/>
        <v>0</v>
      </c>
      <c r="AI58" s="1">
        <f t="shared" si="38"/>
        <v>1</v>
      </c>
    </row>
    <row r="59" spans="1:35" ht="14.25" customHeight="1" x14ac:dyDescent="0.25">
      <c r="A59" s="15">
        <v>0</v>
      </c>
      <c r="B59" s="15">
        <v>1</v>
      </c>
      <c r="C59" s="15">
        <v>2</v>
      </c>
      <c r="D59" s="16" t="s">
        <v>1158</v>
      </c>
      <c r="E59" s="16" t="s">
        <v>173</v>
      </c>
      <c r="F59" s="16" t="s">
        <v>1159</v>
      </c>
      <c r="G59" s="16" t="s">
        <v>39</v>
      </c>
      <c r="H59" s="16" t="s">
        <v>1161</v>
      </c>
      <c r="I59" s="15" t="s">
        <v>1160</v>
      </c>
      <c r="J59" s="15">
        <v>17</v>
      </c>
      <c r="K59" s="10" t="s">
        <v>694</v>
      </c>
      <c r="L59" s="10" t="s">
        <v>1350</v>
      </c>
      <c r="M59" s="19" t="s">
        <v>1351</v>
      </c>
      <c r="N59" s="17"/>
      <c r="Q59" s="16" t="s">
        <v>1826</v>
      </c>
      <c r="S59" s="1">
        <f t="shared" si="23"/>
        <v>0</v>
      </c>
      <c r="T59" s="1">
        <f t="shared" si="24"/>
        <v>0</v>
      </c>
      <c r="U59" s="1">
        <f t="shared" si="25"/>
        <v>0</v>
      </c>
      <c r="V59" s="1">
        <f t="shared" si="26"/>
        <v>0</v>
      </c>
      <c r="W59" s="1">
        <f t="shared" si="27"/>
        <v>0</v>
      </c>
      <c r="X59" s="1">
        <f t="shared" si="28"/>
        <v>0</v>
      </c>
      <c r="Y59" s="1">
        <f t="shared" si="29"/>
        <v>0</v>
      </c>
      <c r="Z59" s="1">
        <f t="shared" si="30"/>
        <v>0</v>
      </c>
      <c r="AA59" s="1">
        <f t="shared" si="31"/>
        <v>0</v>
      </c>
      <c r="AB59" s="1">
        <f t="shared" si="32"/>
        <v>0</v>
      </c>
      <c r="AD59" s="1">
        <f t="shared" si="33"/>
        <v>0</v>
      </c>
      <c r="AE59" s="1">
        <f t="shared" si="34"/>
        <v>0</v>
      </c>
      <c r="AF59" s="1">
        <f t="shared" si="35"/>
        <v>0</v>
      </c>
      <c r="AG59" s="1">
        <f t="shared" si="36"/>
        <v>0</v>
      </c>
      <c r="AH59" s="1">
        <f t="shared" si="37"/>
        <v>0</v>
      </c>
      <c r="AI59" s="1">
        <f t="shared" si="38"/>
        <v>1</v>
      </c>
    </row>
    <row r="60" spans="1:35" ht="14.25" customHeight="1" x14ac:dyDescent="0.25">
      <c r="A60" s="31">
        <v>0</v>
      </c>
      <c r="B60" s="31">
        <v>1</v>
      </c>
      <c r="C60" s="31">
        <v>2</v>
      </c>
      <c r="D60" s="36" t="s">
        <v>1169</v>
      </c>
      <c r="E60" s="36" t="s">
        <v>173</v>
      </c>
      <c r="F60" s="36" t="s">
        <v>1170</v>
      </c>
      <c r="G60" s="32" t="s">
        <v>39</v>
      </c>
      <c r="H60" s="36" t="s">
        <v>1171</v>
      </c>
      <c r="I60" s="37" t="s">
        <v>1172</v>
      </c>
      <c r="J60" s="31">
        <v>18</v>
      </c>
      <c r="K60" s="33" t="s">
        <v>933</v>
      </c>
      <c r="L60" s="33" t="s">
        <v>686</v>
      </c>
      <c r="M60" s="34" t="s">
        <v>946</v>
      </c>
      <c r="N60" s="34" t="s">
        <v>1687</v>
      </c>
      <c r="O60" s="35">
        <v>1</v>
      </c>
      <c r="P60" s="35">
        <v>1</v>
      </c>
      <c r="Q60" s="32" t="s">
        <v>1825</v>
      </c>
      <c r="S60" s="1">
        <f t="shared" si="23"/>
        <v>0</v>
      </c>
      <c r="T60" s="1">
        <f t="shared" si="24"/>
        <v>0</v>
      </c>
      <c r="U60" s="1">
        <f t="shared" si="25"/>
        <v>0</v>
      </c>
      <c r="V60" s="1">
        <f t="shared" si="26"/>
        <v>0</v>
      </c>
      <c r="W60" s="1">
        <f t="shared" si="27"/>
        <v>0</v>
      </c>
      <c r="X60" s="1">
        <f t="shared" si="28"/>
        <v>0</v>
      </c>
      <c r="Y60" s="1">
        <f t="shared" si="29"/>
        <v>0</v>
      </c>
      <c r="Z60" s="1">
        <f t="shared" si="30"/>
        <v>0</v>
      </c>
      <c r="AA60" s="1">
        <f t="shared" si="31"/>
        <v>0</v>
      </c>
      <c r="AB60" s="1">
        <f t="shared" si="32"/>
        <v>0</v>
      </c>
      <c r="AD60" s="1">
        <f t="shared" si="33"/>
        <v>1</v>
      </c>
      <c r="AE60" s="1">
        <f t="shared" si="34"/>
        <v>0</v>
      </c>
      <c r="AF60" s="1">
        <f t="shared" si="35"/>
        <v>1</v>
      </c>
      <c r="AG60" s="1">
        <f t="shared" si="36"/>
        <v>0</v>
      </c>
      <c r="AH60" s="1">
        <f t="shared" si="37"/>
        <v>1</v>
      </c>
      <c r="AI60" s="1">
        <f t="shared" si="38"/>
        <v>0</v>
      </c>
    </row>
    <row r="61" spans="1:35" ht="14.25" customHeight="1" x14ac:dyDescent="0.25">
      <c r="A61" s="31">
        <v>0</v>
      </c>
      <c r="B61" s="31">
        <v>1</v>
      </c>
      <c r="C61" s="31">
        <v>2</v>
      </c>
      <c r="D61" s="36" t="s">
        <v>2086</v>
      </c>
      <c r="E61" s="36" t="s">
        <v>171</v>
      </c>
      <c r="F61" s="36" t="s">
        <v>2087</v>
      </c>
      <c r="G61" s="32"/>
      <c r="H61" s="36" t="s">
        <v>360</v>
      </c>
      <c r="I61" s="37" t="s">
        <v>2088</v>
      </c>
      <c r="J61" s="31">
        <v>12</v>
      </c>
      <c r="K61" s="33" t="s">
        <v>694</v>
      </c>
      <c r="L61" s="33">
        <v>40</v>
      </c>
      <c r="M61" s="34" t="s">
        <v>947</v>
      </c>
      <c r="N61" s="34" t="s">
        <v>1689</v>
      </c>
      <c r="O61" s="35">
        <v>1</v>
      </c>
      <c r="P61" s="35"/>
      <c r="Q61" s="32" t="s">
        <v>2089</v>
      </c>
      <c r="S61" s="1">
        <f t="shared" si="23"/>
        <v>0</v>
      </c>
      <c r="T61" s="1">
        <f t="shared" si="24"/>
        <v>0</v>
      </c>
      <c r="U61" s="1">
        <f t="shared" si="25"/>
        <v>0</v>
      </c>
      <c r="V61" s="1">
        <f t="shared" si="26"/>
        <v>0</v>
      </c>
      <c r="W61" s="1">
        <f t="shared" si="27"/>
        <v>0</v>
      </c>
      <c r="X61" s="1">
        <f t="shared" si="28"/>
        <v>0</v>
      </c>
      <c r="Y61" s="1">
        <f t="shared" si="29"/>
        <v>0</v>
      </c>
      <c r="Z61" s="1">
        <f t="shared" si="30"/>
        <v>0</v>
      </c>
      <c r="AA61" s="1">
        <f t="shared" si="31"/>
        <v>0</v>
      </c>
      <c r="AB61" s="1">
        <f t="shared" si="32"/>
        <v>0</v>
      </c>
      <c r="AD61" s="1">
        <f t="shared" si="33"/>
        <v>0</v>
      </c>
      <c r="AE61" s="1">
        <f t="shared" si="34"/>
        <v>1</v>
      </c>
      <c r="AF61" s="1">
        <f t="shared" si="35"/>
        <v>0</v>
      </c>
      <c r="AG61" s="1">
        <f t="shared" si="36"/>
        <v>1</v>
      </c>
      <c r="AH61" s="1">
        <f t="shared" si="37"/>
        <v>0</v>
      </c>
      <c r="AI61" s="1">
        <f t="shared" si="38"/>
        <v>1</v>
      </c>
    </row>
    <row r="62" spans="1:35" ht="14.25" customHeight="1" x14ac:dyDescent="0.25">
      <c r="A62" s="15">
        <v>0</v>
      </c>
      <c r="B62" s="15">
        <v>1</v>
      </c>
      <c r="C62" s="15">
        <v>2</v>
      </c>
      <c r="D62" s="20" t="s">
        <v>1005</v>
      </c>
      <c r="E62" s="20" t="s">
        <v>174</v>
      </c>
      <c r="F62" s="20" t="s">
        <v>1007</v>
      </c>
      <c r="G62" s="16" t="s">
        <v>39</v>
      </c>
      <c r="H62" s="20" t="s">
        <v>363</v>
      </c>
      <c r="I62" s="21" t="s">
        <v>1006</v>
      </c>
      <c r="J62" s="15">
        <v>18</v>
      </c>
      <c r="K62" s="10" t="s">
        <v>693</v>
      </c>
      <c r="L62" s="10" t="s">
        <v>1112</v>
      </c>
      <c r="M62" s="19" t="s">
        <v>682</v>
      </c>
      <c r="N62" s="17"/>
      <c r="Q62" s="16"/>
      <c r="S62" s="1">
        <f t="shared" si="23"/>
        <v>0</v>
      </c>
      <c r="T62" s="1">
        <f t="shared" si="24"/>
        <v>0</v>
      </c>
      <c r="U62" s="1">
        <f t="shared" si="25"/>
        <v>0</v>
      </c>
      <c r="V62" s="1">
        <f t="shared" si="26"/>
        <v>0</v>
      </c>
      <c r="W62" s="1">
        <f t="shared" si="27"/>
        <v>0</v>
      </c>
      <c r="X62" s="1">
        <f t="shared" si="28"/>
        <v>0</v>
      </c>
      <c r="Y62" s="1">
        <f t="shared" si="29"/>
        <v>0</v>
      </c>
      <c r="Z62" s="1">
        <f t="shared" si="30"/>
        <v>0</v>
      </c>
      <c r="AA62" s="1">
        <f t="shared" si="31"/>
        <v>0</v>
      </c>
      <c r="AB62" s="1">
        <f t="shared" si="32"/>
        <v>0</v>
      </c>
      <c r="AD62" s="1">
        <f t="shared" si="33"/>
        <v>0</v>
      </c>
      <c r="AE62" s="1">
        <f t="shared" si="34"/>
        <v>0</v>
      </c>
      <c r="AF62" s="1">
        <f t="shared" si="35"/>
        <v>0</v>
      </c>
      <c r="AG62" s="1">
        <f t="shared" si="36"/>
        <v>0</v>
      </c>
      <c r="AH62" s="1">
        <f t="shared" si="37"/>
        <v>0</v>
      </c>
      <c r="AI62" s="1">
        <f t="shared" si="38"/>
        <v>1</v>
      </c>
    </row>
    <row r="63" spans="1:35" ht="14.25" customHeight="1" x14ac:dyDescent="0.25">
      <c r="A63" s="31">
        <v>0</v>
      </c>
      <c r="B63" s="31">
        <v>1</v>
      </c>
      <c r="C63" s="31">
        <v>2</v>
      </c>
      <c r="D63" s="32" t="s">
        <v>1548</v>
      </c>
      <c r="E63" s="32" t="s">
        <v>174</v>
      </c>
      <c r="F63" s="32" t="s">
        <v>1549</v>
      </c>
      <c r="G63" s="32" t="s">
        <v>1550</v>
      </c>
      <c r="H63" s="32" t="s">
        <v>352</v>
      </c>
      <c r="I63" s="31" t="s">
        <v>1449</v>
      </c>
      <c r="J63" s="31">
        <v>99</v>
      </c>
      <c r="K63" s="33" t="s">
        <v>693</v>
      </c>
      <c r="L63" s="33" t="s">
        <v>39</v>
      </c>
      <c r="M63" s="34" t="s">
        <v>39</v>
      </c>
      <c r="N63" s="34" t="s">
        <v>1681</v>
      </c>
      <c r="O63" s="35">
        <v>1</v>
      </c>
      <c r="P63" s="35">
        <v>1</v>
      </c>
      <c r="Q63" s="32"/>
      <c r="S63" s="1">
        <f t="shared" si="23"/>
        <v>0</v>
      </c>
      <c r="T63" s="1">
        <f t="shared" si="24"/>
        <v>0</v>
      </c>
      <c r="U63" s="1">
        <f t="shared" si="25"/>
        <v>0</v>
      </c>
      <c r="V63" s="1">
        <f t="shared" si="26"/>
        <v>0</v>
      </c>
      <c r="W63" s="1">
        <f t="shared" si="27"/>
        <v>0</v>
      </c>
      <c r="X63" s="1">
        <f t="shared" si="28"/>
        <v>0</v>
      </c>
      <c r="Y63" s="1">
        <f t="shared" si="29"/>
        <v>0</v>
      </c>
      <c r="Z63" s="1">
        <f t="shared" si="30"/>
        <v>0</v>
      </c>
      <c r="AA63" s="1">
        <f t="shared" si="31"/>
        <v>0</v>
      </c>
      <c r="AB63" s="1">
        <f t="shared" si="32"/>
        <v>0</v>
      </c>
      <c r="AD63" s="1">
        <f t="shared" si="33"/>
        <v>1</v>
      </c>
      <c r="AE63" s="1">
        <f t="shared" si="34"/>
        <v>0</v>
      </c>
      <c r="AF63" s="1">
        <f t="shared" si="35"/>
        <v>1</v>
      </c>
      <c r="AG63" s="1">
        <f t="shared" si="36"/>
        <v>0</v>
      </c>
      <c r="AH63" s="1">
        <f t="shared" si="37"/>
        <v>1</v>
      </c>
      <c r="AI63" s="1">
        <f t="shared" si="38"/>
        <v>0</v>
      </c>
    </row>
    <row r="64" spans="1:35" ht="14.25" customHeight="1" x14ac:dyDescent="0.25">
      <c r="A64" s="31">
        <v>0</v>
      </c>
      <c r="B64" s="31">
        <v>1</v>
      </c>
      <c r="C64" s="31">
        <v>2</v>
      </c>
      <c r="D64" s="32" t="s">
        <v>1576</v>
      </c>
      <c r="E64" s="32" t="s">
        <v>169</v>
      </c>
      <c r="F64" s="32" t="s">
        <v>1577</v>
      </c>
      <c r="G64" s="32" t="s">
        <v>39</v>
      </c>
      <c r="H64" s="32" t="s">
        <v>353</v>
      </c>
      <c r="I64" s="31" t="s">
        <v>1578</v>
      </c>
      <c r="J64" s="31">
        <v>11</v>
      </c>
      <c r="K64" s="33" t="s">
        <v>933</v>
      </c>
      <c r="L64" s="33" t="s">
        <v>39</v>
      </c>
      <c r="M64" s="34" t="s">
        <v>39</v>
      </c>
      <c r="N64" s="34" t="s">
        <v>1681</v>
      </c>
      <c r="O64" s="35">
        <v>1</v>
      </c>
      <c r="P64" s="35">
        <v>1</v>
      </c>
      <c r="Q64" s="36" t="s">
        <v>1845</v>
      </c>
      <c r="S64" s="1">
        <f t="shared" si="23"/>
        <v>0</v>
      </c>
      <c r="T64" s="1">
        <f t="shared" si="24"/>
        <v>0</v>
      </c>
      <c r="U64" s="1">
        <f t="shared" si="25"/>
        <v>0</v>
      </c>
      <c r="V64" s="1">
        <f t="shared" si="26"/>
        <v>0</v>
      </c>
      <c r="W64" s="1">
        <f t="shared" si="27"/>
        <v>0</v>
      </c>
      <c r="X64" s="1">
        <f t="shared" si="28"/>
        <v>0</v>
      </c>
      <c r="Y64" s="1">
        <f t="shared" si="29"/>
        <v>0</v>
      </c>
      <c r="Z64" s="1">
        <f t="shared" si="30"/>
        <v>0</v>
      </c>
      <c r="AA64" s="1">
        <f t="shared" si="31"/>
        <v>0</v>
      </c>
      <c r="AB64" s="1">
        <f t="shared" si="32"/>
        <v>0</v>
      </c>
      <c r="AD64" s="1">
        <f t="shared" si="33"/>
        <v>1</v>
      </c>
      <c r="AE64" s="1">
        <f t="shared" si="34"/>
        <v>0</v>
      </c>
      <c r="AF64" s="1">
        <f t="shared" si="35"/>
        <v>1</v>
      </c>
      <c r="AG64" s="1">
        <f t="shared" si="36"/>
        <v>0</v>
      </c>
      <c r="AH64" s="1">
        <f t="shared" si="37"/>
        <v>1</v>
      </c>
      <c r="AI64" s="1">
        <f t="shared" si="38"/>
        <v>0</v>
      </c>
    </row>
    <row r="65" spans="1:35" ht="14.25" customHeight="1" x14ac:dyDescent="0.25">
      <c r="A65" s="31">
        <v>0</v>
      </c>
      <c r="B65" s="31">
        <v>1</v>
      </c>
      <c r="C65" s="31">
        <v>2</v>
      </c>
      <c r="D65" s="32" t="s">
        <v>1573</v>
      </c>
      <c r="E65" s="32" t="s">
        <v>173</v>
      </c>
      <c r="F65" s="32" t="s">
        <v>1574</v>
      </c>
      <c r="G65" s="32" t="s">
        <v>1445</v>
      </c>
      <c r="H65" s="32" t="s">
        <v>352</v>
      </c>
      <c r="I65" s="31" t="s">
        <v>1575</v>
      </c>
      <c r="J65" s="31">
        <v>99</v>
      </c>
      <c r="K65" s="33" t="s">
        <v>938</v>
      </c>
      <c r="L65" s="33" t="s">
        <v>39</v>
      </c>
      <c r="M65" s="34" t="s">
        <v>39</v>
      </c>
      <c r="N65" s="34" t="s">
        <v>1681</v>
      </c>
      <c r="O65" s="35">
        <v>1</v>
      </c>
      <c r="P65" s="35">
        <v>1</v>
      </c>
      <c r="Q65" s="32"/>
      <c r="S65" s="1">
        <f t="shared" si="23"/>
        <v>0</v>
      </c>
      <c r="T65" s="1">
        <f t="shared" si="24"/>
        <v>0</v>
      </c>
      <c r="U65" s="1">
        <f t="shared" si="25"/>
        <v>0</v>
      </c>
      <c r="V65" s="1">
        <f t="shared" si="26"/>
        <v>0</v>
      </c>
      <c r="W65" s="1">
        <f t="shared" si="27"/>
        <v>0</v>
      </c>
      <c r="X65" s="1">
        <f t="shared" si="28"/>
        <v>0</v>
      </c>
      <c r="Y65" s="1">
        <f t="shared" si="29"/>
        <v>0</v>
      </c>
      <c r="Z65" s="1">
        <f t="shared" si="30"/>
        <v>0</v>
      </c>
      <c r="AA65" s="1">
        <f t="shared" si="31"/>
        <v>0</v>
      </c>
      <c r="AB65" s="1">
        <f t="shared" si="32"/>
        <v>0</v>
      </c>
      <c r="AD65" s="1">
        <f t="shared" si="33"/>
        <v>1</v>
      </c>
      <c r="AE65" s="1">
        <f t="shared" si="34"/>
        <v>0</v>
      </c>
      <c r="AF65" s="1">
        <f t="shared" si="35"/>
        <v>1</v>
      </c>
      <c r="AG65" s="1">
        <f t="shared" si="36"/>
        <v>0</v>
      </c>
      <c r="AH65" s="1">
        <f t="shared" si="37"/>
        <v>1</v>
      </c>
      <c r="AI65" s="1">
        <f t="shared" si="38"/>
        <v>0</v>
      </c>
    </row>
    <row r="66" spans="1:35" ht="14.25" customHeight="1" x14ac:dyDescent="0.25">
      <c r="A66" s="31">
        <v>0</v>
      </c>
      <c r="B66" s="31">
        <v>1</v>
      </c>
      <c r="C66" s="31">
        <v>2</v>
      </c>
      <c r="D66" s="32" t="s">
        <v>779</v>
      </c>
      <c r="E66" s="32" t="s">
        <v>173</v>
      </c>
      <c r="F66" s="32" t="s">
        <v>781</v>
      </c>
      <c r="G66" s="32" t="s">
        <v>39</v>
      </c>
      <c r="H66" s="32" t="s">
        <v>780</v>
      </c>
      <c r="I66" s="31" t="s">
        <v>782</v>
      </c>
      <c r="J66" s="31">
        <v>14</v>
      </c>
      <c r="K66" s="33" t="s">
        <v>940</v>
      </c>
      <c r="L66" s="33" t="s">
        <v>1660</v>
      </c>
      <c r="M66" s="34" t="s">
        <v>1343</v>
      </c>
      <c r="N66" s="34" t="s">
        <v>1694</v>
      </c>
      <c r="O66" s="35">
        <v>1</v>
      </c>
      <c r="P66" s="35"/>
      <c r="Q66" s="32"/>
      <c r="S66" s="1">
        <f t="shared" si="23"/>
        <v>0</v>
      </c>
      <c r="T66" s="1">
        <f t="shared" si="24"/>
        <v>0</v>
      </c>
      <c r="U66" s="1">
        <f t="shared" si="25"/>
        <v>0</v>
      </c>
      <c r="V66" s="1">
        <f t="shared" si="26"/>
        <v>0</v>
      </c>
      <c r="W66" s="1">
        <f t="shared" si="27"/>
        <v>0</v>
      </c>
      <c r="X66" s="1">
        <f t="shared" si="28"/>
        <v>0</v>
      </c>
      <c r="Y66" s="1">
        <f t="shared" si="29"/>
        <v>0</v>
      </c>
      <c r="Z66" s="1">
        <f t="shared" si="30"/>
        <v>0</v>
      </c>
      <c r="AA66" s="1">
        <f t="shared" si="31"/>
        <v>0</v>
      </c>
      <c r="AB66" s="1">
        <f t="shared" si="32"/>
        <v>0</v>
      </c>
      <c r="AD66" s="1">
        <f t="shared" si="33"/>
        <v>0</v>
      </c>
      <c r="AE66" s="1">
        <f t="shared" si="34"/>
        <v>1</v>
      </c>
      <c r="AF66" s="1">
        <f t="shared" si="35"/>
        <v>0</v>
      </c>
      <c r="AG66" s="1">
        <f t="shared" si="36"/>
        <v>1</v>
      </c>
      <c r="AH66" s="1">
        <f t="shared" si="37"/>
        <v>0</v>
      </c>
      <c r="AI66" s="1">
        <f t="shared" si="38"/>
        <v>1</v>
      </c>
    </row>
    <row r="67" spans="1:35" ht="14.25" customHeight="1" x14ac:dyDescent="0.25">
      <c r="A67" s="31">
        <v>0</v>
      </c>
      <c r="B67" s="31">
        <v>1</v>
      </c>
      <c r="C67" s="31">
        <v>2</v>
      </c>
      <c r="D67" s="32" t="s">
        <v>1289</v>
      </c>
      <c r="E67" s="32" t="s">
        <v>174</v>
      </c>
      <c r="F67" s="32" t="s">
        <v>1313</v>
      </c>
      <c r="G67" s="32" t="s">
        <v>39</v>
      </c>
      <c r="H67" s="32" t="s">
        <v>361</v>
      </c>
      <c r="I67" s="31" t="s">
        <v>1113</v>
      </c>
      <c r="J67" s="31">
        <v>14</v>
      </c>
      <c r="K67" s="33" t="s">
        <v>713</v>
      </c>
      <c r="L67" s="33" t="s">
        <v>1653</v>
      </c>
      <c r="M67" s="34" t="s">
        <v>948</v>
      </c>
      <c r="N67" s="34" t="s">
        <v>1790</v>
      </c>
      <c r="O67" s="35">
        <v>1</v>
      </c>
      <c r="P67" s="35"/>
      <c r="Q67" s="32"/>
      <c r="S67" s="1">
        <f t="shared" si="23"/>
        <v>0</v>
      </c>
      <c r="T67" s="1">
        <f t="shared" si="24"/>
        <v>0</v>
      </c>
      <c r="U67" s="1">
        <f t="shared" si="25"/>
        <v>0</v>
      </c>
      <c r="V67" s="1">
        <f t="shared" si="26"/>
        <v>0</v>
      </c>
      <c r="W67" s="1">
        <f t="shared" si="27"/>
        <v>0</v>
      </c>
      <c r="X67" s="1">
        <f t="shared" si="28"/>
        <v>0</v>
      </c>
      <c r="Y67" s="1">
        <f t="shared" si="29"/>
        <v>0</v>
      </c>
      <c r="Z67" s="1">
        <f t="shared" si="30"/>
        <v>0</v>
      </c>
      <c r="AA67" s="1">
        <f t="shared" si="31"/>
        <v>0</v>
      </c>
      <c r="AB67" s="1">
        <f t="shared" si="32"/>
        <v>0</v>
      </c>
      <c r="AD67" s="1">
        <f t="shared" si="33"/>
        <v>0</v>
      </c>
      <c r="AE67" s="1">
        <f t="shared" si="34"/>
        <v>1</v>
      </c>
      <c r="AF67" s="1">
        <f t="shared" si="35"/>
        <v>0</v>
      </c>
      <c r="AG67" s="1">
        <f t="shared" si="36"/>
        <v>1</v>
      </c>
      <c r="AH67" s="1">
        <f t="shared" si="37"/>
        <v>0</v>
      </c>
      <c r="AI67" s="1">
        <f t="shared" si="38"/>
        <v>1</v>
      </c>
    </row>
    <row r="68" spans="1:35" ht="14.25" customHeight="1" x14ac:dyDescent="0.25">
      <c r="A68" s="31">
        <v>0</v>
      </c>
      <c r="B68" s="31">
        <v>1</v>
      </c>
      <c r="C68" s="31">
        <v>2</v>
      </c>
      <c r="D68" s="32" t="s">
        <v>2096</v>
      </c>
      <c r="E68" s="32" t="s">
        <v>174</v>
      </c>
      <c r="F68" s="32" t="s">
        <v>2101</v>
      </c>
      <c r="G68" s="32"/>
      <c r="H68" s="32" t="s">
        <v>2098</v>
      </c>
      <c r="I68" s="31" t="s">
        <v>2097</v>
      </c>
      <c r="J68" s="31">
        <v>16</v>
      </c>
      <c r="K68" s="33" t="s">
        <v>694</v>
      </c>
      <c r="L68" s="33" t="s">
        <v>2099</v>
      </c>
      <c r="M68" s="34" t="s">
        <v>2100</v>
      </c>
      <c r="N68" s="34" t="s">
        <v>1790</v>
      </c>
      <c r="O68" s="35">
        <v>1</v>
      </c>
      <c r="P68" s="35"/>
      <c r="Q68" s="32" t="s">
        <v>2102</v>
      </c>
      <c r="S68" s="1">
        <f t="shared" si="23"/>
        <v>0</v>
      </c>
      <c r="T68" s="1">
        <f t="shared" si="24"/>
        <v>0</v>
      </c>
      <c r="U68" s="1">
        <f t="shared" si="25"/>
        <v>0</v>
      </c>
      <c r="V68" s="1">
        <f t="shared" si="26"/>
        <v>0</v>
      </c>
      <c r="W68" s="1">
        <f t="shared" si="27"/>
        <v>0</v>
      </c>
      <c r="X68" s="1">
        <f t="shared" si="28"/>
        <v>0</v>
      </c>
      <c r="Y68" s="1">
        <f t="shared" si="29"/>
        <v>0</v>
      </c>
      <c r="Z68" s="1">
        <f t="shared" si="30"/>
        <v>0</v>
      </c>
      <c r="AA68" s="1">
        <f t="shared" si="31"/>
        <v>0</v>
      </c>
      <c r="AB68" s="1">
        <f t="shared" si="32"/>
        <v>0</v>
      </c>
      <c r="AD68" s="1">
        <f t="shared" si="33"/>
        <v>0</v>
      </c>
      <c r="AE68" s="1">
        <f t="shared" si="34"/>
        <v>1</v>
      </c>
      <c r="AF68" s="1">
        <f t="shared" si="35"/>
        <v>0</v>
      </c>
      <c r="AG68" s="1">
        <f t="shared" si="36"/>
        <v>1</v>
      </c>
      <c r="AH68" s="1">
        <f t="shared" si="37"/>
        <v>0</v>
      </c>
      <c r="AI68" s="1">
        <f t="shared" si="38"/>
        <v>1</v>
      </c>
    </row>
    <row r="69" spans="1:35" ht="14.25" customHeight="1" x14ac:dyDescent="0.25">
      <c r="A69" s="31">
        <v>0</v>
      </c>
      <c r="B69" s="31">
        <v>1</v>
      </c>
      <c r="C69" s="31">
        <v>2</v>
      </c>
      <c r="D69" s="32" t="s">
        <v>1472</v>
      </c>
      <c r="E69" s="32" t="s">
        <v>169</v>
      </c>
      <c r="F69" s="32" t="s">
        <v>1474</v>
      </c>
      <c r="G69" s="32" t="s">
        <v>1136</v>
      </c>
      <c r="H69" s="32" t="s">
        <v>352</v>
      </c>
      <c r="I69" s="31" t="s">
        <v>1473</v>
      </c>
      <c r="J69" s="31">
        <v>11</v>
      </c>
      <c r="K69" s="33" t="s">
        <v>713</v>
      </c>
      <c r="L69" s="33">
        <v>50</v>
      </c>
      <c r="M69" s="34" t="s">
        <v>39</v>
      </c>
      <c r="N69" s="34" t="s">
        <v>1790</v>
      </c>
      <c r="O69" s="35">
        <v>1</v>
      </c>
      <c r="P69" s="35"/>
      <c r="Q69" s="32"/>
      <c r="S69" s="1">
        <f t="shared" si="23"/>
        <v>0</v>
      </c>
      <c r="T69" s="1">
        <f t="shared" si="24"/>
        <v>0</v>
      </c>
      <c r="U69" s="1">
        <f t="shared" si="25"/>
        <v>0</v>
      </c>
      <c r="V69" s="1">
        <f t="shared" si="26"/>
        <v>0</v>
      </c>
      <c r="W69" s="1">
        <f t="shared" si="27"/>
        <v>0</v>
      </c>
      <c r="X69" s="1">
        <f t="shared" si="28"/>
        <v>0</v>
      </c>
      <c r="Y69" s="1">
        <f t="shared" si="29"/>
        <v>0</v>
      </c>
      <c r="Z69" s="1">
        <f t="shared" si="30"/>
        <v>0</v>
      </c>
      <c r="AA69" s="1">
        <f t="shared" si="31"/>
        <v>0</v>
      </c>
      <c r="AB69" s="1">
        <f t="shared" si="32"/>
        <v>0</v>
      </c>
      <c r="AD69" s="1">
        <f t="shared" si="33"/>
        <v>0</v>
      </c>
      <c r="AE69" s="1">
        <f t="shared" si="34"/>
        <v>1</v>
      </c>
      <c r="AF69" s="1">
        <f t="shared" si="35"/>
        <v>0</v>
      </c>
      <c r="AG69" s="1">
        <f t="shared" si="36"/>
        <v>1</v>
      </c>
      <c r="AH69" s="1">
        <f t="shared" si="37"/>
        <v>0</v>
      </c>
      <c r="AI69" s="1">
        <f t="shared" si="38"/>
        <v>1</v>
      </c>
    </row>
    <row r="70" spans="1:35" ht="14.25" customHeight="1" x14ac:dyDescent="0.25">
      <c r="A70" s="31">
        <v>0</v>
      </c>
      <c r="B70" s="31">
        <v>1</v>
      </c>
      <c r="C70" s="31">
        <v>2</v>
      </c>
      <c r="D70" s="32" t="s">
        <v>1108</v>
      </c>
      <c r="E70" s="32" t="s">
        <v>174</v>
      </c>
      <c r="F70" s="32" t="s">
        <v>1111</v>
      </c>
      <c r="G70" s="32" t="s">
        <v>39</v>
      </c>
      <c r="H70" s="32" t="s">
        <v>1109</v>
      </c>
      <c r="I70" s="31" t="s">
        <v>1110</v>
      </c>
      <c r="J70" s="31">
        <v>12</v>
      </c>
      <c r="K70" s="33" t="s">
        <v>694</v>
      </c>
      <c r="L70" s="33">
        <v>50</v>
      </c>
      <c r="M70" s="34" t="s">
        <v>39</v>
      </c>
      <c r="N70" s="34" t="s">
        <v>1694</v>
      </c>
      <c r="O70" s="35">
        <v>1</v>
      </c>
      <c r="P70" s="35"/>
      <c r="Q70" s="32"/>
      <c r="S70" s="1">
        <f t="shared" si="23"/>
        <v>0</v>
      </c>
      <c r="T70" s="1">
        <f t="shared" si="24"/>
        <v>0</v>
      </c>
      <c r="U70" s="1">
        <f t="shared" si="25"/>
        <v>0</v>
      </c>
      <c r="V70" s="1">
        <f t="shared" si="26"/>
        <v>0</v>
      </c>
      <c r="W70" s="1">
        <f t="shared" si="27"/>
        <v>0</v>
      </c>
      <c r="X70" s="1">
        <f t="shared" si="28"/>
        <v>0</v>
      </c>
      <c r="Y70" s="1">
        <f t="shared" si="29"/>
        <v>0</v>
      </c>
      <c r="Z70" s="1">
        <f t="shared" si="30"/>
        <v>0</v>
      </c>
      <c r="AA70" s="1">
        <f t="shared" si="31"/>
        <v>0</v>
      </c>
      <c r="AB70" s="1">
        <f t="shared" si="32"/>
        <v>0</v>
      </c>
      <c r="AD70" s="1">
        <f t="shared" si="33"/>
        <v>0</v>
      </c>
      <c r="AE70" s="1">
        <f t="shared" si="34"/>
        <v>1</v>
      </c>
      <c r="AF70" s="1">
        <f t="shared" si="35"/>
        <v>0</v>
      </c>
      <c r="AG70" s="1">
        <f t="shared" si="36"/>
        <v>1</v>
      </c>
      <c r="AH70" s="1">
        <f t="shared" si="37"/>
        <v>0</v>
      </c>
      <c r="AI70" s="1">
        <f t="shared" si="38"/>
        <v>1</v>
      </c>
    </row>
    <row r="71" spans="1:35" ht="14.25" customHeight="1" x14ac:dyDescent="0.25">
      <c r="A71" s="31">
        <v>0</v>
      </c>
      <c r="B71" s="31">
        <v>1</v>
      </c>
      <c r="C71" s="31">
        <v>2</v>
      </c>
      <c r="D71" s="32" t="s">
        <v>153</v>
      </c>
      <c r="E71" s="32" t="s">
        <v>170</v>
      </c>
      <c r="F71" s="32" t="s">
        <v>2023</v>
      </c>
      <c r="G71" s="32" t="s">
        <v>2024</v>
      </c>
      <c r="H71" s="32" t="s">
        <v>352</v>
      </c>
      <c r="I71" s="31"/>
      <c r="J71" s="31">
        <v>1</v>
      </c>
      <c r="K71" s="33" t="s">
        <v>936</v>
      </c>
      <c r="L71" s="33" t="s">
        <v>39</v>
      </c>
      <c r="M71" s="34" t="s">
        <v>39</v>
      </c>
      <c r="N71" s="34" t="s">
        <v>1687</v>
      </c>
      <c r="O71" s="35">
        <v>1</v>
      </c>
      <c r="P71" s="35">
        <v>1</v>
      </c>
      <c r="Q71" s="32" t="s">
        <v>2025</v>
      </c>
      <c r="S71" s="1">
        <f t="shared" si="23"/>
        <v>1</v>
      </c>
      <c r="T71" s="1">
        <f t="shared" si="24"/>
        <v>0</v>
      </c>
      <c r="U71" s="1">
        <f t="shared" si="25"/>
        <v>0</v>
      </c>
      <c r="V71" s="1">
        <f t="shared" si="26"/>
        <v>0</v>
      </c>
      <c r="W71" s="1">
        <f t="shared" si="27"/>
        <v>0</v>
      </c>
      <c r="X71" s="1">
        <f t="shared" si="28"/>
        <v>0</v>
      </c>
      <c r="Y71" s="1">
        <f t="shared" si="29"/>
        <v>0</v>
      </c>
      <c r="Z71" s="1">
        <f t="shared" si="30"/>
        <v>0</v>
      </c>
      <c r="AA71" s="1">
        <f t="shared" si="31"/>
        <v>0</v>
      </c>
      <c r="AB71" s="1">
        <f t="shared" si="32"/>
        <v>0</v>
      </c>
      <c r="AD71" s="1">
        <f t="shared" si="33"/>
        <v>1</v>
      </c>
      <c r="AE71" s="1">
        <f t="shared" si="34"/>
        <v>0</v>
      </c>
      <c r="AF71" s="1">
        <f t="shared" si="35"/>
        <v>1</v>
      </c>
      <c r="AG71" s="1">
        <f t="shared" si="36"/>
        <v>0</v>
      </c>
      <c r="AH71" s="1">
        <f t="shared" si="37"/>
        <v>1</v>
      </c>
      <c r="AI71" s="1">
        <f t="shared" si="38"/>
        <v>0</v>
      </c>
    </row>
    <row r="72" spans="1:35" ht="14.25" customHeight="1" x14ac:dyDescent="0.25">
      <c r="A72" s="31">
        <v>0</v>
      </c>
      <c r="B72" s="31">
        <v>1</v>
      </c>
      <c r="C72" s="31">
        <v>2</v>
      </c>
      <c r="D72" s="32" t="s">
        <v>1409</v>
      </c>
      <c r="E72" s="32" t="s">
        <v>174</v>
      </c>
      <c r="F72" s="32" t="s">
        <v>1406</v>
      </c>
      <c r="G72" s="32" t="s">
        <v>39</v>
      </c>
      <c r="H72" s="32" t="s">
        <v>352</v>
      </c>
      <c r="I72" s="31" t="s">
        <v>1407</v>
      </c>
      <c r="J72" s="31">
        <v>99</v>
      </c>
      <c r="K72" s="33" t="s">
        <v>693</v>
      </c>
      <c r="L72" s="33" t="s">
        <v>680</v>
      </c>
      <c r="M72" s="34" t="s">
        <v>1408</v>
      </c>
      <c r="N72" s="34" t="s">
        <v>1681</v>
      </c>
      <c r="O72" s="35">
        <v>1</v>
      </c>
      <c r="P72" s="35">
        <v>1</v>
      </c>
      <c r="Q72" s="32"/>
      <c r="S72" s="1">
        <f t="shared" si="23"/>
        <v>0</v>
      </c>
      <c r="T72" s="1">
        <f t="shared" si="24"/>
        <v>0</v>
      </c>
      <c r="U72" s="1">
        <f t="shared" si="25"/>
        <v>0</v>
      </c>
      <c r="V72" s="1">
        <f t="shared" si="26"/>
        <v>0</v>
      </c>
      <c r="W72" s="1">
        <f t="shared" si="27"/>
        <v>0</v>
      </c>
      <c r="X72" s="1">
        <f t="shared" si="28"/>
        <v>0</v>
      </c>
      <c r="Y72" s="1">
        <f t="shared" si="29"/>
        <v>0</v>
      </c>
      <c r="Z72" s="1">
        <f t="shared" si="30"/>
        <v>0</v>
      </c>
      <c r="AA72" s="1">
        <f t="shared" si="31"/>
        <v>0</v>
      </c>
      <c r="AB72" s="1">
        <f t="shared" si="32"/>
        <v>0</v>
      </c>
      <c r="AD72" s="1">
        <f t="shared" si="33"/>
        <v>1</v>
      </c>
      <c r="AE72" s="1">
        <f t="shared" si="34"/>
        <v>0</v>
      </c>
      <c r="AF72" s="1">
        <f t="shared" si="35"/>
        <v>1</v>
      </c>
      <c r="AG72" s="1">
        <f t="shared" si="36"/>
        <v>0</v>
      </c>
      <c r="AH72" s="1">
        <f t="shared" si="37"/>
        <v>1</v>
      </c>
      <c r="AI72" s="1">
        <f t="shared" si="38"/>
        <v>0</v>
      </c>
    </row>
    <row r="73" spans="1:35" ht="14.25" customHeight="1" x14ac:dyDescent="0.25">
      <c r="A73" s="31">
        <v>0</v>
      </c>
      <c r="B73" s="31">
        <v>1</v>
      </c>
      <c r="C73" s="31">
        <v>2</v>
      </c>
      <c r="D73" s="32" t="s">
        <v>795</v>
      </c>
      <c r="E73" s="32" t="s">
        <v>174</v>
      </c>
      <c r="F73" s="32" t="s">
        <v>913</v>
      </c>
      <c r="G73" s="32" t="s">
        <v>212</v>
      </c>
      <c r="H73" s="32" t="s">
        <v>352</v>
      </c>
      <c r="I73" s="31" t="s">
        <v>796</v>
      </c>
      <c r="J73" s="31">
        <v>1</v>
      </c>
      <c r="K73" s="33" t="s">
        <v>932</v>
      </c>
      <c r="L73" s="33" t="s">
        <v>680</v>
      </c>
      <c r="M73" s="34" t="s">
        <v>682</v>
      </c>
      <c r="N73" s="34" t="s">
        <v>1790</v>
      </c>
      <c r="O73" s="35">
        <v>1</v>
      </c>
      <c r="P73" s="35"/>
      <c r="Q73" s="32"/>
      <c r="S73" s="1">
        <f t="shared" si="23"/>
        <v>1</v>
      </c>
      <c r="T73" s="1">
        <f t="shared" si="24"/>
        <v>0</v>
      </c>
      <c r="U73" s="1">
        <f t="shared" si="25"/>
        <v>0</v>
      </c>
      <c r="V73" s="1">
        <f t="shared" si="26"/>
        <v>0</v>
      </c>
      <c r="W73" s="1">
        <f t="shared" si="27"/>
        <v>0</v>
      </c>
      <c r="X73" s="1">
        <f t="shared" si="28"/>
        <v>0</v>
      </c>
      <c r="Y73" s="1">
        <f t="shared" si="29"/>
        <v>0</v>
      </c>
      <c r="Z73" s="1">
        <f t="shared" si="30"/>
        <v>0</v>
      </c>
      <c r="AA73" s="1">
        <f t="shared" si="31"/>
        <v>0</v>
      </c>
      <c r="AB73" s="1">
        <f t="shared" si="32"/>
        <v>0</v>
      </c>
      <c r="AD73" s="1">
        <f t="shared" si="33"/>
        <v>0</v>
      </c>
      <c r="AE73" s="1">
        <f t="shared" si="34"/>
        <v>1</v>
      </c>
      <c r="AF73" s="1">
        <f t="shared" si="35"/>
        <v>0</v>
      </c>
      <c r="AG73" s="1">
        <f t="shared" si="36"/>
        <v>1</v>
      </c>
      <c r="AH73" s="1">
        <f t="shared" si="37"/>
        <v>0</v>
      </c>
      <c r="AI73" s="1">
        <f t="shared" si="38"/>
        <v>1</v>
      </c>
    </row>
    <row r="74" spans="1:35" ht="14.25" customHeight="1" x14ac:dyDescent="0.25">
      <c r="A74" s="31">
        <v>0</v>
      </c>
      <c r="B74" s="31">
        <v>1</v>
      </c>
      <c r="C74" s="31">
        <v>2</v>
      </c>
      <c r="D74" s="32" t="s">
        <v>1290</v>
      </c>
      <c r="E74" s="32" t="s">
        <v>174</v>
      </c>
      <c r="F74" s="32" t="s">
        <v>1101</v>
      </c>
      <c r="G74" s="32" t="s">
        <v>39</v>
      </c>
      <c r="H74" s="32" t="s">
        <v>1100</v>
      </c>
      <c r="I74" s="31" t="s">
        <v>1099</v>
      </c>
      <c r="J74" s="31">
        <v>15</v>
      </c>
      <c r="K74" s="33" t="s">
        <v>933</v>
      </c>
      <c r="L74" s="33">
        <v>75</v>
      </c>
      <c r="M74" s="34" t="s">
        <v>1352</v>
      </c>
      <c r="N74" s="34" t="s">
        <v>1687</v>
      </c>
      <c r="O74" s="35">
        <v>1</v>
      </c>
      <c r="P74" s="35">
        <v>1</v>
      </c>
      <c r="Q74" s="32" t="s">
        <v>1922</v>
      </c>
      <c r="S74" s="1">
        <f t="shared" si="23"/>
        <v>0</v>
      </c>
      <c r="T74" s="1">
        <f t="shared" si="24"/>
        <v>0</v>
      </c>
      <c r="U74" s="1">
        <f t="shared" si="25"/>
        <v>0</v>
      </c>
      <c r="V74" s="1">
        <f t="shared" si="26"/>
        <v>0</v>
      </c>
      <c r="W74" s="1">
        <f t="shared" si="27"/>
        <v>0</v>
      </c>
      <c r="X74" s="1">
        <f t="shared" si="28"/>
        <v>0</v>
      </c>
      <c r="Y74" s="1">
        <f t="shared" si="29"/>
        <v>0</v>
      </c>
      <c r="Z74" s="1">
        <f t="shared" si="30"/>
        <v>0</v>
      </c>
      <c r="AA74" s="1">
        <f t="shared" si="31"/>
        <v>0</v>
      </c>
      <c r="AB74" s="1">
        <f t="shared" si="32"/>
        <v>0</v>
      </c>
      <c r="AD74" s="1">
        <f t="shared" si="33"/>
        <v>1</v>
      </c>
      <c r="AE74" s="1">
        <f t="shared" si="34"/>
        <v>0</v>
      </c>
      <c r="AF74" s="1">
        <f t="shared" si="35"/>
        <v>1</v>
      </c>
      <c r="AG74" s="1">
        <f t="shared" si="36"/>
        <v>0</v>
      </c>
      <c r="AH74" s="1">
        <f t="shared" si="37"/>
        <v>1</v>
      </c>
      <c r="AI74" s="1">
        <f t="shared" si="38"/>
        <v>0</v>
      </c>
    </row>
    <row r="75" spans="1:35" ht="14.25" customHeight="1" x14ac:dyDescent="0.25">
      <c r="A75" s="31">
        <v>0</v>
      </c>
      <c r="B75" s="31">
        <v>1</v>
      </c>
      <c r="C75" s="31">
        <v>2</v>
      </c>
      <c r="D75" s="32" t="s">
        <v>1023</v>
      </c>
      <c r="E75" s="32" t="s">
        <v>173</v>
      </c>
      <c r="F75" s="32" t="s">
        <v>1024</v>
      </c>
      <c r="G75" s="32" t="s">
        <v>620</v>
      </c>
      <c r="H75" s="32" t="s">
        <v>352</v>
      </c>
      <c r="I75" s="31" t="s">
        <v>1025</v>
      </c>
      <c r="J75" s="31">
        <v>99</v>
      </c>
      <c r="K75" s="33" t="s">
        <v>693</v>
      </c>
      <c r="L75" s="33" t="s">
        <v>39</v>
      </c>
      <c r="M75" s="34" t="s">
        <v>39</v>
      </c>
      <c r="N75" s="34" t="s">
        <v>1687</v>
      </c>
      <c r="O75" s="35">
        <v>1</v>
      </c>
      <c r="P75" s="35">
        <v>1</v>
      </c>
      <c r="Q75" s="32"/>
      <c r="S75" s="1">
        <f t="shared" si="23"/>
        <v>0</v>
      </c>
      <c r="T75" s="1">
        <f t="shared" si="24"/>
        <v>0</v>
      </c>
      <c r="U75" s="1">
        <f t="shared" si="25"/>
        <v>0</v>
      </c>
      <c r="V75" s="1">
        <f t="shared" si="26"/>
        <v>0</v>
      </c>
      <c r="W75" s="1">
        <f t="shared" si="27"/>
        <v>0</v>
      </c>
      <c r="X75" s="1">
        <f t="shared" si="28"/>
        <v>0</v>
      </c>
      <c r="Y75" s="1">
        <f t="shared" si="29"/>
        <v>0</v>
      </c>
      <c r="Z75" s="1">
        <f t="shared" si="30"/>
        <v>0</v>
      </c>
      <c r="AA75" s="1">
        <f t="shared" si="31"/>
        <v>0</v>
      </c>
      <c r="AB75" s="1">
        <f t="shared" si="32"/>
        <v>0</v>
      </c>
      <c r="AD75" s="1">
        <f t="shared" si="33"/>
        <v>1</v>
      </c>
      <c r="AE75" s="1">
        <f t="shared" si="34"/>
        <v>0</v>
      </c>
      <c r="AF75" s="1">
        <f t="shared" si="35"/>
        <v>1</v>
      </c>
      <c r="AG75" s="1">
        <f t="shared" si="36"/>
        <v>0</v>
      </c>
      <c r="AH75" s="1">
        <f t="shared" si="37"/>
        <v>1</v>
      </c>
      <c r="AI75" s="1">
        <f t="shared" si="38"/>
        <v>0</v>
      </c>
    </row>
    <row r="76" spans="1:35" ht="14.25" customHeight="1" x14ac:dyDescent="0.25">
      <c r="A76" s="31">
        <v>0</v>
      </c>
      <c r="B76" s="31">
        <v>1</v>
      </c>
      <c r="C76" s="31">
        <v>2</v>
      </c>
      <c r="D76" s="32" t="s">
        <v>1991</v>
      </c>
      <c r="E76" s="32" t="s">
        <v>1918</v>
      </c>
      <c r="F76" s="32" t="s">
        <v>1992</v>
      </c>
      <c r="G76" s="32" t="s">
        <v>283</v>
      </c>
      <c r="H76" s="32" t="s">
        <v>352</v>
      </c>
      <c r="I76" s="31" t="s">
        <v>1993</v>
      </c>
      <c r="J76" s="31">
        <v>10</v>
      </c>
      <c r="K76" s="33" t="s">
        <v>694</v>
      </c>
      <c r="L76" s="33"/>
      <c r="M76" s="34"/>
      <c r="N76" s="34" t="s">
        <v>1687</v>
      </c>
      <c r="O76" s="35">
        <v>1</v>
      </c>
      <c r="P76" s="35">
        <v>1</v>
      </c>
      <c r="Q76" s="36" t="s">
        <v>1994</v>
      </c>
      <c r="S76" s="1">
        <f t="shared" si="23"/>
        <v>0</v>
      </c>
      <c r="T76" s="1">
        <f t="shared" si="24"/>
        <v>0</v>
      </c>
      <c r="U76" s="1">
        <f t="shared" si="25"/>
        <v>0</v>
      </c>
      <c r="V76" s="1">
        <f t="shared" si="26"/>
        <v>0</v>
      </c>
      <c r="W76" s="1">
        <f t="shared" si="27"/>
        <v>0</v>
      </c>
      <c r="X76" s="1">
        <f t="shared" si="28"/>
        <v>0</v>
      </c>
      <c r="Y76" s="1">
        <f t="shared" si="29"/>
        <v>0</v>
      </c>
      <c r="Z76" s="1">
        <f t="shared" si="30"/>
        <v>0</v>
      </c>
      <c r="AA76" s="1">
        <f t="shared" si="31"/>
        <v>0</v>
      </c>
      <c r="AB76" s="1">
        <f t="shared" si="32"/>
        <v>1</v>
      </c>
      <c r="AD76" s="1">
        <f t="shared" si="33"/>
        <v>1</v>
      </c>
      <c r="AE76" s="1">
        <f t="shared" si="34"/>
        <v>0</v>
      </c>
      <c r="AF76" s="1">
        <f t="shared" si="35"/>
        <v>1</v>
      </c>
      <c r="AG76" s="1">
        <f t="shared" si="36"/>
        <v>0</v>
      </c>
      <c r="AH76" s="1">
        <f t="shared" si="37"/>
        <v>1</v>
      </c>
      <c r="AI76" s="1">
        <f t="shared" si="38"/>
        <v>0</v>
      </c>
    </row>
    <row r="77" spans="1:35" ht="14.25" customHeight="1" x14ac:dyDescent="0.25">
      <c r="A77" s="31">
        <v>0</v>
      </c>
      <c r="B77" s="31">
        <v>1</v>
      </c>
      <c r="C77" s="31">
        <v>2</v>
      </c>
      <c r="D77" s="36" t="s">
        <v>1947</v>
      </c>
      <c r="E77" s="32" t="s">
        <v>174</v>
      </c>
      <c r="F77" s="36" t="s">
        <v>1948</v>
      </c>
      <c r="G77" s="36" t="s">
        <v>219</v>
      </c>
      <c r="H77" s="36" t="s">
        <v>352</v>
      </c>
      <c r="I77" s="37" t="s">
        <v>1949</v>
      </c>
      <c r="J77" s="31">
        <v>8</v>
      </c>
      <c r="K77" s="33" t="s">
        <v>694</v>
      </c>
      <c r="L77" s="33"/>
      <c r="M77" s="34"/>
      <c r="N77" s="34" t="s">
        <v>1687</v>
      </c>
      <c r="O77" s="35">
        <v>1</v>
      </c>
      <c r="P77" s="35">
        <v>1</v>
      </c>
      <c r="Q77" s="32"/>
      <c r="S77" s="1">
        <f t="shared" si="23"/>
        <v>0</v>
      </c>
      <c r="T77" s="1">
        <f t="shared" si="24"/>
        <v>0</v>
      </c>
      <c r="U77" s="1">
        <f t="shared" si="25"/>
        <v>0</v>
      </c>
      <c r="V77" s="1">
        <f t="shared" si="26"/>
        <v>0</v>
      </c>
      <c r="W77" s="1">
        <f t="shared" si="27"/>
        <v>0</v>
      </c>
      <c r="X77" s="1">
        <f t="shared" si="28"/>
        <v>0</v>
      </c>
      <c r="Y77" s="1">
        <f t="shared" si="29"/>
        <v>0</v>
      </c>
      <c r="Z77" s="1">
        <f t="shared" si="30"/>
        <v>1</v>
      </c>
      <c r="AA77" s="1">
        <f t="shared" si="31"/>
        <v>0</v>
      </c>
      <c r="AB77" s="1">
        <f t="shared" si="32"/>
        <v>0</v>
      </c>
      <c r="AD77" s="1">
        <f t="shared" si="33"/>
        <v>1</v>
      </c>
      <c r="AE77" s="1">
        <f t="shared" si="34"/>
        <v>0</v>
      </c>
      <c r="AF77" s="1">
        <f t="shared" si="35"/>
        <v>1</v>
      </c>
      <c r="AG77" s="1">
        <f t="shared" si="36"/>
        <v>0</v>
      </c>
      <c r="AH77" s="1">
        <f t="shared" si="37"/>
        <v>1</v>
      </c>
      <c r="AI77" s="1">
        <f t="shared" si="38"/>
        <v>0</v>
      </c>
    </row>
    <row r="78" spans="1:35" ht="14.25" customHeight="1" x14ac:dyDescent="0.25">
      <c r="A78" s="31">
        <v>0</v>
      </c>
      <c r="B78" s="31">
        <v>1</v>
      </c>
      <c r="C78" s="31">
        <v>2</v>
      </c>
      <c r="D78" s="36" t="s">
        <v>576</v>
      </c>
      <c r="E78" s="32" t="s">
        <v>173</v>
      </c>
      <c r="F78" s="36" t="s">
        <v>578</v>
      </c>
      <c r="G78" s="36" t="s">
        <v>39</v>
      </c>
      <c r="H78" s="36" t="s">
        <v>579</v>
      </c>
      <c r="I78" s="37" t="s">
        <v>580</v>
      </c>
      <c r="J78" s="31">
        <v>12</v>
      </c>
      <c r="K78" s="33" t="s">
        <v>936</v>
      </c>
      <c r="L78" s="33" t="s">
        <v>1666</v>
      </c>
      <c r="M78" s="34" t="s">
        <v>1343</v>
      </c>
      <c r="N78" s="34" t="s">
        <v>1706</v>
      </c>
      <c r="O78" s="35">
        <v>1</v>
      </c>
      <c r="P78" s="35"/>
      <c r="Q78" s="32"/>
      <c r="S78" s="1">
        <f t="shared" si="23"/>
        <v>0</v>
      </c>
      <c r="T78" s="1">
        <f t="shared" si="24"/>
        <v>0</v>
      </c>
      <c r="U78" s="1">
        <f t="shared" si="25"/>
        <v>0</v>
      </c>
      <c r="V78" s="1">
        <f t="shared" si="26"/>
        <v>0</v>
      </c>
      <c r="W78" s="1">
        <f t="shared" si="27"/>
        <v>0</v>
      </c>
      <c r="X78" s="1">
        <f t="shared" si="28"/>
        <v>0</v>
      </c>
      <c r="Y78" s="1">
        <f t="shared" si="29"/>
        <v>0</v>
      </c>
      <c r="Z78" s="1">
        <f t="shared" si="30"/>
        <v>0</v>
      </c>
      <c r="AA78" s="1">
        <f t="shared" si="31"/>
        <v>0</v>
      </c>
      <c r="AB78" s="1">
        <f t="shared" si="32"/>
        <v>0</v>
      </c>
      <c r="AD78" s="1">
        <f t="shared" si="33"/>
        <v>0</v>
      </c>
      <c r="AE78" s="1">
        <f t="shared" si="34"/>
        <v>1</v>
      </c>
      <c r="AF78" s="1">
        <f t="shared" si="35"/>
        <v>0</v>
      </c>
      <c r="AG78" s="1">
        <f t="shared" si="36"/>
        <v>1</v>
      </c>
      <c r="AH78" s="1">
        <f t="shared" si="37"/>
        <v>0</v>
      </c>
      <c r="AI78" s="1">
        <f t="shared" si="38"/>
        <v>1</v>
      </c>
    </row>
    <row r="79" spans="1:35" ht="14.25" customHeight="1" x14ac:dyDescent="0.25">
      <c r="A79" s="31">
        <v>0</v>
      </c>
      <c r="B79" s="31">
        <v>1</v>
      </c>
      <c r="C79" s="31">
        <v>2</v>
      </c>
      <c r="D79" s="32" t="s">
        <v>1783</v>
      </c>
      <c r="E79" s="32" t="s">
        <v>173</v>
      </c>
      <c r="F79" s="32" t="s">
        <v>1784</v>
      </c>
      <c r="G79" s="32"/>
      <c r="H79" s="32" t="s">
        <v>1785</v>
      </c>
      <c r="I79" s="31" t="s">
        <v>1786</v>
      </c>
      <c r="J79" s="31">
        <v>14</v>
      </c>
      <c r="K79" s="33" t="s">
        <v>694</v>
      </c>
      <c r="L79" s="33">
        <v>75</v>
      </c>
      <c r="M79" s="34" t="s">
        <v>947</v>
      </c>
      <c r="N79" s="34" t="s">
        <v>1689</v>
      </c>
      <c r="O79" s="35">
        <v>1</v>
      </c>
      <c r="P79" s="35"/>
      <c r="Q79" s="32"/>
      <c r="S79" s="1">
        <f t="shared" si="23"/>
        <v>0</v>
      </c>
      <c r="T79" s="1">
        <f t="shared" si="24"/>
        <v>0</v>
      </c>
      <c r="U79" s="1">
        <f t="shared" si="25"/>
        <v>0</v>
      </c>
      <c r="V79" s="1">
        <f t="shared" si="26"/>
        <v>0</v>
      </c>
      <c r="W79" s="1">
        <f t="shared" si="27"/>
        <v>0</v>
      </c>
      <c r="X79" s="1">
        <f t="shared" si="28"/>
        <v>0</v>
      </c>
      <c r="Y79" s="1">
        <f t="shared" si="29"/>
        <v>0</v>
      </c>
      <c r="Z79" s="1">
        <f t="shared" si="30"/>
        <v>0</v>
      </c>
      <c r="AA79" s="1">
        <f t="shared" si="31"/>
        <v>0</v>
      </c>
      <c r="AB79" s="1">
        <f t="shared" si="32"/>
        <v>0</v>
      </c>
      <c r="AD79" s="1">
        <f t="shared" si="33"/>
        <v>0</v>
      </c>
      <c r="AE79" s="1">
        <f t="shared" si="34"/>
        <v>1</v>
      </c>
      <c r="AF79" s="1">
        <f t="shared" si="35"/>
        <v>0</v>
      </c>
      <c r="AG79" s="1">
        <f t="shared" si="36"/>
        <v>1</v>
      </c>
      <c r="AH79" s="1">
        <f t="shared" si="37"/>
        <v>0</v>
      </c>
      <c r="AI79" s="1">
        <f t="shared" si="38"/>
        <v>1</v>
      </c>
    </row>
    <row r="80" spans="1:35" ht="14.25" customHeight="1" x14ac:dyDescent="0.25">
      <c r="A80" s="31">
        <v>0</v>
      </c>
      <c r="B80" s="31">
        <v>1</v>
      </c>
      <c r="C80" s="31">
        <v>2</v>
      </c>
      <c r="D80" s="36" t="s">
        <v>1678</v>
      </c>
      <c r="E80" s="32" t="s">
        <v>174</v>
      </c>
      <c r="F80" s="36" t="s">
        <v>1679</v>
      </c>
      <c r="G80" s="36" t="s">
        <v>206</v>
      </c>
      <c r="H80" s="36" t="s">
        <v>352</v>
      </c>
      <c r="I80" s="37" t="s">
        <v>1680</v>
      </c>
      <c r="J80" s="31">
        <v>99</v>
      </c>
      <c r="K80" s="33" t="s">
        <v>694</v>
      </c>
      <c r="L80" s="33"/>
      <c r="M80" s="34"/>
      <c r="N80" s="34" t="s">
        <v>1681</v>
      </c>
      <c r="O80" s="35">
        <v>1</v>
      </c>
      <c r="P80" s="35">
        <v>1</v>
      </c>
      <c r="Q80" s="36"/>
      <c r="S80" s="1">
        <f t="shared" si="23"/>
        <v>0</v>
      </c>
      <c r="T80" s="1">
        <f t="shared" si="24"/>
        <v>0</v>
      </c>
      <c r="U80" s="1">
        <f t="shared" si="25"/>
        <v>0</v>
      </c>
      <c r="V80" s="1">
        <f t="shared" si="26"/>
        <v>0</v>
      </c>
      <c r="W80" s="1">
        <f t="shared" si="27"/>
        <v>0</v>
      </c>
      <c r="X80" s="1">
        <f t="shared" si="28"/>
        <v>0</v>
      </c>
      <c r="Y80" s="1">
        <f t="shared" si="29"/>
        <v>0</v>
      </c>
      <c r="Z80" s="1">
        <f t="shared" si="30"/>
        <v>0</v>
      </c>
      <c r="AA80" s="1">
        <f t="shared" si="31"/>
        <v>0</v>
      </c>
      <c r="AB80" s="1">
        <f t="shared" si="32"/>
        <v>0</v>
      </c>
      <c r="AD80" s="1">
        <f t="shared" si="33"/>
        <v>1</v>
      </c>
      <c r="AE80" s="1">
        <f t="shared" si="34"/>
        <v>0</v>
      </c>
      <c r="AF80" s="1">
        <f t="shared" si="35"/>
        <v>1</v>
      </c>
      <c r="AG80" s="1">
        <f t="shared" si="36"/>
        <v>0</v>
      </c>
      <c r="AH80" s="1">
        <f t="shared" si="37"/>
        <v>1</v>
      </c>
      <c r="AI80" s="1">
        <f t="shared" si="38"/>
        <v>0</v>
      </c>
    </row>
    <row r="81" spans="1:35" ht="14.25" customHeight="1" x14ac:dyDescent="0.25">
      <c r="A81" s="31">
        <v>0</v>
      </c>
      <c r="B81" s="31">
        <v>1</v>
      </c>
      <c r="C81" s="31">
        <v>2</v>
      </c>
      <c r="D81" s="36" t="s">
        <v>1034</v>
      </c>
      <c r="E81" s="32" t="s">
        <v>174</v>
      </c>
      <c r="F81" s="36" t="s">
        <v>1073</v>
      </c>
      <c r="G81" s="36" t="s">
        <v>39</v>
      </c>
      <c r="H81" s="36" t="s">
        <v>1035</v>
      </c>
      <c r="I81" s="37" t="s">
        <v>1132</v>
      </c>
      <c r="J81" s="31">
        <v>13</v>
      </c>
      <c r="K81" s="33" t="s">
        <v>693</v>
      </c>
      <c r="L81" s="33" t="s">
        <v>680</v>
      </c>
      <c r="M81" s="34" t="s">
        <v>1403</v>
      </c>
      <c r="N81" s="34" t="s">
        <v>1694</v>
      </c>
      <c r="O81" s="35">
        <v>1</v>
      </c>
      <c r="P81" s="35"/>
      <c r="Q81" s="36"/>
      <c r="S81" s="1">
        <f t="shared" si="23"/>
        <v>0</v>
      </c>
      <c r="T81" s="1">
        <f t="shared" si="24"/>
        <v>0</v>
      </c>
      <c r="U81" s="1">
        <f t="shared" si="25"/>
        <v>0</v>
      </c>
      <c r="V81" s="1">
        <f t="shared" si="26"/>
        <v>0</v>
      </c>
      <c r="W81" s="1">
        <f t="shared" si="27"/>
        <v>0</v>
      </c>
      <c r="X81" s="1">
        <f t="shared" si="28"/>
        <v>0</v>
      </c>
      <c r="Y81" s="1">
        <f t="shared" si="29"/>
        <v>0</v>
      </c>
      <c r="Z81" s="1">
        <f t="shared" si="30"/>
        <v>0</v>
      </c>
      <c r="AA81" s="1">
        <f t="shared" si="31"/>
        <v>0</v>
      </c>
      <c r="AB81" s="1">
        <f t="shared" si="32"/>
        <v>0</v>
      </c>
      <c r="AD81" s="1">
        <f t="shared" si="33"/>
        <v>0</v>
      </c>
      <c r="AE81" s="1">
        <f t="shared" si="34"/>
        <v>1</v>
      </c>
      <c r="AF81" s="1">
        <f t="shared" si="35"/>
        <v>0</v>
      </c>
      <c r="AG81" s="1">
        <f t="shared" si="36"/>
        <v>1</v>
      </c>
      <c r="AH81" s="1">
        <f t="shared" si="37"/>
        <v>0</v>
      </c>
      <c r="AI81" s="1">
        <f t="shared" si="38"/>
        <v>1</v>
      </c>
    </row>
    <row r="82" spans="1:35" ht="14.25" customHeight="1" x14ac:dyDescent="0.25">
      <c r="A82" s="56">
        <v>0</v>
      </c>
      <c r="B82" s="56">
        <v>1</v>
      </c>
      <c r="C82" s="56">
        <v>2</v>
      </c>
      <c r="D82" s="61" t="s">
        <v>1551</v>
      </c>
      <c r="E82" s="57" t="s">
        <v>174</v>
      </c>
      <c r="F82" s="61" t="s">
        <v>1552</v>
      </c>
      <c r="G82" s="61" t="s">
        <v>234</v>
      </c>
      <c r="H82" s="61" t="s">
        <v>352</v>
      </c>
      <c r="I82" s="62" t="s">
        <v>1553</v>
      </c>
      <c r="J82" s="56">
        <v>99</v>
      </c>
      <c r="K82" s="58" t="s">
        <v>932</v>
      </c>
      <c r="L82" s="58">
        <v>45</v>
      </c>
      <c r="M82" s="59" t="s">
        <v>39</v>
      </c>
      <c r="N82" s="59" t="s">
        <v>1733</v>
      </c>
      <c r="O82" s="60">
        <v>1</v>
      </c>
      <c r="P82" s="60"/>
      <c r="Q82" s="61"/>
      <c r="S82" s="1">
        <f t="shared" ref="S82:S146" si="39">IF(J82=$S$7,1,0)</f>
        <v>0</v>
      </c>
      <c r="T82" s="1">
        <f t="shared" ref="T82:T146" si="40">IF(J82=$T$7,1,0)</f>
        <v>0</v>
      </c>
      <c r="U82" s="1">
        <f t="shared" ref="U82:U146" si="41">IF(J82=$U$7,1,0)</f>
        <v>0</v>
      </c>
      <c r="V82" s="1">
        <f t="shared" ref="V82:V146" si="42">IF(J82=$V$7,1,0)</f>
        <v>0</v>
      </c>
      <c r="W82" s="1">
        <f t="shared" ref="W82:W146" si="43">IF(J82=$W$7,1,0)</f>
        <v>0</v>
      </c>
      <c r="X82" s="1">
        <f t="shared" ref="X82:X146" si="44">IF(J82=$X$7,1,0)</f>
        <v>0</v>
      </c>
      <c r="Y82" s="1">
        <f t="shared" ref="Y82:Y146" si="45">IF(J82=$Y$7,1,0)</f>
        <v>0</v>
      </c>
      <c r="Z82" s="1">
        <f t="shared" ref="Z82:Z146" si="46">IF(J82=$Z$7,1,0)</f>
        <v>0</v>
      </c>
      <c r="AA82" s="1">
        <f t="shared" ref="AA82:AA146" si="47">IF(J82=$AA$7,1,0)</f>
        <v>0</v>
      </c>
      <c r="AB82" s="1">
        <f t="shared" ref="AB82:AB146" si="48">IF(J82=$AB$7,1,0)</f>
        <v>0</v>
      </c>
      <c r="AD82" s="1">
        <f t="shared" ref="AD82:AD146" si="49">+O82*P82</f>
        <v>0</v>
      </c>
      <c r="AE82" s="1">
        <f t="shared" ref="AE82:AE146" si="50">O82*(1-P82)</f>
        <v>1</v>
      </c>
      <c r="AF82" s="1">
        <f t="shared" si="35"/>
        <v>0</v>
      </c>
      <c r="AG82" s="1">
        <f t="shared" si="36"/>
        <v>1</v>
      </c>
      <c r="AH82" s="1">
        <f t="shared" si="37"/>
        <v>0</v>
      </c>
      <c r="AI82" s="1">
        <f t="shared" si="38"/>
        <v>1</v>
      </c>
    </row>
    <row r="83" spans="1:35" ht="14.25" customHeight="1" x14ac:dyDescent="0.25">
      <c r="A83" s="31">
        <v>0</v>
      </c>
      <c r="B83" s="31">
        <v>1</v>
      </c>
      <c r="C83" s="31">
        <v>2</v>
      </c>
      <c r="D83" s="36" t="s">
        <v>1292</v>
      </c>
      <c r="E83" s="32" t="s">
        <v>173</v>
      </c>
      <c r="F83" s="36" t="s">
        <v>1235</v>
      </c>
      <c r="G83" s="36" t="s">
        <v>206</v>
      </c>
      <c r="H83" s="36" t="s">
        <v>352</v>
      </c>
      <c r="I83" s="37" t="s">
        <v>1236</v>
      </c>
      <c r="J83" s="31">
        <v>99</v>
      </c>
      <c r="K83" s="33" t="s">
        <v>938</v>
      </c>
      <c r="L83" s="33" t="s">
        <v>39</v>
      </c>
      <c r="M83" s="34" t="s">
        <v>39</v>
      </c>
      <c r="N83" s="34" t="s">
        <v>1681</v>
      </c>
      <c r="O83" s="35">
        <v>1</v>
      </c>
      <c r="P83" s="35">
        <v>1</v>
      </c>
      <c r="Q83" s="36"/>
      <c r="S83" s="1">
        <f t="shared" si="39"/>
        <v>0</v>
      </c>
      <c r="T83" s="1">
        <f t="shared" si="40"/>
        <v>0</v>
      </c>
      <c r="U83" s="1">
        <f t="shared" si="41"/>
        <v>0</v>
      </c>
      <c r="V83" s="1">
        <f t="shared" si="42"/>
        <v>0</v>
      </c>
      <c r="W83" s="1">
        <f t="shared" si="43"/>
        <v>0</v>
      </c>
      <c r="X83" s="1">
        <f t="shared" si="44"/>
        <v>0</v>
      </c>
      <c r="Y83" s="1">
        <f t="shared" si="45"/>
        <v>0</v>
      </c>
      <c r="Z83" s="1">
        <f t="shared" si="46"/>
        <v>0</v>
      </c>
      <c r="AA83" s="1">
        <f t="shared" si="47"/>
        <v>0</v>
      </c>
      <c r="AB83" s="1">
        <f t="shared" si="48"/>
        <v>0</v>
      </c>
      <c r="AD83" s="1">
        <f t="shared" si="49"/>
        <v>1</v>
      </c>
      <c r="AE83" s="1">
        <f t="shared" si="50"/>
        <v>0</v>
      </c>
      <c r="AF83" s="1">
        <f t="shared" ref="AF83:AF147" si="51">+O83*P83*(1-A83)</f>
        <v>1</v>
      </c>
      <c r="AG83" s="1">
        <f t="shared" ref="AG83:AG147" si="52">O83*(1-P83)*(1-A83)</f>
        <v>0</v>
      </c>
      <c r="AH83" s="1">
        <f t="shared" ref="AH83:AH147" si="53">+P83*(1-A83)</f>
        <v>1</v>
      </c>
      <c r="AI83" s="1">
        <f t="shared" ref="AI83:AI147" si="54">+(1-A83)*(1-P83)</f>
        <v>0</v>
      </c>
    </row>
    <row r="84" spans="1:35" ht="14.25" customHeight="1" x14ac:dyDescent="0.25">
      <c r="A84" s="31">
        <v>0</v>
      </c>
      <c r="B84" s="31">
        <v>1</v>
      </c>
      <c r="C84" s="31">
        <v>3</v>
      </c>
      <c r="D84" s="36" t="s">
        <v>1742</v>
      </c>
      <c r="E84" s="32" t="s">
        <v>169</v>
      </c>
      <c r="F84" s="36" t="s">
        <v>1740</v>
      </c>
      <c r="G84" s="36" t="s">
        <v>231</v>
      </c>
      <c r="H84" s="36" t="s">
        <v>352</v>
      </c>
      <c r="I84" s="37" t="s">
        <v>1741</v>
      </c>
      <c r="J84" s="31">
        <v>99</v>
      </c>
      <c r="K84" s="33" t="s">
        <v>694</v>
      </c>
      <c r="L84" s="33"/>
      <c r="M84" s="34"/>
      <c r="N84" s="34" t="s">
        <v>1681</v>
      </c>
      <c r="O84" s="35">
        <v>1</v>
      </c>
      <c r="P84" s="35">
        <v>1</v>
      </c>
      <c r="Q84" s="36"/>
      <c r="S84" s="1">
        <f t="shared" si="39"/>
        <v>0</v>
      </c>
      <c r="T84" s="1">
        <f t="shared" si="40"/>
        <v>0</v>
      </c>
      <c r="U84" s="1">
        <f t="shared" si="41"/>
        <v>0</v>
      </c>
      <c r="V84" s="1">
        <f t="shared" si="42"/>
        <v>0</v>
      </c>
      <c r="W84" s="1">
        <f t="shared" si="43"/>
        <v>0</v>
      </c>
      <c r="X84" s="1">
        <f t="shared" si="44"/>
        <v>0</v>
      </c>
      <c r="Y84" s="1">
        <f t="shared" si="45"/>
        <v>0</v>
      </c>
      <c r="Z84" s="1">
        <f t="shared" si="46"/>
        <v>0</v>
      </c>
      <c r="AA84" s="1">
        <f t="shared" si="47"/>
        <v>0</v>
      </c>
      <c r="AB84" s="1">
        <f t="shared" si="48"/>
        <v>0</v>
      </c>
      <c r="AD84" s="1">
        <f t="shared" si="49"/>
        <v>1</v>
      </c>
      <c r="AE84" s="1">
        <f t="shared" si="50"/>
        <v>0</v>
      </c>
      <c r="AF84" s="1">
        <f t="shared" si="51"/>
        <v>1</v>
      </c>
      <c r="AG84" s="1">
        <f t="shared" si="52"/>
        <v>0</v>
      </c>
      <c r="AH84" s="1">
        <f t="shared" si="53"/>
        <v>1</v>
      </c>
      <c r="AI84" s="1">
        <f t="shared" si="54"/>
        <v>0</v>
      </c>
    </row>
    <row r="85" spans="1:35" ht="14.25" customHeight="1" x14ac:dyDescent="0.25">
      <c r="A85" s="31">
        <v>0</v>
      </c>
      <c r="B85" s="31">
        <v>1</v>
      </c>
      <c r="C85" s="31">
        <v>3</v>
      </c>
      <c r="D85" s="36" t="s">
        <v>1129</v>
      </c>
      <c r="E85" s="32" t="s">
        <v>169</v>
      </c>
      <c r="F85" s="36" t="s">
        <v>1130</v>
      </c>
      <c r="G85" s="36" t="s">
        <v>39</v>
      </c>
      <c r="H85" s="36" t="s">
        <v>1324</v>
      </c>
      <c r="I85" s="37" t="s">
        <v>1131</v>
      </c>
      <c r="J85" s="31">
        <v>11</v>
      </c>
      <c r="K85" s="33" t="s">
        <v>693</v>
      </c>
      <c r="L85" s="33" t="s">
        <v>1653</v>
      </c>
      <c r="M85" s="34" t="s">
        <v>1353</v>
      </c>
      <c r="N85" s="34" t="s">
        <v>1694</v>
      </c>
      <c r="O85" s="35">
        <v>1</v>
      </c>
      <c r="P85" s="35"/>
      <c r="Q85" s="36"/>
      <c r="S85" s="1">
        <f t="shared" si="39"/>
        <v>0</v>
      </c>
      <c r="T85" s="1">
        <f t="shared" si="40"/>
        <v>0</v>
      </c>
      <c r="U85" s="1">
        <f t="shared" si="41"/>
        <v>0</v>
      </c>
      <c r="V85" s="1">
        <f t="shared" si="42"/>
        <v>0</v>
      </c>
      <c r="W85" s="1">
        <f t="shared" si="43"/>
        <v>0</v>
      </c>
      <c r="X85" s="1">
        <f t="shared" si="44"/>
        <v>0</v>
      </c>
      <c r="Y85" s="1">
        <f t="shared" si="45"/>
        <v>0</v>
      </c>
      <c r="Z85" s="1">
        <f t="shared" si="46"/>
        <v>0</v>
      </c>
      <c r="AA85" s="1">
        <f t="shared" si="47"/>
        <v>0</v>
      </c>
      <c r="AB85" s="1">
        <f t="shared" si="48"/>
        <v>0</v>
      </c>
      <c r="AD85" s="1">
        <f t="shared" si="49"/>
        <v>0</v>
      </c>
      <c r="AE85" s="1">
        <f t="shared" si="50"/>
        <v>1</v>
      </c>
      <c r="AF85" s="1">
        <f t="shared" si="51"/>
        <v>0</v>
      </c>
      <c r="AG85" s="1">
        <f t="shared" si="52"/>
        <v>1</v>
      </c>
      <c r="AH85" s="1">
        <f t="shared" si="53"/>
        <v>0</v>
      </c>
      <c r="AI85" s="1">
        <f t="shared" si="54"/>
        <v>1</v>
      </c>
    </row>
    <row r="86" spans="1:35" ht="14.25" customHeight="1" x14ac:dyDescent="0.25">
      <c r="A86" s="31">
        <v>0</v>
      </c>
      <c r="B86" s="31">
        <v>1</v>
      </c>
      <c r="C86" s="31">
        <v>3</v>
      </c>
      <c r="D86" s="36" t="s">
        <v>123</v>
      </c>
      <c r="E86" s="32" t="s">
        <v>169</v>
      </c>
      <c r="F86" s="36" t="s">
        <v>569</v>
      </c>
      <c r="G86" s="36" t="s">
        <v>39</v>
      </c>
      <c r="H86" s="36" t="s">
        <v>371</v>
      </c>
      <c r="I86" s="37" t="s">
        <v>468</v>
      </c>
      <c r="J86" s="31">
        <v>18</v>
      </c>
      <c r="K86" s="33" t="s">
        <v>694</v>
      </c>
      <c r="L86" s="33" t="s">
        <v>686</v>
      </c>
      <c r="M86" s="34" t="s">
        <v>682</v>
      </c>
      <c r="N86" s="34" t="s">
        <v>1766</v>
      </c>
      <c r="O86" s="35">
        <v>1</v>
      </c>
      <c r="P86" s="35"/>
      <c r="Q86" s="36" t="s">
        <v>1822</v>
      </c>
      <c r="S86" s="1">
        <f t="shared" si="39"/>
        <v>0</v>
      </c>
      <c r="T86" s="1">
        <f t="shared" si="40"/>
        <v>0</v>
      </c>
      <c r="U86" s="1">
        <f t="shared" si="41"/>
        <v>0</v>
      </c>
      <c r="V86" s="1">
        <f t="shared" si="42"/>
        <v>0</v>
      </c>
      <c r="W86" s="1">
        <f t="shared" si="43"/>
        <v>0</v>
      </c>
      <c r="X86" s="1">
        <f t="shared" si="44"/>
        <v>0</v>
      </c>
      <c r="Y86" s="1">
        <f t="shared" si="45"/>
        <v>0</v>
      </c>
      <c r="Z86" s="1">
        <f t="shared" si="46"/>
        <v>0</v>
      </c>
      <c r="AA86" s="1">
        <f t="shared" si="47"/>
        <v>0</v>
      </c>
      <c r="AB86" s="1">
        <f t="shared" si="48"/>
        <v>0</v>
      </c>
      <c r="AD86" s="1">
        <f t="shared" si="49"/>
        <v>0</v>
      </c>
      <c r="AE86" s="1">
        <f t="shared" si="50"/>
        <v>1</v>
      </c>
      <c r="AF86" s="1">
        <f t="shared" si="51"/>
        <v>0</v>
      </c>
      <c r="AG86" s="1">
        <f t="shared" si="52"/>
        <v>1</v>
      </c>
      <c r="AH86" s="1">
        <f t="shared" si="53"/>
        <v>0</v>
      </c>
      <c r="AI86" s="1">
        <f t="shared" si="54"/>
        <v>1</v>
      </c>
    </row>
    <row r="87" spans="1:35" ht="14.25" customHeight="1" x14ac:dyDescent="0.25">
      <c r="A87" s="31">
        <v>0</v>
      </c>
      <c r="B87" s="31">
        <v>1</v>
      </c>
      <c r="C87" s="31">
        <v>3</v>
      </c>
      <c r="D87" s="36" t="s">
        <v>986</v>
      </c>
      <c r="E87" s="32" t="s">
        <v>171</v>
      </c>
      <c r="F87" s="36" t="s">
        <v>987</v>
      </c>
      <c r="G87" s="36" t="s">
        <v>988</v>
      </c>
      <c r="H87" s="36" t="s">
        <v>352</v>
      </c>
      <c r="I87" s="37" t="s">
        <v>989</v>
      </c>
      <c r="J87" s="31">
        <v>99</v>
      </c>
      <c r="K87" s="33" t="s">
        <v>932</v>
      </c>
      <c r="L87" s="33" t="s">
        <v>39</v>
      </c>
      <c r="M87" s="34" t="s">
        <v>39</v>
      </c>
      <c r="N87" s="34" t="s">
        <v>1687</v>
      </c>
      <c r="O87" s="35">
        <v>1</v>
      </c>
      <c r="P87" s="35">
        <v>1</v>
      </c>
      <c r="Q87" s="36"/>
      <c r="S87" s="1">
        <f t="shared" si="39"/>
        <v>0</v>
      </c>
      <c r="T87" s="1">
        <f t="shared" si="40"/>
        <v>0</v>
      </c>
      <c r="U87" s="1">
        <f t="shared" si="41"/>
        <v>0</v>
      </c>
      <c r="V87" s="1">
        <f t="shared" si="42"/>
        <v>0</v>
      </c>
      <c r="W87" s="1">
        <f t="shared" si="43"/>
        <v>0</v>
      </c>
      <c r="X87" s="1">
        <f t="shared" si="44"/>
        <v>0</v>
      </c>
      <c r="Y87" s="1">
        <f t="shared" si="45"/>
        <v>0</v>
      </c>
      <c r="Z87" s="1">
        <f t="shared" si="46"/>
        <v>0</v>
      </c>
      <c r="AA87" s="1">
        <f t="shared" si="47"/>
        <v>0</v>
      </c>
      <c r="AB87" s="1">
        <f t="shared" si="48"/>
        <v>0</v>
      </c>
      <c r="AD87" s="1">
        <f t="shared" si="49"/>
        <v>1</v>
      </c>
      <c r="AE87" s="1">
        <f t="shared" si="50"/>
        <v>0</v>
      </c>
      <c r="AF87" s="1">
        <f t="shared" si="51"/>
        <v>1</v>
      </c>
      <c r="AG87" s="1">
        <f t="shared" si="52"/>
        <v>0</v>
      </c>
      <c r="AH87" s="1">
        <f t="shared" si="53"/>
        <v>1</v>
      </c>
      <c r="AI87" s="1">
        <f t="shared" si="54"/>
        <v>0</v>
      </c>
    </row>
    <row r="88" spans="1:35" ht="14.25" customHeight="1" x14ac:dyDescent="0.25">
      <c r="A88" s="31">
        <v>0</v>
      </c>
      <c r="B88" s="31">
        <v>1</v>
      </c>
      <c r="C88" s="31">
        <v>3</v>
      </c>
      <c r="D88" s="36" t="s">
        <v>142</v>
      </c>
      <c r="E88" s="32" t="s">
        <v>174</v>
      </c>
      <c r="F88" s="36" t="s">
        <v>342</v>
      </c>
      <c r="G88" s="36" t="s">
        <v>343</v>
      </c>
      <c r="H88" s="36" t="s">
        <v>352</v>
      </c>
      <c r="I88" s="37" t="s">
        <v>488</v>
      </c>
      <c r="J88" s="31">
        <v>6</v>
      </c>
      <c r="K88" s="33" t="s">
        <v>933</v>
      </c>
      <c r="L88" s="33" t="s">
        <v>678</v>
      </c>
      <c r="M88" s="34" t="s">
        <v>682</v>
      </c>
      <c r="N88" s="34" t="s">
        <v>1689</v>
      </c>
      <c r="O88" s="35">
        <v>1</v>
      </c>
      <c r="P88" s="35"/>
      <c r="Q88" s="36"/>
      <c r="S88" s="1">
        <f t="shared" si="39"/>
        <v>0</v>
      </c>
      <c r="T88" s="1">
        <f t="shared" si="40"/>
        <v>0</v>
      </c>
      <c r="U88" s="1">
        <f t="shared" si="41"/>
        <v>0</v>
      </c>
      <c r="V88" s="1">
        <f t="shared" si="42"/>
        <v>0</v>
      </c>
      <c r="W88" s="1">
        <f t="shared" si="43"/>
        <v>0</v>
      </c>
      <c r="X88" s="1">
        <f t="shared" si="44"/>
        <v>1</v>
      </c>
      <c r="Y88" s="1">
        <f t="shared" si="45"/>
        <v>0</v>
      </c>
      <c r="Z88" s="1">
        <f t="shared" si="46"/>
        <v>0</v>
      </c>
      <c r="AA88" s="1">
        <f t="shared" si="47"/>
        <v>0</v>
      </c>
      <c r="AB88" s="1">
        <f t="shared" si="48"/>
        <v>0</v>
      </c>
      <c r="AD88" s="1">
        <f t="shared" si="49"/>
        <v>0</v>
      </c>
      <c r="AE88" s="1">
        <f t="shared" si="50"/>
        <v>1</v>
      </c>
      <c r="AF88" s="1">
        <f t="shared" si="51"/>
        <v>0</v>
      </c>
      <c r="AG88" s="1">
        <f t="shared" si="52"/>
        <v>1</v>
      </c>
      <c r="AH88" s="1">
        <f t="shared" si="53"/>
        <v>0</v>
      </c>
      <c r="AI88" s="1">
        <f t="shared" si="54"/>
        <v>1</v>
      </c>
    </row>
    <row r="89" spans="1:35" ht="14.25" customHeight="1" x14ac:dyDescent="0.25">
      <c r="A89" s="31">
        <v>0</v>
      </c>
      <c r="B89" s="31">
        <v>1</v>
      </c>
      <c r="C89" s="31">
        <v>3</v>
      </c>
      <c r="D89" s="36" t="s">
        <v>2042</v>
      </c>
      <c r="E89" s="32" t="s">
        <v>169</v>
      </c>
      <c r="F89" s="36" t="s">
        <v>2043</v>
      </c>
      <c r="G89" s="36" t="s">
        <v>206</v>
      </c>
      <c r="H89" s="36" t="s">
        <v>352</v>
      </c>
      <c r="I89" s="37" t="s">
        <v>2044</v>
      </c>
      <c r="J89" s="31">
        <v>99</v>
      </c>
      <c r="K89" s="33" t="s">
        <v>694</v>
      </c>
      <c r="L89" s="33"/>
      <c r="M89" s="34"/>
      <c r="N89" s="34" t="s">
        <v>1687</v>
      </c>
      <c r="O89" s="35">
        <v>1</v>
      </c>
      <c r="P89" s="35">
        <v>1</v>
      </c>
      <c r="Q89" s="36" t="s">
        <v>2045</v>
      </c>
      <c r="S89" s="1">
        <f t="shared" si="39"/>
        <v>0</v>
      </c>
      <c r="T89" s="1">
        <f t="shared" si="40"/>
        <v>0</v>
      </c>
      <c r="U89" s="1">
        <f t="shared" si="41"/>
        <v>0</v>
      </c>
      <c r="V89" s="1">
        <f t="shared" si="42"/>
        <v>0</v>
      </c>
      <c r="W89" s="1">
        <f t="shared" si="43"/>
        <v>0</v>
      </c>
      <c r="X89" s="1">
        <f t="shared" si="44"/>
        <v>0</v>
      </c>
      <c r="Y89" s="1">
        <f t="shared" si="45"/>
        <v>0</v>
      </c>
      <c r="Z89" s="1">
        <f t="shared" si="46"/>
        <v>0</v>
      </c>
      <c r="AA89" s="1">
        <f t="shared" si="47"/>
        <v>0</v>
      </c>
      <c r="AB89" s="1">
        <f t="shared" si="48"/>
        <v>0</v>
      </c>
      <c r="AD89" s="1">
        <f t="shared" si="49"/>
        <v>1</v>
      </c>
      <c r="AE89" s="1">
        <f t="shared" si="50"/>
        <v>0</v>
      </c>
      <c r="AF89" s="1">
        <f t="shared" si="51"/>
        <v>1</v>
      </c>
      <c r="AG89" s="1">
        <f t="shared" si="52"/>
        <v>0</v>
      </c>
      <c r="AH89" s="1">
        <f t="shared" si="53"/>
        <v>1</v>
      </c>
      <c r="AI89" s="1">
        <f t="shared" si="54"/>
        <v>0</v>
      </c>
    </row>
    <row r="90" spans="1:35" ht="14.25" customHeight="1" x14ac:dyDescent="0.25">
      <c r="A90" s="15">
        <v>0</v>
      </c>
      <c r="B90" s="15">
        <v>1</v>
      </c>
      <c r="C90" s="15">
        <v>3</v>
      </c>
      <c r="D90" s="16" t="s">
        <v>1730</v>
      </c>
      <c r="E90" s="16" t="s">
        <v>171</v>
      </c>
      <c r="F90" s="16" t="s">
        <v>1732</v>
      </c>
      <c r="G90" s="16"/>
      <c r="H90" s="16" t="s">
        <v>362</v>
      </c>
      <c r="I90" s="15" t="s">
        <v>1731</v>
      </c>
      <c r="J90" s="15">
        <v>17</v>
      </c>
      <c r="K90" s="10" t="s">
        <v>694</v>
      </c>
      <c r="L90" s="10" t="s">
        <v>1688</v>
      </c>
      <c r="M90" s="19" t="s">
        <v>682</v>
      </c>
      <c r="N90" s="17"/>
      <c r="Q90" s="20" t="s">
        <v>1854</v>
      </c>
      <c r="S90" s="1">
        <f t="shared" si="39"/>
        <v>0</v>
      </c>
      <c r="T90" s="1">
        <f t="shared" si="40"/>
        <v>0</v>
      </c>
      <c r="U90" s="1">
        <f t="shared" si="41"/>
        <v>0</v>
      </c>
      <c r="V90" s="1">
        <f t="shared" si="42"/>
        <v>0</v>
      </c>
      <c r="W90" s="1">
        <f t="shared" si="43"/>
        <v>0</v>
      </c>
      <c r="X90" s="1">
        <f t="shared" si="44"/>
        <v>0</v>
      </c>
      <c r="Y90" s="1">
        <f t="shared" si="45"/>
        <v>0</v>
      </c>
      <c r="Z90" s="1">
        <f t="shared" si="46"/>
        <v>0</v>
      </c>
      <c r="AA90" s="1">
        <f t="shared" si="47"/>
        <v>0</v>
      </c>
      <c r="AB90" s="1">
        <f t="shared" si="48"/>
        <v>0</v>
      </c>
      <c r="AD90" s="1">
        <f t="shared" si="49"/>
        <v>0</v>
      </c>
      <c r="AE90" s="1">
        <f t="shared" si="50"/>
        <v>0</v>
      </c>
      <c r="AF90" s="1">
        <f t="shared" si="51"/>
        <v>0</v>
      </c>
      <c r="AG90" s="1">
        <f t="shared" si="52"/>
        <v>0</v>
      </c>
      <c r="AH90" s="1">
        <f t="shared" si="53"/>
        <v>0</v>
      </c>
      <c r="AI90" s="1">
        <f t="shared" si="54"/>
        <v>1</v>
      </c>
    </row>
    <row r="91" spans="1:35" ht="14.25" customHeight="1" x14ac:dyDescent="0.25">
      <c r="A91" s="31">
        <v>0</v>
      </c>
      <c r="B91" s="31">
        <v>1</v>
      </c>
      <c r="C91" s="31">
        <v>3</v>
      </c>
      <c r="D91" s="32" t="s">
        <v>1751</v>
      </c>
      <c r="E91" s="32" t="s">
        <v>171</v>
      </c>
      <c r="F91" s="32" t="s">
        <v>1752</v>
      </c>
      <c r="G91" s="32" t="s">
        <v>1753</v>
      </c>
      <c r="H91" s="32" t="s">
        <v>352</v>
      </c>
      <c r="I91" s="31" t="s">
        <v>1754</v>
      </c>
      <c r="J91" s="31">
        <v>1</v>
      </c>
      <c r="K91" s="33" t="s">
        <v>694</v>
      </c>
      <c r="L91" s="33">
        <v>60</v>
      </c>
      <c r="M91" s="34" t="s">
        <v>1755</v>
      </c>
      <c r="N91" s="34" t="s">
        <v>1790</v>
      </c>
      <c r="O91" s="35">
        <v>1</v>
      </c>
      <c r="P91" s="35"/>
      <c r="Q91" s="32"/>
      <c r="S91" s="1">
        <f t="shared" si="39"/>
        <v>1</v>
      </c>
      <c r="T91" s="1">
        <f t="shared" si="40"/>
        <v>0</v>
      </c>
      <c r="U91" s="1">
        <f t="shared" si="41"/>
        <v>0</v>
      </c>
      <c r="V91" s="1">
        <f t="shared" si="42"/>
        <v>0</v>
      </c>
      <c r="W91" s="1">
        <f t="shared" si="43"/>
        <v>0</v>
      </c>
      <c r="X91" s="1">
        <f t="shared" si="44"/>
        <v>0</v>
      </c>
      <c r="Y91" s="1">
        <f t="shared" si="45"/>
        <v>0</v>
      </c>
      <c r="Z91" s="1">
        <f t="shared" si="46"/>
        <v>0</v>
      </c>
      <c r="AA91" s="1">
        <f t="shared" si="47"/>
        <v>0</v>
      </c>
      <c r="AB91" s="1">
        <f t="shared" si="48"/>
        <v>0</v>
      </c>
      <c r="AD91" s="1">
        <f t="shared" si="49"/>
        <v>0</v>
      </c>
      <c r="AE91" s="1">
        <f t="shared" si="50"/>
        <v>1</v>
      </c>
      <c r="AF91" s="1">
        <f t="shared" si="51"/>
        <v>0</v>
      </c>
      <c r="AG91" s="1">
        <f t="shared" si="52"/>
        <v>1</v>
      </c>
      <c r="AH91" s="1">
        <f t="shared" si="53"/>
        <v>0</v>
      </c>
      <c r="AI91" s="1">
        <f t="shared" si="54"/>
        <v>1</v>
      </c>
    </row>
    <row r="92" spans="1:35" ht="14.25" customHeight="1" x14ac:dyDescent="0.25">
      <c r="A92" s="31">
        <v>0</v>
      </c>
      <c r="B92" s="31">
        <v>1</v>
      </c>
      <c r="C92" s="31">
        <v>3</v>
      </c>
      <c r="D92" s="36" t="s">
        <v>2001</v>
      </c>
      <c r="E92" s="36" t="s">
        <v>175</v>
      </c>
      <c r="F92" s="36" t="s">
        <v>1999</v>
      </c>
      <c r="G92" s="36" t="s">
        <v>219</v>
      </c>
      <c r="H92" s="36" t="s">
        <v>352</v>
      </c>
      <c r="I92" s="37" t="s">
        <v>2000</v>
      </c>
      <c r="J92" s="31">
        <v>8</v>
      </c>
      <c r="K92" s="33" t="s">
        <v>694</v>
      </c>
      <c r="L92" s="33"/>
      <c r="M92" s="34"/>
      <c r="N92" s="34" t="s">
        <v>1687</v>
      </c>
      <c r="O92" s="35">
        <v>1</v>
      </c>
      <c r="P92" s="35">
        <v>1</v>
      </c>
      <c r="Q92" s="36"/>
      <c r="S92" s="1">
        <f t="shared" si="39"/>
        <v>0</v>
      </c>
      <c r="T92" s="1">
        <f t="shared" si="40"/>
        <v>0</v>
      </c>
      <c r="U92" s="1">
        <f t="shared" si="41"/>
        <v>0</v>
      </c>
      <c r="V92" s="1">
        <f t="shared" si="42"/>
        <v>0</v>
      </c>
      <c r="W92" s="1">
        <f t="shared" si="43"/>
        <v>0</v>
      </c>
      <c r="X92" s="1">
        <f t="shared" si="44"/>
        <v>0</v>
      </c>
      <c r="Y92" s="1">
        <f t="shared" si="45"/>
        <v>0</v>
      </c>
      <c r="Z92" s="1">
        <f t="shared" si="46"/>
        <v>1</v>
      </c>
      <c r="AA92" s="1">
        <f t="shared" si="47"/>
        <v>0</v>
      </c>
      <c r="AB92" s="1">
        <f t="shared" si="48"/>
        <v>0</v>
      </c>
      <c r="AD92" s="1">
        <f t="shared" si="49"/>
        <v>1</v>
      </c>
      <c r="AE92" s="1">
        <f t="shared" si="50"/>
        <v>0</v>
      </c>
      <c r="AF92" s="1">
        <f t="shared" si="51"/>
        <v>1</v>
      </c>
      <c r="AG92" s="1">
        <f t="shared" si="52"/>
        <v>0</v>
      </c>
      <c r="AH92" s="1">
        <f t="shared" si="53"/>
        <v>1</v>
      </c>
      <c r="AI92" s="1">
        <f t="shared" si="54"/>
        <v>0</v>
      </c>
    </row>
    <row r="93" spans="1:35" ht="14.25" customHeight="1" x14ac:dyDescent="0.25">
      <c r="A93" s="31">
        <v>0</v>
      </c>
      <c r="B93" s="31">
        <v>1</v>
      </c>
      <c r="C93" s="31">
        <v>3</v>
      </c>
      <c r="D93" s="36" t="s">
        <v>1554</v>
      </c>
      <c r="E93" s="32" t="s">
        <v>174</v>
      </c>
      <c r="F93" s="36" t="s">
        <v>317</v>
      </c>
      <c r="G93" s="36" t="s">
        <v>268</v>
      </c>
      <c r="H93" s="36" t="s">
        <v>352</v>
      </c>
      <c r="I93" s="37" t="s">
        <v>463</v>
      </c>
      <c r="J93" s="31">
        <v>8</v>
      </c>
      <c r="K93" s="33" t="s">
        <v>693</v>
      </c>
      <c r="L93" s="33" t="s">
        <v>680</v>
      </c>
      <c r="M93" s="34" t="s">
        <v>682</v>
      </c>
      <c r="N93" s="34" t="s">
        <v>1700</v>
      </c>
      <c r="O93" s="35">
        <v>1</v>
      </c>
      <c r="P93" s="35"/>
      <c r="Q93" s="36"/>
      <c r="S93" s="1">
        <f t="shared" si="39"/>
        <v>0</v>
      </c>
      <c r="T93" s="1">
        <f t="shared" si="40"/>
        <v>0</v>
      </c>
      <c r="U93" s="1">
        <f t="shared" si="41"/>
        <v>0</v>
      </c>
      <c r="V93" s="1">
        <f t="shared" si="42"/>
        <v>0</v>
      </c>
      <c r="W93" s="1">
        <f t="shared" si="43"/>
        <v>0</v>
      </c>
      <c r="X93" s="1">
        <f t="shared" si="44"/>
        <v>0</v>
      </c>
      <c r="Y93" s="1">
        <f t="shared" si="45"/>
        <v>0</v>
      </c>
      <c r="Z93" s="1">
        <f t="shared" si="46"/>
        <v>1</v>
      </c>
      <c r="AA93" s="1">
        <f t="shared" si="47"/>
        <v>0</v>
      </c>
      <c r="AB93" s="1">
        <f t="shared" si="48"/>
        <v>0</v>
      </c>
      <c r="AD93" s="1">
        <f t="shared" si="49"/>
        <v>0</v>
      </c>
      <c r="AE93" s="1">
        <f t="shared" si="50"/>
        <v>1</v>
      </c>
      <c r="AF93" s="1">
        <f t="shared" si="51"/>
        <v>0</v>
      </c>
      <c r="AG93" s="1">
        <f t="shared" si="52"/>
        <v>1</v>
      </c>
      <c r="AH93" s="1">
        <f t="shared" si="53"/>
        <v>0</v>
      </c>
      <c r="AI93" s="1">
        <f t="shared" si="54"/>
        <v>1</v>
      </c>
    </row>
    <row r="94" spans="1:35" ht="14.25" customHeight="1" x14ac:dyDescent="0.25">
      <c r="A94" s="31">
        <v>0</v>
      </c>
      <c r="B94" s="31">
        <v>1</v>
      </c>
      <c r="C94" s="31">
        <v>3</v>
      </c>
      <c r="D94" s="36" t="s">
        <v>135</v>
      </c>
      <c r="E94" s="32" t="s">
        <v>171</v>
      </c>
      <c r="F94" s="36" t="s">
        <v>1820</v>
      </c>
      <c r="G94" s="36" t="s">
        <v>239</v>
      </c>
      <c r="H94" s="36" t="s">
        <v>352</v>
      </c>
      <c r="I94" s="37" t="s">
        <v>481</v>
      </c>
      <c r="J94" s="31">
        <v>1</v>
      </c>
      <c r="K94" s="33" t="s">
        <v>932</v>
      </c>
      <c r="L94" s="33" t="s">
        <v>680</v>
      </c>
      <c r="M94" s="34" t="s">
        <v>682</v>
      </c>
      <c r="N94" s="34" t="s">
        <v>1790</v>
      </c>
      <c r="O94" s="35">
        <v>1</v>
      </c>
      <c r="P94" s="35"/>
      <c r="Q94" s="36"/>
      <c r="S94" s="1">
        <f t="shared" si="39"/>
        <v>1</v>
      </c>
      <c r="T94" s="1">
        <f t="shared" si="40"/>
        <v>0</v>
      </c>
      <c r="U94" s="1">
        <f t="shared" si="41"/>
        <v>0</v>
      </c>
      <c r="V94" s="1">
        <f t="shared" si="42"/>
        <v>0</v>
      </c>
      <c r="W94" s="1">
        <f t="shared" si="43"/>
        <v>0</v>
      </c>
      <c r="X94" s="1">
        <f t="shared" si="44"/>
        <v>0</v>
      </c>
      <c r="Y94" s="1">
        <f t="shared" si="45"/>
        <v>0</v>
      </c>
      <c r="Z94" s="1">
        <f t="shared" si="46"/>
        <v>0</v>
      </c>
      <c r="AA94" s="1">
        <f t="shared" si="47"/>
        <v>0</v>
      </c>
      <c r="AB94" s="1">
        <f t="shared" si="48"/>
        <v>0</v>
      </c>
      <c r="AD94" s="1">
        <f t="shared" si="49"/>
        <v>0</v>
      </c>
      <c r="AE94" s="1">
        <f t="shared" si="50"/>
        <v>1</v>
      </c>
      <c r="AF94" s="1">
        <f t="shared" si="51"/>
        <v>0</v>
      </c>
      <c r="AG94" s="1">
        <f t="shared" si="52"/>
        <v>1</v>
      </c>
      <c r="AH94" s="1">
        <f t="shared" si="53"/>
        <v>0</v>
      </c>
      <c r="AI94" s="1">
        <f t="shared" si="54"/>
        <v>1</v>
      </c>
    </row>
    <row r="95" spans="1:35" ht="14.25" customHeight="1" x14ac:dyDescent="0.25">
      <c r="A95" s="15">
        <v>0</v>
      </c>
      <c r="B95" s="15">
        <v>1</v>
      </c>
      <c r="C95" s="15">
        <v>3</v>
      </c>
      <c r="D95" s="16" t="s">
        <v>771</v>
      </c>
      <c r="E95" s="16" t="s">
        <v>602</v>
      </c>
      <c r="F95" s="16" t="s">
        <v>773</v>
      </c>
      <c r="G95" s="16" t="s">
        <v>213</v>
      </c>
      <c r="H95" s="16" t="s">
        <v>352</v>
      </c>
      <c r="I95" s="15" t="s">
        <v>772</v>
      </c>
      <c r="J95" s="15">
        <v>99</v>
      </c>
      <c r="K95" s="10" t="s">
        <v>713</v>
      </c>
      <c r="L95" s="10" t="s">
        <v>1653</v>
      </c>
      <c r="M95" s="19" t="s">
        <v>1354</v>
      </c>
      <c r="N95" s="19"/>
      <c r="Q95" s="16"/>
      <c r="S95" s="1">
        <f t="shared" si="39"/>
        <v>0</v>
      </c>
      <c r="T95" s="1">
        <f t="shared" si="40"/>
        <v>0</v>
      </c>
      <c r="U95" s="1">
        <f t="shared" si="41"/>
        <v>0</v>
      </c>
      <c r="V95" s="1">
        <f t="shared" si="42"/>
        <v>0</v>
      </c>
      <c r="W95" s="1">
        <f t="shared" si="43"/>
        <v>0</v>
      </c>
      <c r="X95" s="1">
        <f t="shared" si="44"/>
        <v>0</v>
      </c>
      <c r="Y95" s="1">
        <f t="shared" si="45"/>
        <v>0</v>
      </c>
      <c r="Z95" s="1">
        <f t="shared" si="46"/>
        <v>0</v>
      </c>
      <c r="AA95" s="1">
        <f t="shared" si="47"/>
        <v>0</v>
      </c>
      <c r="AB95" s="1">
        <f t="shared" si="48"/>
        <v>0</v>
      </c>
      <c r="AD95" s="1">
        <f t="shared" si="49"/>
        <v>0</v>
      </c>
      <c r="AE95" s="1">
        <f t="shared" si="50"/>
        <v>0</v>
      </c>
      <c r="AF95" s="1">
        <f t="shared" si="51"/>
        <v>0</v>
      </c>
      <c r="AG95" s="1">
        <f t="shared" si="52"/>
        <v>0</v>
      </c>
      <c r="AH95" s="1">
        <f t="shared" si="53"/>
        <v>0</v>
      </c>
      <c r="AI95" s="1">
        <f t="shared" si="54"/>
        <v>1</v>
      </c>
    </row>
    <row r="96" spans="1:35" ht="14.25" customHeight="1" x14ac:dyDescent="0.25">
      <c r="A96" s="31">
        <v>0</v>
      </c>
      <c r="B96" s="31">
        <v>1</v>
      </c>
      <c r="C96" s="31">
        <v>3</v>
      </c>
      <c r="D96" s="32" t="s">
        <v>77</v>
      </c>
      <c r="E96" s="32" t="s">
        <v>171</v>
      </c>
      <c r="F96" s="32" t="s">
        <v>266</v>
      </c>
      <c r="G96" s="32" t="s">
        <v>262</v>
      </c>
      <c r="H96" s="32" t="s">
        <v>352</v>
      </c>
      <c r="I96" s="31" t="s">
        <v>422</v>
      </c>
      <c r="J96" s="31">
        <v>1</v>
      </c>
      <c r="K96" s="33" t="s">
        <v>932</v>
      </c>
      <c r="L96" s="33" t="s">
        <v>1653</v>
      </c>
      <c r="M96" s="34" t="s">
        <v>946</v>
      </c>
      <c r="N96" s="34" t="s">
        <v>1689</v>
      </c>
      <c r="O96" s="35">
        <v>1</v>
      </c>
      <c r="P96" s="35"/>
      <c r="Q96" s="32"/>
      <c r="S96" s="1">
        <f t="shared" si="39"/>
        <v>1</v>
      </c>
      <c r="T96" s="1">
        <f t="shared" si="40"/>
        <v>0</v>
      </c>
      <c r="U96" s="1">
        <f t="shared" si="41"/>
        <v>0</v>
      </c>
      <c r="V96" s="1">
        <f t="shared" si="42"/>
        <v>0</v>
      </c>
      <c r="W96" s="1">
        <f t="shared" si="43"/>
        <v>0</v>
      </c>
      <c r="X96" s="1">
        <f t="shared" si="44"/>
        <v>0</v>
      </c>
      <c r="Y96" s="1">
        <f t="shared" si="45"/>
        <v>0</v>
      </c>
      <c r="Z96" s="1">
        <f t="shared" si="46"/>
        <v>0</v>
      </c>
      <c r="AA96" s="1">
        <f t="shared" si="47"/>
        <v>0</v>
      </c>
      <c r="AB96" s="1">
        <f t="shared" si="48"/>
        <v>0</v>
      </c>
      <c r="AD96" s="1">
        <f t="shared" si="49"/>
        <v>0</v>
      </c>
      <c r="AE96" s="1">
        <f t="shared" si="50"/>
        <v>1</v>
      </c>
      <c r="AF96" s="1">
        <f t="shared" si="51"/>
        <v>0</v>
      </c>
      <c r="AG96" s="1">
        <f t="shared" si="52"/>
        <v>1</v>
      </c>
      <c r="AH96" s="1">
        <f t="shared" si="53"/>
        <v>0</v>
      </c>
      <c r="AI96" s="1">
        <f t="shared" si="54"/>
        <v>1</v>
      </c>
    </row>
    <row r="97" spans="1:35" ht="14.25" customHeight="1" x14ac:dyDescent="0.25">
      <c r="A97" s="15">
        <v>0</v>
      </c>
      <c r="B97" s="15">
        <v>1</v>
      </c>
      <c r="C97" s="15">
        <v>3</v>
      </c>
      <c r="D97" s="20" t="s">
        <v>1890</v>
      </c>
      <c r="E97" s="20" t="s">
        <v>1918</v>
      </c>
      <c r="F97" s="20" t="s">
        <v>1919</v>
      </c>
      <c r="G97" s="20"/>
      <c r="H97" s="20" t="s">
        <v>1917</v>
      </c>
      <c r="I97" s="21" t="s">
        <v>1920</v>
      </c>
      <c r="J97" s="15">
        <v>18</v>
      </c>
      <c r="K97" s="10" t="s">
        <v>694</v>
      </c>
      <c r="L97" s="10" t="s">
        <v>1688</v>
      </c>
      <c r="M97" s="19" t="s">
        <v>947</v>
      </c>
      <c r="N97" s="17"/>
      <c r="Q97" s="20" t="s">
        <v>1921</v>
      </c>
      <c r="S97" s="1">
        <f t="shared" si="39"/>
        <v>0</v>
      </c>
      <c r="T97" s="1">
        <f t="shared" si="40"/>
        <v>0</v>
      </c>
      <c r="U97" s="1">
        <f t="shared" si="41"/>
        <v>0</v>
      </c>
      <c r="V97" s="1">
        <f t="shared" si="42"/>
        <v>0</v>
      </c>
      <c r="W97" s="1">
        <f t="shared" si="43"/>
        <v>0</v>
      </c>
      <c r="X97" s="1">
        <f t="shared" si="44"/>
        <v>0</v>
      </c>
      <c r="Y97" s="1">
        <f t="shared" si="45"/>
        <v>0</v>
      </c>
      <c r="Z97" s="1">
        <f t="shared" si="46"/>
        <v>0</v>
      </c>
      <c r="AA97" s="1">
        <f t="shared" si="47"/>
        <v>0</v>
      </c>
      <c r="AB97" s="1">
        <f t="shared" si="48"/>
        <v>0</v>
      </c>
      <c r="AD97" s="1">
        <f t="shared" si="49"/>
        <v>0</v>
      </c>
      <c r="AE97" s="1">
        <f t="shared" si="50"/>
        <v>0</v>
      </c>
      <c r="AF97" s="1">
        <f t="shared" si="51"/>
        <v>0</v>
      </c>
      <c r="AG97" s="1">
        <f t="shared" si="52"/>
        <v>0</v>
      </c>
      <c r="AH97" s="1">
        <f t="shared" si="53"/>
        <v>0</v>
      </c>
      <c r="AI97" s="1">
        <f t="shared" si="54"/>
        <v>1</v>
      </c>
    </row>
    <row r="98" spans="1:35" ht="14.25" customHeight="1" x14ac:dyDescent="0.25">
      <c r="A98" s="31">
        <v>0</v>
      </c>
      <c r="B98" s="31">
        <v>1</v>
      </c>
      <c r="C98" s="31">
        <v>3</v>
      </c>
      <c r="D98" s="36" t="s">
        <v>1481</v>
      </c>
      <c r="E98" s="32" t="s">
        <v>175</v>
      </c>
      <c r="F98" s="36" t="s">
        <v>1482</v>
      </c>
      <c r="G98" s="36" t="s">
        <v>39</v>
      </c>
      <c r="H98" s="36" t="s">
        <v>884</v>
      </c>
      <c r="I98" s="37" t="s">
        <v>1483</v>
      </c>
      <c r="J98" s="31">
        <v>11</v>
      </c>
      <c r="K98" s="33" t="s">
        <v>940</v>
      </c>
      <c r="L98" s="33" t="s">
        <v>39</v>
      </c>
      <c r="M98" s="34" t="s">
        <v>39</v>
      </c>
      <c r="N98" s="34" t="s">
        <v>1687</v>
      </c>
      <c r="O98" s="35">
        <v>1</v>
      </c>
      <c r="P98" s="35">
        <v>1</v>
      </c>
      <c r="Q98" s="36"/>
      <c r="S98" s="1">
        <f t="shared" si="39"/>
        <v>0</v>
      </c>
      <c r="T98" s="1">
        <f t="shared" si="40"/>
        <v>0</v>
      </c>
      <c r="U98" s="1">
        <f t="shared" si="41"/>
        <v>0</v>
      </c>
      <c r="V98" s="1">
        <f t="shared" si="42"/>
        <v>0</v>
      </c>
      <c r="W98" s="1">
        <f t="shared" si="43"/>
        <v>0</v>
      </c>
      <c r="X98" s="1">
        <f t="shared" si="44"/>
        <v>0</v>
      </c>
      <c r="Y98" s="1">
        <f t="shared" si="45"/>
        <v>0</v>
      </c>
      <c r="Z98" s="1">
        <f t="shared" si="46"/>
        <v>0</v>
      </c>
      <c r="AA98" s="1">
        <f t="shared" si="47"/>
        <v>0</v>
      </c>
      <c r="AB98" s="1">
        <f t="shared" si="48"/>
        <v>0</v>
      </c>
      <c r="AD98" s="1">
        <f t="shared" si="49"/>
        <v>1</v>
      </c>
      <c r="AE98" s="1">
        <f t="shared" si="50"/>
        <v>0</v>
      </c>
      <c r="AF98" s="1">
        <f t="shared" si="51"/>
        <v>1</v>
      </c>
      <c r="AG98" s="1">
        <f t="shared" si="52"/>
        <v>0</v>
      </c>
      <c r="AH98" s="1">
        <f t="shared" si="53"/>
        <v>1</v>
      </c>
      <c r="AI98" s="1">
        <f t="shared" si="54"/>
        <v>0</v>
      </c>
    </row>
    <row r="99" spans="1:35" ht="14.25" customHeight="1" x14ac:dyDescent="0.25">
      <c r="A99" s="31">
        <v>0</v>
      </c>
      <c r="B99" s="31">
        <v>1</v>
      </c>
      <c r="C99" s="31">
        <v>3</v>
      </c>
      <c r="D99" s="36" t="s">
        <v>1795</v>
      </c>
      <c r="E99" s="36" t="s">
        <v>171</v>
      </c>
      <c r="F99" s="36" t="s">
        <v>1796</v>
      </c>
      <c r="G99" s="36"/>
      <c r="H99" s="36" t="s">
        <v>1797</v>
      </c>
      <c r="I99" s="37" t="s">
        <v>1798</v>
      </c>
      <c r="J99" s="31">
        <v>15</v>
      </c>
      <c r="K99" s="33" t="s">
        <v>694</v>
      </c>
      <c r="L99" s="33"/>
      <c r="M99" s="34"/>
      <c r="N99" s="34" t="s">
        <v>1687</v>
      </c>
      <c r="O99" s="35">
        <v>1</v>
      </c>
      <c r="P99" s="35">
        <v>1</v>
      </c>
      <c r="Q99" s="36" t="s">
        <v>1832</v>
      </c>
      <c r="S99" s="1">
        <f t="shared" si="39"/>
        <v>0</v>
      </c>
      <c r="T99" s="1">
        <f t="shared" si="40"/>
        <v>0</v>
      </c>
      <c r="U99" s="1">
        <f t="shared" si="41"/>
        <v>0</v>
      </c>
      <c r="V99" s="1">
        <f t="shared" si="42"/>
        <v>0</v>
      </c>
      <c r="W99" s="1">
        <f t="shared" si="43"/>
        <v>0</v>
      </c>
      <c r="X99" s="1">
        <f t="shared" si="44"/>
        <v>0</v>
      </c>
      <c r="Y99" s="1">
        <f t="shared" si="45"/>
        <v>0</v>
      </c>
      <c r="Z99" s="1">
        <f t="shared" si="46"/>
        <v>0</v>
      </c>
      <c r="AA99" s="1">
        <f t="shared" si="47"/>
        <v>0</v>
      </c>
      <c r="AB99" s="1">
        <f t="shared" si="48"/>
        <v>0</v>
      </c>
      <c r="AD99" s="1">
        <f t="shared" si="49"/>
        <v>1</v>
      </c>
      <c r="AE99" s="1">
        <f t="shared" si="50"/>
        <v>0</v>
      </c>
      <c r="AF99" s="1">
        <f t="shared" si="51"/>
        <v>1</v>
      </c>
      <c r="AG99" s="1">
        <f t="shared" si="52"/>
        <v>0</v>
      </c>
      <c r="AH99" s="1">
        <f t="shared" si="53"/>
        <v>1</v>
      </c>
      <c r="AI99" s="1">
        <f t="shared" si="54"/>
        <v>0</v>
      </c>
    </row>
    <row r="100" spans="1:35" ht="14.25" customHeight="1" x14ac:dyDescent="0.25">
      <c r="A100" s="31">
        <v>0</v>
      </c>
      <c r="B100" s="31">
        <v>1</v>
      </c>
      <c r="C100" s="31">
        <v>3</v>
      </c>
      <c r="D100" s="32" t="s">
        <v>727</v>
      </c>
      <c r="E100" s="32" t="s">
        <v>1298</v>
      </c>
      <c r="F100" s="32" t="s">
        <v>1614</v>
      </c>
      <c r="G100" s="32" t="s">
        <v>39</v>
      </c>
      <c r="H100" s="32" t="s">
        <v>728</v>
      </c>
      <c r="I100" s="31" t="s">
        <v>729</v>
      </c>
      <c r="J100" s="31">
        <v>18</v>
      </c>
      <c r="K100" s="33" t="s">
        <v>693</v>
      </c>
      <c r="L100" s="33" t="s">
        <v>679</v>
      </c>
      <c r="M100" s="34" t="s">
        <v>946</v>
      </c>
      <c r="N100" s="34" t="s">
        <v>1790</v>
      </c>
      <c r="O100" s="35">
        <v>1</v>
      </c>
      <c r="P100" s="35"/>
      <c r="Q100" s="32"/>
      <c r="S100" s="1">
        <f t="shared" si="39"/>
        <v>0</v>
      </c>
      <c r="T100" s="1">
        <f t="shared" si="40"/>
        <v>0</v>
      </c>
      <c r="U100" s="1">
        <f t="shared" si="41"/>
        <v>0</v>
      </c>
      <c r="V100" s="1">
        <f t="shared" si="42"/>
        <v>0</v>
      </c>
      <c r="W100" s="1">
        <f t="shared" si="43"/>
        <v>0</v>
      </c>
      <c r="X100" s="1">
        <f t="shared" si="44"/>
        <v>0</v>
      </c>
      <c r="Y100" s="1">
        <f t="shared" si="45"/>
        <v>0</v>
      </c>
      <c r="Z100" s="1">
        <f t="shared" si="46"/>
        <v>0</v>
      </c>
      <c r="AA100" s="1">
        <f t="shared" si="47"/>
        <v>0</v>
      </c>
      <c r="AB100" s="1">
        <f t="shared" si="48"/>
        <v>0</v>
      </c>
      <c r="AD100" s="1">
        <f t="shared" si="49"/>
        <v>0</v>
      </c>
      <c r="AE100" s="1">
        <f t="shared" si="50"/>
        <v>1</v>
      </c>
      <c r="AF100" s="1">
        <f t="shared" si="51"/>
        <v>0</v>
      </c>
      <c r="AG100" s="1">
        <f t="shared" si="52"/>
        <v>1</v>
      </c>
      <c r="AH100" s="1">
        <f t="shared" si="53"/>
        <v>0</v>
      </c>
      <c r="AI100" s="1">
        <f t="shared" si="54"/>
        <v>1</v>
      </c>
    </row>
    <row r="101" spans="1:35" ht="14.25" customHeight="1" x14ac:dyDescent="0.25">
      <c r="A101" s="31">
        <v>0</v>
      </c>
      <c r="B101" s="31">
        <v>1</v>
      </c>
      <c r="C101" s="31">
        <v>3</v>
      </c>
      <c r="D101" s="32" t="s">
        <v>1502</v>
      </c>
      <c r="E101" s="32" t="s">
        <v>171</v>
      </c>
      <c r="F101" s="32" t="s">
        <v>1503</v>
      </c>
      <c r="G101" s="32" t="s">
        <v>39</v>
      </c>
      <c r="H101" s="32" t="s">
        <v>362</v>
      </c>
      <c r="I101" s="31" t="s">
        <v>1504</v>
      </c>
      <c r="J101" s="31">
        <v>17</v>
      </c>
      <c r="K101" s="33" t="s">
        <v>713</v>
      </c>
      <c r="L101" s="33" t="s">
        <v>679</v>
      </c>
      <c r="M101" s="34" t="s">
        <v>39</v>
      </c>
      <c r="N101" s="34" t="s">
        <v>1681</v>
      </c>
      <c r="O101" s="35">
        <v>1</v>
      </c>
      <c r="P101" s="35">
        <v>1</v>
      </c>
      <c r="Q101" s="36" t="s">
        <v>1856</v>
      </c>
      <c r="S101" s="1">
        <f t="shared" si="39"/>
        <v>0</v>
      </c>
      <c r="T101" s="1">
        <f t="shared" si="40"/>
        <v>0</v>
      </c>
      <c r="U101" s="1">
        <f t="shared" si="41"/>
        <v>0</v>
      </c>
      <c r="V101" s="1">
        <f t="shared" si="42"/>
        <v>0</v>
      </c>
      <c r="W101" s="1">
        <f t="shared" si="43"/>
        <v>0</v>
      </c>
      <c r="X101" s="1">
        <f t="shared" si="44"/>
        <v>0</v>
      </c>
      <c r="Y101" s="1">
        <f t="shared" si="45"/>
        <v>0</v>
      </c>
      <c r="Z101" s="1">
        <f t="shared" si="46"/>
        <v>0</v>
      </c>
      <c r="AA101" s="1">
        <f t="shared" si="47"/>
        <v>0</v>
      </c>
      <c r="AB101" s="1">
        <f t="shared" si="48"/>
        <v>0</v>
      </c>
      <c r="AD101" s="1">
        <f t="shared" si="49"/>
        <v>1</v>
      </c>
      <c r="AE101" s="1">
        <f t="shared" si="50"/>
        <v>0</v>
      </c>
      <c r="AF101" s="1">
        <f t="shared" si="51"/>
        <v>1</v>
      </c>
      <c r="AG101" s="1">
        <f t="shared" si="52"/>
        <v>0</v>
      </c>
      <c r="AH101" s="1">
        <f t="shared" si="53"/>
        <v>1</v>
      </c>
      <c r="AI101" s="1">
        <f t="shared" si="54"/>
        <v>0</v>
      </c>
    </row>
    <row r="102" spans="1:35" ht="14.25" customHeight="1" x14ac:dyDescent="0.25">
      <c r="A102" s="31">
        <v>0</v>
      </c>
      <c r="B102" s="31">
        <v>1</v>
      </c>
      <c r="C102" s="31">
        <v>3</v>
      </c>
      <c r="D102" s="36" t="s">
        <v>118</v>
      </c>
      <c r="E102" s="32" t="s">
        <v>171</v>
      </c>
      <c r="F102" s="36" t="s">
        <v>318</v>
      </c>
      <c r="G102" s="36" t="s">
        <v>39</v>
      </c>
      <c r="H102" s="36" t="s">
        <v>368</v>
      </c>
      <c r="I102" s="37" t="s">
        <v>464</v>
      </c>
      <c r="J102" s="31">
        <v>14</v>
      </c>
      <c r="K102" s="33" t="s">
        <v>932</v>
      </c>
      <c r="L102" s="33" t="s">
        <v>685</v>
      </c>
      <c r="M102" s="34" t="s">
        <v>682</v>
      </c>
      <c r="N102" s="34" t="s">
        <v>1693</v>
      </c>
      <c r="O102" s="35">
        <v>1</v>
      </c>
      <c r="P102" s="35"/>
      <c r="Q102" s="36" t="s">
        <v>1829</v>
      </c>
      <c r="S102" s="1">
        <f t="shared" si="39"/>
        <v>0</v>
      </c>
      <c r="T102" s="1">
        <f t="shared" si="40"/>
        <v>0</v>
      </c>
      <c r="U102" s="1">
        <f t="shared" si="41"/>
        <v>0</v>
      </c>
      <c r="V102" s="1">
        <f t="shared" si="42"/>
        <v>0</v>
      </c>
      <c r="W102" s="1">
        <f t="shared" si="43"/>
        <v>0</v>
      </c>
      <c r="X102" s="1">
        <f t="shared" si="44"/>
        <v>0</v>
      </c>
      <c r="Y102" s="1">
        <f t="shared" si="45"/>
        <v>0</v>
      </c>
      <c r="Z102" s="1">
        <f t="shared" si="46"/>
        <v>0</v>
      </c>
      <c r="AA102" s="1">
        <f t="shared" si="47"/>
        <v>0</v>
      </c>
      <c r="AB102" s="1">
        <f t="shared" si="48"/>
        <v>0</v>
      </c>
      <c r="AD102" s="1">
        <f t="shared" si="49"/>
        <v>0</v>
      </c>
      <c r="AE102" s="1">
        <f t="shared" si="50"/>
        <v>1</v>
      </c>
      <c r="AF102" s="1">
        <f t="shared" si="51"/>
        <v>0</v>
      </c>
      <c r="AG102" s="1">
        <f t="shared" si="52"/>
        <v>1</v>
      </c>
      <c r="AH102" s="1">
        <f t="shared" si="53"/>
        <v>0</v>
      </c>
      <c r="AI102" s="1">
        <f t="shared" si="54"/>
        <v>1</v>
      </c>
    </row>
    <row r="103" spans="1:35" ht="14.25" customHeight="1" x14ac:dyDescent="0.25">
      <c r="A103" s="31">
        <v>0</v>
      </c>
      <c r="B103" s="31">
        <v>1</v>
      </c>
      <c r="C103" s="31">
        <v>3</v>
      </c>
      <c r="D103" s="36" t="s">
        <v>114</v>
      </c>
      <c r="E103" s="32" t="s">
        <v>169</v>
      </c>
      <c r="F103" s="36" t="s">
        <v>324</v>
      </c>
      <c r="G103" s="36" t="s">
        <v>229</v>
      </c>
      <c r="H103" s="36" t="s">
        <v>352</v>
      </c>
      <c r="I103" s="37" t="s">
        <v>471</v>
      </c>
      <c r="J103" s="31">
        <v>7</v>
      </c>
      <c r="K103" s="33" t="s">
        <v>693</v>
      </c>
      <c r="L103" s="33" t="s">
        <v>39</v>
      </c>
      <c r="M103" s="34" t="s">
        <v>39</v>
      </c>
      <c r="N103" s="34" t="s">
        <v>1687</v>
      </c>
      <c r="O103" s="35">
        <v>1</v>
      </c>
      <c r="P103" s="35">
        <v>1</v>
      </c>
      <c r="Q103" s="36"/>
      <c r="S103" s="1">
        <f t="shared" si="39"/>
        <v>0</v>
      </c>
      <c r="T103" s="1">
        <f t="shared" si="40"/>
        <v>0</v>
      </c>
      <c r="U103" s="1">
        <f t="shared" si="41"/>
        <v>0</v>
      </c>
      <c r="V103" s="1">
        <f t="shared" si="42"/>
        <v>0</v>
      </c>
      <c r="W103" s="1">
        <f t="shared" si="43"/>
        <v>0</v>
      </c>
      <c r="X103" s="1">
        <f t="shared" si="44"/>
        <v>0</v>
      </c>
      <c r="Y103" s="1">
        <f t="shared" si="45"/>
        <v>1</v>
      </c>
      <c r="Z103" s="1">
        <f t="shared" si="46"/>
        <v>0</v>
      </c>
      <c r="AA103" s="1">
        <f t="shared" si="47"/>
        <v>0</v>
      </c>
      <c r="AB103" s="1">
        <f t="shared" si="48"/>
        <v>0</v>
      </c>
      <c r="AD103" s="1">
        <f t="shared" si="49"/>
        <v>1</v>
      </c>
      <c r="AE103" s="1">
        <f t="shared" si="50"/>
        <v>0</v>
      </c>
      <c r="AF103" s="1">
        <f t="shared" si="51"/>
        <v>1</v>
      </c>
      <c r="AG103" s="1">
        <f t="shared" si="52"/>
        <v>0</v>
      </c>
      <c r="AH103" s="1">
        <f t="shared" si="53"/>
        <v>1</v>
      </c>
      <c r="AI103" s="1">
        <f t="shared" si="54"/>
        <v>0</v>
      </c>
    </row>
    <row r="104" spans="1:35" ht="14.25" customHeight="1" x14ac:dyDescent="0.25">
      <c r="A104" s="31">
        <v>0</v>
      </c>
      <c r="B104" s="31">
        <v>1</v>
      </c>
      <c r="C104" s="31">
        <v>3</v>
      </c>
      <c r="D104" s="36" t="s">
        <v>1872</v>
      </c>
      <c r="E104" s="32" t="s">
        <v>1873</v>
      </c>
      <c r="F104" s="36" t="s">
        <v>1874</v>
      </c>
      <c r="G104" s="36"/>
      <c r="H104" s="36" t="s">
        <v>364</v>
      </c>
      <c r="I104" s="37" t="s">
        <v>1876</v>
      </c>
      <c r="J104" s="31">
        <v>18</v>
      </c>
      <c r="K104" s="33" t="s">
        <v>694</v>
      </c>
      <c r="L104" s="33"/>
      <c r="M104" s="34"/>
      <c r="N104" s="34" t="s">
        <v>1687</v>
      </c>
      <c r="O104" s="35">
        <v>1</v>
      </c>
      <c r="P104" s="35">
        <v>1</v>
      </c>
      <c r="Q104" s="36" t="s">
        <v>1875</v>
      </c>
      <c r="S104" s="1">
        <f t="shared" si="39"/>
        <v>0</v>
      </c>
      <c r="T104" s="1">
        <f t="shared" si="40"/>
        <v>0</v>
      </c>
      <c r="U104" s="1">
        <f t="shared" si="41"/>
        <v>0</v>
      </c>
      <c r="V104" s="1">
        <f t="shared" si="42"/>
        <v>0</v>
      </c>
      <c r="W104" s="1">
        <f t="shared" si="43"/>
        <v>0</v>
      </c>
      <c r="X104" s="1">
        <f t="shared" si="44"/>
        <v>0</v>
      </c>
      <c r="Y104" s="1">
        <f t="shared" si="45"/>
        <v>0</v>
      </c>
      <c r="Z104" s="1">
        <f t="shared" si="46"/>
        <v>0</v>
      </c>
      <c r="AA104" s="1">
        <f t="shared" si="47"/>
        <v>0</v>
      </c>
      <c r="AB104" s="1">
        <f t="shared" si="48"/>
        <v>0</v>
      </c>
      <c r="AD104" s="1">
        <f t="shared" si="49"/>
        <v>1</v>
      </c>
      <c r="AE104" s="1">
        <f t="shared" si="50"/>
        <v>0</v>
      </c>
      <c r="AF104" s="1">
        <f t="shared" si="51"/>
        <v>1</v>
      </c>
      <c r="AG104" s="1">
        <f t="shared" si="52"/>
        <v>0</v>
      </c>
      <c r="AH104" s="1">
        <f t="shared" si="53"/>
        <v>1</v>
      </c>
      <c r="AI104" s="1">
        <f t="shared" si="54"/>
        <v>0</v>
      </c>
    </row>
    <row r="105" spans="1:35" ht="14.25" customHeight="1" x14ac:dyDescent="0.25">
      <c r="A105" s="31">
        <v>0</v>
      </c>
      <c r="B105" s="31">
        <v>1</v>
      </c>
      <c r="C105" s="31">
        <v>3</v>
      </c>
      <c r="D105" s="36" t="s">
        <v>1175</v>
      </c>
      <c r="E105" s="32" t="s">
        <v>174</v>
      </c>
      <c r="F105" s="36" t="s">
        <v>1306</v>
      </c>
      <c r="G105" s="36" t="s">
        <v>39</v>
      </c>
      <c r="H105" s="36" t="s">
        <v>603</v>
      </c>
      <c r="I105" s="37" t="s">
        <v>1176</v>
      </c>
      <c r="J105" s="31">
        <v>14</v>
      </c>
      <c r="K105" s="33" t="s">
        <v>932</v>
      </c>
      <c r="L105" s="33" t="s">
        <v>1653</v>
      </c>
      <c r="M105" s="34" t="s">
        <v>1355</v>
      </c>
      <c r="N105" s="34" t="s">
        <v>1766</v>
      </c>
      <c r="O105" s="35">
        <v>1</v>
      </c>
      <c r="P105" s="35"/>
      <c r="Q105" s="36"/>
      <c r="S105" s="1">
        <f t="shared" si="39"/>
        <v>0</v>
      </c>
      <c r="T105" s="1">
        <f t="shared" si="40"/>
        <v>0</v>
      </c>
      <c r="U105" s="1">
        <f t="shared" si="41"/>
        <v>0</v>
      </c>
      <c r="V105" s="1">
        <f t="shared" si="42"/>
        <v>0</v>
      </c>
      <c r="W105" s="1">
        <f t="shared" si="43"/>
        <v>0</v>
      </c>
      <c r="X105" s="1">
        <f t="shared" si="44"/>
        <v>0</v>
      </c>
      <c r="Y105" s="1">
        <f t="shared" si="45"/>
        <v>0</v>
      </c>
      <c r="Z105" s="1">
        <f t="shared" si="46"/>
        <v>0</v>
      </c>
      <c r="AA105" s="1">
        <f t="shared" si="47"/>
        <v>0</v>
      </c>
      <c r="AB105" s="1">
        <f t="shared" si="48"/>
        <v>0</v>
      </c>
      <c r="AD105" s="1">
        <f t="shared" si="49"/>
        <v>0</v>
      </c>
      <c r="AE105" s="1">
        <f t="shared" si="50"/>
        <v>1</v>
      </c>
      <c r="AF105" s="1">
        <f t="shared" si="51"/>
        <v>0</v>
      </c>
      <c r="AG105" s="1">
        <f t="shared" si="52"/>
        <v>1</v>
      </c>
      <c r="AH105" s="1">
        <f t="shared" si="53"/>
        <v>0</v>
      </c>
      <c r="AI105" s="1">
        <f t="shared" si="54"/>
        <v>1</v>
      </c>
    </row>
    <row r="106" spans="1:35" ht="14.25" customHeight="1" x14ac:dyDescent="0.25">
      <c r="A106" s="31">
        <v>0</v>
      </c>
      <c r="B106" s="31">
        <v>1</v>
      </c>
      <c r="C106" s="31">
        <v>3</v>
      </c>
      <c r="D106" s="36" t="s">
        <v>801</v>
      </c>
      <c r="E106" s="32" t="s">
        <v>175</v>
      </c>
      <c r="F106" s="36" t="s">
        <v>905</v>
      </c>
      <c r="G106" s="36" t="s">
        <v>39</v>
      </c>
      <c r="H106" s="36" t="s">
        <v>370</v>
      </c>
      <c r="I106" s="37" t="s">
        <v>802</v>
      </c>
      <c r="J106" s="31">
        <v>16</v>
      </c>
      <c r="K106" s="33" t="s">
        <v>933</v>
      </c>
      <c r="L106" s="33" t="s">
        <v>679</v>
      </c>
      <c r="M106" s="34" t="s">
        <v>946</v>
      </c>
      <c r="N106" s="34" t="s">
        <v>1681</v>
      </c>
      <c r="O106" s="35">
        <v>1</v>
      </c>
      <c r="P106" s="35">
        <v>1</v>
      </c>
      <c r="Q106" s="36"/>
      <c r="S106" s="1">
        <f t="shared" si="39"/>
        <v>0</v>
      </c>
      <c r="T106" s="1">
        <f t="shared" si="40"/>
        <v>0</v>
      </c>
      <c r="U106" s="1">
        <f t="shared" si="41"/>
        <v>0</v>
      </c>
      <c r="V106" s="1">
        <f t="shared" si="42"/>
        <v>0</v>
      </c>
      <c r="W106" s="1">
        <f t="shared" si="43"/>
        <v>0</v>
      </c>
      <c r="X106" s="1">
        <f t="shared" si="44"/>
        <v>0</v>
      </c>
      <c r="Y106" s="1">
        <f t="shared" si="45"/>
        <v>0</v>
      </c>
      <c r="Z106" s="1">
        <f t="shared" si="46"/>
        <v>0</v>
      </c>
      <c r="AA106" s="1">
        <f t="shared" si="47"/>
        <v>0</v>
      </c>
      <c r="AB106" s="1">
        <f t="shared" si="48"/>
        <v>0</v>
      </c>
      <c r="AD106" s="1">
        <f t="shared" si="49"/>
        <v>1</v>
      </c>
      <c r="AE106" s="1">
        <f t="shared" si="50"/>
        <v>0</v>
      </c>
      <c r="AF106" s="1">
        <f t="shared" si="51"/>
        <v>1</v>
      </c>
      <c r="AG106" s="1">
        <f t="shared" si="52"/>
        <v>0</v>
      </c>
      <c r="AH106" s="1">
        <f t="shared" si="53"/>
        <v>1</v>
      </c>
      <c r="AI106" s="1">
        <f t="shared" si="54"/>
        <v>0</v>
      </c>
    </row>
    <row r="107" spans="1:35" ht="14.25" customHeight="1" x14ac:dyDescent="0.25">
      <c r="A107" s="31">
        <v>0</v>
      </c>
      <c r="B107" s="31">
        <v>1</v>
      </c>
      <c r="C107" s="31">
        <v>3</v>
      </c>
      <c r="D107" s="32" t="s">
        <v>103</v>
      </c>
      <c r="E107" s="32" t="s">
        <v>169</v>
      </c>
      <c r="F107" s="32" t="s">
        <v>301</v>
      </c>
      <c r="G107" s="32" t="s">
        <v>39</v>
      </c>
      <c r="H107" s="32" t="s">
        <v>355</v>
      </c>
      <c r="I107" s="31" t="s">
        <v>448</v>
      </c>
      <c r="J107" s="31">
        <v>18</v>
      </c>
      <c r="K107" s="33" t="s">
        <v>693</v>
      </c>
      <c r="L107" s="33" t="s">
        <v>679</v>
      </c>
      <c r="M107" s="34" t="s">
        <v>682</v>
      </c>
      <c r="N107" s="34" t="s">
        <v>1689</v>
      </c>
      <c r="O107" s="35">
        <v>1</v>
      </c>
      <c r="P107" s="35"/>
      <c r="Q107" s="32"/>
      <c r="S107" s="1">
        <f t="shared" si="39"/>
        <v>0</v>
      </c>
      <c r="T107" s="1">
        <f t="shared" si="40"/>
        <v>0</v>
      </c>
      <c r="U107" s="1">
        <f t="shared" si="41"/>
        <v>0</v>
      </c>
      <c r="V107" s="1">
        <f t="shared" si="42"/>
        <v>0</v>
      </c>
      <c r="W107" s="1">
        <f t="shared" si="43"/>
        <v>0</v>
      </c>
      <c r="X107" s="1">
        <f t="shared" si="44"/>
        <v>0</v>
      </c>
      <c r="Y107" s="1">
        <f t="shared" si="45"/>
        <v>0</v>
      </c>
      <c r="Z107" s="1">
        <f t="shared" si="46"/>
        <v>0</v>
      </c>
      <c r="AA107" s="1">
        <f t="shared" si="47"/>
        <v>0</v>
      </c>
      <c r="AB107" s="1">
        <f t="shared" si="48"/>
        <v>0</v>
      </c>
      <c r="AD107" s="1">
        <f t="shared" si="49"/>
        <v>0</v>
      </c>
      <c r="AE107" s="1">
        <f t="shared" si="50"/>
        <v>1</v>
      </c>
      <c r="AF107" s="1">
        <f t="shared" si="51"/>
        <v>0</v>
      </c>
      <c r="AG107" s="1">
        <f t="shared" si="52"/>
        <v>1</v>
      </c>
      <c r="AH107" s="1">
        <f t="shared" si="53"/>
        <v>0</v>
      </c>
      <c r="AI107" s="1">
        <f t="shared" si="54"/>
        <v>1</v>
      </c>
    </row>
    <row r="108" spans="1:35" ht="14.25" customHeight="1" x14ac:dyDescent="0.25">
      <c r="A108" s="31">
        <v>0</v>
      </c>
      <c r="B108" s="31">
        <v>1</v>
      </c>
      <c r="C108" s="31">
        <v>3</v>
      </c>
      <c r="D108" s="32" t="s">
        <v>512</v>
      </c>
      <c r="E108" s="32" t="s">
        <v>169</v>
      </c>
      <c r="F108" s="32" t="s">
        <v>513</v>
      </c>
      <c r="G108" s="32" t="s">
        <v>500</v>
      </c>
      <c r="H108" s="32" t="s">
        <v>352</v>
      </c>
      <c r="I108" s="31" t="s">
        <v>514</v>
      </c>
      <c r="J108" s="31">
        <v>99</v>
      </c>
      <c r="K108" s="33" t="s">
        <v>932</v>
      </c>
      <c r="L108" s="33" t="s">
        <v>685</v>
      </c>
      <c r="M108" s="34" t="s">
        <v>682</v>
      </c>
      <c r="N108" s="34" t="s">
        <v>1693</v>
      </c>
      <c r="O108" s="35">
        <v>1</v>
      </c>
      <c r="P108" s="35"/>
      <c r="Q108" s="32"/>
      <c r="S108" s="1">
        <f t="shared" si="39"/>
        <v>0</v>
      </c>
      <c r="T108" s="1">
        <f t="shared" si="40"/>
        <v>0</v>
      </c>
      <c r="U108" s="1">
        <f t="shared" si="41"/>
        <v>0</v>
      </c>
      <c r="V108" s="1">
        <f t="shared" si="42"/>
        <v>0</v>
      </c>
      <c r="W108" s="1">
        <f t="shared" si="43"/>
        <v>0</v>
      </c>
      <c r="X108" s="1">
        <f t="shared" si="44"/>
        <v>0</v>
      </c>
      <c r="Y108" s="1">
        <f t="shared" si="45"/>
        <v>0</v>
      </c>
      <c r="Z108" s="1">
        <f t="shared" si="46"/>
        <v>0</v>
      </c>
      <c r="AA108" s="1">
        <f t="shared" si="47"/>
        <v>0</v>
      </c>
      <c r="AB108" s="1">
        <f t="shared" si="48"/>
        <v>0</v>
      </c>
      <c r="AD108" s="1">
        <f t="shared" si="49"/>
        <v>0</v>
      </c>
      <c r="AE108" s="1">
        <f t="shared" si="50"/>
        <v>1</v>
      </c>
      <c r="AF108" s="1">
        <f t="shared" si="51"/>
        <v>0</v>
      </c>
      <c r="AG108" s="1">
        <f t="shared" si="52"/>
        <v>1</v>
      </c>
      <c r="AH108" s="1">
        <f t="shared" si="53"/>
        <v>0</v>
      </c>
      <c r="AI108" s="1">
        <f t="shared" si="54"/>
        <v>1</v>
      </c>
    </row>
    <row r="109" spans="1:35" ht="14.25" customHeight="1" x14ac:dyDescent="0.25">
      <c r="A109" s="31">
        <v>0</v>
      </c>
      <c r="B109" s="31">
        <v>1</v>
      </c>
      <c r="C109" s="31">
        <v>3</v>
      </c>
      <c r="D109" s="36" t="s">
        <v>2107</v>
      </c>
      <c r="E109" s="32" t="s">
        <v>602</v>
      </c>
      <c r="F109" s="32" t="s">
        <v>738</v>
      </c>
      <c r="G109" s="32" t="s">
        <v>39</v>
      </c>
      <c r="H109" s="32" t="s">
        <v>739</v>
      </c>
      <c r="I109" s="31" t="s">
        <v>740</v>
      </c>
      <c r="J109" s="31">
        <v>18</v>
      </c>
      <c r="K109" s="33" t="s">
        <v>694</v>
      </c>
      <c r="L109" s="33" t="s">
        <v>688</v>
      </c>
      <c r="M109" s="34" t="s">
        <v>682</v>
      </c>
      <c r="N109" s="34" t="s">
        <v>1790</v>
      </c>
      <c r="O109" s="35">
        <v>1</v>
      </c>
      <c r="P109" s="35"/>
      <c r="Q109" s="36"/>
      <c r="S109" s="1">
        <f t="shared" si="39"/>
        <v>0</v>
      </c>
      <c r="T109" s="1">
        <f t="shared" si="40"/>
        <v>0</v>
      </c>
      <c r="U109" s="1">
        <f t="shared" si="41"/>
        <v>0</v>
      </c>
      <c r="V109" s="1">
        <f t="shared" si="42"/>
        <v>0</v>
      </c>
      <c r="W109" s="1">
        <f t="shared" si="43"/>
        <v>0</v>
      </c>
      <c r="X109" s="1">
        <f t="shared" si="44"/>
        <v>0</v>
      </c>
      <c r="Y109" s="1">
        <f t="shared" si="45"/>
        <v>0</v>
      </c>
      <c r="Z109" s="1">
        <f t="shared" si="46"/>
        <v>0</v>
      </c>
      <c r="AA109" s="1">
        <f t="shared" si="47"/>
        <v>0</v>
      </c>
      <c r="AB109" s="1">
        <f t="shared" si="48"/>
        <v>0</v>
      </c>
      <c r="AD109" s="1">
        <f t="shared" si="49"/>
        <v>0</v>
      </c>
      <c r="AE109" s="1">
        <f t="shared" si="50"/>
        <v>1</v>
      </c>
      <c r="AF109" s="1">
        <f t="shared" si="51"/>
        <v>0</v>
      </c>
      <c r="AG109" s="1">
        <f t="shared" si="52"/>
        <v>1</v>
      </c>
      <c r="AH109" s="1">
        <f t="shared" si="53"/>
        <v>0</v>
      </c>
      <c r="AI109" s="1">
        <f t="shared" si="54"/>
        <v>1</v>
      </c>
    </row>
    <row r="110" spans="1:35" ht="14.25" customHeight="1" x14ac:dyDescent="0.25">
      <c r="A110" s="31">
        <v>0</v>
      </c>
      <c r="B110" s="31">
        <v>1</v>
      </c>
      <c r="C110" s="31">
        <v>3</v>
      </c>
      <c r="D110" s="32" t="s">
        <v>2092</v>
      </c>
      <c r="E110" s="32" t="s">
        <v>169</v>
      </c>
      <c r="F110" s="32" t="s">
        <v>2091</v>
      </c>
      <c r="G110" s="32"/>
      <c r="H110" s="32" t="s">
        <v>352</v>
      </c>
      <c r="I110" s="31" t="s">
        <v>2093</v>
      </c>
      <c r="J110" s="31">
        <v>99</v>
      </c>
      <c r="K110" s="33" t="s">
        <v>694</v>
      </c>
      <c r="L110" s="33">
        <v>60</v>
      </c>
      <c r="M110" s="34" t="s">
        <v>1355</v>
      </c>
      <c r="N110" s="34" t="s">
        <v>1766</v>
      </c>
      <c r="O110" s="35">
        <v>1</v>
      </c>
      <c r="P110" s="35"/>
      <c r="Q110" s="32" t="s">
        <v>2094</v>
      </c>
      <c r="S110" s="1">
        <f t="shared" si="39"/>
        <v>0</v>
      </c>
      <c r="T110" s="1">
        <f t="shared" si="40"/>
        <v>0</v>
      </c>
      <c r="U110" s="1">
        <f t="shared" si="41"/>
        <v>0</v>
      </c>
      <c r="V110" s="1">
        <f t="shared" si="42"/>
        <v>0</v>
      </c>
      <c r="W110" s="1">
        <f t="shared" si="43"/>
        <v>0</v>
      </c>
      <c r="X110" s="1">
        <f t="shared" si="44"/>
        <v>0</v>
      </c>
      <c r="Y110" s="1">
        <f t="shared" si="45"/>
        <v>0</v>
      </c>
      <c r="Z110" s="1">
        <f t="shared" si="46"/>
        <v>0</v>
      </c>
      <c r="AA110" s="1">
        <f t="shared" si="47"/>
        <v>0</v>
      </c>
      <c r="AB110" s="1">
        <f t="shared" si="48"/>
        <v>0</v>
      </c>
      <c r="AD110" s="1">
        <f t="shared" si="49"/>
        <v>0</v>
      </c>
      <c r="AE110" s="1">
        <f t="shared" si="50"/>
        <v>1</v>
      </c>
      <c r="AF110" s="1">
        <f t="shared" si="51"/>
        <v>0</v>
      </c>
      <c r="AG110" s="1">
        <f t="shared" si="52"/>
        <v>1</v>
      </c>
      <c r="AH110" s="1">
        <f t="shared" si="53"/>
        <v>0</v>
      </c>
      <c r="AI110" s="1">
        <f t="shared" si="54"/>
        <v>1</v>
      </c>
    </row>
    <row r="111" spans="1:35" ht="14.25" customHeight="1" x14ac:dyDescent="0.25">
      <c r="A111" s="15">
        <v>0</v>
      </c>
      <c r="B111" s="15">
        <v>1</v>
      </c>
      <c r="C111" s="15">
        <v>3</v>
      </c>
      <c r="D111" s="16" t="s">
        <v>1601</v>
      </c>
      <c r="E111" s="16" t="s">
        <v>1063</v>
      </c>
      <c r="F111" s="16" t="s">
        <v>1187</v>
      </c>
      <c r="G111" s="16" t="s">
        <v>39</v>
      </c>
      <c r="H111" s="16" t="s">
        <v>1188</v>
      </c>
      <c r="I111" s="15" t="s">
        <v>1189</v>
      </c>
      <c r="J111" s="15">
        <v>18</v>
      </c>
      <c r="K111" s="10" t="s">
        <v>934</v>
      </c>
      <c r="L111" s="10" t="s">
        <v>679</v>
      </c>
      <c r="M111" s="19" t="s">
        <v>946</v>
      </c>
      <c r="N111" s="17"/>
      <c r="Q111" s="16" t="s">
        <v>1824</v>
      </c>
      <c r="S111" s="1">
        <f t="shared" si="39"/>
        <v>0</v>
      </c>
      <c r="T111" s="1">
        <f t="shared" si="40"/>
        <v>0</v>
      </c>
      <c r="U111" s="1">
        <f t="shared" si="41"/>
        <v>0</v>
      </c>
      <c r="V111" s="1">
        <f t="shared" si="42"/>
        <v>0</v>
      </c>
      <c r="W111" s="1">
        <f t="shared" si="43"/>
        <v>0</v>
      </c>
      <c r="X111" s="1">
        <f t="shared" si="44"/>
        <v>0</v>
      </c>
      <c r="Y111" s="1">
        <f t="shared" si="45"/>
        <v>0</v>
      </c>
      <c r="Z111" s="1">
        <f t="shared" si="46"/>
        <v>0</v>
      </c>
      <c r="AA111" s="1">
        <f t="shared" si="47"/>
        <v>0</v>
      </c>
      <c r="AB111" s="1">
        <f t="shared" si="48"/>
        <v>0</v>
      </c>
      <c r="AD111" s="1">
        <f t="shared" si="49"/>
        <v>0</v>
      </c>
      <c r="AE111" s="1">
        <f t="shared" si="50"/>
        <v>0</v>
      </c>
      <c r="AF111" s="1">
        <f t="shared" si="51"/>
        <v>0</v>
      </c>
      <c r="AG111" s="1">
        <f t="shared" si="52"/>
        <v>0</v>
      </c>
      <c r="AH111" s="1">
        <f t="shared" si="53"/>
        <v>0</v>
      </c>
      <c r="AI111" s="1">
        <f t="shared" si="54"/>
        <v>1</v>
      </c>
    </row>
    <row r="112" spans="1:35" ht="14.25" customHeight="1" x14ac:dyDescent="0.25">
      <c r="A112" s="31">
        <v>0</v>
      </c>
      <c r="B112" s="31">
        <v>1</v>
      </c>
      <c r="C112" s="31">
        <v>3</v>
      </c>
      <c r="D112" s="32" t="s">
        <v>1514</v>
      </c>
      <c r="E112" s="32" t="s">
        <v>169</v>
      </c>
      <c r="F112" s="32" t="s">
        <v>1632</v>
      </c>
      <c r="G112" s="32" t="s">
        <v>39</v>
      </c>
      <c r="H112" s="32" t="s">
        <v>355</v>
      </c>
      <c r="I112" s="31" t="s">
        <v>1515</v>
      </c>
      <c r="J112" s="31">
        <v>18</v>
      </c>
      <c r="K112" s="33" t="s">
        <v>713</v>
      </c>
      <c r="L112" s="33" t="s">
        <v>679</v>
      </c>
      <c r="M112" s="34" t="s">
        <v>682</v>
      </c>
      <c r="N112" s="34" t="s">
        <v>1689</v>
      </c>
      <c r="O112" s="35">
        <v>1</v>
      </c>
      <c r="P112" s="35"/>
      <c r="Q112" s="32"/>
      <c r="S112" s="1">
        <f t="shared" si="39"/>
        <v>0</v>
      </c>
      <c r="T112" s="1">
        <f t="shared" si="40"/>
        <v>0</v>
      </c>
      <c r="U112" s="1">
        <f t="shared" si="41"/>
        <v>0</v>
      </c>
      <c r="V112" s="1">
        <f t="shared" si="42"/>
        <v>0</v>
      </c>
      <c r="W112" s="1">
        <f t="shared" si="43"/>
        <v>0</v>
      </c>
      <c r="X112" s="1">
        <f t="shared" si="44"/>
        <v>0</v>
      </c>
      <c r="Y112" s="1">
        <f t="shared" si="45"/>
        <v>0</v>
      </c>
      <c r="Z112" s="1">
        <f t="shared" si="46"/>
        <v>0</v>
      </c>
      <c r="AA112" s="1">
        <f t="shared" si="47"/>
        <v>0</v>
      </c>
      <c r="AB112" s="1">
        <f t="shared" si="48"/>
        <v>0</v>
      </c>
      <c r="AD112" s="1">
        <f t="shared" si="49"/>
        <v>0</v>
      </c>
      <c r="AE112" s="1">
        <f t="shared" si="50"/>
        <v>1</v>
      </c>
      <c r="AF112" s="1">
        <f t="shared" si="51"/>
        <v>0</v>
      </c>
      <c r="AG112" s="1">
        <f t="shared" si="52"/>
        <v>1</v>
      </c>
      <c r="AH112" s="1">
        <f t="shared" si="53"/>
        <v>0</v>
      </c>
      <c r="AI112" s="1">
        <f t="shared" si="54"/>
        <v>1</v>
      </c>
    </row>
    <row r="113" spans="1:35" ht="14.25" customHeight="1" x14ac:dyDescent="0.25">
      <c r="A113" s="31">
        <v>0</v>
      </c>
      <c r="B113" s="31">
        <v>1</v>
      </c>
      <c r="C113" s="31">
        <v>3</v>
      </c>
      <c r="D113" s="32" t="s">
        <v>1286</v>
      </c>
      <c r="E113" s="32" t="s">
        <v>174</v>
      </c>
      <c r="F113" s="32" t="s">
        <v>1307</v>
      </c>
      <c r="G113" s="32" t="s">
        <v>39</v>
      </c>
      <c r="H113" s="32" t="s">
        <v>352</v>
      </c>
      <c r="I113" s="31" t="s">
        <v>1107</v>
      </c>
      <c r="J113" s="31">
        <v>99</v>
      </c>
      <c r="K113" s="33" t="s">
        <v>693</v>
      </c>
      <c r="L113" s="33" t="s">
        <v>1653</v>
      </c>
      <c r="M113" s="34" t="s">
        <v>1356</v>
      </c>
      <c r="N113" s="34" t="s">
        <v>1694</v>
      </c>
      <c r="O113" s="35">
        <v>1</v>
      </c>
      <c r="P113" s="35"/>
      <c r="Q113" s="32"/>
      <c r="S113" s="1">
        <f t="shared" si="39"/>
        <v>0</v>
      </c>
      <c r="T113" s="1">
        <f t="shared" si="40"/>
        <v>0</v>
      </c>
      <c r="U113" s="1">
        <f t="shared" si="41"/>
        <v>0</v>
      </c>
      <c r="V113" s="1">
        <f t="shared" si="42"/>
        <v>0</v>
      </c>
      <c r="W113" s="1">
        <f t="shared" si="43"/>
        <v>0</v>
      </c>
      <c r="X113" s="1">
        <f t="shared" si="44"/>
        <v>0</v>
      </c>
      <c r="Y113" s="1">
        <f t="shared" si="45"/>
        <v>0</v>
      </c>
      <c r="Z113" s="1">
        <f t="shared" si="46"/>
        <v>0</v>
      </c>
      <c r="AA113" s="1">
        <f t="shared" si="47"/>
        <v>0</v>
      </c>
      <c r="AB113" s="1">
        <f t="shared" si="48"/>
        <v>0</v>
      </c>
      <c r="AD113" s="1">
        <f t="shared" si="49"/>
        <v>0</v>
      </c>
      <c r="AE113" s="1">
        <f t="shared" si="50"/>
        <v>1</v>
      </c>
      <c r="AF113" s="1">
        <f t="shared" si="51"/>
        <v>0</v>
      </c>
      <c r="AG113" s="1">
        <f t="shared" si="52"/>
        <v>1</v>
      </c>
      <c r="AH113" s="1">
        <f t="shared" si="53"/>
        <v>0</v>
      </c>
      <c r="AI113" s="1">
        <f t="shared" si="54"/>
        <v>1</v>
      </c>
    </row>
    <row r="114" spans="1:35" ht="14.25" customHeight="1" x14ac:dyDescent="0.25">
      <c r="A114" s="31">
        <v>0</v>
      </c>
      <c r="B114" s="31">
        <v>1</v>
      </c>
      <c r="C114" s="31">
        <v>3</v>
      </c>
      <c r="D114" s="32" t="s">
        <v>1230</v>
      </c>
      <c r="E114" s="32" t="s">
        <v>169</v>
      </c>
      <c r="F114" s="32" t="s">
        <v>1308</v>
      </c>
      <c r="G114" s="32" t="s">
        <v>1162</v>
      </c>
      <c r="H114" s="32" t="s">
        <v>352</v>
      </c>
      <c r="I114" s="31" t="s">
        <v>1163</v>
      </c>
      <c r="J114" s="31">
        <v>99</v>
      </c>
      <c r="K114" s="33" t="s">
        <v>713</v>
      </c>
      <c r="L114" s="33">
        <v>50</v>
      </c>
      <c r="M114" s="34" t="s">
        <v>39</v>
      </c>
      <c r="N114" s="34" t="s">
        <v>1744</v>
      </c>
      <c r="O114" s="35">
        <v>1</v>
      </c>
      <c r="P114" s="35"/>
      <c r="Q114" s="32"/>
      <c r="S114" s="1">
        <f t="shared" si="39"/>
        <v>0</v>
      </c>
      <c r="T114" s="1">
        <f t="shared" si="40"/>
        <v>0</v>
      </c>
      <c r="U114" s="1">
        <f t="shared" si="41"/>
        <v>0</v>
      </c>
      <c r="V114" s="1">
        <f t="shared" si="42"/>
        <v>0</v>
      </c>
      <c r="W114" s="1">
        <f t="shared" si="43"/>
        <v>0</v>
      </c>
      <c r="X114" s="1">
        <f t="shared" si="44"/>
        <v>0</v>
      </c>
      <c r="Y114" s="1">
        <f t="shared" si="45"/>
        <v>0</v>
      </c>
      <c r="Z114" s="1">
        <f t="shared" si="46"/>
        <v>0</v>
      </c>
      <c r="AA114" s="1">
        <f t="shared" si="47"/>
        <v>0</v>
      </c>
      <c r="AB114" s="1">
        <f t="shared" si="48"/>
        <v>0</v>
      </c>
      <c r="AD114" s="1">
        <f t="shared" si="49"/>
        <v>0</v>
      </c>
      <c r="AE114" s="1">
        <f t="shared" si="50"/>
        <v>1</v>
      </c>
      <c r="AF114" s="1">
        <f t="shared" si="51"/>
        <v>0</v>
      </c>
      <c r="AG114" s="1">
        <f t="shared" si="52"/>
        <v>1</v>
      </c>
      <c r="AH114" s="1">
        <f t="shared" si="53"/>
        <v>0</v>
      </c>
      <c r="AI114" s="1">
        <f t="shared" si="54"/>
        <v>1</v>
      </c>
    </row>
    <row r="115" spans="1:35" ht="14.25" customHeight="1" x14ac:dyDescent="0.25">
      <c r="A115" s="31">
        <v>0</v>
      </c>
      <c r="B115" s="31">
        <v>1</v>
      </c>
      <c r="C115" s="31">
        <v>3</v>
      </c>
      <c r="D115" s="32" t="s">
        <v>995</v>
      </c>
      <c r="E115" s="32" t="s">
        <v>602</v>
      </c>
      <c r="F115" s="32" t="s">
        <v>996</v>
      </c>
      <c r="G115" s="32" t="s">
        <v>997</v>
      </c>
      <c r="H115" s="32" t="s">
        <v>352</v>
      </c>
      <c r="I115" s="31" t="s">
        <v>998</v>
      </c>
      <c r="J115" s="31">
        <v>99</v>
      </c>
      <c r="K115" s="33" t="s">
        <v>932</v>
      </c>
      <c r="L115" s="33" t="s">
        <v>39</v>
      </c>
      <c r="M115" s="34" t="s">
        <v>39</v>
      </c>
      <c r="N115" s="34" t="s">
        <v>1687</v>
      </c>
      <c r="O115" s="35">
        <v>1</v>
      </c>
      <c r="P115" s="35">
        <v>1</v>
      </c>
      <c r="Q115" s="32"/>
      <c r="S115" s="1">
        <f t="shared" si="39"/>
        <v>0</v>
      </c>
      <c r="T115" s="1">
        <f t="shared" si="40"/>
        <v>0</v>
      </c>
      <c r="U115" s="1">
        <f t="shared" si="41"/>
        <v>0</v>
      </c>
      <c r="V115" s="1">
        <f t="shared" si="42"/>
        <v>0</v>
      </c>
      <c r="W115" s="1">
        <f t="shared" si="43"/>
        <v>0</v>
      </c>
      <c r="X115" s="1">
        <f t="shared" si="44"/>
        <v>0</v>
      </c>
      <c r="Y115" s="1">
        <f t="shared" si="45"/>
        <v>0</v>
      </c>
      <c r="Z115" s="1">
        <f t="shared" si="46"/>
        <v>0</v>
      </c>
      <c r="AA115" s="1">
        <f t="shared" si="47"/>
        <v>0</v>
      </c>
      <c r="AB115" s="1">
        <f t="shared" si="48"/>
        <v>0</v>
      </c>
      <c r="AD115" s="1">
        <f t="shared" si="49"/>
        <v>1</v>
      </c>
      <c r="AE115" s="1">
        <f t="shared" si="50"/>
        <v>0</v>
      </c>
      <c r="AF115" s="1">
        <f t="shared" si="51"/>
        <v>1</v>
      </c>
      <c r="AG115" s="1">
        <f t="shared" si="52"/>
        <v>0</v>
      </c>
      <c r="AH115" s="1">
        <f t="shared" si="53"/>
        <v>1</v>
      </c>
      <c r="AI115" s="1">
        <f t="shared" si="54"/>
        <v>0</v>
      </c>
    </row>
    <row r="116" spans="1:35" ht="14.25" customHeight="1" x14ac:dyDescent="0.25">
      <c r="A116" s="31">
        <v>0</v>
      </c>
      <c r="B116" s="31">
        <v>1</v>
      </c>
      <c r="C116" s="31">
        <v>3</v>
      </c>
      <c r="D116" s="32" t="s">
        <v>2055</v>
      </c>
      <c r="E116" s="32" t="s">
        <v>171</v>
      </c>
      <c r="F116" s="32" t="s">
        <v>2056</v>
      </c>
      <c r="G116" s="32"/>
      <c r="H116" s="32" t="s">
        <v>2057</v>
      </c>
      <c r="I116" s="31" t="s">
        <v>2058</v>
      </c>
      <c r="J116" s="31">
        <v>12</v>
      </c>
      <c r="K116" s="33" t="s">
        <v>694</v>
      </c>
      <c r="L116" s="33">
        <v>45</v>
      </c>
      <c r="M116" s="34" t="s">
        <v>1357</v>
      </c>
      <c r="N116" s="34" t="s">
        <v>1790</v>
      </c>
      <c r="O116" s="35">
        <v>1</v>
      </c>
      <c r="P116" s="35"/>
      <c r="Q116" s="32" t="s">
        <v>2059</v>
      </c>
      <c r="S116" s="1">
        <f t="shared" si="39"/>
        <v>0</v>
      </c>
      <c r="T116" s="1">
        <f t="shared" si="40"/>
        <v>0</v>
      </c>
      <c r="U116" s="1">
        <f t="shared" si="41"/>
        <v>0</v>
      </c>
      <c r="V116" s="1">
        <f t="shared" si="42"/>
        <v>0</v>
      </c>
      <c r="W116" s="1">
        <f t="shared" si="43"/>
        <v>0</v>
      </c>
      <c r="X116" s="1">
        <f t="shared" si="44"/>
        <v>0</v>
      </c>
      <c r="Y116" s="1">
        <f t="shared" si="45"/>
        <v>0</v>
      </c>
      <c r="Z116" s="1">
        <f t="shared" si="46"/>
        <v>0</v>
      </c>
      <c r="AA116" s="1">
        <f t="shared" si="47"/>
        <v>0</v>
      </c>
      <c r="AB116" s="1">
        <f t="shared" si="48"/>
        <v>0</v>
      </c>
      <c r="AD116" s="1">
        <f t="shared" si="49"/>
        <v>0</v>
      </c>
      <c r="AE116" s="1">
        <f t="shared" si="50"/>
        <v>1</v>
      </c>
      <c r="AF116" s="1">
        <f t="shared" si="51"/>
        <v>0</v>
      </c>
      <c r="AG116" s="1">
        <f t="shared" si="52"/>
        <v>1</v>
      </c>
      <c r="AH116" s="1">
        <f t="shared" si="53"/>
        <v>0</v>
      </c>
      <c r="AI116" s="1">
        <f t="shared" si="54"/>
        <v>1</v>
      </c>
    </row>
    <row r="117" spans="1:35" ht="14.25" customHeight="1" x14ac:dyDescent="0.25">
      <c r="A117" s="31">
        <v>0</v>
      </c>
      <c r="B117" s="31">
        <v>1</v>
      </c>
      <c r="C117" s="31">
        <v>3</v>
      </c>
      <c r="D117" s="32" t="s">
        <v>140</v>
      </c>
      <c r="E117" s="32" t="s">
        <v>174</v>
      </c>
      <c r="F117" s="32" t="s">
        <v>340</v>
      </c>
      <c r="G117" s="32" t="s">
        <v>39</v>
      </c>
      <c r="H117" s="32" t="s">
        <v>374</v>
      </c>
      <c r="I117" s="31" t="s">
        <v>486</v>
      </c>
      <c r="J117" s="31">
        <v>16</v>
      </c>
      <c r="K117" s="33" t="s">
        <v>693</v>
      </c>
      <c r="L117" s="33" t="s">
        <v>679</v>
      </c>
      <c r="M117" s="34" t="s">
        <v>1357</v>
      </c>
      <c r="N117" s="34" t="s">
        <v>1693</v>
      </c>
      <c r="O117" s="35">
        <v>1</v>
      </c>
      <c r="P117" s="35"/>
      <c r="Q117" s="32"/>
      <c r="S117" s="1">
        <f t="shared" si="39"/>
        <v>0</v>
      </c>
      <c r="T117" s="1">
        <f t="shared" si="40"/>
        <v>0</v>
      </c>
      <c r="U117" s="1">
        <f t="shared" si="41"/>
        <v>0</v>
      </c>
      <c r="V117" s="1">
        <f t="shared" si="42"/>
        <v>0</v>
      </c>
      <c r="W117" s="1">
        <f t="shared" si="43"/>
        <v>0</v>
      </c>
      <c r="X117" s="1">
        <f t="shared" si="44"/>
        <v>0</v>
      </c>
      <c r="Y117" s="1">
        <f t="shared" si="45"/>
        <v>0</v>
      </c>
      <c r="Z117" s="1">
        <f t="shared" si="46"/>
        <v>0</v>
      </c>
      <c r="AA117" s="1">
        <f t="shared" si="47"/>
        <v>0</v>
      </c>
      <c r="AB117" s="1">
        <f t="shared" si="48"/>
        <v>0</v>
      </c>
      <c r="AD117" s="1">
        <f t="shared" si="49"/>
        <v>0</v>
      </c>
      <c r="AE117" s="1">
        <f t="shared" si="50"/>
        <v>1</v>
      </c>
      <c r="AF117" s="1">
        <f t="shared" si="51"/>
        <v>0</v>
      </c>
      <c r="AG117" s="1">
        <f t="shared" si="52"/>
        <v>1</v>
      </c>
      <c r="AH117" s="1">
        <f t="shared" si="53"/>
        <v>0</v>
      </c>
      <c r="AI117" s="1">
        <f t="shared" si="54"/>
        <v>1</v>
      </c>
    </row>
    <row r="118" spans="1:35" ht="14.25" customHeight="1" x14ac:dyDescent="0.25">
      <c r="A118" s="31">
        <v>0</v>
      </c>
      <c r="B118" s="31">
        <v>1</v>
      </c>
      <c r="C118" s="31">
        <v>3</v>
      </c>
      <c r="D118" s="32" t="s">
        <v>797</v>
      </c>
      <c r="E118" s="32" t="s">
        <v>171</v>
      </c>
      <c r="F118" s="32" t="s">
        <v>798</v>
      </c>
      <c r="G118" s="32" t="s">
        <v>39</v>
      </c>
      <c r="H118" s="32" t="s">
        <v>799</v>
      </c>
      <c r="I118" s="31" t="s">
        <v>800</v>
      </c>
      <c r="J118" s="31">
        <v>16</v>
      </c>
      <c r="K118" s="33" t="s">
        <v>693</v>
      </c>
      <c r="L118" s="33" t="s">
        <v>679</v>
      </c>
      <c r="M118" s="34" t="s">
        <v>1357</v>
      </c>
      <c r="N118" s="34" t="s">
        <v>1681</v>
      </c>
      <c r="O118" s="35">
        <v>1</v>
      </c>
      <c r="P118" s="35">
        <v>1</v>
      </c>
      <c r="Q118" s="32"/>
      <c r="S118" s="1">
        <f t="shared" si="39"/>
        <v>0</v>
      </c>
      <c r="T118" s="1">
        <f t="shared" si="40"/>
        <v>0</v>
      </c>
      <c r="U118" s="1">
        <f t="shared" si="41"/>
        <v>0</v>
      </c>
      <c r="V118" s="1">
        <f t="shared" si="42"/>
        <v>0</v>
      </c>
      <c r="W118" s="1">
        <f t="shared" si="43"/>
        <v>0</v>
      </c>
      <c r="X118" s="1">
        <f t="shared" si="44"/>
        <v>0</v>
      </c>
      <c r="Y118" s="1">
        <f t="shared" si="45"/>
        <v>0</v>
      </c>
      <c r="Z118" s="1">
        <f t="shared" si="46"/>
        <v>0</v>
      </c>
      <c r="AA118" s="1">
        <f t="shared" si="47"/>
        <v>0</v>
      </c>
      <c r="AB118" s="1">
        <f t="shared" si="48"/>
        <v>0</v>
      </c>
      <c r="AD118" s="1">
        <f t="shared" si="49"/>
        <v>1</v>
      </c>
      <c r="AE118" s="1">
        <f t="shared" si="50"/>
        <v>0</v>
      </c>
      <c r="AF118" s="1">
        <f t="shared" si="51"/>
        <v>1</v>
      </c>
      <c r="AG118" s="1">
        <f t="shared" si="52"/>
        <v>0</v>
      </c>
      <c r="AH118" s="1">
        <f t="shared" si="53"/>
        <v>1</v>
      </c>
      <c r="AI118" s="1">
        <f t="shared" si="54"/>
        <v>0</v>
      </c>
    </row>
    <row r="119" spans="1:35" ht="14.25" customHeight="1" x14ac:dyDescent="0.25">
      <c r="A119" s="15">
        <v>0</v>
      </c>
      <c r="B119" s="15">
        <v>1</v>
      </c>
      <c r="C119" s="15">
        <v>3</v>
      </c>
      <c r="D119" s="16" t="s">
        <v>107</v>
      </c>
      <c r="E119" s="16" t="s">
        <v>169</v>
      </c>
      <c r="F119" s="16" t="s">
        <v>304</v>
      </c>
      <c r="G119" s="16" t="s">
        <v>39</v>
      </c>
      <c r="H119" s="16" t="s">
        <v>359</v>
      </c>
      <c r="I119" s="15" t="s">
        <v>452</v>
      </c>
      <c r="J119" s="15">
        <v>18</v>
      </c>
      <c r="K119" s="10" t="s">
        <v>694</v>
      </c>
      <c r="L119" s="10" t="s">
        <v>679</v>
      </c>
      <c r="M119" s="19" t="s">
        <v>682</v>
      </c>
      <c r="N119" s="17"/>
      <c r="Q119" s="20" t="s">
        <v>1823</v>
      </c>
      <c r="S119" s="1">
        <f t="shared" si="39"/>
        <v>0</v>
      </c>
      <c r="T119" s="1">
        <f t="shared" si="40"/>
        <v>0</v>
      </c>
      <c r="U119" s="1">
        <f t="shared" si="41"/>
        <v>0</v>
      </c>
      <c r="V119" s="1">
        <f t="shared" si="42"/>
        <v>0</v>
      </c>
      <c r="W119" s="1">
        <f t="shared" si="43"/>
        <v>0</v>
      </c>
      <c r="X119" s="1">
        <f t="shared" si="44"/>
        <v>0</v>
      </c>
      <c r="Y119" s="1">
        <f t="shared" si="45"/>
        <v>0</v>
      </c>
      <c r="Z119" s="1">
        <f t="shared" si="46"/>
        <v>0</v>
      </c>
      <c r="AA119" s="1">
        <f t="shared" si="47"/>
        <v>0</v>
      </c>
      <c r="AB119" s="1">
        <f t="shared" si="48"/>
        <v>0</v>
      </c>
      <c r="AD119" s="1">
        <f t="shared" si="49"/>
        <v>0</v>
      </c>
      <c r="AE119" s="1">
        <f t="shared" si="50"/>
        <v>0</v>
      </c>
      <c r="AF119" s="1">
        <f t="shared" si="51"/>
        <v>0</v>
      </c>
      <c r="AG119" s="1">
        <f t="shared" si="52"/>
        <v>0</v>
      </c>
      <c r="AH119" s="1">
        <f t="shared" si="53"/>
        <v>0</v>
      </c>
      <c r="AI119" s="1">
        <f t="shared" si="54"/>
        <v>1</v>
      </c>
    </row>
    <row r="120" spans="1:35" ht="14.25" customHeight="1" x14ac:dyDescent="0.25">
      <c r="A120" s="31">
        <v>0</v>
      </c>
      <c r="B120" s="31">
        <v>1</v>
      </c>
      <c r="C120" s="31">
        <v>3</v>
      </c>
      <c r="D120" s="32" t="s">
        <v>1463</v>
      </c>
      <c r="E120" s="32" t="s">
        <v>169</v>
      </c>
      <c r="F120" s="32" t="s">
        <v>1464</v>
      </c>
      <c r="G120" s="32" t="s">
        <v>39</v>
      </c>
      <c r="H120" s="32" t="s">
        <v>372</v>
      </c>
      <c r="I120" s="31" t="s">
        <v>1465</v>
      </c>
      <c r="J120" s="31">
        <v>11</v>
      </c>
      <c r="K120" s="33" t="s">
        <v>713</v>
      </c>
      <c r="L120" s="33">
        <v>50</v>
      </c>
      <c r="M120" s="34" t="s">
        <v>39</v>
      </c>
      <c r="N120" s="34" t="s">
        <v>1694</v>
      </c>
      <c r="O120" s="35">
        <v>1</v>
      </c>
      <c r="P120" s="35"/>
      <c r="Q120" s="32"/>
      <c r="S120" s="1">
        <f t="shared" si="39"/>
        <v>0</v>
      </c>
      <c r="T120" s="1">
        <f t="shared" si="40"/>
        <v>0</v>
      </c>
      <c r="U120" s="1">
        <f t="shared" si="41"/>
        <v>0</v>
      </c>
      <c r="V120" s="1">
        <f t="shared" si="42"/>
        <v>0</v>
      </c>
      <c r="W120" s="1">
        <f t="shared" si="43"/>
        <v>0</v>
      </c>
      <c r="X120" s="1">
        <f t="shared" si="44"/>
        <v>0</v>
      </c>
      <c r="Y120" s="1">
        <f t="shared" si="45"/>
        <v>0</v>
      </c>
      <c r="Z120" s="1">
        <f t="shared" si="46"/>
        <v>0</v>
      </c>
      <c r="AA120" s="1">
        <f t="shared" si="47"/>
        <v>0</v>
      </c>
      <c r="AB120" s="1">
        <f t="shared" si="48"/>
        <v>0</v>
      </c>
      <c r="AD120" s="1">
        <f t="shared" ref="AD120:AD122" si="55">+O120*P120</f>
        <v>0</v>
      </c>
      <c r="AE120" s="1">
        <f t="shared" ref="AE120:AE122" si="56">O120*(1-P120)</f>
        <v>1</v>
      </c>
      <c r="AF120" s="1">
        <f t="shared" ref="AF120:AF122" si="57">+O120*P120*(1-A120)</f>
        <v>0</v>
      </c>
      <c r="AG120" s="1">
        <f t="shared" ref="AG120:AG122" si="58">O120*(1-P120)*(1-A120)</f>
        <v>1</v>
      </c>
      <c r="AH120" s="1">
        <f t="shared" ref="AH120:AH122" si="59">+P120*(1-A120)</f>
        <v>0</v>
      </c>
      <c r="AI120" s="1">
        <f t="shared" ref="AI120:AI122" si="60">+(1-A120)*(1-P120)</f>
        <v>1</v>
      </c>
    </row>
    <row r="121" spans="1:35" ht="14.25" customHeight="1" x14ac:dyDescent="0.25">
      <c r="A121" s="31">
        <v>0</v>
      </c>
      <c r="B121" s="31">
        <v>1</v>
      </c>
      <c r="C121" s="31">
        <v>3</v>
      </c>
      <c r="D121" s="32" t="s">
        <v>106</v>
      </c>
      <c r="E121" s="32" t="s">
        <v>169</v>
      </c>
      <c r="F121" s="32" t="s">
        <v>303</v>
      </c>
      <c r="G121" s="32" t="s">
        <v>39</v>
      </c>
      <c r="H121" s="32" t="s">
        <v>358</v>
      </c>
      <c r="I121" s="31" t="s">
        <v>451</v>
      </c>
      <c r="J121" s="31">
        <v>18</v>
      </c>
      <c r="K121" s="33" t="s">
        <v>693</v>
      </c>
      <c r="L121" s="33">
        <v>55</v>
      </c>
      <c r="M121" s="34" t="s">
        <v>682</v>
      </c>
      <c r="N121" s="34" t="s">
        <v>1694</v>
      </c>
      <c r="O121" s="35">
        <v>1</v>
      </c>
      <c r="P121" s="35"/>
      <c r="Q121" s="32"/>
      <c r="S121" s="1">
        <f t="shared" si="39"/>
        <v>0</v>
      </c>
      <c r="T121" s="1">
        <f t="shared" si="40"/>
        <v>0</v>
      </c>
      <c r="U121" s="1">
        <f t="shared" si="41"/>
        <v>0</v>
      </c>
      <c r="V121" s="1">
        <f t="shared" si="42"/>
        <v>0</v>
      </c>
      <c r="W121" s="1">
        <f t="shared" si="43"/>
        <v>0</v>
      </c>
      <c r="X121" s="1">
        <f t="shared" si="44"/>
        <v>0</v>
      </c>
      <c r="Y121" s="1">
        <f t="shared" si="45"/>
        <v>0</v>
      </c>
      <c r="Z121" s="1">
        <f t="shared" si="46"/>
        <v>0</v>
      </c>
      <c r="AA121" s="1">
        <f t="shared" si="47"/>
        <v>0</v>
      </c>
      <c r="AB121" s="1">
        <f t="shared" si="48"/>
        <v>0</v>
      </c>
      <c r="AD121" s="1">
        <f t="shared" si="55"/>
        <v>0</v>
      </c>
      <c r="AE121" s="1">
        <f t="shared" si="56"/>
        <v>1</v>
      </c>
      <c r="AF121" s="1">
        <f t="shared" si="57"/>
        <v>0</v>
      </c>
      <c r="AG121" s="1">
        <f t="shared" si="58"/>
        <v>1</v>
      </c>
      <c r="AH121" s="1">
        <f t="shared" si="59"/>
        <v>0</v>
      </c>
      <c r="AI121" s="1">
        <f t="shared" si="60"/>
        <v>1</v>
      </c>
    </row>
    <row r="122" spans="1:35" ht="14.25" customHeight="1" x14ac:dyDescent="0.25">
      <c r="A122" s="15">
        <v>0</v>
      </c>
      <c r="B122" s="15">
        <v>1</v>
      </c>
      <c r="C122" s="15">
        <v>3</v>
      </c>
      <c r="D122" s="16" t="s">
        <v>2150</v>
      </c>
      <c r="E122" s="16" t="s">
        <v>175</v>
      </c>
      <c r="F122" s="16" t="s">
        <v>2151</v>
      </c>
      <c r="G122" s="16"/>
      <c r="H122" s="16" t="s">
        <v>364</v>
      </c>
      <c r="I122" s="15" t="s">
        <v>2152</v>
      </c>
      <c r="J122" s="15">
        <v>18</v>
      </c>
      <c r="K122" s="10" t="s">
        <v>694</v>
      </c>
      <c r="L122" s="10" t="s">
        <v>1688</v>
      </c>
      <c r="M122" s="19" t="s">
        <v>1357</v>
      </c>
      <c r="N122" s="17"/>
      <c r="Q122" s="20" t="s">
        <v>2153</v>
      </c>
      <c r="S122" s="1">
        <f t="shared" si="39"/>
        <v>0</v>
      </c>
      <c r="T122" s="1">
        <f t="shared" si="40"/>
        <v>0</v>
      </c>
      <c r="U122" s="1">
        <f t="shared" si="41"/>
        <v>0</v>
      </c>
      <c r="V122" s="1">
        <f t="shared" si="42"/>
        <v>0</v>
      </c>
      <c r="W122" s="1">
        <f t="shared" si="43"/>
        <v>0</v>
      </c>
      <c r="X122" s="1">
        <f t="shared" si="44"/>
        <v>0</v>
      </c>
      <c r="Y122" s="1">
        <f t="shared" si="45"/>
        <v>0</v>
      </c>
      <c r="Z122" s="1">
        <f t="shared" si="46"/>
        <v>0</v>
      </c>
      <c r="AA122" s="1">
        <f t="shared" si="47"/>
        <v>0</v>
      </c>
      <c r="AB122" s="1">
        <f t="shared" si="48"/>
        <v>0</v>
      </c>
      <c r="AD122" s="1">
        <f t="shared" si="55"/>
        <v>0</v>
      </c>
      <c r="AE122" s="1">
        <f t="shared" si="56"/>
        <v>0</v>
      </c>
      <c r="AF122" s="1">
        <f t="shared" si="57"/>
        <v>0</v>
      </c>
      <c r="AG122" s="1">
        <f t="shared" si="58"/>
        <v>0</v>
      </c>
      <c r="AH122" s="1">
        <f t="shared" si="59"/>
        <v>0</v>
      </c>
      <c r="AI122" s="1">
        <f t="shared" si="60"/>
        <v>1</v>
      </c>
    </row>
    <row r="123" spans="1:35" s="1" customFormat="1" ht="14.25" customHeight="1" x14ac:dyDescent="0.25">
      <c r="A123" s="31">
        <v>0</v>
      </c>
      <c r="B123" s="31">
        <v>1</v>
      </c>
      <c r="C123" s="31">
        <v>3</v>
      </c>
      <c r="D123" s="32" t="s">
        <v>127</v>
      </c>
      <c r="E123" s="32" t="s">
        <v>174</v>
      </c>
      <c r="F123" s="32" t="s">
        <v>327</v>
      </c>
      <c r="G123" s="32" t="s">
        <v>39</v>
      </c>
      <c r="H123" s="32" t="s">
        <v>373</v>
      </c>
      <c r="I123" s="31" t="s">
        <v>474</v>
      </c>
      <c r="J123" s="31">
        <v>12</v>
      </c>
      <c r="K123" s="33" t="s">
        <v>693</v>
      </c>
      <c r="L123" s="33">
        <v>35</v>
      </c>
      <c r="M123" s="34" t="s">
        <v>682</v>
      </c>
      <c r="N123" s="34" t="s">
        <v>1694</v>
      </c>
      <c r="O123" s="35">
        <v>1</v>
      </c>
      <c r="P123" s="35"/>
      <c r="Q123" s="32"/>
      <c r="S123" s="1">
        <f t="shared" si="39"/>
        <v>0</v>
      </c>
      <c r="T123" s="1">
        <f t="shared" si="40"/>
        <v>0</v>
      </c>
      <c r="U123" s="1">
        <f t="shared" si="41"/>
        <v>0</v>
      </c>
      <c r="V123" s="1">
        <f t="shared" si="42"/>
        <v>0</v>
      </c>
      <c r="W123" s="1">
        <f t="shared" si="43"/>
        <v>0</v>
      </c>
      <c r="X123" s="1">
        <f t="shared" si="44"/>
        <v>0</v>
      </c>
      <c r="Y123" s="1">
        <f t="shared" si="45"/>
        <v>0</v>
      </c>
      <c r="Z123" s="1">
        <f t="shared" si="46"/>
        <v>0</v>
      </c>
      <c r="AA123" s="1">
        <f t="shared" si="47"/>
        <v>0</v>
      </c>
      <c r="AB123" s="1">
        <f t="shared" si="48"/>
        <v>0</v>
      </c>
      <c r="AD123" s="1">
        <f t="shared" si="49"/>
        <v>0</v>
      </c>
      <c r="AE123" s="1">
        <f t="shared" si="50"/>
        <v>1</v>
      </c>
      <c r="AF123" s="1">
        <f t="shared" si="51"/>
        <v>0</v>
      </c>
      <c r="AG123" s="1">
        <f t="shared" si="52"/>
        <v>1</v>
      </c>
      <c r="AH123" s="1">
        <f t="shared" si="53"/>
        <v>0</v>
      </c>
      <c r="AI123" s="1">
        <f t="shared" si="54"/>
        <v>1</v>
      </c>
    </row>
    <row r="124" spans="1:35" s="1" customFormat="1" ht="14.25" customHeight="1" x14ac:dyDescent="0.25">
      <c r="A124" s="46">
        <v>0</v>
      </c>
      <c r="B124" s="46">
        <v>1</v>
      </c>
      <c r="C124" s="46">
        <v>3</v>
      </c>
      <c r="D124" s="47" t="s">
        <v>970</v>
      </c>
      <c r="E124" s="47" t="s">
        <v>169</v>
      </c>
      <c r="F124" s="47" t="s">
        <v>1069</v>
      </c>
      <c r="G124" s="47" t="s">
        <v>231</v>
      </c>
      <c r="H124" s="47" t="s">
        <v>352</v>
      </c>
      <c r="I124" s="46" t="s">
        <v>971</v>
      </c>
      <c r="J124" s="46">
        <v>99</v>
      </c>
      <c r="K124" s="48" t="s">
        <v>932</v>
      </c>
      <c r="L124" s="48">
        <v>40</v>
      </c>
      <c r="M124" s="49" t="s">
        <v>39</v>
      </c>
      <c r="N124" s="50"/>
      <c r="O124" s="51"/>
      <c r="P124" s="51"/>
      <c r="Q124" s="47"/>
      <c r="S124" s="1">
        <f t="shared" si="39"/>
        <v>0</v>
      </c>
      <c r="T124" s="1">
        <f t="shared" si="40"/>
        <v>0</v>
      </c>
      <c r="U124" s="1">
        <f t="shared" si="41"/>
        <v>0</v>
      </c>
      <c r="V124" s="1">
        <f t="shared" si="42"/>
        <v>0</v>
      </c>
      <c r="W124" s="1">
        <f t="shared" si="43"/>
        <v>0</v>
      </c>
      <c r="X124" s="1">
        <f t="shared" si="44"/>
        <v>0</v>
      </c>
      <c r="Y124" s="1">
        <f t="shared" si="45"/>
        <v>0</v>
      </c>
      <c r="Z124" s="1">
        <f t="shared" si="46"/>
        <v>0</v>
      </c>
      <c r="AA124" s="1">
        <f t="shared" si="47"/>
        <v>0</v>
      </c>
      <c r="AB124" s="1">
        <f t="shared" si="48"/>
        <v>0</v>
      </c>
      <c r="AD124" s="1">
        <f t="shared" si="49"/>
        <v>0</v>
      </c>
      <c r="AE124" s="1">
        <f t="shared" si="50"/>
        <v>0</v>
      </c>
      <c r="AF124" s="1">
        <f t="shared" si="51"/>
        <v>0</v>
      </c>
      <c r="AG124" s="1">
        <f t="shared" si="52"/>
        <v>0</v>
      </c>
      <c r="AH124" s="1">
        <f t="shared" si="53"/>
        <v>0</v>
      </c>
      <c r="AI124" s="1">
        <f t="shared" si="54"/>
        <v>1</v>
      </c>
    </row>
    <row r="125" spans="1:35" ht="14.25" customHeight="1" x14ac:dyDescent="0.25">
      <c r="A125" s="31">
        <v>0</v>
      </c>
      <c r="B125" s="31">
        <v>1</v>
      </c>
      <c r="C125" s="31">
        <v>3</v>
      </c>
      <c r="D125" s="32" t="s">
        <v>128</v>
      </c>
      <c r="E125" s="32" t="s">
        <v>169</v>
      </c>
      <c r="F125" s="32" t="s">
        <v>328</v>
      </c>
      <c r="G125" s="32" t="s">
        <v>39</v>
      </c>
      <c r="H125" s="32" t="s">
        <v>369</v>
      </c>
      <c r="I125" s="31" t="s">
        <v>475</v>
      </c>
      <c r="J125" s="31">
        <v>11</v>
      </c>
      <c r="K125" s="33" t="s">
        <v>693</v>
      </c>
      <c r="L125" s="33" t="s">
        <v>39</v>
      </c>
      <c r="M125" s="34" t="s">
        <v>39</v>
      </c>
      <c r="N125" s="34" t="s">
        <v>1681</v>
      </c>
      <c r="O125" s="35">
        <v>1</v>
      </c>
      <c r="P125" s="35">
        <v>1</v>
      </c>
      <c r="Q125" s="32" t="s">
        <v>1974</v>
      </c>
      <c r="S125" s="1">
        <f t="shared" si="39"/>
        <v>0</v>
      </c>
      <c r="T125" s="1">
        <f t="shared" si="40"/>
        <v>0</v>
      </c>
      <c r="U125" s="1">
        <f t="shared" si="41"/>
        <v>0</v>
      </c>
      <c r="V125" s="1">
        <f t="shared" si="42"/>
        <v>0</v>
      </c>
      <c r="W125" s="1">
        <f t="shared" si="43"/>
        <v>0</v>
      </c>
      <c r="X125" s="1">
        <f t="shared" si="44"/>
        <v>0</v>
      </c>
      <c r="Y125" s="1">
        <f t="shared" si="45"/>
        <v>0</v>
      </c>
      <c r="Z125" s="1">
        <f t="shared" si="46"/>
        <v>0</v>
      </c>
      <c r="AA125" s="1">
        <f t="shared" si="47"/>
        <v>0</v>
      </c>
      <c r="AB125" s="1">
        <f t="shared" si="48"/>
        <v>0</v>
      </c>
      <c r="AD125" s="1">
        <f t="shared" si="49"/>
        <v>1</v>
      </c>
      <c r="AE125" s="1">
        <f t="shared" si="50"/>
        <v>0</v>
      </c>
      <c r="AF125" s="1">
        <f t="shared" si="51"/>
        <v>1</v>
      </c>
      <c r="AG125" s="1">
        <f t="shared" si="52"/>
        <v>0</v>
      </c>
      <c r="AH125" s="1">
        <f t="shared" si="53"/>
        <v>1</v>
      </c>
      <c r="AI125" s="1">
        <f t="shared" si="54"/>
        <v>0</v>
      </c>
    </row>
    <row r="126" spans="1:35" ht="14.25" customHeight="1" x14ac:dyDescent="0.25">
      <c r="A126" s="31">
        <v>0</v>
      </c>
      <c r="B126" s="31">
        <v>1</v>
      </c>
      <c r="C126" s="31">
        <v>3</v>
      </c>
      <c r="D126" s="32" t="s">
        <v>1287</v>
      </c>
      <c r="E126" s="32" t="s">
        <v>171</v>
      </c>
      <c r="F126" s="32" t="s">
        <v>1310</v>
      </c>
      <c r="G126" s="32" t="s">
        <v>39</v>
      </c>
      <c r="H126" s="32" t="s">
        <v>964</v>
      </c>
      <c r="I126" s="31" t="s">
        <v>965</v>
      </c>
      <c r="J126" s="31">
        <v>14</v>
      </c>
      <c r="K126" s="33" t="s">
        <v>694</v>
      </c>
      <c r="L126" s="33">
        <v>30</v>
      </c>
      <c r="M126" s="34" t="s">
        <v>947</v>
      </c>
      <c r="N126" s="34" t="s">
        <v>1689</v>
      </c>
      <c r="O126" s="35">
        <v>1</v>
      </c>
      <c r="P126" s="35"/>
      <c r="Q126" s="32"/>
      <c r="S126" s="1">
        <f t="shared" si="39"/>
        <v>0</v>
      </c>
      <c r="T126" s="1">
        <f t="shared" si="40"/>
        <v>0</v>
      </c>
      <c r="U126" s="1">
        <f t="shared" si="41"/>
        <v>0</v>
      </c>
      <c r="V126" s="1">
        <f t="shared" si="42"/>
        <v>0</v>
      </c>
      <c r="W126" s="1">
        <f t="shared" si="43"/>
        <v>0</v>
      </c>
      <c r="X126" s="1">
        <f t="shared" si="44"/>
        <v>0</v>
      </c>
      <c r="Y126" s="1">
        <f t="shared" si="45"/>
        <v>0</v>
      </c>
      <c r="Z126" s="1">
        <f t="shared" si="46"/>
        <v>0</v>
      </c>
      <c r="AA126" s="1">
        <f t="shared" si="47"/>
        <v>0</v>
      </c>
      <c r="AB126" s="1">
        <f t="shared" si="48"/>
        <v>0</v>
      </c>
      <c r="AD126" s="1">
        <f t="shared" si="49"/>
        <v>0</v>
      </c>
      <c r="AE126" s="1">
        <f t="shared" si="50"/>
        <v>1</v>
      </c>
      <c r="AF126" s="1">
        <f t="shared" si="51"/>
        <v>0</v>
      </c>
      <c r="AG126" s="1">
        <f t="shared" si="52"/>
        <v>1</v>
      </c>
      <c r="AH126" s="1">
        <f t="shared" si="53"/>
        <v>0</v>
      </c>
      <c r="AI126" s="1">
        <f t="shared" si="54"/>
        <v>1</v>
      </c>
    </row>
    <row r="127" spans="1:35" ht="14.25" customHeight="1" x14ac:dyDescent="0.25">
      <c r="A127" s="15">
        <v>0</v>
      </c>
      <c r="B127" s="15">
        <v>1</v>
      </c>
      <c r="C127" s="15">
        <v>3</v>
      </c>
      <c r="D127" s="16" t="s">
        <v>2077</v>
      </c>
      <c r="E127" s="16" t="s">
        <v>169</v>
      </c>
      <c r="F127" s="16" t="s">
        <v>2079</v>
      </c>
      <c r="G127" s="16"/>
      <c r="H127" s="16" t="s">
        <v>372</v>
      </c>
      <c r="I127" s="15" t="s">
        <v>2080</v>
      </c>
      <c r="J127" s="15">
        <v>11</v>
      </c>
      <c r="K127" s="10" t="s">
        <v>694</v>
      </c>
      <c r="L127" s="10">
        <v>50</v>
      </c>
      <c r="M127" s="19" t="s">
        <v>2078</v>
      </c>
      <c r="N127" s="17"/>
      <c r="Q127" s="16" t="s">
        <v>2081</v>
      </c>
      <c r="S127" s="1">
        <f t="shared" si="39"/>
        <v>0</v>
      </c>
      <c r="T127" s="1">
        <f t="shared" si="40"/>
        <v>0</v>
      </c>
      <c r="U127" s="1">
        <f t="shared" si="41"/>
        <v>0</v>
      </c>
      <c r="V127" s="1">
        <f t="shared" si="42"/>
        <v>0</v>
      </c>
      <c r="W127" s="1">
        <f t="shared" si="43"/>
        <v>0</v>
      </c>
      <c r="X127" s="1">
        <f t="shared" si="44"/>
        <v>0</v>
      </c>
      <c r="Y127" s="1">
        <f t="shared" si="45"/>
        <v>0</v>
      </c>
      <c r="Z127" s="1">
        <f t="shared" si="46"/>
        <v>0</v>
      </c>
      <c r="AA127" s="1">
        <f t="shared" si="47"/>
        <v>0</v>
      </c>
      <c r="AB127" s="1">
        <f t="shared" si="48"/>
        <v>0</v>
      </c>
      <c r="AD127" s="1">
        <f t="shared" si="49"/>
        <v>0</v>
      </c>
      <c r="AE127" s="1">
        <f t="shared" si="50"/>
        <v>0</v>
      </c>
      <c r="AF127" s="1">
        <f t="shared" si="51"/>
        <v>0</v>
      </c>
      <c r="AG127" s="1">
        <f t="shared" si="52"/>
        <v>0</v>
      </c>
      <c r="AH127" s="1">
        <f t="shared" si="53"/>
        <v>0</v>
      </c>
      <c r="AI127" s="1">
        <f t="shared" si="54"/>
        <v>1</v>
      </c>
    </row>
    <row r="128" spans="1:35" ht="14.25" customHeight="1" x14ac:dyDescent="0.25">
      <c r="A128" s="31">
        <v>0</v>
      </c>
      <c r="B128" s="31">
        <v>1</v>
      </c>
      <c r="C128" s="31">
        <v>3</v>
      </c>
      <c r="D128" s="32" t="s">
        <v>690</v>
      </c>
      <c r="E128" s="32" t="s">
        <v>174</v>
      </c>
      <c r="F128" s="32" t="s">
        <v>691</v>
      </c>
      <c r="G128" s="32" t="s">
        <v>39</v>
      </c>
      <c r="H128" s="32" t="s">
        <v>692</v>
      </c>
      <c r="I128" s="31" t="s">
        <v>1091</v>
      </c>
      <c r="J128" s="31">
        <v>13</v>
      </c>
      <c r="K128" s="33" t="s">
        <v>693</v>
      </c>
      <c r="L128" s="33" t="s">
        <v>1653</v>
      </c>
      <c r="M128" s="34" t="s">
        <v>946</v>
      </c>
      <c r="N128" s="34" t="s">
        <v>1766</v>
      </c>
      <c r="O128" s="35">
        <v>1</v>
      </c>
      <c r="P128" s="35"/>
      <c r="Q128" s="32"/>
      <c r="S128" s="1">
        <f t="shared" si="39"/>
        <v>0</v>
      </c>
      <c r="T128" s="1">
        <f t="shared" si="40"/>
        <v>0</v>
      </c>
      <c r="U128" s="1">
        <f t="shared" si="41"/>
        <v>0</v>
      </c>
      <c r="V128" s="1">
        <f t="shared" si="42"/>
        <v>0</v>
      </c>
      <c r="W128" s="1">
        <f t="shared" si="43"/>
        <v>0</v>
      </c>
      <c r="X128" s="1">
        <f t="shared" si="44"/>
        <v>0</v>
      </c>
      <c r="Y128" s="1">
        <f t="shared" si="45"/>
        <v>0</v>
      </c>
      <c r="Z128" s="1">
        <f t="shared" si="46"/>
        <v>0</v>
      </c>
      <c r="AA128" s="1">
        <f t="shared" si="47"/>
        <v>0</v>
      </c>
      <c r="AB128" s="1">
        <f t="shared" si="48"/>
        <v>0</v>
      </c>
      <c r="AD128" s="1">
        <f t="shared" si="49"/>
        <v>0</v>
      </c>
      <c r="AE128" s="1">
        <f t="shared" si="50"/>
        <v>1</v>
      </c>
      <c r="AF128" s="1">
        <f t="shared" si="51"/>
        <v>0</v>
      </c>
      <c r="AG128" s="1">
        <f t="shared" si="52"/>
        <v>1</v>
      </c>
      <c r="AH128" s="1">
        <f t="shared" si="53"/>
        <v>0</v>
      </c>
      <c r="AI128" s="1">
        <f t="shared" si="54"/>
        <v>1</v>
      </c>
    </row>
    <row r="129" spans="1:35" ht="14.25" customHeight="1" x14ac:dyDescent="0.25">
      <c r="A129" s="31">
        <v>0</v>
      </c>
      <c r="B129" s="31">
        <v>1</v>
      </c>
      <c r="C129" s="31">
        <v>3</v>
      </c>
      <c r="D129" s="32" t="s">
        <v>1477</v>
      </c>
      <c r="E129" s="32" t="s">
        <v>169</v>
      </c>
      <c r="F129" s="32" t="s">
        <v>1623</v>
      </c>
      <c r="G129" s="32" t="s">
        <v>39</v>
      </c>
      <c r="H129" s="32" t="s">
        <v>1478</v>
      </c>
      <c r="I129" s="31" t="s">
        <v>1479</v>
      </c>
      <c r="J129" s="31">
        <v>11</v>
      </c>
      <c r="K129" s="33" t="s">
        <v>713</v>
      </c>
      <c r="L129" s="33">
        <v>40</v>
      </c>
      <c r="M129" s="34" t="s">
        <v>39</v>
      </c>
      <c r="N129" s="34" t="s">
        <v>1681</v>
      </c>
      <c r="O129" s="35">
        <v>1</v>
      </c>
      <c r="P129" s="35">
        <v>1</v>
      </c>
      <c r="Q129" s="32"/>
      <c r="S129" s="1">
        <f t="shared" si="39"/>
        <v>0</v>
      </c>
      <c r="T129" s="1">
        <f t="shared" si="40"/>
        <v>0</v>
      </c>
      <c r="U129" s="1">
        <f t="shared" si="41"/>
        <v>0</v>
      </c>
      <c r="V129" s="1">
        <f t="shared" si="42"/>
        <v>0</v>
      </c>
      <c r="W129" s="1">
        <f t="shared" si="43"/>
        <v>0</v>
      </c>
      <c r="X129" s="1">
        <f t="shared" si="44"/>
        <v>0</v>
      </c>
      <c r="Y129" s="1">
        <f t="shared" si="45"/>
        <v>0</v>
      </c>
      <c r="Z129" s="1">
        <f t="shared" si="46"/>
        <v>0</v>
      </c>
      <c r="AA129" s="1">
        <f t="shared" si="47"/>
        <v>0</v>
      </c>
      <c r="AB129" s="1">
        <f t="shared" si="48"/>
        <v>0</v>
      </c>
      <c r="AD129" s="1">
        <f t="shared" si="49"/>
        <v>1</v>
      </c>
      <c r="AE129" s="1">
        <f t="shared" si="50"/>
        <v>0</v>
      </c>
      <c r="AF129" s="1">
        <f t="shared" si="51"/>
        <v>1</v>
      </c>
      <c r="AG129" s="1">
        <f t="shared" si="52"/>
        <v>0</v>
      </c>
      <c r="AH129" s="1">
        <f t="shared" si="53"/>
        <v>1</v>
      </c>
      <c r="AI129" s="1">
        <f t="shared" si="54"/>
        <v>0</v>
      </c>
    </row>
    <row r="130" spans="1:35" ht="14.25" customHeight="1" x14ac:dyDescent="0.25">
      <c r="A130" s="15">
        <v>0</v>
      </c>
      <c r="B130" s="15">
        <v>1</v>
      </c>
      <c r="C130" s="15">
        <v>3</v>
      </c>
      <c r="D130" s="16" t="s">
        <v>145</v>
      </c>
      <c r="E130" s="16" t="s">
        <v>171</v>
      </c>
      <c r="F130" s="16" t="s">
        <v>346</v>
      </c>
      <c r="G130" s="16" t="s">
        <v>39</v>
      </c>
      <c r="H130" s="16" t="s">
        <v>365</v>
      </c>
      <c r="I130" s="15" t="s">
        <v>490</v>
      </c>
      <c r="J130" s="15">
        <v>18</v>
      </c>
      <c r="K130" s="10" t="s">
        <v>932</v>
      </c>
      <c r="L130" s="10" t="s">
        <v>688</v>
      </c>
      <c r="M130" s="19" t="s">
        <v>946</v>
      </c>
      <c r="N130" s="17"/>
      <c r="Q130" s="16"/>
      <c r="S130" s="1">
        <f t="shared" si="39"/>
        <v>0</v>
      </c>
      <c r="T130" s="1">
        <f t="shared" si="40"/>
        <v>0</v>
      </c>
      <c r="U130" s="1">
        <f t="shared" si="41"/>
        <v>0</v>
      </c>
      <c r="V130" s="1">
        <f t="shared" si="42"/>
        <v>0</v>
      </c>
      <c r="W130" s="1">
        <f t="shared" si="43"/>
        <v>0</v>
      </c>
      <c r="X130" s="1">
        <f t="shared" si="44"/>
        <v>0</v>
      </c>
      <c r="Y130" s="1">
        <f t="shared" si="45"/>
        <v>0</v>
      </c>
      <c r="Z130" s="1">
        <f t="shared" si="46"/>
        <v>0</v>
      </c>
      <c r="AA130" s="1">
        <f t="shared" si="47"/>
        <v>0</v>
      </c>
      <c r="AB130" s="1">
        <f t="shared" si="48"/>
        <v>0</v>
      </c>
      <c r="AD130" s="1">
        <f t="shared" si="49"/>
        <v>0</v>
      </c>
      <c r="AE130" s="1">
        <f t="shared" si="50"/>
        <v>0</v>
      </c>
      <c r="AF130" s="1">
        <f t="shared" si="51"/>
        <v>0</v>
      </c>
      <c r="AG130" s="1">
        <f t="shared" si="52"/>
        <v>0</v>
      </c>
      <c r="AH130" s="1">
        <f t="shared" si="53"/>
        <v>0</v>
      </c>
      <c r="AI130" s="1">
        <f t="shared" si="54"/>
        <v>1</v>
      </c>
    </row>
    <row r="131" spans="1:35" ht="14.25" customHeight="1" x14ac:dyDescent="0.25">
      <c r="A131" s="15">
        <v>0</v>
      </c>
      <c r="B131" s="15">
        <v>1</v>
      </c>
      <c r="C131" s="15">
        <v>3</v>
      </c>
      <c r="D131" s="20" t="s">
        <v>1916</v>
      </c>
      <c r="E131" s="20" t="s">
        <v>171</v>
      </c>
      <c r="F131" s="20" t="s">
        <v>1913</v>
      </c>
      <c r="G131" s="20"/>
      <c r="H131" s="20" t="s">
        <v>1914</v>
      </c>
      <c r="I131" s="21" t="s">
        <v>1912</v>
      </c>
      <c r="J131" s="15">
        <v>17</v>
      </c>
      <c r="K131" s="10" t="s">
        <v>694</v>
      </c>
      <c r="L131" s="10" t="s">
        <v>1688</v>
      </c>
      <c r="M131" s="19" t="s">
        <v>947</v>
      </c>
      <c r="N131" s="17"/>
      <c r="Q131" s="20" t="s">
        <v>1915</v>
      </c>
      <c r="S131" s="1">
        <f t="shared" si="39"/>
        <v>0</v>
      </c>
      <c r="T131" s="1">
        <f t="shared" si="40"/>
        <v>0</v>
      </c>
      <c r="U131" s="1">
        <f t="shared" si="41"/>
        <v>0</v>
      </c>
      <c r="V131" s="1">
        <f t="shared" si="42"/>
        <v>0</v>
      </c>
      <c r="W131" s="1">
        <f t="shared" si="43"/>
        <v>0</v>
      </c>
      <c r="X131" s="1">
        <f t="shared" si="44"/>
        <v>0</v>
      </c>
      <c r="Y131" s="1">
        <f t="shared" si="45"/>
        <v>0</v>
      </c>
      <c r="Z131" s="1">
        <f t="shared" si="46"/>
        <v>0</v>
      </c>
      <c r="AA131" s="1">
        <f t="shared" si="47"/>
        <v>0</v>
      </c>
      <c r="AB131" s="1">
        <f t="shared" si="48"/>
        <v>0</v>
      </c>
      <c r="AD131" s="1">
        <f t="shared" si="49"/>
        <v>0</v>
      </c>
      <c r="AE131" s="1">
        <f t="shared" si="50"/>
        <v>0</v>
      </c>
      <c r="AF131" s="1">
        <f t="shared" si="51"/>
        <v>0</v>
      </c>
      <c r="AG131" s="1">
        <f t="shared" si="52"/>
        <v>0</v>
      </c>
      <c r="AH131" s="1">
        <f t="shared" si="53"/>
        <v>0</v>
      </c>
      <c r="AI131" s="1">
        <f t="shared" si="54"/>
        <v>1</v>
      </c>
    </row>
    <row r="132" spans="1:35" ht="14.25" customHeight="1" x14ac:dyDescent="0.25">
      <c r="A132" s="31">
        <v>0</v>
      </c>
      <c r="B132" s="31">
        <v>1</v>
      </c>
      <c r="C132" s="31">
        <v>3</v>
      </c>
      <c r="D132" s="32" t="s">
        <v>976</v>
      </c>
      <c r="E132" s="32" t="s">
        <v>171</v>
      </c>
      <c r="F132" s="32" t="s">
        <v>1808</v>
      </c>
      <c r="G132" s="32" t="s">
        <v>39</v>
      </c>
      <c r="H132" s="32" t="s">
        <v>977</v>
      </c>
      <c r="I132" s="31" t="s">
        <v>1092</v>
      </c>
      <c r="J132" s="31">
        <v>16</v>
      </c>
      <c r="K132" s="33" t="s">
        <v>713</v>
      </c>
      <c r="L132" s="33" t="s">
        <v>1688</v>
      </c>
      <c r="M132" s="34" t="s">
        <v>1358</v>
      </c>
      <c r="N132" s="34" t="s">
        <v>1766</v>
      </c>
      <c r="O132" s="35">
        <v>1</v>
      </c>
      <c r="P132" s="35"/>
      <c r="Q132" s="32" t="s">
        <v>1830</v>
      </c>
      <c r="S132" s="1">
        <f t="shared" si="39"/>
        <v>0</v>
      </c>
      <c r="T132" s="1">
        <f t="shared" si="40"/>
        <v>0</v>
      </c>
      <c r="U132" s="1">
        <f t="shared" si="41"/>
        <v>0</v>
      </c>
      <c r="V132" s="1">
        <f t="shared" si="42"/>
        <v>0</v>
      </c>
      <c r="W132" s="1">
        <f t="shared" si="43"/>
        <v>0</v>
      </c>
      <c r="X132" s="1">
        <f t="shared" si="44"/>
        <v>0</v>
      </c>
      <c r="Y132" s="1">
        <f t="shared" si="45"/>
        <v>0</v>
      </c>
      <c r="Z132" s="1">
        <f t="shared" si="46"/>
        <v>0</v>
      </c>
      <c r="AA132" s="1">
        <f t="shared" si="47"/>
        <v>0</v>
      </c>
      <c r="AB132" s="1">
        <f t="shared" si="48"/>
        <v>0</v>
      </c>
      <c r="AD132" s="1">
        <f t="shared" si="49"/>
        <v>0</v>
      </c>
      <c r="AE132" s="1">
        <f t="shared" si="50"/>
        <v>1</v>
      </c>
      <c r="AF132" s="1">
        <f t="shared" si="51"/>
        <v>0</v>
      </c>
      <c r="AG132" s="1">
        <f t="shared" si="52"/>
        <v>1</v>
      </c>
      <c r="AH132" s="1">
        <f t="shared" si="53"/>
        <v>0</v>
      </c>
      <c r="AI132" s="1">
        <f t="shared" si="54"/>
        <v>1</v>
      </c>
    </row>
    <row r="133" spans="1:35" ht="14.25" customHeight="1" x14ac:dyDescent="0.25">
      <c r="A133" s="31">
        <v>0</v>
      </c>
      <c r="B133" s="31">
        <v>1</v>
      </c>
      <c r="C133" s="31">
        <v>3</v>
      </c>
      <c r="D133" s="32" t="s">
        <v>1102</v>
      </c>
      <c r="E133" s="32" t="s">
        <v>171</v>
      </c>
      <c r="F133" s="32" t="s">
        <v>1311</v>
      </c>
      <c r="G133" s="32" t="s">
        <v>39</v>
      </c>
      <c r="H133" s="32" t="s">
        <v>1104</v>
      </c>
      <c r="I133" s="31" t="s">
        <v>1103</v>
      </c>
      <c r="J133" s="31">
        <v>14</v>
      </c>
      <c r="K133" s="33" t="s">
        <v>934</v>
      </c>
      <c r="L133" s="33" t="s">
        <v>1653</v>
      </c>
      <c r="M133" s="34" t="s">
        <v>1359</v>
      </c>
      <c r="N133" s="34" t="s">
        <v>1681</v>
      </c>
      <c r="O133" s="35">
        <v>1</v>
      </c>
      <c r="P133" s="35">
        <v>1</v>
      </c>
      <c r="Q133" s="32" t="s">
        <v>2060</v>
      </c>
      <c r="S133" s="1">
        <f t="shared" si="39"/>
        <v>0</v>
      </c>
      <c r="T133" s="1">
        <f t="shared" si="40"/>
        <v>0</v>
      </c>
      <c r="U133" s="1">
        <f t="shared" si="41"/>
        <v>0</v>
      </c>
      <c r="V133" s="1">
        <f t="shared" si="42"/>
        <v>0</v>
      </c>
      <c r="W133" s="1">
        <f t="shared" si="43"/>
        <v>0</v>
      </c>
      <c r="X133" s="1">
        <f t="shared" si="44"/>
        <v>0</v>
      </c>
      <c r="Y133" s="1">
        <f t="shared" si="45"/>
        <v>0</v>
      </c>
      <c r="Z133" s="1">
        <f t="shared" si="46"/>
        <v>0</v>
      </c>
      <c r="AA133" s="1">
        <f t="shared" si="47"/>
        <v>0</v>
      </c>
      <c r="AB133" s="1">
        <f t="shared" si="48"/>
        <v>0</v>
      </c>
      <c r="AD133" s="1">
        <f t="shared" si="49"/>
        <v>1</v>
      </c>
      <c r="AE133" s="1">
        <f t="shared" si="50"/>
        <v>0</v>
      </c>
      <c r="AF133" s="1">
        <f t="shared" si="51"/>
        <v>1</v>
      </c>
      <c r="AG133" s="1">
        <f t="shared" si="52"/>
        <v>0</v>
      </c>
      <c r="AH133" s="1">
        <f t="shared" si="53"/>
        <v>1</v>
      </c>
      <c r="AI133" s="1">
        <f t="shared" si="54"/>
        <v>0</v>
      </c>
    </row>
    <row r="134" spans="1:35" ht="14.25" customHeight="1" x14ac:dyDescent="0.25">
      <c r="A134" s="31">
        <v>0</v>
      </c>
      <c r="B134" s="31">
        <v>1</v>
      </c>
      <c r="C134" s="31">
        <v>3</v>
      </c>
      <c r="D134" s="32" t="s">
        <v>1054</v>
      </c>
      <c r="E134" s="32" t="s">
        <v>171</v>
      </c>
      <c r="F134" s="32" t="s">
        <v>1016</v>
      </c>
      <c r="G134" s="32" t="s">
        <v>1080</v>
      </c>
      <c r="H134" s="32" t="s">
        <v>352</v>
      </c>
      <c r="I134" s="31" t="s">
        <v>1017</v>
      </c>
      <c r="J134" s="31">
        <v>1</v>
      </c>
      <c r="K134" s="33" t="s">
        <v>934</v>
      </c>
      <c r="L134" s="33" t="s">
        <v>678</v>
      </c>
      <c r="M134" s="34" t="s">
        <v>947</v>
      </c>
      <c r="N134" s="34" t="s">
        <v>1700</v>
      </c>
      <c r="O134" s="35">
        <v>1</v>
      </c>
      <c r="P134" s="35"/>
      <c r="Q134" s="32"/>
      <c r="S134" s="1">
        <f t="shared" si="39"/>
        <v>1</v>
      </c>
      <c r="T134" s="1">
        <f t="shared" si="40"/>
        <v>0</v>
      </c>
      <c r="U134" s="1">
        <f t="shared" si="41"/>
        <v>0</v>
      </c>
      <c r="V134" s="1">
        <f t="shared" si="42"/>
        <v>0</v>
      </c>
      <c r="W134" s="1">
        <f t="shared" si="43"/>
        <v>0</v>
      </c>
      <c r="X134" s="1">
        <f t="shared" si="44"/>
        <v>0</v>
      </c>
      <c r="Y134" s="1">
        <f t="shared" si="45"/>
        <v>0</v>
      </c>
      <c r="Z134" s="1">
        <f t="shared" si="46"/>
        <v>0</v>
      </c>
      <c r="AA134" s="1">
        <f t="shared" si="47"/>
        <v>0</v>
      </c>
      <c r="AB134" s="1">
        <f t="shared" si="48"/>
        <v>0</v>
      </c>
      <c r="AD134" s="1">
        <f t="shared" si="49"/>
        <v>0</v>
      </c>
      <c r="AE134" s="1">
        <f t="shared" si="50"/>
        <v>1</v>
      </c>
      <c r="AF134" s="1">
        <f t="shared" si="51"/>
        <v>0</v>
      </c>
      <c r="AG134" s="1">
        <f t="shared" si="52"/>
        <v>1</v>
      </c>
      <c r="AH134" s="1">
        <f t="shared" si="53"/>
        <v>0</v>
      </c>
      <c r="AI134" s="1">
        <f t="shared" si="54"/>
        <v>1</v>
      </c>
    </row>
    <row r="135" spans="1:35" ht="14.25" customHeight="1" x14ac:dyDescent="0.25">
      <c r="A135" s="31">
        <v>0</v>
      </c>
      <c r="B135" s="31">
        <v>1</v>
      </c>
      <c r="C135" s="31">
        <v>3</v>
      </c>
      <c r="D135" s="36" t="s">
        <v>2030</v>
      </c>
      <c r="E135" s="36" t="s">
        <v>171</v>
      </c>
      <c r="F135" s="36" t="s">
        <v>2031</v>
      </c>
      <c r="G135" s="32"/>
      <c r="H135" s="36" t="s">
        <v>2032</v>
      </c>
      <c r="I135" s="37" t="s">
        <v>2033</v>
      </c>
      <c r="J135" s="31">
        <v>14</v>
      </c>
      <c r="K135" s="33" t="s">
        <v>694</v>
      </c>
      <c r="L135" s="33"/>
      <c r="M135" s="34"/>
      <c r="N135" s="34" t="s">
        <v>1687</v>
      </c>
      <c r="O135" s="35">
        <v>1</v>
      </c>
      <c r="P135" s="35">
        <v>1</v>
      </c>
      <c r="Q135" s="36" t="s">
        <v>2034</v>
      </c>
      <c r="S135" s="1">
        <f t="shared" si="39"/>
        <v>0</v>
      </c>
      <c r="T135" s="1">
        <f t="shared" si="40"/>
        <v>0</v>
      </c>
      <c r="U135" s="1">
        <f t="shared" si="41"/>
        <v>0</v>
      </c>
      <c r="V135" s="1">
        <f t="shared" si="42"/>
        <v>0</v>
      </c>
      <c r="W135" s="1">
        <f t="shared" si="43"/>
        <v>0</v>
      </c>
      <c r="X135" s="1">
        <f t="shared" si="44"/>
        <v>0</v>
      </c>
      <c r="Y135" s="1">
        <f t="shared" si="45"/>
        <v>0</v>
      </c>
      <c r="Z135" s="1">
        <f t="shared" si="46"/>
        <v>0</v>
      </c>
      <c r="AA135" s="1">
        <f t="shared" si="47"/>
        <v>0</v>
      </c>
      <c r="AB135" s="1">
        <f t="shared" si="48"/>
        <v>0</v>
      </c>
      <c r="AD135" s="1">
        <f t="shared" si="49"/>
        <v>1</v>
      </c>
      <c r="AE135" s="1">
        <f t="shared" si="50"/>
        <v>0</v>
      </c>
      <c r="AF135" s="1">
        <f t="shared" si="51"/>
        <v>1</v>
      </c>
      <c r="AG135" s="1">
        <f t="shared" si="52"/>
        <v>0</v>
      </c>
      <c r="AH135" s="1">
        <f t="shared" si="53"/>
        <v>1</v>
      </c>
      <c r="AI135" s="1">
        <f t="shared" si="54"/>
        <v>0</v>
      </c>
    </row>
    <row r="136" spans="1:35" ht="14.25" customHeight="1" x14ac:dyDescent="0.25">
      <c r="A136" s="31">
        <v>0</v>
      </c>
      <c r="B136" s="31">
        <v>1</v>
      </c>
      <c r="C136" s="31">
        <v>3</v>
      </c>
      <c r="D136" s="32" t="s">
        <v>1585</v>
      </c>
      <c r="E136" s="32" t="s">
        <v>1063</v>
      </c>
      <c r="F136" s="32" t="s">
        <v>1586</v>
      </c>
      <c r="G136" s="32" t="s">
        <v>39</v>
      </c>
      <c r="H136" s="32" t="s">
        <v>1587</v>
      </c>
      <c r="I136" s="31" t="s">
        <v>1588</v>
      </c>
      <c r="J136" s="31">
        <v>15</v>
      </c>
      <c r="K136" s="33" t="s">
        <v>934</v>
      </c>
      <c r="L136" s="33" t="s">
        <v>39</v>
      </c>
      <c r="M136" s="34" t="s">
        <v>39</v>
      </c>
      <c r="N136" s="34" t="s">
        <v>1693</v>
      </c>
      <c r="O136" s="35">
        <v>1</v>
      </c>
      <c r="P136" s="35"/>
      <c r="Q136" s="36" t="s">
        <v>1835</v>
      </c>
      <c r="S136" s="1">
        <f t="shared" si="39"/>
        <v>0</v>
      </c>
      <c r="T136" s="1">
        <f t="shared" si="40"/>
        <v>0</v>
      </c>
      <c r="U136" s="1">
        <f t="shared" si="41"/>
        <v>0</v>
      </c>
      <c r="V136" s="1">
        <f t="shared" si="42"/>
        <v>0</v>
      </c>
      <c r="W136" s="1">
        <f t="shared" si="43"/>
        <v>0</v>
      </c>
      <c r="X136" s="1">
        <f t="shared" si="44"/>
        <v>0</v>
      </c>
      <c r="Y136" s="1">
        <f t="shared" si="45"/>
        <v>0</v>
      </c>
      <c r="Z136" s="1">
        <f t="shared" si="46"/>
        <v>0</v>
      </c>
      <c r="AA136" s="1">
        <f t="shared" si="47"/>
        <v>0</v>
      </c>
      <c r="AB136" s="1">
        <f t="shared" si="48"/>
        <v>0</v>
      </c>
      <c r="AD136" s="1">
        <f t="shared" si="49"/>
        <v>0</v>
      </c>
      <c r="AE136" s="1">
        <f t="shared" si="50"/>
        <v>1</v>
      </c>
      <c r="AF136" s="1">
        <f t="shared" si="51"/>
        <v>0</v>
      </c>
      <c r="AG136" s="1">
        <f t="shared" si="52"/>
        <v>1</v>
      </c>
      <c r="AH136" s="1">
        <f t="shared" si="53"/>
        <v>0</v>
      </c>
      <c r="AI136" s="1">
        <f t="shared" si="54"/>
        <v>1</v>
      </c>
    </row>
    <row r="137" spans="1:35" ht="14.25" customHeight="1" x14ac:dyDescent="0.25">
      <c r="A137" s="15">
        <v>0</v>
      </c>
      <c r="B137" s="15">
        <v>1</v>
      </c>
      <c r="C137" s="15">
        <v>3</v>
      </c>
      <c r="D137" s="16" t="s">
        <v>605</v>
      </c>
      <c r="E137" s="16" t="s">
        <v>169</v>
      </c>
      <c r="F137" s="16" t="s">
        <v>606</v>
      </c>
      <c r="G137" s="16" t="s">
        <v>39</v>
      </c>
      <c r="H137" s="16" t="s">
        <v>364</v>
      </c>
      <c r="I137" s="15" t="s">
        <v>607</v>
      </c>
      <c r="J137" s="15">
        <v>18</v>
      </c>
      <c r="K137" s="10" t="s">
        <v>713</v>
      </c>
      <c r="L137" s="10" t="s">
        <v>1688</v>
      </c>
      <c r="M137" s="19" t="s">
        <v>39</v>
      </c>
      <c r="N137" s="17"/>
      <c r="Q137" s="16"/>
      <c r="S137" s="1">
        <f t="shared" si="39"/>
        <v>0</v>
      </c>
      <c r="T137" s="1">
        <f t="shared" si="40"/>
        <v>0</v>
      </c>
      <c r="U137" s="1">
        <f t="shared" si="41"/>
        <v>0</v>
      </c>
      <c r="V137" s="1">
        <f t="shared" si="42"/>
        <v>0</v>
      </c>
      <c r="W137" s="1">
        <f t="shared" si="43"/>
        <v>0</v>
      </c>
      <c r="X137" s="1">
        <f t="shared" si="44"/>
        <v>0</v>
      </c>
      <c r="Y137" s="1">
        <f t="shared" si="45"/>
        <v>0</v>
      </c>
      <c r="Z137" s="1">
        <f t="shared" si="46"/>
        <v>0</v>
      </c>
      <c r="AA137" s="1">
        <f t="shared" si="47"/>
        <v>0</v>
      </c>
      <c r="AB137" s="1">
        <f t="shared" si="48"/>
        <v>0</v>
      </c>
      <c r="AD137" s="1">
        <f t="shared" si="49"/>
        <v>0</v>
      </c>
      <c r="AE137" s="1">
        <f t="shared" si="50"/>
        <v>0</v>
      </c>
      <c r="AF137" s="1">
        <f t="shared" si="51"/>
        <v>0</v>
      </c>
      <c r="AG137" s="1">
        <f t="shared" si="52"/>
        <v>0</v>
      </c>
      <c r="AH137" s="1">
        <f t="shared" si="53"/>
        <v>0</v>
      </c>
      <c r="AI137" s="1">
        <f t="shared" si="54"/>
        <v>1</v>
      </c>
    </row>
    <row r="138" spans="1:35" ht="14.25" customHeight="1" x14ac:dyDescent="0.25">
      <c r="A138" s="15">
        <v>0</v>
      </c>
      <c r="B138" s="15">
        <v>1</v>
      </c>
      <c r="C138" s="15">
        <v>3</v>
      </c>
      <c r="D138" s="20" t="s">
        <v>2037</v>
      </c>
      <c r="E138" s="20" t="s">
        <v>854</v>
      </c>
      <c r="F138" s="20" t="s">
        <v>2038</v>
      </c>
      <c r="G138" s="16"/>
      <c r="H138" s="20" t="s">
        <v>2039</v>
      </c>
      <c r="I138" s="21" t="s">
        <v>2040</v>
      </c>
      <c r="J138" s="15">
        <v>16</v>
      </c>
      <c r="K138" s="10" t="s">
        <v>694</v>
      </c>
      <c r="L138" s="10" t="s">
        <v>679</v>
      </c>
      <c r="M138" s="19" t="s">
        <v>947</v>
      </c>
      <c r="N138" s="17"/>
      <c r="Q138" s="16" t="s">
        <v>2041</v>
      </c>
      <c r="S138" s="1">
        <f t="shared" si="39"/>
        <v>0</v>
      </c>
      <c r="T138" s="1">
        <f t="shared" si="40"/>
        <v>0</v>
      </c>
      <c r="U138" s="1">
        <f t="shared" si="41"/>
        <v>0</v>
      </c>
      <c r="V138" s="1">
        <f t="shared" si="42"/>
        <v>0</v>
      </c>
      <c r="W138" s="1">
        <f t="shared" si="43"/>
        <v>0</v>
      </c>
      <c r="X138" s="1">
        <f t="shared" si="44"/>
        <v>0</v>
      </c>
      <c r="Y138" s="1">
        <f t="shared" si="45"/>
        <v>0</v>
      </c>
      <c r="Z138" s="1">
        <f t="shared" si="46"/>
        <v>0</v>
      </c>
      <c r="AA138" s="1">
        <f t="shared" si="47"/>
        <v>0</v>
      </c>
      <c r="AB138" s="1">
        <f t="shared" si="48"/>
        <v>0</v>
      </c>
      <c r="AD138" s="1">
        <f t="shared" si="49"/>
        <v>0</v>
      </c>
      <c r="AE138" s="1">
        <f t="shared" si="50"/>
        <v>0</v>
      </c>
      <c r="AF138" s="1">
        <f t="shared" si="51"/>
        <v>0</v>
      </c>
      <c r="AG138" s="1">
        <f t="shared" si="52"/>
        <v>0</v>
      </c>
      <c r="AH138" s="1">
        <f t="shared" si="53"/>
        <v>0</v>
      </c>
      <c r="AI138" s="1">
        <f t="shared" si="54"/>
        <v>1</v>
      </c>
    </row>
    <row r="139" spans="1:35" ht="14.25" customHeight="1" x14ac:dyDescent="0.25">
      <c r="A139" s="15">
        <v>0</v>
      </c>
      <c r="B139" s="15">
        <v>1</v>
      </c>
      <c r="C139" s="15">
        <v>3</v>
      </c>
      <c r="D139" s="20" t="s">
        <v>1889</v>
      </c>
      <c r="E139" s="20" t="s">
        <v>171</v>
      </c>
      <c r="F139" s="20" t="s">
        <v>1909</v>
      </c>
      <c r="G139" s="20"/>
      <c r="H139" s="20" t="s">
        <v>1908</v>
      </c>
      <c r="I139" s="21" t="s">
        <v>1910</v>
      </c>
      <c r="J139" s="15">
        <v>15</v>
      </c>
      <c r="K139" s="10" t="s">
        <v>694</v>
      </c>
      <c r="L139" s="10" t="s">
        <v>1688</v>
      </c>
      <c r="M139" s="19" t="s">
        <v>947</v>
      </c>
      <c r="N139" s="17"/>
      <c r="Q139" s="20" t="s">
        <v>1911</v>
      </c>
      <c r="S139" s="1">
        <f t="shared" si="39"/>
        <v>0</v>
      </c>
      <c r="T139" s="1">
        <f t="shared" si="40"/>
        <v>0</v>
      </c>
      <c r="U139" s="1">
        <f t="shared" si="41"/>
        <v>0</v>
      </c>
      <c r="V139" s="1">
        <f t="shared" si="42"/>
        <v>0</v>
      </c>
      <c r="W139" s="1">
        <f t="shared" si="43"/>
        <v>0</v>
      </c>
      <c r="X139" s="1">
        <f t="shared" si="44"/>
        <v>0</v>
      </c>
      <c r="Y139" s="1">
        <f t="shared" si="45"/>
        <v>0</v>
      </c>
      <c r="Z139" s="1">
        <f t="shared" si="46"/>
        <v>0</v>
      </c>
      <c r="AA139" s="1">
        <f t="shared" si="47"/>
        <v>0</v>
      </c>
      <c r="AB139" s="1">
        <f t="shared" si="48"/>
        <v>0</v>
      </c>
      <c r="AD139" s="1">
        <f t="shared" si="49"/>
        <v>0</v>
      </c>
      <c r="AE139" s="1">
        <f t="shared" si="50"/>
        <v>0</v>
      </c>
      <c r="AF139" s="1">
        <f t="shared" si="51"/>
        <v>0</v>
      </c>
      <c r="AG139" s="1">
        <f t="shared" si="52"/>
        <v>0</v>
      </c>
      <c r="AH139" s="1">
        <f t="shared" si="53"/>
        <v>0</v>
      </c>
      <c r="AI139" s="1">
        <f t="shared" si="54"/>
        <v>1</v>
      </c>
    </row>
    <row r="140" spans="1:35" ht="14.25" customHeight="1" x14ac:dyDescent="0.25">
      <c r="A140" s="31">
        <v>0</v>
      </c>
      <c r="B140" s="31">
        <v>1</v>
      </c>
      <c r="C140" s="31">
        <v>3</v>
      </c>
      <c r="D140" s="32" t="s">
        <v>898</v>
      </c>
      <c r="E140" s="32" t="s">
        <v>171</v>
      </c>
      <c r="F140" s="32" t="s">
        <v>1128</v>
      </c>
      <c r="G140" s="32" t="s">
        <v>39</v>
      </c>
      <c r="H140" s="32" t="s">
        <v>361</v>
      </c>
      <c r="I140" s="31" t="s">
        <v>869</v>
      </c>
      <c r="J140" s="31">
        <v>14</v>
      </c>
      <c r="K140" s="33" t="s">
        <v>933</v>
      </c>
      <c r="L140" s="33" t="s">
        <v>39</v>
      </c>
      <c r="M140" s="34" t="s">
        <v>39</v>
      </c>
      <c r="N140" s="34" t="s">
        <v>1687</v>
      </c>
      <c r="O140" s="35">
        <v>1</v>
      </c>
      <c r="P140" s="35">
        <v>1</v>
      </c>
      <c r="Q140" s="36"/>
      <c r="S140" s="1">
        <f t="shared" si="39"/>
        <v>0</v>
      </c>
      <c r="T140" s="1">
        <f t="shared" si="40"/>
        <v>0</v>
      </c>
      <c r="U140" s="1">
        <f t="shared" si="41"/>
        <v>0</v>
      </c>
      <c r="V140" s="1">
        <f t="shared" si="42"/>
        <v>0</v>
      </c>
      <c r="W140" s="1">
        <f t="shared" si="43"/>
        <v>0</v>
      </c>
      <c r="X140" s="1">
        <f t="shared" si="44"/>
        <v>0</v>
      </c>
      <c r="Y140" s="1">
        <f t="shared" si="45"/>
        <v>0</v>
      </c>
      <c r="Z140" s="1">
        <f t="shared" si="46"/>
        <v>0</v>
      </c>
      <c r="AA140" s="1">
        <f t="shared" si="47"/>
        <v>0</v>
      </c>
      <c r="AB140" s="1">
        <f t="shared" si="48"/>
        <v>0</v>
      </c>
      <c r="AD140" s="1">
        <f t="shared" si="49"/>
        <v>1</v>
      </c>
      <c r="AE140" s="1">
        <f t="shared" si="50"/>
        <v>0</v>
      </c>
      <c r="AF140" s="1">
        <f t="shared" si="51"/>
        <v>1</v>
      </c>
      <c r="AG140" s="1">
        <f t="shared" si="52"/>
        <v>0</v>
      </c>
      <c r="AH140" s="1">
        <f t="shared" si="53"/>
        <v>1</v>
      </c>
      <c r="AI140" s="1">
        <f t="shared" si="54"/>
        <v>0</v>
      </c>
    </row>
    <row r="141" spans="1:35" ht="14.25" customHeight="1" x14ac:dyDescent="0.25">
      <c r="A141" s="31">
        <v>0</v>
      </c>
      <c r="B141" s="31">
        <v>1</v>
      </c>
      <c r="C141" s="31">
        <v>3</v>
      </c>
      <c r="D141" s="32" t="s">
        <v>104</v>
      </c>
      <c r="E141" s="32" t="s">
        <v>171</v>
      </c>
      <c r="F141" s="32" t="s">
        <v>909</v>
      </c>
      <c r="G141" s="32" t="s">
        <v>39</v>
      </c>
      <c r="H141" s="32" t="s">
        <v>356</v>
      </c>
      <c r="I141" s="31" t="s">
        <v>449</v>
      </c>
      <c r="J141" s="31">
        <v>18</v>
      </c>
      <c r="K141" s="33" t="s">
        <v>932</v>
      </c>
      <c r="L141" s="33" t="s">
        <v>688</v>
      </c>
      <c r="M141" s="34" t="s">
        <v>682</v>
      </c>
      <c r="N141" s="34" t="s">
        <v>1689</v>
      </c>
      <c r="O141" s="35">
        <v>1</v>
      </c>
      <c r="P141" s="35"/>
      <c r="Q141" s="36" t="s">
        <v>1828</v>
      </c>
      <c r="S141" s="1">
        <f t="shared" si="39"/>
        <v>0</v>
      </c>
      <c r="T141" s="1">
        <f t="shared" si="40"/>
        <v>0</v>
      </c>
      <c r="U141" s="1">
        <f t="shared" si="41"/>
        <v>0</v>
      </c>
      <c r="V141" s="1">
        <f t="shared" si="42"/>
        <v>0</v>
      </c>
      <c r="W141" s="1">
        <f t="shared" si="43"/>
        <v>0</v>
      </c>
      <c r="X141" s="1">
        <f t="shared" si="44"/>
        <v>0</v>
      </c>
      <c r="Y141" s="1">
        <f t="shared" si="45"/>
        <v>0</v>
      </c>
      <c r="Z141" s="1">
        <f t="shared" si="46"/>
        <v>0</v>
      </c>
      <c r="AA141" s="1">
        <f t="shared" si="47"/>
        <v>0</v>
      </c>
      <c r="AB141" s="1">
        <f t="shared" si="48"/>
        <v>0</v>
      </c>
      <c r="AD141" s="1">
        <f t="shared" si="49"/>
        <v>0</v>
      </c>
      <c r="AE141" s="1">
        <f t="shared" si="50"/>
        <v>1</v>
      </c>
      <c r="AF141" s="1">
        <f t="shared" si="51"/>
        <v>0</v>
      </c>
      <c r="AG141" s="1">
        <f t="shared" si="52"/>
        <v>1</v>
      </c>
      <c r="AH141" s="1">
        <f t="shared" si="53"/>
        <v>0</v>
      </c>
      <c r="AI141" s="1">
        <f t="shared" si="54"/>
        <v>1</v>
      </c>
    </row>
    <row r="142" spans="1:35" ht="14.25" customHeight="1" x14ac:dyDescent="0.25">
      <c r="A142" s="31">
        <v>0</v>
      </c>
      <c r="B142" s="31">
        <v>1</v>
      </c>
      <c r="C142" s="31">
        <v>3</v>
      </c>
      <c r="D142" s="32" t="s">
        <v>1466</v>
      </c>
      <c r="E142" s="32" t="s">
        <v>1608</v>
      </c>
      <c r="F142" s="36" t="s">
        <v>2108</v>
      </c>
      <c r="G142" s="32" t="s">
        <v>39</v>
      </c>
      <c r="H142" s="32" t="s">
        <v>1468</v>
      </c>
      <c r="I142" s="31" t="s">
        <v>1467</v>
      </c>
      <c r="J142" s="31">
        <v>14</v>
      </c>
      <c r="K142" s="33" t="s">
        <v>938</v>
      </c>
      <c r="L142" s="33" t="s">
        <v>678</v>
      </c>
      <c r="M142" s="34" t="s">
        <v>1360</v>
      </c>
      <c r="N142" s="34" t="s">
        <v>1681</v>
      </c>
      <c r="O142" s="35">
        <v>1</v>
      </c>
      <c r="P142" s="35">
        <v>1</v>
      </c>
      <c r="Q142" s="36"/>
      <c r="S142" s="1">
        <f t="shared" si="39"/>
        <v>0</v>
      </c>
      <c r="T142" s="1">
        <f t="shared" si="40"/>
        <v>0</v>
      </c>
      <c r="U142" s="1">
        <f t="shared" si="41"/>
        <v>0</v>
      </c>
      <c r="V142" s="1">
        <f t="shared" si="42"/>
        <v>0</v>
      </c>
      <c r="W142" s="1">
        <f t="shared" si="43"/>
        <v>0</v>
      </c>
      <c r="X142" s="1">
        <f t="shared" si="44"/>
        <v>0</v>
      </c>
      <c r="Y142" s="1">
        <f t="shared" si="45"/>
        <v>0</v>
      </c>
      <c r="Z142" s="1">
        <f t="shared" si="46"/>
        <v>0</v>
      </c>
      <c r="AA142" s="1">
        <f t="shared" si="47"/>
        <v>0</v>
      </c>
      <c r="AB142" s="1">
        <f t="shared" si="48"/>
        <v>0</v>
      </c>
      <c r="AD142" s="1">
        <f t="shared" si="49"/>
        <v>1</v>
      </c>
      <c r="AE142" s="1">
        <f t="shared" si="50"/>
        <v>0</v>
      </c>
      <c r="AF142" s="1">
        <f t="shared" si="51"/>
        <v>1</v>
      </c>
      <c r="AG142" s="1">
        <f t="shared" si="52"/>
        <v>0</v>
      </c>
      <c r="AH142" s="1">
        <f t="shared" si="53"/>
        <v>1</v>
      </c>
      <c r="AI142" s="1">
        <f t="shared" si="54"/>
        <v>0</v>
      </c>
    </row>
    <row r="143" spans="1:35" ht="14.25" customHeight="1" x14ac:dyDescent="0.25">
      <c r="A143" s="31">
        <v>0</v>
      </c>
      <c r="B143" s="31">
        <v>1</v>
      </c>
      <c r="C143" s="31">
        <v>3</v>
      </c>
      <c r="D143" s="32" t="s">
        <v>1224</v>
      </c>
      <c r="E143" s="32" t="s">
        <v>171</v>
      </c>
      <c r="F143" s="32" t="s">
        <v>1225</v>
      </c>
      <c r="G143" s="32" t="s">
        <v>1227</v>
      </c>
      <c r="H143" s="32" t="s">
        <v>352</v>
      </c>
      <c r="I143" s="31" t="s">
        <v>1226</v>
      </c>
      <c r="J143" s="31">
        <v>99</v>
      </c>
      <c r="K143" s="33" t="s">
        <v>934</v>
      </c>
      <c r="L143" s="33" t="s">
        <v>684</v>
      </c>
      <c r="M143" s="34" t="s">
        <v>947</v>
      </c>
      <c r="N143" s="34" t="s">
        <v>1766</v>
      </c>
      <c r="O143" s="35">
        <v>1</v>
      </c>
      <c r="P143" s="35"/>
      <c r="Q143" s="36"/>
      <c r="S143" s="1">
        <f t="shared" si="39"/>
        <v>0</v>
      </c>
      <c r="T143" s="1">
        <f t="shared" si="40"/>
        <v>0</v>
      </c>
      <c r="U143" s="1">
        <f t="shared" si="41"/>
        <v>0</v>
      </c>
      <c r="V143" s="1">
        <f t="shared" si="42"/>
        <v>0</v>
      </c>
      <c r="W143" s="1">
        <f t="shared" si="43"/>
        <v>0</v>
      </c>
      <c r="X143" s="1">
        <f t="shared" si="44"/>
        <v>0</v>
      </c>
      <c r="Y143" s="1">
        <f t="shared" si="45"/>
        <v>0</v>
      </c>
      <c r="Z143" s="1">
        <f t="shared" si="46"/>
        <v>0</v>
      </c>
      <c r="AA143" s="1">
        <f t="shared" si="47"/>
        <v>0</v>
      </c>
      <c r="AB143" s="1">
        <f t="shared" si="48"/>
        <v>0</v>
      </c>
      <c r="AD143" s="1">
        <f t="shared" si="49"/>
        <v>0</v>
      </c>
      <c r="AE143" s="1">
        <f t="shared" si="50"/>
        <v>1</v>
      </c>
      <c r="AF143" s="1">
        <f t="shared" si="51"/>
        <v>0</v>
      </c>
      <c r="AG143" s="1">
        <f t="shared" si="52"/>
        <v>1</v>
      </c>
      <c r="AH143" s="1">
        <f t="shared" si="53"/>
        <v>0</v>
      </c>
      <c r="AI143" s="1">
        <f t="shared" si="54"/>
        <v>1</v>
      </c>
    </row>
    <row r="144" spans="1:35" ht="14.25" customHeight="1" x14ac:dyDescent="0.25">
      <c r="A144" s="31">
        <v>0</v>
      </c>
      <c r="B144" s="31">
        <v>1</v>
      </c>
      <c r="C144" s="31">
        <v>3</v>
      </c>
      <c r="D144" s="32" t="s">
        <v>1460</v>
      </c>
      <c r="E144" s="32" t="s">
        <v>171</v>
      </c>
      <c r="F144" s="32" t="s">
        <v>1461</v>
      </c>
      <c r="G144" s="32" t="s">
        <v>39</v>
      </c>
      <c r="H144" s="32" t="s">
        <v>363</v>
      </c>
      <c r="I144" s="31" t="s">
        <v>1462</v>
      </c>
      <c r="J144" s="31">
        <v>18</v>
      </c>
      <c r="K144" s="33" t="s">
        <v>932</v>
      </c>
      <c r="L144" s="33" t="s">
        <v>1688</v>
      </c>
      <c r="M144" s="34" t="s">
        <v>39</v>
      </c>
      <c r="N144" s="34" t="s">
        <v>1693</v>
      </c>
      <c r="O144" s="35">
        <v>1</v>
      </c>
      <c r="P144" s="35"/>
      <c r="Q144" s="32"/>
      <c r="S144" s="1">
        <f t="shared" si="39"/>
        <v>0</v>
      </c>
      <c r="T144" s="1">
        <f t="shared" si="40"/>
        <v>0</v>
      </c>
      <c r="U144" s="1">
        <f t="shared" si="41"/>
        <v>0</v>
      </c>
      <c r="V144" s="1">
        <f t="shared" si="42"/>
        <v>0</v>
      </c>
      <c r="W144" s="1">
        <f t="shared" si="43"/>
        <v>0</v>
      </c>
      <c r="X144" s="1">
        <f t="shared" si="44"/>
        <v>0</v>
      </c>
      <c r="Y144" s="1">
        <f t="shared" si="45"/>
        <v>0</v>
      </c>
      <c r="Z144" s="1">
        <f t="shared" si="46"/>
        <v>0</v>
      </c>
      <c r="AA144" s="1">
        <f t="shared" si="47"/>
        <v>0</v>
      </c>
      <c r="AB144" s="1">
        <f t="shared" si="48"/>
        <v>0</v>
      </c>
      <c r="AD144" s="1">
        <f t="shared" si="49"/>
        <v>0</v>
      </c>
      <c r="AE144" s="1">
        <f t="shared" si="50"/>
        <v>1</v>
      </c>
      <c r="AF144" s="1">
        <f t="shared" si="51"/>
        <v>0</v>
      </c>
      <c r="AG144" s="1">
        <f t="shared" si="52"/>
        <v>1</v>
      </c>
      <c r="AH144" s="1">
        <f t="shared" si="53"/>
        <v>0</v>
      </c>
      <c r="AI144" s="1">
        <f t="shared" si="54"/>
        <v>1</v>
      </c>
    </row>
    <row r="145" spans="1:35" ht="14.25" customHeight="1" x14ac:dyDescent="0.25">
      <c r="A145" s="15">
        <v>0</v>
      </c>
      <c r="B145" s="15">
        <v>1</v>
      </c>
      <c r="C145" s="15">
        <v>3</v>
      </c>
      <c r="D145" s="16" t="s">
        <v>1579</v>
      </c>
      <c r="E145" s="16" t="s">
        <v>171</v>
      </c>
      <c r="F145" s="16" t="s">
        <v>1582</v>
      </c>
      <c r="G145" s="16" t="s">
        <v>39</v>
      </c>
      <c r="H145" s="16" t="s">
        <v>1580</v>
      </c>
      <c r="I145" s="15" t="s">
        <v>1581</v>
      </c>
      <c r="J145" s="15">
        <v>15</v>
      </c>
      <c r="K145" s="10" t="s">
        <v>713</v>
      </c>
      <c r="L145" s="10" t="s">
        <v>39</v>
      </c>
      <c r="M145" s="19" t="s">
        <v>39</v>
      </c>
      <c r="N145" s="17"/>
      <c r="Q145" s="16"/>
      <c r="S145" s="1">
        <f t="shared" si="39"/>
        <v>0</v>
      </c>
      <c r="T145" s="1">
        <f t="shared" si="40"/>
        <v>0</v>
      </c>
      <c r="U145" s="1">
        <f t="shared" si="41"/>
        <v>0</v>
      </c>
      <c r="V145" s="1">
        <f t="shared" si="42"/>
        <v>0</v>
      </c>
      <c r="W145" s="1">
        <f t="shared" si="43"/>
        <v>0</v>
      </c>
      <c r="X145" s="1">
        <f t="shared" si="44"/>
        <v>0</v>
      </c>
      <c r="Y145" s="1">
        <f t="shared" si="45"/>
        <v>0</v>
      </c>
      <c r="Z145" s="1">
        <f t="shared" si="46"/>
        <v>0</v>
      </c>
      <c r="AA145" s="1">
        <f t="shared" si="47"/>
        <v>0</v>
      </c>
      <c r="AB145" s="1">
        <f t="shared" si="48"/>
        <v>0</v>
      </c>
      <c r="AD145" s="1">
        <f t="shared" si="49"/>
        <v>0</v>
      </c>
      <c r="AE145" s="1">
        <f t="shared" si="50"/>
        <v>0</v>
      </c>
      <c r="AF145" s="1">
        <f t="shared" si="51"/>
        <v>0</v>
      </c>
      <c r="AG145" s="1">
        <f t="shared" si="52"/>
        <v>0</v>
      </c>
      <c r="AH145" s="1">
        <f t="shared" si="53"/>
        <v>0</v>
      </c>
      <c r="AI145" s="1">
        <f t="shared" si="54"/>
        <v>1</v>
      </c>
    </row>
    <row r="146" spans="1:35" ht="14.25" customHeight="1" x14ac:dyDescent="0.25">
      <c r="A146" s="31">
        <v>0</v>
      </c>
      <c r="B146" s="31">
        <v>1</v>
      </c>
      <c r="C146" s="31">
        <v>3</v>
      </c>
      <c r="D146" s="32" t="s">
        <v>1212</v>
      </c>
      <c r="E146" s="32" t="s">
        <v>1214</v>
      </c>
      <c r="F146" s="32" t="s">
        <v>1215</v>
      </c>
      <c r="G146" s="32" t="s">
        <v>39</v>
      </c>
      <c r="H146" s="32" t="s">
        <v>367</v>
      </c>
      <c r="I146" s="31" t="s">
        <v>1213</v>
      </c>
      <c r="J146" s="31">
        <v>14</v>
      </c>
      <c r="K146" s="33" t="s">
        <v>934</v>
      </c>
      <c r="L146" s="33" t="s">
        <v>678</v>
      </c>
      <c r="M146" s="34" t="s">
        <v>1360</v>
      </c>
      <c r="N146" s="34" t="s">
        <v>1687</v>
      </c>
      <c r="O146" s="35">
        <v>1</v>
      </c>
      <c r="P146" s="35">
        <v>1</v>
      </c>
      <c r="Q146" s="32"/>
      <c r="S146" s="1">
        <f t="shared" si="39"/>
        <v>0</v>
      </c>
      <c r="T146" s="1">
        <f t="shared" si="40"/>
        <v>0</v>
      </c>
      <c r="U146" s="1">
        <f t="shared" si="41"/>
        <v>0</v>
      </c>
      <c r="V146" s="1">
        <f t="shared" si="42"/>
        <v>0</v>
      </c>
      <c r="W146" s="1">
        <f t="shared" si="43"/>
        <v>0</v>
      </c>
      <c r="X146" s="1">
        <f t="shared" si="44"/>
        <v>0</v>
      </c>
      <c r="Y146" s="1">
        <f t="shared" si="45"/>
        <v>0</v>
      </c>
      <c r="Z146" s="1">
        <f t="shared" si="46"/>
        <v>0</v>
      </c>
      <c r="AA146" s="1">
        <f t="shared" si="47"/>
        <v>0</v>
      </c>
      <c r="AB146" s="1">
        <f t="shared" si="48"/>
        <v>0</v>
      </c>
      <c r="AD146" s="1">
        <f t="shared" si="49"/>
        <v>1</v>
      </c>
      <c r="AE146" s="1">
        <f t="shared" si="50"/>
        <v>0</v>
      </c>
      <c r="AF146" s="1">
        <f t="shared" si="51"/>
        <v>1</v>
      </c>
      <c r="AG146" s="1">
        <f t="shared" si="52"/>
        <v>0</v>
      </c>
      <c r="AH146" s="1">
        <f t="shared" si="53"/>
        <v>1</v>
      </c>
      <c r="AI146" s="1">
        <f t="shared" si="54"/>
        <v>0</v>
      </c>
    </row>
    <row r="147" spans="1:35" ht="14.25" customHeight="1" x14ac:dyDescent="0.25">
      <c r="A147" s="31">
        <v>0</v>
      </c>
      <c r="B147" s="31">
        <v>1</v>
      </c>
      <c r="C147" s="31">
        <v>3</v>
      </c>
      <c r="D147" s="32" t="s">
        <v>129</v>
      </c>
      <c r="E147" s="32" t="s">
        <v>175</v>
      </c>
      <c r="F147" s="32" t="s">
        <v>329</v>
      </c>
      <c r="G147" s="32" t="s">
        <v>181</v>
      </c>
      <c r="H147" s="32" t="s">
        <v>352</v>
      </c>
      <c r="I147" s="31" t="s">
        <v>476</v>
      </c>
      <c r="J147" s="31">
        <v>99</v>
      </c>
      <c r="K147" s="33" t="s">
        <v>933</v>
      </c>
      <c r="L147" s="33" t="s">
        <v>39</v>
      </c>
      <c r="M147" s="34" t="s">
        <v>39</v>
      </c>
      <c r="N147" s="34" t="s">
        <v>1687</v>
      </c>
      <c r="O147" s="35">
        <v>1</v>
      </c>
      <c r="P147" s="35">
        <v>1</v>
      </c>
      <c r="Q147" s="32"/>
      <c r="S147" s="1">
        <f t="shared" ref="S147:S214" si="61">IF(J147=$S$7,1,0)</f>
        <v>0</v>
      </c>
      <c r="T147" s="1">
        <f t="shared" ref="T147:T214" si="62">IF(J147=$T$7,1,0)</f>
        <v>0</v>
      </c>
      <c r="U147" s="1">
        <f t="shared" ref="U147:U214" si="63">IF(J147=$U$7,1,0)</f>
        <v>0</v>
      </c>
      <c r="V147" s="1">
        <f t="shared" ref="V147:V214" si="64">IF(J147=$V$7,1,0)</f>
        <v>0</v>
      </c>
      <c r="W147" s="1">
        <f t="shared" ref="W147:W214" si="65">IF(J147=$W$7,1,0)</f>
        <v>0</v>
      </c>
      <c r="X147" s="1">
        <f t="shared" ref="X147:X214" si="66">IF(J147=$X$7,1,0)</f>
        <v>0</v>
      </c>
      <c r="Y147" s="1">
        <f t="shared" ref="Y147:Y214" si="67">IF(J147=$Y$7,1,0)</f>
        <v>0</v>
      </c>
      <c r="Z147" s="1">
        <f t="shared" ref="Z147:Z214" si="68">IF(J147=$Z$7,1,0)</f>
        <v>0</v>
      </c>
      <c r="AA147" s="1">
        <f t="shared" ref="AA147:AA214" si="69">IF(J147=$AA$7,1,0)</f>
        <v>0</v>
      </c>
      <c r="AB147" s="1">
        <f t="shared" ref="AB147:AB214" si="70">IF(J147=$AB$7,1,0)</f>
        <v>0</v>
      </c>
      <c r="AD147" s="1">
        <f t="shared" ref="AD147:AD214" si="71">+O147*P147</f>
        <v>1</v>
      </c>
      <c r="AE147" s="1">
        <f t="shared" ref="AE147:AE214" si="72">O147*(1-P147)</f>
        <v>0</v>
      </c>
      <c r="AF147" s="1">
        <f t="shared" si="51"/>
        <v>1</v>
      </c>
      <c r="AG147" s="1">
        <f t="shared" si="52"/>
        <v>0</v>
      </c>
      <c r="AH147" s="1">
        <f t="shared" si="53"/>
        <v>1</v>
      </c>
      <c r="AI147" s="1">
        <f t="shared" si="54"/>
        <v>0</v>
      </c>
    </row>
    <row r="148" spans="1:35" ht="14.25" customHeight="1" x14ac:dyDescent="0.25">
      <c r="A148" s="31">
        <v>0</v>
      </c>
      <c r="B148" s="31">
        <v>1</v>
      </c>
      <c r="C148" s="31">
        <v>3</v>
      </c>
      <c r="D148" s="32" t="s">
        <v>899</v>
      </c>
      <c r="E148" s="32" t="s">
        <v>171</v>
      </c>
      <c r="F148" s="32" t="s">
        <v>911</v>
      </c>
      <c r="G148" s="32" t="s">
        <v>234</v>
      </c>
      <c r="H148" s="32" t="s">
        <v>352</v>
      </c>
      <c r="I148" s="31" t="s">
        <v>924</v>
      </c>
      <c r="J148" s="31">
        <v>99</v>
      </c>
      <c r="K148" s="33" t="s">
        <v>713</v>
      </c>
      <c r="L148" s="33">
        <v>45</v>
      </c>
      <c r="M148" s="34" t="s">
        <v>39</v>
      </c>
      <c r="N148" s="34" t="s">
        <v>1744</v>
      </c>
      <c r="O148" s="35">
        <v>1</v>
      </c>
      <c r="P148" s="35"/>
      <c r="Q148" s="32"/>
      <c r="S148" s="1">
        <f t="shared" si="61"/>
        <v>0</v>
      </c>
      <c r="T148" s="1">
        <f t="shared" si="62"/>
        <v>0</v>
      </c>
      <c r="U148" s="1">
        <f t="shared" si="63"/>
        <v>0</v>
      </c>
      <c r="V148" s="1">
        <f t="shared" si="64"/>
        <v>0</v>
      </c>
      <c r="W148" s="1">
        <f t="shared" si="65"/>
        <v>0</v>
      </c>
      <c r="X148" s="1">
        <f t="shared" si="66"/>
        <v>0</v>
      </c>
      <c r="Y148" s="1">
        <f t="shared" si="67"/>
        <v>0</v>
      </c>
      <c r="Z148" s="1">
        <f t="shared" si="68"/>
        <v>0</v>
      </c>
      <c r="AA148" s="1">
        <f t="shared" si="69"/>
        <v>0</v>
      </c>
      <c r="AB148" s="1">
        <f t="shared" si="70"/>
        <v>0</v>
      </c>
      <c r="AD148" s="1">
        <f t="shared" si="71"/>
        <v>0</v>
      </c>
      <c r="AE148" s="1">
        <f t="shared" si="72"/>
        <v>1</v>
      </c>
      <c r="AF148" s="1">
        <f t="shared" ref="AF148:AF215" si="73">+O148*P148*(1-A148)</f>
        <v>0</v>
      </c>
      <c r="AG148" s="1">
        <f t="shared" ref="AG148:AG215" si="74">O148*(1-P148)*(1-A148)</f>
        <v>1</v>
      </c>
      <c r="AH148" s="1">
        <f t="shared" ref="AH148:AH215" si="75">+P148*(1-A148)</f>
        <v>0</v>
      </c>
      <c r="AI148" s="1">
        <f t="shared" ref="AI148:AI215" si="76">+(1-A148)*(1-P148)</f>
        <v>1</v>
      </c>
    </row>
    <row r="149" spans="1:35" ht="14.25" customHeight="1" x14ac:dyDescent="0.25">
      <c r="A149" s="31">
        <v>0</v>
      </c>
      <c r="B149" s="31">
        <v>1</v>
      </c>
      <c r="C149" s="31">
        <v>3</v>
      </c>
      <c r="D149" s="32" t="s">
        <v>78</v>
      </c>
      <c r="E149" s="32" t="s">
        <v>602</v>
      </c>
      <c r="F149" s="32" t="s">
        <v>306</v>
      </c>
      <c r="G149" s="32" t="s">
        <v>39</v>
      </c>
      <c r="H149" s="32" t="s">
        <v>360</v>
      </c>
      <c r="I149" s="31" t="s">
        <v>454</v>
      </c>
      <c r="J149" s="31">
        <v>12</v>
      </c>
      <c r="K149" s="33" t="s">
        <v>694</v>
      </c>
      <c r="L149" s="33">
        <v>40</v>
      </c>
      <c r="M149" s="34" t="s">
        <v>947</v>
      </c>
      <c r="N149" s="34" t="s">
        <v>1766</v>
      </c>
      <c r="O149" s="35">
        <v>1</v>
      </c>
      <c r="P149" s="35"/>
      <c r="Q149" s="32"/>
      <c r="S149" s="1">
        <f t="shared" si="61"/>
        <v>0</v>
      </c>
      <c r="T149" s="1">
        <f t="shared" si="62"/>
        <v>0</v>
      </c>
      <c r="U149" s="1">
        <f t="shared" si="63"/>
        <v>0</v>
      </c>
      <c r="V149" s="1">
        <f t="shared" si="64"/>
        <v>0</v>
      </c>
      <c r="W149" s="1">
        <f t="shared" si="65"/>
        <v>0</v>
      </c>
      <c r="X149" s="1">
        <f t="shared" si="66"/>
        <v>0</v>
      </c>
      <c r="Y149" s="1">
        <f t="shared" si="67"/>
        <v>0</v>
      </c>
      <c r="Z149" s="1">
        <f t="shared" si="68"/>
        <v>0</v>
      </c>
      <c r="AA149" s="1">
        <f t="shared" si="69"/>
        <v>0</v>
      </c>
      <c r="AB149" s="1">
        <f t="shared" si="70"/>
        <v>0</v>
      </c>
      <c r="AD149" s="1">
        <f t="shared" si="71"/>
        <v>0</v>
      </c>
      <c r="AE149" s="1">
        <f t="shared" si="72"/>
        <v>1</v>
      </c>
      <c r="AF149" s="1">
        <f t="shared" si="73"/>
        <v>0</v>
      </c>
      <c r="AG149" s="1">
        <f t="shared" si="74"/>
        <v>1</v>
      </c>
      <c r="AH149" s="1">
        <f t="shared" si="75"/>
        <v>0</v>
      </c>
      <c r="AI149" s="1">
        <f t="shared" si="76"/>
        <v>1</v>
      </c>
    </row>
    <row r="150" spans="1:35" ht="14.25" customHeight="1" x14ac:dyDescent="0.25">
      <c r="A150" s="15">
        <v>0</v>
      </c>
      <c r="B150" s="15">
        <v>1</v>
      </c>
      <c r="C150" s="15">
        <v>3</v>
      </c>
      <c r="D150" s="16" t="s">
        <v>1538</v>
      </c>
      <c r="E150" s="16" t="s">
        <v>169</v>
      </c>
      <c r="F150" s="16" t="s">
        <v>1540</v>
      </c>
      <c r="G150" s="16"/>
      <c r="H150" s="16" t="s">
        <v>363</v>
      </c>
      <c r="I150" s="15" t="s">
        <v>1539</v>
      </c>
      <c r="J150" s="15">
        <v>18</v>
      </c>
      <c r="K150" s="10" t="s">
        <v>694</v>
      </c>
      <c r="L150" s="10" t="s">
        <v>679</v>
      </c>
      <c r="M150" s="19" t="s">
        <v>947</v>
      </c>
      <c r="N150" s="17"/>
      <c r="Q150" s="16"/>
      <c r="S150" s="1">
        <f t="shared" si="61"/>
        <v>0</v>
      </c>
      <c r="T150" s="1">
        <f t="shared" si="62"/>
        <v>0</v>
      </c>
      <c r="U150" s="1">
        <f t="shared" si="63"/>
        <v>0</v>
      </c>
      <c r="V150" s="1">
        <f t="shared" si="64"/>
        <v>0</v>
      </c>
      <c r="W150" s="1">
        <f t="shared" si="65"/>
        <v>0</v>
      </c>
      <c r="X150" s="1">
        <f t="shared" si="66"/>
        <v>0</v>
      </c>
      <c r="Y150" s="1">
        <f t="shared" si="67"/>
        <v>0</v>
      </c>
      <c r="Z150" s="1">
        <f t="shared" si="68"/>
        <v>0</v>
      </c>
      <c r="AA150" s="1">
        <f t="shared" si="69"/>
        <v>0</v>
      </c>
      <c r="AB150" s="1">
        <f t="shared" si="70"/>
        <v>0</v>
      </c>
      <c r="AD150" s="1">
        <f t="shared" si="71"/>
        <v>0</v>
      </c>
      <c r="AE150" s="1">
        <f t="shared" si="72"/>
        <v>0</v>
      </c>
      <c r="AF150" s="1">
        <f t="shared" si="73"/>
        <v>0</v>
      </c>
      <c r="AG150" s="1">
        <f t="shared" si="74"/>
        <v>0</v>
      </c>
      <c r="AH150" s="1">
        <f t="shared" si="75"/>
        <v>0</v>
      </c>
      <c r="AI150" s="1">
        <f t="shared" si="76"/>
        <v>1</v>
      </c>
    </row>
    <row r="151" spans="1:35" ht="14.25" customHeight="1" x14ac:dyDescent="0.25">
      <c r="A151" s="31">
        <v>0</v>
      </c>
      <c r="B151" s="31">
        <v>1</v>
      </c>
      <c r="C151" s="31">
        <v>3</v>
      </c>
      <c r="D151" s="32" t="s">
        <v>1254</v>
      </c>
      <c r="E151" s="32" t="s">
        <v>171</v>
      </c>
      <c r="F151" s="32" t="s">
        <v>1255</v>
      </c>
      <c r="G151" s="32" t="s">
        <v>237</v>
      </c>
      <c r="H151" s="32" t="s">
        <v>352</v>
      </c>
      <c r="I151" s="31" t="s">
        <v>1256</v>
      </c>
      <c r="J151" s="31">
        <v>4</v>
      </c>
      <c r="K151" s="33" t="s">
        <v>933</v>
      </c>
      <c r="L151" s="33" t="s">
        <v>39</v>
      </c>
      <c r="M151" s="34" t="s">
        <v>39</v>
      </c>
      <c r="N151" s="34" t="s">
        <v>1681</v>
      </c>
      <c r="O151" s="35">
        <v>1</v>
      </c>
      <c r="P151" s="35">
        <v>1</v>
      </c>
      <c r="Q151" s="32"/>
      <c r="S151" s="1">
        <f t="shared" si="61"/>
        <v>0</v>
      </c>
      <c r="T151" s="1">
        <f t="shared" si="62"/>
        <v>0</v>
      </c>
      <c r="U151" s="1">
        <f t="shared" si="63"/>
        <v>0</v>
      </c>
      <c r="V151" s="1">
        <f t="shared" si="64"/>
        <v>1</v>
      </c>
      <c r="W151" s="1">
        <f t="shared" si="65"/>
        <v>0</v>
      </c>
      <c r="X151" s="1">
        <f t="shared" si="66"/>
        <v>0</v>
      </c>
      <c r="Y151" s="1">
        <f t="shared" si="67"/>
        <v>0</v>
      </c>
      <c r="Z151" s="1">
        <f t="shared" si="68"/>
        <v>0</v>
      </c>
      <c r="AA151" s="1">
        <f t="shared" si="69"/>
        <v>0</v>
      </c>
      <c r="AB151" s="1">
        <f t="shared" si="70"/>
        <v>0</v>
      </c>
      <c r="AD151" s="1">
        <f t="shared" si="71"/>
        <v>1</v>
      </c>
      <c r="AE151" s="1">
        <f t="shared" si="72"/>
        <v>0</v>
      </c>
      <c r="AF151" s="1">
        <f t="shared" si="73"/>
        <v>1</v>
      </c>
      <c r="AG151" s="1">
        <f t="shared" si="74"/>
        <v>0</v>
      </c>
      <c r="AH151" s="1">
        <f t="shared" si="75"/>
        <v>1</v>
      </c>
      <c r="AI151" s="1">
        <f t="shared" si="76"/>
        <v>0</v>
      </c>
    </row>
    <row r="152" spans="1:35" ht="14.25" customHeight="1" x14ac:dyDescent="0.25">
      <c r="A152" s="31">
        <v>0</v>
      </c>
      <c r="B152" s="31">
        <v>1</v>
      </c>
      <c r="C152" s="31">
        <v>3</v>
      </c>
      <c r="D152" s="32" t="s">
        <v>640</v>
      </c>
      <c r="E152" s="32" t="s">
        <v>171</v>
      </c>
      <c r="F152" s="32" t="s">
        <v>649</v>
      </c>
      <c r="G152" s="32" t="s">
        <v>231</v>
      </c>
      <c r="H152" s="32" t="s">
        <v>352</v>
      </c>
      <c r="I152" s="31" t="s">
        <v>604</v>
      </c>
      <c r="J152" s="31">
        <v>99</v>
      </c>
      <c r="K152" s="33" t="s">
        <v>693</v>
      </c>
      <c r="L152" s="33" t="s">
        <v>39</v>
      </c>
      <c r="M152" s="34" t="s">
        <v>39</v>
      </c>
      <c r="N152" s="34" t="s">
        <v>1687</v>
      </c>
      <c r="O152" s="35">
        <v>1</v>
      </c>
      <c r="P152" s="35">
        <v>1</v>
      </c>
      <c r="Q152" s="32"/>
      <c r="S152" s="1">
        <f t="shared" si="61"/>
        <v>0</v>
      </c>
      <c r="T152" s="1">
        <f t="shared" si="62"/>
        <v>0</v>
      </c>
      <c r="U152" s="1">
        <f t="shared" si="63"/>
        <v>0</v>
      </c>
      <c r="V152" s="1">
        <f t="shared" si="64"/>
        <v>0</v>
      </c>
      <c r="W152" s="1">
        <f t="shared" si="65"/>
        <v>0</v>
      </c>
      <c r="X152" s="1">
        <f t="shared" si="66"/>
        <v>0</v>
      </c>
      <c r="Y152" s="1">
        <f t="shared" si="67"/>
        <v>0</v>
      </c>
      <c r="Z152" s="1">
        <f t="shared" si="68"/>
        <v>0</v>
      </c>
      <c r="AA152" s="1">
        <f t="shared" si="69"/>
        <v>0</v>
      </c>
      <c r="AB152" s="1">
        <f t="shared" si="70"/>
        <v>0</v>
      </c>
      <c r="AD152" s="1">
        <f t="shared" si="71"/>
        <v>1</v>
      </c>
      <c r="AE152" s="1">
        <f t="shared" si="72"/>
        <v>0</v>
      </c>
      <c r="AF152" s="1">
        <f t="shared" si="73"/>
        <v>1</v>
      </c>
      <c r="AG152" s="1">
        <f t="shared" si="74"/>
        <v>0</v>
      </c>
      <c r="AH152" s="1">
        <f t="shared" si="75"/>
        <v>1</v>
      </c>
      <c r="AI152" s="1">
        <f t="shared" si="76"/>
        <v>0</v>
      </c>
    </row>
    <row r="153" spans="1:35" ht="14.25" customHeight="1" x14ac:dyDescent="0.25">
      <c r="A153" s="31">
        <v>0</v>
      </c>
      <c r="B153" s="31">
        <v>1</v>
      </c>
      <c r="C153" s="31">
        <v>3</v>
      </c>
      <c r="D153" s="36" t="s">
        <v>2142</v>
      </c>
      <c r="E153" s="36" t="s">
        <v>2143</v>
      </c>
      <c r="F153" s="36" t="s">
        <v>2144</v>
      </c>
      <c r="G153" s="32"/>
      <c r="H153" s="36" t="s">
        <v>352</v>
      </c>
      <c r="I153" s="37" t="s">
        <v>2145</v>
      </c>
      <c r="J153" s="31">
        <v>99</v>
      </c>
      <c r="K153" s="33" t="s">
        <v>694</v>
      </c>
      <c r="L153" s="33"/>
      <c r="M153" s="34"/>
      <c r="N153" s="34" t="s">
        <v>1687</v>
      </c>
      <c r="O153" s="35">
        <v>1</v>
      </c>
      <c r="P153" s="35">
        <v>1</v>
      </c>
      <c r="Q153" s="32"/>
      <c r="S153" s="1">
        <f t="shared" si="61"/>
        <v>0</v>
      </c>
      <c r="T153" s="1">
        <f t="shared" si="62"/>
        <v>0</v>
      </c>
      <c r="U153" s="1">
        <f t="shared" si="63"/>
        <v>0</v>
      </c>
      <c r="V153" s="1">
        <f t="shared" si="64"/>
        <v>0</v>
      </c>
      <c r="W153" s="1">
        <f t="shared" si="65"/>
        <v>0</v>
      </c>
      <c r="X153" s="1">
        <f t="shared" si="66"/>
        <v>0</v>
      </c>
      <c r="Y153" s="1">
        <f t="shared" si="67"/>
        <v>0</v>
      </c>
      <c r="Z153" s="1">
        <f t="shared" si="68"/>
        <v>0</v>
      </c>
      <c r="AA153" s="1">
        <f t="shared" si="69"/>
        <v>0</v>
      </c>
      <c r="AB153" s="1">
        <f t="shared" si="70"/>
        <v>0</v>
      </c>
      <c r="AD153" s="1">
        <f t="shared" ref="AD153:AD155" si="77">+O153*P153</f>
        <v>1</v>
      </c>
      <c r="AE153" s="1">
        <f t="shared" ref="AE153:AE155" si="78">O153*(1-P153)</f>
        <v>0</v>
      </c>
      <c r="AF153" s="1">
        <f t="shared" ref="AF153:AF155" si="79">+O153*P153*(1-A153)</f>
        <v>1</v>
      </c>
      <c r="AG153" s="1">
        <f t="shared" ref="AG153:AG155" si="80">O153*(1-P153)*(1-A153)</f>
        <v>0</v>
      </c>
      <c r="AH153" s="1">
        <f t="shared" ref="AH153:AH155" si="81">+P153*(1-A153)</f>
        <v>1</v>
      </c>
      <c r="AI153" s="1">
        <f t="shared" ref="AI153:AI155" si="82">+(1-A153)*(1-P153)</f>
        <v>0</v>
      </c>
    </row>
    <row r="154" spans="1:35" ht="14.25" customHeight="1" x14ac:dyDescent="0.25">
      <c r="A154" s="38">
        <v>0</v>
      </c>
      <c r="B154" s="38">
        <v>1</v>
      </c>
      <c r="C154" s="38">
        <v>3</v>
      </c>
      <c r="D154" s="39" t="s">
        <v>853</v>
      </c>
      <c r="E154" s="39" t="s">
        <v>854</v>
      </c>
      <c r="F154" s="39" t="s">
        <v>855</v>
      </c>
      <c r="G154" s="39" t="s">
        <v>39</v>
      </c>
      <c r="H154" s="39" t="s">
        <v>364</v>
      </c>
      <c r="I154" s="38" t="s">
        <v>856</v>
      </c>
      <c r="J154" s="38">
        <v>18</v>
      </c>
      <c r="K154" s="40" t="s">
        <v>932</v>
      </c>
      <c r="L154" s="40" t="s">
        <v>39</v>
      </c>
      <c r="M154" s="41" t="s">
        <v>39</v>
      </c>
      <c r="N154" s="42"/>
      <c r="O154" s="43"/>
      <c r="P154" s="43">
        <v>1</v>
      </c>
      <c r="Q154" s="39"/>
      <c r="S154" s="1">
        <f t="shared" si="61"/>
        <v>0</v>
      </c>
      <c r="T154" s="1">
        <f t="shared" si="62"/>
        <v>0</v>
      </c>
      <c r="U154" s="1">
        <f t="shared" si="63"/>
        <v>0</v>
      </c>
      <c r="V154" s="1">
        <f t="shared" si="64"/>
        <v>0</v>
      </c>
      <c r="W154" s="1">
        <f t="shared" si="65"/>
        <v>0</v>
      </c>
      <c r="X154" s="1">
        <f t="shared" si="66"/>
        <v>0</v>
      </c>
      <c r="Y154" s="1">
        <f t="shared" si="67"/>
        <v>0</v>
      </c>
      <c r="Z154" s="1">
        <f t="shared" si="68"/>
        <v>0</v>
      </c>
      <c r="AA154" s="1">
        <f t="shared" si="69"/>
        <v>0</v>
      </c>
      <c r="AB154" s="1">
        <f t="shared" si="70"/>
        <v>0</v>
      </c>
      <c r="AD154" s="1">
        <f t="shared" si="77"/>
        <v>0</v>
      </c>
      <c r="AE154" s="1">
        <f t="shared" si="78"/>
        <v>0</v>
      </c>
      <c r="AF154" s="1">
        <f t="shared" si="79"/>
        <v>0</v>
      </c>
      <c r="AG154" s="1">
        <f t="shared" si="80"/>
        <v>0</v>
      </c>
      <c r="AH154" s="1">
        <f t="shared" si="81"/>
        <v>1</v>
      </c>
      <c r="AI154" s="1">
        <f t="shared" si="82"/>
        <v>0</v>
      </c>
    </row>
    <row r="155" spans="1:35" ht="14.25" customHeight="1" x14ac:dyDescent="0.25">
      <c r="A155" s="31">
        <v>0</v>
      </c>
      <c r="B155" s="31">
        <v>1</v>
      </c>
      <c r="C155" s="31">
        <v>3</v>
      </c>
      <c r="D155" s="32" t="s">
        <v>1274</v>
      </c>
      <c r="E155" s="32" t="s">
        <v>171</v>
      </c>
      <c r="F155" s="32" t="s">
        <v>1275</v>
      </c>
      <c r="G155" s="32" t="s">
        <v>207</v>
      </c>
      <c r="H155" s="32" t="s">
        <v>352</v>
      </c>
      <c r="I155" s="31" t="s">
        <v>1276</v>
      </c>
      <c r="J155" s="31">
        <v>3</v>
      </c>
      <c r="K155" s="33" t="s">
        <v>932</v>
      </c>
      <c r="L155" s="33" t="s">
        <v>39</v>
      </c>
      <c r="M155" s="34" t="s">
        <v>39</v>
      </c>
      <c r="N155" s="34" t="s">
        <v>1687</v>
      </c>
      <c r="O155" s="35">
        <v>1</v>
      </c>
      <c r="P155" s="35">
        <v>1</v>
      </c>
      <c r="Q155" s="32"/>
      <c r="S155" s="1">
        <f t="shared" si="61"/>
        <v>0</v>
      </c>
      <c r="T155" s="1">
        <f t="shared" si="62"/>
        <v>0</v>
      </c>
      <c r="U155" s="1">
        <f t="shared" si="63"/>
        <v>1</v>
      </c>
      <c r="V155" s="1">
        <f t="shared" si="64"/>
        <v>0</v>
      </c>
      <c r="W155" s="1">
        <f t="shared" si="65"/>
        <v>0</v>
      </c>
      <c r="X155" s="1">
        <f t="shared" si="66"/>
        <v>0</v>
      </c>
      <c r="Y155" s="1">
        <f t="shared" si="67"/>
        <v>0</v>
      </c>
      <c r="Z155" s="1">
        <f t="shared" si="68"/>
        <v>0</v>
      </c>
      <c r="AA155" s="1">
        <f t="shared" si="69"/>
        <v>0</v>
      </c>
      <c r="AB155" s="1">
        <f t="shared" si="70"/>
        <v>0</v>
      </c>
      <c r="AD155" s="1">
        <f t="shared" si="77"/>
        <v>1</v>
      </c>
      <c r="AE155" s="1">
        <f t="shared" si="78"/>
        <v>0</v>
      </c>
      <c r="AF155" s="1">
        <f t="shared" si="79"/>
        <v>1</v>
      </c>
      <c r="AG155" s="1">
        <f t="shared" si="80"/>
        <v>0</v>
      </c>
      <c r="AH155" s="1">
        <f t="shared" si="81"/>
        <v>1</v>
      </c>
      <c r="AI155" s="1">
        <f t="shared" si="82"/>
        <v>0</v>
      </c>
    </row>
    <row r="156" spans="1:35" ht="14.25" customHeight="1" x14ac:dyDescent="0.25">
      <c r="A156" s="31">
        <v>0</v>
      </c>
      <c r="B156" s="31">
        <v>1</v>
      </c>
      <c r="C156" s="31">
        <v>3</v>
      </c>
      <c r="D156" s="32" t="s">
        <v>847</v>
      </c>
      <c r="E156" s="32" t="s">
        <v>169</v>
      </c>
      <c r="F156" s="32" t="s">
        <v>848</v>
      </c>
      <c r="G156" s="32" t="s">
        <v>39</v>
      </c>
      <c r="H156" s="32" t="s">
        <v>849</v>
      </c>
      <c r="I156" s="31" t="s">
        <v>925</v>
      </c>
      <c r="J156" s="31">
        <v>11</v>
      </c>
      <c r="K156" s="33" t="s">
        <v>693</v>
      </c>
      <c r="L156" s="33" t="s">
        <v>680</v>
      </c>
      <c r="M156" s="34" t="s">
        <v>947</v>
      </c>
      <c r="N156" s="34" t="s">
        <v>1700</v>
      </c>
      <c r="O156" s="35">
        <v>1</v>
      </c>
      <c r="P156" s="35"/>
      <c r="Q156" s="32"/>
      <c r="S156" s="1">
        <f t="shared" si="61"/>
        <v>0</v>
      </c>
      <c r="T156" s="1">
        <f t="shared" si="62"/>
        <v>0</v>
      </c>
      <c r="U156" s="1">
        <f t="shared" si="63"/>
        <v>0</v>
      </c>
      <c r="V156" s="1">
        <f t="shared" si="64"/>
        <v>0</v>
      </c>
      <c r="W156" s="1">
        <f t="shared" si="65"/>
        <v>0</v>
      </c>
      <c r="X156" s="1">
        <f t="shared" si="66"/>
        <v>0</v>
      </c>
      <c r="Y156" s="1">
        <f t="shared" si="67"/>
        <v>0</v>
      </c>
      <c r="Z156" s="1">
        <f t="shared" si="68"/>
        <v>0</v>
      </c>
      <c r="AA156" s="1">
        <f t="shared" si="69"/>
        <v>0</v>
      </c>
      <c r="AB156" s="1">
        <f t="shared" si="70"/>
        <v>0</v>
      </c>
      <c r="AD156" s="1">
        <f t="shared" si="71"/>
        <v>0</v>
      </c>
      <c r="AE156" s="1">
        <f t="shared" si="72"/>
        <v>1</v>
      </c>
      <c r="AF156" s="1">
        <f t="shared" si="73"/>
        <v>0</v>
      </c>
      <c r="AG156" s="1">
        <f t="shared" si="74"/>
        <v>1</v>
      </c>
      <c r="AH156" s="1">
        <f t="shared" si="75"/>
        <v>0</v>
      </c>
      <c r="AI156" s="1">
        <f t="shared" si="76"/>
        <v>1</v>
      </c>
    </row>
    <row r="157" spans="1:35" ht="14.25" customHeight="1" x14ac:dyDescent="0.25">
      <c r="A157" s="15">
        <v>0</v>
      </c>
      <c r="B157" s="15">
        <v>1</v>
      </c>
      <c r="C157" s="15">
        <v>3</v>
      </c>
      <c r="D157" s="16" t="s">
        <v>502</v>
      </c>
      <c r="E157" s="16" t="s">
        <v>169</v>
      </c>
      <c r="F157" s="16" t="s">
        <v>503</v>
      </c>
      <c r="G157" s="16" t="s">
        <v>500</v>
      </c>
      <c r="H157" s="16" t="s">
        <v>352</v>
      </c>
      <c r="I157" s="15" t="s">
        <v>504</v>
      </c>
      <c r="J157" s="15">
        <v>99</v>
      </c>
      <c r="K157" s="10" t="s">
        <v>694</v>
      </c>
      <c r="L157" s="10">
        <v>40</v>
      </c>
      <c r="M157" s="19" t="s">
        <v>947</v>
      </c>
      <c r="N157" s="19"/>
      <c r="Q157" s="16"/>
      <c r="S157" s="1">
        <f t="shared" si="61"/>
        <v>0</v>
      </c>
      <c r="T157" s="1">
        <f t="shared" si="62"/>
        <v>0</v>
      </c>
      <c r="U157" s="1">
        <f t="shared" si="63"/>
        <v>0</v>
      </c>
      <c r="V157" s="1">
        <f t="shared" si="64"/>
        <v>0</v>
      </c>
      <c r="W157" s="1">
        <f t="shared" si="65"/>
        <v>0</v>
      </c>
      <c r="X157" s="1">
        <f t="shared" si="66"/>
        <v>0</v>
      </c>
      <c r="Y157" s="1">
        <f t="shared" si="67"/>
        <v>0</v>
      </c>
      <c r="Z157" s="1">
        <f t="shared" si="68"/>
        <v>0</v>
      </c>
      <c r="AA157" s="1">
        <f t="shared" si="69"/>
        <v>0</v>
      </c>
      <c r="AB157" s="1">
        <f t="shared" si="70"/>
        <v>0</v>
      </c>
      <c r="AD157" s="1">
        <f t="shared" si="71"/>
        <v>0</v>
      </c>
      <c r="AE157" s="1">
        <f t="shared" si="72"/>
        <v>0</v>
      </c>
      <c r="AF157" s="1">
        <f t="shared" si="73"/>
        <v>0</v>
      </c>
      <c r="AG157" s="1">
        <f t="shared" si="74"/>
        <v>0</v>
      </c>
      <c r="AH157" s="1">
        <f t="shared" si="75"/>
        <v>0</v>
      </c>
      <c r="AI157" s="1">
        <f t="shared" si="76"/>
        <v>1</v>
      </c>
    </row>
    <row r="158" spans="1:35" ht="14.25" customHeight="1" x14ac:dyDescent="0.25">
      <c r="A158" s="31">
        <v>0</v>
      </c>
      <c r="B158" s="31">
        <v>1</v>
      </c>
      <c r="C158" s="31">
        <v>3</v>
      </c>
      <c r="D158" s="36" t="s">
        <v>1735</v>
      </c>
      <c r="E158" s="36" t="s">
        <v>1736</v>
      </c>
      <c r="F158" s="36" t="s">
        <v>1737</v>
      </c>
      <c r="G158" s="36" t="s">
        <v>1738</v>
      </c>
      <c r="H158" s="36" t="s">
        <v>352</v>
      </c>
      <c r="I158" s="37" t="s">
        <v>1739</v>
      </c>
      <c r="J158" s="31">
        <v>99</v>
      </c>
      <c r="K158" s="33" t="s">
        <v>694</v>
      </c>
      <c r="L158" s="33"/>
      <c r="M158" s="34"/>
      <c r="N158" s="34" t="s">
        <v>1687</v>
      </c>
      <c r="O158" s="35">
        <v>1</v>
      </c>
      <c r="P158" s="35">
        <v>1</v>
      </c>
      <c r="Q158" s="36"/>
      <c r="S158" s="1">
        <f t="shared" si="61"/>
        <v>0</v>
      </c>
      <c r="T158" s="1">
        <f t="shared" si="62"/>
        <v>0</v>
      </c>
      <c r="U158" s="1">
        <f t="shared" si="63"/>
        <v>0</v>
      </c>
      <c r="V158" s="1">
        <f t="shared" si="64"/>
        <v>0</v>
      </c>
      <c r="W158" s="1">
        <f t="shared" si="65"/>
        <v>0</v>
      </c>
      <c r="X158" s="1">
        <f t="shared" si="66"/>
        <v>0</v>
      </c>
      <c r="Y158" s="1">
        <f t="shared" si="67"/>
        <v>0</v>
      </c>
      <c r="Z158" s="1">
        <f t="shared" si="68"/>
        <v>0</v>
      </c>
      <c r="AA158" s="1">
        <f t="shared" si="69"/>
        <v>0</v>
      </c>
      <c r="AB158" s="1">
        <f t="shared" si="70"/>
        <v>0</v>
      </c>
      <c r="AD158" s="1">
        <f t="shared" si="71"/>
        <v>1</v>
      </c>
      <c r="AE158" s="1">
        <f t="shared" si="72"/>
        <v>0</v>
      </c>
      <c r="AF158" s="1">
        <f t="shared" si="73"/>
        <v>1</v>
      </c>
      <c r="AG158" s="1">
        <f t="shared" si="74"/>
        <v>0</v>
      </c>
      <c r="AH158" s="1">
        <f t="shared" si="75"/>
        <v>1</v>
      </c>
      <c r="AI158" s="1">
        <f t="shared" si="76"/>
        <v>0</v>
      </c>
    </row>
    <row r="159" spans="1:35" ht="14.25" customHeight="1" x14ac:dyDescent="0.25">
      <c r="A159" s="31">
        <v>0</v>
      </c>
      <c r="B159" s="31">
        <v>1</v>
      </c>
      <c r="C159" s="31">
        <v>3</v>
      </c>
      <c r="D159" s="32" t="s">
        <v>525</v>
      </c>
      <c r="E159" s="32" t="s">
        <v>169</v>
      </c>
      <c r="F159" s="32" t="s">
        <v>650</v>
      </c>
      <c r="G159" s="32" t="s">
        <v>39</v>
      </c>
      <c r="H159" s="32" t="s">
        <v>526</v>
      </c>
      <c r="I159" s="31" t="s">
        <v>527</v>
      </c>
      <c r="J159" s="31">
        <v>18</v>
      </c>
      <c r="K159" s="33" t="s">
        <v>932</v>
      </c>
      <c r="L159" s="33" t="s">
        <v>1688</v>
      </c>
      <c r="M159" s="34" t="s">
        <v>946</v>
      </c>
      <c r="N159" s="34" t="s">
        <v>1687</v>
      </c>
      <c r="O159" s="35">
        <v>1</v>
      </c>
      <c r="P159" s="35">
        <v>1</v>
      </c>
      <c r="Q159" s="32"/>
      <c r="S159" s="1">
        <f t="shared" si="61"/>
        <v>0</v>
      </c>
      <c r="T159" s="1">
        <f t="shared" si="62"/>
        <v>0</v>
      </c>
      <c r="U159" s="1">
        <f t="shared" si="63"/>
        <v>0</v>
      </c>
      <c r="V159" s="1">
        <f t="shared" si="64"/>
        <v>0</v>
      </c>
      <c r="W159" s="1">
        <f t="shared" si="65"/>
        <v>0</v>
      </c>
      <c r="X159" s="1">
        <f t="shared" si="66"/>
        <v>0</v>
      </c>
      <c r="Y159" s="1">
        <f t="shared" si="67"/>
        <v>0</v>
      </c>
      <c r="Z159" s="1">
        <f t="shared" si="68"/>
        <v>0</v>
      </c>
      <c r="AA159" s="1">
        <f t="shared" si="69"/>
        <v>0</v>
      </c>
      <c r="AB159" s="1">
        <f t="shared" si="70"/>
        <v>0</v>
      </c>
      <c r="AD159" s="1">
        <f t="shared" si="71"/>
        <v>1</v>
      </c>
      <c r="AE159" s="1">
        <f t="shared" si="72"/>
        <v>0</v>
      </c>
      <c r="AF159" s="1">
        <f t="shared" si="73"/>
        <v>1</v>
      </c>
      <c r="AG159" s="1">
        <f t="shared" si="74"/>
        <v>0</v>
      </c>
      <c r="AH159" s="1">
        <f t="shared" si="75"/>
        <v>1</v>
      </c>
      <c r="AI159" s="1">
        <f t="shared" si="76"/>
        <v>0</v>
      </c>
    </row>
    <row r="160" spans="1:35" ht="14.25" customHeight="1" x14ac:dyDescent="0.25">
      <c r="A160" s="31">
        <v>0</v>
      </c>
      <c r="B160" s="31">
        <v>1</v>
      </c>
      <c r="C160" s="31">
        <v>3</v>
      </c>
      <c r="D160" s="32" t="s">
        <v>951</v>
      </c>
      <c r="E160" s="32" t="s">
        <v>174</v>
      </c>
      <c r="F160" s="32" t="s">
        <v>785</v>
      </c>
      <c r="G160" s="32" t="s">
        <v>39</v>
      </c>
      <c r="H160" s="32" t="s">
        <v>786</v>
      </c>
      <c r="I160" s="31" t="s">
        <v>787</v>
      </c>
      <c r="J160" s="31">
        <v>16</v>
      </c>
      <c r="K160" s="33" t="s">
        <v>933</v>
      </c>
      <c r="L160" s="33" t="s">
        <v>1112</v>
      </c>
      <c r="M160" s="34" t="s">
        <v>946</v>
      </c>
      <c r="N160" s="34" t="s">
        <v>1693</v>
      </c>
      <c r="O160" s="35">
        <v>1</v>
      </c>
      <c r="P160" s="35"/>
      <c r="Q160" s="32"/>
      <c r="S160" s="1">
        <f t="shared" si="61"/>
        <v>0</v>
      </c>
      <c r="T160" s="1">
        <f t="shared" si="62"/>
        <v>0</v>
      </c>
      <c r="U160" s="1">
        <f t="shared" si="63"/>
        <v>0</v>
      </c>
      <c r="V160" s="1">
        <f t="shared" si="64"/>
        <v>0</v>
      </c>
      <c r="W160" s="1">
        <f t="shared" si="65"/>
        <v>0</v>
      </c>
      <c r="X160" s="1">
        <f t="shared" si="66"/>
        <v>0</v>
      </c>
      <c r="Y160" s="1">
        <f t="shared" si="67"/>
        <v>0</v>
      </c>
      <c r="Z160" s="1">
        <f t="shared" si="68"/>
        <v>0</v>
      </c>
      <c r="AA160" s="1">
        <f t="shared" si="69"/>
        <v>0</v>
      </c>
      <c r="AB160" s="1">
        <f t="shared" si="70"/>
        <v>0</v>
      </c>
      <c r="AD160" s="1">
        <f t="shared" si="71"/>
        <v>0</v>
      </c>
      <c r="AE160" s="1">
        <f t="shared" si="72"/>
        <v>1</v>
      </c>
      <c r="AF160" s="1">
        <f t="shared" si="73"/>
        <v>0</v>
      </c>
      <c r="AG160" s="1">
        <f t="shared" si="74"/>
        <v>1</v>
      </c>
      <c r="AH160" s="1">
        <f t="shared" si="75"/>
        <v>0</v>
      </c>
      <c r="AI160" s="1">
        <f t="shared" si="76"/>
        <v>1</v>
      </c>
    </row>
    <row r="161" spans="1:35" ht="14.25" customHeight="1" x14ac:dyDescent="0.25">
      <c r="A161" s="31">
        <v>0</v>
      </c>
      <c r="B161" s="31">
        <v>1</v>
      </c>
      <c r="C161" s="31">
        <v>3</v>
      </c>
      <c r="D161" s="32" t="s">
        <v>1166</v>
      </c>
      <c r="E161" s="32" t="s">
        <v>171</v>
      </c>
      <c r="F161" s="32" t="s">
        <v>1167</v>
      </c>
      <c r="G161" s="32" t="s">
        <v>237</v>
      </c>
      <c r="H161" s="32" t="s">
        <v>352</v>
      </c>
      <c r="I161" s="31" t="s">
        <v>1168</v>
      </c>
      <c r="J161" s="31">
        <v>4</v>
      </c>
      <c r="K161" s="33" t="s">
        <v>939</v>
      </c>
      <c r="L161" s="33" t="s">
        <v>1653</v>
      </c>
      <c r="M161" s="34" t="s">
        <v>1560</v>
      </c>
      <c r="N161" s="34" t="s">
        <v>1681</v>
      </c>
      <c r="O161" s="35">
        <v>1</v>
      </c>
      <c r="P161" s="35">
        <v>1</v>
      </c>
      <c r="Q161" s="32"/>
      <c r="S161" s="1">
        <f t="shared" si="61"/>
        <v>0</v>
      </c>
      <c r="T161" s="1">
        <f t="shared" si="62"/>
        <v>0</v>
      </c>
      <c r="U161" s="1">
        <f t="shared" si="63"/>
        <v>0</v>
      </c>
      <c r="V161" s="1">
        <f t="shared" si="64"/>
        <v>1</v>
      </c>
      <c r="W161" s="1">
        <f t="shared" si="65"/>
        <v>0</v>
      </c>
      <c r="X161" s="1">
        <f t="shared" si="66"/>
        <v>0</v>
      </c>
      <c r="Y161" s="1">
        <f t="shared" si="67"/>
        <v>0</v>
      </c>
      <c r="Z161" s="1">
        <f t="shared" si="68"/>
        <v>0</v>
      </c>
      <c r="AA161" s="1">
        <f t="shared" si="69"/>
        <v>0</v>
      </c>
      <c r="AB161" s="1">
        <f t="shared" si="70"/>
        <v>0</v>
      </c>
      <c r="AD161" s="1">
        <f t="shared" si="71"/>
        <v>1</v>
      </c>
      <c r="AE161" s="1">
        <f t="shared" si="72"/>
        <v>0</v>
      </c>
      <c r="AF161" s="1">
        <f t="shared" si="73"/>
        <v>1</v>
      </c>
      <c r="AG161" s="1">
        <f t="shared" si="74"/>
        <v>0</v>
      </c>
      <c r="AH161" s="1">
        <f t="shared" si="75"/>
        <v>1</v>
      </c>
      <c r="AI161" s="1">
        <f t="shared" si="76"/>
        <v>0</v>
      </c>
    </row>
    <row r="162" spans="1:35" ht="14.25" customHeight="1" x14ac:dyDescent="0.25">
      <c r="A162" s="31">
        <v>0</v>
      </c>
      <c r="B162" s="31">
        <v>1</v>
      </c>
      <c r="C162" s="31">
        <v>3</v>
      </c>
      <c r="D162" s="32" t="s">
        <v>1597</v>
      </c>
      <c r="E162" s="32" t="s">
        <v>169</v>
      </c>
      <c r="F162" s="32" t="s">
        <v>1438</v>
      </c>
      <c r="G162" s="32" t="s">
        <v>1625</v>
      </c>
      <c r="H162" s="32" t="s">
        <v>352</v>
      </c>
      <c r="I162" s="31" t="s">
        <v>1437</v>
      </c>
      <c r="J162" s="31">
        <v>99</v>
      </c>
      <c r="K162" s="33" t="s">
        <v>693</v>
      </c>
      <c r="L162" s="33" t="s">
        <v>1658</v>
      </c>
      <c r="M162" s="34" t="s">
        <v>1439</v>
      </c>
      <c r="N162" s="34" t="s">
        <v>1694</v>
      </c>
      <c r="O162" s="35">
        <v>1</v>
      </c>
      <c r="P162" s="35"/>
      <c r="Q162" s="32"/>
      <c r="S162" s="1">
        <f t="shared" si="61"/>
        <v>0</v>
      </c>
      <c r="T162" s="1">
        <f t="shared" si="62"/>
        <v>0</v>
      </c>
      <c r="U162" s="1">
        <f t="shared" si="63"/>
        <v>0</v>
      </c>
      <c r="V162" s="1">
        <f t="shared" si="64"/>
        <v>0</v>
      </c>
      <c r="W162" s="1">
        <f t="shared" si="65"/>
        <v>0</v>
      </c>
      <c r="X162" s="1">
        <f t="shared" si="66"/>
        <v>0</v>
      </c>
      <c r="Y162" s="1">
        <f t="shared" si="67"/>
        <v>0</v>
      </c>
      <c r="Z162" s="1">
        <f t="shared" si="68"/>
        <v>0</v>
      </c>
      <c r="AA162" s="1">
        <f t="shared" si="69"/>
        <v>0</v>
      </c>
      <c r="AB162" s="1">
        <f t="shared" si="70"/>
        <v>0</v>
      </c>
      <c r="AD162" s="1">
        <f t="shared" si="71"/>
        <v>0</v>
      </c>
      <c r="AE162" s="1">
        <f t="shared" si="72"/>
        <v>1</v>
      </c>
      <c r="AF162" s="1">
        <f t="shared" si="73"/>
        <v>0</v>
      </c>
      <c r="AG162" s="1">
        <f t="shared" si="74"/>
        <v>1</v>
      </c>
      <c r="AH162" s="1">
        <f t="shared" si="75"/>
        <v>0</v>
      </c>
      <c r="AI162" s="1">
        <f t="shared" si="76"/>
        <v>1</v>
      </c>
    </row>
    <row r="163" spans="1:35" ht="14.25" customHeight="1" x14ac:dyDescent="0.25">
      <c r="A163" s="31">
        <v>0</v>
      </c>
      <c r="B163" s="31">
        <v>1</v>
      </c>
      <c r="C163" s="31">
        <v>3</v>
      </c>
      <c r="D163" s="36" t="s">
        <v>2012</v>
      </c>
      <c r="E163" s="36" t="s">
        <v>171</v>
      </c>
      <c r="F163" s="36" t="s">
        <v>2013</v>
      </c>
      <c r="G163" s="32"/>
      <c r="H163" s="36" t="s">
        <v>603</v>
      </c>
      <c r="I163" s="37" t="s">
        <v>2014</v>
      </c>
      <c r="J163" s="31">
        <v>14</v>
      </c>
      <c r="K163" s="33" t="s">
        <v>694</v>
      </c>
      <c r="L163" s="33"/>
      <c r="M163" s="34"/>
      <c r="N163" s="34" t="s">
        <v>1687</v>
      </c>
      <c r="O163" s="35">
        <v>1</v>
      </c>
      <c r="P163" s="35">
        <v>1</v>
      </c>
      <c r="Q163" s="32" t="s">
        <v>2015</v>
      </c>
      <c r="S163" s="1">
        <f t="shared" si="61"/>
        <v>0</v>
      </c>
      <c r="T163" s="1">
        <f t="shared" si="62"/>
        <v>0</v>
      </c>
      <c r="U163" s="1">
        <f t="shared" si="63"/>
        <v>0</v>
      </c>
      <c r="V163" s="1">
        <f t="shared" si="64"/>
        <v>0</v>
      </c>
      <c r="W163" s="1">
        <f t="shared" si="65"/>
        <v>0</v>
      </c>
      <c r="X163" s="1">
        <f t="shared" si="66"/>
        <v>0</v>
      </c>
      <c r="Y163" s="1">
        <f t="shared" si="67"/>
        <v>0</v>
      </c>
      <c r="Z163" s="1">
        <f t="shared" si="68"/>
        <v>0</v>
      </c>
      <c r="AA163" s="1">
        <f t="shared" si="69"/>
        <v>0</v>
      </c>
      <c r="AB163" s="1">
        <f t="shared" si="70"/>
        <v>0</v>
      </c>
      <c r="AD163" s="1">
        <f t="shared" si="71"/>
        <v>1</v>
      </c>
      <c r="AE163" s="1">
        <f t="shared" si="72"/>
        <v>0</v>
      </c>
      <c r="AF163" s="1">
        <f t="shared" si="73"/>
        <v>1</v>
      </c>
      <c r="AG163" s="1">
        <f t="shared" si="74"/>
        <v>0</v>
      </c>
      <c r="AH163" s="1">
        <f t="shared" si="75"/>
        <v>1</v>
      </c>
      <c r="AI163" s="1">
        <f t="shared" si="76"/>
        <v>0</v>
      </c>
    </row>
    <row r="164" spans="1:35" ht="14.25" customHeight="1" x14ac:dyDescent="0.25">
      <c r="A164" s="15">
        <v>0</v>
      </c>
      <c r="B164" s="15">
        <v>1</v>
      </c>
      <c r="C164" s="15">
        <v>3</v>
      </c>
      <c r="D164" s="20" t="s">
        <v>1887</v>
      </c>
      <c r="E164" s="20" t="s">
        <v>171</v>
      </c>
      <c r="F164" s="20" t="s">
        <v>1902</v>
      </c>
      <c r="G164" s="20"/>
      <c r="H164" s="20" t="s">
        <v>1901</v>
      </c>
      <c r="I164" s="21" t="s">
        <v>1900</v>
      </c>
      <c r="J164" s="15">
        <v>14</v>
      </c>
      <c r="K164" s="10" t="s">
        <v>694</v>
      </c>
      <c r="L164" s="10" t="s">
        <v>688</v>
      </c>
      <c r="M164" s="19" t="s">
        <v>947</v>
      </c>
      <c r="N164" s="17"/>
      <c r="Q164" s="20" t="s">
        <v>1903</v>
      </c>
      <c r="S164" s="1">
        <f t="shared" si="61"/>
        <v>0</v>
      </c>
      <c r="T164" s="1">
        <f t="shared" si="62"/>
        <v>0</v>
      </c>
      <c r="U164" s="1">
        <f t="shared" si="63"/>
        <v>0</v>
      </c>
      <c r="V164" s="1">
        <f t="shared" si="64"/>
        <v>0</v>
      </c>
      <c r="W164" s="1">
        <f t="shared" si="65"/>
        <v>0</v>
      </c>
      <c r="X164" s="1">
        <f t="shared" si="66"/>
        <v>0</v>
      </c>
      <c r="Y164" s="1">
        <f t="shared" si="67"/>
        <v>0</v>
      </c>
      <c r="Z164" s="1">
        <f t="shared" si="68"/>
        <v>0</v>
      </c>
      <c r="AA164" s="1">
        <f t="shared" si="69"/>
        <v>0</v>
      </c>
      <c r="AB164" s="1">
        <f t="shared" si="70"/>
        <v>0</v>
      </c>
      <c r="AD164" s="1">
        <f t="shared" si="71"/>
        <v>0</v>
      </c>
      <c r="AE164" s="1">
        <f t="shared" si="72"/>
        <v>0</v>
      </c>
      <c r="AF164" s="1">
        <f t="shared" si="73"/>
        <v>0</v>
      </c>
      <c r="AG164" s="1">
        <f t="shared" si="74"/>
        <v>0</v>
      </c>
      <c r="AH164" s="1">
        <f t="shared" si="75"/>
        <v>0</v>
      </c>
      <c r="AI164" s="1">
        <f t="shared" si="76"/>
        <v>1</v>
      </c>
    </row>
    <row r="165" spans="1:35" ht="14.25" customHeight="1" x14ac:dyDescent="0.25">
      <c r="A165" s="31">
        <v>0</v>
      </c>
      <c r="B165" s="31">
        <v>1</v>
      </c>
      <c r="C165" s="31">
        <v>3</v>
      </c>
      <c r="D165" s="32" t="s">
        <v>144</v>
      </c>
      <c r="E165" s="32" t="s">
        <v>171</v>
      </c>
      <c r="F165" s="32" t="s">
        <v>345</v>
      </c>
      <c r="G165" s="32" t="s">
        <v>39</v>
      </c>
      <c r="H165" s="32" t="s">
        <v>376</v>
      </c>
      <c r="I165" s="31" t="s">
        <v>1327</v>
      </c>
      <c r="J165" s="31">
        <v>14</v>
      </c>
      <c r="K165" s="33" t="s">
        <v>932</v>
      </c>
      <c r="L165" s="33" t="s">
        <v>680</v>
      </c>
      <c r="M165" s="34" t="s">
        <v>682</v>
      </c>
      <c r="N165" s="34" t="s">
        <v>1693</v>
      </c>
      <c r="O165" s="35">
        <v>1</v>
      </c>
      <c r="P165" s="35"/>
      <c r="Q165" s="32"/>
      <c r="S165" s="1">
        <f t="shared" si="61"/>
        <v>0</v>
      </c>
      <c r="T165" s="1">
        <f t="shared" si="62"/>
        <v>0</v>
      </c>
      <c r="U165" s="1">
        <f t="shared" si="63"/>
        <v>0</v>
      </c>
      <c r="V165" s="1">
        <f t="shared" si="64"/>
        <v>0</v>
      </c>
      <c r="W165" s="1">
        <f t="shared" si="65"/>
        <v>0</v>
      </c>
      <c r="X165" s="1">
        <f t="shared" si="66"/>
        <v>0</v>
      </c>
      <c r="Y165" s="1">
        <f t="shared" si="67"/>
        <v>0</v>
      </c>
      <c r="Z165" s="1">
        <f t="shared" si="68"/>
        <v>0</v>
      </c>
      <c r="AA165" s="1">
        <f t="shared" si="69"/>
        <v>0</v>
      </c>
      <c r="AB165" s="1">
        <f t="shared" si="70"/>
        <v>0</v>
      </c>
      <c r="AD165" s="1">
        <f t="shared" si="71"/>
        <v>0</v>
      </c>
      <c r="AE165" s="1">
        <f t="shared" si="72"/>
        <v>1</v>
      </c>
      <c r="AF165" s="1">
        <f t="shared" si="73"/>
        <v>0</v>
      </c>
      <c r="AG165" s="1">
        <f t="shared" si="74"/>
        <v>1</v>
      </c>
      <c r="AH165" s="1">
        <f t="shared" si="75"/>
        <v>0</v>
      </c>
      <c r="AI165" s="1">
        <f t="shared" si="76"/>
        <v>1</v>
      </c>
    </row>
    <row r="166" spans="1:35" ht="14.25" customHeight="1" x14ac:dyDescent="0.25">
      <c r="A166" s="31">
        <v>0</v>
      </c>
      <c r="B166" s="31">
        <v>1</v>
      </c>
      <c r="C166" s="31">
        <v>3</v>
      </c>
      <c r="D166" s="32" t="s">
        <v>1523</v>
      </c>
      <c r="E166" s="32" t="s">
        <v>171</v>
      </c>
      <c r="F166" s="32" t="s">
        <v>1524</v>
      </c>
      <c r="G166" s="32" t="s">
        <v>39</v>
      </c>
      <c r="H166" s="32" t="s">
        <v>1525</v>
      </c>
      <c r="I166" s="31" t="s">
        <v>1526</v>
      </c>
      <c r="J166" s="31">
        <v>17</v>
      </c>
      <c r="K166" s="33" t="s">
        <v>713</v>
      </c>
      <c r="L166" s="33" t="s">
        <v>39</v>
      </c>
      <c r="M166" s="34" t="s">
        <v>39</v>
      </c>
      <c r="N166" s="34" t="s">
        <v>1687</v>
      </c>
      <c r="O166" s="35">
        <v>1</v>
      </c>
      <c r="P166" s="35">
        <v>1</v>
      </c>
      <c r="Q166" s="32" t="s">
        <v>1853</v>
      </c>
      <c r="S166" s="1">
        <f t="shared" si="61"/>
        <v>0</v>
      </c>
      <c r="T166" s="1">
        <f t="shared" si="62"/>
        <v>0</v>
      </c>
      <c r="U166" s="1">
        <f t="shared" si="63"/>
        <v>0</v>
      </c>
      <c r="V166" s="1">
        <f t="shared" si="64"/>
        <v>0</v>
      </c>
      <c r="W166" s="1">
        <f t="shared" si="65"/>
        <v>0</v>
      </c>
      <c r="X166" s="1">
        <f t="shared" si="66"/>
        <v>0</v>
      </c>
      <c r="Y166" s="1">
        <f t="shared" si="67"/>
        <v>0</v>
      </c>
      <c r="Z166" s="1">
        <f t="shared" si="68"/>
        <v>0</v>
      </c>
      <c r="AA166" s="1">
        <f t="shared" si="69"/>
        <v>0</v>
      </c>
      <c r="AB166" s="1">
        <f t="shared" si="70"/>
        <v>0</v>
      </c>
      <c r="AD166" s="1">
        <f t="shared" si="71"/>
        <v>1</v>
      </c>
      <c r="AE166" s="1">
        <f t="shared" si="72"/>
        <v>0</v>
      </c>
      <c r="AF166" s="1">
        <f t="shared" si="73"/>
        <v>1</v>
      </c>
      <c r="AG166" s="1">
        <f t="shared" si="74"/>
        <v>0</v>
      </c>
      <c r="AH166" s="1">
        <f t="shared" si="75"/>
        <v>1</v>
      </c>
      <c r="AI166" s="1">
        <f t="shared" si="76"/>
        <v>0</v>
      </c>
    </row>
    <row r="167" spans="1:35" ht="14.25" customHeight="1" x14ac:dyDescent="0.25">
      <c r="A167" s="31">
        <v>0</v>
      </c>
      <c r="B167" s="31">
        <v>1</v>
      </c>
      <c r="C167" s="31">
        <v>3</v>
      </c>
      <c r="D167" s="32" t="s">
        <v>152</v>
      </c>
      <c r="E167" s="32" t="s">
        <v>171</v>
      </c>
      <c r="F167" s="32" t="s">
        <v>351</v>
      </c>
      <c r="G167" s="32" t="s">
        <v>39</v>
      </c>
      <c r="H167" s="32" t="s">
        <v>1810</v>
      </c>
      <c r="I167" s="31" t="s">
        <v>497</v>
      </c>
      <c r="J167" s="31">
        <v>14</v>
      </c>
      <c r="K167" s="33" t="s">
        <v>693</v>
      </c>
      <c r="L167" s="33" t="s">
        <v>680</v>
      </c>
      <c r="M167" s="34" t="s">
        <v>946</v>
      </c>
      <c r="N167" s="34" t="s">
        <v>1693</v>
      </c>
      <c r="O167" s="35">
        <v>1</v>
      </c>
      <c r="P167" s="35"/>
      <c r="Q167" s="32" t="s">
        <v>1836</v>
      </c>
      <c r="S167" s="1">
        <f t="shared" si="61"/>
        <v>0</v>
      </c>
      <c r="T167" s="1">
        <f t="shared" si="62"/>
        <v>0</v>
      </c>
      <c r="U167" s="1">
        <f t="shared" si="63"/>
        <v>0</v>
      </c>
      <c r="V167" s="1">
        <f t="shared" si="64"/>
        <v>0</v>
      </c>
      <c r="W167" s="1">
        <f t="shared" si="65"/>
        <v>0</v>
      </c>
      <c r="X167" s="1">
        <f t="shared" si="66"/>
        <v>0</v>
      </c>
      <c r="Y167" s="1">
        <f t="shared" si="67"/>
        <v>0</v>
      </c>
      <c r="Z167" s="1">
        <f t="shared" si="68"/>
        <v>0</v>
      </c>
      <c r="AA167" s="1">
        <f t="shared" si="69"/>
        <v>0</v>
      </c>
      <c r="AB167" s="1">
        <f t="shared" si="70"/>
        <v>0</v>
      </c>
      <c r="AD167" s="1">
        <f t="shared" si="71"/>
        <v>0</v>
      </c>
      <c r="AE167" s="1">
        <f t="shared" si="72"/>
        <v>1</v>
      </c>
      <c r="AF167" s="1">
        <f t="shared" si="73"/>
        <v>0</v>
      </c>
      <c r="AG167" s="1">
        <f t="shared" si="74"/>
        <v>1</v>
      </c>
      <c r="AH167" s="1">
        <f t="shared" si="75"/>
        <v>0</v>
      </c>
      <c r="AI167" s="1">
        <f t="shared" si="76"/>
        <v>1</v>
      </c>
    </row>
    <row r="168" spans="1:35" ht="14.25" customHeight="1" x14ac:dyDescent="0.25">
      <c r="A168" s="15">
        <v>0</v>
      </c>
      <c r="B168" s="15">
        <v>1</v>
      </c>
      <c r="C168" s="15">
        <v>3</v>
      </c>
      <c r="D168" s="16" t="s">
        <v>730</v>
      </c>
      <c r="E168" s="16" t="s">
        <v>171</v>
      </c>
      <c r="F168" s="16" t="s">
        <v>731</v>
      </c>
      <c r="G168" s="16" t="s">
        <v>39</v>
      </c>
      <c r="H168" s="16" t="s">
        <v>732</v>
      </c>
      <c r="I168" s="15" t="s">
        <v>733</v>
      </c>
      <c r="J168" s="15">
        <v>17</v>
      </c>
      <c r="K168" s="10" t="s">
        <v>713</v>
      </c>
      <c r="L168" s="10" t="s">
        <v>688</v>
      </c>
      <c r="M168" s="19" t="s">
        <v>682</v>
      </c>
      <c r="N168" s="17"/>
      <c r="Q168" s="16" t="s">
        <v>1827</v>
      </c>
      <c r="S168" s="1">
        <f t="shared" si="61"/>
        <v>0</v>
      </c>
      <c r="T168" s="1">
        <f t="shared" si="62"/>
        <v>0</v>
      </c>
      <c r="U168" s="1">
        <f t="shared" si="63"/>
        <v>0</v>
      </c>
      <c r="V168" s="1">
        <f t="shared" si="64"/>
        <v>0</v>
      </c>
      <c r="W168" s="1">
        <f t="shared" si="65"/>
        <v>0</v>
      </c>
      <c r="X168" s="1">
        <f t="shared" si="66"/>
        <v>0</v>
      </c>
      <c r="Y168" s="1">
        <f t="shared" si="67"/>
        <v>0</v>
      </c>
      <c r="Z168" s="1">
        <f t="shared" si="68"/>
        <v>0</v>
      </c>
      <c r="AA168" s="1">
        <f t="shared" si="69"/>
        <v>0</v>
      </c>
      <c r="AB168" s="1">
        <f t="shared" si="70"/>
        <v>0</v>
      </c>
      <c r="AD168" s="1">
        <f t="shared" si="71"/>
        <v>0</v>
      </c>
      <c r="AE168" s="1">
        <f t="shared" si="72"/>
        <v>0</v>
      </c>
      <c r="AF168" s="1">
        <f t="shared" si="73"/>
        <v>0</v>
      </c>
      <c r="AG168" s="1">
        <f t="shared" si="74"/>
        <v>0</v>
      </c>
      <c r="AH168" s="1">
        <f t="shared" si="75"/>
        <v>0</v>
      </c>
      <c r="AI168" s="1">
        <f t="shared" si="76"/>
        <v>1</v>
      </c>
    </row>
    <row r="169" spans="1:35" ht="14.25" customHeight="1" x14ac:dyDescent="0.25">
      <c r="A169" s="31">
        <v>0</v>
      </c>
      <c r="B169" s="31">
        <v>1</v>
      </c>
      <c r="C169" s="31">
        <v>3</v>
      </c>
      <c r="D169" s="32" t="s">
        <v>882</v>
      </c>
      <c r="E169" s="32" t="s">
        <v>171</v>
      </c>
      <c r="F169" s="32" t="s">
        <v>1072</v>
      </c>
      <c r="G169" s="32" t="s">
        <v>39</v>
      </c>
      <c r="H169" s="32" t="s">
        <v>884</v>
      </c>
      <c r="I169" s="31" t="s">
        <v>883</v>
      </c>
      <c r="J169" s="31">
        <v>11</v>
      </c>
      <c r="K169" s="33" t="s">
        <v>933</v>
      </c>
      <c r="L169" s="33">
        <v>60</v>
      </c>
      <c r="M169" s="34" t="s">
        <v>39</v>
      </c>
      <c r="N169" s="34" t="s">
        <v>1693</v>
      </c>
      <c r="O169" s="35">
        <v>1</v>
      </c>
      <c r="P169" s="35"/>
      <c r="Q169" s="32"/>
      <c r="S169" s="1">
        <f t="shared" si="61"/>
        <v>0</v>
      </c>
      <c r="T169" s="1">
        <f t="shared" si="62"/>
        <v>0</v>
      </c>
      <c r="U169" s="1">
        <f t="shared" si="63"/>
        <v>0</v>
      </c>
      <c r="V169" s="1">
        <f t="shared" si="64"/>
        <v>0</v>
      </c>
      <c r="W169" s="1">
        <f t="shared" si="65"/>
        <v>0</v>
      </c>
      <c r="X169" s="1">
        <f t="shared" si="66"/>
        <v>0</v>
      </c>
      <c r="Y169" s="1">
        <f t="shared" si="67"/>
        <v>0</v>
      </c>
      <c r="Z169" s="1">
        <f t="shared" si="68"/>
        <v>0</v>
      </c>
      <c r="AA169" s="1">
        <f t="shared" si="69"/>
        <v>0</v>
      </c>
      <c r="AB169" s="1">
        <f t="shared" si="70"/>
        <v>0</v>
      </c>
      <c r="AD169" s="1">
        <f t="shared" si="71"/>
        <v>0</v>
      </c>
      <c r="AE169" s="1">
        <f t="shared" si="72"/>
        <v>1</v>
      </c>
      <c r="AF169" s="1">
        <f t="shared" si="73"/>
        <v>0</v>
      </c>
      <c r="AG169" s="1">
        <f t="shared" si="74"/>
        <v>1</v>
      </c>
      <c r="AH169" s="1">
        <f t="shared" si="75"/>
        <v>0</v>
      </c>
      <c r="AI169" s="1">
        <f t="shared" si="76"/>
        <v>1</v>
      </c>
    </row>
    <row r="170" spans="1:35" ht="14.25" customHeight="1" x14ac:dyDescent="0.25">
      <c r="A170" s="31">
        <v>0</v>
      </c>
      <c r="B170" s="31">
        <v>1</v>
      </c>
      <c r="C170" s="31">
        <v>3</v>
      </c>
      <c r="D170" s="32" t="s">
        <v>122</v>
      </c>
      <c r="E170" s="32" t="s">
        <v>174</v>
      </c>
      <c r="F170" s="32" t="s">
        <v>322</v>
      </c>
      <c r="G170" s="32" t="s">
        <v>39</v>
      </c>
      <c r="H170" s="32" t="s">
        <v>361</v>
      </c>
      <c r="I170" s="31" t="s">
        <v>467</v>
      </c>
      <c r="J170" s="31">
        <v>14</v>
      </c>
      <c r="K170" s="33" t="s">
        <v>713</v>
      </c>
      <c r="L170" s="33" t="s">
        <v>684</v>
      </c>
      <c r="M170" s="34" t="s">
        <v>1343</v>
      </c>
      <c r="N170" s="34" t="s">
        <v>1790</v>
      </c>
      <c r="O170" s="35">
        <v>1</v>
      </c>
      <c r="P170" s="35"/>
      <c r="Q170" s="36"/>
      <c r="S170" s="1">
        <f t="shared" si="61"/>
        <v>0</v>
      </c>
      <c r="T170" s="1">
        <f t="shared" si="62"/>
        <v>0</v>
      </c>
      <c r="U170" s="1">
        <f t="shared" si="63"/>
        <v>0</v>
      </c>
      <c r="V170" s="1">
        <f t="shared" si="64"/>
        <v>0</v>
      </c>
      <c r="W170" s="1">
        <f t="shared" si="65"/>
        <v>0</v>
      </c>
      <c r="X170" s="1">
        <f t="shared" si="66"/>
        <v>0</v>
      </c>
      <c r="Y170" s="1">
        <f t="shared" si="67"/>
        <v>0</v>
      </c>
      <c r="Z170" s="1">
        <f t="shared" si="68"/>
        <v>0</v>
      </c>
      <c r="AA170" s="1">
        <f t="shared" si="69"/>
        <v>0</v>
      </c>
      <c r="AB170" s="1">
        <f t="shared" si="70"/>
        <v>0</v>
      </c>
      <c r="AD170" s="1">
        <f t="shared" si="71"/>
        <v>0</v>
      </c>
      <c r="AE170" s="1">
        <f t="shared" si="72"/>
        <v>1</v>
      </c>
      <c r="AF170" s="1">
        <f t="shared" si="73"/>
        <v>0</v>
      </c>
      <c r="AG170" s="1">
        <f t="shared" si="74"/>
        <v>1</v>
      </c>
      <c r="AH170" s="1">
        <f t="shared" si="75"/>
        <v>0</v>
      </c>
      <c r="AI170" s="1">
        <f t="shared" si="76"/>
        <v>1</v>
      </c>
    </row>
    <row r="171" spans="1:35" ht="14.25" customHeight="1" x14ac:dyDescent="0.25">
      <c r="A171" s="31">
        <v>0</v>
      </c>
      <c r="B171" s="31">
        <v>1</v>
      </c>
      <c r="C171" s="31">
        <v>3</v>
      </c>
      <c r="D171" s="32" t="s">
        <v>1140</v>
      </c>
      <c r="E171" s="32" t="s">
        <v>171</v>
      </c>
      <c r="F171" s="32" t="s">
        <v>1142</v>
      </c>
      <c r="G171" s="32" t="s">
        <v>748</v>
      </c>
      <c r="H171" s="32" t="s">
        <v>352</v>
      </c>
      <c r="I171" s="31" t="s">
        <v>1141</v>
      </c>
      <c r="J171" s="31">
        <v>99</v>
      </c>
      <c r="K171" s="33" t="s">
        <v>694</v>
      </c>
      <c r="L171" s="33">
        <v>30</v>
      </c>
      <c r="M171" s="34" t="s">
        <v>946</v>
      </c>
      <c r="N171" s="34" t="s">
        <v>1766</v>
      </c>
      <c r="O171" s="35">
        <v>1</v>
      </c>
      <c r="P171" s="35"/>
      <c r="Q171" s="36"/>
      <c r="S171" s="1">
        <f t="shared" si="61"/>
        <v>0</v>
      </c>
      <c r="T171" s="1">
        <f t="shared" si="62"/>
        <v>0</v>
      </c>
      <c r="U171" s="1">
        <f t="shared" si="63"/>
        <v>0</v>
      </c>
      <c r="V171" s="1">
        <f t="shared" si="64"/>
        <v>0</v>
      </c>
      <c r="W171" s="1">
        <f t="shared" si="65"/>
        <v>0</v>
      </c>
      <c r="X171" s="1">
        <f t="shared" si="66"/>
        <v>0</v>
      </c>
      <c r="Y171" s="1">
        <f t="shared" si="67"/>
        <v>0</v>
      </c>
      <c r="Z171" s="1">
        <f t="shared" si="68"/>
        <v>0</v>
      </c>
      <c r="AA171" s="1">
        <f t="shared" si="69"/>
        <v>0</v>
      </c>
      <c r="AB171" s="1">
        <f t="shared" si="70"/>
        <v>0</v>
      </c>
      <c r="AD171" s="1">
        <f t="shared" si="71"/>
        <v>0</v>
      </c>
      <c r="AE171" s="1">
        <f t="shared" si="72"/>
        <v>1</v>
      </c>
      <c r="AF171" s="1">
        <f t="shared" si="73"/>
        <v>0</v>
      </c>
      <c r="AG171" s="1">
        <f t="shared" si="74"/>
        <v>1</v>
      </c>
      <c r="AH171" s="1">
        <f t="shared" si="75"/>
        <v>0</v>
      </c>
      <c r="AI171" s="1">
        <f t="shared" si="76"/>
        <v>1</v>
      </c>
    </row>
    <row r="172" spans="1:35" ht="14.25" customHeight="1" x14ac:dyDescent="0.25">
      <c r="A172" s="31">
        <v>0</v>
      </c>
      <c r="B172" s="31">
        <v>1</v>
      </c>
      <c r="C172" s="31">
        <v>3</v>
      </c>
      <c r="D172" s="32" t="s">
        <v>1975</v>
      </c>
      <c r="E172" s="32" t="s">
        <v>171</v>
      </c>
      <c r="F172" s="32" t="s">
        <v>1976</v>
      </c>
      <c r="G172" s="32"/>
      <c r="H172" s="32" t="s">
        <v>352</v>
      </c>
      <c r="I172" s="31" t="s">
        <v>1977</v>
      </c>
      <c r="J172" s="31">
        <v>18</v>
      </c>
      <c r="K172" s="33" t="s">
        <v>694</v>
      </c>
      <c r="L172" s="33"/>
      <c r="M172" s="34"/>
      <c r="N172" s="34" t="s">
        <v>1687</v>
      </c>
      <c r="O172" s="35">
        <v>1</v>
      </c>
      <c r="P172" s="35">
        <v>1</v>
      </c>
      <c r="Q172" s="36" t="s">
        <v>1978</v>
      </c>
      <c r="S172" s="1">
        <f t="shared" si="61"/>
        <v>0</v>
      </c>
      <c r="T172" s="1">
        <f t="shared" si="62"/>
        <v>0</v>
      </c>
      <c r="U172" s="1">
        <f t="shared" si="63"/>
        <v>0</v>
      </c>
      <c r="V172" s="1">
        <f t="shared" si="64"/>
        <v>0</v>
      </c>
      <c r="W172" s="1">
        <f t="shared" si="65"/>
        <v>0</v>
      </c>
      <c r="X172" s="1">
        <f t="shared" si="66"/>
        <v>0</v>
      </c>
      <c r="Y172" s="1">
        <f t="shared" si="67"/>
        <v>0</v>
      </c>
      <c r="Z172" s="1">
        <f t="shared" si="68"/>
        <v>0</v>
      </c>
      <c r="AA172" s="1">
        <f t="shared" si="69"/>
        <v>0</v>
      </c>
      <c r="AB172" s="1">
        <f t="shared" si="70"/>
        <v>0</v>
      </c>
      <c r="AD172" s="1">
        <f t="shared" si="71"/>
        <v>1</v>
      </c>
      <c r="AE172" s="1">
        <f t="shared" si="72"/>
        <v>0</v>
      </c>
      <c r="AF172" s="1">
        <f t="shared" si="73"/>
        <v>1</v>
      </c>
      <c r="AG172" s="1">
        <f t="shared" si="74"/>
        <v>0</v>
      </c>
      <c r="AH172" s="1">
        <f t="shared" si="75"/>
        <v>1</v>
      </c>
      <c r="AI172" s="1">
        <f t="shared" si="76"/>
        <v>0</v>
      </c>
    </row>
    <row r="173" spans="1:35" ht="14.25" customHeight="1" x14ac:dyDescent="0.25">
      <c r="A173" s="15">
        <v>0</v>
      </c>
      <c r="B173" s="15">
        <v>1</v>
      </c>
      <c r="C173" s="15">
        <v>3</v>
      </c>
      <c r="D173" s="16" t="s">
        <v>734</v>
      </c>
      <c r="E173" s="16" t="s">
        <v>169</v>
      </c>
      <c r="F173" s="16" t="s">
        <v>735</v>
      </c>
      <c r="G173" s="16" t="s">
        <v>39</v>
      </c>
      <c r="H173" s="16" t="s">
        <v>736</v>
      </c>
      <c r="I173" s="15" t="s">
        <v>737</v>
      </c>
      <c r="J173" s="15">
        <v>17</v>
      </c>
      <c r="K173" s="10" t="s">
        <v>694</v>
      </c>
      <c r="L173" s="10" t="s">
        <v>688</v>
      </c>
      <c r="M173" s="19" t="s">
        <v>947</v>
      </c>
      <c r="N173" s="17"/>
      <c r="Q173" s="16"/>
      <c r="S173" s="1">
        <f t="shared" si="61"/>
        <v>0</v>
      </c>
      <c r="T173" s="1">
        <f t="shared" si="62"/>
        <v>0</v>
      </c>
      <c r="U173" s="1">
        <f t="shared" si="63"/>
        <v>0</v>
      </c>
      <c r="V173" s="1">
        <f t="shared" si="64"/>
        <v>0</v>
      </c>
      <c r="W173" s="1">
        <f t="shared" si="65"/>
        <v>0</v>
      </c>
      <c r="X173" s="1">
        <f t="shared" si="66"/>
        <v>0</v>
      </c>
      <c r="Y173" s="1">
        <f t="shared" si="67"/>
        <v>0</v>
      </c>
      <c r="Z173" s="1">
        <f t="shared" si="68"/>
        <v>0</v>
      </c>
      <c r="AA173" s="1">
        <f t="shared" si="69"/>
        <v>0</v>
      </c>
      <c r="AB173" s="1">
        <f t="shared" si="70"/>
        <v>0</v>
      </c>
      <c r="AD173" s="1">
        <f t="shared" si="71"/>
        <v>0</v>
      </c>
      <c r="AE173" s="1">
        <f t="shared" si="72"/>
        <v>0</v>
      </c>
      <c r="AF173" s="1">
        <f t="shared" si="73"/>
        <v>0</v>
      </c>
      <c r="AG173" s="1">
        <f t="shared" si="74"/>
        <v>0</v>
      </c>
      <c r="AH173" s="1">
        <f t="shared" si="75"/>
        <v>0</v>
      </c>
      <c r="AI173" s="1">
        <f t="shared" si="76"/>
        <v>1</v>
      </c>
    </row>
    <row r="174" spans="1:35" ht="14.25" customHeight="1" x14ac:dyDescent="0.25">
      <c r="A174" s="15">
        <v>0</v>
      </c>
      <c r="B174" s="15">
        <v>1</v>
      </c>
      <c r="C174" s="15">
        <v>3</v>
      </c>
      <c r="D174" s="20" t="s">
        <v>1886</v>
      </c>
      <c r="E174" s="20" t="s">
        <v>171</v>
      </c>
      <c r="F174" s="20" t="s">
        <v>1896</v>
      </c>
      <c r="G174" s="20"/>
      <c r="H174" s="20" t="s">
        <v>1897</v>
      </c>
      <c r="I174" s="21" t="s">
        <v>1898</v>
      </c>
      <c r="J174" s="15">
        <v>16</v>
      </c>
      <c r="K174" s="10" t="s">
        <v>694</v>
      </c>
      <c r="L174" s="10" t="s">
        <v>688</v>
      </c>
      <c r="M174" s="19" t="s">
        <v>947</v>
      </c>
      <c r="N174" s="17"/>
      <c r="Q174" s="20" t="s">
        <v>1895</v>
      </c>
      <c r="S174" s="1">
        <f t="shared" si="61"/>
        <v>0</v>
      </c>
      <c r="T174" s="1">
        <f t="shared" si="62"/>
        <v>0</v>
      </c>
      <c r="U174" s="1">
        <f t="shared" si="63"/>
        <v>0</v>
      </c>
      <c r="V174" s="1">
        <f t="shared" si="64"/>
        <v>0</v>
      </c>
      <c r="W174" s="1">
        <f t="shared" si="65"/>
        <v>0</v>
      </c>
      <c r="X174" s="1">
        <f t="shared" si="66"/>
        <v>0</v>
      </c>
      <c r="Y174" s="1">
        <f t="shared" si="67"/>
        <v>0</v>
      </c>
      <c r="Z174" s="1">
        <f t="shared" si="68"/>
        <v>0</v>
      </c>
      <c r="AA174" s="1">
        <f t="shared" si="69"/>
        <v>0</v>
      </c>
      <c r="AB174" s="1">
        <f t="shared" si="70"/>
        <v>0</v>
      </c>
      <c r="AD174" s="1">
        <f t="shared" ref="AD174:AD176" si="83">+O174*P174</f>
        <v>0</v>
      </c>
      <c r="AE174" s="1">
        <f t="shared" ref="AE174:AE176" si="84">O174*(1-P174)</f>
        <v>0</v>
      </c>
      <c r="AF174" s="1">
        <f t="shared" si="73"/>
        <v>0</v>
      </c>
      <c r="AG174" s="1">
        <f t="shared" si="74"/>
        <v>0</v>
      </c>
      <c r="AH174" s="1">
        <f t="shared" si="75"/>
        <v>0</v>
      </c>
      <c r="AI174" s="1">
        <f t="shared" si="76"/>
        <v>1</v>
      </c>
    </row>
    <row r="175" spans="1:35" ht="14.25" customHeight="1" x14ac:dyDescent="0.25">
      <c r="A175" s="31">
        <v>0</v>
      </c>
      <c r="B175" s="31">
        <v>1</v>
      </c>
      <c r="C175" s="31">
        <v>3</v>
      </c>
      <c r="D175" s="32" t="s">
        <v>2132</v>
      </c>
      <c r="E175" s="32" t="s">
        <v>171</v>
      </c>
      <c r="F175" s="32" t="s">
        <v>2133</v>
      </c>
      <c r="G175" s="32"/>
      <c r="H175" s="32" t="s">
        <v>373</v>
      </c>
      <c r="I175" s="31" t="s">
        <v>2134</v>
      </c>
      <c r="J175" s="31">
        <v>12</v>
      </c>
      <c r="K175" s="33" t="s">
        <v>694</v>
      </c>
      <c r="L175" s="33">
        <v>40</v>
      </c>
      <c r="M175" s="34" t="s">
        <v>947</v>
      </c>
      <c r="N175" s="34" t="s">
        <v>1687</v>
      </c>
      <c r="O175" s="35">
        <v>1</v>
      </c>
      <c r="P175" s="35">
        <v>1</v>
      </c>
      <c r="Q175" s="36" t="s">
        <v>2135</v>
      </c>
      <c r="S175" s="1">
        <f t="shared" si="61"/>
        <v>0</v>
      </c>
      <c r="T175" s="1">
        <f t="shared" si="62"/>
        <v>0</v>
      </c>
      <c r="U175" s="1">
        <f t="shared" si="63"/>
        <v>0</v>
      </c>
      <c r="V175" s="1">
        <f t="shared" si="64"/>
        <v>0</v>
      </c>
      <c r="W175" s="1">
        <f t="shared" si="65"/>
        <v>0</v>
      </c>
      <c r="X175" s="1">
        <f t="shared" si="66"/>
        <v>0</v>
      </c>
      <c r="Y175" s="1">
        <f t="shared" si="67"/>
        <v>0</v>
      </c>
      <c r="Z175" s="1">
        <f t="shared" si="68"/>
        <v>0</v>
      </c>
      <c r="AA175" s="1">
        <f t="shared" si="69"/>
        <v>0</v>
      </c>
      <c r="AB175" s="1">
        <f t="shared" si="70"/>
        <v>0</v>
      </c>
      <c r="AD175" s="1">
        <f t="shared" si="83"/>
        <v>1</v>
      </c>
      <c r="AE175" s="1">
        <f t="shared" si="84"/>
        <v>0</v>
      </c>
      <c r="AF175" s="1">
        <f t="shared" si="73"/>
        <v>1</v>
      </c>
      <c r="AG175" s="1">
        <f t="shared" si="74"/>
        <v>0</v>
      </c>
      <c r="AH175" s="1">
        <f t="shared" si="75"/>
        <v>1</v>
      </c>
      <c r="AI175" s="1">
        <f t="shared" si="76"/>
        <v>0</v>
      </c>
    </row>
    <row r="176" spans="1:35" ht="14.25" customHeight="1" x14ac:dyDescent="0.25">
      <c r="A176" s="31">
        <v>0</v>
      </c>
      <c r="B176" s="31">
        <v>1</v>
      </c>
      <c r="C176" s="31">
        <v>3</v>
      </c>
      <c r="D176" s="32" t="s">
        <v>814</v>
      </c>
      <c r="E176" s="32" t="s">
        <v>892</v>
      </c>
      <c r="F176" s="32" t="s">
        <v>815</v>
      </c>
      <c r="G176" s="32" t="s">
        <v>207</v>
      </c>
      <c r="H176" s="32" t="s">
        <v>352</v>
      </c>
      <c r="I176" s="37" t="s">
        <v>816</v>
      </c>
      <c r="J176" s="31">
        <v>3</v>
      </c>
      <c r="K176" s="33" t="s">
        <v>713</v>
      </c>
      <c r="L176" s="33" t="s">
        <v>684</v>
      </c>
      <c r="M176" s="34" t="s">
        <v>689</v>
      </c>
      <c r="N176" s="34" t="s">
        <v>1733</v>
      </c>
      <c r="O176" s="35">
        <v>1</v>
      </c>
      <c r="P176" s="35"/>
      <c r="Q176" s="36"/>
      <c r="S176" s="1">
        <f t="shared" si="61"/>
        <v>0</v>
      </c>
      <c r="T176" s="1">
        <f t="shared" si="62"/>
        <v>0</v>
      </c>
      <c r="U176" s="1">
        <f t="shared" si="63"/>
        <v>1</v>
      </c>
      <c r="V176" s="1">
        <f t="shared" si="64"/>
        <v>0</v>
      </c>
      <c r="W176" s="1">
        <f t="shared" si="65"/>
        <v>0</v>
      </c>
      <c r="X176" s="1">
        <f t="shared" si="66"/>
        <v>0</v>
      </c>
      <c r="Y176" s="1">
        <f t="shared" si="67"/>
        <v>0</v>
      </c>
      <c r="Z176" s="1">
        <f t="shared" si="68"/>
        <v>0</v>
      </c>
      <c r="AA176" s="1">
        <f t="shared" si="69"/>
        <v>0</v>
      </c>
      <c r="AB176" s="1">
        <f t="shared" si="70"/>
        <v>0</v>
      </c>
      <c r="AD176" s="1">
        <f t="shared" si="83"/>
        <v>0</v>
      </c>
      <c r="AE176" s="1">
        <f t="shared" si="84"/>
        <v>1</v>
      </c>
      <c r="AF176" s="1">
        <f t="shared" si="73"/>
        <v>0</v>
      </c>
      <c r="AG176" s="1">
        <f t="shared" si="74"/>
        <v>1</v>
      </c>
      <c r="AH176" s="1">
        <f t="shared" si="75"/>
        <v>0</v>
      </c>
      <c r="AI176" s="1">
        <f t="shared" si="76"/>
        <v>1</v>
      </c>
    </row>
    <row r="177" spans="1:35" ht="14.25" customHeight="1" x14ac:dyDescent="0.25">
      <c r="A177" s="31">
        <v>0</v>
      </c>
      <c r="B177" s="31">
        <v>1</v>
      </c>
      <c r="C177" s="31">
        <v>3</v>
      </c>
      <c r="D177" s="32" t="s">
        <v>2050</v>
      </c>
      <c r="E177" s="32" t="s">
        <v>174</v>
      </c>
      <c r="F177" s="32" t="s">
        <v>2051</v>
      </c>
      <c r="G177" s="32"/>
      <c r="H177" s="32" t="s">
        <v>2052</v>
      </c>
      <c r="I177" s="37" t="s">
        <v>2053</v>
      </c>
      <c r="J177" s="31">
        <v>16</v>
      </c>
      <c r="K177" s="33" t="s">
        <v>694</v>
      </c>
      <c r="L177" s="33"/>
      <c r="M177" s="34"/>
      <c r="N177" s="34" t="s">
        <v>1681</v>
      </c>
      <c r="O177" s="35">
        <v>1</v>
      </c>
      <c r="P177" s="35">
        <v>1</v>
      </c>
      <c r="Q177" s="36" t="s">
        <v>2054</v>
      </c>
      <c r="S177" s="1">
        <f t="shared" si="61"/>
        <v>0</v>
      </c>
      <c r="T177" s="1">
        <f t="shared" si="62"/>
        <v>0</v>
      </c>
      <c r="U177" s="1">
        <f t="shared" si="63"/>
        <v>0</v>
      </c>
      <c r="V177" s="1">
        <f t="shared" si="64"/>
        <v>0</v>
      </c>
      <c r="W177" s="1">
        <f t="shared" si="65"/>
        <v>0</v>
      </c>
      <c r="X177" s="1">
        <f t="shared" si="66"/>
        <v>0</v>
      </c>
      <c r="Y177" s="1">
        <f t="shared" si="67"/>
        <v>0</v>
      </c>
      <c r="Z177" s="1">
        <f t="shared" si="68"/>
        <v>0</v>
      </c>
      <c r="AA177" s="1">
        <f t="shared" si="69"/>
        <v>0</v>
      </c>
      <c r="AB177" s="1">
        <f t="shared" si="70"/>
        <v>0</v>
      </c>
      <c r="AD177" s="1">
        <f t="shared" si="71"/>
        <v>1</v>
      </c>
      <c r="AE177" s="1">
        <f t="shared" si="72"/>
        <v>0</v>
      </c>
      <c r="AF177" s="1">
        <f t="shared" si="73"/>
        <v>1</v>
      </c>
      <c r="AG177" s="1">
        <f t="shared" si="74"/>
        <v>0</v>
      </c>
      <c r="AH177" s="1">
        <f t="shared" si="75"/>
        <v>1</v>
      </c>
      <c r="AI177" s="1">
        <f t="shared" si="76"/>
        <v>0</v>
      </c>
    </row>
    <row r="178" spans="1:35" ht="14.25" customHeight="1" x14ac:dyDescent="0.25">
      <c r="A178" s="31">
        <v>0</v>
      </c>
      <c r="B178" s="31">
        <v>1</v>
      </c>
      <c r="C178" s="31">
        <v>3</v>
      </c>
      <c r="D178" s="32" t="s">
        <v>1891</v>
      </c>
      <c r="E178" s="32" t="s">
        <v>171</v>
      </c>
      <c r="F178" s="32" t="s">
        <v>1893</v>
      </c>
      <c r="G178" s="32"/>
      <c r="H178" s="32" t="s">
        <v>1894</v>
      </c>
      <c r="I178" s="37" t="s">
        <v>1892</v>
      </c>
      <c r="J178" s="31">
        <v>16</v>
      </c>
      <c r="K178" s="33" t="s">
        <v>694</v>
      </c>
      <c r="L178" s="33" t="s">
        <v>688</v>
      </c>
      <c r="M178" s="34" t="s">
        <v>947</v>
      </c>
      <c r="N178" s="34" t="s">
        <v>1693</v>
      </c>
      <c r="O178" s="35">
        <v>1</v>
      </c>
      <c r="P178" s="35"/>
      <c r="Q178" s="36" t="s">
        <v>1899</v>
      </c>
      <c r="S178" s="1">
        <f t="shared" si="61"/>
        <v>0</v>
      </c>
      <c r="T178" s="1">
        <f t="shared" si="62"/>
        <v>0</v>
      </c>
      <c r="U178" s="1">
        <f t="shared" si="63"/>
        <v>0</v>
      </c>
      <c r="V178" s="1">
        <f t="shared" si="64"/>
        <v>0</v>
      </c>
      <c r="W178" s="1">
        <f t="shared" si="65"/>
        <v>0</v>
      </c>
      <c r="X178" s="1">
        <f t="shared" si="66"/>
        <v>0</v>
      </c>
      <c r="Y178" s="1">
        <f t="shared" si="67"/>
        <v>0</v>
      </c>
      <c r="Z178" s="1">
        <f t="shared" si="68"/>
        <v>0</v>
      </c>
      <c r="AA178" s="1">
        <f t="shared" si="69"/>
        <v>0</v>
      </c>
      <c r="AB178" s="1">
        <f t="shared" si="70"/>
        <v>0</v>
      </c>
      <c r="AD178" s="1">
        <f t="shared" si="71"/>
        <v>0</v>
      </c>
      <c r="AE178" s="1">
        <f t="shared" si="72"/>
        <v>1</v>
      </c>
      <c r="AF178" s="1">
        <f t="shared" si="73"/>
        <v>0</v>
      </c>
      <c r="AG178" s="1">
        <f t="shared" si="74"/>
        <v>1</v>
      </c>
      <c r="AH178" s="1">
        <f t="shared" si="75"/>
        <v>0</v>
      </c>
      <c r="AI178" s="1">
        <f t="shared" si="76"/>
        <v>1</v>
      </c>
    </row>
    <row r="179" spans="1:35" ht="14.25" customHeight="1" x14ac:dyDescent="0.25">
      <c r="A179" s="31">
        <v>0</v>
      </c>
      <c r="B179" s="31">
        <v>1</v>
      </c>
      <c r="C179" s="31">
        <v>3</v>
      </c>
      <c r="D179" s="32" t="s">
        <v>1177</v>
      </c>
      <c r="E179" s="32" t="s">
        <v>171</v>
      </c>
      <c r="F179" s="32" t="s">
        <v>1179</v>
      </c>
      <c r="G179" s="32" t="s">
        <v>184</v>
      </c>
      <c r="H179" s="32" t="s">
        <v>352</v>
      </c>
      <c r="I179" s="31" t="s">
        <v>1178</v>
      </c>
      <c r="J179" s="31">
        <v>99</v>
      </c>
      <c r="K179" s="33" t="s">
        <v>934</v>
      </c>
      <c r="L179" s="33" t="s">
        <v>680</v>
      </c>
      <c r="M179" s="34" t="s">
        <v>947</v>
      </c>
      <c r="N179" s="34" t="s">
        <v>1694</v>
      </c>
      <c r="O179" s="35">
        <v>1</v>
      </c>
      <c r="P179" s="35"/>
      <c r="Q179" s="32"/>
      <c r="S179" s="1">
        <f t="shared" si="61"/>
        <v>0</v>
      </c>
      <c r="T179" s="1">
        <f t="shared" si="62"/>
        <v>0</v>
      </c>
      <c r="U179" s="1">
        <f t="shared" si="63"/>
        <v>0</v>
      </c>
      <c r="V179" s="1">
        <f t="shared" si="64"/>
        <v>0</v>
      </c>
      <c r="W179" s="1">
        <f t="shared" si="65"/>
        <v>0</v>
      </c>
      <c r="X179" s="1">
        <f t="shared" si="66"/>
        <v>0</v>
      </c>
      <c r="Y179" s="1">
        <f t="shared" si="67"/>
        <v>0</v>
      </c>
      <c r="Z179" s="1">
        <f t="shared" si="68"/>
        <v>0</v>
      </c>
      <c r="AA179" s="1">
        <f t="shared" si="69"/>
        <v>0</v>
      </c>
      <c r="AB179" s="1">
        <f t="shared" si="70"/>
        <v>0</v>
      </c>
      <c r="AD179" s="1">
        <f t="shared" si="71"/>
        <v>0</v>
      </c>
      <c r="AE179" s="1">
        <f t="shared" si="72"/>
        <v>1</v>
      </c>
      <c r="AF179" s="1">
        <f t="shared" si="73"/>
        <v>0</v>
      </c>
      <c r="AG179" s="1">
        <f t="shared" si="74"/>
        <v>1</v>
      </c>
      <c r="AH179" s="1">
        <f t="shared" si="75"/>
        <v>0</v>
      </c>
      <c r="AI179" s="1">
        <f t="shared" si="76"/>
        <v>1</v>
      </c>
    </row>
    <row r="180" spans="1:35" ht="14.25" customHeight="1" x14ac:dyDescent="0.25">
      <c r="A180" s="31">
        <v>0</v>
      </c>
      <c r="B180" s="31">
        <v>1</v>
      </c>
      <c r="C180" s="31">
        <v>3</v>
      </c>
      <c r="D180" s="32" t="s">
        <v>624</v>
      </c>
      <c r="E180" s="32" t="s">
        <v>169</v>
      </c>
      <c r="F180" s="32" t="s">
        <v>625</v>
      </c>
      <c r="G180" s="32" t="s">
        <v>193</v>
      </c>
      <c r="H180" s="32" t="s">
        <v>352</v>
      </c>
      <c r="I180" s="31" t="s">
        <v>626</v>
      </c>
      <c r="J180" s="31">
        <v>9</v>
      </c>
      <c r="K180" s="33" t="s">
        <v>933</v>
      </c>
      <c r="L180" s="33" t="s">
        <v>1653</v>
      </c>
      <c r="M180" s="34" t="s">
        <v>946</v>
      </c>
      <c r="N180" s="34" t="s">
        <v>1681</v>
      </c>
      <c r="O180" s="35">
        <v>1</v>
      </c>
      <c r="P180" s="35">
        <v>1</v>
      </c>
      <c r="Q180" s="32"/>
      <c r="S180" s="1">
        <f t="shared" si="61"/>
        <v>0</v>
      </c>
      <c r="T180" s="1">
        <f t="shared" si="62"/>
        <v>0</v>
      </c>
      <c r="U180" s="1">
        <f t="shared" si="63"/>
        <v>0</v>
      </c>
      <c r="V180" s="1">
        <f t="shared" si="64"/>
        <v>0</v>
      </c>
      <c r="W180" s="1">
        <f t="shared" si="65"/>
        <v>0</v>
      </c>
      <c r="X180" s="1">
        <f t="shared" si="66"/>
        <v>0</v>
      </c>
      <c r="Y180" s="1">
        <f t="shared" si="67"/>
        <v>0</v>
      </c>
      <c r="Z180" s="1">
        <f t="shared" si="68"/>
        <v>0</v>
      </c>
      <c r="AA180" s="1">
        <f t="shared" si="69"/>
        <v>1</v>
      </c>
      <c r="AB180" s="1">
        <f t="shared" si="70"/>
        <v>0</v>
      </c>
      <c r="AD180" s="1">
        <f t="shared" si="71"/>
        <v>1</v>
      </c>
      <c r="AE180" s="1">
        <f t="shared" si="72"/>
        <v>0</v>
      </c>
      <c r="AF180" s="1">
        <f t="shared" si="73"/>
        <v>1</v>
      </c>
      <c r="AG180" s="1">
        <f t="shared" si="74"/>
        <v>0</v>
      </c>
      <c r="AH180" s="1">
        <f t="shared" si="75"/>
        <v>1</v>
      </c>
      <c r="AI180" s="1">
        <f t="shared" si="76"/>
        <v>0</v>
      </c>
    </row>
    <row r="181" spans="1:35" ht="14.25" customHeight="1" x14ac:dyDescent="0.25">
      <c r="A181" s="31">
        <v>0</v>
      </c>
      <c r="B181" s="31">
        <v>1</v>
      </c>
      <c r="C181" s="31">
        <v>3</v>
      </c>
      <c r="D181" s="32" t="s">
        <v>131</v>
      </c>
      <c r="E181" s="32" t="s">
        <v>674</v>
      </c>
      <c r="F181" s="32" t="s">
        <v>332</v>
      </c>
      <c r="G181" s="32" t="s">
        <v>39</v>
      </c>
      <c r="H181" s="32" t="s">
        <v>360</v>
      </c>
      <c r="I181" s="31" t="s">
        <v>478</v>
      </c>
      <c r="J181" s="31">
        <v>12</v>
      </c>
      <c r="K181" s="33" t="s">
        <v>713</v>
      </c>
      <c r="L181" s="33">
        <v>35</v>
      </c>
      <c r="M181" s="34" t="s">
        <v>39</v>
      </c>
      <c r="N181" s="34" t="s">
        <v>1766</v>
      </c>
      <c r="O181" s="35">
        <v>1</v>
      </c>
      <c r="P181" s="35"/>
      <c r="Q181" s="32"/>
      <c r="S181" s="1">
        <f t="shared" si="61"/>
        <v>0</v>
      </c>
      <c r="T181" s="1">
        <f t="shared" si="62"/>
        <v>0</v>
      </c>
      <c r="U181" s="1">
        <f t="shared" si="63"/>
        <v>0</v>
      </c>
      <c r="V181" s="1">
        <f t="shared" si="64"/>
        <v>0</v>
      </c>
      <c r="W181" s="1">
        <f t="shared" si="65"/>
        <v>0</v>
      </c>
      <c r="X181" s="1">
        <f t="shared" si="66"/>
        <v>0</v>
      </c>
      <c r="Y181" s="1">
        <f t="shared" si="67"/>
        <v>0</v>
      </c>
      <c r="Z181" s="1">
        <f t="shared" si="68"/>
        <v>0</v>
      </c>
      <c r="AA181" s="1">
        <f t="shared" si="69"/>
        <v>0</v>
      </c>
      <c r="AB181" s="1">
        <f t="shared" si="70"/>
        <v>0</v>
      </c>
      <c r="AD181" s="1">
        <f t="shared" si="71"/>
        <v>0</v>
      </c>
      <c r="AE181" s="1">
        <f t="shared" si="72"/>
        <v>1</v>
      </c>
      <c r="AF181" s="1">
        <f t="shared" si="73"/>
        <v>0</v>
      </c>
      <c r="AG181" s="1">
        <f t="shared" si="74"/>
        <v>1</v>
      </c>
      <c r="AH181" s="1">
        <f t="shared" si="75"/>
        <v>0</v>
      </c>
      <c r="AI181" s="1">
        <f t="shared" si="76"/>
        <v>1</v>
      </c>
    </row>
    <row r="182" spans="1:35" ht="14.25" customHeight="1" x14ac:dyDescent="0.25">
      <c r="A182" s="15">
        <v>0</v>
      </c>
      <c r="B182" s="15">
        <v>1</v>
      </c>
      <c r="C182" s="15">
        <v>3</v>
      </c>
      <c r="D182" s="16" t="s">
        <v>806</v>
      </c>
      <c r="E182" s="16" t="s">
        <v>171</v>
      </c>
      <c r="F182" s="16" t="s">
        <v>807</v>
      </c>
      <c r="G182" s="16" t="s">
        <v>39</v>
      </c>
      <c r="H182" s="16" t="s">
        <v>373</v>
      </c>
      <c r="I182" s="15" t="s">
        <v>805</v>
      </c>
      <c r="J182" s="15">
        <v>12</v>
      </c>
      <c r="K182" s="10" t="s">
        <v>694</v>
      </c>
      <c r="L182" s="10">
        <v>40</v>
      </c>
      <c r="M182" s="19" t="s">
        <v>946</v>
      </c>
      <c r="N182" s="19"/>
      <c r="Q182" s="16"/>
      <c r="S182" s="1">
        <f t="shared" si="61"/>
        <v>0</v>
      </c>
      <c r="T182" s="1">
        <f t="shared" si="62"/>
        <v>0</v>
      </c>
      <c r="U182" s="1">
        <f t="shared" si="63"/>
        <v>0</v>
      </c>
      <c r="V182" s="1">
        <f t="shared" si="64"/>
        <v>0</v>
      </c>
      <c r="W182" s="1">
        <f t="shared" si="65"/>
        <v>0</v>
      </c>
      <c r="X182" s="1">
        <f t="shared" si="66"/>
        <v>0</v>
      </c>
      <c r="Y182" s="1">
        <f t="shared" si="67"/>
        <v>0</v>
      </c>
      <c r="Z182" s="1">
        <f t="shared" si="68"/>
        <v>0</v>
      </c>
      <c r="AA182" s="1">
        <f t="shared" si="69"/>
        <v>0</v>
      </c>
      <c r="AB182" s="1">
        <f t="shared" si="70"/>
        <v>0</v>
      </c>
      <c r="AD182" s="1">
        <f t="shared" si="71"/>
        <v>0</v>
      </c>
      <c r="AE182" s="1">
        <f t="shared" si="72"/>
        <v>0</v>
      </c>
      <c r="AF182" s="1">
        <f t="shared" si="73"/>
        <v>0</v>
      </c>
      <c r="AG182" s="1">
        <f t="shared" si="74"/>
        <v>0</v>
      </c>
      <c r="AH182" s="1">
        <f t="shared" si="75"/>
        <v>0</v>
      </c>
      <c r="AI182" s="1">
        <f t="shared" si="76"/>
        <v>1</v>
      </c>
    </row>
    <row r="183" spans="1:35" ht="14.25" customHeight="1" x14ac:dyDescent="0.25">
      <c r="A183" s="31">
        <v>0</v>
      </c>
      <c r="B183" s="31">
        <v>1</v>
      </c>
      <c r="C183" s="31">
        <v>3</v>
      </c>
      <c r="D183" s="32" t="s">
        <v>141</v>
      </c>
      <c r="E183" s="32" t="s">
        <v>171</v>
      </c>
      <c r="F183" s="32" t="s">
        <v>341</v>
      </c>
      <c r="G183" s="32" t="s">
        <v>39</v>
      </c>
      <c r="H183" s="32" t="s">
        <v>375</v>
      </c>
      <c r="I183" s="31" t="s">
        <v>487</v>
      </c>
      <c r="J183" s="31">
        <v>15</v>
      </c>
      <c r="K183" s="33" t="s">
        <v>693</v>
      </c>
      <c r="L183" s="33" t="s">
        <v>683</v>
      </c>
      <c r="M183" s="34" t="s">
        <v>682</v>
      </c>
      <c r="N183" s="34" t="s">
        <v>1687</v>
      </c>
      <c r="O183" s="35">
        <v>1</v>
      </c>
      <c r="P183" s="35">
        <v>1</v>
      </c>
      <c r="Q183" s="36" t="s">
        <v>1831</v>
      </c>
      <c r="S183" s="1">
        <f t="shared" si="61"/>
        <v>0</v>
      </c>
      <c r="T183" s="1">
        <f t="shared" si="62"/>
        <v>0</v>
      </c>
      <c r="U183" s="1">
        <f t="shared" si="63"/>
        <v>0</v>
      </c>
      <c r="V183" s="1">
        <f t="shared" si="64"/>
        <v>0</v>
      </c>
      <c r="W183" s="1">
        <f t="shared" si="65"/>
        <v>0</v>
      </c>
      <c r="X183" s="1">
        <f t="shared" si="66"/>
        <v>0</v>
      </c>
      <c r="Y183" s="1">
        <f t="shared" si="67"/>
        <v>0</v>
      </c>
      <c r="Z183" s="1">
        <f t="shared" si="68"/>
        <v>0</v>
      </c>
      <c r="AA183" s="1">
        <f t="shared" si="69"/>
        <v>0</v>
      </c>
      <c r="AB183" s="1">
        <f t="shared" si="70"/>
        <v>0</v>
      </c>
      <c r="AD183" s="1">
        <f t="shared" si="71"/>
        <v>1</v>
      </c>
      <c r="AE183" s="1">
        <f t="shared" si="72"/>
        <v>0</v>
      </c>
      <c r="AF183" s="1">
        <f t="shared" si="73"/>
        <v>1</v>
      </c>
      <c r="AG183" s="1">
        <f t="shared" si="74"/>
        <v>0</v>
      </c>
      <c r="AH183" s="1">
        <f t="shared" si="75"/>
        <v>1</v>
      </c>
      <c r="AI183" s="1">
        <f t="shared" si="76"/>
        <v>0</v>
      </c>
    </row>
    <row r="184" spans="1:35" ht="14.25" customHeight="1" x14ac:dyDescent="0.25">
      <c r="A184" s="31">
        <v>0</v>
      </c>
      <c r="B184" s="31">
        <v>1</v>
      </c>
      <c r="C184" s="31">
        <v>3</v>
      </c>
      <c r="D184" s="36" t="s">
        <v>1782</v>
      </c>
      <c r="E184" s="32" t="s">
        <v>1063</v>
      </c>
      <c r="F184" s="32" t="s">
        <v>1767</v>
      </c>
      <c r="G184" s="32"/>
      <c r="H184" s="32" t="s">
        <v>370</v>
      </c>
      <c r="I184" s="31" t="s">
        <v>1768</v>
      </c>
      <c r="J184" s="31">
        <v>16</v>
      </c>
      <c r="K184" s="33" t="s">
        <v>694</v>
      </c>
      <c r="L184" s="33"/>
      <c r="M184" s="34"/>
      <c r="N184" s="34" t="s">
        <v>1681</v>
      </c>
      <c r="O184" s="35">
        <v>1</v>
      </c>
      <c r="P184" s="35">
        <v>1</v>
      </c>
      <c r="Q184" s="32"/>
      <c r="S184" s="1">
        <f t="shared" si="61"/>
        <v>0</v>
      </c>
      <c r="T184" s="1">
        <f t="shared" si="62"/>
        <v>0</v>
      </c>
      <c r="U184" s="1">
        <f t="shared" si="63"/>
        <v>0</v>
      </c>
      <c r="V184" s="1">
        <f t="shared" si="64"/>
        <v>0</v>
      </c>
      <c r="W184" s="1">
        <f t="shared" si="65"/>
        <v>0</v>
      </c>
      <c r="X184" s="1">
        <f t="shared" si="66"/>
        <v>0</v>
      </c>
      <c r="Y184" s="1">
        <f t="shared" si="67"/>
        <v>0</v>
      </c>
      <c r="Z184" s="1">
        <f t="shared" si="68"/>
        <v>0</v>
      </c>
      <c r="AA184" s="1">
        <f t="shared" si="69"/>
        <v>0</v>
      </c>
      <c r="AB184" s="1">
        <f t="shared" si="70"/>
        <v>0</v>
      </c>
      <c r="AD184" s="1">
        <f t="shared" si="71"/>
        <v>1</v>
      </c>
      <c r="AE184" s="1">
        <f t="shared" si="72"/>
        <v>0</v>
      </c>
      <c r="AF184" s="1">
        <f t="shared" si="73"/>
        <v>1</v>
      </c>
      <c r="AG184" s="1">
        <f t="shared" si="74"/>
        <v>0</v>
      </c>
      <c r="AH184" s="1">
        <f t="shared" si="75"/>
        <v>1</v>
      </c>
      <c r="AI184" s="1">
        <f t="shared" si="76"/>
        <v>0</v>
      </c>
    </row>
    <row r="185" spans="1:35" ht="14.25" customHeight="1" x14ac:dyDescent="0.25">
      <c r="A185" s="31">
        <v>0</v>
      </c>
      <c r="B185" s="31">
        <v>1</v>
      </c>
      <c r="C185" s="31">
        <v>3</v>
      </c>
      <c r="D185" s="32" t="s">
        <v>955</v>
      </c>
      <c r="E185" s="32" t="s">
        <v>602</v>
      </c>
      <c r="F185" s="32" t="s">
        <v>956</v>
      </c>
      <c r="G185" s="32" t="s">
        <v>202</v>
      </c>
      <c r="H185" s="32" t="s">
        <v>352</v>
      </c>
      <c r="I185" s="31" t="s">
        <v>957</v>
      </c>
      <c r="J185" s="31">
        <v>99</v>
      </c>
      <c r="K185" s="33" t="s">
        <v>932</v>
      </c>
      <c r="L185" s="33" t="s">
        <v>39</v>
      </c>
      <c r="M185" s="34" t="s">
        <v>39</v>
      </c>
      <c r="N185" s="34" t="s">
        <v>1681</v>
      </c>
      <c r="O185" s="35">
        <v>1</v>
      </c>
      <c r="P185" s="35">
        <v>1</v>
      </c>
      <c r="Q185" s="32"/>
      <c r="S185" s="1">
        <f t="shared" si="61"/>
        <v>0</v>
      </c>
      <c r="T185" s="1">
        <f t="shared" si="62"/>
        <v>0</v>
      </c>
      <c r="U185" s="1">
        <f t="shared" si="63"/>
        <v>0</v>
      </c>
      <c r="V185" s="1">
        <f t="shared" si="64"/>
        <v>0</v>
      </c>
      <c r="W185" s="1">
        <f t="shared" si="65"/>
        <v>0</v>
      </c>
      <c r="X185" s="1">
        <f t="shared" si="66"/>
        <v>0</v>
      </c>
      <c r="Y185" s="1">
        <f t="shared" si="67"/>
        <v>0</v>
      </c>
      <c r="Z185" s="1">
        <f t="shared" si="68"/>
        <v>0</v>
      </c>
      <c r="AA185" s="1">
        <f t="shared" si="69"/>
        <v>0</v>
      </c>
      <c r="AB185" s="1">
        <f t="shared" si="70"/>
        <v>0</v>
      </c>
      <c r="AD185" s="1">
        <f t="shared" si="71"/>
        <v>1</v>
      </c>
      <c r="AE185" s="1">
        <f t="shared" si="72"/>
        <v>0</v>
      </c>
      <c r="AF185" s="1">
        <f t="shared" si="73"/>
        <v>1</v>
      </c>
      <c r="AG185" s="1">
        <f t="shared" si="74"/>
        <v>0</v>
      </c>
      <c r="AH185" s="1">
        <f t="shared" si="75"/>
        <v>1</v>
      </c>
      <c r="AI185" s="1">
        <f t="shared" si="76"/>
        <v>0</v>
      </c>
    </row>
    <row r="186" spans="1:35" ht="14.25" customHeight="1" x14ac:dyDescent="0.25">
      <c r="A186" s="31">
        <v>0</v>
      </c>
      <c r="B186" s="31">
        <v>1</v>
      </c>
      <c r="C186" s="31">
        <v>3</v>
      </c>
      <c r="D186" s="32" t="s">
        <v>148</v>
      </c>
      <c r="E186" s="32" t="s">
        <v>171</v>
      </c>
      <c r="F186" s="32" t="s">
        <v>348</v>
      </c>
      <c r="G186" s="32" t="s">
        <v>39</v>
      </c>
      <c r="H186" s="32" t="s">
        <v>378</v>
      </c>
      <c r="I186" s="31" t="s">
        <v>493</v>
      </c>
      <c r="J186" s="31">
        <v>14</v>
      </c>
      <c r="K186" s="33" t="s">
        <v>940</v>
      </c>
      <c r="L186" s="33" t="s">
        <v>39</v>
      </c>
      <c r="M186" s="34" t="s">
        <v>39</v>
      </c>
      <c r="N186" s="34" t="s">
        <v>1687</v>
      </c>
      <c r="O186" s="35">
        <v>1</v>
      </c>
      <c r="P186" s="35">
        <v>1</v>
      </c>
      <c r="Q186" s="32"/>
      <c r="S186" s="1">
        <f t="shared" si="61"/>
        <v>0</v>
      </c>
      <c r="T186" s="1">
        <f t="shared" si="62"/>
        <v>0</v>
      </c>
      <c r="U186" s="1">
        <f t="shared" si="63"/>
        <v>0</v>
      </c>
      <c r="V186" s="1">
        <f t="shared" si="64"/>
        <v>0</v>
      </c>
      <c r="W186" s="1">
        <f t="shared" si="65"/>
        <v>0</v>
      </c>
      <c r="X186" s="1">
        <f t="shared" si="66"/>
        <v>0</v>
      </c>
      <c r="Y186" s="1">
        <f t="shared" si="67"/>
        <v>0</v>
      </c>
      <c r="Z186" s="1">
        <f t="shared" si="68"/>
        <v>0</v>
      </c>
      <c r="AA186" s="1">
        <f t="shared" si="69"/>
        <v>0</v>
      </c>
      <c r="AB186" s="1">
        <f t="shared" si="70"/>
        <v>0</v>
      </c>
      <c r="AD186" s="1">
        <f t="shared" si="71"/>
        <v>1</v>
      </c>
      <c r="AE186" s="1">
        <f t="shared" si="72"/>
        <v>0</v>
      </c>
      <c r="AF186" s="1">
        <f t="shared" si="73"/>
        <v>1</v>
      </c>
      <c r="AG186" s="1">
        <f t="shared" si="74"/>
        <v>0</v>
      </c>
      <c r="AH186" s="1">
        <f t="shared" si="75"/>
        <v>1</v>
      </c>
      <c r="AI186" s="1">
        <f t="shared" si="76"/>
        <v>0</v>
      </c>
    </row>
    <row r="187" spans="1:35" ht="14.25" customHeight="1" x14ac:dyDescent="0.25">
      <c r="A187" s="31">
        <v>0</v>
      </c>
      <c r="B187" s="31">
        <v>1</v>
      </c>
      <c r="C187" s="31">
        <v>3</v>
      </c>
      <c r="D187" s="36" t="s">
        <v>2146</v>
      </c>
      <c r="E187" s="32"/>
      <c r="F187" s="36" t="s">
        <v>2147</v>
      </c>
      <c r="G187" s="32"/>
      <c r="H187" s="36" t="s">
        <v>353</v>
      </c>
      <c r="I187" s="37" t="s">
        <v>2148</v>
      </c>
      <c r="J187" s="31">
        <v>11</v>
      </c>
      <c r="K187" s="33" t="s">
        <v>694</v>
      </c>
      <c r="L187" s="33"/>
      <c r="M187" s="34"/>
      <c r="N187" s="34" t="s">
        <v>1701</v>
      </c>
      <c r="O187" s="35">
        <v>1</v>
      </c>
      <c r="P187" s="35"/>
      <c r="Q187" s="32" t="s">
        <v>2149</v>
      </c>
      <c r="S187" s="1">
        <f t="shared" si="61"/>
        <v>0</v>
      </c>
      <c r="T187" s="1">
        <f t="shared" si="62"/>
        <v>0</v>
      </c>
      <c r="U187" s="1">
        <f t="shared" si="63"/>
        <v>0</v>
      </c>
      <c r="V187" s="1">
        <f t="shared" si="64"/>
        <v>0</v>
      </c>
      <c r="W187" s="1">
        <f t="shared" si="65"/>
        <v>0</v>
      </c>
      <c r="X187" s="1">
        <f t="shared" si="66"/>
        <v>0</v>
      </c>
      <c r="Y187" s="1">
        <f t="shared" si="67"/>
        <v>0</v>
      </c>
      <c r="Z187" s="1">
        <f t="shared" si="68"/>
        <v>0</v>
      </c>
      <c r="AA187" s="1">
        <f t="shared" si="69"/>
        <v>0</v>
      </c>
      <c r="AB187" s="1">
        <f t="shared" si="70"/>
        <v>0</v>
      </c>
      <c r="AD187" s="1">
        <f t="shared" ref="AD187:AD189" si="85">+O187*P187</f>
        <v>0</v>
      </c>
      <c r="AE187" s="1">
        <f t="shared" ref="AE187:AE189" si="86">O187*(1-P187)</f>
        <v>1</v>
      </c>
      <c r="AF187" s="1">
        <f t="shared" ref="AF187:AF189" si="87">+O187*P187*(1-A187)</f>
        <v>0</v>
      </c>
      <c r="AG187" s="1">
        <f t="shared" ref="AG187:AG189" si="88">O187*(1-P187)*(1-A187)</f>
        <v>1</v>
      </c>
      <c r="AH187" s="1">
        <f t="shared" ref="AH187:AH189" si="89">+P187*(1-A187)</f>
        <v>0</v>
      </c>
      <c r="AI187" s="1">
        <f t="shared" ref="AI187:AI189" si="90">+(1-A187)*(1-P187)</f>
        <v>1</v>
      </c>
    </row>
    <row r="188" spans="1:35" ht="14.25" customHeight="1" x14ac:dyDescent="0.25">
      <c r="A188" s="31">
        <v>0</v>
      </c>
      <c r="B188" s="31">
        <v>1</v>
      </c>
      <c r="C188" s="31">
        <v>3</v>
      </c>
      <c r="D188" s="32" t="s">
        <v>1924</v>
      </c>
      <c r="E188" s="32" t="s">
        <v>1925</v>
      </c>
      <c r="F188" s="32" t="s">
        <v>1926</v>
      </c>
      <c r="G188" s="32" t="s">
        <v>531</v>
      </c>
      <c r="H188" s="32" t="s">
        <v>352</v>
      </c>
      <c r="I188" s="31" t="s">
        <v>1927</v>
      </c>
      <c r="J188" s="31"/>
      <c r="K188" s="33" t="s">
        <v>694</v>
      </c>
      <c r="L188" s="33"/>
      <c r="M188" s="34"/>
      <c r="N188" s="34" t="s">
        <v>1687</v>
      </c>
      <c r="O188" s="35">
        <v>1</v>
      </c>
      <c r="P188" s="35">
        <v>1</v>
      </c>
      <c r="Q188" s="32"/>
      <c r="S188" s="1">
        <f t="shared" si="61"/>
        <v>0</v>
      </c>
      <c r="T188" s="1">
        <f t="shared" si="62"/>
        <v>0</v>
      </c>
      <c r="U188" s="1">
        <f t="shared" si="63"/>
        <v>0</v>
      </c>
      <c r="V188" s="1">
        <f t="shared" si="64"/>
        <v>0</v>
      </c>
      <c r="W188" s="1">
        <f t="shared" si="65"/>
        <v>0</v>
      </c>
      <c r="X188" s="1">
        <f t="shared" si="66"/>
        <v>0</v>
      </c>
      <c r="Y188" s="1">
        <f t="shared" si="67"/>
        <v>0</v>
      </c>
      <c r="Z188" s="1">
        <f t="shared" si="68"/>
        <v>0</v>
      </c>
      <c r="AA188" s="1">
        <f t="shared" si="69"/>
        <v>0</v>
      </c>
      <c r="AB188" s="1">
        <f t="shared" si="70"/>
        <v>0</v>
      </c>
      <c r="AD188" s="1">
        <f t="shared" si="85"/>
        <v>1</v>
      </c>
      <c r="AE188" s="1">
        <f t="shared" si="86"/>
        <v>0</v>
      </c>
      <c r="AF188" s="1">
        <f t="shared" si="87"/>
        <v>1</v>
      </c>
      <c r="AG188" s="1">
        <f t="shared" si="88"/>
        <v>0</v>
      </c>
      <c r="AH188" s="1">
        <f t="shared" si="89"/>
        <v>1</v>
      </c>
      <c r="AI188" s="1">
        <f t="shared" si="90"/>
        <v>0</v>
      </c>
    </row>
    <row r="189" spans="1:35" ht="14.25" customHeight="1" x14ac:dyDescent="0.25">
      <c r="A189" s="31">
        <v>0</v>
      </c>
      <c r="B189" s="31">
        <v>1</v>
      </c>
      <c r="C189" s="31">
        <v>3</v>
      </c>
      <c r="D189" s="32" t="s">
        <v>627</v>
      </c>
      <c r="E189" s="32" t="s">
        <v>171</v>
      </c>
      <c r="F189" s="32" t="s">
        <v>629</v>
      </c>
      <c r="G189" s="32" t="s">
        <v>237</v>
      </c>
      <c r="H189" s="32" t="s">
        <v>352</v>
      </c>
      <c r="I189" s="31" t="s">
        <v>628</v>
      </c>
      <c r="J189" s="31">
        <v>4</v>
      </c>
      <c r="K189" s="33" t="s">
        <v>932</v>
      </c>
      <c r="L189" s="33" t="s">
        <v>39</v>
      </c>
      <c r="M189" s="34" t="s">
        <v>39</v>
      </c>
      <c r="N189" s="34" t="s">
        <v>1687</v>
      </c>
      <c r="O189" s="35">
        <v>1</v>
      </c>
      <c r="P189" s="35">
        <v>1</v>
      </c>
      <c r="Q189" s="32"/>
      <c r="S189" s="1">
        <f t="shared" si="61"/>
        <v>0</v>
      </c>
      <c r="T189" s="1">
        <f t="shared" si="62"/>
        <v>0</v>
      </c>
      <c r="U189" s="1">
        <f t="shared" si="63"/>
        <v>0</v>
      </c>
      <c r="V189" s="1">
        <f t="shared" si="64"/>
        <v>1</v>
      </c>
      <c r="W189" s="1">
        <f t="shared" si="65"/>
        <v>0</v>
      </c>
      <c r="X189" s="1">
        <f t="shared" si="66"/>
        <v>0</v>
      </c>
      <c r="Y189" s="1">
        <f t="shared" si="67"/>
        <v>0</v>
      </c>
      <c r="Z189" s="1">
        <f t="shared" si="68"/>
        <v>0</v>
      </c>
      <c r="AA189" s="1">
        <f t="shared" si="69"/>
        <v>0</v>
      </c>
      <c r="AB189" s="1">
        <f t="shared" si="70"/>
        <v>0</v>
      </c>
      <c r="AD189" s="1">
        <f t="shared" si="85"/>
        <v>1</v>
      </c>
      <c r="AE189" s="1">
        <f t="shared" si="86"/>
        <v>0</v>
      </c>
      <c r="AF189" s="1">
        <f t="shared" si="87"/>
        <v>1</v>
      </c>
      <c r="AG189" s="1">
        <f t="shared" si="88"/>
        <v>0</v>
      </c>
      <c r="AH189" s="1">
        <f t="shared" si="89"/>
        <v>1</v>
      </c>
      <c r="AI189" s="1">
        <f t="shared" si="90"/>
        <v>0</v>
      </c>
    </row>
    <row r="190" spans="1:35" ht="14.25" customHeight="1" x14ac:dyDescent="0.25">
      <c r="A190" s="15">
        <v>0</v>
      </c>
      <c r="B190" s="15">
        <v>1</v>
      </c>
      <c r="C190" s="15">
        <v>3</v>
      </c>
      <c r="D190" s="16" t="s">
        <v>1484</v>
      </c>
      <c r="E190" s="16" t="s">
        <v>1063</v>
      </c>
      <c r="F190" s="16" t="s">
        <v>1485</v>
      </c>
      <c r="G190" s="16" t="s">
        <v>217</v>
      </c>
      <c r="H190" s="16" t="s">
        <v>352</v>
      </c>
      <c r="I190" s="15" t="s">
        <v>1486</v>
      </c>
      <c r="J190" s="15">
        <v>99</v>
      </c>
      <c r="K190" s="10" t="s">
        <v>694</v>
      </c>
      <c r="L190" s="10">
        <v>40</v>
      </c>
      <c r="M190" s="19" t="s">
        <v>946</v>
      </c>
      <c r="N190" s="19"/>
      <c r="Q190" s="16"/>
      <c r="S190" s="1">
        <f t="shared" si="61"/>
        <v>0</v>
      </c>
      <c r="T190" s="1">
        <f t="shared" si="62"/>
        <v>0</v>
      </c>
      <c r="U190" s="1">
        <f t="shared" si="63"/>
        <v>0</v>
      </c>
      <c r="V190" s="1">
        <f t="shared" si="64"/>
        <v>0</v>
      </c>
      <c r="W190" s="1">
        <f t="shared" si="65"/>
        <v>0</v>
      </c>
      <c r="X190" s="1">
        <f t="shared" si="66"/>
        <v>0</v>
      </c>
      <c r="Y190" s="1">
        <f t="shared" si="67"/>
        <v>0</v>
      </c>
      <c r="Z190" s="1">
        <f t="shared" si="68"/>
        <v>0</v>
      </c>
      <c r="AA190" s="1">
        <f t="shared" si="69"/>
        <v>0</v>
      </c>
      <c r="AB190" s="1">
        <f t="shared" si="70"/>
        <v>0</v>
      </c>
      <c r="AD190" s="1">
        <f t="shared" si="71"/>
        <v>0</v>
      </c>
      <c r="AE190" s="1">
        <f t="shared" si="72"/>
        <v>0</v>
      </c>
      <c r="AF190" s="1">
        <f t="shared" si="73"/>
        <v>0</v>
      </c>
      <c r="AG190" s="1">
        <f t="shared" si="74"/>
        <v>0</v>
      </c>
      <c r="AH190" s="1">
        <f t="shared" si="75"/>
        <v>0</v>
      </c>
      <c r="AI190" s="1">
        <f t="shared" si="76"/>
        <v>1</v>
      </c>
    </row>
    <row r="191" spans="1:35" ht="14.25" customHeight="1" x14ac:dyDescent="0.25">
      <c r="A191" s="31">
        <v>0</v>
      </c>
      <c r="B191" s="31">
        <v>1</v>
      </c>
      <c r="C191" s="31">
        <v>3</v>
      </c>
      <c r="D191" s="32" t="s">
        <v>101</v>
      </c>
      <c r="E191" s="32" t="s">
        <v>171</v>
      </c>
      <c r="F191" s="32" t="s">
        <v>297</v>
      </c>
      <c r="G191" s="32" t="s">
        <v>298</v>
      </c>
      <c r="H191" s="32" t="s">
        <v>352</v>
      </c>
      <c r="I191" s="31" t="s">
        <v>446</v>
      </c>
      <c r="J191" s="31">
        <v>99</v>
      </c>
      <c r="K191" s="33" t="s">
        <v>934</v>
      </c>
      <c r="L191" s="33" t="s">
        <v>684</v>
      </c>
      <c r="M191" s="34" t="s">
        <v>682</v>
      </c>
      <c r="N191" s="34" t="s">
        <v>1689</v>
      </c>
      <c r="O191" s="35">
        <v>1</v>
      </c>
      <c r="P191" s="35"/>
      <c r="Q191" s="32"/>
      <c r="S191" s="1">
        <f t="shared" si="61"/>
        <v>0</v>
      </c>
      <c r="T191" s="1">
        <f t="shared" si="62"/>
        <v>0</v>
      </c>
      <c r="U191" s="1">
        <f t="shared" si="63"/>
        <v>0</v>
      </c>
      <c r="V191" s="1">
        <f t="shared" si="64"/>
        <v>0</v>
      </c>
      <c r="W191" s="1">
        <f t="shared" si="65"/>
        <v>0</v>
      </c>
      <c r="X191" s="1">
        <f t="shared" si="66"/>
        <v>0</v>
      </c>
      <c r="Y191" s="1">
        <f t="shared" si="67"/>
        <v>0</v>
      </c>
      <c r="Z191" s="1">
        <f t="shared" si="68"/>
        <v>0</v>
      </c>
      <c r="AA191" s="1">
        <f t="shared" si="69"/>
        <v>0</v>
      </c>
      <c r="AB191" s="1">
        <f t="shared" si="70"/>
        <v>0</v>
      </c>
      <c r="AD191" s="1">
        <f t="shared" si="71"/>
        <v>0</v>
      </c>
      <c r="AE191" s="1">
        <f t="shared" si="72"/>
        <v>1</v>
      </c>
      <c r="AF191" s="1">
        <f t="shared" si="73"/>
        <v>0</v>
      </c>
      <c r="AG191" s="1">
        <f t="shared" si="74"/>
        <v>1</v>
      </c>
      <c r="AH191" s="1">
        <f t="shared" si="75"/>
        <v>0</v>
      </c>
      <c r="AI191" s="1">
        <f t="shared" si="76"/>
        <v>1</v>
      </c>
    </row>
    <row r="192" spans="1:35" ht="14.25" customHeight="1" x14ac:dyDescent="0.25">
      <c r="A192" s="31">
        <v>0</v>
      </c>
      <c r="B192" s="31">
        <v>1</v>
      </c>
      <c r="C192" s="31">
        <v>3</v>
      </c>
      <c r="D192" s="32" t="s">
        <v>966</v>
      </c>
      <c r="E192" s="32" t="s">
        <v>171</v>
      </c>
      <c r="F192" s="32" t="s">
        <v>969</v>
      </c>
      <c r="G192" s="32" t="s">
        <v>39</v>
      </c>
      <c r="H192" s="32" t="s">
        <v>968</v>
      </c>
      <c r="I192" s="31" t="s">
        <v>967</v>
      </c>
      <c r="J192" s="31">
        <v>14</v>
      </c>
      <c r="K192" s="33" t="s">
        <v>713</v>
      </c>
      <c r="L192" s="33" t="s">
        <v>685</v>
      </c>
      <c r="M192" s="34" t="s">
        <v>947</v>
      </c>
      <c r="N192" s="34" t="s">
        <v>1689</v>
      </c>
      <c r="O192" s="35">
        <v>1</v>
      </c>
      <c r="P192" s="35"/>
      <c r="Q192" s="32"/>
      <c r="S192" s="1">
        <f t="shared" si="61"/>
        <v>0</v>
      </c>
      <c r="T192" s="1">
        <f t="shared" si="62"/>
        <v>0</v>
      </c>
      <c r="U192" s="1">
        <f t="shared" si="63"/>
        <v>0</v>
      </c>
      <c r="V192" s="1">
        <f t="shared" si="64"/>
        <v>0</v>
      </c>
      <c r="W192" s="1">
        <f t="shared" si="65"/>
        <v>0</v>
      </c>
      <c r="X192" s="1">
        <f t="shared" si="66"/>
        <v>0</v>
      </c>
      <c r="Y192" s="1">
        <f t="shared" si="67"/>
        <v>0</v>
      </c>
      <c r="Z192" s="1">
        <f t="shared" si="68"/>
        <v>0</v>
      </c>
      <c r="AA192" s="1">
        <f t="shared" si="69"/>
        <v>0</v>
      </c>
      <c r="AB192" s="1">
        <f t="shared" si="70"/>
        <v>0</v>
      </c>
      <c r="AD192" s="1">
        <f t="shared" si="71"/>
        <v>0</v>
      </c>
      <c r="AE192" s="1">
        <f t="shared" si="72"/>
        <v>1</v>
      </c>
      <c r="AF192" s="1">
        <f t="shared" si="73"/>
        <v>0</v>
      </c>
      <c r="AG192" s="1">
        <f t="shared" si="74"/>
        <v>1</v>
      </c>
      <c r="AH192" s="1">
        <f t="shared" si="75"/>
        <v>0</v>
      </c>
      <c r="AI192" s="1">
        <f t="shared" si="76"/>
        <v>1</v>
      </c>
    </row>
    <row r="193" spans="1:35" ht="14.25" customHeight="1" x14ac:dyDescent="0.25">
      <c r="A193" s="46">
        <v>0</v>
      </c>
      <c r="B193" s="46">
        <v>1</v>
      </c>
      <c r="C193" s="46">
        <v>3</v>
      </c>
      <c r="D193" s="47" t="s">
        <v>1600</v>
      </c>
      <c r="E193" s="47" t="s">
        <v>171</v>
      </c>
      <c r="F193" s="47" t="s">
        <v>754</v>
      </c>
      <c r="G193" s="47" t="s">
        <v>39</v>
      </c>
      <c r="H193" s="47" t="s">
        <v>365</v>
      </c>
      <c r="I193" s="46" t="s">
        <v>762</v>
      </c>
      <c r="J193" s="46">
        <v>18</v>
      </c>
      <c r="K193" s="48" t="s">
        <v>1651</v>
      </c>
      <c r="L193" s="48" t="s">
        <v>39</v>
      </c>
      <c r="M193" s="49" t="s">
        <v>755</v>
      </c>
      <c r="N193" s="50"/>
      <c r="O193" s="51"/>
      <c r="P193" s="51"/>
      <c r="Q193" s="47"/>
      <c r="S193" s="1">
        <f t="shared" si="61"/>
        <v>0</v>
      </c>
      <c r="T193" s="1">
        <f t="shared" si="62"/>
        <v>0</v>
      </c>
      <c r="U193" s="1">
        <f t="shared" si="63"/>
        <v>0</v>
      </c>
      <c r="V193" s="1">
        <f t="shared" si="64"/>
        <v>0</v>
      </c>
      <c r="W193" s="1">
        <f t="shared" si="65"/>
        <v>0</v>
      </c>
      <c r="X193" s="1">
        <f t="shared" si="66"/>
        <v>0</v>
      </c>
      <c r="Y193" s="1">
        <f t="shared" si="67"/>
        <v>0</v>
      </c>
      <c r="Z193" s="1">
        <f t="shared" si="68"/>
        <v>0</v>
      </c>
      <c r="AA193" s="1">
        <f t="shared" si="69"/>
        <v>0</v>
      </c>
      <c r="AB193" s="1">
        <f t="shared" si="70"/>
        <v>0</v>
      </c>
      <c r="AD193" s="1">
        <f t="shared" si="71"/>
        <v>0</v>
      </c>
      <c r="AE193" s="1">
        <f t="shared" si="72"/>
        <v>0</v>
      </c>
      <c r="AF193" s="1">
        <f t="shared" si="73"/>
        <v>0</v>
      </c>
      <c r="AG193" s="1">
        <f t="shared" si="74"/>
        <v>0</v>
      </c>
      <c r="AH193" s="1">
        <f t="shared" si="75"/>
        <v>0</v>
      </c>
      <c r="AI193" s="1">
        <f t="shared" si="76"/>
        <v>1</v>
      </c>
    </row>
    <row r="194" spans="1:35" ht="14.25" customHeight="1" x14ac:dyDescent="0.25">
      <c r="A194" s="31">
        <v>0</v>
      </c>
      <c r="B194" s="31">
        <v>1</v>
      </c>
      <c r="C194" s="31">
        <v>3</v>
      </c>
      <c r="D194" s="32" t="s">
        <v>134</v>
      </c>
      <c r="E194" s="32" t="s">
        <v>171</v>
      </c>
      <c r="F194" s="32" t="s">
        <v>651</v>
      </c>
      <c r="G194" s="32" t="s">
        <v>256</v>
      </c>
      <c r="H194" s="32" t="s">
        <v>352</v>
      </c>
      <c r="I194" s="31" t="s">
        <v>1647</v>
      </c>
      <c r="J194" s="31">
        <v>99</v>
      </c>
      <c r="K194" s="33" t="s">
        <v>713</v>
      </c>
      <c r="L194" s="33" t="s">
        <v>678</v>
      </c>
      <c r="M194" s="34" t="s">
        <v>1361</v>
      </c>
      <c r="N194" s="34" t="s">
        <v>1689</v>
      </c>
      <c r="O194" s="35">
        <v>1</v>
      </c>
      <c r="P194" s="35"/>
      <c r="Q194" s="32" t="s">
        <v>1870</v>
      </c>
      <c r="S194" s="1">
        <f t="shared" si="61"/>
        <v>0</v>
      </c>
      <c r="T194" s="1">
        <f t="shared" si="62"/>
        <v>0</v>
      </c>
      <c r="U194" s="1">
        <f t="shared" si="63"/>
        <v>0</v>
      </c>
      <c r="V194" s="1">
        <f t="shared" si="64"/>
        <v>0</v>
      </c>
      <c r="W194" s="1">
        <f t="shared" si="65"/>
        <v>0</v>
      </c>
      <c r="X194" s="1">
        <f t="shared" si="66"/>
        <v>0</v>
      </c>
      <c r="Y194" s="1">
        <f t="shared" si="67"/>
        <v>0</v>
      </c>
      <c r="Z194" s="1">
        <f t="shared" si="68"/>
        <v>0</v>
      </c>
      <c r="AA194" s="1">
        <f t="shared" si="69"/>
        <v>0</v>
      </c>
      <c r="AB194" s="1">
        <f t="shared" si="70"/>
        <v>0</v>
      </c>
      <c r="AD194" s="1">
        <f t="shared" si="71"/>
        <v>0</v>
      </c>
      <c r="AE194" s="1">
        <f t="shared" si="72"/>
        <v>1</v>
      </c>
      <c r="AF194" s="1">
        <f t="shared" si="73"/>
        <v>0</v>
      </c>
      <c r="AG194" s="1">
        <f t="shared" si="74"/>
        <v>1</v>
      </c>
      <c r="AH194" s="1">
        <f t="shared" si="75"/>
        <v>0</v>
      </c>
      <c r="AI194" s="1">
        <f t="shared" si="76"/>
        <v>1</v>
      </c>
    </row>
    <row r="195" spans="1:35" ht="14.25" customHeight="1" x14ac:dyDescent="0.25">
      <c r="A195" s="31">
        <v>0</v>
      </c>
      <c r="B195" s="31">
        <v>1</v>
      </c>
      <c r="C195" s="31">
        <v>3</v>
      </c>
      <c r="D195" s="32" t="s">
        <v>901</v>
      </c>
      <c r="E195" s="32" t="s">
        <v>169</v>
      </c>
      <c r="F195" s="32" t="s">
        <v>917</v>
      </c>
      <c r="G195" s="32" t="s">
        <v>39</v>
      </c>
      <c r="H195" s="32" t="s">
        <v>363</v>
      </c>
      <c r="I195" s="31" t="s">
        <v>863</v>
      </c>
      <c r="J195" s="31">
        <v>18</v>
      </c>
      <c r="K195" s="33" t="s">
        <v>693</v>
      </c>
      <c r="L195" s="33" t="s">
        <v>688</v>
      </c>
      <c r="M195" s="34" t="s">
        <v>947</v>
      </c>
      <c r="N195" s="34" t="s">
        <v>1693</v>
      </c>
      <c r="O195" s="35">
        <v>1</v>
      </c>
      <c r="P195" s="35"/>
      <c r="Q195" s="32"/>
      <c r="S195" s="1">
        <f t="shared" si="61"/>
        <v>0</v>
      </c>
      <c r="T195" s="1">
        <f t="shared" si="62"/>
        <v>0</v>
      </c>
      <c r="U195" s="1">
        <f t="shared" si="63"/>
        <v>0</v>
      </c>
      <c r="V195" s="1">
        <f t="shared" si="64"/>
        <v>0</v>
      </c>
      <c r="W195" s="1">
        <f t="shared" si="65"/>
        <v>0</v>
      </c>
      <c r="X195" s="1">
        <f t="shared" si="66"/>
        <v>0</v>
      </c>
      <c r="Y195" s="1">
        <f t="shared" si="67"/>
        <v>0</v>
      </c>
      <c r="Z195" s="1">
        <f t="shared" si="68"/>
        <v>0</v>
      </c>
      <c r="AA195" s="1">
        <f t="shared" si="69"/>
        <v>0</v>
      </c>
      <c r="AB195" s="1">
        <f t="shared" si="70"/>
        <v>0</v>
      </c>
      <c r="AD195" s="1">
        <f t="shared" si="71"/>
        <v>0</v>
      </c>
      <c r="AE195" s="1">
        <f t="shared" si="72"/>
        <v>1</v>
      </c>
      <c r="AF195" s="1">
        <f t="shared" si="73"/>
        <v>0</v>
      </c>
      <c r="AG195" s="1">
        <f t="shared" si="74"/>
        <v>1</v>
      </c>
      <c r="AH195" s="1">
        <f t="shared" si="75"/>
        <v>0</v>
      </c>
      <c r="AI195" s="1">
        <f t="shared" si="76"/>
        <v>1</v>
      </c>
    </row>
    <row r="196" spans="1:35" ht="14.25" customHeight="1" x14ac:dyDescent="0.25">
      <c r="A196" s="31">
        <v>0</v>
      </c>
      <c r="B196" s="31">
        <v>1</v>
      </c>
      <c r="C196" s="31">
        <v>3</v>
      </c>
      <c r="D196" s="32" t="s">
        <v>1228</v>
      </c>
      <c r="E196" s="32" t="s">
        <v>169</v>
      </c>
      <c r="F196" s="32" t="s">
        <v>1631</v>
      </c>
      <c r="G196" s="32" t="s">
        <v>39</v>
      </c>
      <c r="H196" s="32" t="s">
        <v>752</v>
      </c>
      <c r="I196" s="31" t="s">
        <v>1229</v>
      </c>
      <c r="J196" s="31">
        <v>11</v>
      </c>
      <c r="K196" s="33" t="s">
        <v>713</v>
      </c>
      <c r="L196" s="33" t="s">
        <v>680</v>
      </c>
      <c r="M196" s="34" t="s">
        <v>1362</v>
      </c>
      <c r="N196" s="34" t="s">
        <v>1694</v>
      </c>
      <c r="O196" s="35">
        <v>1</v>
      </c>
      <c r="P196" s="35"/>
      <c r="Q196" s="32"/>
      <c r="S196" s="1">
        <f t="shared" si="61"/>
        <v>0</v>
      </c>
      <c r="T196" s="1">
        <f t="shared" si="62"/>
        <v>0</v>
      </c>
      <c r="U196" s="1">
        <f t="shared" si="63"/>
        <v>0</v>
      </c>
      <c r="V196" s="1">
        <f t="shared" si="64"/>
        <v>0</v>
      </c>
      <c r="W196" s="1">
        <f t="shared" si="65"/>
        <v>0</v>
      </c>
      <c r="X196" s="1">
        <f t="shared" si="66"/>
        <v>0</v>
      </c>
      <c r="Y196" s="1">
        <f t="shared" si="67"/>
        <v>0</v>
      </c>
      <c r="Z196" s="1">
        <f t="shared" si="68"/>
        <v>0</v>
      </c>
      <c r="AA196" s="1">
        <f t="shared" si="69"/>
        <v>0</v>
      </c>
      <c r="AB196" s="1">
        <f t="shared" si="70"/>
        <v>0</v>
      </c>
      <c r="AD196" s="1">
        <f t="shared" si="71"/>
        <v>0</v>
      </c>
      <c r="AE196" s="1">
        <f t="shared" si="72"/>
        <v>1</v>
      </c>
      <c r="AF196" s="1">
        <f t="shared" si="73"/>
        <v>0</v>
      </c>
      <c r="AG196" s="1">
        <f t="shared" si="74"/>
        <v>1</v>
      </c>
      <c r="AH196" s="1">
        <f t="shared" si="75"/>
        <v>0</v>
      </c>
      <c r="AI196" s="1">
        <f t="shared" si="76"/>
        <v>1</v>
      </c>
    </row>
    <row r="197" spans="1:35" ht="14.25" customHeight="1" x14ac:dyDescent="0.25">
      <c r="A197" s="31">
        <v>0</v>
      </c>
      <c r="B197" s="31">
        <v>1</v>
      </c>
      <c r="C197" s="31">
        <v>4</v>
      </c>
      <c r="D197" s="32" t="s">
        <v>972</v>
      </c>
      <c r="E197" s="32" t="s">
        <v>753</v>
      </c>
      <c r="F197" s="32" t="s">
        <v>1070</v>
      </c>
      <c r="G197" s="32" t="s">
        <v>199</v>
      </c>
      <c r="H197" s="32" t="s">
        <v>352</v>
      </c>
      <c r="I197" s="31" t="s">
        <v>973</v>
      </c>
      <c r="J197" s="31">
        <v>2</v>
      </c>
      <c r="K197" s="33" t="s">
        <v>932</v>
      </c>
      <c r="L197" s="33" t="s">
        <v>684</v>
      </c>
      <c r="M197" s="34" t="s">
        <v>1363</v>
      </c>
      <c r="N197" s="34" t="s">
        <v>1681</v>
      </c>
      <c r="O197" s="35">
        <v>1</v>
      </c>
      <c r="P197" s="35">
        <v>1</v>
      </c>
      <c r="Q197" s="32"/>
      <c r="S197" s="1">
        <f t="shared" si="61"/>
        <v>0</v>
      </c>
      <c r="T197" s="1">
        <f t="shared" si="62"/>
        <v>1</v>
      </c>
      <c r="U197" s="1">
        <f t="shared" si="63"/>
        <v>0</v>
      </c>
      <c r="V197" s="1">
        <f t="shared" si="64"/>
        <v>0</v>
      </c>
      <c r="W197" s="1">
        <f t="shared" si="65"/>
        <v>0</v>
      </c>
      <c r="X197" s="1">
        <f t="shared" si="66"/>
        <v>0</v>
      </c>
      <c r="Y197" s="1">
        <f t="shared" si="67"/>
        <v>0</v>
      </c>
      <c r="Z197" s="1">
        <f t="shared" si="68"/>
        <v>0</v>
      </c>
      <c r="AA197" s="1">
        <f t="shared" si="69"/>
        <v>0</v>
      </c>
      <c r="AB197" s="1">
        <f t="shared" si="70"/>
        <v>0</v>
      </c>
      <c r="AD197" s="1">
        <f t="shared" si="71"/>
        <v>1</v>
      </c>
      <c r="AE197" s="1">
        <f t="shared" si="72"/>
        <v>0</v>
      </c>
      <c r="AF197" s="1">
        <f t="shared" si="73"/>
        <v>1</v>
      </c>
      <c r="AG197" s="1">
        <f t="shared" si="74"/>
        <v>0</v>
      </c>
      <c r="AH197" s="1">
        <f t="shared" si="75"/>
        <v>1</v>
      </c>
      <c r="AI197" s="1">
        <f t="shared" si="76"/>
        <v>0</v>
      </c>
    </row>
    <row r="198" spans="1:35" ht="14.25" customHeight="1" x14ac:dyDescent="0.25">
      <c r="A198" s="31">
        <v>0</v>
      </c>
      <c r="B198" s="31">
        <v>1</v>
      </c>
      <c r="C198" s="31">
        <v>4</v>
      </c>
      <c r="D198" s="32" t="s">
        <v>50</v>
      </c>
      <c r="E198" s="32" t="s">
        <v>753</v>
      </c>
      <c r="F198" s="32" t="s">
        <v>192</v>
      </c>
      <c r="G198" s="32" t="s">
        <v>193</v>
      </c>
      <c r="H198" s="32" t="s">
        <v>352</v>
      </c>
      <c r="I198" s="31" t="s">
        <v>385</v>
      </c>
      <c r="J198" s="31">
        <v>9</v>
      </c>
      <c r="K198" s="33" t="s">
        <v>932</v>
      </c>
      <c r="L198" s="33" t="s">
        <v>685</v>
      </c>
      <c r="M198" s="34" t="s">
        <v>945</v>
      </c>
      <c r="N198" s="34" t="s">
        <v>1744</v>
      </c>
      <c r="O198" s="35">
        <v>1</v>
      </c>
      <c r="P198" s="35"/>
      <c r="Q198" s="32"/>
      <c r="S198" s="1">
        <f t="shared" si="61"/>
        <v>0</v>
      </c>
      <c r="T198" s="1">
        <f t="shared" si="62"/>
        <v>0</v>
      </c>
      <c r="U198" s="1">
        <f t="shared" si="63"/>
        <v>0</v>
      </c>
      <c r="V198" s="1">
        <f t="shared" si="64"/>
        <v>0</v>
      </c>
      <c r="W198" s="1">
        <f t="shared" si="65"/>
        <v>0</v>
      </c>
      <c r="X198" s="1">
        <f t="shared" si="66"/>
        <v>0</v>
      </c>
      <c r="Y198" s="1">
        <f t="shared" si="67"/>
        <v>0</v>
      </c>
      <c r="Z198" s="1">
        <f t="shared" si="68"/>
        <v>0</v>
      </c>
      <c r="AA198" s="1">
        <f t="shared" si="69"/>
        <v>1</v>
      </c>
      <c r="AB198" s="1">
        <f t="shared" si="70"/>
        <v>0</v>
      </c>
      <c r="AD198" s="1">
        <f t="shared" si="71"/>
        <v>0</v>
      </c>
      <c r="AE198" s="1">
        <f t="shared" si="72"/>
        <v>1</v>
      </c>
      <c r="AF198" s="1">
        <f t="shared" si="73"/>
        <v>0</v>
      </c>
      <c r="AG198" s="1">
        <f t="shared" si="74"/>
        <v>1</v>
      </c>
      <c r="AH198" s="1">
        <f t="shared" si="75"/>
        <v>0</v>
      </c>
      <c r="AI198" s="1">
        <f t="shared" si="76"/>
        <v>1</v>
      </c>
    </row>
    <row r="199" spans="1:35" ht="14.25" customHeight="1" x14ac:dyDescent="0.25">
      <c r="A199" s="31">
        <v>0</v>
      </c>
      <c r="B199" s="31">
        <v>1</v>
      </c>
      <c r="C199" s="31">
        <v>4</v>
      </c>
      <c r="D199" s="36" t="s">
        <v>2158</v>
      </c>
      <c r="E199" s="32" t="s">
        <v>753</v>
      </c>
      <c r="F199" s="36" t="s">
        <v>2016</v>
      </c>
      <c r="G199" s="36" t="s">
        <v>212</v>
      </c>
      <c r="H199" s="36" t="s">
        <v>352</v>
      </c>
      <c r="I199" s="37" t="s">
        <v>2017</v>
      </c>
      <c r="J199" s="31">
        <v>1</v>
      </c>
      <c r="K199" s="33" t="s">
        <v>694</v>
      </c>
      <c r="L199" s="33"/>
      <c r="M199" s="34"/>
      <c r="N199" s="34" t="s">
        <v>1687</v>
      </c>
      <c r="O199" s="35">
        <v>1</v>
      </c>
      <c r="P199" s="35">
        <v>1</v>
      </c>
      <c r="Q199" s="32" t="s">
        <v>2018</v>
      </c>
      <c r="S199" s="1">
        <f t="shared" si="61"/>
        <v>1</v>
      </c>
      <c r="T199" s="1">
        <f t="shared" si="62"/>
        <v>0</v>
      </c>
      <c r="U199" s="1">
        <f t="shared" si="63"/>
        <v>0</v>
      </c>
      <c r="V199" s="1">
        <f t="shared" si="64"/>
        <v>0</v>
      </c>
      <c r="W199" s="1">
        <f t="shared" si="65"/>
        <v>0</v>
      </c>
      <c r="X199" s="1">
        <f t="shared" si="66"/>
        <v>0</v>
      </c>
      <c r="Y199" s="1">
        <f t="shared" si="67"/>
        <v>0</v>
      </c>
      <c r="Z199" s="1">
        <f t="shared" si="68"/>
        <v>0</v>
      </c>
      <c r="AA199" s="1">
        <f t="shared" si="69"/>
        <v>0</v>
      </c>
      <c r="AB199" s="1">
        <f t="shared" si="70"/>
        <v>0</v>
      </c>
      <c r="AD199" s="1">
        <f t="shared" si="71"/>
        <v>1</v>
      </c>
      <c r="AE199" s="1">
        <f t="shared" si="72"/>
        <v>0</v>
      </c>
      <c r="AF199" s="1">
        <f t="shared" si="73"/>
        <v>1</v>
      </c>
      <c r="AG199" s="1">
        <f t="shared" si="74"/>
        <v>0</v>
      </c>
      <c r="AH199" s="1">
        <f t="shared" si="75"/>
        <v>1</v>
      </c>
      <c r="AI199" s="1">
        <f t="shared" si="76"/>
        <v>0</v>
      </c>
    </row>
    <row r="200" spans="1:35" ht="14.25" customHeight="1" x14ac:dyDescent="0.25">
      <c r="A200" s="31">
        <v>0</v>
      </c>
      <c r="B200" s="31">
        <v>1</v>
      </c>
      <c r="C200" s="31">
        <v>4</v>
      </c>
      <c r="D200" s="32" t="s">
        <v>133</v>
      </c>
      <c r="E200" s="32" t="s">
        <v>176</v>
      </c>
      <c r="F200" s="32" t="s">
        <v>334</v>
      </c>
      <c r="G200" s="32" t="s">
        <v>212</v>
      </c>
      <c r="H200" s="32" t="s">
        <v>352</v>
      </c>
      <c r="I200" s="31" t="s">
        <v>480</v>
      </c>
      <c r="J200" s="31">
        <v>1</v>
      </c>
      <c r="K200" s="33" t="s">
        <v>932</v>
      </c>
      <c r="L200" s="33" t="s">
        <v>680</v>
      </c>
      <c r="M200" s="34" t="s">
        <v>682</v>
      </c>
      <c r="N200" s="34" t="s">
        <v>1689</v>
      </c>
      <c r="O200" s="35">
        <v>1</v>
      </c>
      <c r="P200" s="35"/>
      <c r="Q200" s="32"/>
      <c r="S200" s="1">
        <f t="shared" si="61"/>
        <v>1</v>
      </c>
      <c r="T200" s="1">
        <f t="shared" si="62"/>
        <v>0</v>
      </c>
      <c r="U200" s="1">
        <f t="shared" si="63"/>
        <v>0</v>
      </c>
      <c r="V200" s="1">
        <f t="shared" si="64"/>
        <v>0</v>
      </c>
      <c r="W200" s="1">
        <f t="shared" si="65"/>
        <v>0</v>
      </c>
      <c r="X200" s="1">
        <f t="shared" si="66"/>
        <v>0</v>
      </c>
      <c r="Y200" s="1">
        <f t="shared" si="67"/>
        <v>0</v>
      </c>
      <c r="Z200" s="1">
        <f t="shared" si="68"/>
        <v>0</v>
      </c>
      <c r="AA200" s="1">
        <f t="shared" si="69"/>
        <v>0</v>
      </c>
      <c r="AB200" s="1">
        <f t="shared" si="70"/>
        <v>0</v>
      </c>
      <c r="AD200" s="1">
        <f t="shared" si="71"/>
        <v>0</v>
      </c>
      <c r="AE200" s="1">
        <f t="shared" si="72"/>
        <v>1</v>
      </c>
      <c r="AF200" s="1">
        <f t="shared" si="73"/>
        <v>0</v>
      </c>
      <c r="AG200" s="1">
        <f t="shared" si="74"/>
        <v>1</v>
      </c>
      <c r="AH200" s="1">
        <f t="shared" si="75"/>
        <v>0</v>
      </c>
      <c r="AI200" s="1">
        <f t="shared" si="76"/>
        <v>1</v>
      </c>
    </row>
    <row r="201" spans="1:35" ht="14.25" customHeight="1" x14ac:dyDescent="0.25">
      <c r="A201" s="31">
        <v>0</v>
      </c>
      <c r="B201" s="31">
        <v>1</v>
      </c>
      <c r="C201" s="31">
        <v>5</v>
      </c>
      <c r="D201" s="32" t="s">
        <v>125</v>
      </c>
      <c r="E201" s="32" t="s">
        <v>522</v>
      </c>
      <c r="F201" s="32" t="s">
        <v>325</v>
      </c>
      <c r="G201" s="32" t="s">
        <v>298</v>
      </c>
      <c r="H201" s="32" t="s">
        <v>352</v>
      </c>
      <c r="I201" s="31" t="s">
        <v>472</v>
      </c>
      <c r="J201" s="31">
        <v>99</v>
      </c>
      <c r="K201" s="33" t="s">
        <v>693</v>
      </c>
      <c r="L201" s="33" t="s">
        <v>680</v>
      </c>
      <c r="M201" s="34" t="s">
        <v>946</v>
      </c>
      <c r="N201" s="34" t="s">
        <v>1689</v>
      </c>
      <c r="O201" s="35">
        <v>1</v>
      </c>
      <c r="P201" s="35"/>
      <c r="Q201" s="32"/>
      <c r="S201" s="1">
        <f t="shared" si="61"/>
        <v>0</v>
      </c>
      <c r="T201" s="1">
        <f t="shared" si="62"/>
        <v>0</v>
      </c>
      <c r="U201" s="1">
        <f t="shared" si="63"/>
        <v>0</v>
      </c>
      <c r="V201" s="1">
        <f t="shared" si="64"/>
        <v>0</v>
      </c>
      <c r="W201" s="1">
        <f t="shared" si="65"/>
        <v>0</v>
      </c>
      <c r="X201" s="1">
        <f t="shared" si="66"/>
        <v>0</v>
      </c>
      <c r="Y201" s="1">
        <f t="shared" si="67"/>
        <v>0</v>
      </c>
      <c r="Z201" s="1">
        <f t="shared" si="68"/>
        <v>0</v>
      </c>
      <c r="AA201" s="1">
        <f t="shared" si="69"/>
        <v>0</v>
      </c>
      <c r="AB201" s="1">
        <f t="shared" si="70"/>
        <v>0</v>
      </c>
      <c r="AD201" s="1">
        <f t="shared" ref="AD201:AD203" si="91">+O201*P201</f>
        <v>0</v>
      </c>
      <c r="AE201" s="1">
        <f t="shared" ref="AE201:AE203" si="92">O201*(1-P201)</f>
        <v>1</v>
      </c>
      <c r="AF201" s="1">
        <f t="shared" ref="AF201:AF203" si="93">+O201*P201*(1-A201)</f>
        <v>0</v>
      </c>
      <c r="AG201" s="1">
        <f t="shared" ref="AG201:AG203" si="94">O201*(1-P201)*(1-A201)</f>
        <v>1</v>
      </c>
      <c r="AH201" s="1">
        <f t="shared" ref="AH201:AH203" si="95">+P201*(1-A201)</f>
        <v>0</v>
      </c>
      <c r="AI201" s="1">
        <f t="shared" ref="AI201:AI203" si="96">+(1-A201)*(1-P201)</f>
        <v>1</v>
      </c>
    </row>
    <row r="202" spans="1:35" ht="14.25" customHeight="1" x14ac:dyDescent="0.25">
      <c r="A202" s="31">
        <v>1</v>
      </c>
      <c r="B202" s="31">
        <v>1</v>
      </c>
      <c r="C202" s="31">
        <v>5</v>
      </c>
      <c r="D202" s="36" t="s">
        <v>125</v>
      </c>
      <c r="E202" s="36" t="s">
        <v>2154</v>
      </c>
      <c r="F202" s="36" t="s">
        <v>2155</v>
      </c>
      <c r="G202" s="36" t="s">
        <v>212</v>
      </c>
      <c r="H202" s="36" t="s">
        <v>352</v>
      </c>
      <c r="I202" s="37" t="s">
        <v>2156</v>
      </c>
      <c r="J202" s="31">
        <v>1</v>
      </c>
      <c r="K202" s="33" t="s">
        <v>693</v>
      </c>
      <c r="L202" s="33">
        <v>40</v>
      </c>
      <c r="M202" s="34" t="s">
        <v>946</v>
      </c>
      <c r="N202" s="34" t="s">
        <v>1689</v>
      </c>
      <c r="O202" s="35">
        <v>1</v>
      </c>
      <c r="P202" s="35"/>
      <c r="Q202" s="32"/>
      <c r="S202" s="1">
        <f t="shared" si="61"/>
        <v>1</v>
      </c>
      <c r="T202" s="1">
        <f t="shared" si="62"/>
        <v>0</v>
      </c>
      <c r="U202" s="1">
        <f t="shared" si="63"/>
        <v>0</v>
      </c>
      <c r="V202" s="1">
        <f t="shared" si="64"/>
        <v>0</v>
      </c>
      <c r="W202" s="1">
        <f t="shared" si="65"/>
        <v>0</v>
      </c>
      <c r="X202" s="1">
        <f t="shared" si="66"/>
        <v>0</v>
      </c>
      <c r="Y202" s="1">
        <f t="shared" si="67"/>
        <v>0</v>
      </c>
      <c r="Z202" s="1">
        <f t="shared" si="68"/>
        <v>0</v>
      </c>
      <c r="AA202" s="1">
        <f t="shared" si="69"/>
        <v>0</v>
      </c>
      <c r="AB202" s="1">
        <f t="shared" si="70"/>
        <v>0</v>
      </c>
      <c r="AD202" s="1">
        <f t="shared" si="91"/>
        <v>0</v>
      </c>
      <c r="AE202" s="1">
        <f t="shared" si="92"/>
        <v>1</v>
      </c>
      <c r="AF202" s="1">
        <f t="shared" si="93"/>
        <v>0</v>
      </c>
      <c r="AG202" s="1">
        <f t="shared" si="94"/>
        <v>0</v>
      </c>
      <c r="AH202" s="1">
        <f t="shared" si="95"/>
        <v>0</v>
      </c>
      <c r="AI202" s="1">
        <f t="shared" si="96"/>
        <v>0</v>
      </c>
    </row>
    <row r="203" spans="1:35" ht="14.25" customHeight="1" x14ac:dyDescent="0.25">
      <c r="A203" s="31">
        <v>0</v>
      </c>
      <c r="B203" s="31">
        <v>1</v>
      </c>
      <c r="C203" s="31">
        <v>5</v>
      </c>
      <c r="D203" s="32" t="s">
        <v>1683</v>
      </c>
      <c r="E203" s="32" t="s">
        <v>165</v>
      </c>
      <c r="F203" s="32" t="s">
        <v>1684</v>
      </c>
      <c r="G203" s="32" t="s">
        <v>1685</v>
      </c>
      <c r="H203" s="32" t="s">
        <v>352</v>
      </c>
      <c r="I203" s="31" t="s">
        <v>1686</v>
      </c>
      <c r="J203" s="31">
        <v>2</v>
      </c>
      <c r="K203" s="33" t="s">
        <v>694</v>
      </c>
      <c r="L203" s="33"/>
      <c r="M203" s="34"/>
      <c r="N203" s="34" t="s">
        <v>1687</v>
      </c>
      <c r="O203" s="35">
        <v>1</v>
      </c>
      <c r="P203" s="35">
        <v>1</v>
      </c>
      <c r="Q203" s="32"/>
      <c r="S203" s="1">
        <f t="shared" si="61"/>
        <v>0</v>
      </c>
      <c r="T203" s="1">
        <f t="shared" si="62"/>
        <v>1</v>
      </c>
      <c r="U203" s="1">
        <f t="shared" si="63"/>
        <v>0</v>
      </c>
      <c r="V203" s="1">
        <f t="shared" si="64"/>
        <v>0</v>
      </c>
      <c r="W203" s="1">
        <f t="shared" si="65"/>
        <v>0</v>
      </c>
      <c r="X203" s="1">
        <f t="shared" si="66"/>
        <v>0</v>
      </c>
      <c r="Y203" s="1">
        <f t="shared" si="67"/>
        <v>0</v>
      </c>
      <c r="Z203" s="1">
        <f t="shared" si="68"/>
        <v>0</v>
      </c>
      <c r="AA203" s="1">
        <f t="shared" si="69"/>
        <v>0</v>
      </c>
      <c r="AB203" s="1">
        <f t="shared" si="70"/>
        <v>0</v>
      </c>
      <c r="AD203" s="1">
        <f t="shared" si="91"/>
        <v>1</v>
      </c>
      <c r="AE203" s="1">
        <f t="shared" si="92"/>
        <v>0</v>
      </c>
      <c r="AF203" s="1">
        <f t="shared" si="93"/>
        <v>1</v>
      </c>
      <c r="AG203" s="1">
        <f t="shared" si="94"/>
        <v>0</v>
      </c>
      <c r="AH203" s="1">
        <f t="shared" si="95"/>
        <v>1</v>
      </c>
      <c r="AI203" s="1">
        <f t="shared" si="96"/>
        <v>0</v>
      </c>
    </row>
    <row r="204" spans="1:35" ht="14.25" customHeight="1" x14ac:dyDescent="0.25">
      <c r="A204" s="31">
        <v>0</v>
      </c>
      <c r="B204" s="31">
        <v>1</v>
      </c>
      <c r="C204" s="31">
        <v>5</v>
      </c>
      <c r="D204" s="32" t="s">
        <v>87</v>
      </c>
      <c r="E204" s="32" t="s">
        <v>165</v>
      </c>
      <c r="F204" s="32" t="s">
        <v>570</v>
      </c>
      <c r="G204" s="32" t="s">
        <v>193</v>
      </c>
      <c r="H204" s="32" t="s">
        <v>352</v>
      </c>
      <c r="I204" s="31" t="s">
        <v>434</v>
      </c>
      <c r="J204" s="31">
        <v>9</v>
      </c>
      <c r="K204" s="33" t="s">
        <v>932</v>
      </c>
      <c r="L204" s="33" t="s">
        <v>687</v>
      </c>
      <c r="M204" s="34" t="s">
        <v>682</v>
      </c>
      <c r="N204" s="34" t="s">
        <v>1689</v>
      </c>
      <c r="O204" s="35">
        <v>1</v>
      </c>
      <c r="P204" s="35"/>
      <c r="Q204" s="32"/>
      <c r="S204" s="1">
        <f t="shared" si="61"/>
        <v>0</v>
      </c>
      <c r="T204" s="1">
        <f t="shared" si="62"/>
        <v>0</v>
      </c>
      <c r="U204" s="1">
        <f t="shared" si="63"/>
        <v>0</v>
      </c>
      <c r="V204" s="1">
        <f t="shared" si="64"/>
        <v>0</v>
      </c>
      <c r="W204" s="1">
        <f t="shared" si="65"/>
        <v>0</v>
      </c>
      <c r="X204" s="1">
        <f t="shared" si="66"/>
        <v>0</v>
      </c>
      <c r="Y204" s="1">
        <f t="shared" si="67"/>
        <v>0</v>
      </c>
      <c r="Z204" s="1">
        <f t="shared" si="68"/>
        <v>0</v>
      </c>
      <c r="AA204" s="1">
        <f t="shared" si="69"/>
        <v>1</v>
      </c>
      <c r="AB204" s="1">
        <f t="shared" si="70"/>
        <v>0</v>
      </c>
      <c r="AD204" s="1">
        <f t="shared" si="71"/>
        <v>0</v>
      </c>
      <c r="AE204" s="1">
        <f t="shared" si="72"/>
        <v>1</v>
      </c>
      <c r="AF204" s="1">
        <f t="shared" si="73"/>
        <v>0</v>
      </c>
      <c r="AG204" s="1">
        <f t="shared" si="74"/>
        <v>1</v>
      </c>
      <c r="AH204" s="1">
        <f t="shared" si="75"/>
        <v>0</v>
      </c>
      <c r="AI204" s="1">
        <f t="shared" si="76"/>
        <v>1</v>
      </c>
    </row>
    <row r="205" spans="1:35" ht="14.25" customHeight="1" x14ac:dyDescent="0.25">
      <c r="A205" s="31">
        <v>0</v>
      </c>
      <c r="B205" s="31">
        <v>1</v>
      </c>
      <c r="C205" s="31">
        <v>5</v>
      </c>
      <c r="D205" s="32" t="s">
        <v>1931</v>
      </c>
      <c r="E205" s="32" t="s">
        <v>165</v>
      </c>
      <c r="F205" s="32" t="s">
        <v>1932</v>
      </c>
      <c r="G205" s="32" t="s">
        <v>1935</v>
      </c>
      <c r="H205" s="32" t="s">
        <v>352</v>
      </c>
      <c r="I205" s="31" t="s">
        <v>1933</v>
      </c>
      <c r="J205" s="31">
        <v>99</v>
      </c>
      <c r="K205" s="33" t="s">
        <v>694</v>
      </c>
      <c r="L205" s="33">
        <v>25</v>
      </c>
      <c r="M205" s="34" t="s">
        <v>682</v>
      </c>
      <c r="N205" s="34" t="s">
        <v>1689</v>
      </c>
      <c r="O205" s="35">
        <v>1</v>
      </c>
      <c r="P205" s="35"/>
      <c r="Q205" s="32" t="s">
        <v>1934</v>
      </c>
      <c r="S205" s="1">
        <f t="shared" si="61"/>
        <v>0</v>
      </c>
      <c r="T205" s="1">
        <f t="shared" si="62"/>
        <v>0</v>
      </c>
      <c r="U205" s="1">
        <f t="shared" si="63"/>
        <v>0</v>
      </c>
      <c r="V205" s="1">
        <f t="shared" si="64"/>
        <v>0</v>
      </c>
      <c r="W205" s="1">
        <f t="shared" si="65"/>
        <v>0</v>
      </c>
      <c r="X205" s="1">
        <f t="shared" si="66"/>
        <v>0</v>
      </c>
      <c r="Y205" s="1">
        <f t="shared" si="67"/>
        <v>0</v>
      </c>
      <c r="Z205" s="1">
        <f t="shared" si="68"/>
        <v>0</v>
      </c>
      <c r="AA205" s="1">
        <f t="shared" si="69"/>
        <v>0</v>
      </c>
      <c r="AB205" s="1">
        <f t="shared" si="70"/>
        <v>0</v>
      </c>
      <c r="AD205" s="1">
        <f t="shared" si="71"/>
        <v>0</v>
      </c>
      <c r="AE205" s="1">
        <f t="shared" si="72"/>
        <v>1</v>
      </c>
      <c r="AF205" s="1">
        <f t="shared" si="73"/>
        <v>0</v>
      </c>
      <c r="AG205" s="1">
        <f t="shared" si="74"/>
        <v>1</v>
      </c>
      <c r="AH205" s="1">
        <f t="shared" si="75"/>
        <v>0</v>
      </c>
      <c r="AI205" s="1">
        <f t="shared" si="76"/>
        <v>1</v>
      </c>
    </row>
    <row r="206" spans="1:35" ht="14.25" customHeight="1" x14ac:dyDescent="0.25">
      <c r="A206" s="31">
        <v>0</v>
      </c>
      <c r="B206" s="31">
        <v>1</v>
      </c>
      <c r="C206" s="31">
        <v>5</v>
      </c>
      <c r="D206" s="32" t="s">
        <v>126</v>
      </c>
      <c r="E206" s="32" t="s">
        <v>165</v>
      </c>
      <c r="F206" s="32" t="s">
        <v>326</v>
      </c>
      <c r="G206" s="32" t="s">
        <v>179</v>
      </c>
      <c r="H206" s="32" t="s">
        <v>352</v>
      </c>
      <c r="I206" s="31" t="s">
        <v>473</v>
      </c>
      <c r="J206" s="31">
        <v>10</v>
      </c>
      <c r="K206" s="33" t="s">
        <v>934</v>
      </c>
      <c r="L206" s="33" t="s">
        <v>685</v>
      </c>
      <c r="M206" s="34" t="s">
        <v>682</v>
      </c>
      <c r="N206" s="34" t="s">
        <v>1733</v>
      </c>
      <c r="O206" s="35">
        <v>1</v>
      </c>
      <c r="P206" s="35"/>
      <c r="Q206" s="32"/>
      <c r="S206" s="1">
        <f t="shared" si="61"/>
        <v>0</v>
      </c>
      <c r="T206" s="1">
        <f t="shared" si="62"/>
        <v>0</v>
      </c>
      <c r="U206" s="1">
        <f t="shared" si="63"/>
        <v>0</v>
      </c>
      <c r="V206" s="1">
        <f t="shared" si="64"/>
        <v>0</v>
      </c>
      <c r="W206" s="1">
        <f t="shared" si="65"/>
        <v>0</v>
      </c>
      <c r="X206" s="1">
        <f t="shared" si="66"/>
        <v>0</v>
      </c>
      <c r="Y206" s="1">
        <f t="shared" si="67"/>
        <v>0</v>
      </c>
      <c r="Z206" s="1">
        <f t="shared" si="68"/>
        <v>0</v>
      </c>
      <c r="AA206" s="1">
        <f t="shared" si="69"/>
        <v>0</v>
      </c>
      <c r="AB206" s="1">
        <f t="shared" si="70"/>
        <v>1</v>
      </c>
      <c r="AD206" s="1">
        <f t="shared" si="71"/>
        <v>0</v>
      </c>
      <c r="AE206" s="1">
        <f t="shared" si="72"/>
        <v>1</v>
      </c>
      <c r="AF206" s="1">
        <f t="shared" si="73"/>
        <v>0</v>
      </c>
      <c r="AG206" s="1">
        <f t="shared" si="74"/>
        <v>1</v>
      </c>
      <c r="AH206" s="1">
        <f t="shared" si="75"/>
        <v>0</v>
      </c>
      <c r="AI206" s="1">
        <f t="shared" si="76"/>
        <v>1</v>
      </c>
    </row>
    <row r="207" spans="1:35" ht="14.25" customHeight="1" x14ac:dyDescent="0.25">
      <c r="A207" s="31">
        <v>0</v>
      </c>
      <c r="B207" s="31">
        <v>1</v>
      </c>
      <c r="C207" s="31">
        <v>5</v>
      </c>
      <c r="D207" s="32" t="s">
        <v>136</v>
      </c>
      <c r="E207" s="32" t="s">
        <v>165</v>
      </c>
      <c r="F207" s="32" t="s">
        <v>544</v>
      </c>
      <c r="G207" s="32" t="s">
        <v>219</v>
      </c>
      <c r="H207" s="32" t="s">
        <v>352</v>
      </c>
      <c r="I207" s="31" t="s">
        <v>536</v>
      </c>
      <c r="J207" s="31">
        <v>8</v>
      </c>
      <c r="K207" s="33" t="s">
        <v>932</v>
      </c>
      <c r="L207" s="33" t="s">
        <v>685</v>
      </c>
      <c r="M207" s="34" t="s">
        <v>682</v>
      </c>
      <c r="N207" s="34" t="s">
        <v>1689</v>
      </c>
      <c r="O207" s="35">
        <v>1</v>
      </c>
      <c r="P207" s="35"/>
      <c r="Q207" s="32"/>
      <c r="S207" s="1">
        <f t="shared" si="61"/>
        <v>0</v>
      </c>
      <c r="T207" s="1">
        <f t="shared" si="62"/>
        <v>0</v>
      </c>
      <c r="U207" s="1">
        <f t="shared" si="63"/>
        <v>0</v>
      </c>
      <c r="V207" s="1">
        <f t="shared" si="64"/>
        <v>0</v>
      </c>
      <c r="W207" s="1">
        <f t="shared" si="65"/>
        <v>0</v>
      </c>
      <c r="X207" s="1">
        <f t="shared" si="66"/>
        <v>0</v>
      </c>
      <c r="Y207" s="1">
        <f t="shared" si="67"/>
        <v>0</v>
      </c>
      <c r="Z207" s="1">
        <f t="shared" si="68"/>
        <v>1</v>
      </c>
      <c r="AA207" s="1">
        <f t="shared" si="69"/>
        <v>0</v>
      </c>
      <c r="AB207" s="1">
        <f t="shared" si="70"/>
        <v>0</v>
      </c>
      <c r="AD207" s="1">
        <f t="shared" si="71"/>
        <v>0</v>
      </c>
      <c r="AE207" s="1">
        <f t="shared" si="72"/>
        <v>1</v>
      </c>
      <c r="AF207" s="1">
        <f t="shared" si="73"/>
        <v>0</v>
      </c>
      <c r="AG207" s="1">
        <f t="shared" si="74"/>
        <v>1</v>
      </c>
      <c r="AH207" s="1">
        <f t="shared" si="75"/>
        <v>0</v>
      </c>
      <c r="AI207" s="1">
        <f t="shared" si="76"/>
        <v>1</v>
      </c>
    </row>
    <row r="208" spans="1:35" ht="14.25" customHeight="1" x14ac:dyDescent="0.25">
      <c r="A208" s="31">
        <v>1</v>
      </c>
      <c r="B208" s="31">
        <v>1</v>
      </c>
      <c r="C208" s="31">
        <v>5</v>
      </c>
      <c r="D208" s="32" t="s">
        <v>136</v>
      </c>
      <c r="E208" s="32" t="s">
        <v>165</v>
      </c>
      <c r="F208" s="32" t="s">
        <v>335</v>
      </c>
      <c r="G208" s="32" t="s">
        <v>336</v>
      </c>
      <c r="H208" s="32" t="s">
        <v>352</v>
      </c>
      <c r="I208" s="31" t="s">
        <v>482</v>
      </c>
      <c r="J208" s="31">
        <v>10</v>
      </c>
      <c r="K208" s="33" t="s">
        <v>932</v>
      </c>
      <c r="L208" s="33" t="s">
        <v>685</v>
      </c>
      <c r="M208" s="34" t="s">
        <v>682</v>
      </c>
      <c r="N208" s="34" t="s">
        <v>1689</v>
      </c>
      <c r="O208" s="35">
        <v>1</v>
      </c>
      <c r="P208" s="35"/>
      <c r="Q208" s="32"/>
      <c r="S208" s="1">
        <f t="shared" si="61"/>
        <v>0</v>
      </c>
      <c r="T208" s="1">
        <f t="shared" si="62"/>
        <v>0</v>
      </c>
      <c r="U208" s="1">
        <f t="shared" si="63"/>
        <v>0</v>
      </c>
      <c r="V208" s="1">
        <f t="shared" si="64"/>
        <v>0</v>
      </c>
      <c r="W208" s="1">
        <f t="shared" si="65"/>
        <v>0</v>
      </c>
      <c r="X208" s="1">
        <f t="shared" si="66"/>
        <v>0</v>
      </c>
      <c r="Y208" s="1">
        <f t="shared" si="67"/>
        <v>0</v>
      </c>
      <c r="Z208" s="1">
        <f t="shared" si="68"/>
        <v>0</v>
      </c>
      <c r="AA208" s="1">
        <f t="shared" si="69"/>
        <v>0</v>
      </c>
      <c r="AB208" s="1">
        <f t="shared" si="70"/>
        <v>1</v>
      </c>
      <c r="AD208" s="1">
        <f t="shared" si="71"/>
        <v>0</v>
      </c>
      <c r="AE208" s="1">
        <f t="shared" si="72"/>
        <v>1</v>
      </c>
      <c r="AF208" s="1">
        <f t="shared" si="73"/>
        <v>0</v>
      </c>
      <c r="AG208" s="1">
        <f t="shared" si="74"/>
        <v>0</v>
      </c>
      <c r="AH208" s="1">
        <f t="shared" si="75"/>
        <v>0</v>
      </c>
      <c r="AI208" s="1">
        <f t="shared" si="76"/>
        <v>0</v>
      </c>
    </row>
    <row r="209" spans="1:35" ht="14.25" customHeight="1" x14ac:dyDescent="0.25">
      <c r="A209" s="31">
        <v>0</v>
      </c>
      <c r="B209" s="31">
        <v>1</v>
      </c>
      <c r="C209" s="31">
        <v>5</v>
      </c>
      <c r="D209" s="32" t="s">
        <v>1593</v>
      </c>
      <c r="E209" s="32" t="s">
        <v>165</v>
      </c>
      <c r="F209" s="32" t="s">
        <v>845</v>
      </c>
      <c r="G209" s="32" t="s">
        <v>1620</v>
      </c>
      <c r="H209" s="32" t="s">
        <v>352</v>
      </c>
      <c r="I209" s="31" t="s">
        <v>846</v>
      </c>
      <c r="J209" s="31">
        <v>1</v>
      </c>
      <c r="K209" s="33" t="s">
        <v>713</v>
      </c>
      <c r="L209" s="33" t="s">
        <v>1661</v>
      </c>
      <c r="M209" s="34" t="s">
        <v>1364</v>
      </c>
      <c r="N209" s="34" t="s">
        <v>1689</v>
      </c>
      <c r="O209" s="35">
        <v>1</v>
      </c>
      <c r="P209" s="35"/>
      <c r="Q209" s="32"/>
      <c r="S209" s="1">
        <f t="shared" si="61"/>
        <v>1</v>
      </c>
      <c r="T209" s="1">
        <f t="shared" si="62"/>
        <v>0</v>
      </c>
      <c r="U209" s="1">
        <f t="shared" si="63"/>
        <v>0</v>
      </c>
      <c r="V209" s="1">
        <f t="shared" si="64"/>
        <v>0</v>
      </c>
      <c r="W209" s="1">
        <f t="shared" si="65"/>
        <v>0</v>
      </c>
      <c r="X209" s="1">
        <f t="shared" si="66"/>
        <v>0</v>
      </c>
      <c r="Y209" s="1">
        <f t="shared" si="67"/>
        <v>0</v>
      </c>
      <c r="Z209" s="1">
        <f t="shared" si="68"/>
        <v>0</v>
      </c>
      <c r="AA209" s="1">
        <f t="shared" si="69"/>
        <v>0</v>
      </c>
      <c r="AB209" s="1">
        <f t="shared" si="70"/>
        <v>0</v>
      </c>
      <c r="AD209" s="1">
        <f t="shared" si="71"/>
        <v>0</v>
      </c>
      <c r="AE209" s="1">
        <f t="shared" si="72"/>
        <v>1</v>
      </c>
      <c r="AF209" s="1">
        <f t="shared" si="73"/>
        <v>0</v>
      </c>
      <c r="AG209" s="1">
        <f t="shared" si="74"/>
        <v>1</v>
      </c>
      <c r="AH209" s="1">
        <f t="shared" si="75"/>
        <v>0</v>
      </c>
      <c r="AI209" s="1">
        <f t="shared" si="76"/>
        <v>1</v>
      </c>
    </row>
    <row r="210" spans="1:35" ht="14.25" customHeight="1" x14ac:dyDescent="0.25">
      <c r="A210" s="31">
        <v>0</v>
      </c>
      <c r="B210" s="31">
        <v>1</v>
      </c>
      <c r="C210" s="31">
        <v>5</v>
      </c>
      <c r="D210" s="32" t="s">
        <v>2046</v>
      </c>
      <c r="E210" s="32" t="s">
        <v>165</v>
      </c>
      <c r="F210" s="32" t="s">
        <v>2047</v>
      </c>
      <c r="G210" s="32" t="s">
        <v>193</v>
      </c>
      <c r="H210" s="32" t="s">
        <v>352</v>
      </c>
      <c r="I210" s="31" t="s">
        <v>2048</v>
      </c>
      <c r="J210" s="31">
        <v>9</v>
      </c>
      <c r="K210" s="33" t="s">
        <v>694</v>
      </c>
      <c r="L210" s="33"/>
      <c r="M210" s="34"/>
      <c r="N210" s="34" t="s">
        <v>1687</v>
      </c>
      <c r="O210" s="35">
        <v>1</v>
      </c>
      <c r="P210" s="35">
        <v>1</v>
      </c>
      <c r="Q210" s="32" t="s">
        <v>2049</v>
      </c>
      <c r="S210" s="1">
        <f t="shared" si="61"/>
        <v>0</v>
      </c>
      <c r="T210" s="1">
        <f t="shared" si="62"/>
        <v>0</v>
      </c>
      <c r="U210" s="1">
        <f t="shared" si="63"/>
        <v>0</v>
      </c>
      <c r="V210" s="1">
        <f t="shared" si="64"/>
        <v>0</v>
      </c>
      <c r="W210" s="1">
        <f t="shared" si="65"/>
        <v>0</v>
      </c>
      <c r="X210" s="1">
        <f t="shared" si="66"/>
        <v>0</v>
      </c>
      <c r="Y210" s="1">
        <f t="shared" si="67"/>
        <v>0</v>
      </c>
      <c r="Z210" s="1">
        <f t="shared" si="68"/>
        <v>0</v>
      </c>
      <c r="AA210" s="1">
        <f t="shared" si="69"/>
        <v>1</v>
      </c>
      <c r="AB210" s="1">
        <f t="shared" si="70"/>
        <v>0</v>
      </c>
      <c r="AD210" s="1">
        <f t="shared" si="71"/>
        <v>1</v>
      </c>
      <c r="AE210" s="1">
        <f t="shared" si="72"/>
        <v>0</v>
      </c>
      <c r="AF210" s="1">
        <f t="shared" si="73"/>
        <v>1</v>
      </c>
      <c r="AG210" s="1">
        <f t="shared" si="74"/>
        <v>0</v>
      </c>
      <c r="AH210" s="1">
        <f t="shared" si="75"/>
        <v>1</v>
      </c>
      <c r="AI210" s="1">
        <f t="shared" si="76"/>
        <v>0</v>
      </c>
    </row>
    <row r="211" spans="1:35" ht="14.25" customHeight="1" x14ac:dyDescent="0.25">
      <c r="A211" s="15">
        <v>0</v>
      </c>
      <c r="B211" s="15">
        <v>1</v>
      </c>
      <c r="C211" s="15">
        <v>5</v>
      </c>
      <c r="D211" s="20" t="s">
        <v>1888</v>
      </c>
      <c r="E211" s="20" t="s">
        <v>871</v>
      </c>
      <c r="F211" s="20" t="s">
        <v>1905</v>
      </c>
      <c r="G211" s="20"/>
      <c r="H211" s="20" t="s">
        <v>1906</v>
      </c>
      <c r="I211" s="21" t="s">
        <v>1904</v>
      </c>
      <c r="J211" s="15">
        <v>15</v>
      </c>
      <c r="K211" s="10" t="s">
        <v>694</v>
      </c>
      <c r="L211" s="10" t="s">
        <v>688</v>
      </c>
      <c r="M211" s="19" t="s">
        <v>947</v>
      </c>
      <c r="N211" s="17"/>
      <c r="Q211" s="20" t="s">
        <v>1907</v>
      </c>
      <c r="S211" s="1">
        <f t="shared" si="61"/>
        <v>0</v>
      </c>
      <c r="T211" s="1">
        <f t="shared" si="62"/>
        <v>0</v>
      </c>
      <c r="U211" s="1">
        <f t="shared" si="63"/>
        <v>0</v>
      </c>
      <c r="V211" s="1">
        <f t="shared" si="64"/>
        <v>0</v>
      </c>
      <c r="W211" s="1">
        <f t="shared" si="65"/>
        <v>0</v>
      </c>
      <c r="X211" s="1">
        <f t="shared" si="66"/>
        <v>0</v>
      </c>
      <c r="Y211" s="1">
        <f t="shared" si="67"/>
        <v>0</v>
      </c>
      <c r="Z211" s="1">
        <f t="shared" si="68"/>
        <v>0</v>
      </c>
      <c r="AA211" s="1">
        <f t="shared" si="69"/>
        <v>0</v>
      </c>
      <c r="AB211" s="1">
        <f t="shared" si="70"/>
        <v>0</v>
      </c>
      <c r="AD211" s="1">
        <f t="shared" si="71"/>
        <v>0</v>
      </c>
      <c r="AE211" s="1">
        <f t="shared" si="72"/>
        <v>0</v>
      </c>
      <c r="AF211" s="1">
        <f t="shared" si="73"/>
        <v>0</v>
      </c>
      <c r="AG211" s="1">
        <f t="shared" si="74"/>
        <v>0</v>
      </c>
      <c r="AH211" s="1">
        <f t="shared" si="75"/>
        <v>0</v>
      </c>
      <c r="AI211" s="1">
        <f t="shared" si="76"/>
        <v>1</v>
      </c>
    </row>
    <row r="212" spans="1:35" ht="14.25" customHeight="1" x14ac:dyDescent="0.25">
      <c r="A212" s="31">
        <v>0</v>
      </c>
      <c r="B212" s="31">
        <v>1</v>
      </c>
      <c r="C212" s="31">
        <v>5</v>
      </c>
      <c r="D212" s="32" t="s">
        <v>865</v>
      </c>
      <c r="E212" s="32" t="s">
        <v>866</v>
      </c>
      <c r="F212" s="32" t="s">
        <v>1068</v>
      </c>
      <c r="G212" s="32" t="s">
        <v>39</v>
      </c>
      <c r="H212" s="32" t="s">
        <v>867</v>
      </c>
      <c r="I212" s="31" t="s">
        <v>868</v>
      </c>
      <c r="J212" s="31">
        <v>16</v>
      </c>
      <c r="K212" s="33" t="s">
        <v>694</v>
      </c>
      <c r="L212" s="33" t="s">
        <v>683</v>
      </c>
      <c r="M212" s="34" t="s">
        <v>946</v>
      </c>
      <c r="N212" s="34" t="s">
        <v>1687</v>
      </c>
      <c r="O212" s="35">
        <v>1</v>
      </c>
      <c r="P212" s="35">
        <v>1</v>
      </c>
      <c r="Q212" s="36" t="s">
        <v>1834</v>
      </c>
      <c r="S212" s="1">
        <f t="shared" si="61"/>
        <v>0</v>
      </c>
      <c r="T212" s="1">
        <f t="shared" si="62"/>
        <v>0</v>
      </c>
      <c r="U212" s="1">
        <f t="shared" si="63"/>
        <v>0</v>
      </c>
      <c r="V212" s="1">
        <f t="shared" si="64"/>
        <v>0</v>
      </c>
      <c r="W212" s="1">
        <f t="shared" si="65"/>
        <v>0</v>
      </c>
      <c r="X212" s="1">
        <f t="shared" si="66"/>
        <v>0</v>
      </c>
      <c r="Y212" s="1">
        <f t="shared" si="67"/>
        <v>0</v>
      </c>
      <c r="Z212" s="1">
        <f t="shared" si="68"/>
        <v>0</v>
      </c>
      <c r="AA212" s="1">
        <f t="shared" si="69"/>
        <v>0</v>
      </c>
      <c r="AB212" s="1">
        <f t="shared" si="70"/>
        <v>0</v>
      </c>
      <c r="AD212" s="1">
        <f t="shared" si="71"/>
        <v>1</v>
      </c>
      <c r="AE212" s="1">
        <f t="shared" si="72"/>
        <v>0</v>
      </c>
      <c r="AF212" s="1">
        <f t="shared" si="73"/>
        <v>1</v>
      </c>
      <c r="AG212" s="1">
        <f t="shared" si="74"/>
        <v>0</v>
      </c>
      <c r="AH212" s="1">
        <f t="shared" si="75"/>
        <v>1</v>
      </c>
      <c r="AI212" s="1">
        <f t="shared" si="76"/>
        <v>0</v>
      </c>
    </row>
    <row r="213" spans="1:35" ht="14.25" customHeight="1" x14ac:dyDescent="0.25">
      <c r="A213" s="31">
        <v>0</v>
      </c>
      <c r="B213" s="31">
        <v>1</v>
      </c>
      <c r="C213" s="31">
        <v>5</v>
      </c>
      <c r="D213" s="32" t="s">
        <v>105</v>
      </c>
      <c r="E213" s="32" t="s">
        <v>172</v>
      </c>
      <c r="F213" s="32" t="s">
        <v>302</v>
      </c>
      <c r="G213" s="32" t="s">
        <v>39</v>
      </c>
      <c r="H213" s="32" t="s">
        <v>357</v>
      </c>
      <c r="I213" s="31" t="s">
        <v>450</v>
      </c>
      <c r="J213" s="31">
        <v>14</v>
      </c>
      <c r="K213" s="33" t="s">
        <v>932</v>
      </c>
      <c r="L213" s="33" t="s">
        <v>684</v>
      </c>
      <c r="M213" s="34" t="s">
        <v>946</v>
      </c>
      <c r="N213" s="34" t="s">
        <v>1689</v>
      </c>
      <c r="O213" s="35">
        <v>1</v>
      </c>
      <c r="P213" s="35"/>
      <c r="Q213" s="32"/>
      <c r="S213" s="1">
        <f t="shared" si="61"/>
        <v>0</v>
      </c>
      <c r="T213" s="1">
        <f t="shared" si="62"/>
        <v>0</v>
      </c>
      <c r="U213" s="1">
        <f t="shared" si="63"/>
        <v>0</v>
      </c>
      <c r="V213" s="1">
        <f t="shared" si="64"/>
        <v>0</v>
      </c>
      <c r="W213" s="1">
        <f t="shared" si="65"/>
        <v>0</v>
      </c>
      <c r="X213" s="1">
        <f t="shared" si="66"/>
        <v>0</v>
      </c>
      <c r="Y213" s="1">
        <f t="shared" si="67"/>
        <v>0</v>
      </c>
      <c r="Z213" s="1">
        <f t="shared" si="68"/>
        <v>0</v>
      </c>
      <c r="AA213" s="1">
        <f t="shared" si="69"/>
        <v>0</v>
      </c>
      <c r="AB213" s="1">
        <f t="shared" si="70"/>
        <v>0</v>
      </c>
      <c r="AD213" s="1">
        <f t="shared" si="71"/>
        <v>0</v>
      </c>
      <c r="AE213" s="1">
        <f t="shared" si="72"/>
        <v>1</v>
      </c>
      <c r="AF213" s="1">
        <f t="shared" si="73"/>
        <v>0</v>
      </c>
      <c r="AG213" s="1">
        <f t="shared" si="74"/>
        <v>1</v>
      </c>
      <c r="AH213" s="1">
        <f t="shared" si="75"/>
        <v>0</v>
      </c>
      <c r="AI213" s="1">
        <f t="shared" si="76"/>
        <v>1</v>
      </c>
    </row>
    <row r="214" spans="1:35" ht="14.25" customHeight="1" x14ac:dyDescent="0.25">
      <c r="A214" s="31">
        <v>0</v>
      </c>
      <c r="B214" s="31">
        <v>1</v>
      </c>
      <c r="C214" s="31">
        <v>5</v>
      </c>
      <c r="D214" s="32" t="s">
        <v>509</v>
      </c>
      <c r="E214" s="32" t="s">
        <v>171</v>
      </c>
      <c r="F214" s="32" t="s">
        <v>545</v>
      </c>
      <c r="G214" s="32" t="s">
        <v>39</v>
      </c>
      <c r="H214" s="32" t="s">
        <v>360</v>
      </c>
      <c r="I214" s="31" t="s">
        <v>1090</v>
      </c>
      <c r="J214" s="31">
        <v>12</v>
      </c>
      <c r="K214" s="33" t="s">
        <v>694</v>
      </c>
      <c r="L214" s="33">
        <v>35</v>
      </c>
      <c r="M214" s="34" t="s">
        <v>946</v>
      </c>
      <c r="N214" s="34" t="s">
        <v>1766</v>
      </c>
      <c r="O214" s="35">
        <v>1</v>
      </c>
      <c r="P214" s="35"/>
      <c r="Q214" s="32"/>
      <c r="S214" s="1">
        <f t="shared" si="61"/>
        <v>0</v>
      </c>
      <c r="T214" s="1">
        <f t="shared" si="62"/>
        <v>0</v>
      </c>
      <c r="U214" s="1">
        <f t="shared" si="63"/>
        <v>0</v>
      </c>
      <c r="V214" s="1">
        <f t="shared" si="64"/>
        <v>0</v>
      </c>
      <c r="W214" s="1">
        <f t="shared" si="65"/>
        <v>0</v>
      </c>
      <c r="X214" s="1">
        <f t="shared" si="66"/>
        <v>0</v>
      </c>
      <c r="Y214" s="1">
        <f t="shared" si="67"/>
        <v>0</v>
      </c>
      <c r="Z214" s="1">
        <f t="shared" si="68"/>
        <v>0</v>
      </c>
      <c r="AA214" s="1">
        <f t="shared" si="69"/>
        <v>0</v>
      </c>
      <c r="AB214" s="1">
        <f t="shared" si="70"/>
        <v>0</v>
      </c>
      <c r="AD214" s="1">
        <f t="shared" si="71"/>
        <v>0</v>
      </c>
      <c r="AE214" s="1">
        <f t="shared" si="72"/>
        <v>1</v>
      </c>
      <c r="AF214" s="1">
        <f t="shared" si="73"/>
        <v>0</v>
      </c>
      <c r="AG214" s="1">
        <f t="shared" si="74"/>
        <v>1</v>
      </c>
      <c r="AH214" s="1">
        <f t="shared" si="75"/>
        <v>0</v>
      </c>
      <c r="AI214" s="1">
        <f t="shared" si="76"/>
        <v>1</v>
      </c>
    </row>
    <row r="215" spans="1:35" ht="14.25" customHeight="1" x14ac:dyDescent="0.25">
      <c r="A215" s="31">
        <v>0</v>
      </c>
      <c r="B215" s="31">
        <v>1</v>
      </c>
      <c r="C215" s="31">
        <v>5</v>
      </c>
      <c r="D215" s="32" t="s">
        <v>150</v>
      </c>
      <c r="E215" s="32" t="s">
        <v>165</v>
      </c>
      <c r="F215" s="36" t="s">
        <v>1811</v>
      </c>
      <c r="G215" s="32" t="s">
        <v>196</v>
      </c>
      <c r="H215" s="32" t="s">
        <v>352</v>
      </c>
      <c r="I215" s="31" t="s">
        <v>495</v>
      </c>
      <c r="J215" s="31">
        <v>99</v>
      </c>
      <c r="K215" s="33" t="s">
        <v>932</v>
      </c>
      <c r="L215" s="33" t="s">
        <v>684</v>
      </c>
      <c r="M215" s="34" t="s">
        <v>946</v>
      </c>
      <c r="N215" s="34" t="s">
        <v>1693</v>
      </c>
      <c r="O215" s="35">
        <v>1</v>
      </c>
      <c r="P215" s="35"/>
      <c r="Q215" s="32"/>
      <c r="S215" s="1">
        <f t="shared" ref="S215:S278" si="97">IF(J215=$S$7,1,0)</f>
        <v>0</v>
      </c>
      <c r="T215" s="1">
        <f t="shared" ref="T215:T278" si="98">IF(J215=$T$7,1,0)</f>
        <v>0</v>
      </c>
      <c r="U215" s="1">
        <f t="shared" ref="U215:U278" si="99">IF(J215=$U$7,1,0)</f>
        <v>0</v>
      </c>
      <c r="V215" s="1">
        <f t="shared" ref="V215:V278" si="100">IF(J215=$V$7,1,0)</f>
        <v>0</v>
      </c>
      <c r="W215" s="1">
        <f t="shared" ref="W215:W278" si="101">IF(J215=$W$7,1,0)</f>
        <v>0</v>
      </c>
      <c r="X215" s="1">
        <f t="shared" ref="X215:X278" si="102">IF(J215=$X$7,1,0)</f>
        <v>0</v>
      </c>
      <c r="Y215" s="1">
        <f t="shared" ref="Y215:Y278" si="103">IF(J215=$Y$7,1,0)</f>
        <v>0</v>
      </c>
      <c r="Z215" s="1">
        <f t="shared" ref="Z215:Z278" si="104">IF(J215=$Z$7,1,0)</f>
        <v>0</v>
      </c>
      <c r="AA215" s="1">
        <f t="shared" ref="AA215:AA278" si="105">IF(J215=$AA$7,1,0)</f>
        <v>0</v>
      </c>
      <c r="AB215" s="1">
        <f t="shared" ref="AB215:AB278" si="106">IF(J215=$AB$7,1,0)</f>
        <v>0</v>
      </c>
      <c r="AD215" s="1">
        <f t="shared" ref="AD215:AD278" si="107">+O215*P215</f>
        <v>0</v>
      </c>
      <c r="AE215" s="1">
        <f t="shared" ref="AE215:AE278" si="108">O215*(1-P215)</f>
        <v>1</v>
      </c>
      <c r="AF215" s="1">
        <f t="shared" si="73"/>
        <v>0</v>
      </c>
      <c r="AG215" s="1">
        <f t="shared" si="74"/>
        <v>1</v>
      </c>
      <c r="AH215" s="1">
        <f t="shared" si="75"/>
        <v>0</v>
      </c>
      <c r="AI215" s="1">
        <f t="shared" si="76"/>
        <v>1</v>
      </c>
    </row>
    <row r="216" spans="1:35" ht="14.25" customHeight="1" x14ac:dyDescent="0.25">
      <c r="A216" s="31">
        <v>0</v>
      </c>
      <c r="B216" s="31">
        <v>1</v>
      </c>
      <c r="C216" s="31">
        <v>5</v>
      </c>
      <c r="D216" s="32" t="s">
        <v>641</v>
      </c>
      <c r="E216" s="32" t="s">
        <v>675</v>
      </c>
      <c r="F216" s="32" t="s">
        <v>637</v>
      </c>
      <c r="G216" s="32" t="s">
        <v>184</v>
      </c>
      <c r="H216" s="32" t="s">
        <v>352</v>
      </c>
      <c r="I216" s="31" t="s">
        <v>638</v>
      </c>
      <c r="J216" s="31">
        <v>99</v>
      </c>
      <c r="K216" s="33" t="s">
        <v>713</v>
      </c>
      <c r="L216" s="33" t="s">
        <v>684</v>
      </c>
      <c r="M216" s="34" t="s">
        <v>946</v>
      </c>
      <c r="N216" s="34" t="s">
        <v>1694</v>
      </c>
      <c r="O216" s="35">
        <v>1</v>
      </c>
      <c r="P216" s="35"/>
      <c r="Q216" s="32"/>
      <c r="S216" s="1">
        <f t="shared" si="97"/>
        <v>0</v>
      </c>
      <c r="T216" s="1">
        <f t="shared" si="98"/>
        <v>0</v>
      </c>
      <c r="U216" s="1">
        <f t="shared" si="99"/>
        <v>0</v>
      </c>
      <c r="V216" s="1">
        <f t="shared" si="100"/>
        <v>0</v>
      </c>
      <c r="W216" s="1">
        <f t="shared" si="101"/>
        <v>0</v>
      </c>
      <c r="X216" s="1">
        <f t="shared" si="102"/>
        <v>0</v>
      </c>
      <c r="Y216" s="1">
        <f t="shared" si="103"/>
        <v>0</v>
      </c>
      <c r="Z216" s="1">
        <f t="shared" si="104"/>
        <v>0</v>
      </c>
      <c r="AA216" s="1">
        <f t="shared" si="105"/>
        <v>0</v>
      </c>
      <c r="AB216" s="1">
        <f t="shared" si="106"/>
        <v>0</v>
      </c>
      <c r="AD216" s="1">
        <f t="shared" si="107"/>
        <v>0</v>
      </c>
      <c r="AE216" s="1">
        <f t="shared" si="108"/>
        <v>1</v>
      </c>
      <c r="AF216" s="1">
        <f t="shared" ref="AF216:AF279" si="109">+O216*P216*(1-A216)</f>
        <v>0</v>
      </c>
      <c r="AG216" s="1">
        <f t="shared" ref="AG216:AG279" si="110">O216*(1-P216)*(1-A216)</f>
        <v>1</v>
      </c>
      <c r="AH216" s="1">
        <f t="shared" ref="AH216:AH279" si="111">+P216*(1-A216)</f>
        <v>0</v>
      </c>
      <c r="AI216" s="1">
        <f t="shared" ref="AI216:AI279" si="112">+(1-A216)*(1-P216)</f>
        <v>1</v>
      </c>
    </row>
    <row r="217" spans="1:35" ht="14.25" customHeight="1" x14ac:dyDescent="0.25">
      <c r="A217" s="31">
        <v>0</v>
      </c>
      <c r="B217" s="31">
        <v>1</v>
      </c>
      <c r="C217" s="31">
        <v>5</v>
      </c>
      <c r="D217" s="32" t="s">
        <v>1277</v>
      </c>
      <c r="E217" s="32" t="s">
        <v>165</v>
      </c>
      <c r="F217" s="32" t="s">
        <v>1278</v>
      </c>
      <c r="G217" s="32" t="s">
        <v>281</v>
      </c>
      <c r="H217" s="32" t="s">
        <v>352</v>
      </c>
      <c r="I217" s="31" t="s">
        <v>1279</v>
      </c>
      <c r="J217" s="31">
        <v>99</v>
      </c>
      <c r="K217" s="33" t="s">
        <v>693</v>
      </c>
      <c r="L217" s="33" t="s">
        <v>39</v>
      </c>
      <c r="M217" s="34" t="s">
        <v>39</v>
      </c>
      <c r="N217" s="34" t="s">
        <v>1687</v>
      </c>
      <c r="O217" s="35">
        <v>1</v>
      </c>
      <c r="P217" s="35">
        <v>1</v>
      </c>
      <c r="Q217" s="32"/>
      <c r="S217" s="1">
        <f t="shared" si="97"/>
        <v>0</v>
      </c>
      <c r="T217" s="1">
        <f t="shared" si="98"/>
        <v>0</v>
      </c>
      <c r="U217" s="1">
        <f t="shared" si="99"/>
        <v>0</v>
      </c>
      <c r="V217" s="1">
        <f t="shared" si="100"/>
        <v>0</v>
      </c>
      <c r="W217" s="1">
        <f t="shared" si="101"/>
        <v>0</v>
      </c>
      <c r="X217" s="1">
        <f t="shared" si="102"/>
        <v>0</v>
      </c>
      <c r="Y217" s="1">
        <f t="shared" si="103"/>
        <v>0</v>
      </c>
      <c r="Z217" s="1">
        <f t="shared" si="104"/>
        <v>0</v>
      </c>
      <c r="AA217" s="1">
        <f t="shared" si="105"/>
        <v>0</v>
      </c>
      <c r="AB217" s="1">
        <f t="shared" si="106"/>
        <v>0</v>
      </c>
      <c r="AD217" s="1">
        <f t="shared" si="107"/>
        <v>1</v>
      </c>
      <c r="AE217" s="1">
        <f t="shared" si="108"/>
        <v>0</v>
      </c>
      <c r="AF217" s="1">
        <f t="shared" si="109"/>
        <v>1</v>
      </c>
      <c r="AG217" s="1">
        <f t="shared" si="110"/>
        <v>0</v>
      </c>
      <c r="AH217" s="1">
        <f t="shared" si="111"/>
        <v>1</v>
      </c>
      <c r="AI217" s="1">
        <f t="shared" si="112"/>
        <v>0</v>
      </c>
    </row>
    <row r="218" spans="1:35" ht="14.25" customHeight="1" x14ac:dyDescent="0.25">
      <c r="A218" s="31">
        <v>0</v>
      </c>
      <c r="B218" s="31">
        <v>1</v>
      </c>
      <c r="C218" s="31">
        <v>5</v>
      </c>
      <c r="D218" s="32" t="s">
        <v>870</v>
      </c>
      <c r="E218" s="32" t="s">
        <v>871</v>
      </c>
      <c r="F218" s="32" t="s">
        <v>912</v>
      </c>
      <c r="G218" s="32" t="s">
        <v>39</v>
      </c>
      <c r="H218" s="32" t="s">
        <v>872</v>
      </c>
      <c r="I218" s="31" t="s">
        <v>873</v>
      </c>
      <c r="J218" s="31">
        <v>17</v>
      </c>
      <c r="K218" s="33" t="s">
        <v>694</v>
      </c>
      <c r="L218" s="33" t="s">
        <v>688</v>
      </c>
      <c r="M218" s="34" t="s">
        <v>946</v>
      </c>
      <c r="N218" s="34" t="s">
        <v>1700</v>
      </c>
      <c r="O218" s="35">
        <v>1</v>
      </c>
      <c r="P218" s="35"/>
      <c r="Q218" s="32"/>
      <c r="S218" s="1">
        <f t="shared" si="97"/>
        <v>0</v>
      </c>
      <c r="T218" s="1">
        <f t="shared" si="98"/>
        <v>0</v>
      </c>
      <c r="U218" s="1">
        <f t="shared" si="99"/>
        <v>0</v>
      </c>
      <c r="V218" s="1">
        <f t="shared" si="100"/>
        <v>0</v>
      </c>
      <c r="W218" s="1">
        <f t="shared" si="101"/>
        <v>0</v>
      </c>
      <c r="X218" s="1">
        <f t="shared" si="102"/>
        <v>0</v>
      </c>
      <c r="Y218" s="1">
        <f t="shared" si="103"/>
        <v>0</v>
      </c>
      <c r="Z218" s="1">
        <f t="shared" si="104"/>
        <v>0</v>
      </c>
      <c r="AA218" s="1">
        <f t="shared" si="105"/>
        <v>0</v>
      </c>
      <c r="AB218" s="1">
        <f t="shared" si="106"/>
        <v>0</v>
      </c>
      <c r="AD218" s="1">
        <f t="shared" si="107"/>
        <v>0</v>
      </c>
      <c r="AE218" s="1">
        <f t="shared" si="108"/>
        <v>1</v>
      </c>
      <c r="AF218" s="1">
        <f t="shared" si="109"/>
        <v>0</v>
      </c>
      <c r="AG218" s="1">
        <f t="shared" si="110"/>
        <v>1</v>
      </c>
      <c r="AH218" s="1">
        <f t="shared" si="111"/>
        <v>0</v>
      </c>
      <c r="AI218" s="1">
        <f t="shared" si="112"/>
        <v>1</v>
      </c>
    </row>
    <row r="219" spans="1:35" ht="14.25" customHeight="1" x14ac:dyDescent="0.25">
      <c r="A219" s="15">
        <v>0</v>
      </c>
      <c r="B219" s="15">
        <v>1</v>
      </c>
      <c r="C219" s="15">
        <v>5</v>
      </c>
      <c r="D219" s="16" t="s">
        <v>1881</v>
      </c>
      <c r="E219" s="16" t="s">
        <v>871</v>
      </c>
      <c r="F219" s="16" t="s">
        <v>1883</v>
      </c>
      <c r="G219" s="16"/>
      <c r="H219" s="16" t="s">
        <v>1882</v>
      </c>
      <c r="I219" s="15" t="s">
        <v>1884</v>
      </c>
      <c r="J219" s="15">
        <v>16</v>
      </c>
      <c r="K219" s="10" t="s">
        <v>694</v>
      </c>
      <c r="L219" s="10" t="s">
        <v>688</v>
      </c>
      <c r="M219" s="19" t="s">
        <v>946</v>
      </c>
      <c r="N219" s="17"/>
      <c r="Q219" s="20" t="s">
        <v>1885</v>
      </c>
      <c r="S219" s="1">
        <f t="shared" si="97"/>
        <v>0</v>
      </c>
      <c r="T219" s="1">
        <f t="shared" si="98"/>
        <v>0</v>
      </c>
      <c r="U219" s="1">
        <f t="shared" si="99"/>
        <v>0</v>
      </c>
      <c r="V219" s="1">
        <f t="shared" si="100"/>
        <v>0</v>
      </c>
      <c r="W219" s="1">
        <f t="shared" si="101"/>
        <v>0</v>
      </c>
      <c r="X219" s="1">
        <f t="shared" si="102"/>
        <v>0</v>
      </c>
      <c r="Y219" s="1">
        <f t="shared" si="103"/>
        <v>0</v>
      </c>
      <c r="Z219" s="1">
        <f t="shared" si="104"/>
        <v>0</v>
      </c>
      <c r="AA219" s="1">
        <f t="shared" si="105"/>
        <v>0</v>
      </c>
      <c r="AB219" s="1">
        <f t="shared" si="106"/>
        <v>0</v>
      </c>
      <c r="AD219" s="1">
        <f t="shared" si="107"/>
        <v>0</v>
      </c>
      <c r="AE219" s="1">
        <f t="shared" si="108"/>
        <v>0</v>
      </c>
      <c r="AF219" s="1">
        <f t="shared" si="109"/>
        <v>0</v>
      </c>
      <c r="AG219" s="1">
        <f t="shared" si="110"/>
        <v>0</v>
      </c>
      <c r="AH219" s="1">
        <f t="shared" si="111"/>
        <v>0</v>
      </c>
      <c r="AI219" s="1">
        <f t="shared" si="112"/>
        <v>1</v>
      </c>
    </row>
    <row r="220" spans="1:35" ht="14.25" customHeight="1" x14ac:dyDescent="0.25">
      <c r="A220" s="31">
        <v>0</v>
      </c>
      <c r="B220" s="31">
        <v>1</v>
      </c>
      <c r="C220" s="31">
        <v>5</v>
      </c>
      <c r="D220" s="32" t="s">
        <v>130</v>
      </c>
      <c r="E220" s="32" t="s">
        <v>165</v>
      </c>
      <c r="F220" s="32" t="s">
        <v>330</v>
      </c>
      <c r="G220" s="32" t="s">
        <v>331</v>
      </c>
      <c r="H220" s="32" t="s">
        <v>352</v>
      </c>
      <c r="I220" s="31" t="s">
        <v>477</v>
      </c>
      <c r="J220" s="31">
        <v>99</v>
      </c>
      <c r="K220" s="33" t="s">
        <v>713</v>
      </c>
      <c r="L220" s="33" t="s">
        <v>685</v>
      </c>
      <c r="M220" s="34" t="s">
        <v>946</v>
      </c>
      <c r="N220" s="34" t="s">
        <v>1694</v>
      </c>
      <c r="O220" s="35">
        <v>1</v>
      </c>
      <c r="P220" s="35"/>
      <c r="Q220" s="32"/>
      <c r="S220" s="1">
        <f t="shared" si="97"/>
        <v>0</v>
      </c>
      <c r="T220" s="1">
        <f t="shared" si="98"/>
        <v>0</v>
      </c>
      <c r="U220" s="1">
        <f t="shared" si="99"/>
        <v>0</v>
      </c>
      <c r="V220" s="1">
        <f t="shared" si="100"/>
        <v>0</v>
      </c>
      <c r="W220" s="1">
        <f t="shared" si="101"/>
        <v>0</v>
      </c>
      <c r="X220" s="1">
        <f t="shared" si="102"/>
        <v>0</v>
      </c>
      <c r="Y220" s="1">
        <f t="shared" si="103"/>
        <v>0</v>
      </c>
      <c r="Z220" s="1">
        <f t="shared" si="104"/>
        <v>0</v>
      </c>
      <c r="AA220" s="1">
        <f t="shared" si="105"/>
        <v>0</v>
      </c>
      <c r="AB220" s="1">
        <f t="shared" si="106"/>
        <v>0</v>
      </c>
      <c r="AD220" s="1">
        <f t="shared" si="107"/>
        <v>0</v>
      </c>
      <c r="AE220" s="1">
        <f t="shared" si="108"/>
        <v>1</v>
      </c>
      <c r="AF220" s="1">
        <f t="shared" si="109"/>
        <v>0</v>
      </c>
      <c r="AG220" s="1">
        <f t="shared" si="110"/>
        <v>1</v>
      </c>
      <c r="AH220" s="1">
        <f t="shared" si="111"/>
        <v>0</v>
      </c>
      <c r="AI220" s="1">
        <f t="shared" si="112"/>
        <v>1</v>
      </c>
    </row>
    <row r="221" spans="1:35" ht="14.25" customHeight="1" x14ac:dyDescent="0.25">
      <c r="A221" s="31">
        <v>0</v>
      </c>
      <c r="B221" s="31">
        <v>1</v>
      </c>
      <c r="C221" s="31">
        <v>5</v>
      </c>
      <c r="D221" s="32" t="s">
        <v>108</v>
      </c>
      <c r="E221" s="32" t="s">
        <v>165</v>
      </c>
      <c r="F221" s="32" t="s">
        <v>305</v>
      </c>
      <c r="G221" s="32" t="s">
        <v>230</v>
      </c>
      <c r="H221" s="32" t="s">
        <v>352</v>
      </c>
      <c r="I221" s="31" t="s">
        <v>453</v>
      </c>
      <c r="J221" s="31">
        <v>99</v>
      </c>
      <c r="K221" s="33" t="s">
        <v>713</v>
      </c>
      <c r="L221" s="33" t="s">
        <v>687</v>
      </c>
      <c r="M221" s="34" t="s">
        <v>682</v>
      </c>
      <c r="N221" s="34" t="s">
        <v>1689</v>
      </c>
      <c r="O221" s="35">
        <v>1</v>
      </c>
      <c r="P221" s="35"/>
      <c r="Q221" s="32"/>
      <c r="S221" s="1">
        <f t="shared" si="97"/>
        <v>0</v>
      </c>
      <c r="T221" s="1">
        <f t="shared" si="98"/>
        <v>0</v>
      </c>
      <c r="U221" s="1">
        <f t="shared" si="99"/>
        <v>0</v>
      </c>
      <c r="V221" s="1">
        <f t="shared" si="100"/>
        <v>0</v>
      </c>
      <c r="W221" s="1">
        <f t="shared" si="101"/>
        <v>0</v>
      </c>
      <c r="X221" s="1">
        <f t="shared" si="102"/>
        <v>0</v>
      </c>
      <c r="Y221" s="1">
        <f t="shared" si="103"/>
        <v>0</v>
      </c>
      <c r="Z221" s="1">
        <f t="shared" si="104"/>
        <v>0</v>
      </c>
      <c r="AA221" s="1">
        <f t="shared" si="105"/>
        <v>0</v>
      </c>
      <c r="AB221" s="1">
        <f t="shared" si="106"/>
        <v>0</v>
      </c>
      <c r="AD221" s="1">
        <f t="shared" si="107"/>
        <v>0</v>
      </c>
      <c r="AE221" s="1">
        <f t="shared" si="108"/>
        <v>1</v>
      </c>
      <c r="AF221" s="1">
        <f t="shared" si="109"/>
        <v>0</v>
      </c>
      <c r="AG221" s="1">
        <f t="shared" si="110"/>
        <v>1</v>
      </c>
      <c r="AH221" s="1">
        <f t="shared" si="111"/>
        <v>0</v>
      </c>
      <c r="AI221" s="1">
        <f t="shared" si="112"/>
        <v>1</v>
      </c>
    </row>
    <row r="222" spans="1:35" ht="14.25" customHeight="1" x14ac:dyDescent="0.25">
      <c r="A222" s="31">
        <v>0</v>
      </c>
      <c r="B222" s="31">
        <v>1</v>
      </c>
      <c r="C222" s="31">
        <v>5</v>
      </c>
      <c r="D222" s="32" t="s">
        <v>110</v>
      </c>
      <c r="E222" s="32" t="s">
        <v>171</v>
      </c>
      <c r="F222" s="32" t="s">
        <v>308</v>
      </c>
      <c r="G222" s="32" t="s">
        <v>39</v>
      </c>
      <c r="H222" s="32" t="s">
        <v>362</v>
      </c>
      <c r="I222" s="31" t="s">
        <v>456</v>
      </c>
      <c r="J222" s="31">
        <v>17</v>
      </c>
      <c r="K222" s="33" t="s">
        <v>694</v>
      </c>
      <c r="L222" s="33" t="s">
        <v>688</v>
      </c>
      <c r="M222" s="34" t="s">
        <v>682</v>
      </c>
      <c r="N222" s="34" t="s">
        <v>1687</v>
      </c>
      <c r="O222" s="35">
        <v>1</v>
      </c>
      <c r="P222" s="35">
        <v>1</v>
      </c>
      <c r="Q222" s="32" t="s">
        <v>1855</v>
      </c>
      <c r="S222" s="1">
        <f t="shared" si="97"/>
        <v>0</v>
      </c>
      <c r="T222" s="1">
        <f t="shared" si="98"/>
        <v>0</v>
      </c>
      <c r="U222" s="1">
        <f t="shared" si="99"/>
        <v>0</v>
      </c>
      <c r="V222" s="1">
        <f t="shared" si="100"/>
        <v>0</v>
      </c>
      <c r="W222" s="1">
        <f t="shared" si="101"/>
        <v>0</v>
      </c>
      <c r="X222" s="1">
        <f t="shared" si="102"/>
        <v>0</v>
      </c>
      <c r="Y222" s="1">
        <f t="shared" si="103"/>
        <v>0</v>
      </c>
      <c r="Z222" s="1">
        <f t="shared" si="104"/>
        <v>0</v>
      </c>
      <c r="AA222" s="1">
        <f t="shared" si="105"/>
        <v>0</v>
      </c>
      <c r="AB222" s="1">
        <f t="shared" si="106"/>
        <v>0</v>
      </c>
      <c r="AD222" s="1">
        <f t="shared" si="107"/>
        <v>1</v>
      </c>
      <c r="AE222" s="1">
        <f t="shared" si="108"/>
        <v>0</v>
      </c>
      <c r="AF222" s="1">
        <f t="shared" si="109"/>
        <v>1</v>
      </c>
      <c r="AG222" s="1">
        <f t="shared" si="110"/>
        <v>0</v>
      </c>
      <c r="AH222" s="1">
        <f t="shared" si="111"/>
        <v>1</v>
      </c>
      <c r="AI222" s="1">
        <f t="shared" si="112"/>
        <v>0</v>
      </c>
    </row>
    <row r="223" spans="1:35" ht="14.25" customHeight="1" x14ac:dyDescent="0.25">
      <c r="A223" s="31">
        <v>0</v>
      </c>
      <c r="B223" s="31">
        <v>1</v>
      </c>
      <c r="C223" s="31">
        <v>5</v>
      </c>
      <c r="D223" s="32" t="s">
        <v>521</v>
      </c>
      <c r="E223" s="32" t="s">
        <v>522</v>
      </c>
      <c r="F223" s="32" t="s">
        <v>523</v>
      </c>
      <c r="G223" s="32" t="s">
        <v>201</v>
      </c>
      <c r="H223" s="32" t="s">
        <v>352</v>
      </c>
      <c r="I223" s="31" t="s">
        <v>524</v>
      </c>
      <c r="J223" s="31">
        <v>10</v>
      </c>
      <c r="K223" s="33" t="s">
        <v>693</v>
      </c>
      <c r="L223" s="33" t="s">
        <v>684</v>
      </c>
      <c r="M223" s="34" t="s">
        <v>946</v>
      </c>
      <c r="N223" s="34" t="s">
        <v>1687</v>
      </c>
      <c r="O223" s="35">
        <v>1</v>
      </c>
      <c r="P223" s="35">
        <v>1</v>
      </c>
      <c r="Q223" s="32"/>
      <c r="S223" s="1">
        <f t="shared" si="97"/>
        <v>0</v>
      </c>
      <c r="T223" s="1">
        <f t="shared" si="98"/>
        <v>0</v>
      </c>
      <c r="U223" s="1">
        <f t="shared" si="99"/>
        <v>0</v>
      </c>
      <c r="V223" s="1">
        <f t="shared" si="100"/>
        <v>0</v>
      </c>
      <c r="W223" s="1">
        <f t="shared" si="101"/>
        <v>0</v>
      </c>
      <c r="X223" s="1">
        <f t="shared" si="102"/>
        <v>0</v>
      </c>
      <c r="Y223" s="1">
        <f t="shared" si="103"/>
        <v>0</v>
      </c>
      <c r="Z223" s="1">
        <f t="shared" si="104"/>
        <v>0</v>
      </c>
      <c r="AA223" s="1">
        <f t="shared" si="105"/>
        <v>0</v>
      </c>
      <c r="AB223" s="1">
        <f t="shared" si="106"/>
        <v>1</v>
      </c>
      <c r="AD223" s="1">
        <f t="shared" si="107"/>
        <v>1</v>
      </c>
      <c r="AE223" s="1">
        <f t="shared" si="108"/>
        <v>0</v>
      </c>
      <c r="AF223" s="1">
        <f t="shared" si="109"/>
        <v>1</v>
      </c>
      <c r="AG223" s="1">
        <f t="shared" si="110"/>
        <v>0</v>
      </c>
      <c r="AH223" s="1">
        <f t="shared" si="111"/>
        <v>1</v>
      </c>
      <c r="AI223" s="1">
        <f t="shared" si="112"/>
        <v>0</v>
      </c>
    </row>
    <row r="224" spans="1:35" ht="14.25" customHeight="1" x14ac:dyDescent="0.25">
      <c r="A224" s="31">
        <v>0</v>
      </c>
      <c r="B224" s="31">
        <v>1</v>
      </c>
      <c r="C224" s="31">
        <v>5</v>
      </c>
      <c r="D224" s="32" t="s">
        <v>1457</v>
      </c>
      <c r="E224" s="32" t="s">
        <v>165</v>
      </c>
      <c r="F224" s="32" t="s">
        <v>1458</v>
      </c>
      <c r="G224" s="32" t="s">
        <v>179</v>
      </c>
      <c r="H224" s="32" t="s">
        <v>352</v>
      </c>
      <c r="I224" s="31" t="s">
        <v>1459</v>
      </c>
      <c r="J224" s="31">
        <v>10</v>
      </c>
      <c r="K224" s="33" t="s">
        <v>932</v>
      </c>
      <c r="L224" s="33" t="s">
        <v>684</v>
      </c>
      <c r="M224" s="34" t="s">
        <v>946</v>
      </c>
      <c r="N224" s="34" t="s">
        <v>1681</v>
      </c>
      <c r="O224" s="35">
        <v>1</v>
      </c>
      <c r="P224" s="35">
        <v>1</v>
      </c>
      <c r="Q224" s="32"/>
      <c r="S224" s="1">
        <f t="shared" si="97"/>
        <v>0</v>
      </c>
      <c r="T224" s="1">
        <f t="shared" si="98"/>
        <v>0</v>
      </c>
      <c r="U224" s="1">
        <f t="shared" si="99"/>
        <v>0</v>
      </c>
      <c r="V224" s="1">
        <f t="shared" si="100"/>
        <v>0</v>
      </c>
      <c r="W224" s="1">
        <f t="shared" si="101"/>
        <v>0</v>
      </c>
      <c r="X224" s="1">
        <f t="shared" si="102"/>
        <v>0</v>
      </c>
      <c r="Y224" s="1">
        <f t="shared" si="103"/>
        <v>0</v>
      </c>
      <c r="Z224" s="1">
        <f t="shared" si="104"/>
        <v>0</v>
      </c>
      <c r="AA224" s="1">
        <f t="shared" si="105"/>
        <v>0</v>
      </c>
      <c r="AB224" s="1">
        <f t="shared" si="106"/>
        <v>1</v>
      </c>
      <c r="AD224" s="1">
        <f t="shared" si="107"/>
        <v>1</v>
      </c>
      <c r="AE224" s="1">
        <f t="shared" si="108"/>
        <v>0</v>
      </c>
      <c r="AF224" s="1">
        <f t="shared" si="109"/>
        <v>1</v>
      </c>
      <c r="AG224" s="1">
        <f t="shared" si="110"/>
        <v>0</v>
      </c>
      <c r="AH224" s="1">
        <f t="shared" si="111"/>
        <v>1</v>
      </c>
      <c r="AI224" s="1">
        <f t="shared" si="112"/>
        <v>0</v>
      </c>
    </row>
    <row r="225" spans="1:35" ht="14.25" customHeight="1" x14ac:dyDescent="0.25">
      <c r="A225" s="31">
        <v>0</v>
      </c>
      <c r="B225" s="31">
        <v>1</v>
      </c>
      <c r="C225" s="31">
        <v>5</v>
      </c>
      <c r="D225" s="32" t="s">
        <v>1702</v>
      </c>
      <c r="E225" s="32" t="s">
        <v>165</v>
      </c>
      <c r="F225" s="32" t="s">
        <v>1703</v>
      </c>
      <c r="G225" s="32" t="s">
        <v>1704</v>
      </c>
      <c r="H225" s="32" t="s">
        <v>352</v>
      </c>
      <c r="I225" s="31" t="s">
        <v>1705</v>
      </c>
      <c r="J225" s="31">
        <v>1</v>
      </c>
      <c r="K225" s="33" t="s">
        <v>694</v>
      </c>
      <c r="L225" s="33"/>
      <c r="M225" s="34"/>
      <c r="N225" s="34" t="s">
        <v>1693</v>
      </c>
      <c r="O225" s="35">
        <v>1</v>
      </c>
      <c r="P225" s="35"/>
      <c r="Q225" s="32"/>
      <c r="S225" s="1">
        <f t="shared" si="97"/>
        <v>1</v>
      </c>
      <c r="T225" s="1">
        <f t="shared" si="98"/>
        <v>0</v>
      </c>
      <c r="U225" s="1">
        <f t="shared" si="99"/>
        <v>0</v>
      </c>
      <c r="V225" s="1">
        <f t="shared" si="100"/>
        <v>0</v>
      </c>
      <c r="W225" s="1">
        <f t="shared" si="101"/>
        <v>0</v>
      </c>
      <c r="X225" s="1">
        <f t="shared" si="102"/>
        <v>0</v>
      </c>
      <c r="Y225" s="1">
        <f t="shared" si="103"/>
        <v>0</v>
      </c>
      <c r="Z225" s="1">
        <f t="shared" si="104"/>
        <v>0</v>
      </c>
      <c r="AA225" s="1">
        <f t="shared" si="105"/>
        <v>0</v>
      </c>
      <c r="AB225" s="1">
        <f t="shared" si="106"/>
        <v>0</v>
      </c>
      <c r="AD225" s="1">
        <f t="shared" si="107"/>
        <v>0</v>
      </c>
      <c r="AE225" s="1">
        <f t="shared" si="108"/>
        <v>1</v>
      </c>
      <c r="AF225" s="1">
        <f t="shared" si="109"/>
        <v>0</v>
      </c>
      <c r="AG225" s="1">
        <f t="shared" si="110"/>
        <v>1</v>
      </c>
      <c r="AH225" s="1">
        <f t="shared" si="111"/>
        <v>0</v>
      </c>
      <c r="AI225" s="1">
        <f t="shared" si="112"/>
        <v>1</v>
      </c>
    </row>
    <row r="226" spans="1:35" ht="14.25" customHeight="1" x14ac:dyDescent="0.25">
      <c r="A226" s="56">
        <v>0</v>
      </c>
      <c r="B226" s="56">
        <v>1</v>
      </c>
      <c r="C226" s="56">
        <v>5</v>
      </c>
      <c r="D226" s="57" t="s">
        <v>1002</v>
      </c>
      <c r="E226" s="57" t="s">
        <v>1063</v>
      </c>
      <c r="F226" s="57" t="s">
        <v>1003</v>
      </c>
      <c r="G226" s="57" t="s">
        <v>193</v>
      </c>
      <c r="H226" s="57" t="s">
        <v>352</v>
      </c>
      <c r="I226" s="56" t="s">
        <v>1004</v>
      </c>
      <c r="J226" s="56">
        <v>9</v>
      </c>
      <c r="K226" s="58" t="s">
        <v>713</v>
      </c>
      <c r="L226" s="58" t="s">
        <v>1658</v>
      </c>
      <c r="M226" s="59" t="s">
        <v>1560</v>
      </c>
      <c r="N226" s="59" t="s">
        <v>1689</v>
      </c>
      <c r="O226" s="60">
        <v>1</v>
      </c>
      <c r="P226" s="60"/>
      <c r="Q226" s="57"/>
      <c r="S226" s="1">
        <f t="shared" si="97"/>
        <v>0</v>
      </c>
      <c r="T226" s="1">
        <f t="shared" si="98"/>
        <v>0</v>
      </c>
      <c r="U226" s="1">
        <f t="shared" si="99"/>
        <v>0</v>
      </c>
      <c r="V226" s="1">
        <f t="shared" si="100"/>
        <v>0</v>
      </c>
      <c r="W226" s="1">
        <f t="shared" si="101"/>
        <v>0</v>
      </c>
      <c r="X226" s="1">
        <f t="shared" si="102"/>
        <v>0</v>
      </c>
      <c r="Y226" s="1">
        <f t="shared" si="103"/>
        <v>0</v>
      </c>
      <c r="Z226" s="1">
        <f t="shared" si="104"/>
        <v>0</v>
      </c>
      <c r="AA226" s="1">
        <f t="shared" si="105"/>
        <v>1</v>
      </c>
      <c r="AB226" s="1">
        <f t="shared" si="106"/>
        <v>0</v>
      </c>
      <c r="AD226" s="1">
        <f t="shared" si="107"/>
        <v>0</v>
      </c>
      <c r="AE226" s="1">
        <f t="shared" si="108"/>
        <v>1</v>
      </c>
      <c r="AF226" s="1">
        <f t="shared" si="109"/>
        <v>0</v>
      </c>
      <c r="AG226" s="1">
        <f t="shared" si="110"/>
        <v>1</v>
      </c>
      <c r="AH226" s="1">
        <f t="shared" si="111"/>
        <v>0</v>
      </c>
      <c r="AI226" s="1">
        <f t="shared" si="112"/>
        <v>1</v>
      </c>
    </row>
    <row r="227" spans="1:35" ht="14.25" customHeight="1" x14ac:dyDescent="0.25">
      <c r="A227" s="31">
        <v>0</v>
      </c>
      <c r="B227" s="31">
        <v>1</v>
      </c>
      <c r="C227" s="31">
        <v>5</v>
      </c>
      <c r="D227" s="32" t="s">
        <v>1570</v>
      </c>
      <c r="E227" s="32" t="s">
        <v>165</v>
      </c>
      <c r="F227" s="32" t="s">
        <v>1571</v>
      </c>
      <c r="G227" s="32" t="s">
        <v>212</v>
      </c>
      <c r="H227" s="32" t="s">
        <v>352</v>
      </c>
      <c r="I227" s="31" t="s">
        <v>1572</v>
      </c>
      <c r="J227" s="31">
        <v>1</v>
      </c>
      <c r="K227" s="33" t="s">
        <v>713</v>
      </c>
      <c r="L227" s="33" t="s">
        <v>685</v>
      </c>
      <c r="M227" s="34" t="s">
        <v>946</v>
      </c>
      <c r="N227" s="34" t="s">
        <v>1744</v>
      </c>
      <c r="O227" s="35">
        <v>1</v>
      </c>
      <c r="P227" s="35"/>
      <c r="Q227" s="32"/>
      <c r="S227" s="1">
        <f t="shared" si="97"/>
        <v>1</v>
      </c>
      <c r="T227" s="1">
        <f t="shared" si="98"/>
        <v>0</v>
      </c>
      <c r="U227" s="1">
        <f t="shared" si="99"/>
        <v>0</v>
      </c>
      <c r="V227" s="1">
        <f t="shared" si="100"/>
        <v>0</v>
      </c>
      <c r="W227" s="1">
        <f t="shared" si="101"/>
        <v>0</v>
      </c>
      <c r="X227" s="1">
        <f t="shared" si="102"/>
        <v>0</v>
      </c>
      <c r="Y227" s="1">
        <f t="shared" si="103"/>
        <v>0</v>
      </c>
      <c r="Z227" s="1">
        <f t="shared" si="104"/>
        <v>0</v>
      </c>
      <c r="AA227" s="1">
        <f t="shared" si="105"/>
        <v>0</v>
      </c>
      <c r="AB227" s="1">
        <f t="shared" si="106"/>
        <v>0</v>
      </c>
      <c r="AD227" s="1">
        <f t="shared" si="107"/>
        <v>0</v>
      </c>
      <c r="AE227" s="1">
        <f t="shared" si="108"/>
        <v>1</v>
      </c>
      <c r="AF227" s="1">
        <f t="shared" si="109"/>
        <v>0</v>
      </c>
      <c r="AG227" s="1">
        <f t="shared" si="110"/>
        <v>1</v>
      </c>
      <c r="AH227" s="1">
        <f t="shared" si="111"/>
        <v>0</v>
      </c>
      <c r="AI227" s="1">
        <f t="shared" si="112"/>
        <v>1</v>
      </c>
    </row>
    <row r="228" spans="1:35" ht="14.25" customHeight="1" x14ac:dyDescent="0.25">
      <c r="A228" s="31">
        <v>0</v>
      </c>
      <c r="B228" s="31">
        <v>1</v>
      </c>
      <c r="C228" s="31">
        <v>5</v>
      </c>
      <c r="D228" s="32" t="s">
        <v>146</v>
      </c>
      <c r="E228" s="32" t="s">
        <v>541</v>
      </c>
      <c r="F228" s="32" t="s">
        <v>1555</v>
      </c>
      <c r="G228" s="32" t="s">
        <v>1629</v>
      </c>
      <c r="H228" s="32" t="s">
        <v>352</v>
      </c>
      <c r="I228" s="31" t="s">
        <v>491</v>
      </c>
      <c r="J228" s="31">
        <v>99</v>
      </c>
      <c r="K228" s="33" t="s">
        <v>693</v>
      </c>
      <c r="L228" s="33" t="s">
        <v>680</v>
      </c>
      <c r="M228" s="34" t="s">
        <v>946</v>
      </c>
      <c r="N228" s="34" t="s">
        <v>1766</v>
      </c>
      <c r="O228" s="35">
        <v>1</v>
      </c>
      <c r="P228" s="35"/>
      <c r="Q228" s="32"/>
      <c r="S228" s="1">
        <f t="shared" si="97"/>
        <v>0</v>
      </c>
      <c r="T228" s="1">
        <f t="shared" si="98"/>
        <v>0</v>
      </c>
      <c r="U228" s="1">
        <f t="shared" si="99"/>
        <v>0</v>
      </c>
      <c r="V228" s="1">
        <f t="shared" si="100"/>
        <v>0</v>
      </c>
      <c r="W228" s="1">
        <f t="shared" si="101"/>
        <v>0</v>
      </c>
      <c r="X228" s="1">
        <f t="shared" si="102"/>
        <v>0</v>
      </c>
      <c r="Y228" s="1">
        <f t="shared" si="103"/>
        <v>0</v>
      </c>
      <c r="Z228" s="1">
        <f t="shared" si="104"/>
        <v>0</v>
      </c>
      <c r="AA228" s="1">
        <f t="shared" si="105"/>
        <v>0</v>
      </c>
      <c r="AB228" s="1">
        <f t="shared" si="106"/>
        <v>0</v>
      </c>
      <c r="AD228" s="1">
        <f t="shared" si="107"/>
        <v>0</v>
      </c>
      <c r="AE228" s="1">
        <f t="shared" si="108"/>
        <v>1</v>
      </c>
      <c r="AF228" s="1">
        <f t="shared" si="109"/>
        <v>0</v>
      </c>
      <c r="AG228" s="1">
        <f t="shared" si="110"/>
        <v>1</v>
      </c>
      <c r="AH228" s="1">
        <f t="shared" si="111"/>
        <v>0</v>
      </c>
      <c r="AI228" s="1">
        <f t="shared" si="112"/>
        <v>1</v>
      </c>
    </row>
    <row r="229" spans="1:35" ht="14.25" customHeight="1" x14ac:dyDescent="0.25">
      <c r="A229" s="15">
        <v>0</v>
      </c>
      <c r="B229" s="15">
        <v>1</v>
      </c>
      <c r="C229" s="15">
        <v>5</v>
      </c>
      <c r="D229" s="16" t="s">
        <v>1180</v>
      </c>
      <c r="E229" s="16" t="s">
        <v>165</v>
      </c>
      <c r="F229" s="16" t="s">
        <v>1181</v>
      </c>
      <c r="G229" s="16" t="s">
        <v>1182</v>
      </c>
      <c r="H229" s="16" t="s">
        <v>352</v>
      </c>
      <c r="I229" s="15" t="s">
        <v>1183</v>
      </c>
      <c r="J229" s="15">
        <v>99</v>
      </c>
      <c r="K229" s="10" t="s">
        <v>694</v>
      </c>
      <c r="L229" s="10">
        <v>30</v>
      </c>
      <c r="M229" s="19" t="s">
        <v>946</v>
      </c>
      <c r="N229" s="19"/>
      <c r="Q229" s="16"/>
      <c r="S229" s="1">
        <f t="shared" si="97"/>
        <v>0</v>
      </c>
      <c r="T229" s="1">
        <f t="shared" si="98"/>
        <v>0</v>
      </c>
      <c r="U229" s="1">
        <f t="shared" si="99"/>
        <v>0</v>
      </c>
      <c r="V229" s="1">
        <f t="shared" si="100"/>
        <v>0</v>
      </c>
      <c r="W229" s="1">
        <f t="shared" si="101"/>
        <v>0</v>
      </c>
      <c r="X229" s="1">
        <f t="shared" si="102"/>
        <v>0</v>
      </c>
      <c r="Y229" s="1">
        <f t="shared" si="103"/>
        <v>0</v>
      </c>
      <c r="Z229" s="1">
        <f t="shared" si="104"/>
        <v>0</v>
      </c>
      <c r="AA229" s="1">
        <f t="shared" si="105"/>
        <v>0</v>
      </c>
      <c r="AB229" s="1">
        <f t="shared" si="106"/>
        <v>0</v>
      </c>
      <c r="AD229" s="1">
        <f t="shared" si="107"/>
        <v>0</v>
      </c>
      <c r="AE229" s="1">
        <f t="shared" si="108"/>
        <v>0</v>
      </c>
      <c r="AF229" s="1">
        <f t="shared" si="109"/>
        <v>0</v>
      </c>
      <c r="AG229" s="1">
        <f t="shared" si="110"/>
        <v>0</v>
      </c>
      <c r="AH229" s="1">
        <f t="shared" si="111"/>
        <v>0</v>
      </c>
      <c r="AI229" s="1">
        <f t="shared" si="112"/>
        <v>1</v>
      </c>
    </row>
    <row r="230" spans="1:35" ht="14.25" customHeight="1" x14ac:dyDescent="0.25">
      <c r="A230" s="31">
        <v>0</v>
      </c>
      <c r="B230" s="31">
        <v>1</v>
      </c>
      <c r="C230" s="31">
        <v>5</v>
      </c>
      <c r="D230" s="32" t="s">
        <v>1556</v>
      </c>
      <c r="E230" s="32" t="s">
        <v>171</v>
      </c>
      <c r="F230" s="32" t="s">
        <v>788</v>
      </c>
      <c r="G230" s="32" t="s">
        <v>39</v>
      </c>
      <c r="H230" s="32" t="s">
        <v>789</v>
      </c>
      <c r="I230" s="31" t="s">
        <v>790</v>
      </c>
      <c r="J230" s="31">
        <v>16</v>
      </c>
      <c r="K230" s="33" t="s">
        <v>933</v>
      </c>
      <c r="L230" s="33" t="s">
        <v>1688</v>
      </c>
      <c r="M230" s="34" t="s">
        <v>946</v>
      </c>
      <c r="N230" s="34" t="s">
        <v>1693</v>
      </c>
      <c r="O230" s="35">
        <v>1</v>
      </c>
      <c r="P230" s="35"/>
      <c r="Q230" s="32"/>
      <c r="S230" s="1">
        <f t="shared" si="97"/>
        <v>0</v>
      </c>
      <c r="T230" s="1">
        <f t="shared" si="98"/>
        <v>0</v>
      </c>
      <c r="U230" s="1">
        <f t="shared" si="99"/>
        <v>0</v>
      </c>
      <c r="V230" s="1">
        <f t="shared" si="100"/>
        <v>0</v>
      </c>
      <c r="W230" s="1">
        <f t="shared" si="101"/>
        <v>0</v>
      </c>
      <c r="X230" s="1">
        <f t="shared" si="102"/>
        <v>0</v>
      </c>
      <c r="Y230" s="1">
        <f t="shared" si="103"/>
        <v>0</v>
      </c>
      <c r="Z230" s="1">
        <f t="shared" si="104"/>
        <v>0</v>
      </c>
      <c r="AA230" s="1">
        <f t="shared" si="105"/>
        <v>0</v>
      </c>
      <c r="AB230" s="1">
        <f t="shared" si="106"/>
        <v>0</v>
      </c>
      <c r="AD230" s="1">
        <f t="shared" si="107"/>
        <v>0</v>
      </c>
      <c r="AE230" s="1">
        <f t="shared" si="108"/>
        <v>1</v>
      </c>
      <c r="AF230" s="1">
        <f t="shared" si="109"/>
        <v>0</v>
      </c>
      <c r="AG230" s="1">
        <f t="shared" si="110"/>
        <v>1</v>
      </c>
      <c r="AH230" s="1">
        <f t="shared" si="111"/>
        <v>0</v>
      </c>
      <c r="AI230" s="1">
        <f t="shared" si="112"/>
        <v>1</v>
      </c>
    </row>
    <row r="231" spans="1:35" ht="14.25" customHeight="1" x14ac:dyDescent="0.25">
      <c r="A231" s="31">
        <v>0</v>
      </c>
      <c r="B231" s="31">
        <v>1</v>
      </c>
      <c r="C231" s="31">
        <v>5</v>
      </c>
      <c r="D231" s="32" t="s">
        <v>498</v>
      </c>
      <c r="E231" s="32" t="s">
        <v>165</v>
      </c>
      <c r="F231" s="32" t="s">
        <v>499</v>
      </c>
      <c r="G231" s="32" t="s">
        <v>500</v>
      </c>
      <c r="H231" s="32" t="s">
        <v>352</v>
      </c>
      <c r="I231" s="31" t="s">
        <v>501</v>
      </c>
      <c r="J231" s="31">
        <v>99</v>
      </c>
      <c r="K231" s="33" t="s">
        <v>933</v>
      </c>
      <c r="L231" s="33" t="s">
        <v>685</v>
      </c>
      <c r="M231" s="34" t="s">
        <v>682</v>
      </c>
      <c r="N231" s="34" t="s">
        <v>1681</v>
      </c>
      <c r="O231" s="35">
        <v>1</v>
      </c>
      <c r="P231" s="35">
        <v>1</v>
      </c>
      <c r="Q231" s="32"/>
      <c r="S231" s="1">
        <f t="shared" si="97"/>
        <v>0</v>
      </c>
      <c r="T231" s="1">
        <f t="shared" si="98"/>
        <v>0</v>
      </c>
      <c r="U231" s="1">
        <f t="shared" si="99"/>
        <v>0</v>
      </c>
      <c r="V231" s="1">
        <f t="shared" si="100"/>
        <v>0</v>
      </c>
      <c r="W231" s="1">
        <f t="shared" si="101"/>
        <v>0</v>
      </c>
      <c r="X231" s="1">
        <f t="shared" si="102"/>
        <v>0</v>
      </c>
      <c r="Y231" s="1">
        <f t="shared" si="103"/>
        <v>0</v>
      </c>
      <c r="Z231" s="1">
        <f t="shared" si="104"/>
        <v>0</v>
      </c>
      <c r="AA231" s="1">
        <f t="shared" si="105"/>
        <v>0</v>
      </c>
      <c r="AB231" s="1">
        <f t="shared" si="106"/>
        <v>0</v>
      </c>
      <c r="AD231" s="1">
        <f t="shared" si="107"/>
        <v>1</v>
      </c>
      <c r="AE231" s="1">
        <f t="shared" si="108"/>
        <v>0</v>
      </c>
      <c r="AF231" s="1">
        <f t="shared" si="109"/>
        <v>1</v>
      </c>
      <c r="AG231" s="1">
        <f t="shared" si="110"/>
        <v>0</v>
      </c>
      <c r="AH231" s="1">
        <f t="shared" si="111"/>
        <v>1</v>
      </c>
      <c r="AI231" s="1">
        <f t="shared" si="112"/>
        <v>0</v>
      </c>
    </row>
    <row r="232" spans="1:35" ht="14.25" customHeight="1" x14ac:dyDescent="0.25">
      <c r="A232" s="31">
        <v>0</v>
      </c>
      <c r="B232" s="31">
        <v>1</v>
      </c>
      <c r="C232" s="31">
        <v>6</v>
      </c>
      <c r="D232" s="32" t="s">
        <v>1412</v>
      </c>
      <c r="E232" s="32" t="s">
        <v>166</v>
      </c>
      <c r="F232" s="32" t="s">
        <v>1413</v>
      </c>
      <c r="G232" s="32" t="s">
        <v>178</v>
      </c>
      <c r="H232" s="32" t="s">
        <v>352</v>
      </c>
      <c r="I232" s="31" t="s">
        <v>1414</v>
      </c>
      <c r="J232" s="31">
        <v>99</v>
      </c>
      <c r="K232" s="33" t="s">
        <v>932</v>
      </c>
      <c r="L232" s="33" t="s">
        <v>687</v>
      </c>
      <c r="M232" s="34" t="s">
        <v>1415</v>
      </c>
      <c r="N232" s="34" t="s">
        <v>1694</v>
      </c>
      <c r="O232" s="35">
        <v>1</v>
      </c>
      <c r="P232" s="35"/>
      <c r="Q232" s="36"/>
      <c r="S232" s="1">
        <f t="shared" si="97"/>
        <v>0</v>
      </c>
      <c r="T232" s="1">
        <f t="shared" si="98"/>
        <v>0</v>
      </c>
      <c r="U232" s="1">
        <f t="shared" si="99"/>
        <v>0</v>
      </c>
      <c r="V232" s="1">
        <f t="shared" si="100"/>
        <v>0</v>
      </c>
      <c r="W232" s="1">
        <f t="shared" si="101"/>
        <v>0</v>
      </c>
      <c r="X232" s="1">
        <f t="shared" si="102"/>
        <v>0</v>
      </c>
      <c r="Y232" s="1">
        <f t="shared" si="103"/>
        <v>0</v>
      </c>
      <c r="Z232" s="1">
        <f t="shared" si="104"/>
        <v>0</v>
      </c>
      <c r="AA232" s="1">
        <f t="shared" si="105"/>
        <v>0</v>
      </c>
      <c r="AB232" s="1">
        <f t="shared" si="106"/>
        <v>0</v>
      </c>
      <c r="AD232" s="1">
        <f t="shared" si="107"/>
        <v>0</v>
      </c>
      <c r="AE232" s="1">
        <f t="shared" si="108"/>
        <v>1</v>
      </c>
      <c r="AF232" s="1">
        <f t="shared" si="109"/>
        <v>0</v>
      </c>
      <c r="AG232" s="1">
        <f t="shared" si="110"/>
        <v>1</v>
      </c>
      <c r="AH232" s="1">
        <f t="shared" si="111"/>
        <v>0</v>
      </c>
      <c r="AI232" s="1">
        <f t="shared" si="112"/>
        <v>1</v>
      </c>
    </row>
    <row r="233" spans="1:35" ht="14.25" customHeight="1" x14ac:dyDescent="0.25">
      <c r="A233" s="31">
        <v>0</v>
      </c>
      <c r="B233" s="31">
        <v>1</v>
      </c>
      <c r="C233" s="31">
        <v>6</v>
      </c>
      <c r="D233" s="32" t="s">
        <v>1154</v>
      </c>
      <c r="E233" s="32" t="s">
        <v>1157</v>
      </c>
      <c r="F233" s="32" t="s">
        <v>1155</v>
      </c>
      <c r="G233" s="32" t="s">
        <v>39</v>
      </c>
      <c r="H233" s="32" t="s">
        <v>352</v>
      </c>
      <c r="I233" s="31" t="s">
        <v>1156</v>
      </c>
      <c r="J233" s="31">
        <v>99</v>
      </c>
      <c r="K233" s="33" t="s">
        <v>938</v>
      </c>
      <c r="L233" s="33" t="s">
        <v>39</v>
      </c>
      <c r="M233" s="34" t="s">
        <v>39</v>
      </c>
      <c r="N233" s="34" t="s">
        <v>1687</v>
      </c>
      <c r="O233" s="35">
        <v>1</v>
      </c>
      <c r="P233" s="35">
        <v>1</v>
      </c>
      <c r="Q233" s="36" t="s">
        <v>1848</v>
      </c>
      <c r="S233" s="1">
        <f t="shared" si="97"/>
        <v>0</v>
      </c>
      <c r="T233" s="1">
        <f t="shared" si="98"/>
        <v>0</v>
      </c>
      <c r="U233" s="1">
        <f t="shared" si="99"/>
        <v>0</v>
      </c>
      <c r="V233" s="1">
        <f t="shared" si="100"/>
        <v>0</v>
      </c>
      <c r="W233" s="1">
        <f t="shared" si="101"/>
        <v>0</v>
      </c>
      <c r="X233" s="1">
        <f t="shared" si="102"/>
        <v>0</v>
      </c>
      <c r="Y233" s="1">
        <f t="shared" si="103"/>
        <v>0</v>
      </c>
      <c r="Z233" s="1">
        <f t="shared" si="104"/>
        <v>0</v>
      </c>
      <c r="AA233" s="1">
        <f t="shared" si="105"/>
        <v>0</v>
      </c>
      <c r="AB233" s="1">
        <f t="shared" si="106"/>
        <v>0</v>
      </c>
      <c r="AD233" s="1">
        <f t="shared" si="107"/>
        <v>1</v>
      </c>
      <c r="AE233" s="1">
        <f t="shared" si="108"/>
        <v>0</v>
      </c>
      <c r="AF233" s="1">
        <f t="shared" si="109"/>
        <v>1</v>
      </c>
      <c r="AG233" s="1">
        <f t="shared" si="110"/>
        <v>0</v>
      </c>
      <c r="AH233" s="1">
        <f t="shared" si="111"/>
        <v>1</v>
      </c>
      <c r="AI233" s="1">
        <f t="shared" si="112"/>
        <v>0</v>
      </c>
    </row>
    <row r="234" spans="1:35" ht="14.25" customHeight="1" x14ac:dyDescent="0.25">
      <c r="A234" s="31">
        <v>0</v>
      </c>
      <c r="B234" s="31">
        <v>1</v>
      </c>
      <c r="C234" s="31">
        <v>6</v>
      </c>
      <c r="D234" s="32" t="s">
        <v>1604</v>
      </c>
      <c r="E234" s="32" t="s">
        <v>1612</v>
      </c>
      <c r="F234" s="32" t="s">
        <v>1638</v>
      </c>
      <c r="G234" s="32" t="s">
        <v>1639</v>
      </c>
      <c r="H234" s="32" t="s">
        <v>352</v>
      </c>
      <c r="I234" s="31" t="s">
        <v>1650</v>
      </c>
      <c r="J234" s="31">
        <v>1</v>
      </c>
      <c r="K234" s="33" t="s">
        <v>934</v>
      </c>
      <c r="L234" s="33" t="s">
        <v>39</v>
      </c>
      <c r="M234" s="34" t="s">
        <v>39</v>
      </c>
      <c r="N234" s="34" t="s">
        <v>1681</v>
      </c>
      <c r="O234" s="35">
        <v>1</v>
      </c>
      <c r="P234" s="35">
        <v>1</v>
      </c>
      <c r="Q234" s="32"/>
      <c r="S234" s="1">
        <f t="shared" si="97"/>
        <v>1</v>
      </c>
      <c r="T234" s="1">
        <f t="shared" si="98"/>
        <v>0</v>
      </c>
      <c r="U234" s="1">
        <f t="shared" si="99"/>
        <v>0</v>
      </c>
      <c r="V234" s="1">
        <f t="shared" si="100"/>
        <v>0</v>
      </c>
      <c r="W234" s="1">
        <f t="shared" si="101"/>
        <v>0</v>
      </c>
      <c r="X234" s="1">
        <f t="shared" si="102"/>
        <v>0</v>
      </c>
      <c r="Y234" s="1">
        <f t="shared" si="103"/>
        <v>0</v>
      </c>
      <c r="Z234" s="1">
        <f t="shared" si="104"/>
        <v>0</v>
      </c>
      <c r="AA234" s="1">
        <f t="shared" si="105"/>
        <v>0</v>
      </c>
      <c r="AB234" s="1">
        <f t="shared" si="106"/>
        <v>0</v>
      </c>
      <c r="AD234" s="1">
        <f t="shared" si="107"/>
        <v>1</v>
      </c>
      <c r="AE234" s="1">
        <f t="shared" si="108"/>
        <v>0</v>
      </c>
      <c r="AF234" s="1">
        <f t="shared" si="109"/>
        <v>1</v>
      </c>
      <c r="AG234" s="1">
        <f t="shared" si="110"/>
        <v>0</v>
      </c>
      <c r="AH234" s="1">
        <f t="shared" si="111"/>
        <v>1</v>
      </c>
      <c r="AI234" s="1">
        <f t="shared" si="112"/>
        <v>0</v>
      </c>
    </row>
    <row r="235" spans="1:35" ht="14.25" customHeight="1" x14ac:dyDescent="0.25">
      <c r="A235" s="31">
        <v>0</v>
      </c>
      <c r="B235" s="31">
        <v>1</v>
      </c>
      <c r="C235" s="31">
        <v>6</v>
      </c>
      <c r="D235" s="32" t="s">
        <v>89</v>
      </c>
      <c r="E235" s="32" t="s">
        <v>167</v>
      </c>
      <c r="F235" s="32" t="s">
        <v>282</v>
      </c>
      <c r="G235" s="32" t="s">
        <v>229</v>
      </c>
      <c r="H235" s="32" t="s">
        <v>352</v>
      </c>
      <c r="I235" s="31" t="s">
        <v>435</v>
      </c>
      <c r="J235" s="31">
        <v>7</v>
      </c>
      <c r="K235" s="33" t="s">
        <v>713</v>
      </c>
      <c r="L235" s="33">
        <v>40</v>
      </c>
      <c r="M235" s="34" t="s">
        <v>39</v>
      </c>
      <c r="N235" s="34" t="s">
        <v>1693</v>
      </c>
      <c r="O235" s="35">
        <v>1</v>
      </c>
      <c r="P235" s="35"/>
      <c r="Q235" s="32"/>
      <c r="S235" s="1">
        <f t="shared" ref="S235:S237" si="113">IF(J235=$S$7,1,0)</f>
        <v>0</v>
      </c>
      <c r="T235" s="1">
        <f t="shared" ref="T235:T237" si="114">IF(J235=$T$7,1,0)</f>
        <v>0</v>
      </c>
      <c r="U235" s="1">
        <f t="shared" ref="U235:U237" si="115">IF(J235=$U$7,1,0)</f>
        <v>0</v>
      </c>
      <c r="V235" s="1">
        <f t="shared" ref="V235:V237" si="116">IF(J235=$V$7,1,0)</f>
        <v>0</v>
      </c>
      <c r="W235" s="1">
        <f t="shared" ref="W235:W237" si="117">IF(J235=$W$7,1,0)</f>
        <v>0</v>
      </c>
      <c r="X235" s="1">
        <f t="shared" ref="X235:X237" si="118">IF(J235=$X$7,1,0)</f>
        <v>0</v>
      </c>
      <c r="Y235" s="1">
        <f t="shared" ref="Y235:Y237" si="119">IF(J235=$Y$7,1,0)</f>
        <v>1</v>
      </c>
      <c r="Z235" s="1">
        <f t="shared" ref="Z235:Z237" si="120">IF(J235=$Z$7,1,0)</f>
        <v>0</v>
      </c>
      <c r="AA235" s="1">
        <f t="shared" ref="AA235:AA237" si="121">IF(J235=$AA$7,1,0)</f>
        <v>0</v>
      </c>
      <c r="AB235" s="1">
        <f t="shared" ref="AB235:AB237" si="122">IF(J235=$AB$7,1,0)</f>
        <v>0</v>
      </c>
      <c r="AD235" s="1">
        <f t="shared" si="107"/>
        <v>0</v>
      </c>
      <c r="AE235" s="1">
        <f t="shared" si="108"/>
        <v>1</v>
      </c>
      <c r="AF235" s="1">
        <f t="shared" si="109"/>
        <v>0</v>
      </c>
      <c r="AG235" s="1">
        <f t="shared" si="110"/>
        <v>1</v>
      </c>
      <c r="AH235" s="1">
        <f t="shared" si="111"/>
        <v>0</v>
      </c>
      <c r="AI235" s="1">
        <f t="shared" si="112"/>
        <v>1</v>
      </c>
    </row>
    <row r="236" spans="1:35" ht="14.25" customHeight="1" x14ac:dyDescent="0.25">
      <c r="A236" s="31">
        <v>0</v>
      </c>
      <c r="B236" s="31">
        <v>1</v>
      </c>
      <c r="C236" s="31">
        <v>6</v>
      </c>
      <c r="D236" s="36" t="s">
        <v>2115</v>
      </c>
      <c r="E236" s="36" t="s">
        <v>2116</v>
      </c>
      <c r="F236" s="36" t="s">
        <v>2117</v>
      </c>
      <c r="G236" s="36" t="s">
        <v>283</v>
      </c>
      <c r="H236" s="36" t="s">
        <v>352</v>
      </c>
      <c r="I236" s="37" t="s">
        <v>2118</v>
      </c>
      <c r="J236" s="31">
        <v>10</v>
      </c>
      <c r="K236" s="33" t="s">
        <v>694</v>
      </c>
      <c r="L236" s="33">
        <v>40</v>
      </c>
      <c r="M236" s="34" t="s">
        <v>2131</v>
      </c>
      <c r="N236" s="34" t="s">
        <v>1693</v>
      </c>
      <c r="O236" s="35">
        <v>1</v>
      </c>
      <c r="P236" s="35"/>
      <c r="Q236" s="32"/>
      <c r="S236" s="1">
        <f t="shared" si="113"/>
        <v>0</v>
      </c>
      <c r="T236" s="1">
        <f t="shared" si="114"/>
        <v>0</v>
      </c>
      <c r="U236" s="1">
        <f t="shared" si="115"/>
        <v>0</v>
      </c>
      <c r="V236" s="1">
        <f t="shared" si="116"/>
        <v>0</v>
      </c>
      <c r="W236" s="1">
        <f t="shared" si="117"/>
        <v>0</v>
      </c>
      <c r="X236" s="1">
        <f t="shared" si="118"/>
        <v>0</v>
      </c>
      <c r="Y236" s="1">
        <f t="shared" si="119"/>
        <v>0</v>
      </c>
      <c r="Z236" s="1">
        <f t="shared" si="120"/>
        <v>0</v>
      </c>
      <c r="AA236" s="1">
        <f t="shared" si="121"/>
        <v>0</v>
      </c>
      <c r="AB236" s="1">
        <f t="shared" si="122"/>
        <v>1</v>
      </c>
      <c r="AD236" s="1">
        <f t="shared" si="107"/>
        <v>0</v>
      </c>
      <c r="AE236" s="1">
        <f t="shared" si="108"/>
        <v>1</v>
      </c>
      <c r="AF236" s="1">
        <f t="shared" si="109"/>
        <v>0</v>
      </c>
      <c r="AG236" s="1">
        <f t="shared" si="110"/>
        <v>1</v>
      </c>
      <c r="AH236" s="1">
        <f t="shared" si="111"/>
        <v>0</v>
      </c>
      <c r="AI236" s="1">
        <f t="shared" si="112"/>
        <v>1</v>
      </c>
    </row>
    <row r="237" spans="1:35" ht="14.25" customHeight="1" x14ac:dyDescent="0.25">
      <c r="A237" s="31">
        <v>0</v>
      </c>
      <c r="B237" s="31">
        <v>1</v>
      </c>
      <c r="C237" s="31">
        <v>6</v>
      </c>
      <c r="D237" s="32" t="s">
        <v>90</v>
      </c>
      <c r="E237" s="32" t="s">
        <v>164</v>
      </c>
      <c r="F237" s="36" t="s">
        <v>1812</v>
      </c>
      <c r="G237" s="32" t="s">
        <v>239</v>
      </c>
      <c r="H237" s="32" t="s">
        <v>352</v>
      </c>
      <c r="I237" s="31" t="s">
        <v>436</v>
      </c>
      <c r="J237" s="31">
        <v>1</v>
      </c>
      <c r="K237" s="33" t="s">
        <v>940</v>
      </c>
      <c r="L237" s="33" t="s">
        <v>39</v>
      </c>
      <c r="M237" s="34" t="s">
        <v>39</v>
      </c>
      <c r="N237" s="34" t="s">
        <v>1681</v>
      </c>
      <c r="O237" s="35">
        <v>1</v>
      </c>
      <c r="P237" s="35">
        <v>1</v>
      </c>
      <c r="Q237" s="32"/>
      <c r="S237" s="1">
        <f t="shared" si="113"/>
        <v>1</v>
      </c>
      <c r="T237" s="1">
        <f t="shared" si="114"/>
        <v>0</v>
      </c>
      <c r="U237" s="1">
        <f t="shared" si="115"/>
        <v>0</v>
      </c>
      <c r="V237" s="1">
        <f t="shared" si="116"/>
        <v>0</v>
      </c>
      <c r="W237" s="1">
        <f t="shared" si="117"/>
        <v>0</v>
      </c>
      <c r="X237" s="1">
        <f t="shared" si="118"/>
        <v>0</v>
      </c>
      <c r="Y237" s="1">
        <f t="shared" si="119"/>
        <v>0</v>
      </c>
      <c r="Z237" s="1">
        <f t="shared" si="120"/>
        <v>0</v>
      </c>
      <c r="AA237" s="1">
        <f t="shared" si="121"/>
        <v>0</v>
      </c>
      <c r="AB237" s="1">
        <f t="shared" si="122"/>
        <v>0</v>
      </c>
      <c r="AD237" s="1">
        <f t="shared" si="107"/>
        <v>1</v>
      </c>
      <c r="AE237" s="1">
        <f t="shared" si="108"/>
        <v>0</v>
      </c>
      <c r="AF237" s="1">
        <f t="shared" si="109"/>
        <v>1</v>
      </c>
      <c r="AG237" s="1">
        <f t="shared" si="110"/>
        <v>0</v>
      </c>
      <c r="AH237" s="1">
        <f t="shared" si="111"/>
        <v>1</v>
      </c>
      <c r="AI237" s="1">
        <f t="shared" si="112"/>
        <v>0</v>
      </c>
    </row>
    <row r="238" spans="1:35" ht="14.25" customHeight="1" x14ac:dyDescent="0.25">
      <c r="A238" s="31">
        <v>0</v>
      </c>
      <c r="B238" s="31">
        <v>1</v>
      </c>
      <c r="C238" s="31">
        <v>6</v>
      </c>
      <c r="D238" s="32" t="s">
        <v>91</v>
      </c>
      <c r="E238" s="32" t="s">
        <v>166</v>
      </c>
      <c r="F238" s="32" t="s">
        <v>284</v>
      </c>
      <c r="G238" s="32" t="s">
        <v>199</v>
      </c>
      <c r="H238" s="32" t="s">
        <v>352</v>
      </c>
      <c r="I238" s="31" t="s">
        <v>437</v>
      </c>
      <c r="J238" s="31">
        <v>2</v>
      </c>
      <c r="K238" s="33" t="s">
        <v>938</v>
      </c>
      <c r="L238" s="33" t="s">
        <v>39</v>
      </c>
      <c r="M238" s="34" t="s">
        <v>39</v>
      </c>
      <c r="N238" s="34" t="s">
        <v>1681</v>
      </c>
      <c r="O238" s="35">
        <v>1</v>
      </c>
      <c r="P238" s="35">
        <v>1</v>
      </c>
      <c r="Q238" s="32"/>
      <c r="S238" s="1">
        <f t="shared" si="97"/>
        <v>0</v>
      </c>
      <c r="T238" s="1">
        <f t="shared" si="98"/>
        <v>1</v>
      </c>
      <c r="U238" s="1">
        <f t="shared" si="99"/>
        <v>0</v>
      </c>
      <c r="V238" s="1">
        <f t="shared" si="100"/>
        <v>0</v>
      </c>
      <c r="W238" s="1">
        <f t="shared" si="101"/>
        <v>0</v>
      </c>
      <c r="X238" s="1">
        <f t="shared" si="102"/>
        <v>0</v>
      </c>
      <c r="Y238" s="1">
        <f t="shared" si="103"/>
        <v>0</v>
      </c>
      <c r="Z238" s="1">
        <f t="shared" si="104"/>
        <v>0</v>
      </c>
      <c r="AA238" s="1">
        <f t="shared" si="105"/>
        <v>0</v>
      </c>
      <c r="AB238" s="1">
        <f t="shared" si="106"/>
        <v>0</v>
      </c>
      <c r="AD238" s="1">
        <f t="shared" si="107"/>
        <v>1</v>
      </c>
      <c r="AE238" s="1">
        <f t="shared" si="108"/>
        <v>0</v>
      </c>
      <c r="AF238" s="1">
        <f t="shared" si="109"/>
        <v>1</v>
      </c>
      <c r="AG238" s="1">
        <f t="shared" si="110"/>
        <v>0</v>
      </c>
      <c r="AH238" s="1">
        <f t="shared" si="111"/>
        <v>1</v>
      </c>
      <c r="AI238" s="1">
        <f t="shared" si="112"/>
        <v>0</v>
      </c>
    </row>
    <row r="239" spans="1:35" ht="14.25" customHeight="1" x14ac:dyDescent="0.25">
      <c r="A239" s="31">
        <v>0</v>
      </c>
      <c r="B239" s="31">
        <v>1</v>
      </c>
      <c r="C239" s="31">
        <v>6</v>
      </c>
      <c r="D239" s="32" t="s">
        <v>1243</v>
      </c>
      <c r="E239" s="32" t="s">
        <v>166</v>
      </c>
      <c r="F239" s="32" t="s">
        <v>1119</v>
      </c>
      <c r="G239" s="32" t="s">
        <v>1309</v>
      </c>
      <c r="H239" s="32" t="s">
        <v>352</v>
      </c>
      <c r="I239" s="31" t="s">
        <v>1120</v>
      </c>
      <c r="J239" s="31">
        <v>99</v>
      </c>
      <c r="K239" s="33" t="s">
        <v>693</v>
      </c>
      <c r="L239" s="33">
        <v>45</v>
      </c>
      <c r="M239" s="34" t="s">
        <v>39</v>
      </c>
      <c r="N239" s="34" t="s">
        <v>1689</v>
      </c>
      <c r="O239" s="35">
        <v>1</v>
      </c>
      <c r="P239" s="35"/>
      <c r="Q239" s="32"/>
      <c r="S239" s="1">
        <f t="shared" si="97"/>
        <v>0</v>
      </c>
      <c r="T239" s="1">
        <f t="shared" si="98"/>
        <v>0</v>
      </c>
      <c r="U239" s="1">
        <f t="shared" si="99"/>
        <v>0</v>
      </c>
      <c r="V239" s="1">
        <f t="shared" si="100"/>
        <v>0</v>
      </c>
      <c r="W239" s="1">
        <f t="shared" si="101"/>
        <v>0</v>
      </c>
      <c r="X239" s="1">
        <f t="shared" si="102"/>
        <v>0</v>
      </c>
      <c r="Y239" s="1">
        <f t="shared" si="103"/>
        <v>0</v>
      </c>
      <c r="Z239" s="1">
        <f t="shared" si="104"/>
        <v>0</v>
      </c>
      <c r="AA239" s="1">
        <f t="shared" si="105"/>
        <v>0</v>
      </c>
      <c r="AB239" s="1">
        <f t="shared" si="106"/>
        <v>0</v>
      </c>
      <c r="AD239" s="1">
        <f t="shared" si="107"/>
        <v>0</v>
      </c>
      <c r="AE239" s="1">
        <f t="shared" si="108"/>
        <v>1</v>
      </c>
      <c r="AF239" s="1">
        <f t="shared" si="109"/>
        <v>0</v>
      </c>
      <c r="AG239" s="1">
        <f t="shared" si="110"/>
        <v>1</v>
      </c>
      <c r="AH239" s="1">
        <f t="shared" si="111"/>
        <v>0</v>
      </c>
      <c r="AI239" s="1">
        <f t="shared" si="112"/>
        <v>1</v>
      </c>
    </row>
    <row r="240" spans="1:35" ht="14.25" customHeight="1" x14ac:dyDescent="0.25">
      <c r="A240" s="31">
        <v>0</v>
      </c>
      <c r="B240" s="31">
        <v>1</v>
      </c>
      <c r="C240" s="31">
        <v>6</v>
      </c>
      <c r="D240" s="36" t="s">
        <v>2109</v>
      </c>
      <c r="E240" s="32" t="s">
        <v>166</v>
      </c>
      <c r="F240" s="32" t="s">
        <v>1711</v>
      </c>
      <c r="G240" s="32"/>
      <c r="H240" s="32" t="s">
        <v>352</v>
      </c>
      <c r="I240" s="31" t="s">
        <v>1712</v>
      </c>
      <c r="J240" s="31"/>
      <c r="K240" s="33" t="s">
        <v>694</v>
      </c>
      <c r="L240" s="33"/>
      <c r="M240" s="34"/>
      <c r="N240" s="34" t="s">
        <v>1681</v>
      </c>
      <c r="O240" s="35">
        <v>1</v>
      </c>
      <c r="P240" s="35">
        <v>1</v>
      </c>
      <c r="Q240" s="32"/>
      <c r="S240" s="1">
        <f t="shared" si="97"/>
        <v>0</v>
      </c>
      <c r="T240" s="1">
        <f t="shared" si="98"/>
        <v>0</v>
      </c>
      <c r="U240" s="1">
        <f t="shared" si="99"/>
        <v>0</v>
      </c>
      <c r="V240" s="1">
        <f t="shared" si="100"/>
        <v>0</v>
      </c>
      <c r="W240" s="1">
        <f t="shared" si="101"/>
        <v>0</v>
      </c>
      <c r="X240" s="1">
        <f t="shared" si="102"/>
        <v>0</v>
      </c>
      <c r="Y240" s="1">
        <f t="shared" si="103"/>
        <v>0</v>
      </c>
      <c r="Z240" s="1">
        <f t="shared" si="104"/>
        <v>0</v>
      </c>
      <c r="AA240" s="1">
        <f t="shared" si="105"/>
        <v>0</v>
      </c>
      <c r="AB240" s="1">
        <f t="shared" si="106"/>
        <v>0</v>
      </c>
      <c r="AD240" s="1">
        <f t="shared" si="107"/>
        <v>1</v>
      </c>
      <c r="AE240" s="1">
        <f t="shared" si="108"/>
        <v>0</v>
      </c>
      <c r="AF240" s="1">
        <f t="shared" si="109"/>
        <v>1</v>
      </c>
      <c r="AG240" s="1">
        <f t="shared" si="110"/>
        <v>0</v>
      </c>
      <c r="AH240" s="1">
        <f t="shared" si="111"/>
        <v>1</v>
      </c>
      <c r="AI240" s="1">
        <f t="shared" si="112"/>
        <v>0</v>
      </c>
    </row>
    <row r="241" spans="1:4094 4097:8191 8194:12288 12291:16384" ht="14.25" customHeight="1" x14ac:dyDescent="0.25">
      <c r="A241" s="31">
        <v>0</v>
      </c>
      <c r="B241" s="31">
        <v>1</v>
      </c>
      <c r="C241" s="31">
        <v>6</v>
      </c>
      <c r="D241" s="32" t="s">
        <v>1734</v>
      </c>
      <c r="E241" s="32" t="s">
        <v>166</v>
      </c>
      <c r="F241" s="32" t="s">
        <v>1713</v>
      </c>
      <c r="G241" s="32"/>
      <c r="H241" s="32" t="s">
        <v>352</v>
      </c>
      <c r="I241" s="31" t="s">
        <v>1714</v>
      </c>
      <c r="J241" s="31"/>
      <c r="K241" s="33" t="s">
        <v>694</v>
      </c>
      <c r="L241" s="33">
        <v>30</v>
      </c>
      <c r="M241" s="34" t="s">
        <v>1715</v>
      </c>
      <c r="N241" s="34" t="s">
        <v>1693</v>
      </c>
      <c r="O241" s="35">
        <v>1</v>
      </c>
      <c r="P241" s="35"/>
      <c r="Q241" s="32"/>
      <c r="S241" s="1">
        <f t="shared" si="97"/>
        <v>0</v>
      </c>
      <c r="T241" s="1">
        <f t="shared" si="98"/>
        <v>0</v>
      </c>
      <c r="U241" s="1">
        <f t="shared" si="99"/>
        <v>0</v>
      </c>
      <c r="V241" s="1">
        <f t="shared" si="100"/>
        <v>0</v>
      </c>
      <c r="W241" s="1">
        <f t="shared" si="101"/>
        <v>0</v>
      </c>
      <c r="X241" s="1">
        <f t="shared" si="102"/>
        <v>0</v>
      </c>
      <c r="Y241" s="1">
        <f t="shared" si="103"/>
        <v>0</v>
      </c>
      <c r="Z241" s="1">
        <f t="shared" si="104"/>
        <v>0</v>
      </c>
      <c r="AA241" s="1">
        <f t="shared" si="105"/>
        <v>0</v>
      </c>
      <c r="AB241" s="1">
        <f t="shared" si="106"/>
        <v>0</v>
      </c>
      <c r="AD241" s="1">
        <f t="shared" si="107"/>
        <v>0</v>
      </c>
      <c r="AE241" s="1">
        <f t="shared" si="108"/>
        <v>1</v>
      </c>
      <c r="AF241" s="1">
        <f t="shared" si="109"/>
        <v>0</v>
      </c>
      <c r="AG241" s="1">
        <f t="shared" si="110"/>
        <v>1</v>
      </c>
      <c r="AH241" s="1">
        <f t="shared" si="111"/>
        <v>0</v>
      </c>
      <c r="AI241" s="1">
        <f t="shared" si="112"/>
        <v>1</v>
      </c>
    </row>
    <row r="242" spans="1:4094 4097:8191 8194:12288 12291:16384" ht="14.25" customHeight="1" x14ac:dyDescent="0.25">
      <c r="A242" s="31">
        <v>0</v>
      </c>
      <c r="B242" s="31">
        <v>1</v>
      </c>
      <c r="C242" s="31">
        <v>6</v>
      </c>
      <c r="D242" s="32" t="s">
        <v>990</v>
      </c>
      <c r="E242" s="32" t="s">
        <v>166</v>
      </c>
      <c r="F242" s="32" t="s">
        <v>991</v>
      </c>
      <c r="G242" s="32" t="s">
        <v>1079</v>
      </c>
      <c r="H242" s="32" t="s">
        <v>352</v>
      </c>
      <c r="I242" s="31" t="s">
        <v>992</v>
      </c>
      <c r="J242" s="31">
        <v>99</v>
      </c>
      <c r="K242" s="33" t="s">
        <v>940</v>
      </c>
      <c r="L242" s="33" t="s">
        <v>39</v>
      </c>
      <c r="M242" s="34" t="s">
        <v>39</v>
      </c>
      <c r="N242" s="34" t="s">
        <v>1681</v>
      </c>
      <c r="O242" s="35">
        <v>1</v>
      </c>
      <c r="P242" s="35">
        <v>1</v>
      </c>
      <c r="Q242" s="32"/>
      <c r="S242" s="1">
        <f t="shared" si="97"/>
        <v>0</v>
      </c>
      <c r="T242" s="1">
        <f t="shared" si="98"/>
        <v>0</v>
      </c>
      <c r="U242" s="1">
        <f t="shared" si="99"/>
        <v>0</v>
      </c>
      <c r="V242" s="1">
        <f t="shared" si="100"/>
        <v>0</v>
      </c>
      <c r="W242" s="1">
        <f t="shared" si="101"/>
        <v>0</v>
      </c>
      <c r="X242" s="1">
        <f t="shared" si="102"/>
        <v>0</v>
      </c>
      <c r="Y242" s="1">
        <f t="shared" si="103"/>
        <v>0</v>
      </c>
      <c r="Z242" s="1">
        <f t="shared" si="104"/>
        <v>0</v>
      </c>
      <c r="AA242" s="1">
        <f t="shared" si="105"/>
        <v>0</v>
      </c>
      <c r="AB242" s="1">
        <f t="shared" si="106"/>
        <v>0</v>
      </c>
      <c r="AD242" s="1">
        <f t="shared" si="107"/>
        <v>1</v>
      </c>
      <c r="AE242" s="1">
        <f t="shared" si="108"/>
        <v>0</v>
      </c>
      <c r="AF242" s="1">
        <f t="shared" si="109"/>
        <v>1</v>
      </c>
      <c r="AG242" s="1">
        <f t="shared" si="110"/>
        <v>0</v>
      </c>
      <c r="AH242" s="1">
        <f t="shared" si="111"/>
        <v>1</v>
      </c>
      <c r="AI242" s="1">
        <f t="shared" si="112"/>
        <v>0</v>
      </c>
    </row>
    <row r="243" spans="1:4094 4097:8191 8194:12288 12291:16384" ht="14.25" customHeight="1" x14ac:dyDescent="0.25">
      <c r="A243" s="31">
        <v>0</v>
      </c>
      <c r="B243" s="31">
        <v>1</v>
      </c>
      <c r="C243" s="31">
        <v>6</v>
      </c>
      <c r="D243" s="32" t="s">
        <v>93</v>
      </c>
      <c r="E243" s="32" t="s">
        <v>168</v>
      </c>
      <c r="F243" s="32" t="s">
        <v>287</v>
      </c>
      <c r="G243" s="32" t="s">
        <v>193</v>
      </c>
      <c r="H243" s="32" t="s">
        <v>352</v>
      </c>
      <c r="I243" s="31" t="s">
        <v>439</v>
      </c>
      <c r="J243" s="31">
        <v>9</v>
      </c>
      <c r="K243" s="33" t="s">
        <v>693</v>
      </c>
      <c r="L243" s="33" t="s">
        <v>685</v>
      </c>
      <c r="M243" s="34" t="s">
        <v>697</v>
      </c>
      <c r="N243" s="34" t="s">
        <v>1693</v>
      </c>
      <c r="O243" s="35">
        <v>1</v>
      </c>
      <c r="P243" s="35"/>
      <c r="Q243" s="32"/>
      <c r="S243" s="1">
        <f t="shared" si="97"/>
        <v>0</v>
      </c>
      <c r="T243" s="1">
        <f t="shared" si="98"/>
        <v>0</v>
      </c>
      <c r="U243" s="1">
        <f t="shared" si="99"/>
        <v>0</v>
      </c>
      <c r="V243" s="1">
        <f t="shared" si="100"/>
        <v>0</v>
      </c>
      <c r="W243" s="1">
        <f t="shared" si="101"/>
        <v>0</v>
      </c>
      <c r="X243" s="1">
        <f t="shared" si="102"/>
        <v>0</v>
      </c>
      <c r="Y243" s="1">
        <f t="shared" si="103"/>
        <v>0</v>
      </c>
      <c r="Z243" s="1">
        <f t="shared" si="104"/>
        <v>0</v>
      </c>
      <c r="AA243" s="1">
        <f t="shared" si="105"/>
        <v>1</v>
      </c>
      <c r="AB243" s="1">
        <f t="shared" si="106"/>
        <v>0</v>
      </c>
      <c r="AD243" s="1">
        <f t="shared" si="107"/>
        <v>0</v>
      </c>
      <c r="AE243" s="1">
        <f t="shared" si="108"/>
        <v>1</v>
      </c>
      <c r="AF243" s="1">
        <f t="shared" si="109"/>
        <v>0</v>
      </c>
      <c r="AG243" s="1">
        <f t="shared" si="110"/>
        <v>1</v>
      </c>
      <c r="AH243" s="1">
        <f t="shared" si="111"/>
        <v>0</v>
      </c>
      <c r="AI243" s="1">
        <f t="shared" si="112"/>
        <v>1</v>
      </c>
    </row>
    <row r="244" spans="1:4094 4097:8191 8194:12288 12291:16384" ht="14.25" customHeight="1" x14ac:dyDescent="0.25">
      <c r="A244" s="31">
        <v>0</v>
      </c>
      <c r="B244" s="31">
        <v>1</v>
      </c>
      <c r="C244" s="31">
        <v>6</v>
      </c>
      <c r="D244" s="32" t="s">
        <v>1565</v>
      </c>
      <c r="E244" s="32" t="s">
        <v>1566</v>
      </c>
      <c r="F244" s="32" t="s">
        <v>1567</v>
      </c>
      <c r="G244" s="32" t="s">
        <v>191</v>
      </c>
      <c r="H244" s="32" t="s">
        <v>352</v>
      </c>
      <c r="I244" s="31" t="s">
        <v>1568</v>
      </c>
      <c r="J244" s="31">
        <v>10</v>
      </c>
      <c r="K244" s="33" t="s">
        <v>932</v>
      </c>
      <c r="L244" s="33" t="s">
        <v>678</v>
      </c>
      <c r="M244" s="34" t="s">
        <v>1569</v>
      </c>
      <c r="N244" s="34" t="s">
        <v>1689</v>
      </c>
      <c r="O244" s="35">
        <v>1</v>
      </c>
      <c r="P244" s="35"/>
      <c r="Q244" s="32"/>
      <c r="S244" s="1">
        <f t="shared" si="97"/>
        <v>0</v>
      </c>
      <c r="T244" s="1">
        <f t="shared" si="98"/>
        <v>0</v>
      </c>
      <c r="U244" s="1">
        <f t="shared" si="99"/>
        <v>0</v>
      </c>
      <c r="V244" s="1">
        <f t="shared" si="100"/>
        <v>0</v>
      </c>
      <c r="W244" s="1">
        <f t="shared" si="101"/>
        <v>0</v>
      </c>
      <c r="X244" s="1">
        <f t="shared" si="102"/>
        <v>0</v>
      </c>
      <c r="Y244" s="1">
        <f t="shared" si="103"/>
        <v>0</v>
      </c>
      <c r="Z244" s="1">
        <f t="shared" si="104"/>
        <v>0</v>
      </c>
      <c r="AA244" s="1">
        <f t="shared" si="105"/>
        <v>0</v>
      </c>
      <c r="AB244" s="1">
        <f t="shared" si="106"/>
        <v>1</v>
      </c>
      <c r="AD244" s="1">
        <f t="shared" si="107"/>
        <v>0</v>
      </c>
      <c r="AE244" s="1">
        <f t="shared" si="108"/>
        <v>1</v>
      </c>
      <c r="AF244" s="1">
        <f t="shared" si="109"/>
        <v>0</v>
      </c>
      <c r="AG244" s="1">
        <f t="shared" si="110"/>
        <v>1</v>
      </c>
      <c r="AH244" s="1">
        <f t="shared" si="111"/>
        <v>0</v>
      </c>
      <c r="AI244" s="1">
        <f t="shared" si="112"/>
        <v>1</v>
      </c>
    </row>
    <row r="245" spans="1:4094 4097:8191 8194:12288 12291:16384" ht="14.25" customHeight="1" x14ac:dyDescent="0.25">
      <c r="A245" s="31">
        <v>0</v>
      </c>
      <c r="B245" s="31">
        <v>1</v>
      </c>
      <c r="C245" s="31">
        <v>6</v>
      </c>
      <c r="D245" s="32" t="s">
        <v>94</v>
      </c>
      <c r="E245" s="32" t="s">
        <v>164</v>
      </c>
      <c r="F245" s="32" t="s">
        <v>288</v>
      </c>
      <c r="G245" s="32" t="s">
        <v>289</v>
      </c>
      <c r="H245" s="32" t="s">
        <v>352</v>
      </c>
      <c r="I245" s="31" t="s">
        <v>440</v>
      </c>
      <c r="J245" s="31">
        <v>7</v>
      </c>
      <c r="K245" s="33" t="s">
        <v>693</v>
      </c>
      <c r="L245" s="33" t="s">
        <v>685</v>
      </c>
      <c r="M245" s="34" t="s">
        <v>689</v>
      </c>
      <c r="N245" s="34" t="s">
        <v>1694</v>
      </c>
      <c r="O245" s="35">
        <v>1</v>
      </c>
      <c r="P245" s="35"/>
      <c r="Q245" s="32"/>
      <c r="S245" s="1">
        <f t="shared" si="97"/>
        <v>0</v>
      </c>
      <c r="T245" s="1">
        <f t="shared" si="98"/>
        <v>0</v>
      </c>
      <c r="U245" s="1">
        <f t="shared" si="99"/>
        <v>0</v>
      </c>
      <c r="V245" s="1">
        <f t="shared" si="100"/>
        <v>0</v>
      </c>
      <c r="W245" s="1">
        <f t="shared" si="101"/>
        <v>0</v>
      </c>
      <c r="X245" s="1">
        <f t="shared" si="102"/>
        <v>0</v>
      </c>
      <c r="Y245" s="1">
        <f t="shared" si="103"/>
        <v>1</v>
      </c>
      <c r="Z245" s="1">
        <f t="shared" si="104"/>
        <v>0</v>
      </c>
      <c r="AA245" s="1">
        <f t="shared" si="105"/>
        <v>0</v>
      </c>
      <c r="AB245" s="1">
        <f t="shared" si="106"/>
        <v>0</v>
      </c>
      <c r="AD245" s="1">
        <f t="shared" si="107"/>
        <v>0</v>
      </c>
      <c r="AE245" s="1">
        <f t="shared" si="108"/>
        <v>1</v>
      </c>
      <c r="AF245" s="1">
        <f t="shared" si="109"/>
        <v>0</v>
      </c>
      <c r="AG245" s="1">
        <f t="shared" si="110"/>
        <v>1</v>
      </c>
      <c r="AH245" s="1">
        <f t="shared" si="111"/>
        <v>0</v>
      </c>
      <c r="AI245" s="1">
        <f t="shared" si="112"/>
        <v>1</v>
      </c>
    </row>
    <row r="246" spans="1:4094 4097:8191 8194:12288 12291:16384" ht="14.25" customHeight="1" x14ac:dyDescent="0.25">
      <c r="A246" s="31">
        <v>0</v>
      </c>
      <c r="B246" s="31">
        <v>1</v>
      </c>
      <c r="C246" s="31">
        <v>6</v>
      </c>
      <c r="D246" s="32" t="s">
        <v>1061</v>
      </c>
      <c r="E246" s="32" t="s">
        <v>166</v>
      </c>
      <c r="F246" s="32" t="s">
        <v>652</v>
      </c>
      <c r="G246" s="32" t="s">
        <v>178</v>
      </c>
      <c r="H246" s="32" t="s">
        <v>352</v>
      </c>
      <c r="I246" s="31" t="s">
        <v>379</v>
      </c>
      <c r="J246" s="31">
        <v>10</v>
      </c>
      <c r="K246" s="33" t="s">
        <v>713</v>
      </c>
      <c r="L246" s="33" t="s">
        <v>695</v>
      </c>
      <c r="M246" s="34" t="s">
        <v>698</v>
      </c>
      <c r="N246" s="34" t="s">
        <v>1695</v>
      </c>
      <c r="O246" s="35">
        <v>1</v>
      </c>
      <c r="P246" s="35"/>
      <c r="Q246" s="32"/>
      <c r="R246" s="15"/>
      <c r="S246" s="1">
        <f t="shared" si="97"/>
        <v>0</v>
      </c>
      <c r="T246" s="1">
        <f t="shared" si="98"/>
        <v>0</v>
      </c>
      <c r="U246" s="1">
        <f t="shared" si="99"/>
        <v>0</v>
      </c>
      <c r="V246" s="1">
        <f t="shared" si="100"/>
        <v>0</v>
      </c>
      <c r="W246" s="1">
        <f t="shared" si="101"/>
        <v>0</v>
      </c>
      <c r="X246" s="1">
        <f t="shared" si="102"/>
        <v>0</v>
      </c>
      <c r="Y246" s="1">
        <f t="shared" si="103"/>
        <v>0</v>
      </c>
      <c r="Z246" s="1">
        <f t="shared" si="104"/>
        <v>0</v>
      </c>
      <c r="AA246" s="1">
        <f t="shared" si="105"/>
        <v>0</v>
      </c>
      <c r="AB246" s="1">
        <f t="shared" si="106"/>
        <v>1</v>
      </c>
      <c r="AD246" s="1">
        <f t="shared" si="107"/>
        <v>0</v>
      </c>
      <c r="AE246" s="1">
        <f t="shared" si="108"/>
        <v>1</v>
      </c>
      <c r="AF246" s="1">
        <f t="shared" si="109"/>
        <v>0</v>
      </c>
      <c r="AG246" s="1">
        <f t="shared" si="110"/>
        <v>1</v>
      </c>
      <c r="AH246" s="1">
        <f t="shared" si="111"/>
        <v>0</v>
      </c>
      <c r="AI246" s="1">
        <f t="shared" si="112"/>
        <v>1</v>
      </c>
      <c r="AJ246" s="15"/>
      <c r="AK246" s="15"/>
      <c r="AL246" s="16"/>
      <c r="AM246" s="16"/>
      <c r="AN246" s="16"/>
      <c r="AO246" s="16"/>
      <c r="AP246" s="16"/>
      <c r="AQ246" s="15"/>
      <c r="AR246" s="15"/>
      <c r="AS246" s="10"/>
      <c r="AT246" s="10"/>
      <c r="AU246" s="19"/>
      <c r="AV246" s="19"/>
      <c r="AY246" s="16"/>
      <c r="AZ246" s="15"/>
      <c r="BA246" s="15"/>
      <c r="BB246" s="15"/>
      <c r="BC246" s="16"/>
      <c r="BD246" s="16"/>
      <c r="BE246" s="16"/>
      <c r="BF246" s="16"/>
      <c r="BG246" s="16"/>
      <c r="BH246" s="15"/>
      <c r="BI246" s="15"/>
      <c r="BJ246" s="10"/>
      <c r="BK246" s="10"/>
      <c r="BL246" s="19"/>
      <c r="BM246" s="19"/>
      <c r="BP246" s="16"/>
      <c r="BQ246" s="15"/>
      <c r="BR246" s="15"/>
      <c r="BS246" s="15"/>
      <c r="BT246" s="16"/>
      <c r="BU246" s="16"/>
      <c r="BV246" s="16"/>
      <c r="BW246" s="16"/>
      <c r="BX246" s="16"/>
      <c r="BY246" s="15"/>
      <c r="BZ246" s="15"/>
      <c r="CA246" s="10"/>
      <c r="CB246" s="10"/>
      <c r="CC246" s="19"/>
      <c r="CD246" s="19"/>
      <c r="CG246" s="16"/>
      <c r="CH246" s="15"/>
      <c r="CI246" s="15"/>
      <c r="CJ246" s="15"/>
      <c r="CK246" s="16"/>
      <c r="CL246" s="16"/>
      <c r="CM246" s="16"/>
      <c r="CN246" s="16"/>
      <c r="CO246" s="16"/>
      <c r="CP246" s="15"/>
      <c r="CQ246" s="15"/>
      <c r="CR246" s="10"/>
      <c r="CS246" s="10"/>
      <c r="CT246" s="19"/>
      <c r="CU246" s="19"/>
      <c r="CX246" s="16"/>
      <c r="CY246" s="15"/>
      <c r="CZ246" s="15"/>
      <c r="DA246" s="15"/>
      <c r="DB246" s="16"/>
      <c r="DC246" s="16"/>
      <c r="DD246" s="16"/>
      <c r="DE246" s="16"/>
      <c r="DF246" s="16"/>
      <c r="DG246" s="15"/>
      <c r="DH246" s="15"/>
      <c r="DI246" s="10"/>
      <c r="DJ246" s="10"/>
      <c r="DK246" s="19"/>
      <c r="DL246" s="19"/>
      <c r="DO246" s="16"/>
      <c r="DP246" s="15"/>
      <c r="DQ246" s="15"/>
      <c r="DR246" s="15"/>
      <c r="DS246" s="16"/>
      <c r="DT246" s="16"/>
      <c r="DU246" s="16"/>
      <c r="DV246" s="16"/>
      <c r="DW246" s="16"/>
      <c r="DX246" s="15"/>
      <c r="DY246" s="15"/>
      <c r="DZ246" s="10"/>
      <c r="EA246" s="10"/>
      <c r="EB246" s="19"/>
      <c r="EC246" s="19"/>
      <c r="EF246" s="16"/>
      <c r="EG246" s="15"/>
      <c r="EH246" s="15"/>
      <c r="EI246" s="15"/>
      <c r="EJ246" s="16"/>
      <c r="EK246" s="16"/>
      <c r="EL246" s="16"/>
      <c r="EM246" s="16"/>
      <c r="EN246" s="16"/>
      <c r="EO246" s="15"/>
      <c r="EP246" s="15"/>
      <c r="EQ246" s="10"/>
      <c r="ER246" s="10"/>
      <c r="ES246" s="19"/>
      <c r="ET246" s="19"/>
      <c r="EW246" s="16"/>
      <c r="EX246" s="15"/>
      <c r="EY246" s="15"/>
      <c r="EZ246" s="15"/>
      <c r="FA246" s="16"/>
      <c r="FB246" s="16"/>
      <c r="FC246" s="16"/>
      <c r="FD246" s="16"/>
      <c r="FE246" s="16"/>
      <c r="FF246" s="15"/>
      <c r="FG246" s="15"/>
      <c r="FH246" s="10"/>
      <c r="FI246" s="10"/>
      <c r="FJ246" s="19"/>
      <c r="FK246" s="19"/>
      <c r="FN246" s="16"/>
      <c r="FO246" s="15"/>
      <c r="FP246" s="15"/>
      <c r="FQ246" s="15"/>
      <c r="FR246" s="16"/>
      <c r="FS246" s="16"/>
      <c r="FT246" s="16"/>
      <c r="FU246" s="16"/>
      <c r="FV246" s="16"/>
      <c r="FW246" s="15"/>
      <c r="FX246" s="15"/>
      <c r="FY246" s="10"/>
      <c r="FZ246" s="10"/>
      <c r="GA246" s="19"/>
      <c r="GB246" s="19"/>
      <c r="GE246" s="16"/>
      <c r="GF246" s="15"/>
      <c r="GG246" s="15"/>
      <c r="GH246" s="15"/>
      <c r="GI246" s="16"/>
      <c r="GJ246" s="16"/>
      <c r="GK246" s="16"/>
      <c r="GL246" s="16"/>
      <c r="GM246" s="16"/>
      <c r="GN246" s="15"/>
      <c r="GO246" s="15"/>
      <c r="GP246" s="10"/>
      <c r="GQ246" s="10"/>
      <c r="GR246" s="19"/>
      <c r="GS246" s="19"/>
      <c r="GV246" s="16"/>
      <c r="GW246" s="15"/>
      <c r="GX246" s="15"/>
      <c r="GY246" s="15"/>
      <c r="GZ246" s="16"/>
      <c r="HA246" s="16"/>
      <c r="HB246" s="16"/>
      <c r="HC246" s="16"/>
      <c r="HD246" s="16"/>
      <c r="HE246" s="15"/>
      <c r="HF246" s="15"/>
      <c r="HG246" s="10"/>
      <c r="HH246" s="10"/>
      <c r="HI246" s="19"/>
      <c r="HJ246" s="19"/>
      <c r="HM246" s="16"/>
      <c r="HN246" s="15"/>
      <c r="HO246" s="15"/>
      <c r="HP246" s="15"/>
      <c r="HQ246" s="16"/>
      <c r="HR246" s="16"/>
      <c r="HS246" s="16"/>
      <c r="HT246" s="16"/>
      <c r="HU246" s="16"/>
      <c r="HV246" s="15"/>
      <c r="HW246" s="15"/>
      <c r="HX246" s="10"/>
      <c r="HY246" s="10"/>
      <c r="HZ246" s="19"/>
      <c r="IA246" s="19"/>
      <c r="ID246" s="16"/>
      <c r="IE246" s="15"/>
      <c r="IF246" s="15"/>
      <c r="IG246" s="15"/>
      <c r="IH246" s="16"/>
      <c r="II246" s="16"/>
      <c r="IJ246" s="16"/>
      <c r="IK246" s="16"/>
      <c r="IL246" s="16"/>
      <c r="IM246" s="15"/>
      <c r="IN246" s="15"/>
      <c r="IO246" s="10"/>
      <c r="IP246" s="10"/>
      <c r="IQ246" s="19"/>
      <c r="IR246" s="19"/>
      <c r="IU246" s="16"/>
      <c r="IV246" s="15"/>
      <c r="IW246" s="15"/>
      <c r="IX246" s="15"/>
      <c r="IY246" s="16"/>
      <c r="IZ246" s="16"/>
      <c r="JA246" s="16"/>
      <c r="JB246" s="16"/>
      <c r="JC246" s="16"/>
      <c r="JD246" s="15"/>
      <c r="JE246" s="15"/>
      <c r="JF246" s="10"/>
      <c r="JG246" s="10"/>
      <c r="JH246" s="19"/>
      <c r="JI246" s="19"/>
      <c r="JL246" s="16"/>
      <c r="JM246" s="15"/>
      <c r="JN246" s="15"/>
      <c r="JO246" s="15"/>
      <c r="JP246" s="16"/>
      <c r="JQ246" s="16"/>
      <c r="JR246" s="16"/>
      <c r="JS246" s="16"/>
      <c r="JT246" s="16"/>
      <c r="JU246" s="15"/>
      <c r="JV246" s="15"/>
      <c r="JW246" s="10"/>
      <c r="JX246" s="10"/>
      <c r="JY246" s="19"/>
      <c r="JZ246" s="19"/>
      <c r="KC246" s="16"/>
      <c r="KD246" s="15"/>
      <c r="KE246" s="15"/>
      <c r="KF246" s="15"/>
      <c r="KG246" s="16"/>
      <c r="KH246" s="16"/>
      <c r="KI246" s="16"/>
      <c r="KJ246" s="16"/>
      <c r="KK246" s="16"/>
      <c r="KL246" s="15"/>
      <c r="KM246" s="15"/>
      <c r="KN246" s="10"/>
      <c r="KO246" s="10"/>
      <c r="KP246" s="19"/>
      <c r="KQ246" s="19"/>
      <c r="KT246" s="16"/>
      <c r="KU246" s="15"/>
      <c r="KV246" s="15"/>
      <c r="KW246" s="15"/>
      <c r="KX246" s="16"/>
      <c r="KY246" s="16"/>
      <c r="KZ246" s="16"/>
      <c r="LA246" s="16"/>
      <c r="LB246" s="16"/>
      <c r="LC246" s="15"/>
      <c r="LD246" s="15"/>
      <c r="LE246" s="10"/>
      <c r="LF246" s="10"/>
      <c r="LG246" s="19"/>
      <c r="LH246" s="19"/>
      <c r="LK246" s="16"/>
      <c r="LL246" s="15"/>
      <c r="LM246" s="15"/>
      <c r="LN246" s="15"/>
      <c r="LO246" s="16"/>
      <c r="LP246" s="16"/>
      <c r="LQ246" s="16"/>
      <c r="LR246" s="16"/>
      <c r="LS246" s="16"/>
      <c r="LT246" s="15"/>
      <c r="LU246" s="15"/>
      <c r="LV246" s="10"/>
      <c r="LW246" s="10"/>
      <c r="LX246" s="19"/>
      <c r="LY246" s="19"/>
      <c r="MB246" s="16"/>
      <c r="MC246" s="15"/>
      <c r="MD246" s="15"/>
      <c r="ME246" s="15"/>
      <c r="MF246" s="16"/>
      <c r="MG246" s="16"/>
      <c r="MH246" s="16"/>
      <c r="MI246" s="16"/>
      <c r="MJ246" s="16"/>
      <c r="MK246" s="15"/>
      <c r="ML246" s="15"/>
      <c r="MM246" s="10"/>
      <c r="MN246" s="10"/>
      <c r="MO246" s="19"/>
      <c r="MP246" s="19"/>
      <c r="MS246" s="16"/>
      <c r="MT246" s="15"/>
      <c r="MU246" s="15"/>
      <c r="MV246" s="15"/>
      <c r="MW246" s="16"/>
      <c r="MX246" s="16"/>
      <c r="MY246" s="16"/>
      <c r="MZ246" s="16"/>
      <c r="NA246" s="16"/>
      <c r="NB246" s="15"/>
      <c r="NC246" s="15"/>
      <c r="ND246" s="10"/>
      <c r="NE246" s="10"/>
      <c r="NF246" s="19"/>
      <c r="NG246" s="19"/>
      <c r="NJ246" s="16"/>
      <c r="NK246" s="15"/>
      <c r="NL246" s="15"/>
      <c r="NM246" s="15"/>
      <c r="NN246" s="16"/>
      <c r="NO246" s="16"/>
      <c r="NP246" s="16"/>
      <c r="NQ246" s="16"/>
      <c r="NR246" s="16"/>
      <c r="NS246" s="15"/>
      <c r="NT246" s="15"/>
      <c r="NU246" s="10"/>
      <c r="NV246" s="10"/>
      <c r="NW246" s="19"/>
      <c r="NX246" s="19"/>
      <c r="OA246" s="16"/>
      <c r="OB246" s="15"/>
      <c r="OC246" s="15"/>
      <c r="OD246" s="15"/>
      <c r="OE246" s="16"/>
      <c r="OF246" s="16"/>
      <c r="OG246" s="16"/>
      <c r="OH246" s="16"/>
      <c r="OI246" s="16"/>
      <c r="OJ246" s="15"/>
      <c r="OK246" s="15"/>
      <c r="OL246" s="10"/>
      <c r="OM246" s="10"/>
      <c r="ON246" s="19"/>
      <c r="OO246" s="19"/>
      <c r="OR246" s="16"/>
      <c r="OS246" s="15"/>
      <c r="OT246" s="15"/>
      <c r="OU246" s="15"/>
      <c r="OV246" s="16"/>
      <c r="OW246" s="16"/>
      <c r="OX246" s="16"/>
      <c r="OY246" s="16"/>
      <c r="OZ246" s="16"/>
      <c r="PA246" s="15"/>
      <c r="PB246" s="15"/>
      <c r="PC246" s="10"/>
      <c r="PD246" s="10"/>
      <c r="PE246" s="19"/>
      <c r="PF246" s="19"/>
      <c r="PI246" s="16"/>
      <c r="PJ246" s="15"/>
      <c r="PK246" s="15"/>
      <c r="PL246" s="15"/>
      <c r="PM246" s="16"/>
      <c r="PN246" s="16"/>
      <c r="PO246" s="16"/>
      <c r="PP246" s="16"/>
      <c r="PQ246" s="16"/>
      <c r="PR246" s="15"/>
      <c r="PS246" s="15"/>
      <c r="PT246" s="10"/>
      <c r="PU246" s="10"/>
      <c r="PV246" s="19"/>
      <c r="PW246" s="19"/>
      <c r="PZ246" s="16"/>
      <c r="QA246" s="15"/>
      <c r="QB246" s="15"/>
      <c r="QC246" s="15"/>
      <c r="QD246" s="16"/>
      <c r="QE246" s="16"/>
      <c r="QF246" s="16"/>
      <c r="QG246" s="16"/>
      <c r="QH246" s="16"/>
      <c r="QI246" s="15"/>
      <c r="QJ246" s="15"/>
      <c r="QK246" s="10"/>
      <c r="QL246" s="10"/>
      <c r="QM246" s="19"/>
      <c r="QN246" s="19"/>
      <c r="QQ246" s="16"/>
      <c r="QR246" s="15"/>
      <c r="QS246" s="15"/>
      <c r="QT246" s="15"/>
      <c r="QU246" s="16"/>
      <c r="QV246" s="16"/>
      <c r="QW246" s="16"/>
      <c r="QX246" s="16"/>
      <c r="QY246" s="16"/>
      <c r="QZ246" s="15"/>
      <c r="RA246" s="15"/>
      <c r="RB246" s="10"/>
      <c r="RC246" s="10"/>
      <c r="RD246" s="19"/>
      <c r="RE246" s="19"/>
      <c r="RH246" s="16"/>
      <c r="RI246" s="15"/>
      <c r="RJ246" s="15"/>
      <c r="RK246" s="15"/>
      <c r="RL246" s="16"/>
      <c r="RM246" s="16"/>
      <c r="RN246" s="16"/>
      <c r="RO246" s="16"/>
      <c r="RP246" s="16"/>
      <c r="RQ246" s="15"/>
      <c r="RR246" s="15"/>
      <c r="RS246" s="10"/>
      <c r="RT246" s="10"/>
      <c r="RU246" s="19"/>
      <c r="RV246" s="19"/>
      <c r="RY246" s="16"/>
      <c r="RZ246" s="15"/>
      <c r="SA246" s="15"/>
      <c r="SB246" s="15"/>
      <c r="SC246" s="16"/>
      <c r="SD246" s="16"/>
      <c r="SE246" s="16"/>
      <c r="SF246" s="16"/>
      <c r="SG246" s="16"/>
      <c r="SH246" s="15"/>
      <c r="SI246" s="15"/>
      <c r="SJ246" s="10"/>
      <c r="SK246" s="10"/>
      <c r="SL246" s="19"/>
      <c r="SM246" s="19"/>
      <c r="SP246" s="16"/>
      <c r="SQ246" s="15"/>
      <c r="SR246" s="15"/>
      <c r="SS246" s="15"/>
      <c r="ST246" s="16"/>
      <c r="SU246" s="16"/>
      <c r="SV246" s="16"/>
      <c r="SW246" s="16"/>
      <c r="SX246" s="16"/>
      <c r="SY246" s="15"/>
      <c r="SZ246" s="15"/>
      <c r="TA246" s="10"/>
      <c r="TB246" s="10"/>
      <c r="TC246" s="19"/>
      <c r="TD246" s="19"/>
      <c r="TG246" s="16"/>
      <c r="TH246" s="15"/>
      <c r="TI246" s="15"/>
      <c r="TJ246" s="15"/>
      <c r="TK246" s="16"/>
      <c r="TL246" s="16"/>
      <c r="TM246" s="16"/>
      <c r="TN246" s="16"/>
      <c r="TO246" s="16"/>
      <c r="TP246" s="15"/>
      <c r="TQ246" s="15"/>
      <c r="TR246" s="10"/>
      <c r="TS246" s="10"/>
      <c r="TT246" s="19"/>
      <c r="TU246" s="19"/>
      <c r="TX246" s="16"/>
      <c r="TY246" s="15"/>
      <c r="TZ246" s="15"/>
      <c r="UA246" s="15"/>
      <c r="UB246" s="16"/>
      <c r="UC246" s="16"/>
      <c r="UD246" s="16"/>
      <c r="UE246" s="16"/>
      <c r="UF246" s="16"/>
      <c r="UG246" s="15"/>
      <c r="UH246" s="15"/>
      <c r="UI246" s="10"/>
      <c r="UJ246" s="10"/>
      <c r="UK246" s="19"/>
      <c r="UL246" s="19"/>
      <c r="UO246" s="16"/>
      <c r="UP246" s="15"/>
      <c r="UQ246" s="15"/>
      <c r="UR246" s="15"/>
      <c r="US246" s="16"/>
      <c r="UT246" s="16"/>
      <c r="UU246" s="16"/>
      <c r="UV246" s="16"/>
      <c r="UW246" s="16"/>
      <c r="UX246" s="15"/>
      <c r="UY246" s="15"/>
      <c r="UZ246" s="10"/>
      <c r="VA246" s="10"/>
      <c r="VB246" s="19"/>
      <c r="VC246" s="19"/>
      <c r="VF246" s="16"/>
      <c r="VG246" s="15"/>
      <c r="VH246" s="15"/>
      <c r="VI246" s="15"/>
      <c r="VJ246" s="16"/>
      <c r="VK246" s="16"/>
      <c r="VL246" s="16"/>
      <c r="VM246" s="16"/>
      <c r="VN246" s="16"/>
      <c r="VO246" s="15"/>
      <c r="VP246" s="15"/>
      <c r="VQ246" s="10"/>
      <c r="VR246" s="10"/>
      <c r="VS246" s="19"/>
      <c r="VT246" s="19"/>
      <c r="VW246" s="16"/>
      <c r="VX246" s="15"/>
      <c r="VY246" s="15"/>
      <c r="VZ246" s="15"/>
      <c r="WA246" s="16"/>
      <c r="WB246" s="16"/>
      <c r="WC246" s="16"/>
      <c r="WD246" s="16"/>
      <c r="WE246" s="16"/>
      <c r="WF246" s="15"/>
      <c r="WG246" s="15"/>
      <c r="WH246" s="10"/>
      <c r="WI246" s="10"/>
      <c r="WJ246" s="19"/>
      <c r="WK246" s="19"/>
      <c r="WN246" s="16"/>
      <c r="WO246" s="15"/>
      <c r="WP246" s="15"/>
      <c r="WQ246" s="15"/>
      <c r="WR246" s="16"/>
      <c r="WS246" s="16"/>
      <c r="WT246" s="16"/>
      <c r="WU246" s="16"/>
      <c r="WV246" s="16"/>
      <c r="WW246" s="15"/>
      <c r="WX246" s="15"/>
      <c r="WY246" s="10"/>
      <c r="WZ246" s="10"/>
      <c r="XA246" s="19"/>
      <c r="XB246" s="19"/>
      <c r="XE246" s="16"/>
      <c r="XF246" s="15"/>
      <c r="XG246" s="15"/>
      <c r="XH246" s="15"/>
      <c r="XI246" s="16"/>
      <c r="XJ246" s="16"/>
      <c r="XK246" s="16"/>
      <c r="XL246" s="16"/>
      <c r="XM246" s="16"/>
      <c r="XN246" s="15"/>
      <c r="XO246" s="15"/>
      <c r="XP246" s="10"/>
      <c r="XQ246" s="10"/>
      <c r="XR246" s="19"/>
      <c r="XS246" s="19"/>
      <c r="XV246" s="16"/>
      <c r="XW246" s="15"/>
      <c r="XX246" s="15"/>
      <c r="XY246" s="15"/>
      <c r="XZ246" s="16"/>
      <c r="YA246" s="16"/>
      <c r="YB246" s="16"/>
      <c r="YC246" s="16"/>
      <c r="YD246" s="16"/>
      <c r="YE246" s="15"/>
      <c r="YF246" s="15"/>
      <c r="YG246" s="10"/>
      <c r="YH246" s="10"/>
      <c r="YI246" s="19"/>
      <c r="YJ246" s="19"/>
      <c r="YM246" s="16"/>
      <c r="YN246" s="15"/>
      <c r="YO246" s="15"/>
      <c r="YP246" s="15"/>
      <c r="YQ246" s="16"/>
      <c r="YR246" s="16"/>
      <c r="YS246" s="16"/>
      <c r="YT246" s="16"/>
      <c r="YU246" s="16"/>
      <c r="YV246" s="15"/>
      <c r="YW246" s="15"/>
      <c r="YX246" s="10"/>
      <c r="YY246" s="10"/>
      <c r="YZ246" s="19"/>
      <c r="ZA246" s="19"/>
      <c r="ZD246" s="16"/>
      <c r="ZE246" s="15"/>
      <c r="ZF246" s="15"/>
      <c r="ZG246" s="15"/>
      <c r="ZH246" s="16"/>
      <c r="ZI246" s="16"/>
      <c r="ZJ246" s="16"/>
      <c r="ZK246" s="16"/>
      <c r="ZL246" s="16"/>
      <c r="ZM246" s="15"/>
      <c r="ZN246" s="15"/>
      <c r="ZO246" s="10"/>
      <c r="ZP246" s="10"/>
      <c r="ZQ246" s="19"/>
      <c r="ZR246" s="19"/>
      <c r="ZU246" s="16"/>
      <c r="ZV246" s="15"/>
      <c r="ZW246" s="15"/>
      <c r="ZX246" s="15"/>
      <c r="ZY246" s="16"/>
      <c r="ZZ246" s="16"/>
      <c r="AAA246" s="16"/>
      <c r="AAB246" s="16"/>
      <c r="AAC246" s="16"/>
      <c r="AAD246" s="15"/>
      <c r="AAE246" s="15"/>
      <c r="AAF246" s="10"/>
      <c r="AAG246" s="10"/>
      <c r="AAH246" s="19"/>
      <c r="AAI246" s="19"/>
      <c r="AAL246" s="16"/>
      <c r="AAM246" s="15"/>
      <c r="AAN246" s="15"/>
      <c r="AAO246" s="15"/>
      <c r="AAP246" s="16"/>
      <c r="AAQ246" s="16"/>
      <c r="AAR246" s="16"/>
      <c r="AAS246" s="16"/>
      <c r="AAT246" s="16"/>
      <c r="AAU246" s="15"/>
      <c r="AAV246" s="15"/>
      <c r="AAW246" s="10"/>
      <c r="AAX246" s="10"/>
      <c r="AAY246" s="19"/>
      <c r="AAZ246" s="19"/>
      <c r="ABC246" s="16"/>
      <c r="ABD246" s="15"/>
      <c r="ABE246" s="15"/>
      <c r="ABF246" s="15"/>
      <c r="ABG246" s="16"/>
      <c r="ABH246" s="16"/>
      <c r="ABI246" s="16"/>
      <c r="ABJ246" s="16"/>
      <c r="ABK246" s="16"/>
      <c r="ABL246" s="15"/>
      <c r="ABM246" s="15"/>
      <c r="ABN246" s="10"/>
      <c r="ABO246" s="10"/>
      <c r="ABP246" s="19"/>
      <c r="ABQ246" s="19"/>
      <c r="ABT246" s="16"/>
      <c r="ABU246" s="15"/>
      <c r="ABV246" s="15"/>
      <c r="ABW246" s="15"/>
      <c r="ABX246" s="16"/>
      <c r="ABY246" s="16"/>
      <c r="ABZ246" s="16"/>
      <c r="ACA246" s="16"/>
      <c r="ACB246" s="16"/>
      <c r="ACC246" s="15"/>
      <c r="ACD246" s="15"/>
      <c r="ACE246" s="10"/>
      <c r="ACF246" s="10"/>
      <c r="ACG246" s="19"/>
      <c r="ACH246" s="19"/>
      <c r="ACK246" s="16"/>
      <c r="ACL246" s="15"/>
      <c r="ACM246" s="15"/>
      <c r="ACN246" s="15"/>
      <c r="ACO246" s="16"/>
      <c r="ACP246" s="16"/>
      <c r="ACQ246" s="16"/>
      <c r="ACR246" s="16"/>
      <c r="ACS246" s="16"/>
      <c r="ACT246" s="15"/>
      <c r="ACU246" s="15"/>
      <c r="ACV246" s="10"/>
      <c r="ACW246" s="10"/>
      <c r="ACX246" s="19"/>
      <c r="ACY246" s="19"/>
      <c r="ADB246" s="16"/>
      <c r="ADC246" s="15"/>
      <c r="ADD246" s="15"/>
      <c r="ADE246" s="15"/>
      <c r="ADF246" s="16"/>
      <c r="ADG246" s="16"/>
      <c r="ADH246" s="16"/>
      <c r="ADI246" s="16"/>
      <c r="ADJ246" s="16"/>
      <c r="ADK246" s="15"/>
      <c r="ADL246" s="15"/>
      <c r="ADM246" s="10"/>
      <c r="ADN246" s="10"/>
      <c r="ADO246" s="19"/>
      <c r="ADP246" s="19"/>
      <c r="ADS246" s="16"/>
      <c r="ADT246" s="15"/>
      <c r="ADU246" s="15"/>
      <c r="ADV246" s="15"/>
      <c r="ADW246" s="16"/>
      <c r="ADX246" s="16"/>
      <c r="ADY246" s="16"/>
      <c r="ADZ246" s="16"/>
      <c r="AEA246" s="16"/>
      <c r="AEB246" s="15"/>
      <c r="AEC246" s="15"/>
      <c r="AED246" s="10"/>
      <c r="AEE246" s="10"/>
      <c r="AEF246" s="19"/>
      <c r="AEG246" s="19"/>
      <c r="AEJ246" s="16"/>
      <c r="AEK246" s="15"/>
      <c r="AEL246" s="15"/>
      <c r="AEM246" s="15"/>
      <c r="AEN246" s="16"/>
      <c r="AEO246" s="16"/>
      <c r="AEP246" s="16"/>
      <c r="AEQ246" s="16"/>
      <c r="AER246" s="16"/>
      <c r="AES246" s="15"/>
      <c r="AET246" s="15"/>
      <c r="AEU246" s="10"/>
      <c r="AEV246" s="10"/>
      <c r="AEW246" s="19"/>
      <c r="AEX246" s="19"/>
      <c r="AFA246" s="16"/>
      <c r="AFB246" s="15"/>
      <c r="AFC246" s="15"/>
      <c r="AFD246" s="15"/>
      <c r="AFE246" s="16"/>
      <c r="AFF246" s="16"/>
      <c r="AFG246" s="16"/>
      <c r="AFH246" s="16"/>
      <c r="AFI246" s="16"/>
      <c r="AFJ246" s="15"/>
      <c r="AFK246" s="15"/>
      <c r="AFL246" s="10"/>
      <c r="AFM246" s="10"/>
      <c r="AFN246" s="19"/>
      <c r="AFO246" s="19"/>
      <c r="AFR246" s="16"/>
      <c r="AFS246" s="15"/>
      <c r="AFT246" s="15"/>
      <c r="AFU246" s="15"/>
      <c r="AFV246" s="16"/>
      <c r="AFW246" s="16"/>
      <c r="AFX246" s="16"/>
      <c r="AFY246" s="16"/>
      <c r="AFZ246" s="16"/>
      <c r="AGA246" s="15"/>
      <c r="AGB246" s="15"/>
      <c r="AGC246" s="10"/>
      <c r="AGD246" s="10"/>
      <c r="AGE246" s="19"/>
      <c r="AGF246" s="19"/>
      <c r="AGI246" s="16"/>
      <c r="AGJ246" s="15"/>
      <c r="AGK246" s="15"/>
      <c r="AGL246" s="15"/>
      <c r="AGM246" s="16"/>
      <c r="AGN246" s="16"/>
      <c r="AGO246" s="16"/>
      <c r="AGP246" s="16"/>
      <c r="AGQ246" s="16"/>
      <c r="AGR246" s="15"/>
      <c r="AGS246" s="15"/>
      <c r="AGT246" s="10"/>
      <c r="AGU246" s="10"/>
      <c r="AGV246" s="19"/>
      <c r="AGW246" s="19"/>
      <c r="AGZ246" s="16"/>
      <c r="AHA246" s="15"/>
      <c r="AHB246" s="15"/>
      <c r="AHC246" s="15"/>
      <c r="AHD246" s="16"/>
      <c r="AHE246" s="16"/>
      <c r="AHF246" s="16"/>
      <c r="AHG246" s="16"/>
      <c r="AHH246" s="16"/>
      <c r="AHI246" s="15"/>
      <c r="AHJ246" s="15"/>
      <c r="AHK246" s="10"/>
      <c r="AHL246" s="10"/>
      <c r="AHM246" s="19"/>
      <c r="AHN246" s="19"/>
      <c r="AHQ246" s="16"/>
      <c r="AHR246" s="15"/>
      <c r="AHS246" s="15"/>
      <c r="AHT246" s="15"/>
      <c r="AHU246" s="16"/>
      <c r="AHV246" s="16"/>
      <c r="AHW246" s="16"/>
      <c r="AHX246" s="16"/>
      <c r="AHY246" s="16"/>
      <c r="AHZ246" s="15"/>
      <c r="AIA246" s="15"/>
      <c r="AIB246" s="10"/>
      <c r="AIC246" s="10"/>
      <c r="AID246" s="19"/>
      <c r="AIE246" s="19"/>
      <c r="AIH246" s="16"/>
      <c r="AII246" s="15"/>
      <c r="AIJ246" s="15"/>
      <c r="AIK246" s="15"/>
      <c r="AIL246" s="16"/>
      <c r="AIM246" s="16"/>
      <c r="AIN246" s="16"/>
      <c r="AIO246" s="16"/>
      <c r="AIP246" s="16"/>
      <c r="AIQ246" s="15"/>
      <c r="AIR246" s="15"/>
      <c r="AIS246" s="10"/>
      <c r="AIT246" s="10"/>
      <c r="AIU246" s="19"/>
      <c r="AIV246" s="19"/>
      <c r="AIY246" s="16"/>
      <c r="AIZ246" s="15"/>
      <c r="AJA246" s="15"/>
      <c r="AJB246" s="15"/>
      <c r="AJC246" s="16"/>
      <c r="AJD246" s="16"/>
      <c r="AJE246" s="16"/>
      <c r="AJF246" s="16"/>
      <c r="AJG246" s="16"/>
      <c r="AJH246" s="15"/>
      <c r="AJI246" s="15"/>
      <c r="AJJ246" s="10"/>
      <c r="AJK246" s="10"/>
      <c r="AJL246" s="19"/>
      <c r="AJM246" s="19"/>
      <c r="AJP246" s="16"/>
      <c r="AJQ246" s="15"/>
      <c r="AJR246" s="15"/>
      <c r="AJS246" s="15"/>
      <c r="AJT246" s="16"/>
      <c r="AJU246" s="16"/>
      <c r="AJV246" s="16"/>
      <c r="AJW246" s="16"/>
      <c r="AJX246" s="16"/>
      <c r="AJY246" s="15"/>
      <c r="AJZ246" s="15"/>
      <c r="AKA246" s="10"/>
      <c r="AKB246" s="10"/>
      <c r="AKC246" s="19"/>
      <c r="AKD246" s="19"/>
      <c r="AKG246" s="16"/>
      <c r="AKH246" s="15"/>
      <c r="AKI246" s="15"/>
      <c r="AKJ246" s="15"/>
      <c r="AKK246" s="16"/>
      <c r="AKL246" s="16"/>
      <c r="AKM246" s="16"/>
      <c r="AKN246" s="16"/>
      <c r="AKO246" s="16"/>
      <c r="AKP246" s="15"/>
      <c r="AKQ246" s="15"/>
      <c r="AKR246" s="10"/>
      <c r="AKS246" s="10"/>
      <c r="AKT246" s="19"/>
      <c r="AKU246" s="19"/>
      <c r="AKX246" s="16"/>
      <c r="AKY246" s="15"/>
      <c r="AKZ246" s="15"/>
      <c r="ALA246" s="15"/>
      <c r="ALB246" s="16"/>
      <c r="ALC246" s="16"/>
      <c r="ALD246" s="16"/>
      <c r="ALE246" s="16"/>
      <c r="ALF246" s="16"/>
      <c r="ALG246" s="15"/>
      <c r="ALH246" s="15"/>
      <c r="ALI246" s="10"/>
      <c r="ALJ246" s="10"/>
      <c r="ALK246" s="19"/>
      <c r="ALL246" s="19"/>
      <c r="ALO246" s="16"/>
      <c r="ALP246" s="15"/>
      <c r="ALQ246" s="15"/>
      <c r="ALR246" s="15"/>
      <c r="ALS246" s="16"/>
      <c r="ALT246" s="16"/>
      <c r="ALU246" s="16"/>
      <c r="ALV246" s="16"/>
      <c r="ALW246" s="16"/>
      <c r="ALX246" s="15"/>
      <c r="ALY246" s="15"/>
      <c r="ALZ246" s="10"/>
      <c r="AMA246" s="10"/>
      <c r="AMB246" s="19"/>
      <c r="AMC246" s="19"/>
      <c r="AMF246" s="16"/>
      <c r="AMG246" s="15"/>
      <c r="AMH246" s="15"/>
      <c r="AMI246" s="15"/>
      <c r="AMJ246" s="16"/>
      <c r="AMK246" s="16"/>
      <c r="AML246" s="16"/>
      <c r="AMM246" s="16"/>
      <c r="AMN246" s="16"/>
      <c r="AMO246" s="15"/>
      <c r="AMP246" s="15"/>
      <c r="AMQ246" s="10"/>
      <c r="AMR246" s="10"/>
      <c r="AMS246" s="19"/>
      <c r="AMT246" s="19"/>
      <c r="AMW246" s="16"/>
      <c r="AMX246" s="15"/>
      <c r="AMY246" s="15"/>
      <c r="AMZ246" s="15"/>
      <c r="ANA246" s="16"/>
      <c r="ANB246" s="16"/>
      <c r="ANC246" s="16"/>
      <c r="AND246" s="16"/>
      <c r="ANE246" s="16"/>
      <c r="ANF246" s="15"/>
      <c r="ANG246" s="15"/>
      <c r="ANH246" s="10"/>
      <c r="ANI246" s="10"/>
      <c r="ANJ246" s="19"/>
      <c r="ANK246" s="19"/>
      <c r="ANN246" s="16"/>
      <c r="ANO246" s="15"/>
      <c r="ANP246" s="15"/>
      <c r="ANQ246" s="15"/>
      <c r="ANR246" s="16"/>
      <c r="ANS246" s="16"/>
      <c r="ANT246" s="16"/>
      <c r="ANU246" s="16"/>
      <c r="ANV246" s="16"/>
      <c r="ANW246" s="15"/>
      <c r="ANX246" s="15"/>
      <c r="ANY246" s="10"/>
      <c r="ANZ246" s="10"/>
      <c r="AOA246" s="19"/>
      <c r="AOB246" s="19"/>
      <c r="AOE246" s="16"/>
      <c r="AOF246" s="15"/>
      <c r="AOG246" s="15"/>
      <c r="AOH246" s="15"/>
      <c r="AOI246" s="16"/>
      <c r="AOJ246" s="16"/>
      <c r="AOK246" s="16"/>
      <c r="AOL246" s="16"/>
      <c r="AOM246" s="16"/>
      <c r="AON246" s="15"/>
      <c r="AOO246" s="15"/>
      <c r="AOP246" s="10"/>
      <c r="AOQ246" s="10"/>
      <c r="AOR246" s="19"/>
      <c r="AOS246" s="19"/>
      <c r="AOV246" s="16"/>
      <c r="AOW246" s="15"/>
      <c r="AOX246" s="15"/>
      <c r="AOY246" s="15"/>
      <c r="AOZ246" s="16"/>
      <c r="APA246" s="16"/>
      <c r="APB246" s="16"/>
      <c r="APC246" s="16"/>
      <c r="APD246" s="16"/>
      <c r="APE246" s="15"/>
      <c r="APF246" s="15"/>
      <c r="APG246" s="10"/>
      <c r="APH246" s="10"/>
      <c r="API246" s="19"/>
      <c r="APJ246" s="19"/>
      <c r="APM246" s="16"/>
      <c r="APN246" s="15"/>
      <c r="APO246" s="15"/>
      <c r="APP246" s="15"/>
      <c r="APQ246" s="16"/>
      <c r="APR246" s="16"/>
      <c r="APS246" s="16"/>
      <c r="APT246" s="16"/>
      <c r="APU246" s="16"/>
      <c r="APV246" s="15"/>
      <c r="APW246" s="15"/>
      <c r="APX246" s="10"/>
      <c r="APY246" s="10"/>
      <c r="APZ246" s="19"/>
      <c r="AQA246" s="19"/>
      <c r="AQD246" s="16"/>
      <c r="AQE246" s="15"/>
      <c r="AQF246" s="15"/>
      <c r="AQG246" s="15"/>
      <c r="AQH246" s="16"/>
      <c r="AQI246" s="16"/>
      <c r="AQJ246" s="16"/>
      <c r="AQK246" s="16"/>
      <c r="AQL246" s="16"/>
      <c r="AQM246" s="15"/>
      <c r="AQN246" s="15"/>
      <c r="AQO246" s="10"/>
      <c r="AQP246" s="10"/>
      <c r="AQQ246" s="19"/>
      <c r="AQR246" s="19"/>
      <c r="AQU246" s="16"/>
      <c r="AQV246" s="15"/>
      <c r="AQW246" s="15"/>
      <c r="AQX246" s="15"/>
      <c r="AQY246" s="16"/>
      <c r="AQZ246" s="16"/>
      <c r="ARA246" s="16"/>
      <c r="ARB246" s="16"/>
      <c r="ARC246" s="16"/>
      <c r="ARD246" s="15"/>
      <c r="ARE246" s="15"/>
      <c r="ARF246" s="10"/>
      <c r="ARG246" s="10"/>
      <c r="ARH246" s="19"/>
      <c r="ARI246" s="19"/>
      <c r="ARL246" s="16"/>
      <c r="ARM246" s="15"/>
      <c r="ARN246" s="15"/>
      <c r="ARO246" s="15"/>
      <c r="ARP246" s="16"/>
      <c r="ARQ246" s="16"/>
      <c r="ARR246" s="16"/>
      <c r="ARS246" s="16"/>
      <c r="ART246" s="16"/>
      <c r="ARU246" s="15"/>
      <c r="ARV246" s="15"/>
      <c r="ARW246" s="10"/>
      <c r="ARX246" s="10"/>
      <c r="ARY246" s="19"/>
      <c r="ARZ246" s="19"/>
      <c r="ASC246" s="16"/>
      <c r="ASD246" s="15"/>
      <c r="ASE246" s="15"/>
      <c r="ASF246" s="15"/>
      <c r="ASG246" s="16"/>
      <c r="ASH246" s="16"/>
      <c r="ASI246" s="16"/>
      <c r="ASJ246" s="16"/>
      <c r="ASK246" s="16"/>
      <c r="ASL246" s="15"/>
      <c r="ASM246" s="15"/>
      <c r="ASN246" s="10"/>
      <c r="ASO246" s="10"/>
      <c r="ASP246" s="19"/>
      <c r="ASQ246" s="19"/>
      <c r="AST246" s="16"/>
      <c r="ASU246" s="15"/>
      <c r="ASV246" s="15"/>
      <c r="ASW246" s="15"/>
      <c r="ASX246" s="16"/>
      <c r="ASY246" s="16"/>
      <c r="ASZ246" s="16"/>
      <c r="ATA246" s="16"/>
      <c r="ATB246" s="16"/>
      <c r="ATC246" s="15"/>
      <c r="ATD246" s="15"/>
      <c r="ATE246" s="10"/>
      <c r="ATF246" s="10"/>
      <c r="ATG246" s="19"/>
      <c r="ATH246" s="19"/>
      <c r="ATK246" s="16"/>
      <c r="ATL246" s="15"/>
      <c r="ATM246" s="15"/>
      <c r="ATN246" s="15"/>
      <c r="ATO246" s="16"/>
      <c r="ATP246" s="16"/>
      <c r="ATQ246" s="16"/>
      <c r="ATR246" s="16"/>
      <c r="ATS246" s="16"/>
      <c r="ATT246" s="15"/>
      <c r="ATU246" s="15"/>
      <c r="ATV246" s="10"/>
      <c r="ATW246" s="10"/>
      <c r="ATX246" s="19"/>
      <c r="ATY246" s="19"/>
      <c r="AUB246" s="16"/>
      <c r="AUC246" s="15"/>
      <c r="AUD246" s="15"/>
      <c r="AUE246" s="15"/>
      <c r="AUF246" s="16"/>
      <c r="AUG246" s="16"/>
      <c r="AUH246" s="16"/>
      <c r="AUI246" s="16"/>
      <c r="AUJ246" s="16"/>
      <c r="AUK246" s="15"/>
      <c r="AUL246" s="15"/>
      <c r="AUM246" s="10"/>
      <c r="AUN246" s="10"/>
      <c r="AUO246" s="19"/>
      <c r="AUP246" s="19"/>
      <c r="AUS246" s="16"/>
      <c r="AUT246" s="15"/>
      <c r="AUU246" s="15"/>
      <c r="AUV246" s="15"/>
      <c r="AUW246" s="16"/>
      <c r="AUX246" s="16"/>
      <c r="AUY246" s="16"/>
      <c r="AUZ246" s="16"/>
      <c r="AVA246" s="16"/>
      <c r="AVB246" s="15"/>
      <c r="AVC246" s="15"/>
      <c r="AVD246" s="10"/>
      <c r="AVE246" s="10"/>
      <c r="AVF246" s="19"/>
      <c r="AVG246" s="19"/>
      <c r="AVJ246" s="16"/>
      <c r="AVK246" s="15"/>
      <c r="AVL246" s="15"/>
      <c r="AVM246" s="15"/>
      <c r="AVN246" s="16"/>
      <c r="AVO246" s="16"/>
      <c r="AVP246" s="16"/>
      <c r="AVQ246" s="16"/>
      <c r="AVR246" s="16"/>
      <c r="AVS246" s="15"/>
      <c r="AVT246" s="15"/>
      <c r="AVU246" s="10"/>
      <c r="AVV246" s="10"/>
      <c r="AVW246" s="19"/>
      <c r="AVX246" s="19"/>
      <c r="AWA246" s="16"/>
      <c r="AWB246" s="15"/>
      <c r="AWC246" s="15"/>
      <c r="AWD246" s="15"/>
      <c r="AWE246" s="16"/>
      <c r="AWF246" s="16"/>
      <c r="AWG246" s="16"/>
      <c r="AWH246" s="16"/>
      <c r="AWI246" s="16"/>
      <c r="AWJ246" s="15"/>
      <c r="AWK246" s="15"/>
      <c r="AWL246" s="10"/>
      <c r="AWM246" s="10"/>
      <c r="AWN246" s="19"/>
      <c r="AWO246" s="19"/>
      <c r="AWR246" s="16"/>
      <c r="AWS246" s="15"/>
      <c r="AWT246" s="15"/>
      <c r="AWU246" s="15"/>
      <c r="AWV246" s="16"/>
      <c r="AWW246" s="16"/>
      <c r="AWX246" s="16"/>
      <c r="AWY246" s="16"/>
      <c r="AWZ246" s="16"/>
      <c r="AXA246" s="15"/>
      <c r="AXB246" s="15"/>
      <c r="AXC246" s="10"/>
      <c r="AXD246" s="10"/>
      <c r="AXE246" s="19"/>
      <c r="AXF246" s="19"/>
      <c r="AXI246" s="16"/>
      <c r="AXJ246" s="15"/>
      <c r="AXK246" s="15"/>
      <c r="AXL246" s="15"/>
      <c r="AXM246" s="16"/>
      <c r="AXN246" s="16"/>
      <c r="AXO246" s="16"/>
      <c r="AXP246" s="16"/>
      <c r="AXQ246" s="16"/>
      <c r="AXR246" s="15"/>
      <c r="AXS246" s="15"/>
      <c r="AXT246" s="10"/>
      <c r="AXU246" s="10"/>
      <c r="AXV246" s="19"/>
      <c r="AXW246" s="19"/>
      <c r="AXZ246" s="16"/>
      <c r="AYA246" s="15"/>
      <c r="AYB246" s="15"/>
      <c r="AYC246" s="15"/>
      <c r="AYD246" s="16"/>
      <c r="AYE246" s="16"/>
      <c r="AYF246" s="16"/>
      <c r="AYG246" s="16"/>
      <c r="AYH246" s="16"/>
      <c r="AYI246" s="15"/>
      <c r="AYJ246" s="15"/>
      <c r="AYK246" s="10"/>
      <c r="AYL246" s="10"/>
      <c r="AYM246" s="19"/>
      <c r="AYN246" s="19"/>
      <c r="AYQ246" s="16"/>
      <c r="AYR246" s="15"/>
      <c r="AYS246" s="15"/>
      <c r="AYT246" s="15"/>
      <c r="AYU246" s="16"/>
      <c r="AYV246" s="16"/>
      <c r="AYW246" s="16"/>
      <c r="AYX246" s="16"/>
      <c r="AYY246" s="16"/>
      <c r="AYZ246" s="15"/>
      <c r="AZA246" s="15"/>
      <c r="AZB246" s="10"/>
      <c r="AZC246" s="10"/>
      <c r="AZD246" s="19"/>
      <c r="AZE246" s="19"/>
      <c r="AZH246" s="16"/>
      <c r="AZI246" s="15"/>
      <c r="AZJ246" s="15"/>
      <c r="AZK246" s="15"/>
      <c r="AZL246" s="16"/>
      <c r="AZM246" s="16"/>
      <c r="AZN246" s="16"/>
      <c r="AZO246" s="16"/>
      <c r="AZP246" s="16"/>
      <c r="AZQ246" s="15"/>
      <c r="AZR246" s="15"/>
      <c r="AZS246" s="10"/>
      <c r="AZT246" s="10"/>
      <c r="AZU246" s="19"/>
      <c r="AZV246" s="19"/>
      <c r="AZY246" s="16"/>
      <c r="AZZ246" s="15"/>
      <c r="BAA246" s="15"/>
      <c r="BAB246" s="15"/>
      <c r="BAC246" s="16"/>
      <c r="BAD246" s="16"/>
      <c r="BAE246" s="16"/>
      <c r="BAF246" s="16"/>
      <c r="BAG246" s="16"/>
      <c r="BAH246" s="15"/>
      <c r="BAI246" s="15"/>
      <c r="BAJ246" s="10"/>
      <c r="BAK246" s="10"/>
      <c r="BAL246" s="19"/>
      <c r="BAM246" s="19"/>
      <c r="BAP246" s="16"/>
      <c r="BAQ246" s="15"/>
      <c r="BAR246" s="15"/>
      <c r="BAS246" s="15"/>
      <c r="BAT246" s="16"/>
      <c r="BAU246" s="16"/>
      <c r="BAV246" s="16"/>
      <c r="BAW246" s="16"/>
      <c r="BAX246" s="16"/>
      <c r="BAY246" s="15"/>
      <c r="BAZ246" s="15"/>
      <c r="BBA246" s="10"/>
      <c r="BBB246" s="10"/>
      <c r="BBC246" s="19"/>
      <c r="BBD246" s="19"/>
      <c r="BBG246" s="16"/>
      <c r="BBH246" s="15"/>
      <c r="BBI246" s="15"/>
      <c r="BBJ246" s="15"/>
      <c r="BBK246" s="16"/>
      <c r="BBL246" s="16"/>
      <c r="BBM246" s="16"/>
      <c r="BBN246" s="16"/>
      <c r="BBO246" s="16"/>
      <c r="BBP246" s="15"/>
      <c r="BBQ246" s="15"/>
      <c r="BBR246" s="10"/>
      <c r="BBS246" s="10"/>
      <c r="BBT246" s="19"/>
      <c r="BBU246" s="19"/>
      <c r="BBX246" s="16"/>
      <c r="BBY246" s="15"/>
      <c r="BBZ246" s="15"/>
      <c r="BCA246" s="15"/>
      <c r="BCB246" s="16"/>
      <c r="BCC246" s="16"/>
      <c r="BCD246" s="16"/>
      <c r="BCE246" s="16"/>
      <c r="BCF246" s="16"/>
      <c r="BCG246" s="15"/>
      <c r="BCH246" s="15"/>
      <c r="BCI246" s="10"/>
      <c r="BCJ246" s="10"/>
      <c r="BCK246" s="19"/>
      <c r="BCL246" s="19"/>
      <c r="BCO246" s="16"/>
      <c r="BCP246" s="15"/>
      <c r="BCQ246" s="15"/>
      <c r="BCR246" s="15"/>
      <c r="BCS246" s="16"/>
      <c r="BCT246" s="16"/>
      <c r="BCU246" s="16"/>
      <c r="BCV246" s="16"/>
      <c r="BCW246" s="16"/>
      <c r="BCX246" s="15"/>
      <c r="BCY246" s="15"/>
      <c r="BCZ246" s="10"/>
      <c r="BDA246" s="10"/>
      <c r="BDB246" s="19"/>
      <c r="BDC246" s="19"/>
      <c r="BDF246" s="16"/>
      <c r="BDG246" s="15"/>
      <c r="BDH246" s="15"/>
      <c r="BDI246" s="15"/>
      <c r="BDJ246" s="16"/>
      <c r="BDK246" s="16"/>
      <c r="BDL246" s="16"/>
      <c r="BDM246" s="16"/>
      <c r="BDN246" s="16"/>
      <c r="BDO246" s="15"/>
      <c r="BDP246" s="15"/>
      <c r="BDQ246" s="10"/>
      <c r="BDR246" s="10"/>
      <c r="BDS246" s="19"/>
      <c r="BDT246" s="19"/>
      <c r="BDW246" s="16"/>
      <c r="BDX246" s="15"/>
      <c r="BDY246" s="15"/>
      <c r="BDZ246" s="15"/>
      <c r="BEA246" s="16"/>
      <c r="BEB246" s="16"/>
      <c r="BEC246" s="16"/>
      <c r="BED246" s="16"/>
      <c r="BEE246" s="16"/>
      <c r="BEF246" s="15"/>
      <c r="BEG246" s="15"/>
      <c r="BEH246" s="10"/>
      <c r="BEI246" s="10"/>
      <c r="BEJ246" s="19"/>
      <c r="BEK246" s="19"/>
      <c r="BEN246" s="16"/>
      <c r="BEO246" s="15"/>
      <c r="BEP246" s="15"/>
      <c r="BEQ246" s="15"/>
      <c r="BER246" s="16"/>
      <c r="BES246" s="16"/>
      <c r="BET246" s="16"/>
      <c r="BEU246" s="16"/>
      <c r="BEV246" s="16"/>
      <c r="BEW246" s="15"/>
      <c r="BEX246" s="15"/>
      <c r="BEY246" s="10"/>
      <c r="BEZ246" s="10"/>
      <c r="BFA246" s="19"/>
      <c r="BFB246" s="19"/>
      <c r="BFE246" s="16"/>
      <c r="BFF246" s="15"/>
      <c r="BFG246" s="15"/>
      <c r="BFH246" s="15"/>
      <c r="BFI246" s="16"/>
      <c r="BFJ246" s="16"/>
      <c r="BFK246" s="16"/>
      <c r="BFL246" s="16"/>
      <c r="BFM246" s="16"/>
      <c r="BFN246" s="15"/>
      <c r="BFO246" s="15"/>
      <c r="BFP246" s="10"/>
      <c r="BFQ246" s="10"/>
      <c r="BFR246" s="19"/>
      <c r="BFS246" s="19"/>
      <c r="BFV246" s="16"/>
      <c r="BFW246" s="15"/>
      <c r="BFX246" s="15"/>
      <c r="BFY246" s="15"/>
      <c r="BFZ246" s="16"/>
      <c r="BGA246" s="16"/>
      <c r="BGB246" s="16"/>
      <c r="BGC246" s="16"/>
      <c r="BGD246" s="16"/>
      <c r="BGE246" s="15"/>
      <c r="BGF246" s="15"/>
      <c r="BGG246" s="10"/>
      <c r="BGH246" s="10"/>
      <c r="BGI246" s="19"/>
      <c r="BGJ246" s="19"/>
      <c r="BGM246" s="16"/>
      <c r="BGN246" s="15"/>
      <c r="BGO246" s="15"/>
      <c r="BGP246" s="15"/>
      <c r="BGQ246" s="16"/>
      <c r="BGR246" s="16"/>
      <c r="BGS246" s="16"/>
      <c r="BGT246" s="16"/>
      <c r="BGU246" s="16"/>
      <c r="BGV246" s="15"/>
      <c r="BGW246" s="15"/>
      <c r="BGX246" s="10"/>
      <c r="BGY246" s="10"/>
      <c r="BGZ246" s="19"/>
      <c r="BHA246" s="19"/>
      <c r="BHD246" s="16"/>
      <c r="BHE246" s="15"/>
      <c r="BHF246" s="15"/>
      <c r="BHG246" s="15"/>
      <c r="BHH246" s="16"/>
      <c r="BHI246" s="16"/>
      <c r="BHJ246" s="16"/>
      <c r="BHK246" s="16"/>
      <c r="BHL246" s="16"/>
      <c r="BHM246" s="15"/>
      <c r="BHN246" s="15"/>
      <c r="BHO246" s="10"/>
      <c r="BHP246" s="10"/>
      <c r="BHQ246" s="19"/>
      <c r="BHR246" s="19"/>
      <c r="BHU246" s="16"/>
      <c r="BHV246" s="15"/>
      <c r="BHW246" s="15"/>
      <c r="BHX246" s="15"/>
      <c r="BHY246" s="16"/>
      <c r="BHZ246" s="16"/>
      <c r="BIA246" s="16"/>
      <c r="BIB246" s="16"/>
      <c r="BIC246" s="16"/>
      <c r="BID246" s="15"/>
      <c r="BIE246" s="15"/>
      <c r="BIF246" s="10"/>
      <c r="BIG246" s="10"/>
      <c r="BIH246" s="19"/>
      <c r="BII246" s="19"/>
      <c r="BIL246" s="16"/>
      <c r="BIM246" s="15"/>
      <c r="BIN246" s="15"/>
      <c r="BIO246" s="15"/>
      <c r="BIP246" s="16"/>
      <c r="BIQ246" s="16"/>
      <c r="BIR246" s="16"/>
      <c r="BIS246" s="16"/>
      <c r="BIT246" s="16"/>
      <c r="BIU246" s="15"/>
      <c r="BIV246" s="15"/>
      <c r="BIW246" s="10"/>
      <c r="BIX246" s="10"/>
      <c r="BIY246" s="19"/>
      <c r="BIZ246" s="19"/>
      <c r="BJC246" s="16"/>
      <c r="BJD246" s="15"/>
      <c r="BJE246" s="15"/>
      <c r="BJF246" s="15"/>
      <c r="BJG246" s="16"/>
      <c r="BJH246" s="16"/>
      <c r="BJI246" s="16"/>
      <c r="BJJ246" s="16"/>
      <c r="BJK246" s="16"/>
      <c r="BJL246" s="15"/>
      <c r="BJM246" s="15"/>
      <c r="BJN246" s="10"/>
      <c r="BJO246" s="10"/>
      <c r="BJP246" s="19"/>
      <c r="BJQ246" s="19"/>
      <c r="BJT246" s="16"/>
      <c r="BJU246" s="15"/>
      <c r="BJV246" s="15"/>
      <c r="BJW246" s="15"/>
      <c r="BJX246" s="16"/>
      <c r="BJY246" s="16"/>
      <c r="BJZ246" s="16"/>
      <c r="BKA246" s="16"/>
      <c r="BKB246" s="16"/>
      <c r="BKC246" s="15"/>
      <c r="BKD246" s="15"/>
      <c r="BKE246" s="10"/>
      <c r="BKF246" s="10"/>
      <c r="BKG246" s="19"/>
      <c r="BKH246" s="19"/>
      <c r="BKK246" s="16"/>
      <c r="BKL246" s="15"/>
      <c r="BKM246" s="15"/>
      <c r="BKN246" s="15"/>
      <c r="BKO246" s="16"/>
      <c r="BKP246" s="16"/>
      <c r="BKQ246" s="16"/>
      <c r="BKR246" s="16"/>
      <c r="BKS246" s="16"/>
      <c r="BKT246" s="15"/>
      <c r="BKU246" s="15"/>
      <c r="BKV246" s="10"/>
      <c r="BKW246" s="10"/>
      <c r="BKX246" s="19"/>
      <c r="BKY246" s="19"/>
      <c r="BLB246" s="16"/>
      <c r="BLC246" s="15"/>
      <c r="BLD246" s="15"/>
      <c r="BLE246" s="15"/>
      <c r="BLF246" s="16"/>
      <c r="BLG246" s="16"/>
      <c r="BLH246" s="16"/>
      <c r="BLI246" s="16"/>
      <c r="BLJ246" s="16"/>
      <c r="BLK246" s="15"/>
      <c r="BLL246" s="15"/>
      <c r="BLM246" s="10"/>
      <c r="BLN246" s="10"/>
      <c r="BLO246" s="19"/>
      <c r="BLP246" s="19"/>
      <c r="BLS246" s="16"/>
      <c r="BLT246" s="15"/>
      <c r="BLU246" s="15"/>
      <c r="BLV246" s="15"/>
      <c r="BLW246" s="16"/>
      <c r="BLX246" s="16"/>
      <c r="BLY246" s="16"/>
      <c r="BLZ246" s="16"/>
      <c r="BMA246" s="16"/>
      <c r="BMB246" s="15"/>
      <c r="BMC246" s="15"/>
      <c r="BMD246" s="10"/>
      <c r="BME246" s="10"/>
      <c r="BMF246" s="19"/>
      <c r="BMG246" s="19"/>
      <c r="BMJ246" s="16"/>
      <c r="BMK246" s="15"/>
      <c r="BML246" s="15"/>
      <c r="BMM246" s="15"/>
      <c r="BMN246" s="16"/>
      <c r="BMO246" s="16"/>
      <c r="BMP246" s="16"/>
      <c r="BMQ246" s="16"/>
      <c r="BMR246" s="16"/>
      <c r="BMS246" s="15"/>
      <c r="BMT246" s="15"/>
      <c r="BMU246" s="10"/>
      <c r="BMV246" s="10"/>
      <c r="BMW246" s="19"/>
      <c r="BMX246" s="19"/>
      <c r="BNA246" s="16"/>
      <c r="BNB246" s="15"/>
      <c r="BNC246" s="15"/>
      <c r="BND246" s="15"/>
      <c r="BNE246" s="16"/>
      <c r="BNF246" s="16"/>
      <c r="BNG246" s="16"/>
      <c r="BNH246" s="16"/>
      <c r="BNI246" s="16"/>
      <c r="BNJ246" s="15"/>
      <c r="BNK246" s="15"/>
      <c r="BNL246" s="10"/>
      <c r="BNM246" s="10"/>
      <c r="BNN246" s="19"/>
      <c r="BNO246" s="19"/>
      <c r="BNR246" s="16"/>
      <c r="BNS246" s="15"/>
      <c r="BNT246" s="15"/>
      <c r="BNU246" s="15"/>
      <c r="BNV246" s="16"/>
      <c r="BNW246" s="16"/>
      <c r="BNX246" s="16"/>
      <c r="BNY246" s="16"/>
      <c r="BNZ246" s="16"/>
      <c r="BOA246" s="15"/>
      <c r="BOB246" s="15"/>
      <c r="BOC246" s="10"/>
      <c r="BOD246" s="10"/>
      <c r="BOE246" s="19"/>
      <c r="BOF246" s="19"/>
      <c r="BOI246" s="16"/>
      <c r="BOJ246" s="15"/>
      <c r="BOK246" s="15"/>
      <c r="BOL246" s="15"/>
      <c r="BOM246" s="16"/>
      <c r="BON246" s="16"/>
      <c r="BOO246" s="16"/>
      <c r="BOP246" s="16"/>
      <c r="BOQ246" s="16"/>
      <c r="BOR246" s="15"/>
      <c r="BOS246" s="15"/>
      <c r="BOT246" s="10"/>
      <c r="BOU246" s="10"/>
      <c r="BOV246" s="19"/>
      <c r="BOW246" s="19"/>
      <c r="BOZ246" s="16"/>
      <c r="BPA246" s="15"/>
      <c r="BPB246" s="15"/>
      <c r="BPC246" s="15"/>
      <c r="BPD246" s="16"/>
      <c r="BPE246" s="16"/>
      <c r="BPF246" s="16"/>
      <c r="BPG246" s="16"/>
      <c r="BPH246" s="16"/>
      <c r="BPI246" s="15"/>
      <c r="BPJ246" s="15"/>
      <c r="BPK246" s="10"/>
      <c r="BPL246" s="10"/>
      <c r="BPM246" s="19"/>
      <c r="BPN246" s="19"/>
      <c r="BPQ246" s="16"/>
      <c r="BPR246" s="15"/>
      <c r="BPS246" s="15"/>
      <c r="BPT246" s="15"/>
      <c r="BPU246" s="16"/>
      <c r="BPV246" s="16"/>
      <c r="BPW246" s="16"/>
      <c r="BPX246" s="16"/>
      <c r="BPY246" s="16"/>
      <c r="BPZ246" s="15"/>
      <c r="BQA246" s="15"/>
      <c r="BQB246" s="10"/>
      <c r="BQC246" s="10"/>
      <c r="BQD246" s="19"/>
      <c r="BQE246" s="19"/>
      <c r="BQH246" s="16"/>
      <c r="BQI246" s="15"/>
      <c r="BQJ246" s="15"/>
      <c r="BQK246" s="15"/>
      <c r="BQL246" s="16"/>
      <c r="BQM246" s="16"/>
      <c r="BQN246" s="16"/>
      <c r="BQO246" s="16"/>
      <c r="BQP246" s="16"/>
      <c r="BQQ246" s="15"/>
      <c r="BQR246" s="15"/>
      <c r="BQS246" s="10"/>
      <c r="BQT246" s="10"/>
      <c r="BQU246" s="19"/>
      <c r="BQV246" s="19"/>
      <c r="BQY246" s="16"/>
      <c r="BQZ246" s="15"/>
      <c r="BRA246" s="15"/>
      <c r="BRB246" s="15"/>
      <c r="BRC246" s="16"/>
      <c r="BRD246" s="16"/>
      <c r="BRE246" s="16"/>
      <c r="BRF246" s="16"/>
      <c r="BRG246" s="16"/>
      <c r="BRH246" s="15"/>
      <c r="BRI246" s="15"/>
      <c r="BRJ246" s="10"/>
      <c r="BRK246" s="10"/>
      <c r="BRL246" s="19"/>
      <c r="BRM246" s="19"/>
      <c r="BRP246" s="16"/>
      <c r="BRQ246" s="15"/>
      <c r="BRR246" s="15"/>
      <c r="BRS246" s="15"/>
      <c r="BRT246" s="16"/>
      <c r="BRU246" s="16"/>
      <c r="BRV246" s="16"/>
      <c r="BRW246" s="16"/>
      <c r="BRX246" s="16"/>
      <c r="BRY246" s="15"/>
      <c r="BRZ246" s="15"/>
      <c r="BSA246" s="10"/>
      <c r="BSB246" s="10"/>
      <c r="BSC246" s="19"/>
      <c r="BSD246" s="19"/>
      <c r="BSG246" s="16"/>
      <c r="BSH246" s="15"/>
      <c r="BSI246" s="15"/>
      <c r="BSJ246" s="15"/>
      <c r="BSK246" s="16"/>
      <c r="BSL246" s="16"/>
      <c r="BSM246" s="16"/>
      <c r="BSN246" s="16"/>
      <c r="BSO246" s="16"/>
      <c r="BSP246" s="15"/>
      <c r="BSQ246" s="15"/>
      <c r="BSR246" s="10"/>
      <c r="BSS246" s="10"/>
      <c r="BST246" s="19"/>
      <c r="BSU246" s="19"/>
      <c r="BSX246" s="16"/>
      <c r="BSY246" s="15"/>
      <c r="BSZ246" s="15"/>
      <c r="BTA246" s="15"/>
      <c r="BTB246" s="16"/>
      <c r="BTC246" s="16"/>
      <c r="BTD246" s="16"/>
      <c r="BTE246" s="16"/>
      <c r="BTF246" s="16"/>
      <c r="BTG246" s="15"/>
      <c r="BTH246" s="15"/>
      <c r="BTI246" s="10"/>
      <c r="BTJ246" s="10"/>
      <c r="BTK246" s="19"/>
      <c r="BTL246" s="19"/>
      <c r="BTO246" s="16"/>
      <c r="BTP246" s="15"/>
      <c r="BTQ246" s="15"/>
      <c r="BTR246" s="15"/>
      <c r="BTS246" s="16"/>
      <c r="BTT246" s="16"/>
      <c r="BTU246" s="16"/>
      <c r="BTV246" s="16"/>
      <c r="BTW246" s="16"/>
      <c r="BTX246" s="15"/>
      <c r="BTY246" s="15"/>
      <c r="BTZ246" s="10"/>
      <c r="BUA246" s="10"/>
      <c r="BUB246" s="19"/>
      <c r="BUC246" s="19"/>
      <c r="BUF246" s="16"/>
      <c r="BUG246" s="15"/>
      <c r="BUH246" s="15"/>
      <c r="BUI246" s="15"/>
      <c r="BUJ246" s="16"/>
      <c r="BUK246" s="16"/>
      <c r="BUL246" s="16"/>
      <c r="BUM246" s="16"/>
      <c r="BUN246" s="16"/>
      <c r="BUO246" s="15"/>
      <c r="BUP246" s="15"/>
      <c r="BUQ246" s="10"/>
      <c r="BUR246" s="10"/>
      <c r="BUS246" s="19"/>
      <c r="BUT246" s="19"/>
      <c r="BUW246" s="16"/>
      <c r="BUX246" s="15"/>
      <c r="BUY246" s="15"/>
      <c r="BUZ246" s="15"/>
      <c r="BVA246" s="16"/>
      <c r="BVB246" s="16"/>
      <c r="BVC246" s="16"/>
      <c r="BVD246" s="16"/>
      <c r="BVE246" s="16"/>
      <c r="BVF246" s="15"/>
      <c r="BVG246" s="15"/>
      <c r="BVH246" s="10"/>
      <c r="BVI246" s="10"/>
      <c r="BVJ246" s="19"/>
      <c r="BVK246" s="19"/>
      <c r="BVN246" s="16"/>
      <c r="BVO246" s="15"/>
      <c r="BVP246" s="15"/>
      <c r="BVQ246" s="15"/>
      <c r="BVR246" s="16"/>
      <c r="BVS246" s="16"/>
      <c r="BVT246" s="16"/>
      <c r="BVU246" s="16"/>
      <c r="BVV246" s="16"/>
      <c r="BVW246" s="15"/>
      <c r="BVX246" s="15"/>
      <c r="BVY246" s="10"/>
      <c r="BVZ246" s="10"/>
      <c r="BWA246" s="19"/>
      <c r="BWB246" s="19"/>
      <c r="BWE246" s="16"/>
      <c r="BWF246" s="15"/>
      <c r="BWG246" s="15"/>
      <c r="BWH246" s="15"/>
      <c r="BWI246" s="16"/>
      <c r="BWJ246" s="16"/>
      <c r="BWK246" s="16"/>
      <c r="BWL246" s="16"/>
      <c r="BWM246" s="16"/>
      <c r="BWN246" s="15"/>
      <c r="BWO246" s="15"/>
      <c r="BWP246" s="10"/>
      <c r="BWQ246" s="10"/>
      <c r="BWR246" s="19"/>
      <c r="BWS246" s="19"/>
      <c r="BWV246" s="16"/>
      <c r="BWW246" s="15"/>
      <c r="BWX246" s="15"/>
      <c r="BWY246" s="15"/>
      <c r="BWZ246" s="16"/>
      <c r="BXA246" s="16"/>
      <c r="BXB246" s="16"/>
      <c r="BXC246" s="16"/>
      <c r="BXD246" s="16"/>
      <c r="BXE246" s="15"/>
      <c r="BXF246" s="15"/>
      <c r="BXG246" s="10"/>
      <c r="BXH246" s="10"/>
      <c r="BXI246" s="19"/>
      <c r="BXJ246" s="19"/>
      <c r="BXM246" s="16"/>
      <c r="BXN246" s="15"/>
      <c r="BXO246" s="15"/>
      <c r="BXP246" s="15"/>
      <c r="BXQ246" s="16"/>
      <c r="BXR246" s="16"/>
      <c r="BXS246" s="16"/>
      <c r="BXT246" s="16"/>
      <c r="BXU246" s="16"/>
      <c r="BXV246" s="15"/>
      <c r="BXW246" s="15"/>
      <c r="BXX246" s="10"/>
      <c r="BXY246" s="10"/>
      <c r="BXZ246" s="19"/>
      <c r="BYA246" s="19"/>
      <c r="BYD246" s="16"/>
      <c r="BYE246" s="15"/>
      <c r="BYF246" s="15"/>
      <c r="BYG246" s="15"/>
      <c r="BYH246" s="16"/>
      <c r="BYI246" s="16"/>
      <c r="BYJ246" s="16"/>
      <c r="BYK246" s="16"/>
      <c r="BYL246" s="16"/>
      <c r="BYM246" s="15"/>
      <c r="BYN246" s="15"/>
      <c r="BYO246" s="10"/>
      <c r="BYP246" s="10"/>
      <c r="BYQ246" s="19"/>
      <c r="BYR246" s="19"/>
      <c r="BYU246" s="16"/>
      <c r="BYV246" s="15"/>
      <c r="BYW246" s="15"/>
      <c r="BYX246" s="15"/>
      <c r="BYY246" s="16"/>
      <c r="BYZ246" s="16"/>
      <c r="BZA246" s="16"/>
      <c r="BZB246" s="16"/>
      <c r="BZC246" s="16"/>
      <c r="BZD246" s="15"/>
      <c r="BZE246" s="15"/>
      <c r="BZF246" s="10"/>
      <c r="BZG246" s="10"/>
      <c r="BZH246" s="19"/>
      <c r="BZI246" s="19"/>
      <c r="BZL246" s="16"/>
      <c r="BZM246" s="15"/>
      <c r="BZN246" s="15"/>
      <c r="BZO246" s="15"/>
      <c r="BZP246" s="16"/>
      <c r="BZQ246" s="16"/>
      <c r="BZR246" s="16"/>
      <c r="BZS246" s="16"/>
      <c r="BZT246" s="16"/>
      <c r="BZU246" s="15"/>
      <c r="BZV246" s="15"/>
      <c r="BZW246" s="10"/>
      <c r="BZX246" s="10"/>
      <c r="BZY246" s="19"/>
      <c r="BZZ246" s="19"/>
      <c r="CAC246" s="16"/>
      <c r="CAD246" s="15"/>
      <c r="CAE246" s="15"/>
      <c r="CAF246" s="15"/>
      <c r="CAG246" s="16"/>
      <c r="CAH246" s="16"/>
      <c r="CAI246" s="16"/>
      <c r="CAJ246" s="16"/>
      <c r="CAK246" s="16"/>
      <c r="CAL246" s="15"/>
      <c r="CAM246" s="15"/>
      <c r="CAN246" s="10"/>
      <c r="CAO246" s="10"/>
      <c r="CAP246" s="19"/>
      <c r="CAQ246" s="19"/>
      <c r="CAT246" s="16"/>
      <c r="CAU246" s="15"/>
      <c r="CAV246" s="15"/>
      <c r="CAW246" s="15"/>
      <c r="CAX246" s="16"/>
      <c r="CAY246" s="16"/>
      <c r="CAZ246" s="16"/>
      <c r="CBA246" s="16"/>
      <c r="CBB246" s="16"/>
      <c r="CBC246" s="15"/>
      <c r="CBD246" s="15"/>
      <c r="CBE246" s="10"/>
      <c r="CBF246" s="10"/>
      <c r="CBG246" s="19"/>
      <c r="CBH246" s="19"/>
      <c r="CBK246" s="16"/>
      <c r="CBL246" s="15"/>
      <c r="CBM246" s="15"/>
      <c r="CBN246" s="15"/>
      <c r="CBO246" s="16"/>
      <c r="CBP246" s="16"/>
      <c r="CBQ246" s="16"/>
      <c r="CBR246" s="16"/>
      <c r="CBS246" s="16"/>
      <c r="CBT246" s="15"/>
      <c r="CBU246" s="15"/>
      <c r="CBV246" s="10"/>
      <c r="CBW246" s="10"/>
      <c r="CBX246" s="19"/>
      <c r="CBY246" s="19"/>
      <c r="CCB246" s="16"/>
      <c r="CCC246" s="15"/>
      <c r="CCD246" s="15"/>
      <c r="CCE246" s="15"/>
      <c r="CCF246" s="16"/>
      <c r="CCG246" s="16"/>
      <c r="CCH246" s="16"/>
      <c r="CCI246" s="16"/>
      <c r="CCJ246" s="16"/>
      <c r="CCK246" s="15"/>
      <c r="CCL246" s="15"/>
      <c r="CCM246" s="10"/>
      <c r="CCN246" s="10"/>
      <c r="CCO246" s="19"/>
      <c r="CCP246" s="19"/>
      <c r="CCS246" s="16"/>
      <c r="CCT246" s="15"/>
      <c r="CCU246" s="15"/>
      <c r="CCV246" s="15"/>
      <c r="CCW246" s="16"/>
      <c r="CCX246" s="16"/>
      <c r="CCY246" s="16"/>
      <c r="CCZ246" s="16"/>
      <c r="CDA246" s="16"/>
      <c r="CDB246" s="15"/>
      <c r="CDC246" s="15"/>
      <c r="CDD246" s="10"/>
      <c r="CDE246" s="10"/>
      <c r="CDF246" s="19"/>
      <c r="CDG246" s="19"/>
      <c r="CDJ246" s="16"/>
      <c r="CDK246" s="15"/>
      <c r="CDL246" s="15"/>
      <c r="CDM246" s="15"/>
      <c r="CDN246" s="16"/>
      <c r="CDO246" s="16"/>
      <c r="CDP246" s="16"/>
      <c r="CDQ246" s="16"/>
      <c r="CDR246" s="16"/>
      <c r="CDS246" s="15"/>
      <c r="CDT246" s="15"/>
      <c r="CDU246" s="10"/>
      <c r="CDV246" s="10"/>
      <c r="CDW246" s="19"/>
      <c r="CDX246" s="19"/>
      <c r="CEA246" s="16"/>
      <c r="CEB246" s="15"/>
      <c r="CEC246" s="15"/>
      <c r="CED246" s="15"/>
      <c r="CEE246" s="16"/>
      <c r="CEF246" s="16"/>
      <c r="CEG246" s="16"/>
      <c r="CEH246" s="16"/>
      <c r="CEI246" s="16"/>
      <c r="CEJ246" s="15"/>
      <c r="CEK246" s="15"/>
      <c r="CEL246" s="10"/>
      <c r="CEM246" s="10"/>
      <c r="CEN246" s="19"/>
      <c r="CEO246" s="19"/>
      <c r="CER246" s="16"/>
      <c r="CES246" s="15"/>
      <c r="CET246" s="15"/>
      <c r="CEU246" s="15"/>
      <c r="CEV246" s="16"/>
      <c r="CEW246" s="16"/>
      <c r="CEX246" s="16"/>
      <c r="CEY246" s="16"/>
      <c r="CEZ246" s="16"/>
      <c r="CFA246" s="15"/>
      <c r="CFB246" s="15"/>
      <c r="CFC246" s="10"/>
      <c r="CFD246" s="10"/>
      <c r="CFE246" s="19"/>
      <c r="CFF246" s="19"/>
      <c r="CFI246" s="16"/>
      <c r="CFJ246" s="15"/>
      <c r="CFK246" s="15"/>
      <c r="CFL246" s="15"/>
      <c r="CFM246" s="16"/>
      <c r="CFN246" s="16"/>
      <c r="CFO246" s="16"/>
      <c r="CFP246" s="16"/>
      <c r="CFQ246" s="16"/>
      <c r="CFR246" s="15"/>
      <c r="CFS246" s="15"/>
      <c r="CFT246" s="10"/>
      <c r="CFU246" s="10"/>
      <c r="CFV246" s="19"/>
      <c r="CFW246" s="19"/>
      <c r="CFZ246" s="16"/>
      <c r="CGA246" s="15"/>
      <c r="CGB246" s="15"/>
      <c r="CGC246" s="15"/>
      <c r="CGD246" s="16"/>
      <c r="CGE246" s="16"/>
      <c r="CGF246" s="16"/>
      <c r="CGG246" s="16"/>
      <c r="CGH246" s="16"/>
      <c r="CGI246" s="15"/>
      <c r="CGJ246" s="15"/>
      <c r="CGK246" s="10"/>
      <c r="CGL246" s="10"/>
      <c r="CGM246" s="19"/>
      <c r="CGN246" s="19"/>
      <c r="CGQ246" s="16"/>
      <c r="CGR246" s="15"/>
      <c r="CGS246" s="15"/>
      <c r="CGT246" s="15"/>
      <c r="CGU246" s="16"/>
      <c r="CGV246" s="16"/>
      <c r="CGW246" s="16"/>
      <c r="CGX246" s="16"/>
      <c r="CGY246" s="16"/>
      <c r="CGZ246" s="15"/>
      <c r="CHA246" s="15"/>
      <c r="CHB246" s="10"/>
      <c r="CHC246" s="10"/>
      <c r="CHD246" s="19"/>
      <c r="CHE246" s="19"/>
      <c r="CHH246" s="16"/>
      <c r="CHI246" s="15"/>
      <c r="CHJ246" s="15"/>
      <c r="CHK246" s="15"/>
      <c r="CHL246" s="16"/>
      <c r="CHM246" s="16"/>
      <c r="CHN246" s="16"/>
      <c r="CHO246" s="16"/>
      <c r="CHP246" s="16"/>
      <c r="CHQ246" s="15"/>
      <c r="CHR246" s="15"/>
      <c r="CHS246" s="10"/>
      <c r="CHT246" s="10"/>
      <c r="CHU246" s="19"/>
      <c r="CHV246" s="19"/>
      <c r="CHY246" s="16"/>
      <c r="CHZ246" s="15"/>
      <c r="CIA246" s="15"/>
      <c r="CIB246" s="15"/>
      <c r="CIC246" s="16"/>
      <c r="CID246" s="16"/>
      <c r="CIE246" s="16"/>
      <c r="CIF246" s="16"/>
      <c r="CIG246" s="16"/>
      <c r="CIH246" s="15"/>
      <c r="CII246" s="15"/>
      <c r="CIJ246" s="10"/>
      <c r="CIK246" s="10"/>
      <c r="CIL246" s="19"/>
      <c r="CIM246" s="19"/>
      <c r="CIP246" s="16"/>
      <c r="CIQ246" s="15"/>
      <c r="CIR246" s="15"/>
      <c r="CIS246" s="15"/>
      <c r="CIT246" s="16"/>
      <c r="CIU246" s="16"/>
      <c r="CIV246" s="16"/>
      <c r="CIW246" s="16"/>
      <c r="CIX246" s="16"/>
      <c r="CIY246" s="15"/>
      <c r="CIZ246" s="15"/>
      <c r="CJA246" s="10"/>
      <c r="CJB246" s="10"/>
      <c r="CJC246" s="19"/>
      <c r="CJD246" s="19"/>
      <c r="CJG246" s="16"/>
      <c r="CJH246" s="15"/>
      <c r="CJI246" s="15"/>
      <c r="CJJ246" s="15"/>
      <c r="CJK246" s="16"/>
      <c r="CJL246" s="16"/>
      <c r="CJM246" s="16"/>
      <c r="CJN246" s="16"/>
      <c r="CJO246" s="16"/>
      <c r="CJP246" s="15"/>
      <c r="CJQ246" s="15"/>
      <c r="CJR246" s="10"/>
      <c r="CJS246" s="10"/>
      <c r="CJT246" s="19"/>
      <c r="CJU246" s="19"/>
      <c r="CJX246" s="16"/>
      <c r="CJY246" s="15"/>
      <c r="CJZ246" s="15"/>
      <c r="CKA246" s="15"/>
      <c r="CKB246" s="16"/>
      <c r="CKC246" s="16"/>
      <c r="CKD246" s="16"/>
      <c r="CKE246" s="16"/>
      <c r="CKF246" s="16"/>
      <c r="CKG246" s="15"/>
      <c r="CKH246" s="15"/>
      <c r="CKI246" s="10"/>
      <c r="CKJ246" s="10"/>
      <c r="CKK246" s="19"/>
      <c r="CKL246" s="19"/>
      <c r="CKO246" s="16"/>
      <c r="CKP246" s="15"/>
      <c r="CKQ246" s="15"/>
      <c r="CKR246" s="15"/>
      <c r="CKS246" s="16"/>
      <c r="CKT246" s="16"/>
      <c r="CKU246" s="16"/>
      <c r="CKV246" s="16"/>
      <c r="CKW246" s="16"/>
      <c r="CKX246" s="15"/>
      <c r="CKY246" s="15"/>
      <c r="CKZ246" s="10"/>
      <c r="CLA246" s="10"/>
      <c r="CLB246" s="19"/>
      <c r="CLC246" s="19"/>
      <c r="CLF246" s="16"/>
      <c r="CLG246" s="15"/>
      <c r="CLH246" s="15"/>
      <c r="CLI246" s="15"/>
      <c r="CLJ246" s="16"/>
      <c r="CLK246" s="16"/>
      <c r="CLL246" s="16"/>
      <c r="CLM246" s="16"/>
      <c r="CLN246" s="16"/>
      <c r="CLO246" s="15"/>
      <c r="CLP246" s="15"/>
      <c r="CLQ246" s="10"/>
      <c r="CLR246" s="10"/>
      <c r="CLS246" s="19"/>
      <c r="CLT246" s="19"/>
      <c r="CLW246" s="16"/>
      <c r="CLX246" s="15"/>
      <c r="CLY246" s="15"/>
      <c r="CLZ246" s="15"/>
      <c r="CMA246" s="16"/>
      <c r="CMB246" s="16"/>
      <c r="CMC246" s="16"/>
      <c r="CMD246" s="16"/>
      <c r="CME246" s="16"/>
      <c r="CMF246" s="15"/>
      <c r="CMG246" s="15"/>
      <c r="CMH246" s="10"/>
      <c r="CMI246" s="10"/>
      <c r="CMJ246" s="19"/>
      <c r="CMK246" s="19"/>
      <c r="CMN246" s="16"/>
      <c r="CMO246" s="15"/>
      <c r="CMP246" s="15"/>
      <c r="CMQ246" s="15"/>
      <c r="CMR246" s="16"/>
      <c r="CMS246" s="16"/>
      <c r="CMT246" s="16"/>
      <c r="CMU246" s="16"/>
      <c r="CMV246" s="16"/>
      <c r="CMW246" s="15"/>
      <c r="CMX246" s="15"/>
      <c r="CMY246" s="10"/>
      <c r="CMZ246" s="10"/>
      <c r="CNA246" s="19"/>
      <c r="CNB246" s="19"/>
      <c r="CNE246" s="16"/>
      <c r="CNF246" s="15"/>
      <c r="CNG246" s="15"/>
      <c r="CNH246" s="15"/>
      <c r="CNI246" s="16"/>
      <c r="CNJ246" s="16"/>
      <c r="CNK246" s="16"/>
      <c r="CNL246" s="16"/>
      <c r="CNM246" s="16"/>
      <c r="CNN246" s="15"/>
      <c r="CNO246" s="15"/>
      <c r="CNP246" s="10"/>
      <c r="CNQ246" s="10"/>
      <c r="CNR246" s="19"/>
      <c r="CNS246" s="19"/>
      <c r="CNV246" s="16"/>
      <c r="CNW246" s="15"/>
      <c r="CNX246" s="15"/>
      <c r="CNY246" s="15"/>
      <c r="CNZ246" s="16"/>
      <c r="COA246" s="16"/>
      <c r="COB246" s="16"/>
      <c r="COC246" s="16"/>
      <c r="COD246" s="16"/>
      <c r="COE246" s="15"/>
      <c r="COF246" s="15"/>
      <c r="COG246" s="10"/>
      <c r="COH246" s="10"/>
      <c r="COI246" s="19"/>
      <c r="COJ246" s="19"/>
      <c r="COM246" s="16"/>
      <c r="CON246" s="15"/>
      <c r="COO246" s="15"/>
      <c r="COP246" s="15"/>
      <c r="COQ246" s="16"/>
      <c r="COR246" s="16"/>
      <c r="COS246" s="16"/>
      <c r="COT246" s="16"/>
      <c r="COU246" s="16"/>
      <c r="COV246" s="15"/>
      <c r="COW246" s="15"/>
      <c r="COX246" s="10"/>
      <c r="COY246" s="10"/>
      <c r="COZ246" s="19"/>
      <c r="CPA246" s="19"/>
      <c r="CPD246" s="16"/>
      <c r="CPE246" s="15"/>
      <c r="CPF246" s="15"/>
      <c r="CPG246" s="15"/>
      <c r="CPH246" s="16"/>
      <c r="CPI246" s="16"/>
      <c r="CPJ246" s="16"/>
      <c r="CPK246" s="16"/>
      <c r="CPL246" s="16"/>
      <c r="CPM246" s="15"/>
      <c r="CPN246" s="15"/>
      <c r="CPO246" s="10"/>
      <c r="CPP246" s="10"/>
      <c r="CPQ246" s="19"/>
      <c r="CPR246" s="19"/>
      <c r="CPU246" s="16"/>
      <c r="CPV246" s="15"/>
      <c r="CPW246" s="15"/>
      <c r="CPX246" s="15"/>
      <c r="CPY246" s="16"/>
      <c r="CPZ246" s="16"/>
      <c r="CQA246" s="16"/>
      <c r="CQB246" s="16"/>
      <c r="CQC246" s="16"/>
      <c r="CQD246" s="15"/>
      <c r="CQE246" s="15"/>
      <c r="CQF246" s="10"/>
      <c r="CQG246" s="10"/>
      <c r="CQH246" s="19"/>
      <c r="CQI246" s="19"/>
      <c r="CQL246" s="16"/>
      <c r="CQM246" s="15"/>
      <c r="CQN246" s="15"/>
      <c r="CQO246" s="15"/>
      <c r="CQP246" s="16"/>
      <c r="CQQ246" s="16"/>
      <c r="CQR246" s="16"/>
      <c r="CQS246" s="16"/>
      <c r="CQT246" s="16"/>
      <c r="CQU246" s="15"/>
      <c r="CQV246" s="15"/>
      <c r="CQW246" s="10"/>
      <c r="CQX246" s="10"/>
      <c r="CQY246" s="19"/>
      <c r="CQZ246" s="19"/>
      <c r="CRC246" s="16"/>
      <c r="CRD246" s="15"/>
      <c r="CRE246" s="15"/>
      <c r="CRF246" s="15"/>
      <c r="CRG246" s="16"/>
      <c r="CRH246" s="16"/>
      <c r="CRI246" s="16"/>
      <c r="CRJ246" s="16"/>
      <c r="CRK246" s="16"/>
      <c r="CRL246" s="15"/>
      <c r="CRM246" s="15"/>
      <c r="CRN246" s="10"/>
      <c r="CRO246" s="10"/>
      <c r="CRP246" s="19"/>
      <c r="CRQ246" s="19"/>
      <c r="CRT246" s="16"/>
      <c r="CRU246" s="15"/>
      <c r="CRV246" s="15"/>
      <c r="CRW246" s="15"/>
      <c r="CRX246" s="16"/>
      <c r="CRY246" s="16"/>
      <c r="CRZ246" s="16"/>
      <c r="CSA246" s="16"/>
      <c r="CSB246" s="16"/>
      <c r="CSC246" s="15"/>
      <c r="CSD246" s="15"/>
      <c r="CSE246" s="10"/>
      <c r="CSF246" s="10"/>
      <c r="CSG246" s="19"/>
      <c r="CSH246" s="19"/>
      <c r="CSK246" s="16"/>
      <c r="CSL246" s="15"/>
      <c r="CSM246" s="15"/>
      <c r="CSN246" s="15"/>
      <c r="CSO246" s="16"/>
      <c r="CSP246" s="16"/>
      <c r="CSQ246" s="16"/>
      <c r="CSR246" s="16"/>
      <c r="CSS246" s="16"/>
      <c r="CST246" s="15"/>
      <c r="CSU246" s="15"/>
      <c r="CSV246" s="10"/>
      <c r="CSW246" s="10"/>
      <c r="CSX246" s="19"/>
      <c r="CSY246" s="19"/>
      <c r="CTB246" s="16"/>
      <c r="CTC246" s="15"/>
      <c r="CTD246" s="15"/>
      <c r="CTE246" s="15"/>
      <c r="CTF246" s="16"/>
      <c r="CTG246" s="16"/>
      <c r="CTH246" s="16"/>
      <c r="CTI246" s="16"/>
      <c r="CTJ246" s="16"/>
      <c r="CTK246" s="15"/>
      <c r="CTL246" s="15"/>
      <c r="CTM246" s="10"/>
      <c r="CTN246" s="10"/>
      <c r="CTO246" s="19"/>
      <c r="CTP246" s="19"/>
      <c r="CTS246" s="16"/>
      <c r="CTT246" s="15"/>
      <c r="CTU246" s="15"/>
      <c r="CTV246" s="15"/>
      <c r="CTW246" s="16"/>
      <c r="CTX246" s="16"/>
      <c r="CTY246" s="16"/>
      <c r="CTZ246" s="16"/>
      <c r="CUA246" s="16"/>
      <c r="CUB246" s="15"/>
      <c r="CUC246" s="15"/>
      <c r="CUD246" s="10"/>
      <c r="CUE246" s="10"/>
      <c r="CUF246" s="19"/>
      <c r="CUG246" s="19"/>
      <c r="CUJ246" s="16"/>
      <c r="CUK246" s="15"/>
      <c r="CUL246" s="15"/>
      <c r="CUM246" s="15"/>
      <c r="CUN246" s="16"/>
      <c r="CUO246" s="16"/>
      <c r="CUP246" s="16"/>
      <c r="CUQ246" s="16"/>
      <c r="CUR246" s="16"/>
      <c r="CUS246" s="15"/>
      <c r="CUT246" s="15"/>
      <c r="CUU246" s="10"/>
      <c r="CUV246" s="10"/>
      <c r="CUW246" s="19"/>
      <c r="CUX246" s="19"/>
      <c r="CVA246" s="16"/>
      <c r="CVB246" s="15"/>
      <c r="CVC246" s="15"/>
      <c r="CVD246" s="15"/>
      <c r="CVE246" s="16"/>
      <c r="CVF246" s="16"/>
      <c r="CVG246" s="16"/>
      <c r="CVH246" s="16"/>
      <c r="CVI246" s="16"/>
      <c r="CVJ246" s="15"/>
      <c r="CVK246" s="15"/>
      <c r="CVL246" s="10"/>
      <c r="CVM246" s="10"/>
      <c r="CVN246" s="19"/>
      <c r="CVO246" s="19"/>
      <c r="CVR246" s="16"/>
      <c r="CVS246" s="15"/>
      <c r="CVT246" s="15"/>
      <c r="CVU246" s="15"/>
      <c r="CVV246" s="16"/>
      <c r="CVW246" s="16"/>
      <c r="CVX246" s="16"/>
      <c r="CVY246" s="16"/>
      <c r="CVZ246" s="16"/>
      <c r="CWA246" s="15"/>
      <c r="CWB246" s="15"/>
      <c r="CWC246" s="10"/>
      <c r="CWD246" s="10"/>
      <c r="CWE246" s="19"/>
      <c r="CWF246" s="19"/>
      <c r="CWI246" s="16"/>
      <c r="CWJ246" s="15"/>
      <c r="CWK246" s="15"/>
      <c r="CWL246" s="15"/>
      <c r="CWM246" s="16"/>
      <c r="CWN246" s="16"/>
      <c r="CWO246" s="16"/>
      <c r="CWP246" s="16"/>
      <c r="CWQ246" s="16"/>
      <c r="CWR246" s="15"/>
      <c r="CWS246" s="15"/>
      <c r="CWT246" s="10"/>
      <c r="CWU246" s="10"/>
      <c r="CWV246" s="19"/>
      <c r="CWW246" s="19"/>
      <c r="CWZ246" s="16"/>
      <c r="CXA246" s="15"/>
      <c r="CXB246" s="15"/>
      <c r="CXC246" s="15"/>
      <c r="CXD246" s="16"/>
      <c r="CXE246" s="16"/>
      <c r="CXF246" s="16"/>
      <c r="CXG246" s="16"/>
      <c r="CXH246" s="16"/>
      <c r="CXI246" s="15"/>
      <c r="CXJ246" s="15"/>
      <c r="CXK246" s="10"/>
      <c r="CXL246" s="10"/>
      <c r="CXM246" s="19"/>
      <c r="CXN246" s="19"/>
      <c r="CXQ246" s="16"/>
      <c r="CXR246" s="15"/>
      <c r="CXS246" s="15"/>
      <c r="CXT246" s="15"/>
      <c r="CXU246" s="16"/>
      <c r="CXV246" s="16"/>
      <c r="CXW246" s="16"/>
      <c r="CXX246" s="16"/>
      <c r="CXY246" s="16"/>
      <c r="CXZ246" s="15"/>
      <c r="CYA246" s="15"/>
      <c r="CYB246" s="10"/>
      <c r="CYC246" s="10"/>
      <c r="CYD246" s="19"/>
      <c r="CYE246" s="19"/>
      <c r="CYH246" s="16"/>
      <c r="CYI246" s="15"/>
      <c r="CYJ246" s="15"/>
      <c r="CYK246" s="15"/>
      <c r="CYL246" s="16"/>
      <c r="CYM246" s="16"/>
      <c r="CYN246" s="16"/>
      <c r="CYO246" s="16"/>
      <c r="CYP246" s="16"/>
      <c r="CYQ246" s="15"/>
      <c r="CYR246" s="15"/>
      <c r="CYS246" s="10"/>
      <c r="CYT246" s="10"/>
      <c r="CYU246" s="19"/>
      <c r="CYV246" s="19"/>
      <c r="CYY246" s="16"/>
      <c r="CYZ246" s="15"/>
      <c r="CZA246" s="15"/>
      <c r="CZB246" s="15"/>
      <c r="CZC246" s="16"/>
      <c r="CZD246" s="16"/>
      <c r="CZE246" s="16"/>
      <c r="CZF246" s="16"/>
      <c r="CZG246" s="16"/>
      <c r="CZH246" s="15"/>
      <c r="CZI246" s="15"/>
      <c r="CZJ246" s="10"/>
      <c r="CZK246" s="10"/>
      <c r="CZL246" s="19"/>
      <c r="CZM246" s="19"/>
      <c r="CZP246" s="16"/>
      <c r="CZQ246" s="15"/>
      <c r="CZR246" s="15"/>
      <c r="CZS246" s="15"/>
      <c r="CZT246" s="16"/>
      <c r="CZU246" s="16"/>
      <c r="CZV246" s="16"/>
      <c r="CZW246" s="16"/>
      <c r="CZX246" s="16"/>
      <c r="CZY246" s="15"/>
      <c r="CZZ246" s="15"/>
      <c r="DAA246" s="10"/>
      <c r="DAB246" s="10"/>
      <c r="DAC246" s="19"/>
      <c r="DAD246" s="19"/>
      <c r="DAG246" s="16"/>
      <c r="DAH246" s="15"/>
      <c r="DAI246" s="15"/>
      <c r="DAJ246" s="15"/>
      <c r="DAK246" s="16"/>
      <c r="DAL246" s="16"/>
      <c r="DAM246" s="16"/>
      <c r="DAN246" s="16"/>
      <c r="DAO246" s="16"/>
      <c r="DAP246" s="15"/>
      <c r="DAQ246" s="15"/>
      <c r="DAR246" s="10"/>
      <c r="DAS246" s="10"/>
      <c r="DAT246" s="19"/>
      <c r="DAU246" s="19"/>
      <c r="DAX246" s="16"/>
      <c r="DAY246" s="15"/>
      <c r="DAZ246" s="15"/>
      <c r="DBA246" s="15"/>
      <c r="DBB246" s="16"/>
      <c r="DBC246" s="16"/>
      <c r="DBD246" s="16"/>
      <c r="DBE246" s="16"/>
      <c r="DBF246" s="16"/>
      <c r="DBG246" s="15"/>
      <c r="DBH246" s="15"/>
      <c r="DBI246" s="10"/>
      <c r="DBJ246" s="10"/>
      <c r="DBK246" s="19"/>
      <c r="DBL246" s="19"/>
      <c r="DBO246" s="16"/>
      <c r="DBP246" s="15"/>
      <c r="DBQ246" s="15"/>
      <c r="DBR246" s="15"/>
      <c r="DBS246" s="16"/>
      <c r="DBT246" s="16"/>
      <c r="DBU246" s="16"/>
      <c r="DBV246" s="16"/>
      <c r="DBW246" s="16"/>
      <c r="DBX246" s="15"/>
      <c r="DBY246" s="15"/>
      <c r="DBZ246" s="10"/>
      <c r="DCA246" s="10"/>
      <c r="DCB246" s="19"/>
      <c r="DCC246" s="19"/>
      <c r="DCF246" s="16"/>
      <c r="DCG246" s="15"/>
      <c r="DCH246" s="15"/>
      <c r="DCI246" s="15"/>
      <c r="DCJ246" s="16"/>
      <c r="DCK246" s="16"/>
      <c r="DCL246" s="16"/>
      <c r="DCM246" s="16"/>
      <c r="DCN246" s="16"/>
      <c r="DCO246" s="15"/>
      <c r="DCP246" s="15"/>
      <c r="DCQ246" s="10"/>
      <c r="DCR246" s="10"/>
      <c r="DCS246" s="19"/>
      <c r="DCT246" s="19"/>
      <c r="DCW246" s="16"/>
      <c r="DCX246" s="15"/>
      <c r="DCY246" s="15"/>
      <c r="DCZ246" s="15"/>
      <c r="DDA246" s="16"/>
      <c r="DDB246" s="16"/>
      <c r="DDC246" s="16"/>
      <c r="DDD246" s="16"/>
      <c r="DDE246" s="16"/>
      <c r="DDF246" s="15"/>
      <c r="DDG246" s="15"/>
      <c r="DDH246" s="10"/>
      <c r="DDI246" s="10"/>
      <c r="DDJ246" s="19"/>
      <c r="DDK246" s="19"/>
      <c r="DDN246" s="16"/>
      <c r="DDO246" s="15"/>
      <c r="DDP246" s="15"/>
      <c r="DDQ246" s="15"/>
      <c r="DDR246" s="16"/>
      <c r="DDS246" s="16"/>
      <c r="DDT246" s="16"/>
      <c r="DDU246" s="16"/>
      <c r="DDV246" s="16"/>
      <c r="DDW246" s="15"/>
      <c r="DDX246" s="15"/>
      <c r="DDY246" s="10"/>
      <c r="DDZ246" s="10"/>
      <c r="DEA246" s="19"/>
      <c r="DEB246" s="19"/>
      <c r="DEE246" s="16"/>
      <c r="DEF246" s="15"/>
      <c r="DEG246" s="15"/>
      <c r="DEH246" s="15"/>
      <c r="DEI246" s="16"/>
      <c r="DEJ246" s="16"/>
      <c r="DEK246" s="16"/>
      <c r="DEL246" s="16"/>
      <c r="DEM246" s="16"/>
      <c r="DEN246" s="15"/>
      <c r="DEO246" s="15"/>
      <c r="DEP246" s="10"/>
      <c r="DEQ246" s="10"/>
      <c r="DER246" s="19"/>
      <c r="DES246" s="19"/>
      <c r="DEV246" s="16"/>
      <c r="DEW246" s="15"/>
      <c r="DEX246" s="15"/>
      <c r="DEY246" s="15"/>
      <c r="DEZ246" s="16"/>
      <c r="DFA246" s="16"/>
      <c r="DFB246" s="16"/>
      <c r="DFC246" s="16"/>
      <c r="DFD246" s="16"/>
      <c r="DFE246" s="15"/>
      <c r="DFF246" s="15"/>
      <c r="DFG246" s="10"/>
      <c r="DFH246" s="10"/>
      <c r="DFI246" s="19"/>
      <c r="DFJ246" s="19"/>
      <c r="DFM246" s="16"/>
      <c r="DFN246" s="15"/>
      <c r="DFO246" s="15"/>
      <c r="DFP246" s="15"/>
      <c r="DFQ246" s="16"/>
      <c r="DFR246" s="16"/>
      <c r="DFS246" s="16"/>
      <c r="DFT246" s="16"/>
      <c r="DFU246" s="16"/>
      <c r="DFV246" s="15"/>
      <c r="DFW246" s="15"/>
      <c r="DFX246" s="10"/>
      <c r="DFY246" s="10"/>
      <c r="DFZ246" s="19"/>
      <c r="DGA246" s="19"/>
      <c r="DGD246" s="16"/>
      <c r="DGE246" s="15"/>
      <c r="DGF246" s="15"/>
      <c r="DGG246" s="15"/>
      <c r="DGH246" s="16"/>
      <c r="DGI246" s="16"/>
      <c r="DGJ246" s="16"/>
      <c r="DGK246" s="16"/>
      <c r="DGL246" s="16"/>
      <c r="DGM246" s="15"/>
      <c r="DGN246" s="15"/>
      <c r="DGO246" s="10"/>
      <c r="DGP246" s="10"/>
      <c r="DGQ246" s="19"/>
      <c r="DGR246" s="19"/>
      <c r="DGU246" s="16"/>
      <c r="DGV246" s="15"/>
      <c r="DGW246" s="15"/>
      <c r="DGX246" s="15"/>
      <c r="DGY246" s="16"/>
      <c r="DGZ246" s="16"/>
      <c r="DHA246" s="16"/>
      <c r="DHB246" s="16"/>
      <c r="DHC246" s="16"/>
      <c r="DHD246" s="15"/>
      <c r="DHE246" s="15"/>
      <c r="DHF246" s="10"/>
      <c r="DHG246" s="10"/>
      <c r="DHH246" s="19"/>
      <c r="DHI246" s="19"/>
      <c r="DHL246" s="16"/>
      <c r="DHM246" s="15"/>
      <c r="DHN246" s="15"/>
      <c r="DHO246" s="15"/>
      <c r="DHP246" s="16"/>
      <c r="DHQ246" s="16"/>
      <c r="DHR246" s="16"/>
      <c r="DHS246" s="16"/>
      <c r="DHT246" s="16"/>
      <c r="DHU246" s="15"/>
      <c r="DHV246" s="15"/>
      <c r="DHW246" s="10"/>
      <c r="DHX246" s="10"/>
      <c r="DHY246" s="19"/>
      <c r="DHZ246" s="19"/>
      <c r="DIC246" s="16"/>
      <c r="DID246" s="15"/>
      <c r="DIE246" s="15"/>
      <c r="DIF246" s="15"/>
      <c r="DIG246" s="16"/>
      <c r="DIH246" s="16"/>
      <c r="DII246" s="16"/>
      <c r="DIJ246" s="16"/>
      <c r="DIK246" s="16"/>
      <c r="DIL246" s="15"/>
      <c r="DIM246" s="15"/>
      <c r="DIN246" s="10"/>
      <c r="DIO246" s="10"/>
      <c r="DIP246" s="19"/>
      <c r="DIQ246" s="19"/>
      <c r="DIT246" s="16"/>
      <c r="DIU246" s="15"/>
      <c r="DIV246" s="15"/>
      <c r="DIW246" s="15"/>
      <c r="DIX246" s="16"/>
      <c r="DIY246" s="16"/>
      <c r="DIZ246" s="16"/>
      <c r="DJA246" s="16"/>
      <c r="DJB246" s="16"/>
      <c r="DJC246" s="15"/>
      <c r="DJD246" s="15"/>
      <c r="DJE246" s="10"/>
      <c r="DJF246" s="10"/>
      <c r="DJG246" s="19"/>
      <c r="DJH246" s="19"/>
      <c r="DJK246" s="16"/>
      <c r="DJL246" s="15"/>
      <c r="DJM246" s="15"/>
      <c r="DJN246" s="15"/>
      <c r="DJO246" s="16"/>
      <c r="DJP246" s="16"/>
      <c r="DJQ246" s="16"/>
      <c r="DJR246" s="16"/>
      <c r="DJS246" s="16"/>
      <c r="DJT246" s="15"/>
      <c r="DJU246" s="15"/>
      <c r="DJV246" s="10"/>
      <c r="DJW246" s="10"/>
      <c r="DJX246" s="19"/>
      <c r="DJY246" s="19"/>
      <c r="DKB246" s="16"/>
      <c r="DKC246" s="15"/>
      <c r="DKD246" s="15"/>
      <c r="DKE246" s="15"/>
      <c r="DKF246" s="16"/>
      <c r="DKG246" s="16"/>
      <c r="DKH246" s="16"/>
      <c r="DKI246" s="16"/>
      <c r="DKJ246" s="16"/>
      <c r="DKK246" s="15"/>
      <c r="DKL246" s="15"/>
      <c r="DKM246" s="10"/>
      <c r="DKN246" s="10"/>
      <c r="DKO246" s="19"/>
      <c r="DKP246" s="19"/>
      <c r="DKS246" s="16"/>
      <c r="DKT246" s="15"/>
      <c r="DKU246" s="15"/>
      <c r="DKV246" s="15"/>
      <c r="DKW246" s="16"/>
      <c r="DKX246" s="16"/>
      <c r="DKY246" s="16"/>
      <c r="DKZ246" s="16"/>
      <c r="DLA246" s="16"/>
      <c r="DLB246" s="15"/>
      <c r="DLC246" s="15"/>
      <c r="DLD246" s="10"/>
      <c r="DLE246" s="10"/>
      <c r="DLF246" s="19"/>
      <c r="DLG246" s="19"/>
      <c r="DLJ246" s="16"/>
      <c r="DLK246" s="15"/>
      <c r="DLL246" s="15"/>
      <c r="DLM246" s="15"/>
      <c r="DLN246" s="16"/>
      <c r="DLO246" s="16"/>
      <c r="DLP246" s="16"/>
      <c r="DLQ246" s="16"/>
      <c r="DLR246" s="16"/>
      <c r="DLS246" s="15"/>
      <c r="DLT246" s="15"/>
      <c r="DLU246" s="10"/>
      <c r="DLV246" s="10"/>
      <c r="DLW246" s="19"/>
      <c r="DLX246" s="19"/>
      <c r="DMA246" s="16"/>
      <c r="DMB246" s="15"/>
      <c r="DMC246" s="15"/>
      <c r="DMD246" s="15"/>
      <c r="DME246" s="16"/>
      <c r="DMF246" s="16"/>
      <c r="DMG246" s="16"/>
      <c r="DMH246" s="16"/>
      <c r="DMI246" s="16"/>
      <c r="DMJ246" s="15"/>
      <c r="DMK246" s="15"/>
      <c r="DML246" s="10"/>
      <c r="DMM246" s="10"/>
      <c r="DMN246" s="19"/>
      <c r="DMO246" s="19"/>
      <c r="DMR246" s="16"/>
      <c r="DMS246" s="15"/>
      <c r="DMT246" s="15"/>
      <c r="DMU246" s="15"/>
      <c r="DMV246" s="16"/>
      <c r="DMW246" s="16"/>
      <c r="DMX246" s="16"/>
      <c r="DMY246" s="16"/>
      <c r="DMZ246" s="16"/>
      <c r="DNA246" s="15"/>
      <c r="DNB246" s="15"/>
      <c r="DNC246" s="10"/>
      <c r="DND246" s="10"/>
      <c r="DNE246" s="19"/>
      <c r="DNF246" s="19"/>
      <c r="DNI246" s="16"/>
      <c r="DNJ246" s="15"/>
      <c r="DNK246" s="15"/>
      <c r="DNL246" s="15"/>
      <c r="DNM246" s="16"/>
      <c r="DNN246" s="16"/>
      <c r="DNO246" s="16"/>
      <c r="DNP246" s="16"/>
      <c r="DNQ246" s="16"/>
      <c r="DNR246" s="15"/>
      <c r="DNS246" s="15"/>
      <c r="DNT246" s="10"/>
      <c r="DNU246" s="10"/>
      <c r="DNV246" s="19"/>
      <c r="DNW246" s="19"/>
      <c r="DNZ246" s="16"/>
      <c r="DOA246" s="15"/>
      <c r="DOB246" s="15"/>
      <c r="DOC246" s="15"/>
      <c r="DOD246" s="16"/>
      <c r="DOE246" s="16"/>
      <c r="DOF246" s="16"/>
      <c r="DOG246" s="16"/>
      <c r="DOH246" s="16"/>
      <c r="DOI246" s="15"/>
      <c r="DOJ246" s="15"/>
      <c r="DOK246" s="10"/>
      <c r="DOL246" s="10"/>
      <c r="DOM246" s="19"/>
      <c r="DON246" s="19"/>
      <c r="DOQ246" s="16"/>
      <c r="DOR246" s="15"/>
      <c r="DOS246" s="15"/>
      <c r="DOT246" s="15"/>
      <c r="DOU246" s="16"/>
      <c r="DOV246" s="16"/>
      <c r="DOW246" s="16"/>
      <c r="DOX246" s="16"/>
      <c r="DOY246" s="16"/>
      <c r="DOZ246" s="15"/>
      <c r="DPA246" s="15"/>
      <c r="DPB246" s="10"/>
      <c r="DPC246" s="10"/>
      <c r="DPD246" s="19"/>
      <c r="DPE246" s="19"/>
      <c r="DPH246" s="16"/>
      <c r="DPI246" s="15"/>
      <c r="DPJ246" s="15"/>
      <c r="DPK246" s="15"/>
      <c r="DPL246" s="16"/>
      <c r="DPM246" s="16"/>
      <c r="DPN246" s="16"/>
      <c r="DPO246" s="16"/>
      <c r="DPP246" s="16"/>
      <c r="DPQ246" s="15"/>
      <c r="DPR246" s="15"/>
      <c r="DPS246" s="10"/>
      <c r="DPT246" s="10"/>
      <c r="DPU246" s="19"/>
      <c r="DPV246" s="19"/>
      <c r="DPY246" s="16"/>
      <c r="DPZ246" s="15"/>
      <c r="DQA246" s="15"/>
      <c r="DQB246" s="15"/>
      <c r="DQC246" s="16"/>
      <c r="DQD246" s="16"/>
      <c r="DQE246" s="16"/>
      <c r="DQF246" s="16"/>
      <c r="DQG246" s="16"/>
      <c r="DQH246" s="15"/>
      <c r="DQI246" s="15"/>
      <c r="DQJ246" s="10"/>
      <c r="DQK246" s="10"/>
      <c r="DQL246" s="19"/>
      <c r="DQM246" s="19"/>
      <c r="DQP246" s="16"/>
      <c r="DQQ246" s="15"/>
      <c r="DQR246" s="15"/>
      <c r="DQS246" s="15"/>
      <c r="DQT246" s="16"/>
      <c r="DQU246" s="16"/>
      <c r="DQV246" s="16"/>
      <c r="DQW246" s="16"/>
      <c r="DQX246" s="16"/>
      <c r="DQY246" s="15"/>
      <c r="DQZ246" s="15"/>
      <c r="DRA246" s="10"/>
      <c r="DRB246" s="10"/>
      <c r="DRC246" s="19"/>
      <c r="DRD246" s="19"/>
      <c r="DRG246" s="16"/>
      <c r="DRH246" s="15"/>
      <c r="DRI246" s="15"/>
      <c r="DRJ246" s="15"/>
      <c r="DRK246" s="16"/>
      <c r="DRL246" s="16"/>
      <c r="DRM246" s="16"/>
      <c r="DRN246" s="16"/>
      <c r="DRO246" s="16"/>
      <c r="DRP246" s="15"/>
      <c r="DRQ246" s="15"/>
      <c r="DRR246" s="10"/>
      <c r="DRS246" s="10"/>
      <c r="DRT246" s="19"/>
      <c r="DRU246" s="19"/>
      <c r="DRX246" s="16"/>
      <c r="DRY246" s="15"/>
      <c r="DRZ246" s="15"/>
      <c r="DSA246" s="15"/>
      <c r="DSB246" s="16"/>
      <c r="DSC246" s="16"/>
      <c r="DSD246" s="16"/>
      <c r="DSE246" s="16"/>
      <c r="DSF246" s="16"/>
      <c r="DSG246" s="15"/>
      <c r="DSH246" s="15"/>
      <c r="DSI246" s="10"/>
      <c r="DSJ246" s="10"/>
      <c r="DSK246" s="19"/>
      <c r="DSL246" s="19"/>
      <c r="DSO246" s="16"/>
      <c r="DSP246" s="15"/>
      <c r="DSQ246" s="15"/>
      <c r="DSR246" s="15"/>
      <c r="DSS246" s="16"/>
      <c r="DST246" s="16"/>
      <c r="DSU246" s="16"/>
      <c r="DSV246" s="16"/>
      <c r="DSW246" s="16"/>
      <c r="DSX246" s="15"/>
      <c r="DSY246" s="15"/>
      <c r="DSZ246" s="10"/>
      <c r="DTA246" s="10"/>
      <c r="DTB246" s="19"/>
      <c r="DTC246" s="19"/>
      <c r="DTF246" s="16"/>
      <c r="DTG246" s="15"/>
      <c r="DTH246" s="15"/>
      <c r="DTI246" s="15"/>
      <c r="DTJ246" s="16"/>
      <c r="DTK246" s="16"/>
      <c r="DTL246" s="16"/>
      <c r="DTM246" s="16"/>
      <c r="DTN246" s="16"/>
      <c r="DTO246" s="15"/>
      <c r="DTP246" s="15"/>
      <c r="DTQ246" s="10"/>
      <c r="DTR246" s="10"/>
      <c r="DTS246" s="19"/>
      <c r="DTT246" s="19"/>
      <c r="DTW246" s="16"/>
      <c r="DTX246" s="15"/>
      <c r="DTY246" s="15"/>
      <c r="DTZ246" s="15"/>
      <c r="DUA246" s="16"/>
      <c r="DUB246" s="16"/>
      <c r="DUC246" s="16"/>
      <c r="DUD246" s="16"/>
      <c r="DUE246" s="16"/>
      <c r="DUF246" s="15"/>
      <c r="DUG246" s="15"/>
      <c r="DUH246" s="10"/>
      <c r="DUI246" s="10"/>
      <c r="DUJ246" s="19"/>
      <c r="DUK246" s="19"/>
      <c r="DUN246" s="16"/>
      <c r="DUO246" s="15"/>
      <c r="DUP246" s="15"/>
      <c r="DUQ246" s="15"/>
      <c r="DUR246" s="16"/>
      <c r="DUS246" s="16"/>
      <c r="DUT246" s="16"/>
      <c r="DUU246" s="16"/>
      <c r="DUV246" s="16"/>
      <c r="DUW246" s="15"/>
      <c r="DUX246" s="15"/>
      <c r="DUY246" s="10"/>
      <c r="DUZ246" s="10"/>
      <c r="DVA246" s="19"/>
      <c r="DVB246" s="19"/>
      <c r="DVE246" s="16"/>
      <c r="DVF246" s="15"/>
      <c r="DVG246" s="15"/>
      <c r="DVH246" s="15"/>
      <c r="DVI246" s="16"/>
      <c r="DVJ246" s="16"/>
      <c r="DVK246" s="16"/>
      <c r="DVL246" s="16"/>
      <c r="DVM246" s="16"/>
      <c r="DVN246" s="15"/>
      <c r="DVO246" s="15"/>
      <c r="DVP246" s="10"/>
      <c r="DVQ246" s="10"/>
      <c r="DVR246" s="19"/>
      <c r="DVS246" s="19"/>
      <c r="DVV246" s="16"/>
      <c r="DVW246" s="15"/>
      <c r="DVX246" s="15"/>
      <c r="DVY246" s="15"/>
      <c r="DVZ246" s="16"/>
      <c r="DWA246" s="16"/>
      <c r="DWB246" s="16"/>
      <c r="DWC246" s="16"/>
      <c r="DWD246" s="16"/>
      <c r="DWE246" s="15"/>
      <c r="DWF246" s="15"/>
      <c r="DWG246" s="10"/>
      <c r="DWH246" s="10"/>
      <c r="DWI246" s="19"/>
      <c r="DWJ246" s="19"/>
      <c r="DWM246" s="16"/>
      <c r="DWN246" s="15"/>
      <c r="DWO246" s="15"/>
      <c r="DWP246" s="15"/>
      <c r="DWQ246" s="16"/>
      <c r="DWR246" s="16"/>
      <c r="DWS246" s="16"/>
      <c r="DWT246" s="16"/>
      <c r="DWU246" s="16"/>
      <c r="DWV246" s="15"/>
      <c r="DWW246" s="15"/>
      <c r="DWX246" s="10"/>
      <c r="DWY246" s="10"/>
      <c r="DWZ246" s="19"/>
      <c r="DXA246" s="19"/>
      <c r="DXD246" s="16"/>
      <c r="DXE246" s="15"/>
      <c r="DXF246" s="15"/>
      <c r="DXG246" s="15"/>
      <c r="DXH246" s="16"/>
      <c r="DXI246" s="16"/>
      <c r="DXJ246" s="16"/>
      <c r="DXK246" s="16"/>
      <c r="DXL246" s="16"/>
      <c r="DXM246" s="15"/>
      <c r="DXN246" s="15"/>
      <c r="DXO246" s="10"/>
      <c r="DXP246" s="10"/>
      <c r="DXQ246" s="19"/>
      <c r="DXR246" s="19"/>
      <c r="DXU246" s="16"/>
      <c r="DXV246" s="15"/>
      <c r="DXW246" s="15"/>
      <c r="DXX246" s="15"/>
      <c r="DXY246" s="16"/>
      <c r="DXZ246" s="16"/>
      <c r="DYA246" s="16"/>
      <c r="DYB246" s="16"/>
      <c r="DYC246" s="16"/>
      <c r="DYD246" s="15"/>
      <c r="DYE246" s="15"/>
      <c r="DYF246" s="10"/>
      <c r="DYG246" s="10"/>
      <c r="DYH246" s="19"/>
      <c r="DYI246" s="19"/>
      <c r="DYL246" s="16"/>
      <c r="DYM246" s="15"/>
      <c r="DYN246" s="15"/>
      <c r="DYO246" s="15"/>
      <c r="DYP246" s="16"/>
      <c r="DYQ246" s="16"/>
      <c r="DYR246" s="16"/>
      <c r="DYS246" s="16"/>
      <c r="DYT246" s="16"/>
      <c r="DYU246" s="15"/>
      <c r="DYV246" s="15"/>
      <c r="DYW246" s="10"/>
      <c r="DYX246" s="10"/>
      <c r="DYY246" s="19"/>
      <c r="DYZ246" s="19"/>
      <c r="DZC246" s="16"/>
      <c r="DZD246" s="15"/>
      <c r="DZE246" s="15"/>
      <c r="DZF246" s="15"/>
      <c r="DZG246" s="16"/>
      <c r="DZH246" s="16"/>
      <c r="DZI246" s="16"/>
      <c r="DZJ246" s="16"/>
      <c r="DZK246" s="16"/>
      <c r="DZL246" s="15"/>
      <c r="DZM246" s="15"/>
      <c r="DZN246" s="10"/>
      <c r="DZO246" s="10"/>
      <c r="DZP246" s="19"/>
      <c r="DZQ246" s="19"/>
      <c r="DZT246" s="16"/>
      <c r="DZU246" s="15"/>
      <c r="DZV246" s="15"/>
      <c r="DZW246" s="15"/>
      <c r="DZX246" s="16"/>
      <c r="DZY246" s="16"/>
      <c r="DZZ246" s="16"/>
      <c r="EAA246" s="16"/>
      <c r="EAB246" s="16"/>
      <c r="EAC246" s="15"/>
      <c r="EAD246" s="15"/>
      <c r="EAE246" s="10"/>
      <c r="EAF246" s="10"/>
      <c r="EAG246" s="19"/>
      <c r="EAH246" s="19"/>
      <c r="EAK246" s="16"/>
      <c r="EAL246" s="15"/>
      <c r="EAM246" s="15"/>
      <c r="EAN246" s="15"/>
      <c r="EAO246" s="16"/>
      <c r="EAP246" s="16"/>
      <c r="EAQ246" s="16"/>
      <c r="EAR246" s="16"/>
      <c r="EAS246" s="16"/>
      <c r="EAT246" s="15"/>
      <c r="EAU246" s="15"/>
      <c r="EAV246" s="10"/>
      <c r="EAW246" s="10"/>
      <c r="EAX246" s="19"/>
      <c r="EAY246" s="19"/>
      <c r="EBB246" s="16"/>
      <c r="EBC246" s="15"/>
      <c r="EBD246" s="15"/>
      <c r="EBE246" s="15"/>
      <c r="EBF246" s="16"/>
      <c r="EBG246" s="16"/>
      <c r="EBH246" s="16"/>
      <c r="EBI246" s="16"/>
      <c r="EBJ246" s="16"/>
      <c r="EBK246" s="15"/>
      <c r="EBL246" s="15"/>
      <c r="EBM246" s="10"/>
      <c r="EBN246" s="10"/>
      <c r="EBO246" s="19"/>
      <c r="EBP246" s="19"/>
      <c r="EBS246" s="16"/>
      <c r="EBT246" s="15"/>
      <c r="EBU246" s="15"/>
      <c r="EBV246" s="15"/>
      <c r="EBW246" s="16"/>
      <c r="EBX246" s="16"/>
      <c r="EBY246" s="16"/>
      <c r="EBZ246" s="16"/>
      <c r="ECA246" s="16"/>
      <c r="ECB246" s="15"/>
      <c r="ECC246" s="15"/>
      <c r="ECD246" s="10"/>
      <c r="ECE246" s="10"/>
      <c r="ECF246" s="19"/>
      <c r="ECG246" s="19"/>
      <c r="ECJ246" s="16"/>
      <c r="ECK246" s="15"/>
      <c r="ECL246" s="15"/>
      <c r="ECM246" s="15"/>
      <c r="ECN246" s="16"/>
      <c r="ECO246" s="16"/>
      <c r="ECP246" s="16"/>
      <c r="ECQ246" s="16"/>
      <c r="ECR246" s="16"/>
      <c r="ECS246" s="15"/>
      <c r="ECT246" s="15"/>
      <c r="ECU246" s="10"/>
      <c r="ECV246" s="10"/>
      <c r="ECW246" s="19"/>
      <c r="ECX246" s="19"/>
      <c r="EDA246" s="16"/>
      <c r="EDB246" s="15"/>
      <c r="EDC246" s="15"/>
      <c r="EDD246" s="15"/>
      <c r="EDE246" s="16"/>
      <c r="EDF246" s="16"/>
      <c r="EDG246" s="16"/>
      <c r="EDH246" s="16"/>
      <c r="EDI246" s="16"/>
      <c r="EDJ246" s="15"/>
      <c r="EDK246" s="15"/>
      <c r="EDL246" s="10"/>
      <c r="EDM246" s="10"/>
      <c r="EDN246" s="19"/>
      <c r="EDO246" s="19"/>
      <c r="EDR246" s="16"/>
      <c r="EDS246" s="15"/>
      <c r="EDT246" s="15"/>
      <c r="EDU246" s="15"/>
      <c r="EDV246" s="16"/>
      <c r="EDW246" s="16"/>
      <c r="EDX246" s="16"/>
      <c r="EDY246" s="16"/>
      <c r="EDZ246" s="16"/>
      <c r="EEA246" s="15"/>
      <c r="EEB246" s="15"/>
      <c r="EEC246" s="10"/>
      <c r="EED246" s="10"/>
      <c r="EEE246" s="19"/>
      <c r="EEF246" s="19"/>
      <c r="EEI246" s="16"/>
      <c r="EEJ246" s="15"/>
      <c r="EEK246" s="15"/>
      <c r="EEL246" s="15"/>
      <c r="EEM246" s="16"/>
      <c r="EEN246" s="16"/>
      <c r="EEO246" s="16"/>
      <c r="EEP246" s="16"/>
      <c r="EEQ246" s="16"/>
      <c r="EER246" s="15"/>
      <c r="EES246" s="15"/>
      <c r="EET246" s="10"/>
      <c r="EEU246" s="10"/>
      <c r="EEV246" s="19"/>
      <c r="EEW246" s="19"/>
      <c r="EEZ246" s="16"/>
      <c r="EFA246" s="15"/>
      <c r="EFB246" s="15"/>
      <c r="EFC246" s="15"/>
      <c r="EFD246" s="16"/>
      <c r="EFE246" s="16"/>
      <c r="EFF246" s="16"/>
      <c r="EFG246" s="16"/>
      <c r="EFH246" s="16"/>
      <c r="EFI246" s="15"/>
      <c r="EFJ246" s="15"/>
      <c r="EFK246" s="10"/>
      <c r="EFL246" s="10"/>
      <c r="EFM246" s="19"/>
      <c r="EFN246" s="19"/>
      <c r="EFQ246" s="16"/>
      <c r="EFR246" s="15"/>
      <c r="EFS246" s="15"/>
      <c r="EFT246" s="15"/>
      <c r="EFU246" s="16"/>
      <c r="EFV246" s="16"/>
      <c r="EFW246" s="16"/>
      <c r="EFX246" s="16"/>
      <c r="EFY246" s="16"/>
      <c r="EFZ246" s="15"/>
      <c r="EGA246" s="15"/>
      <c r="EGB246" s="10"/>
      <c r="EGC246" s="10"/>
      <c r="EGD246" s="19"/>
      <c r="EGE246" s="19"/>
      <c r="EGH246" s="16"/>
      <c r="EGI246" s="15"/>
      <c r="EGJ246" s="15"/>
      <c r="EGK246" s="15"/>
      <c r="EGL246" s="16"/>
      <c r="EGM246" s="16"/>
      <c r="EGN246" s="16"/>
      <c r="EGO246" s="16"/>
      <c r="EGP246" s="16"/>
      <c r="EGQ246" s="15"/>
      <c r="EGR246" s="15"/>
      <c r="EGS246" s="10"/>
      <c r="EGT246" s="10"/>
      <c r="EGU246" s="19"/>
      <c r="EGV246" s="19"/>
      <c r="EGY246" s="16"/>
      <c r="EGZ246" s="15"/>
      <c r="EHA246" s="15"/>
      <c r="EHB246" s="15"/>
      <c r="EHC246" s="16"/>
      <c r="EHD246" s="16"/>
      <c r="EHE246" s="16"/>
      <c r="EHF246" s="16"/>
      <c r="EHG246" s="16"/>
      <c r="EHH246" s="15"/>
      <c r="EHI246" s="15"/>
      <c r="EHJ246" s="10"/>
      <c r="EHK246" s="10"/>
      <c r="EHL246" s="19"/>
      <c r="EHM246" s="19"/>
      <c r="EHP246" s="16"/>
      <c r="EHQ246" s="15"/>
      <c r="EHR246" s="15"/>
      <c r="EHS246" s="15"/>
      <c r="EHT246" s="16"/>
      <c r="EHU246" s="16"/>
      <c r="EHV246" s="16"/>
      <c r="EHW246" s="16"/>
      <c r="EHX246" s="16"/>
      <c r="EHY246" s="15"/>
      <c r="EHZ246" s="15"/>
      <c r="EIA246" s="10"/>
      <c r="EIB246" s="10"/>
      <c r="EIC246" s="19"/>
      <c r="EID246" s="19"/>
      <c r="EIG246" s="16"/>
      <c r="EIH246" s="15"/>
      <c r="EII246" s="15"/>
      <c r="EIJ246" s="15"/>
      <c r="EIK246" s="16"/>
      <c r="EIL246" s="16"/>
      <c r="EIM246" s="16"/>
      <c r="EIN246" s="16"/>
      <c r="EIO246" s="16"/>
      <c r="EIP246" s="15"/>
      <c r="EIQ246" s="15"/>
      <c r="EIR246" s="10"/>
      <c r="EIS246" s="10"/>
      <c r="EIT246" s="19"/>
      <c r="EIU246" s="19"/>
      <c r="EIX246" s="16"/>
      <c r="EIY246" s="15"/>
      <c r="EIZ246" s="15"/>
      <c r="EJA246" s="15"/>
      <c r="EJB246" s="16"/>
      <c r="EJC246" s="16"/>
      <c r="EJD246" s="16"/>
      <c r="EJE246" s="16"/>
      <c r="EJF246" s="16"/>
      <c r="EJG246" s="15"/>
      <c r="EJH246" s="15"/>
      <c r="EJI246" s="10"/>
      <c r="EJJ246" s="10"/>
      <c r="EJK246" s="19"/>
      <c r="EJL246" s="19"/>
      <c r="EJO246" s="16"/>
      <c r="EJP246" s="15"/>
      <c r="EJQ246" s="15"/>
      <c r="EJR246" s="15"/>
      <c r="EJS246" s="16"/>
      <c r="EJT246" s="16"/>
      <c r="EJU246" s="16"/>
      <c r="EJV246" s="16"/>
      <c r="EJW246" s="16"/>
      <c r="EJX246" s="15"/>
      <c r="EJY246" s="15"/>
      <c r="EJZ246" s="10"/>
      <c r="EKA246" s="10"/>
      <c r="EKB246" s="19"/>
      <c r="EKC246" s="19"/>
      <c r="EKF246" s="16"/>
      <c r="EKG246" s="15"/>
      <c r="EKH246" s="15"/>
      <c r="EKI246" s="15"/>
      <c r="EKJ246" s="16"/>
      <c r="EKK246" s="16"/>
      <c r="EKL246" s="16"/>
      <c r="EKM246" s="16"/>
      <c r="EKN246" s="16"/>
      <c r="EKO246" s="15"/>
      <c r="EKP246" s="15"/>
      <c r="EKQ246" s="10"/>
      <c r="EKR246" s="10"/>
      <c r="EKS246" s="19"/>
      <c r="EKT246" s="19"/>
      <c r="EKW246" s="16"/>
      <c r="EKX246" s="15"/>
      <c r="EKY246" s="15"/>
      <c r="EKZ246" s="15"/>
      <c r="ELA246" s="16"/>
      <c r="ELB246" s="16"/>
      <c r="ELC246" s="16"/>
      <c r="ELD246" s="16"/>
      <c r="ELE246" s="16"/>
      <c r="ELF246" s="15"/>
      <c r="ELG246" s="15"/>
      <c r="ELH246" s="10"/>
      <c r="ELI246" s="10"/>
      <c r="ELJ246" s="19"/>
      <c r="ELK246" s="19"/>
      <c r="ELN246" s="16"/>
      <c r="ELO246" s="15"/>
      <c r="ELP246" s="15"/>
      <c r="ELQ246" s="15"/>
      <c r="ELR246" s="16"/>
      <c r="ELS246" s="16"/>
      <c r="ELT246" s="16"/>
      <c r="ELU246" s="16"/>
      <c r="ELV246" s="16"/>
      <c r="ELW246" s="15"/>
      <c r="ELX246" s="15"/>
      <c r="ELY246" s="10"/>
      <c r="ELZ246" s="10"/>
      <c r="EMA246" s="19"/>
      <c r="EMB246" s="19"/>
      <c r="EME246" s="16"/>
      <c r="EMF246" s="15"/>
      <c r="EMG246" s="15"/>
      <c r="EMH246" s="15"/>
      <c r="EMI246" s="16"/>
      <c r="EMJ246" s="16"/>
      <c r="EMK246" s="16"/>
      <c r="EML246" s="16"/>
      <c r="EMM246" s="16"/>
      <c r="EMN246" s="15"/>
      <c r="EMO246" s="15"/>
      <c r="EMP246" s="10"/>
      <c r="EMQ246" s="10"/>
      <c r="EMR246" s="19"/>
      <c r="EMS246" s="19"/>
      <c r="EMV246" s="16"/>
      <c r="EMW246" s="15"/>
      <c r="EMX246" s="15"/>
      <c r="EMY246" s="15"/>
      <c r="EMZ246" s="16"/>
      <c r="ENA246" s="16"/>
      <c r="ENB246" s="16"/>
      <c r="ENC246" s="16"/>
      <c r="END246" s="16"/>
      <c r="ENE246" s="15"/>
      <c r="ENF246" s="15"/>
      <c r="ENG246" s="10"/>
      <c r="ENH246" s="10"/>
      <c r="ENI246" s="19"/>
      <c r="ENJ246" s="19"/>
      <c r="ENM246" s="16"/>
      <c r="ENN246" s="15"/>
      <c r="ENO246" s="15"/>
      <c r="ENP246" s="15"/>
      <c r="ENQ246" s="16"/>
      <c r="ENR246" s="16"/>
      <c r="ENS246" s="16"/>
      <c r="ENT246" s="16"/>
      <c r="ENU246" s="16"/>
      <c r="ENV246" s="15"/>
      <c r="ENW246" s="15"/>
      <c r="ENX246" s="10"/>
      <c r="ENY246" s="10"/>
      <c r="ENZ246" s="19"/>
      <c r="EOA246" s="19"/>
      <c r="EOD246" s="16"/>
      <c r="EOE246" s="15"/>
      <c r="EOF246" s="15"/>
      <c r="EOG246" s="15"/>
      <c r="EOH246" s="16"/>
      <c r="EOI246" s="16"/>
      <c r="EOJ246" s="16"/>
      <c r="EOK246" s="16"/>
      <c r="EOL246" s="16"/>
      <c r="EOM246" s="15"/>
      <c r="EON246" s="15"/>
      <c r="EOO246" s="10"/>
      <c r="EOP246" s="10"/>
      <c r="EOQ246" s="19"/>
      <c r="EOR246" s="19"/>
      <c r="EOU246" s="16"/>
      <c r="EOV246" s="15"/>
      <c r="EOW246" s="15"/>
      <c r="EOX246" s="15"/>
      <c r="EOY246" s="16"/>
      <c r="EOZ246" s="16"/>
      <c r="EPA246" s="16"/>
      <c r="EPB246" s="16"/>
      <c r="EPC246" s="16"/>
      <c r="EPD246" s="15"/>
      <c r="EPE246" s="15"/>
      <c r="EPF246" s="10"/>
      <c r="EPG246" s="10"/>
      <c r="EPH246" s="19"/>
      <c r="EPI246" s="19"/>
      <c r="EPL246" s="16"/>
      <c r="EPM246" s="15"/>
      <c r="EPN246" s="15"/>
      <c r="EPO246" s="15"/>
      <c r="EPP246" s="16"/>
      <c r="EPQ246" s="16"/>
      <c r="EPR246" s="16"/>
      <c r="EPS246" s="16"/>
      <c r="EPT246" s="16"/>
      <c r="EPU246" s="15"/>
      <c r="EPV246" s="15"/>
      <c r="EPW246" s="10"/>
      <c r="EPX246" s="10"/>
      <c r="EPY246" s="19"/>
      <c r="EPZ246" s="19"/>
      <c r="EQC246" s="16"/>
      <c r="EQD246" s="15"/>
      <c r="EQE246" s="15"/>
      <c r="EQF246" s="15"/>
      <c r="EQG246" s="16"/>
      <c r="EQH246" s="16"/>
      <c r="EQI246" s="16"/>
      <c r="EQJ246" s="16"/>
      <c r="EQK246" s="16"/>
      <c r="EQL246" s="15"/>
      <c r="EQM246" s="15"/>
      <c r="EQN246" s="10"/>
      <c r="EQO246" s="10"/>
      <c r="EQP246" s="19"/>
      <c r="EQQ246" s="19"/>
      <c r="EQT246" s="16"/>
      <c r="EQU246" s="15"/>
      <c r="EQV246" s="15"/>
      <c r="EQW246" s="15"/>
      <c r="EQX246" s="16"/>
      <c r="EQY246" s="16"/>
      <c r="EQZ246" s="16"/>
      <c r="ERA246" s="16"/>
      <c r="ERB246" s="16"/>
      <c r="ERC246" s="15"/>
      <c r="ERD246" s="15"/>
      <c r="ERE246" s="10"/>
      <c r="ERF246" s="10"/>
      <c r="ERG246" s="19"/>
      <c r="ERH246" s="19"/>
      <c r="ERK246" s="16"/>
      <c r="ERL246" s="15"/>
      <c r="ERM246" s="15"/>
      <c r="ERN246" s="15"/>
      <c r="ERO246" s="16"/>
      <c r="ERP246" s="16"/>
      <c r="ERQ246" s="16"/>
      <c r="ERR246" s="16"/>
      <c r="ERS246" s="16"/>
      <c r="ERT246" s="15"/>
      <c r="ERU246" s="15"/>
      <c r="ERV246" s="10"/>
      <c r="ERW246" s="10"/>
      <c r="ERX246" s="19"/>
      <c r="ERY246" s="19"/>
      <c r="ESB246" s="16"/>
      <c r="ESC246" s="15"/>
      <c r="ESD246" s="15"/>
      <c r="ESE246" s="15"/>
      <c r="ESF246" s="16"/>
      <c r="ESG246" s="16"/>
      <c r="ESH246" s="16"/>
      <c r="ESI246" s="16"/>
      <c r="ESJ246" s="16"/>
      <c r="ESK246" s="15"/>
      <c r="ESL246" s="15"/>
      <c r="ESM246" s="10"/>
      <c r="ESN246" s="10"/>
      <c r="ESO246" s="19"/>
      <c r="ESP246" s="19"/>
      <c r="ESS246" s="16"/>
      <c r="EST246" s="15"/>
      <c r="ESU246" s="15"/>
      <c r="ESV246" s="15"/>
      <c r="ESW246" s="16"/>
      <c r="ESX246" s="16"/>
      <c r="ESY246" s="16"/>
      <c r="ESZ246" s="16"/>
      <c r="ETA246" s="16"/>
      <c r="ETB246" s="15"/>
      <c r="ETC246" s="15"/>
      <c r="ETD246" s="10"/>
      <c r="ETE246" s="10"/>
      <c r="ETF246" s="19"/>
      <c r="ETG246" s="19"/>
      <c r="ETJ246" s="16"/>
      <c r="ETK246" s="15"/>
      <c r="ETL246" s="15"/>
      <c r="ETM246" s="15"/>
      <c r="ETN246" s="16"/>
      <c r="ETO246" s="16"/>
      <c r="ETP246" s="16"/>
      <c r="ETQ246" s="16"/>
      <c r="ETR246" s="16"/>
      <c r="ETS246" s="15"/>
      <c r="ETT246" s="15"/>
      <c r="ETU246" s="10"/>
      <c r="ETV246" s="10"/>
      <c r="ETW246" s="19"/>
      <c r="ETX246" s="19"/>
      <c r="EUA246" s="16"/>
      <c r="EUB246" s="15"/>
      <c r="EUC246" s="15"/>
      <c r="EUD246" s="15"/>
      <c r="EUE246" s="16"/>
      <c r="EUF246" s="16"/>
      <c r="EUG246" s="16"/>
      <c r="EUH246" s="16"/>
      <c r="EUI246" s="16"/>
      <c r="EUJ246" s="15"/>
      <c r="EUK246" s="15"/>
      <c r="EUL246" s="10"/>
      <c r="EUM246" s="10"/>
      <c r="EUN246" s="19"/>
      <c r="EUO246" s="19"/>
      <c r="EUR246" s="16"/>
      <c r="EUS246" s="15"/>
      <c r="EUT246" s="15"/>
      <c r="EUU246" s="15"/>
      <c r="EUV246" s="16"/>
      <c r="EUW246" s="16"/>
      <c r="EUX246" s="16"/>
      <c r="EUY246" s="16"/>
      <c r="EUZ246" s="16"/>
      <c r="EVA246" s="15"/>
      <c r="EVB246" s="15"/>
      <c r="EVC246" s="10"/>
      <c r="EVD246" s="10"/>
      <c r="EVE246" s="19"/>
      <c r="EVF246" s="19"/>
      <c r="EVI246" s="16"/>
      <c r="EVJ246" s="15"/>
      <c r="EVK246" s="15"/>
      <c r="EVL246" s="15"/>
      <c r="EVM246" s="16"/>
      <c r="EVN246" s="16"/>
      <c r="EVO246" s="16"/>
      <c r="EVP246" s="16"/>
      <c r="EVQ246" s="16"/>
      <c r="EVR246" s="15"/>
      <c r="EVS246" s="15"/>
      <c r="EVT246" s="10"/>
      <c r="EVU246" s="10"/>
      <c r="EVV246" s="19"/>
      <c r="EVW246" s="19"/>
      <c r="EVZ246" s="16"/>
      <c r="EWA246" s="15"/>
      <c r="EWB246" s="15"/>
      <c r="EWC246" s="15"/>
      <c r="EWD246" s="16"/>
      <c r="EWE246" s="16"/>
      <c r="EWF246" s="16"/>
      <c r="EWG246" s="16"/>
      <c r="EWH246" s="16"/>
      <c r="EWI246" s="15"/>
      <c r="EWJ246" s="15"/>
      <c r="EWK246" s="10"/>
      <c r="EWL246" s="10"/>
      <c r="EWM246" s="19"/>
      <c r="EWN246" s="19"/>
      <c r="EWQ246" s="16"/>
      <c r="EWR246" s="15"/>
      <c r="EWS246" s="15"/>
      <c r="EWT246" s="15"/>
      <c r="EWU246" s="16"/>
      <c r="EWV246" s="16"/>
      <c r="EWW246" s="16"/>
      <c r="EWX246" s="16"/>
      <c r="EWY246" s="16"/>
      <c r="EWZ246" s="15"/>
      <c r="EXA246" s="15"/>
      <c r="EXB246" s="10"/>
      <c r="EXC246" s="10"/>
      <c r="EXD246" s="19"/>
      <c r="EXE246" s="19"/>
      <c r="EXH246" s="16"/>
      <c r="EXI246" s="15"/>
      <c r="EXJ246" s="15"/>
      <c r="EXK246" s="15"/>
      <c r="EXL246" s="16"/>
      <c r="EXM246" s="16"/>
      <c r="EXN246" s="16"/>
      <c r="EXO246" s="16"/>
      <c r="EXP246" s="16"/>
      <c r="EXQ246" s="15"/>
      <c r="EXR246" s="15"/>
      <c r="EXS246" s="10"/>
      <c r="EXT246" s="10"/>
      <c r="EXU246" s="19"/>
      <c r="EXV246" s="19"/>
      <c r="EXY246" s="16"/>
      <c r="EXZ246" s="15"/>
      <c r="EYA246" s="15"/>
      <c r="EYB246" s="15"/>
      <c r="EYC246" s="16"/>
      <c r="EYD246" s="16"/>
      <c r="EYE246" s="16"/>
      <c r="EYF246" s="16"/>
      <c r="EYG246" s="16"/>
      <c r="EYH246" s="15"/>
      <c r="EYI246" s="15"/>
      <c r="EYJ246" s="10"/>
      <c r="EYK246" s="10"/>
      <c r="EYL246" s="19"/>
      <c r="EYM246" s="19"/>
      <c r="EYP246" s="16"/>
      <c r="EYQ246" s="15"/>
      <c r="EYR246" s="15"/>
      <c r="EYS246" s="15"/>
      <c r="EYT246" s="16"/>
      <c r="EYU246" s="16"/>
      <c r="EYV246" s="16"/>
      <c r="EYW246" s="16"/>
      <c r="EYX246" s="16"/>
      <c r="EYY246" s="15"/>
      <c r="EYZ246" s="15"/>
      <c r="EZA246" s="10"/>
      <c r="EZB246" s="10"/>
      <c r="EZC246" s="19"/>
      <c r="EZD246" s="19"/>
      <c r="EZG246" s="16"/>
      <c r="EZH246" s="15"/>
      <c r="EZI246" s="15"/>
      <c r="EZJ246" s="15"/>
      <c r="EZK246" s="16"/>
      <c r="EZL246" s="16"/>
      <c r="EZM246" s="16"/>
      <c r="EZN246" s="16"/>
      <c r="EZO246" s="16"/>
      <c r="EZP246" s="15"/>
      <c r="EZQ246" s="15"/>
      <c r="EZR246" s="10"/>
      <c r="EZS246" s="10"/>
      <c r="EZT246" s="19"/>
      <c r="EZU246" s="19"/>
      <c r="EZX246" s="16"/>
      <c r="EZY246" s="15"/>
      <c r="EZZ246" s="15"/>
      <c r="FAA246" s="15"/>
      <c r="FAB246" s="16"/>
      <c r="FAC246" s="16"/>
      <c r="FAD246" s="16"/>
      <c r="FAE246" s="16"/>
      <c r="FAF246" s="16"/>
      <c r="FAG246" s="15"/>
      <c r="FAH246" s="15"/>
      <c r="FAI246" s="10"/>
      <c r="FAJ246" s="10"/>
      <c r="FAK246" s="19"/>
      <c r="FAL246" s="19"/>
      <c r="FAO246" s="16"/>
      <c r="FAP246" s="15"/>
      <c r="FAQ246" s="15"/>
      <c r="FAR246" s="15"/>
      <c r="FAS246" s="16"/>
      <c r="FAT246" s="16"/>
      <c r="FAU246" s="16"/>
      <c r="FAV246" s="16"/>
      <c r="FAW246" s="16"/>
      <c r="FAX246" s="15"/>
      <c r="FAY246" s="15"/>
      <c r="FAZ246" s="10"/>
      <c r="FBA246" s="10"/>
      <c r="FBB246" s="19"/>
      <c r="FBC246" s="19"/>
      <c r="FBF246" s="16"/>
      <c r="FBG246" s="15"/>
      <c r="FBH246" s="15"/>
      <c r="FBI246" s="15"/>
      <c r="FBJ246" s="16"/>
      <c r="FBK246" s="16"/>
      <c r="FBL246" s="16"/>
      <c r="FBM246" s="16"/>
      <c r="FBN246" s="16"/>
      <c r="FBO246" s="15"/>
      <c r="FBP246" s="15"/>
      <c r="FBQ246" s="10"/>
      <c r="FBR246" s="10"/>
      <c r="FBS246" s="19"/>
      <c r="FBT246" s="19"/>
      <c r="FBW246" s="16"/>
      <c r="FBX246" s="15"/>
      <c r="FBY246" s="15"/>
      <c r="FBZ246" s="15"/>
      <c r="FCA246" s="16"/>
      <c r="FCB246" s="16"/>
      <c r="FCC246" s="16"/>
      <c r="FCD246" s="16"/>
      <c r="FCE246" s="16"/>
      <c r="FCF246" s="15"/>
      <c r="FCG246" s="15"/>
      <c r="FCH246" s="10"/>
      <c r="FCI246" s="10"/>
      <c r="FCJ246" s="19"/>
      <c r="FCK246" s="19"/>
      <c r="FCN246" s="16"/>
      <c r="FCO246" s="15"/>
      <c r="FCP246" s="15"/>
      <c r="FCQ246" s="15"/>
      <c r="FCR246" s="16"/>
      <c r="FCS246" s="16"/>
      <c r="FCT246" s="16"/>
      <c r="FCU246" s="16"/>
      <c r="FCV246" s="16"/>
      <c r="FCW246" s="15"/>
      <c r="FCX246" s="15"/>
      <c r="FCY246" s="10"/>
      <c r="FCZ246" s="10"/>
      <c r="FDA246" s="19"/>
      <c r="FDB246" s="19"/>
      <c r="FDE246" s="16"/>
      <c r="FDF246" s="15"/>
      <c r="FDG246" s="15"/>
      <c r="FDH246" s="15"/>
      <c r="FDI246" s="16"/>
      <c r="FDJ246" s="16"/>
      <c r="FDK246" s="16"/>
      <c r="FDL246" s="16"/>
      <c r="FDM246" s="16"/>
      <c r="FDN246" s="15"/>
      <c r="FDO246" s="15"/>
      <c r="FDP246" s="10"/>
      <c r="FDQ246" s="10"/>
      <c r="FDR246" s="19"/>
      <c r="FDS246" s="19"/>
      <c r="FDV246" s="16"/>
      <c r="FDW246" s="15"/>
      <c r="FDX246" s="15"/>
      <c r="FDY246" s="15"/>
      <c r="FDZ246" s="16"/>
      <c r="FEA246" s="16"/>
      <c r="FEB246" s="16"/>
      <c r="FEC246" s="16"/>
      <c r="FED246" s="16"/>
      <c r="FEE246" s="15"/>
      <c r="FEF246" s="15"/>
      <c r="FEG246" s="10"/>
      <c r="FEH246" s="10"/>
      <c r="FEI246" s="19"/>
      <c r="FEJ246" s="19"/>
      <c r="FEM246" s="16"/>
      <c r="FEN246" s="15"/>
      <c r="FEO246" s="15"/>
      <c r="FEP246" s="15"/>
      <c r="FEQ246" s="16"/>
      <c r="FER246" s="16"/>
      <c r="FES246" s="16"/>
      <c r="FET246" s="16"/>
      <c r="FEU246" s="16"/>
      <c r="FEV246" s="15"/>
      <c r="FEW246" s="15"/>
      <c r="FEX246" s="10"/>
      <c r="FEY246" s="10"/>
      <c r="FEZ246" s="19"/>
      <c r="FFA246" s="19"/>
      <c r="FFD246" s="16"/>
      <c r="FFE246" s="15"/>
      <c r="FFF246" s="15"/>
      <c r="FFG246" s="15"/>
      <c r="FFH246" s="16"/>
      <c r="FFI246" s="16"/>
      <c r="FFJ246" s="16"/>
      <c r="FFK246" s="16"/>
      <c r="FFL246" s="16"/>
      <c r="FFM246" s="15"/>
      <c r="FFN246" s="15"/>
      <c r="FFO246" s="10"/>
      <c r="FFP246" s="10"/>
      <c r="FFQ246" s="19"/>
      <c r="FFR246" s="19"/>
      <c r="FFU246" s="16"/>
      <c r="FFV246" s="15"/>
      <c r="FFW246" s="15"/>
      <c r="FFX246" s="15"/>
      <c r="FFY246" s="16"/>
      <c r="FFZ246" s="16"/>
      <c r="FGA246" s="16"/>
      <c r="FGB246" s="16"/>
      <c r="FGC246" s="16"/>
      <c r="FGD246" s="15"/>
      <c r="FGE246" s="15"/>
      <c r="FGF246" s="10"/>
      <c r="FGG246" s="10"/>
      <c r="FGH246" s="19"/>
      <c r="FGI246" s="19"/>
      <c r="FGL246" s="16"/>
      <c r="FGM246" s="15"/>
      <c r="FGN246" s="15"/>
      <c r="FGO246" s="15"/>
      <c r="FGP246" s="16"/>
      <c r="FGQ246" s="16"/>
      <c r="FGR246" s="16"/>
      <c r="FGS246" s="16"/>
      <c r="FGT246" s="16"/>
      <c r="FGU246" s="15"/>
      <c r="FGV246" s="15"/>
      <c r="FGW246" s="10"/>
      <c r="FGX246" s="10"/>
      <c r="FGY246" s="19"/>
      <c r="FGZ246" s="19"/>
      <c r="FHC246" s="16"/>
      <c r="FHD246" s="15"/>
      <c r="FHE246" s="15"/>
      <c r="FHF246" s="15"/>
      <c r="FHG246" s="16"/>
      <c r="FHH246" s="16"/>
      <c r="FHI246" s="16"/>
      <c r="FHJ246" s="16"/>
      <c r="FHK246" s="16"/>
      <c r="FHL246" s="15"/>
      <c r="FHM246" s="15"/>
      <c r="FHN246" s="10"/>
      <c r="FHO246" s="10"/>
      <c r="FHP246" s="19"/>
      <c r="FHQ246" s="19"/>
      <c r="FHT246" s="16"/>
      <c r="FHU246" s="15"/>
      <c r="FHV246" s="15"/>
      <c r="FHW246" s="15"/>
      <c r="FHX246" s="16"/>
      <c r="FHY246" s="16"/>
      <c r="FHZ246" s="16"/>
      <c r="FIA246" s="16"/>
      <c r="FIB246" s="16"/>
      <c r="FIC246" s="15"/>
      <c r="FID246" s="15"/>
      <c r="FIE246" s="10"/>
      <c r="FIF246" s="10"/>
      <c r="FIG246" s="19"/>
      <c r="FIH246" s="19"/>
      <c r="FIK246" s="16"/>
      <c r="FIL246" s="15"/>
      <c r="FIM246" s="15"/>
      <c r="FIN246" s="15"/>
      <c r="FIO246" s="16"/>
      <c r="FIP246" s="16"/>
      <c r="FIQ246" s="16"/>
      <c r="FIR246" s="16"/>
      <c r="FIS246" s="16"/>
      <c r="FIT246" s="15"/>
      <c r="FIU246" s="15"/>
      <c r="FIV246" s="10"/>
      <c r="FIW246" s="10"/>
      <c r="FIX246" s="19"/>
      <c r="FIY246" s="19"/>
      <c r="FJB246" s="16"/>
      <c r="FJC246" s="15"/>
      <c r="FJD246" s="15"/>
      <c r="FJE246" s="15"/>
      <c r="FJF246" s="16"/>
      <c r="FJG246" s="16"/>
      <c r="FJH246" s="16"/>
      <c r="FJI246" s="16"/>
      <c r="FJJ246" s="16"/>
      <c r="FJK246" s="15"/>
      <c r="FJL246" s="15"/>
      <c r="FJM246" s="10"/>
      <c r="FJN246" s="10"/>
      <c r="FJO246" s="19"/>
      <c r="FJP246" s="19"/>
      <c r="FJS246" s="16"/>
      <c r="FJT246" s="15"/>
      <c r="FJU246" s="15"/>
      <c r="FJV246" s="15"/>
      <c r="FJW246" s="16"/>
      <c r="FJX246" s="16"/>
      <c r="FJY246" s="16"/>
      <c r="FJZ246" s="16"/>
      <c r="FKA246" s="16"/>
      <c r="FKB246" s="15"/>
      <c r="FKC246" s="15"/>
      <c r="FKD246" s="10"/>
      <c r="FKE246" s="10"/>
      <c r="FKF246" s="19"/>
      <c r="FKG246" s="19"/>
      <c r="FKJ246" s="16"/>
      <c r="FKK246" s="15"/>
      <c r="FKL246" s="15"/>
      <c r="FKM246" s="15"/>
      <c r="FKN246" s="16"/>
      <c r="FKO246" s="16"/>
      <c r="FKP246" s="16"/>
      <c r="FKQ246" s="16"/>
      <c r="FKR246" s="16"/>
      <c r="FKS246" s="15"/>
      <c r="FKT246" s="15"/>
      <c r="FKU246" s="10"/>
      <c r="FKV246" s="10"/>
      <c r="FKW246" s="19"/>
      <c r="FKX246" s="19"/>
      <c r="FLA246" s="16"/>
      <c r="FLB246" s="15"/>
      <c r="FLC246" s="15"/>
      <c r="FLD246" s="15"/>
      <c r="FLE246" s="16"/>
      <c r="FLF246" s="16"/>
      <c r="FLG246" s="16"/>
      <c r="FLH246" s="16"/>
      <c r="FLI246" s="16"/>
      <c r="FLJ246" s="15"/>
      <c r="FLK246" s="15"/>
      <c r="FLL246" s="10"/>
      <c r="FLM246" s="10"/>
      <c r="FLN246" s="19"/>
      <c r="FLO246" s="19"/>
      <c r="FLR246" s="16"/>
      <c r="FLS246" s="15"/>
      <c r="FLT246" s="15"/>
      <c r="FLU246" s="15"/>
      <c r="FLV246" s="16"/>
      <c r="FLW246" s="16"/>
      <c r="FLX246" s="16"/>
      <c r="FLY246" s="16"/>
      <c r="FLZ246" s="16"/>
      <c r="FMA246" s="15"/>
      <c r="FMB246" s="15"/>
      <c r="FMC246" s="10"/>
      <c r="FMD246" s="10"/>
      <c r="FME246" s="19"/>
      <c r="FMF246" s="19"/>
      <c r="FMI246" s="16"/>
      <c r="FMJ246" s="15"/>
      <c r="FMK246" s="15"/>
      <c r="FML246" s="15"/>
      <c r="FMM246" s="16"/>
      <c r="FMN246" s="16"/>
      <c r="FMO246" s="16"/>
      <c r="FMP246" s="16"/>
      <c r="FMQ246" s="16"/>
      <c r="FMR246" s="15"/>
      <c r="FMS246" s="15"/>
      <c r="FMT246" s="10"/>
      <c r="FMU246" s="10"/>
      <c r="FMV246" s="19"/>
      <c r="FMW246" s="19"/>
      <c r="FMZ246" s="16"/>
      <c r="FNA246" s="15"/>
      <c r="FNB246" s="15"/>
      <c r="FNC246" s="15"/>
      <c r="FND246" s="16"/>
      <c r="FNE246" s="16"/>
      <c r="FNF246" s="16"/>
      <c r="FNG246" s="16"/>
      <c r="FNH246" s="16"/>
      <c r="FNI246" s="15"/>
      <c r="FNJ246" s="15"/>
      <c r="FNK246" s="10"/>
      <c r="FNL246" s="10"/>
      <c r="FNM246" s="19"/>
      <c r="FNN246" s="19"/>
      <c r="FNQ246" s="16"/>
      <c r="FNR246" s="15"/>
      <c r="FNS246" s="15"/>
      <c r="FNT246" s="15"/>
      <c r="FNU246" s="16"/>
      <c r="FNV246" s="16"/>
      <c r="FNW246" s="16"/>
      <c r="FNX246" s="16"/>
      <c r="FNY246" s="16"/>
      <c r="FNZ246" s="15"/>
      <c r="FOA246" s="15"/>
      <c r="FOB246" s="10"/>
      <c r="FOC246" s="10"/>
      <c r="FOD246" s="19"/>
      <c r="FOE246" s="19"/>
      <c r="FOH246" s="16"/>
      <c r="FOI246" s="15"/>
      <c r="FOJ246" s="15"/>
      <c r="FOK246" s="15"/>
      <c r="FOL246" s="16"/>
      <c r="FOM246" s="16"/>
      <c r="FON246" s="16"/>
      <c r="FOO246" s="16"/>
      <c r="FOP246" s="16"/>
      <c r="FOQ246" s="15"/>
      <c r="FOR246" s="15"/>
      <c r="FOS246" s="10"/>
      <c r="FOT246" s="10"/>
      <c r="FOU246" s="19"/>
      <c r="FOV246" s="19"/>
      <c r="FOY246" s="16"/>
      <c r="FOZ246" s="15"/>
      <c r="FPA246" s="15"/>
      <c r="FPB246" s="15"/>
      <c r="FPC246" s="16"/>
      <c r="FPD246" s="16"/>
      <c r="FPE246" s="16"/>
      <c r="FPF246" s="16"/>
      <c r="FPG246" s="16"/>
      <c r="FPH246" s="15"/>
      <c r="FPI246" s="15"/>
      <c r="FPJ246" s="10"/>
      <c r="FPK246" s="10"/>
      <c r="FPL246" s="19"/>
      <c r="FPM246" s="19"/>
      <c r="FPP246" s="16"/>
      <c r="FPQ246" s="15"/>
      <c r="FPR246" s="15"/>
      <c r="FPS246" s="15"/>
      <c r="FPT246" s="16"/>
      <c r="FPU246" s="16"/>
      <c r="FPV246" s="16"/>
      <c r="FPW246" s="16"/>
      <c r="FPX246" s="16"/>
      <c r="FPY246" s="15"/>
      <c r="FPZ246" s="15"/>
      <c r="FQA246" s="10"/>
      <c r="FQB246" s="10"/>
      <c r="FQC246" s="19"/>
      <c r="FQD246" s="19"/>
      <c r="FQG246" s="16"/>
      <c r="FQH246" s="15"/>
      <c r="FQI246" s="15"/>
      <c r="FQJ246" s="15"/>
      <c r="FQK246" s="16"/>
      <c r="FQL246" s="16"/>
      <c r="FQM246" s="16"/>
      <c r="FQN246" s="16"/>
      <c r="FQO246" s="16"/>
      <c r="FQP246" s="15"/>
      <c r="FQQ246" s="15"/>
      <c r="FQR246" s="10"/>
      <c r="FQS246" s="10"/>
      <c r="FQT246" s="19"/>
      <c r="FQU246" s="19"/>
      <c r="FQX246" s="16"/>
      <c r="FQY246" s="15"/>
      <c r="FQZ246" s="15"/>
      <c r="FRA246" s="15"/>
      <c r="FRB246" s="16"/>
      <c r="FRC246" s="16"/>
      <c r="FRD246" s="16"/>
      <c r="FRE246" s="16"/>
      <c r="FRF246" s="16"/>
      <c r="FRG246" s="15"/>
      <c r="FRH246" s="15"/>
      <c r="FRI246" s="10"/>
      <c r="FRJ246" s="10"/>
      <c r="FRK246" s="19"/>
      <c r="FRL246" s="19"/>
      <c r="FRO246" s="16"/>
      <c r="FRP246" s="15"/>
      <c r="FRQ246" s="15"/>
      <c r="FRR246" s="15"/>
      <c r="FRS246" s="16"/>
      <c r="FRT246" s="16"/>
      <c r="FRU246" s="16"/>
      <c r="FRV246" s="16"/>
      <c r="FRW246" s="16"/>
      <c r="FRX246" s="15"/>
      <c r="FRY246" s="15"/>
      <c r="FRZ246" s="10"/>
      <c r="FSA246" s="10"/>
      <c r="FSB246" s="19"/>
      <c r="FSC246" s="19"/>
      <c r="FSF246" s="16"/>
      <c r="FSG246" s="15"/>
      <c r="FSH246" s="15"/>
      <c r="FSI246" s="15"/>
      <c r="FSJ246" s="16"/>
      <c r="FSK246" s="16"/>
      <c r="FSL246" s="16"/>
      <c r="FSM246" s="16"/>
      <c r="FSN246" s="16"/>
      <c r="FSO246" s="15"/>
      <c r="FSP246" s="15"/>
      <c r="FSQ246" s="10"/>
      <c r="FSR246" s="10"/>
      <c r="FSS246" s="19"/>
      <c r="FST246" s="19"/>
      <c r="FSW246" s="16"/>
      <c r="FSX246" s="15"/>
      <c r="FSY246" s="15"/>
      <c r="FSZ246" s="15"/>
      <c r="FTA246" s="16"/>
      <c r="FTB246" s="16"/>
      <c r="FTC246" s="16"/>
      <c r="FTD246" s="16"/>
      <c r="FTE246" s="16"/>
      <c r="FTF246" s="15"/>
      <c r="FTG246" s="15"/>
      <c r="FTH246" s="10"/>
      <c r="FTI246" s="10"/>
      <c r="FTJ246" s="19"/>
      <c r="FTK246" s="19"/>
      <c r="FTN246" s="16"/>
      <c r="FTO246" s="15"/>
      <c r="FTP246" s="15"/>
      <c r="FTQ246" s="15"/>
      <c r="FTR246" s="16"/>
      <c r="FTS246" s="16"/>
      <c r="FTT246" s="16"/>
      <c r="FTU246" s="16"/>
      <c r="FTV246" s="16"/>
      <c r="FTW246" s="15"/>
      <c r="FTX246" s="15"/>
      <c r="FTY246" s="10"/>
      <c r="FTZ246" s="10"/>
      <c r="FUA246" s="19"/>
      <c r="FUB246" s="19"/>
      <c r="FUE246" s="16"/>
      <c r="FUF246" s="15"/>
      <c r="FUG246" s="15"/>
      <c r="FUH246" s="15"/>
      <c r="FUI246" s="16"/>
      <c r="FUJ246" s="16"/>
      <c r="FUK246" s="16"/>
      <c r="FUL246" s="16"/>
      <c r="FUM246" s="16"/>
      <c r="FUN246" s="15"/>
      <c r="FUO246" s="15"/>
      <c r="FUP246" s="10"/>
      <c r="FUQ246" s="10"/>
      <c r="FUR246" s="19"/>
      <c r="FUS246" s="19"/>
      <c r="FUV246" s="16"/>
      <c r="FUW246" s="15"/>
      <c r="FUX246" s="15"/>
      <c r="FUY246" s="15"/>
      <c r="FUZ246" s="16"/>
      <c r="FVA246" s="16"/>
      <c r="FVB246" s="16"/>
      <c r="FVC246" s="16"/>
      <c r="FVD246" s="16"/>
      <c r="FVE246" s="15"/>
      <c r="FVF246" s="15"/>
      <c r="FVG246" s="10"/>
      <c r="FVH246" s="10"/>
      <c r="FVI246" s="19"/>
      <c r="FVJ246" s="19"/>
      <c r="FVM246" s="16"/>
      <c r="FVN246" s="15"/>
      <c r="FVO246" s="15"/>
      <c r="FVP246" s="15"/>
      <c r="FVQ246" s="16"/>
      <c r="FVR246" s="16"/>
      <c r="FVS246" s="16"/>
      <c r="FVT246" s="16"/>
      <c r="FVU246" s="16"/>
      <c r="FVV246" s="15"/>
      <c r="FVW246" s="15"/>
      <c r="FVX246" s="10"/>
      <c r="FVY246" s="10"/>
      <c r="FVZ246" s="19"/>
      <c r="FWA246" s="19"/>
      <c r="FWD246" s="16"/>
      <c r="FWE246" s="15"/>
      <c r="FWF246" s="15"/>
      <c r="FWG246" s="15"/>
      <c r="FWH246" s="16"/>
      <c r="FWI246" s="16"/>
      <c r="FWJ246" s="16"/>
      <c r="FWK246" s="16"/>
      <c r="FWL246" s="16"/>
      <c r="FWM246" s="15"/>
      <c r="FWN246" s="15"/>
      <c r="FWO246" s="10"/>
      <c r="FWP246" s="10"/>
      <c r="FWQ246" s="19"/>
      <c r="FWR246" s="19"/>
      <c r="FWU246" s="16"/>
      <c r="FWV246" s="15"/>
      <c r="FWW246" s="15"/>
      <c r="FWX246" s="15"/>
      <c r="FWY246" s="16"/>
      <c r="FWZ246" s="16"/>
      <c r="FXA246" s="16"/>
      <c r="FXB246" s="16"/>
      <c r="FXC246" s="16"/>
      <c r="FXD246" s="15"/>
      <c r="FXE246" s="15"/>
      <c r="FXF246" s="10"/>
      <c r="FXG246" s="10"/>
      <c r="FXH246" s="19"/>
      <c r="FXI246" s="19"/>
      <c r="FXL246" s="16"/>
      <c r="FXM246" s="15"/>
      <c r="FXN246" s="15"/>
      <c r="FXO246" s="15"/>
      <c r="FXP246" s="16"/>
      <c r="FXQ246" s="16"/>
      <c r="FXR246" s="16"/>
      <c r="FXS246" s="16"/>
      <c r="FXT246" s="16"/>
      <c r="FXU246" s="15"/>
      <c r="FXV246" s="15"/>
      <c r="FXW246" s="10"/>
      <c r="FXX246" s="10"/>
      <c r="FXY246" s="19"/>
      <c r="FXZ246" s="19"/>
      <c r="FYC246" s="16"/>
      <c r="FYD246" s="15"/>
      <c r="FYE246" s="15"/>
      <c r="FYF246" s="15"/>
      <c r="FYG246" s="16"/>
      <c r="FYH246" s="16"/>
      <c r="FYI246" s="16"/>
      <c r="FYJ246" s="16"/>
      <c r="FYK246" s="16"/>
      <c r="FYL246" s="15"/>
      <c r="FYM246" s="15"/>
      <c r="FYN246" s="10"/>
      <c r="FYO246" s="10"/>
      <c r="FYP246" s="19"/>
      <c r="FYQ246" s="19"/>
      <c r="FYT246" s="16"/>
      <c r="FYU246" s="15"/>
      <c r="FYV246" s="15"/>
      <c r="FYW246" s="15"/>
      <c r="FYX246" s="16"/>
      <c r="FYY246" s="16"/>
      <c r="FYZ246" s="16"/>
      <c r="FZA246" s="16"/>
      <c r="FZB246" s="16"/>
      <c r="FZC246" s="15"/>
      <c r="FZD246" s="15"/>
      <c r="FZE246" s="10"/>
      <c r="FZF246" s="10"/>
      <c r="FZG246" s="19"/>
      <c r="FZH246" s="19"/>
      <c r="FZK246" s="16"/>
      <c r="FZL246" s="15"/>
      <c r="FZM246" s="15"/>
      <c r="FZN246" s="15"/>
      <c r="FZO246" s="16"/>
      <c r="FZP246" s="16"/>
      <c r="FZQ246" s="16"/>
      <c r="FZR246" s="16"/>
      <c r="FZS246" s="16"/>
      <c r="FZT246" s="15"/>
      <c r="FZU246" s="15"/>
      <c r="FZV246" s="10"/>
      <c r="FZW246" s="10"/>
      <c r="FZX246" s="19"/>
      <c r="FZY246" s="19"/>
      <c r="GAB246" s="16"/>
      <c r="GAC246" s="15"/>
      <c r="GAD246" s="15"/>
      <c r="GAE246" s="15"/>
      <c r="GAF246" s="16"/>
      <c r="GAG246" s="16"/>
      <c r="GAH246" s="16"/>
      <c r="GAI246" s="16"/>
      <c r="GAJ246" s="16"/>
      <c r="GAK246" s="15"/>
      <c r="GAL246" s="15"/>
      <c r="GAM246" s="10"/>
      <c r="GAN246" s="10"/>
      <c r="GAO246" s="19"/>
      <c r="GAP246" s="19"/>
      <c r="GAS246" s="16"/>
      <c r="GAT246" s="15"/>
      <c r="GAU246" s="15"/>
      <c r="GAV246" s="15"/>
      <c r="GAW246" s="16"/>
      <c r="GAX246" s="16"/>
      <c r="GAY246" s="16"/>
      <c r="GAZ246" s="16"/>
      <c r="GBA246" s="16"/>
      <c r="GBB246" s="15"/>
      <c r="GBC246" s="15"/>
      <c r="GBD246" s="10"/>
      <c r="GBE246" s="10"/>
      <c r="GBF246" s="19"/>
      <c r="GBG246" s="19"/>
      <c r="GBJ246" s="16"/>
      <c r="GBK246" s="15"/>
      <c r="GBL246" s="15"/>
      <c r="GBM246" s="15"/>
      <c r="GBN246" s="16"/>
      <c r="GBO246" s="16"/>
      <c r="GBP246" s="16"/>
      <c r="GBQ246" s="16"/>
      <c r="GBR246" s="16"/>
      <c r="GBS246" s="15"/>
      <c r="GBT246" s="15"/>
      <c r="GBU246" s="10"/>
      <c r="GBV246" s="10"/>
      <c r="GBW246" s="19"/>
      <c r="GBX246" s="19"/>
      <c r="GCA246" s="16"/>
      <c r="GCB246" s="15"/>
      <c r="GCC246" s="15"/>
      <c r="GCD246" s="15"/>
      <c r="GCE246" s="16"/>
      <c r="GCF246" s="16"/>
      <c r="GCG246" s="16"/>
      <c r="GCH246" s="16"/>
      <c r="GCI246" s="16"/>
      <c r="GCJ246" s="15"/>
      <c r="GCK246" s="15"/>
      <c r="GCL246" s="10"/>
      <c r="GCM246" s="10"/>
      <c r="GCN246" s="19"/>
      <c r="GCO246" s="19"/>
      <c r="GCR246" s="16"/>
      <c r="GCS246" s="15"/>
      <c r="GCT246" s="15"/>
      <c r="GCU246" s="15"/>
      <c r="GCV246" s="16"/>
      <c r="GCW246" s="16"/>
      <c r="GCX246" s="16"/>
      <c r="GCY246" s="16"/>
      <c r="GCZ246" s="16"/>
      <c r="GDA246" s="15"/>
      <c r="GDB246" s="15"/>
      <c r="GDC246" s="10"/>
      <c r="GDD246" s="10"/>
      <c r="GDE246" s="19"/>
      <c r="GDF246" s="19"/>
      <c r="GDI246" s="16"/>
      <c r="GDJ246" s="15"/>
      <c r="GDK246" s="15"/>
      <c r="GDL246" s="15"/>
      <c r="GDM246" s="16"/>
      <c r="GDN246" s="16"/>
      <c r="GDO246" s="16"/>
      <c r="GDP246" s="16"/>
      <c r="GDQ246" s="16"/>
      <c r="GDR246" s="15"/>
      <c r="GDS246" s="15"/>
      <c r="GDT246" s="10"/>
      <c r="GDU246" s="10"/>
      <c r="GDV246" s="19"/>
      <c r="GDW246" s="19"/>
      <c r="GDZ246" s="16"/>
      <c r="GEA246" s="15"/>
      <c r="GEB246" s="15"/>
      <c r="GEC246" s="15"/>
      <c r="GED246" s="16"/>
      <c r="GEE246" s="16"/>
      <c r="GEF246" s="16"/>
      <c r="GEG246" s="16"/>
      <c r="GEH246" s="16"/>
      <c r="GEI246" s="15"/>
      <c r="GEJ246" s="15"/>
      <c r="GEK246" s="10"/>
      <c r="GEL246" s="10"/>
      <c r="GEM246" s="19"/>
      <c r="GEN246" s="19"/>
      <c r="GEQ246" s="16"/>
      <c r="GER246" s="15"/>
      <c r="GES246" s="15"/>
      <c r="GET246" s="15"/>
      <c r="GEU246" s="16"/>
      <c r="GEV246" s="16"/>
      <c r="GEW246" s="16"/>
      <c r="GEX246" s="16"/>
      <c r="GEY246" s="16"/>
      <c r="GEZ246" s="15"/>
      <c r="GFA246" s="15"/>
      <c r="GFB246" s="10"/>
      <c r="GFC246" s="10"/>
      <c r="GFD246" s="19"/>
      <c r="GFE246" s="19"/>
      <c r="GFH246" s="16"/>
      <c r="GFI246" s="15"/>
      <c r="GFJ246" s="15"/>
      <c r="GFK246" s="15"/>
      <c r="GFL246" s="16"/>
      <c r="GFM246" s="16"/>
      <c r="GFN246" s="16"/>
      <c r="GFO246" s="16"/>
      <c r="GFP246" s="16"/>
      <c r="GFQ246" s="15"/>
      <c r="GFR246" s="15"/>
      <c r="GFS246" s="10"/>
      <c r="GFT246" s="10"/>
      <c r="GFU246" s="19"/>
      <c r="GFV246" s="19"/>
      <c r="GFY246" s="16"/>
      <c r="GFZ246" s="15"/>
      <c r="GGA246" s="15"/>
      <c r="GGB246" s="15"/>
      <c r="GGC246" s="16"/>
      <c r="GGD246" s="16"/>
      <c r="GGE246" s="16"/>
      <c r="GGF246" s="16"/>
      <c r="GGG246" s="16"/>
      <c r="GGH246" s="15"/>
      <c r="GGI246" s="15"/>
      <c r="GGJ246" s="10"/>
      <c r="GGK246" s="10"/>
      <c r="GGL246" s="19"/>
      <c r="GGM246" s="19"/>
      <c r="GGP246" s="16"/>
      <c r="GGQ246" s="15"/>
      <c r="GGR246" s="15"/>
      <c r="GGS246" s="15"/>
      <c r="GGT246" s="16"/>
      <c r="GGU246" s="16"/>
      <c r="GGV246" s="16"/>
      <c r="GGW246" s="16"/>
      <c r="GGX246" s="16"/>
      <c r="GGY246" s="15"/>
      <c r="GGZ246" s="15"/>
      <c r="GHA246" s="10"/>
      <c r="GHB246" s="10"/>
      <c r="GHC246" s="19"/>
      <c r="GHD246" s="19"/>
      <c r="GHG246" s="16"/>
      <c r="GHH246" s="15"/>
      <c r="GHI246" s="15"/>
      <c r="GHJ246" s="15"/>
      <c r="GHK246" s="16"/>
      <c r="GHL246" s="16"/>
      <c r="GHM246" s="16"/>
      <c r="GHN246" s="16"/>
      <c r="GHO246" s="16"/>
      <c r="GHP246" s="15"/>
      <c r="GHQ246" s="15"/>
      <c r="GHR246" s="10"/>
      <c r="GHS246" s="10"/>
      <c r="GHT246" s="19"/>
      <c r="GHU246" s="19"/>
      <c r="GHX246" s="16"/>
      <c r="GHY246" s="15"/>
      <c r="GHZ246" s="15"/>
      <c r="GIA246" s="15"/>
      <c r="GIB246" s="16"/>
      <c r="GIC246" s="16"/>
      <c r="GID246" s="16"/>
      <c r="GIE246" s="16"/>
      <c r="GIF246" s="16"/>
      <c r="GIG246" s="15"/>
      <c r="GIH246" s="15"/>
      <c r="GII246" s="10"/>
      <c r="GIJ246" s="10"/>
      <c r="GIK246" s="19"/>
      <c r="GIL246" s="19"/>
      <c r="GIO246" s="16"/>
      <c r="GIP246" s="15"/>
      <c r="GIQ246" s="15"/>
      <c r="GIR246" s="15"/>
      <c r="GIS246" s="16"/>
      <c r="GIT246" s="16"/>
      <c r="GIU246" s="16"/>
      <c r="GIV246" s="16"/>
      <c r="GIW246" s="16"/>
      <c r="GIX246" s="15"/>
      <c r="GIY246" s="15"/>
      <c r="GIZ246" s="10"/>
      <c r="GJA246" s="10"/>
      <c r="GJB246" s="19"/>
      <c r="GJC246" s="19"/>
      <c r="GJF246" s="16"/>
      <c r="GJG246" s="15"/>
      <c r="GJH246" s="15"/>
      <c r="GJI246" s="15"/>
      <c r="GJJ246" s="16"/>
      <c r="GJK246" s="16"/>
      <c r="GJL246" s="16"/>
      <c r="GJM246" s="16"/>
      <c r="GJN246" s="16"/>
      <c r="GJO246" s="15"/>
      <c r="GJP246" s="15"/>
      <c r="GJQ246" s="10"/>
      <c r="GJR246" s="10"/>
      <c r="GJS246" s="19"/>
      <c r="GJT246" s="19"/>
      <c r="GJW246" s="16"/>
      <c r="GJX246" s="15"/>
      <c r="GJY246" s="15"/>
      <c r="GJZ246" s="15"/>
      <c r="GKA246" s="16"/>
      <c r="GKB246" s="16"/>
      <c r="GKC246" s="16"/>
      <c r="GKD246" s="16"/>
      <c r="GKE246" s="16"/>
      <c r="GKF246" s="15"/>
      <c r="GKG246" s="15"/>
      <c r="GKH246" s="10"/>
      <c r="GKI246" s="10"/>
      <c r="GKJ246" s="19"/>
      <c r="GKK246" s="19"/>
      <c r="GKN246" s="16"/>
      <c r="GKO246" s="15"/>
      <c r="GKP246" s="15"/>
      <c r="GKQ246" s="15"/>
      <c r="GKR246" s="16"/>
      <c r="GKS246" s="16"/>
      <c r="GKT246" s="16"/>
      <c r="GKU246" s="16"/>
      <c r="GKV246" s="16"/>
      <c r="GKW246" s="15"/>
      <c r="GKX246" s="15"/>
      <c r="GKY246" s="10"/>
      <c r="GKZ246" s="10"/>
      <c r="GLA246" s="19"/>
      <c r="GLB246" s="19"/>
      <c r="GLE246" s="16"/>
      <c r="GLF246" s="15"/>
      <c r="GLG246" s="15"/>
      <c r="GLH246" s="15"/>
      <c r="GLI246" s="16"/>
      <c r="GLJ246" s="16"/>
      <c r="GLK246" s="16"/>
      <c r="GLL246" s="16"/>
      <c r="GLM246" s="16"/>
      <c r="GLN246" s="15"/>
      <c r="GLO246" s="15"/>
      <c r="GLP246" s="10"/>
      <c r="GLQ246" s="10"/>
      <c r="GLR246" s="19"/>
      <c r="GLS246" s="19"/>
      <c r="GLV246" s="16"/>
      <c r="GLW246" s="15"/>
      <c r="GLX246" s="15"/>
      <c r="GLY246" s="15"/>
      <c r="GLZ246" s="16"/>
      <c r="GMA246" s="16"/>
      <c r="GMB246" s="16"/>
      <c r="GMC246" s="16"/>
      <c r="GMD246" s="16"/>
      <c r="GME246" s="15"/>
      <c r="GMF246" s="15"/>
      <c r="GMG246" s="10"/>
      <c r="GMH246" s="10"/>
      <c r="GMI246" s="19"/>
      <c r="GMJ246" s="19"/>
      <c r="GMM246" s="16"/>
      <c r="GMN246" s="15"/>
      <c r="GMO246" s="15"/>
      <c r="GMP246" s="15"/>
      <c r="GMQ246" s="16"/>
      <c r="GMR246" s="16"/>
      <c r="GMS246" s="16"/>
      <c r="GMT246" s="16"/>
      <c r="GMU246" s="16"/>
      <c r="GMV246" s="15"/>
      <c r="GMW246" s="15"/>
      <c r="GMX246" s="10"/>
      <c r="GMY246" s="10"/>
      <c r="GMZ246" s="19"/>
      <c r="GNA246" s="19"/>
      <c r="GND246" s="16"/>
      <c r="GNE246" s="15"/>
      <c r="GNF246" s="15"/>
      <c r="GNG246" s="15"/>
      <c r="GNH246" s="16"/>
      <c r="GNI246" s="16"/>
      <c r="GNJ246" s="16"/>
      <c r="GNK246" s="16"/>
      <c r="GNL246" s="16"/>
      <c r="GNM246" s="15"/>
      <c r="GNN246" s="15"/>
      <c r="GNO246" s="10"/>
      <c r="GNP246" s="10"/>
      <c r="GNQ246" s="19"/>
      <c r="GNR246" s="19"/>
      <c r="GNU246" s="16"/>
      <c r="GNV246" s="15"/>
      <c r="GNW246" s="15"/>
      <c r="GNX246" s="15"/>
      <c r="GNY246" s="16"/>
      <c r="GNZ246" s="16"/>
      <c r="GOA246" s="16"/>
      <c r="GOB246" s="16"/>
      <c r="GOC246" s="16"/>
      <c r="GOD246" s="15"/>
      <c r="GOE246" s="15"/>
      <c r="GOF246" s="10"/>
      <c r="GOG246" s="10"/>
      <c r="GOH246" s="19"/>
      <c r="GOI246" s="19"/>
      <c r="GOL246" s="16"/>
      <c r="GOM246" s="15"/>
      <c r="GON246" s="15"/>
      <c r="GOO246" s="15"/>
      <c r="GOP246" s="16"/>
      <c r="GOQ246" s="16"/>
      <c r="GOR246" s="16"/>
      <c r="GOS246" s="16"/>
      <c r="GOT246" s="16"/>
      <c r="GOU246" s="15"/>
      <c r="GOV246" s="15"/>
      <c r="GOW246" s="10"/>
      <c r="GOX246" s="10"/>
      <c r="GOY246" s="19"/>
      <c r="GOZ246" s="19"/>
      <c r="GPC246" s="16"/>
      <c r="GPD246" s="15"/>
      <c r="GPE246" s="15"/>
      <c r="GPF246" s="15"/>
      <c r="GPG246" s="16"/>
      <c r="GPH246" s="16"/>
      <c r="GPI246" s="16"/>
      <c r="GPJ246" s="16"/>
      <c r="GPK246" s="16"/>
      <c r="GPL246" s="15"/>
      <c r="GPM246" s="15"/>
      <c r="GPN246" s="10"/>
      <c r="GPO246" s="10"/>
      <c r="GPP246" s="19"/>
      <c r="GPQ246" s="19"/>
      <c r="GPT246" s="16"/>
      <c r="GPU246" s="15"/>
      <c r="GPV246" s="15"/>
      <c r="GPW246" s="15"/>
      <c r="GPX246" s="16"/>
      <c r="GPY246" s="16"/>
      <c r="GPZ246" s="16"/>
      <c r="GQA246" s="16"/>
      <c r="GQB246" s="16"/>
      <c r="GQC246" s="15"/>
      <c r="GQD246" s="15"/>
      <c r="GQE246" s="10"/>
      <c r="GQF246" s="10"/>
      <c r="GQG246" s="19"/>
      <c r="GQH246" s="19"/>
      <c r="GQK246" s="16"/>
      <c r="GQL246" s="15"/>
      <c r="GQM246" s="15"/>
      <c r="GQN246" s="15"/>
      <c r="GQO246" s="16"/>
      <c r="GQP246" s="16"/>
      <c r="GQQ246" s="16"/>
      <c r="GQR246" s="16"/>
      <c r="GQS246" s="16"/>
      <c r="GQT246" s="15"/>
      <c r="GQU246" s="15"/>
      <c r="GQV246" s="10"/>
      <c r="GQW246" s="10"/>
      <c r="GQX246" s="19"/>
      <c r="GQY246" s="19"/>
      <c r="GRB246" s="16"/>
      <c r="GRC246" s="15"/>
      <c r="GRD246" s="15"/>
      <c r="GRE246" s="15"/>
      <c r="GRF246" s="16"/>
      <c r="GRG246" s="16"/>
      <c r="GRH246" s="16"/>
      <c r="GRI246" s="16"/>
      <c r="GRJ246" s="16"/>
      <c r="GRK246" s="15"/>
      <c r="GRL246" s="15"/>
      <c r="GRM246" s="10"/>
      <c r="GRN246" s="10"/>
      <c r="GRO246" s="19"/>
      <c r="GRP246" s="19"/>
      <c r="GRS246" s="16"/>
      <c r="GRT246" s="15"/>
      <c r="GRU246" s="15"/>
      <c r="GRV246" s="15"/>
      <c r="GRW246" s="16"/>
      <c r="GRX246" s="16"/>
      <c r="GRY246" s="16"/>
      <c r="GRZ246" s="16"/>
      <c r="GSA246" s="16"/>
      <c r="GSB246" s="15"/>
      <c r="GSC246" s="15"/>
      <c r="GSD246" s="10"/>
      <c r="GSE246" s="10"/>
      <c r="GSF246" s="19"/>
      <c r="GSG246" s="19"/>
      <c r="GSJ246" s="16"/>
      <c r="GSK246" s="15"/>
      <c r="GSL246" s="15"/>
      <c r="GSM246" s="15"/>
      <c r="GSN246" s="16"/>
      <c r="GSO246" s="16"/>
      <c r="GSP246" s="16"/>
      <c r="GSQ246" s="16"/>
      <c r="GSR246" s="16"/>
      <c r="GSS246" s="15"/>
      <c r="GST246" s="15"/>
      <c r="GSU246" s="10"/>
      <c r="GSV246" s="10"/>
      <c r="GSW246" s="19"/>
      <c r="GSX246" s="19"/>
      <c r="GTA246" s="16"/>
      <c r="GTB246" s="15"/>
      <c r="GTC246" s="15"/>
      <c r="GTD246" s="15"/>
      <c r="GTE246" s="16"/>
      <c r="GTF246" s="16"/>
      <c r="GTG246" s="16"/>
      <c r="GTH246" s="16"/>
      <c r="GTI246" s="16"/>
      <c r="GTJ246" s="15"/>
      <c r="GTK246" s="15"/>
      <c r="GTL246" s="10"/>
      <c r="GTM246" s="10"/>
      <c r="GTN246" s="19"/>
      <c r="GTO246" s="19"/>
      <c r="GTR246" s="16"/>
      <c r="GTS246" s="15"/>
      <c r="GTT246" s="15"/>
      <c r="GTU246" s="15"/>
      <c r="GTV246" s="16"/>
      <c r="GTW246" s="16"/>
      <c r="GTX246" s="16"/>
      <c r="GTY246" s="16"/>
      <c r="GTZ246" s="16"/>
      <c r="GUA246" s="15"/>
      <c r="GUB246" s="15"/>
      <c r="GUC246" s="10"/>
      <c r="GUD246" s="10"/>
      <c r="GUE246" s="19"/>
      <c r="GUF246" s="19"/>
      <c r="GUI246" s="16"/>
      <c r="GUJ246" s="15"/>
      <c r="GUK246" s="15"/>
      <c r="GUL246" s="15"/>
      <c r="GUM246" s="16"/>
      <c r="GUN246" s="16"/>
      <c r="GUO246" s="16"/>
      <c r="GUP246" s="16"/>
      <c r="GUQ246" s="16"/>
      <c r="GUR246" s="15"/>
      <c r="GUS246" s="15"/>
      <c r="GUT246" s="10"/>
      <c r="GUU246" s="10"/>
      <c r="GUV246" s="19"/>
      <c r="GUW246" s="19"/>
      <c r="GUZ246" s="16"/>
      <c r="GVA246" s="15"/>
      <c r="GVB246" s="15"/>
      <c r="GVC246" s="15"/>
      <c r="GVD246" s="16"/>
      <c r="GVE246" s="16"/>
      <c r="GVF246" s="16"/>
      <c r="GVG246" s="16"/>
      <c r="GVH246" s="16"/>
      <c r="GVI246" s="15"/>
      <c r="GVJ246" s="15"/>
      <c r="GVK246" s="10"/>
      <c r="GVL246" s="10"/>
      <c r="GVM246" s="19"/>
      <c r="GVN246" s="19"/>
      <c r="GVQ246" s="16"/>
      <c r="GVR246" s="15"/>
      <c r="GVS246" s="15"/>
      <c r="GVT246" s="15"/>
      <c r="GVU246" s="16"/>
      <c r="GVV246" s="16"/>
      <c r="GVW246" s="16"/>
      <c r="GVX246" s="16"/>
      <c r="GVY246" s="16"/>
      <c r="GVZ246" s="15"/>
      <c r="GWA246" s="15"/>
      <c r="GWB246" s="10"/>
      <c r="GWC246" s="10"/>
      <c r="GWD246" s="19"/>
      <c r="GWE246" s="19"/>
      <c r="GWH246" s="16"/>
      <c r="GWI246" s="15"/>
      <c r="GWJ246" s="15"/>
      <c r="GWK246" s="15"/>
      <c r="GWL246" s="16"/>
      <c r="GWM246" s="16"/>
      <c r="GWN246" s="16"/>
      <c r="GWO246" s="16"/>
      <c r="GWP246" s="16"/>
      <c r="GWQ246" s="15"/>
      <c r="GWR246" s="15"/>
      <c r="GWS246" s="10"/>
      <c r="GWT246" s="10"/>
      <c r="GWU246" s="19"/>
      <c r="GWV246" s="19"/>
      <c r="GWY246" s="16"/>
      <c r="GWZ246" s="15"/>
      <c r="GXA246" s="15"/>
      <c r="GXB246" s="15"/>
      <c r="GXC246" s="16"/>
      <c r="GXD246" s="16"/>
      <c r="GXE246" s="16"/>
      <c r="GXF246" s="16"/>
      <c r="GXG246" s="16"/>
      <c r="GXH246" s="15"/>
      <c r="GXI246" s="15"/>
      <c r="GXJ246" s="10"/>
      <c r="GXK246" s="10"/>
      <c r="GXL246" s="19"/>
      <c r="GXM246" s="19"/>
      <c r="GXP246" s="16"/>
      <c r="GXQ246" s="15"/>
      <c r="GXR246" s="15"/>
      <c r="GXS246" s="15"/>
      <c r="GXT246" s="16"/>
      <c r="GXU246" s="16"/>
      <c r="GXV246" s="16"/>
      <c r="GXW246" s="16"/>
      <c r="GXX246" s="16"/>
      <c r="GXY246" s="15"/>
      <c r="GXZ246" s="15"/>
      <c r="GYA246" s="10"/>
      <c r="GYB246" s="10"/>
      <c r="GYC246" s="19"/>
      <c r="GYD246" s="19"/>
      <c r="GYG246" s="16"/>
      <c r="GYH246" s="15"/>
      <c r="GYI246" s="15"/>
      <c r="GYJ246" s="15"/>
      <c r="GYK246" s="16"/>
      <c r="GYL246" s="16"/>
      <c r="GYM246" s="16"/>
      <c r="GYN246" s="16"/>
      <c r="GYO246" s="16"/>
      <c r="GYP246" s="15"/>
      <c r="GYQ246" s="15"/>
      <c r="GYR246" s="10"/>
      <c r="GYS246" s="10"/>
      <c r="GYT246" s="19"/>
      <c r="GYU246" s="19"/>
      <c r="GYX246" s="16"/>
      <c r="GYY246" s="15"/>
      <c r="GYZ246" s="15"/>
      <c r="GZA246" s="15"/>
      <c r="GZB246" s="16"/>
      <c r="GZC246" s="16"/>
      <c r="GZD246" s="16"/>
      <c r="GZE246" s="16"/>
      <c r="GZF246" s="16"/>
      <c r="GZG246" s="15"/>
      <c r="GZH246" s="15"/>
      <c r="GZI246" s="10"/>
      <c r="GZJ246" s="10"/>
      <c r="GZK246" s="19"/>
      <c r="GZL246" s="19"/>
      <c r="GZO246" s="16"/>
      <c r="GZP246" s="15"/>
      <c r="GZQ246" s="15"/>
      <c r="GZR246" s="15"/>
      <c r="GZS246" s="16"/>
      <c r="GZT246" s="16"/>
      <c r="GZU246" s="16"/>
      <c r="GZV246" s="16"/>
      <c r="GZW246" s="16"/>
      <c r="GZX246" s="15"/>
      <c r="GZY246" s="15"/>
      <c r="GZZ246" s="10"/>
      <c r="HAA246" s="10"/>
      <c r="HAB246" s="19"/>
      <c r="HAC246" s="19"/>
      <c r="HAF246" s="16"/>
      <c r="HAG246" s="15"/>
      <c r="HAH246" s="15"/>
      <c r="HAI246" s="15"/>
      <c r="HAJ246" s="16"/>
      <c r="HAK246" s="16"/>
      <c r="HAL246" s="16"/>
      <c r="HAM246" s="16"/>
      <c r="HAN246" s="16"/>
      <c r="HAO246" s="15"/>
      <c r="HAP246" s="15"/>
      <c r="HAQ246" s="10"/>
      <c r="HAR246" s="10"/>
      <c r="HAS246" s="19"/>
      <c r="HAT246" s="19"/>
      <c r="HAW246" s="16"/>
      <c r="HAX246" s="15"/>
      <c r="HAY246" s="15"/>
      <c r="HAZ246" s="15"/>
      <c r="HBA246" s="16"/>
      <c r="HBB246" s="16"/>
      <c r="HBC246" s="16"/>
      <c r="HBD246" s="16"/>
      <c r="HBE246" s="16"/>
      <c r="HBF246" s="15"/>
      <c r="HBG246" s="15"/>
      <c r="HBH246" s="10"/>
      <c r="HBI246" s="10"/>
      <c r="HBJ246" s="19"/>
      <c r="HBK246" s="19"/>
      <c r="HBN246" s="16"/>
      <c r="HBO246" s="15"/>
      <c r="HBP246" s="15"/>
      <c r="HBQ246" s="15"/>
      <c r="HBR246" s="16"/>
      <c r="HBS246" s="16"/>
      <c r="HBT246" s="16"/>
      <c r="HBU246" s="16"/>
      <c r="HBV246" s="16"/>
      <c r="HBW246" s="15"/>
      <c r="HBX246" s="15"/>
      <c r="HBY246" s="10"/>
      <c r="HBZ246" s="10"/>
      <c r="HCA246" s="19"/>
      <c r="HCB246" s="19"/>
      <c r="HCE246" s="16"/>
      <c r="HCF246" s="15"/>
      <c r="HCG246" s="15"/>
      <c r="HCH246" s="15"/>
      <c r="HCI246" s="16"/>
      <c r="HCJ246" s="16"/>
      <c r="HCK246" s="16"/>
      <c r="HCL246" s="16"/>
      <c r="HCM246" s="16"/>
      <c r="HCN246" s="15"/>
      <c r="HCO246" s="15"/>
      <c r="HCP246" s="10"/>
      <c r="HCQ246" s="10"/>
      <c r="HCR246" s="19"/>
      <c r="HCS246" s="19"/>
      <c r="HCV246" s="16"/>
      <c r="HCW246" s="15"/>
      <c r="HCX246" s="15"/>
      <c r="HCY246" s="15"/>
      <c r="HCZ246" s="16"/>
      <c r="HDA246" s="16"/>
      <c r="HDB246" s="16"/>
      <c r="HDC246" s="16"/>
      <c r="HDD246" s="16"/>
      <c r="HDE246" s="15"/>
      <c r="HDF246" s="15"/>
      <c r="HDG246" s="10"/>
      <c r="HDH246" s="10"/>
      <c r="HDI246" s="19"/>
      <c r="HDJ246" s="19"/>
      <c r="HDM246" s="16"/>
      <c r="HDN246" s="15"/>
      <c r="HDO246" s="15"/>
      <c r="HDP246" s="15"/>
      <c r="HDQ246" s="16"/>
      <c r="HDR246" s="16"/>
      <c r="HDS246" s="16"/>
      <c r="HDT246" s="16"/>
      <c r="HDU246" s="16"/>
      <c r="HDV246" s="15"/>
      <c r="HDW246" s="15"/>
      <c r="HDX246" s="10"/>
      <c r="HDY246" s="10"/>
      <c r="HDZ246" s="19"/>
      <c r="HEA246" s="19"/>
      <c r="HED246" s="16"/>
      <c r="HEE246" s="15"/>
      <c r="HEF246" s="15"/>
      <c r="HEG246" s="15"/>
      <c r="HEH246" s="16"/>
      <c r="HEI246" s="16"/>
      <c r="HEJ246" s="16"/>
      <c r="HEK246" s="16"/>
      <c r="HEL246" s="16"/>
      <c r="HEM246" s="15"/>
      <c r="HEN246" s="15"/>
      <c r="HEO246" s="10"/>
      <c r="HEP246" s="10"/>
      <c r="HEQ246" s="19"/>
      <c r="HER246" s="19"/>
      <c r="HEU246" s="16"/>
      <c r="HEV246" s="15"/>
      <c r="HEW246" s="15"/>
      <c r="HEX246" s="15"/>
      <c r="HEY246" s="16"/>
      <c r="HEZ246" s="16"/>
      <c r="HFA246" s="16"/>
      <c r="HFB246" s="16"/>
      <c r="HFC246" s="16"/>
      <c r="HFD246" s="15"/>
      <c r="HFE246" s="15"/>
      <c r="HFF246" s="10"/>
      <c r="HFG246" s="10"/>
      <c r="HFH246" s="19"/>
      <c r="HFI246" s="19"/>
      <c r="HFL246" s="16"/>
      <c r="HFM246" s="15"/>
      <c r="HFN246" s="15"/>
      <c r="HFO246" s="15"/>
      <c r="HFP246" s="16"/>
      <c r="HFQ246" s="16"/>
      <c r="HFR246" s="16"/>
      <c r="HFS246" s="16"/>
      <c r="HFT246" s="16"/>
      <c r="HFU246" s="15"/>
      <c r="HFV246" s="15"/>
      <c r="HFW246" s="10"/>
      <c r="HFX246" s="10"/>
      <c r="HFY246" s="19"/>
      <c r="HFZ246" s="19"/>
      <c r="HGC246" s="16"/>
      <c r="HGD246" s="15"/>
      <c r="HGE246" s="15"/>
      <c r="HGF246" s="15"/>
      <c r="HGG246" s="16"/>
      <c r="HGH246" s="16"/>
      <c r="HGI246" s="16"/>
      <c r="HGJ246" s="16"/>
      <c r="HGK246" s="16"/>
      <c r="HGL246" s="15"/>
      <c r="HGM246" s="15"/>
      <c r="HGN246" s="10"/>
      <c r="HGO246" s="10"/>
      <c r="HGP246" s="19"/>
      <c r="HGQ246" s="19"/>
      <c r="HGT246" s="16"/>
      <c r="HGU246" s="15"/>
      <c r="HGV246" s="15"/>
      <c r="HGW246" s="15"/>
      <c r="HGX246" s="16"/>
      <c r="HGY246" s="16"/>
      <c r="HGZ246" s="16"/>
      <c r="HHA246" s="16"/>
      <c r="HHB246" s="16"/>
      <c r="HHC246" s="15"/>
      <c r="HHD246" s="15"/>
      <c r="HHE246" s="10"/>
      <c r="HHF246" s="10"/>
      <c r="HHG246" s="19"/>
      <c r="HHH246" s="19"/>
      <c r="HHK246" s="16"/>
      <c r="HHL246" s="15"/>
      <c r="HHM246" s="15"/>
      <c r="HHN246" s="15"/>
      <c r="HHO246" s="16"/>
      <c r="HHP246" s="16"/>
      <c r="HHQ246" s="16"/>
      <c r="HHR246" s="16"/>
      <c r="HHS246" s="16"/>
      <c r="HHT246" s="15"/>
      <c r="HHU246" s="15"/>
      <c r="HHV246" s="10"/>
      <c r="HHW246" s="10"/>
      <c r="HHX246" s="19"/>
      <c r="HHY246" s="19"/>
      <c r="HIB246" s="16"/>
      <c r="HIC246" s="15"/>
      <c r="HID246" s="15"/>
      <c r="HIE246" s="15"/>
      <c r="HIF246" s="16"/>
      <c r="HIG246" s="16"/>
      <c r="HIH246" s="16"/>
      <c r="HII246" s="16"/>
      <c r="HIJ246" s="16"/>
      <c r="HIK246" s="15"/>
      <c r="HIL246" s="15"/>
      <c r="HIM246" s="10"/>
      <c r="HIN246" s="10"/>
      <c r="HIO246" s="19"/>
      <c r="HIP246" s="19"/>
      <c r="HIS246" s="16"/>
      <c r="HIT246" s="15"/>
      <c r="HIU246" s="15"/>
      <c r="HIV246" s="15"/>
      <c r="HIW246" s="16"/>
      <c r="HIX246" s="16"/>
      <c r="HIY246" s="16"/>
      <c r="HIZ246" s="16"/>
      <c r="HJA246" s="16"/>
      <c r="HJB246" s="15"/>
      <c r="HJC246" s="15"/>
      <c r="HJD246" s="10"/>
      <c r="HJE246" s="10"/>
      <c r="HJF246" s="19"/>
      <c r="HJG246" s="19"/>
      <c r="HJJ246" s="16"/>
      <c r="HJK246" s="15"/>
      <c r="HJL246" s="15"/>
      <c r="HJM246" s="15"/>
      <c r="HJN246" s="16"/>
      <c r="HJO246" s="16"/>
      <c r="HJP246" s="16"/>
      <c r="HJQ246" s="16"/>
      <c r="HJR246" s="16"/>
      <c r="HJS246" s="15"/>
      <c r="HJT246" s="15"/>
      <c r="HJU246" s="10"/>
      <c r="HJV246" s="10"/>
      <c r="HJW246" s="19"/>
      <c r="HJX246" s="19"/>
      <c r="HKA246" s="16"/>
      <c r="HKB246" s="15"/>
      <c r="HKC246" s="15"/>
      <c r="HKD246" s="15"/>
      <c r="HKE246" s="16"/>
      <c r="HKF246" s="16"/>
      <c r="HKG246" s="16"/>
      <c r="HKH246" s="16"/>
      <c r="HKI246" s="16"/>
      <c r="HKJ246" s="15"/>
      <c r="HKK246" s="15"/>
      <c r="HKL246" s="10"/>
      <c r="HKM246" s="10"/>
      <c r="HKN246" s="19"/>
      <c r="HKO246" s="19"/>
      <c r="HKR246" s="16"/>
      <c r="HKS246" s="15"/>
      <c r="HKT246" s="15"/>
      <c r="HKU246" s="15"/>
      <c r="HKV246" s="16"/>
      <c r="HKW246" s="16"/>
      <c r="HKX246" s="16"/>
      <c r="HKY246" s="16"/>
      <c r="HKZ246" s="16"/>
      <c r="HLA246" s="15"/>
      <c r="HLB246" s="15"/>
      <c r="HLC246" s="10"/>
      <c r="HLD246" s="10"/>
      <c r="HLE246" s="19"/>
      <c r="HLF246" s="19"/>
      <c r="HLI246" s="16"/>
      <c r="HLJ246" s="15"/>
      <c r="HLK246" s="15"/>
      <c r="HLL246" s="15"/>
      <c r="HLM246" s="16"/>
      <c r="HLN246" s="16"/>
      <c r="HLO246" s="16"/>
      <c r="HLP246" s="16"/>
      <c r="HLQ246" s="16"/>
      <c r="HLR246" s="15"/>
      <c r="HLS246" s="15"/>
      <c r="HLT246" s="10"/>
      <c r="HLU246" s="10"/>
      <c r="HLV246" s="19"/>
      <c r="HLW246" s="19"/>
      <c r="HLZ246" s="16"/>
      <c r="HMA246" s="15"/>
      <c r="HMB246" s="15"/>
      <c r="HMC246" s="15"/>
      <c r="HMD246" s="16"/>
      <c r="HME246" s="16"/>
      <c r="HMF246" s="16"/>
      <c r="HMG246" s="16"/>
      <c r="HMH246" s="16"/>
      <c r="HMI246" s="15"/>
      <c r="HMJ246" s="15"/>
      <c r="HMK246" s="10"/>
      <c r="HML246" s="10"/>
      <c r="HMM246" s="19"/>
      <c r="HMN246" s="19"/>
      <c r="HMQ246" s="16"/>
      <c r="HMR246" s="15"/>
      <c r="HMS246" s="15"/>
      <c r="HMT246" s="15"/>
      <c r="HMU246" s="16"/>
      <c r="HMV246" s="16"/>
      <c r="HMW246" s="16"/>
      <c r="HMX246" s="16"/>
      <c r="HMY246" s="16"/>
      <c r="HMZ246" s="15"/>
      <c r="HNA246" s="15"/>
      <c r="HNB246" s="10"/>
      <c r="HNC246" s="10"/>
      <c r="HND246" s="19"/>
      <c r="HNE246" s="19"/>
      <c r="HNH246" s="16"/>
      <c r="HNI246" s="15"/>
      <c r="HNJ246" s="15"/>
      <c r="HNK246" s="15"/>
      <c r="HNL246" s="16"/>
      <c r="HNM246" s="16"/>
      <c r="HNN246" s="16"/>
      <c r="HNO246" s="16"/>
      <c r="HNP246" s="16"/>
      <c r="HNQ246" s="15"/>
      <c r="HNR246" s="15"/>
      <c r="HNS246" s="10"/>
      <c r="HNT246" s="10"/>
      <c r="HNU246" s="19"/>
      <c r="HNV246" s="19"/>
      <c r="HNY246" s="16"/>
      <c r="HNZ246" s="15"/>
      <c r="HOA246" s="15"/>
      <c r="HOB246" s="15"/>
      <c r="HOC246" s="16"/>
      <c r="HOD246" s="16"/>
      <c r="HOE246" s="16"/>
      <c r="HOF246" s="16"/>
      <c r="HOG246" s="16"/>
      <c r="HOH246" s="15"/>
      <c r="HOI246" s="15"/>
      <c r="HOJ246" s="10"/>
      <c r="HOK246" s="10"/>
      <c r="HOL246" s="19"/>
      <c r="HOM246" s="19"/>
      <c r="HOP246" s="16"/>
      <c r="HOQ246" s="15"/>
      <c r="HOR246" s="15"/>
      <c r="HOS246" s="15"/>
      <c r="HOT246" s="16"/>
      <c r="HOU246" s="16"/>
      <c r="HOV246" s="16"/>
      <c r="HOW246" s="16"/>
      <c r="HOX246" s="16"/>
      <c r="HOY246" s="15"/>
      <c r="HOZ246" s="15"/>
      <c r="HPA246" s="10"/>
      <c r="HPB246" s="10"/>
      <c r="HPC246" s="19"/>
      <c r="HPD246" s="19"/>
      <c r="HPG246" s="16"/>
      <c r="HPH246" s="15"/>
      <c r="HPI246" s="15"/>
      <c r="HPJ246" s="15"/>
      <c r="HPK246" s="16"/>
      <c r="HPL246" s="16"/>
      <c r="HPM246" s="16"/>
      <c r="HPN246" s="16"/>
      <c r="HPO246" s="16"/>
      <c r="HPP246" s="15"/>
      <c r="HPQ246" s="15"/>
      <c r="HPR246" s="10"/>
      <c r="HPS246" s="10"/>
      <c r="HPT246" s="19"/>
      <c r="HPU246" s="19"/>
      <c r="HPX246" s="16"/>
      <c r="HPY246" s="15"/>
      <c r="HPZ246" s="15"/>
      <c r="HQA246" s="15"/>
      <c r="HQB246" s="16"/>
      <c r="HQC246" s="16"/>
      <c r="HQD246" s="16"/>
      <c r="HQE246" s="16"/>
      <c r="HQF246" s="16"/>
      <c r="HQG246" s="15"/>
      <c r="HQH246" s="15"/>
      <c r="HQI246" s="10"/>
      <c r="HQJ246" s="10"/>
      <c r="HQK246" s="19"/>
      <c r="HQL246" s="19"/>
      <c r="HQO246" s="16"/>
      <c r="HQP246" s="15"/>
      <c r="HQQ246" s="15"/>
      <c r="HQR246" s="15"/>
      <c r="HQS246" s="16"/>
      <c r="HQT246" s="16"/>
      <c r="HQU246" s="16"/>
      <c r="HQV246" s="16"/>
      <c r="HQW246" s="16"/>
      <c r="HQX246" s="15"/>
      <c r="HQY246" s="15"/>
      <c r="HQZ246" s="10"/>
      <c r="HRA246" s="10"/>
      <c r="HRB246" s="19"/>
      <c r="HRC246" s="19"/>
      <c r="HRF246" s="16"/>
      <c r="HRG246" s="15"/>
      <c r="HRH246" s="15"/>
      <c r="HRI246" s="15"/>
      <c r="HRJ246" s="16"/>
      <c r="HRK246" s="16"/>
      <c r="HRL246" s="16"/>
      <c r="HRM246" s="16"/>
      <c r="HRN246" s="16"/>
      <c r="HRO246" s="15"/>
      <c r="HRP246" s="15"/>
      <c r="HRQ246" s="10"/>
      <c r="HRR246" s="10"/>
      <c r="HRS246" s="19"/>
      <c r="HRT246" s="19"/>
      <c r="HRW246" s="16"/>
      <c r="HRX246" s="15"/>
      <c r="HRY246" s="15"/>
      <c r="HRZ246" s="15"/>
      <c r="HSA246" s="16"/>
      <c r="HSB246" s="16"/>
      <c r="HSC246" s="16"/>
      <c r="HSD246" s="16"/>
      <c r="HSE246" s="16"/>
      <c r="HSF246" s="15"/>
      <c r="HSG246" s="15"/>
      <c r="HSH246" s="10"/>
      <c r="HSI246" s="10"/>
      <c r="HSJ246" s="19"/>
      <c r="HSK246" s="19"/>
      <c r="HSN246" s="16"/>
      <c r="HSO246" s="15"/>
      <c r="HSP246" s="15"/>
      <c r="HSQ246" s="15"/>
      <c r="HSR246" s="16"/>
      <c r="HSS246" s="16"/>
      <c r="HST246" s="16"/>
      <c r="HSU246" s="16"/>
      <c r="HSV246" s="16"/>
      <c r="HSW246" s="15"/>
      <c r="HSX246" s="15"/>
      <c r="HSY246" s="10"/>
      <c r="HSZ246" s="10"/>
      <c r="HTA246" s="19"/>
      <c r="HTB246" s="19"/>
      <c r="HTE246" s="16"/>
      <c r="HTF246" s="15"/>
      <c r="HTG246" s="15"/>
      <c r="HTH246" s="15"/>
      <c r="HTI246" s="16"/>
      <c r="HTJ246" s="16"/>
      <c r="HTK246" s="16"/>
      <c r="HTL246" s="16"/>
      <c r="HTM246" s="16"/>
      <c r="HTN246" s="15"/>
      <c r="HTO246" s="15"/>
      <c r="HTP246" s="10"/>
      <c r="HTQ246" s="10"/>
      <c r="HTR246" s="19"/>
      <c r="HTS246" s="19"/>
      <c r="HTV246" s="16"/>
      <c r="HTW246" s="15"/>
      <c r="HTX246" s="15"/>
      <c r="HTY246" s="15"/>
      <c r="HTZ246" s="16"/>
      <c r="HUA246" s="16"/>
      <c r="HUB246" s="16"/>
      <c r="HUC246" s="16"/>
      <c r="HUD246" s="16"/>
      <c r="HUE246" s="15"/>
      <c r="HUF246" s="15"/>
      <c r="HUG246" s="10"/>
      <c r="HUH246" s="10"/>
      <c r="HUI246" s="19"/>
      <c r="HUJ246" s="19"/>
      <c r="HUM246" s="16"/>
      <c r="HUN246" s="15"/>
      <c r="HUO246" s="15"/>
      <c r="HUP246" s="15"/>
      <c r="HUQ246" s="16"/>
      <c r="HUR246" s="16"/>
      <c r="HUS246" s="16"/>
      <c r="HUT246" s="16"/>
      <c r="HUU246" s="16"/>
      <c r="HUV246" s="15"/>
      <c r="HUW246" s="15"/>
      <c r="HUX246" s="10"/>
      <c r="HUY246" s="10"/>
      <c r="HUZ246" s="19"/>
      <c r="HVA246" s="19"/>
      <c r="HVD246" s="16"/>
      <c r="HVE246" s="15"/>
      <c r="HVF246" s="15"/>
      <c r="HVG246" s="15"/>
      <c r="HVH246" s="16"/>
      <c r="HVI246" s="16"/>
      <c r="HVJ246" s="16"/>
      <c r="HVK246" s="16"/>
      <c r="HVL246" s="16"/>
      <c r="HVM246" s="15"/>
      <c r="HVN246" s="15"/>
      <c r="HVO246" s="10"/>
      <c r="HVP246" s="10"/>
      <c r="HVQ246" s="19"/>
      <c r="HVR246" s="19"/>
      <c r="HVU246" s="16"/>
      <c r="HVV246" s="15"/>
      <c r="HVW246" s="15"/>
      <c r="HVX246" s="15"/>
      <c r="HVY246" s="16"/>
      <c r="HVZ246" s="16"/>
      <c r="HWA246" s="16"/>
      <c r="HWB246" s="16"/>
      <c r="HWC246" s="16"/>
      <c r="HWD246" s="15"/>
      <c r="HWE246" s="15"/>
      <c r="HWF246" s="10"/>
      <c r="HWG246" s="10"/>
      <c r="HWH246" s="19"/>
      <c r="HWI246" s="19"/>
      <c r="HWL246" s="16"/>
      <c r="HWM246" s="15"/>
      <c r="HWN246" s="15"/>
      <c r="HWO246" s="15"/>
      <c r="HWP246" s="16"/>
      <c r="HWQ246" s="16"/>
      <c r="HWR246" s="16"/>
      <c r="HWS246" s="16"/>
      <c r="HWT246" s="16"/>
      <c r="HWU246" s="15"/>
      <c r="HWV246" s="15"/>
      <c r="HWW246" s="10"/>
      <c r="HWX246" s="10"/>
      <c r="HWY246" s="19"/>
      <c r="HWZ246" s="19"/>
      <c r="HXC246" s="16"/>
      <c r="HXD246" s="15"/>
      <c r="HXE246" s="15"/>
      <c r="HXF246" s="15"/>
      <c r="HXG246" s="16"/>
      <c r="HXH246" s="16"/>
      <c r="HXI246" s="16"/>
      <c r="HXJ246" s="16"/>
      <c r="HXK246" s="16"/>
      <c r="HXL246" s="15"/>
      <c r="HXM246" s="15"/>
      <c r="HXN246" s="10"/>
      <c r="HXO246" s="10"/>
      <c r="HXP246" s="19"/>
      <c r="HXQ246" s="19"/>
      <c r="HXT246" s="16"/>
      <c r="HXU246" s="15"/>
      <c r="HXV246" s="15"/>
      <c r="HXW246" s="15"/>
      <c r="HXX246" s="16"/>
      <c r="HXY246" s="16"/>
      <c r="HXZ246" s="16"/>
      <c r="HYA246" s="16"/>
      <c r="HYB246" s="16"/>
      <c r="HYC246" s="15"/>
      <c r="HYD246" s="15"/>
      <c r="HYE246" s="10"/>
      <c r="HYF246" s="10"/>
      <c r="HYG246" s="19"/>
      <c r="HYH246" s="19"/>
      <c r="HYK246" s="16"/>
      <c r="HYL246" s="15"/>
      <c r="HYM246" s="15"/>
      <c r="HYN246" s="15"/>
      <c r="HYO246" s="16"/>
      <c r="HYP246" s="16"/>
      <c r="HYQ246" s="16"/>
      <c r="HYR246" s="16"/>
      <c r="HYS246" s="16"/>
      <c r="HYT246" s="15"/>
      <c r="HYU246" s="15"/>
      <c r="HYV246" s="10"/>
      <c r="HYW246" s="10"/>
      <c r="HYX246" s="19"/>
      <c r="HYY246" s="19"/>
      <c r="HZB246" s="16"/>
      <c r="HZC246" s="15"/>
      <c r="HZD246" s="15"/>
      <c r="HZE246" s="15"/>
      <c r="HZF246" s="16"/>
      <c r="HZG246" s="16"/>
      <c r="HZH246" s="16"/>
      <c r="HZI246" s="16"/>
      <c r="HZJ246" s="16"/>
      <c r="HZK246" s="15"/>
      <c r="HZL246" s="15"/>
      <c r="HZM246" s="10"/>
      <c r="HZN246" s="10"/>
      <c r="HZO246" s="19"/>
      <c r="HZP246" s="19"/>
      <c r="HZS246" s="16"/>
      <c r="HZT246" s="15"/>
      <c r="HZU246" s="15"/>
      <c r="HZV246" s="15"/>
      <c r="HZW246" s="16"/>
      <c r="HZX246" s="16"/>
      <c r="HZY246" s="16"/>
      <c r="HZZ246" s="16"/>
      <c r="IAA246" s="16"/>
      <c r="IAB246" s="15"/>
      <c r="IAC246" s="15"/>
      <c r="IAD246" s="10"/>
      <c r="IAE246" s="10"/>
      <c r="IAF246" s="19"/>
      <c r="IAG246" s="19"/>
      <c r="IAJ246" s="16"/>
      <c r="IAK246" s="15"/>
      <c r="IAL246" s="15"/>
      <c r="IAM246" s="15"/>
      <c r="IAN246" s="16"/>
      <c r="IAO246" s="16"/>
      <c r="IAP246" s="16"/>
      <c r="IAQ246" s="16"/>
      <c r="IAR246" s="16"/>
      <c r="IAS246" s="15"/>
      <c r="IAT246" s="15"/>
      <c r="IAU246" s="10"/>
      <c r="IAV246" s="10"/>
      <c r="IAW246" s="19"/>
      <c r="IAX246" s="19"/>
      <c r="IBA246" s="16"/>
      <c r="IBB246" s="15"/>
      <c r="IBC246" s="15"/>
      <c r="IBD246" s="15"/>
      <c r="IBE246" s="16"/>
      <c r="IBF246" s="16"/>
      <c r="IBG246" s="16"/>
      <c r="IBH246" s="16"/>
      <c r="IBI246" s="16"/>
      <c r="IBJ246" s="15"/>
      <c r="IBK246" s="15"/>
      <c r="IBL246" s="10"/>
      <c r="IBM246" s="10"/>
      <c r="IBN246" s="19"/>
      <c r="IBO246" s="19"/>
      <c r="IBR246" s="16"/>
      <c r="IBS246" s="15"/>
      <c r="IBT246" s="15"/>
      <c r="IBU246" s="15"/>
      <c r="IBV246" s="16"/>
      <c r="IBW246" s="16"/>
      <c r="IBX246" s="16"/>
      <c r="IBY246" s="16"/>
      <c r="IBZ246" s="16"/>
      <c r="ICA246" s="15"/>
      <c r="ICB246" s="15"/>
      <c r="ICC246" s="10"/>
      <c r="ICD246" s="10"/>
      <c r="ICE246" s="19"/>
      <c r="ICF246" s="19"/>
      <c r="ICI246" s="16"/>
      <c r="ICJ246" s="15"/>
      <c r="ICK246" s="15"/>
      <c r="ICL246" s="15"/>
      <c r="ICM246" s="16"/>
      <c r="ICN246" s="16"/>
      <c r="ICO246" s="16"/>
      <c r="ICP246" s="16"/>
      <c r="ICQ246" s="16"/>
      <c r="ICR246" s="15"/>
      <c r="ICS246" s="15"/>
      <c r="ICT246" s="10"/>
      <c r="ICU246" s="10"/>
      <c r="ICV246" s="19"/>
      <c r="ICW246" s="19"/>
      <c r="ICZ246" s="16"/>
      <c r="IDA246" s="15"/>
      <c r="IDB246" s="15"/>
      <c r="IDC246" s="15"/>
      <c r="IDD246" s="16"/>
      <c r="IDE246" s="16"/>
      <c r="IDF246" s="16"/>
      <c r="IDG246" s="16"/>
      <c r="IDH246" s="16"/>
      <c r="IDI246" s="15"/>
      <c r="IDJ246" s="15"/>
      <c r="IDK246" s="10"/>
      <c r="IDL246" s="10"/>
      <c r="IDM246" s="19"/>
      <c r="IDN246" s="19"/>
      <c r="IDQ246" s="16"/>
      <c r="IDR246" s="15"/>
      <c r="IDS246" s="15"/>
      <c r="IDT246" s="15"/>
      <c r="IDU246" s="16"/>
      <c r="IDV246" s="16"/>
      <c r="IDW246" s="16"/>
      <c r="IDX246" s="16"/>
      <c r="IDY246" s="16"/>
      <c r="IDZ246" s="15"/>
      <c r="IEA246" s="15"/>
      <c r="IEB246" s="10"/>
      <c r="IEC246" s="10"/>
      <c r="IED246" s="19"/>
      <c r="IEE246" s="19"/>
      <c r="IEH246" s="16"/>
      <c r="IEI246" s="15"/>
      <c r="IEJ246" s="15"/>
      <c r="IEK246" s="15"/>
      <c r="IEL246" s="16"/>
      <c r="IEM246" s="16"/>
      <c r="IEN246" s="16"/>
      <c r="IEO246" s="16"/>
      <c r="IEP246" s="16"/>
      <c r="IEQ246" s="15"/>
      <c r="IER246" s="15"/>
      <c r="IES246" s="10"/>
      <c r="IET246" s="10"/>
      <c r="IEU246" s="19"/>
      <c r="IEV246" s="19"/>
      <c r="IEY246" s="16"/>
      <c r="IEZ246" s="15"/>
      <c r="IFA246" s="15"/>
      <c r="IFB246" s="15"/>
      <c r="IFC246" s="16"/>
      <c r="IFD246" s="16"/>
      <c r="IFE246" s="16"/>
      <c r="IFF246" s="16"/>
      <c r="IFG246" s="16"/>
      <c r="IFH246" s="15"/>
      <c r="IFI246" s="15"/>
      <c r="IFJ246" s="10"/>
      <c r="IFK246" s="10"/>
      <c r="IFL246" s="19"/>
      <c r="IFM246" s="19"/>
      <c r="IFP246" s="16"/>
      <c r="IFQ246" s="15"/>
      <c r="IFR246" s="15"/>
      <c r="IFS246" s="15"/>
      <c r="IFT246" s="16"/>
      <c r="IFU246" s="16"/>
      <c r="IFV246" s="16"/>
      <c r="IFW246" s="16"/>
      <c r="IFX246" s="16"/>
      <c r="IFY246" s="15"/>
      <c r="IFZ246" s="15"/>
      <c r="IGA246" s="10"/>
      <c r="IGB246" s="10"/>
      <c r="IGC246" s="19"/>
      <c r="IGD246" s="19"/>
      <c r="IGG246" s="16"/>
      <c r="IGH246" s="15"/>
      <c r="IGI246" s="15"/>
      <c r="IGJ246" s="15"/>
      <c r="IGK246" s="16"/>
      <c r="IGL246" s="16"/>
      <c r="IGM246" s="16"/>
      <c r="IGN246" s="16"/>
      <c r="IGO246" s="16"/>
      <c r="IGP246" s="15"/>
      <c r="IGQ246" s="15"/>
      <c r="IGR246" s="10"/>
      <c r="IGS246" s="10"/>
      <c r="IGT246" s="19"/>
      <c r="IGU246" s="19"/>
      <c r="IGX246" s="16"/>
      <c r="IGY246" s="15"/>
      <c r="IGZ246" s="15"/>
      <c r="IHA246" s="15"/>
      <c r="IHB246" s="16"/>
      <c r="IHC246" s="16"/>
      <c r="IHD246" s="16"/>
      <c r="IHE246" s="16"/>
      <c r="IHF246" s="16"/>
      <c r="IHG246" s="15"/>
      <c r="IHH246" s="15"/>
      <c r="IHI246" s="10"/>
      <c r="IHJ246" s="10"/>
      <c r="IHK246" s="19"/>
      <c r="IHL246" s="19"/>
      <c r="IHO246" s="16"/>
      <c r="IHP246" s="15"/>
      <c r="IHQ246" s="15"/>
      <c r="IHR246" s="15"/>
      <c r="IHS246" s="16"/>
      <c r="IHT246" s="16"/>
      <c r="IHU246" s="16"/>
      <c r="IHV246" s="16"/>
      <c r="IHW246" s="16"/>
      <c r="IHX246" s="15"/>
      <c r="IHY246" s="15"/>
      <c r="IHZ246" s="10"/>
      <c r="IIA246" s="10"/>
      <c r="IIB246" s="19"/>
      <c r="IIC246" s="19"/>
      <c r="IIF246" s="16"/>
      <c r="IIG246" s="15"/>
      <c r="IIH246" s="15"/>
      <c r="III246" s="15"/>
      <c r="IIJ246" s="16"/>
      <c r="IIK246" s="16"/>
      <c r="IIL246" s="16"/>
      <c r="IIM246" s="16"/>
      <c r="IIN246" s="16"/>
      <c r="IIO246" s="15"/>
      <c r="IIP246" s="15"/>
      <c r="IIQ246" s="10"/>
      <c r="IIR246" s="10"/>
      <c r="IIS246" s="19"/>
      <c r="IIT246" s="19"/>
      <c r="IIW246" s="16"/>
      <c r="IIX246" s="15"/>
      <c r="IIY246" s="15"/>
      <c r="IIZ246" s="15"/>
      <c r="IJA246" s="16"/>
      <c r="IJB246" s="16"/>
      <c r="IJC246" s="16"/>
      <c r="IJD246" s="16"/>
      <c r="IJE246" s="16"/>
      <c r="IJF246" s="15"/>
      <c r="IJG246" s="15"/>
      <c r="IJH246" s="10"/>
      <c r="IJI246" s="10"/>
      <c r="IJJ246" s="19"/>
      <c r="IJK246" s="19"/>
      <c r="IJN246" s="16"/>
      <c r="IJO246" s="15"/>
      <c r="IJP246" s="15"/>
      <c r="IJQ246" s="15"/>
      <c r="IJR246" s="16"/>
      <c r="IJS246" s="16"/>
      <c r="IJT246" s="16"/>
      <c r="IJU246" s="16"/>
      <c r="IJV246" s="16"/>
      <c r="IJW246" s="15"/>
      <c r="IJX246" s="15"/>
      <c r="IJY246" s="10"/>
      <c r="IJZ246" s="10"/>
      <c r="IKA246" s="19"/>
      <c r="IKB246" s="19"/>
      <c r="IKE246" s="16"/>
      <c r="IKF246" s="15"/>
      <c r="IKG246" s="15"/>
      <c r="IKH246" s="15"/>
      <c r="IKI246" s="16"/>
      <c r="IKJ246" s="16"/>
      <c r="IKK246" s="16"/>
      <c r="IKL246" s="16"/>
      <c r="IKM246" s="16"/>
      <c r="IKN246" s="15"/>
      <c r="IKO246" s="15"/>
      <c r="IKP246" s="10"/>
      <c r="IKQ246" s="10"/>
      <c r="IKR246" s="19"/>
      <c r="IKS246" s="19"/>
      <c r="IKV246" s="16"/>
      <c r="IKW246" s="15"/>
      <c r="IKX246" s="15"/>
      <c r="IKY246" s="15"/>
      <c r="IKZ246" s="16"/>
      <c r="ILA246" s="16"/>
      <c r="ILB246" s="16"/>
      <c r="ILC246" s="16"/>
      <c r="ILD246" s="16"/>
      <c r="ILE246" s="15"/>
      <c r="ILF246" s="15"/>
      <c r="ILG246" s="10"/>
      <c r="ILH246" s="10"/>
      <c r="ILI246" s="19"/>
      <c r="ILJ246" s="19"/>
      <c r="ILM246" s="16"/>
      <c r="ILN246" s="15"/>
      <c r="ILO246" s="15"/>
      <c r="ILP246" s="15"/>
      <c r="ILQ246" s="16"/>
      <c r="ILR246" s="16"/>
      <c r="ILS246" s="16"/>
      <c r="ILT246" s="16"/>
      <c r="ILU246" s="16"/>
      <c r="ILV246" s="15"/>
      <c r="ILW246" s="15"/>
      <c r="ILX246" s="10"/>
      <c r="ILY246" s="10"/>
      <c r="ILZ246" s="19"/>
      <c r="IMA246" s="19"/>
      <c r="IMD246" s="16"/>
      <c r="IME246" s="15"/>
      <c r="IMF246" s="15"/>
      <c r="IMG246" s="15"/>
      <c r="IMH246" s="16"/>
      <c r="IMI246" s="16"/>
      <c r="IMJ246" s="16"/>
      <c r="IMK246" s="16"/>
      <c r="IML246" s="16"/>
      <c r="IMM246" s="15"/>
      <c r="IMN246" s="15"/>
      <c r="IMO246" s="10"/>
      <c r="IMP246" s="10"/>
      <c r="IMQ246" s="19"/>
      <c r="IMR246" s="19"/>
      <c r="IMU246" s="16"/>
      <c r="IMV246" s="15"/>
      <c r="IMW246" s="15"/>
      <c r="IMX246" s="15"/>
      <c r="IMY246" s="16"/>
      <c r="IMZ246" s="16"/>
      <c r="INA246" s="16"/>
      <c r="INB246" s="16"/>
      <c r="INC246" s="16"/>
      <c r="IND246" s="15"/>
      <c r="INE246" s="15"/>
      <c r="INF246" s="10"/>
      <c r="ING246" s="10"/>
      <c r="INH246" s="19"/>
      <c r="INI246" s="19"/>
      <c r="INL246" s="16"/>
      <c r="INM246" s="15"/>
      <c r="INN246" s="15"/>
      <c r="INO246" s="15"/>
      <c r="INP246" s="16"/>
      <c r="INQ246" s="16"/>
      <c r="INR246" s="16"/>
      <c r="INS246" s="16"/>
      <c r="INT246" s="16"/>
      <c r="INU246" s="15"/>
      <c r="INV246" s="15"/>
      <c r="INW246" s="10"/>
      <c r="INX246" s="10"/>
      <c r="INY246" s="19"/>
      <c r="INZ246" s="19"/>
      <c r="IOC246" s="16"/>
      <c r="IOD246" s="15"/>
      <c r="IOE246" s="15"/>
      <c r="IOF246" s="15"/>
      <c r="IOG246" s="16"/>
      <c r="IOH246" s="16"/>
      <c r="IOI246" s="16"/>
      <c r="IOJ246" s="16"/>
      <c r="IOK246" s="16"/>
      <c r="IOL246" s="15"/>
      <c r="IOM246" s="15"/>
      <c r="ION246" s="10"/>
      <c r="IOO246" s="10"/>
      <c r="IOP246" s="19"/>
      <c r="IOQ246" s="19"/>
      <c r="IOT246" s="16"/>
      <c r="IOU246" s="15"/>
      <c r="IOV246" s="15"/>
      <c r="IOW246" s="15"/>
      <c r="IOX246" s="16"/>
      <c r="IOY246" s="16"/>
      <c r="IOZ246" s="16"/>
      <c r="IPA246" s="16"/>
      <c r="IPB246" s="16"/>
      <c r="IPC246" s="15"/>
      <c r="IPD246" s="15"/>
      <c r="IPE246" s="10"/>
      <c r="IPF246" s="10"/>
      <c r="IPG246" s="19"/>
      <c r="IPH246" s="19"/>
      <c r="IPK246" s="16"/>
      <c r="IPL246" s="15"/>
      <c r="IPM246" s="15"/>
      <c r="IPN246" s="15"/>
      <c r="IPO246" s="16"/>
      <c r="IPP246" s="16"/>
      <c r="IPQ246" s="16"/>
      <c r="IPR246" s="16"/>
      <c r="IPS246" s="16"/>
      <c r="IPT246" s="15"/>
      <c r="IPU246" s="15"/>
      <c r="IPV246" s="10"/>
      <c r="IPW246" s="10"/>
      <c r="IPX246" s="19"/>
      <c r="IPY246" s="19"/>
      <c r="IQB246" s="16"/>
      <c r="IQC246" s="15"/>
      <c r="IQD246" s="15"/>
      <c r="IQE246" s="15"/>
      <c r="IQF246" s="16"/>
      <c r="IQG246" s="16"/>
      <c r="IQH246" s="16"/>
      <c r="IQI246" s="16"/>
      <c r="IQJ246" s="16"/>
      <c r="IQK246" s="15"/>
      <c r="IQL246" s="15"/>
      <c r="IQM246" s="10"/>
      <c r="IQN246" s="10"/>
      <c r="IQO246" s="19"/>
      <c r="IQP246" s="19"/>
      <c r="IQS246" s="16"/>
      <c r="IQT246" s="15"/>
      <c r="IQU246" s="15"/>
      <c r="IQV246" s="15"/>
      <c r="IQW246" s="16"/>
      <c r="IQX246" s="16"/>
      <c r="IQY246" s="16"/>
      <c r="IQZ246" s="16"/>
      <c r="IRA246" s="16"/>
      <c r="IRB246" s="15"/>
      <c r="IRC246" s="15"/>
      <c r="IRD246" s="10"/>
      <c r="IRE246" s="10"/>
      <c r="IRF246" s="19"/>
      <c r="IRG246" s="19"/>
      <c r="IRJ246" s="16"/>
      <c r="IRK246" s="15"/>
      <c r="IRL246" s="15"/>
      <c r="IRM246" s="15"/>
      <c r="IRN246" s="16"/>
      <c r="IRO246" s="16"/>
      <c r="IRP246" s="16"/>
      <c r="IRQ246" s="16"/>
      <c r="IRR246" s="16"/>
      <c r="IRS246" s="15"/>
      <c r="IRT246" s="15"/>
      <c r="IRU246" s="10"/>
      <c r="IRV246" s="10"/>
      <c r="IRW246" s="19"/>
      <c r="IRX246" s="19"/>
      <c r="ISA246" s="16"/>
      <c r="ISB246" s="15"/>
      <c r="ISC246" s="15"/>
      <c r="ISD246" s="15"/>
      <c r="ISE246" s="16"/>
      <c r="ISF246" s="16"/>
      <c r="ISG246" s="16"/>
      <c r="ISH246" s="16"/>
      <c r="ISI246" s="16"/>
      <c r="ISJ246" s="15"/>
      <c r="ISK246" s="15"/>
      <c r="ISL246" s="10"/>
      <c r="ISM246" s="10"/>
      <c r="ISN246" s="19"/>
      <c r="ISO246" s="19"/>
      <c r="ISR246" s="16"/>
      <c r="ISS246" s="15"/>
      <c r="IST246" s="15"/>
      <c r="ISU246" s="15"/>
      <c r="ISV246" s="16"/>
      <c r="ISW246" s="16"/>
      <c r="ISX246" s="16"/>
      <c r="ISY246" s="16"/>
      <c r="ISZ246" s="16"/>
      <c r="ITA246" s="15"/>
      <c r="ITB246" s="15"/>
      <c r="ITC246" s="10"/>
      <c r="ITD246" s="10"/>
      <c r="ITE246" s="19"/>
      <c r="ITF246" s="19"/>
      <c r="ITI246" s="16"/>
      <c r="ITJ246" s="15"/>
      <c r="ITK246" s="15"/>
      <c r="ITL246" s="15"/>
      <c r="ITM246" s="16"/>
      <c r="ITN246" s="16"/>
      <c r="ITO246" s="16"/>
      <c r="ITP246" s="16"/>
      <c r="ITQ246" s="16"/>
      <c r="ITR246" s="15"/>
      <c r="ITS246" s="15"/>
      <c r="ITT246" s="10"/>
      <c r="ITU246" s="10"/>
      <c r="ITV246" s="19"/>
      <c r="ITW246" s="19"/>
      <c r="ITZ246" s="16"/>
      <c r="IUA246" s="15"/>
      <c r="IUB246" s="15"/>
      <c r="IUC246" s="15"/>
      <c r="IUD246" s="16"/>
      <c r="IUE246" s="16"/>
      <c r="IUF246" s="16"/>
      <c r="IUG246" s="16"/>
      <c r="IUH246" s="16"/>
      <c r="IUI246" s="15"/>
      <c r="IUJ246" s="15"/>
      <c r="IUK246" s="10"/>
      <c r="IUL246" s="10"/>
      <c r="IUM246" s="19"/>
      <c r="IUN246" s="19"/>
      <c r="IUQ246" s="16"/>
      <c r="IUR246" s="15"/>
      <c r="IUS246" s="15"/>
      <c r="IUT246" s="15"/>
      <c r="IUU246" s="16"/>
      <c r="IUV246" s="16"/>
      <c r="IUW246" s="16"/>
      <c r="IUX246" s="16"/>
      <c r="IUY246" s="16"/>
      <c r="IUZ246" s="15"/>
      <c r="IVA246" s="15"/>
      <c r="IVB246" s="10"/>
      <c r="IVC246" s="10"/>
      <c r="IVD246" s="19"/>
      <c r="IVE246" s="19"/>
      <c r="IVH246" s="16"/>
      <c r="IVI246" s="15"/>
      <c r="IVJ246" s="15"/>
      <c r="IVK246" s="15"/>
      <c r="IVL246" s="16"/>
      <c r="IVM246" s="16"/>
      <c r="IVN246" s="16"/>
      <c r="IVO246" s="16"/>
      <c r="IVP246" s="16"/>
      <c r="IVQ246" s="15"/>
      <c r="IVR246" s="15"/>
      <c r="IVS246" s="10"/>
      <c r="IVT246" s="10"/>
      <c r="IVU246" s="19"/>
      <c r="IVV246" s="19"/>
      <c r="IVY246" s="16"/>
      <c r="IVZ246" s="15"/>
      <c r="IWA246" s="15"/>
      <c r="IWB246" s="15"/>
      <c r="IWC246" s="16"/>
      <c r="IWD246" s="16"/>
      <c r="IWE246" s="16"/>
      <c r="IWF246" s="16"/>
      <c r="IWG246" s="16"/>
      <c r="IWH246" s="15"/>
      <c r="IWI246" s="15"/>
      <c r="IWJ246" s="10"/>
      <c r="IWK246" s="10"/>
      <c r="IWL246" s="19"/>
      <c r="IWM246" s="19"/>
      <c r="IWP246" s="16"/>
      <c r="IWQ246" s="15"/>
      <c r="IWR246" s="15"/>
      <c r="IWS246" s="15"/>
      <c r="IWT246" s="16"/>
      <c r="IWU246" s="16"/>
      <c r="IWV246" s="16"/>
      <c r="IWW246" s="16"/>
      <c r="IWX246" s="16"/>
      <c r="IWY246" s="15"/>
      <c r="IWZ246" s="15"/>
      <c r="IXA246" s="10"/>
      <c r="IXB246" s="10"/>
      <c r="IXC246" s="19"/>
      <c r="IXD246" s="19"/>
      <c r="IXG246" s="16"/>
      <c r="IXH246" s="15"/>
      <c r="IXI246" s="15"/>
      <c r="IXJ246" s="15"/>
      <c r="IXK246" s="16"/>
      <c r="IXL246" s="16"/>
      <c r="IXM246" s="16"/>
      <c r="IXN246" s="16"/>
      <c r="IXO246" s="16"/>
      <c r="IXP246" s="15"/>
      <c r="IXQ246" s="15"/>
      <c r="IXR246" s="10"/>
      <c r="IXS246" s="10"/>
      <c r="IXT246" s="19"/>
      <c r="IXU246" s="19"/>
      <c r="IXX246" s="16"/>
      <c r="IXY246" s="15"/>
      <c r="IXZ246" s="15"/>
      <c r="IYA246" s="15"/>
      <c r="IYB246" s="16"/>
      <c r="IYC246" s="16"/>
      <c r="IYD246" s="16"/>
      <c r="IYE246" s="16"/>
      <c r="IYF246" s="16"/>
      <c r="IYG246" s="15"/>
      <c r="IYH246" s="15"/>
      <c r="IYI246" s="10"/>
      <c r="IYJ246" s="10"/>
      <c r="IYK246" s="19"/>
      <c r="IYL246" s="19"/>
      <c r="IYO246" s="16"/>
      <c r="IYP246" s="15"/>
      <c r="IYQ246" s="15"/>
      <c r="IYR246" s="15"/>
      <c r="IYS246" s="16"/>
      <c r="IYT246" s="16"/>
      <c r="IYU246" s="16"/>
      <c r="IYV246" s="16"/>
      <c r="IYW246" s="16"/>
      <c r="IYX246" s="15"/>
      <c r="IYY246" s="15"/>
      <c r="IYZ246" s="10"/>
      <c r="IZA246" s="10"/>
      <c r="IZB246" s="19"/>
      <c r="IZC246" s="19"/>
      <c r="IZF246" s="16"/>
      <c r="IZG246" s="15"/>
      <c r="IZH246" s="15"/>
      <c r="IZI246" s="15"/>
      <c r="IZJ246" s="16"/>
      <c r="IZK246" s="16"/>
      <c r="IZL246" s="16"/>
      <c r="IZM246" s="16"/>
      <c r="IZN246" s="16"/>
      <c r="IZO246" s="15"/>
      <c r="IZP246" s="15"/>
      <c r="IZQ246" s="10"/>
      <c r="IZR246" s="10"/>
      <c r="IZS246" s="19"/>
      <c r="IZT246" s="19"/>
      <c r="IZW246" s="16"/>
      <c r="IZX246" s="15"/>
      <c r="IZY246" s="15"/>
      <c r="IZZ246" s="15"/>
      <c r="JAA246" s="16"/>
      <c r="JAB246" s="16"/>
      <c r="JAC246" s="16"/>
      <c r="JAD246" s="16"/>
      <c r="JAE246" s="16"/>
      <c r="JAF246" s="15"/>
      <c r="JAG246" s="15"/>
      <c r="JAH246" s="10"/>
      <c r="JAI246" s="10"/>
      <c r="JAJ246" s="19"/>
      <c r="JAK246" s="19"/>
      <c r="JAN246" s="16"/>
      <c r="JAO246" s="15"/>
      <c r="JAP246" s="15"/>
      <c r="JAQ246" s="15"/>
      <c r="JAR246" s="16"/>
      <c r="JAS246" s="16"/>
      <c r="JAT246" s="16"/>
      <c r="JAU246" s="16"/>
      <c r="JAV246" s="16"/>
      <c r="JAW246" s="15"/>
      <c r="JAX246" s="15"/>
      <c r="JAY246" s="10"/>
      <c r="JAZ246" s="10"/>
      <c r="JBA246" s="19"/>
      <c r="JBB246" s="19"/>
      <c r="JBE246" s="16"/>
      <c r="JBF246" s="15"/>
      <c r="JBG246" s="15"/>
      <c r="JBH246" s="15"/>
      <c r="JBI246" s="16"/>
      <c r="JBJ246" s="16"/>
      <c r="JBK246" s="16"/>
      <c r="JBL246" s="16"/>
      <c r="JBM246" s="16"/>
      <c r="JBN246" s="15"/>
      <c r="JBO246" s="15"/>
      <c r="JBP246" s="10"/>
      <c r="JBQ246" s="10"/>
      <c r="JBR246" s="19"/>
      <c r="JBS246" s="19"/>
      <c r="JBV246" s="16"/>
      <c r="JBW246" s="15"/>
      <c r="JBX246" s="15"/>
      <c r="JBY246" s="15"/>
      <c r="JBZ246" s="16"/>
      <c r="JCA246" s="16"/>
      <c r="JCB246" s="16"/>
      <c r="JCC246" s="16"/>
      <c r="JCD246" s="16"/>
      <c r="JCE246" s="15"/>
      <c r="JCF246" s="15"/>
      <c r="JCG246" s="10"/>
      <c r="JCH246" s="10"/>
      <c r="JCI246" s="19"/>
      <c r="JCJ246" s="19"/>
      <c r="JCM246" s="16"/>
      <c r="JCN246" s="15"/>
      <c r="JCO246" s="15"/>
      <c r="JCP246" s="15"/>
      <c r="JCQ246" s="16"/>
      <c r="JCR246" s="16"/>
      <c r="JCS246" s="16"/>
      <c r="JCT246" s="16"/>
      <c r="JCU246" s="16"/>
      <c r="JCV246" s="15"/>
      <c r="JCW246" s="15"/>
      <c r="JCX246" s="10"/>
      <c r="JCY246" s="10"/>
      <c r="JCZ246" s="19"/>
      <c r="JDA246" s="19"/>
      <c r="JDD246" s="16"/>
      <c r="JDE246" s="15"/>
      <c r="JDF246" s="15"/>
      <c r="JDG246" s="15"/>
      <c r="JDH246" s="16"/>
      <c r="JDI246" s="16"/>
      <c r="JDJ246" s="16"/>
      <c r="JDK246" s="16"/>
      <c r="JDL246" s="16"/>
      <c r="JDM246" s="15"/>
      <c r="JDN246" s="15"/>
      <c r="JDO246" s="10"/>
      <c r="JDP246" s="10"/>
      <c r="JDQ246" s="19"/>
      <c r="JDR246" s="19"/>
      <c r="JDU246" s="16"/>
      <c r="JDV246" s="15"/>
      <c r="JDW246" s="15"/>
      <c r="JDX246" s="15"/>
      <c r="JDY246" s="16"/>
      <c r="JDZ246" s="16"/>
      <c r="JEA246" s="16"/>
      <c r="JEB246" s="16"/>
      <c r="JEC246" s="16"/>
      <c r="JED246" s="15"/>
      <c r="JEE246" s="15"/>
      <c r="JEF246" s="10"/>
      <c r="JEG246" s="10"/>
      <c r="JEH246" s="19"/>
      <c r="JEI246" s="19"/>
      <c r="JEL246" s="16"/>
      <c r="JEM246" s="15"/>
      <c r="JEN246" s="15"/>
      <c r="JEO246" s="15"/>
      <c r="JEP246" s="16"/>
      <c r="JEQ246" s="16"/>
      <c r="JER246" s="16"/>
      <c r="JES246" s="16"/>
      <c r="JET246" s="16"/>
      <c r="JEU246" s="15"/>
      <c r="JEV246" s="15"/>
      <c r="JEW246" s="10"/>
      <c r="JEX246" s="10"/>
      <c r="JEY246" s="19"/>
      <c r="JEZ246" s="19"/>
      <c r="JFC246" s="16"/>
      <c r="JFD246" s="15"/>
      <c r="JFE246" s="15"/>
      <c r="JFF246" s="15"/>
      <c r="JFG246" s="16"/>
      <c r="JFH246" s="16"/>
      <c r="JFI246" s="16"/>
      <c r="JFJ246" s="16"/>
      <c r="JFK246" s="16"/>
      <c r="JFL246" s="15"/>
      <c r="JFM246" s="15"/>
      <c r="JFN246" s="10"/>
      <c r="JFO246" s="10"/>
      <c r="JFP246" s="19"/>
      <c r="JFQ246" s="19"/>
      <c r="JFT246" s="16"/>
      <c r="JFU246" s="15"/>
      <c r="JFV246" s="15"/>
      <c r="JFW246" s="15"/>
      <c r="JFX246" s="16"/>
      <c r="JFY246" s="16"/>
      <c r="JFZ246" s="16"/>
      <c r="JGA246" s="16"/>
      <c r="JGB246" s="16"/>
      <c r="JGC246" s="15"/>
      <c r="JGD246" s="15"/>
      <c r="JGE246" s="10"/>
      <c r="JGF246" s="10"/>
      <c r="JGG246" s="19"/>
      <c r="JGH246" s="19"/>
      <c r="JGK246" s="16"/>
      <c r="JGL246" s="15"/>
      <c r="JGM246" s="15"/>
      <c r="JGN246" s="15"/>
      <c r="JGO246" s="16"/>
      <c r="JGP246" s="16"/>
      <c r="JGQ246" s="16"/>
      <c r="JGR246" s="16"/>
      <c r="JGS246" s="16"/>
      <c r="JGT246" s="15"/>
      <c r="JGU246" s="15"/>
      <c r="JGV246" s="10"/>
      <c r="JGW246" s="10"/>
      <c r="JGX246" s="19"/>
      <c r="JGY246" s="19"/>
      <c r="JHB246" s="16"/>
      <c r="JHC246" s="15"/>
      <c r="JHD246" s="15"/>
      <c r="JHE246" s="15"/>
      <c r="JHF246" s="16"/>
      <c r="JHG246" s="16"/>
      <c r="JHH246" s="16"/>
      <c r="JHI246" s="16"/>
      <c r="JHJ246" s="16"/>
      <c r="JHK246" s="15"/>
      <c r="JHL246" s="15"/>
      <c r="JHM246" s="10"/>
      <c r="JHN246" s="10"/>
      <c r="JHO246" s="19"/>
      <c r="JHP246" s="19"/>
      <c r="JHS246" s="16"/>
      <c r="JHT246" s="15"/>
      <c r="JHU246" s="15"/>
      <c r="JHV246" s="15"/>
      <c r="JHW246" s="16"/>
      <c r="JHX246" s="16"/>
      <c r="JHY246" s="16"/>
      <c r="JHZ246" s="16"/>
      <c r="JIA246" s="16"/>
      <c r="JIB246" s="15"/>
      <c r="JIC246" s="15"/>
      <c r="JID246" s="10"/>
      <c r="JIE246" s="10"/>
      <c r="JIF246" s="19"/>
      <c r="JIG246" s="19"/>
      <c r="JIJ246" s="16"/>
      <c r="JIK246" s="15"/>
      <c r="JIL246" s="15"/>
      <c r="JIM246" s="15"/>
      <c r="JIN246" s="16"/>
      <c r="JIO246" s="16"/>
      <c r="JIP246" s="16"/>
      <c r="JIQ246" s="16"/>
      <c r="JIR246" s="16"/>
      <c r="JIS246" s="15"/>
      <c r="JIT246" s="15"/>
      <c r="JIU246" s="10"/>
      <c r="JIV246" s="10"/>
      <c r="JIW246" s="19"/>
      <c r="JIX246" s="19"/>
      <c r="JJA246" s="16"/>
      <c r="JJB246" s="15"/>
      <c r="JJC246" s="15"/>
      <c r="JJD246" s="15"/>
      <c r="JJE246" s="16"/>
      <c r="JJF246" s="16"/>
      <c r="JJG246" s="16"/>
      <c r="JJH246" s="16"/>
      <c r="JJI246" s="16"/>
      <c r="JJJ246" s="15"/>
      <c r="JJK246" s="15"/>
      <c r="JJL246" s="10"/>
      <c r="JJM246" s="10"/>
      <c r="JJN246" s="19"/>
      <c r="JJO246" s="19"/>
      <c r="JJR246" s="16"/>
      <c r="JJS246" s="15"/>
      <c r="JJT246" s="15"/>
      <c r="JJU246" s="15"/>
      <c r="JJV246" s="16"/>
      <c r="JJW246" s="16"/>
      <c r="JJX246" s="16"/>
      <c r="JJY246" s="16"/>
      <c r="JJZ246" s="16"/>
      <c r="JKA246" s="15"/>
      <c r="JKB246" s="15"/>
      <c r="JKC246" s="10"/>
      <c r="JKD246" s="10"/>
      <c r="JKE246" s="19"/>
      <c r="JKF246" s="19"/>
      <c r="JKI246" s="16"/>
      <c r="JKJ246" s="15"/>
      <c r="JKK246" s="15"/>
      <c r="JKL246" s="15"/>
      <c r="JKM246" s="16"/>
      <c r="JKN246" s="16"/>
      <c r="JKO246" s="16"/>
      <c r="JKP246" s="16"/>
      <c r="JKQ246" s="16"/>
      <c r="JKR246" s="15"/>
      <c r="JKS246" s="15"/>
      <c r="JKT246" s="10"/>
      <c r="JKU246" s="10"/>
      <c r="JKV246" s="19"/>
      <c r="JKW246" s="19"/>
      <c r="JKZ246" s="16"/>
      <c r="JLA246" s="15"/>
      <c r="JLB246" s="15"/>
      <c r="JLC246" s="15"/>
      <c r="JLD246" s="16"/>
      <c r="JLE246" s="16"/>
      <c r="JLF246" s="16"/>
      <c r="JLG246" s="16"/>
      <c r="JLH246" s="16"/>
      <c r="JLI246" s="15"/>
      <c r="JLJ246" s="15"/>
      <c r="JLK246" s="10"/>
      <c r="JLL246" s="10"/>
      <c r="JLM246" s="19"/>
      <c r="JLN246" s="19"/>
      <c r="JLQ246" s="16"/>
      <c r="JLR246" s="15"/>
      <c r="JLS246" s="15"/>
      <c r="JLT246" s="15"/>
      <c r="JLU246" s="16"/>
      <c r="JLV246" s="16"/>
      <c r="JLW246" s="16"/>
      <c r="JLX246" s="16"/>
      <c r="JLY246" s="16"/>
      <c r="JLZ246" s="15"/>
      <c r="JMA246" s="15"/>
      <c r="JMB246" s="10"/>
      <c r="JMC246" s="10"/>
      <c r="JMD246" s="19"/>
      <c r="JME246" s="19"/>
      <c r="JMH246" s="16"/>
      <c r="JMI246" s="15"/>
      <c r="JMJ246" s="15"/>
      <c r="JMK246" s="15"/>
      <c r="JML246" s="16"/>
      <c r="JMM246" s="16"/>
      <c r="JMN246" s="16"/>
      <c r="JMO246" s="16"/>
      <c r="JMP246" s="16"/>
      <c r="JMQ246" s="15"/>
      <c r="JMR246" s="15"/>
      <c r="JMS246" s="10"/>
      <c r="JMT246" s="10"/>
      <c r="JMU246" s="19"/>
      <c r="JMV246" s="19"/>
      <c r="JMY246" s="16"/>
      <c r="JMZ246" s="15"/>
      <c r="JNA246" s="15"/>
      <c r="JNB246" s="15"/>
      <c r="JNC246" s="16"/>
      <c r="JND246" s="16"/>
      <c r="JNE246" s="16"/>
      <c r="JNF246" s="16"/>
      <c r="JNG246" s="16"/>
      <c r="JNH246" s="15"/>
      <c r="JNI246" s="15"/>
      <c r="JNJ246" s="10"/>
      <c r="JNK246" s="10"/>
      <c r="JNL246" s="19"/>
      <c r="JNM246" s="19"/>
      <c r="JNP246" s="16"/>
      <c r="JNQ246" s="15"/>
      <c r="JNR246" s="15"/>
      <c r="JNS246" s="15"/>
      <c r="JNT246" s="16"/>
      <c r="JNU246" s="16"/>
      <c r="JNV246" s="16"/>
      <c r="JNW246" s="16"/>
      <c r="JNX246" s="16"/>
      <c r="JNY246" s="15"/>
      <c r="JNZ246" s="15"/>
      <c r="JOA246" s="10"/>
      <c r="JOB246" s="10"/>
      <c r="JOC246" s="19"/>
      <c r="JOD246" s="19"/>
      <c r="JOG246" s="16"/>
      <c r="JOH246" s="15"/>
      <c r="JOI246" s="15"/>
      <c r="JOJ246" s="15"/>
      <c r="JOK246" s="16"/>
      <c r="JOL246" s="16"/>
      <c r="JOM246" s="16"/>
      <c r="JON246" s="16"/>
      <c r="JOO246" s="16"/>
      <c r="JOP246" s="15"/>
      <c r="JOQ246" s="15"/>
      <c r="JOR246" s="10"/>
      <c r="JOS246" s="10"/>
      <c r="JOT246" s="19"/>
      <c r="JOU246" s="19"/>
      <c r="JOX246" s="16"/>
      <c r="JOY246" s="15"/>
      <c r="JOZ246" s="15"/>
      <c r="JPA246" s="15"/>
      <c r="JPB246" s="16"/>
      <c r="JPC246" s="16"/>
      <c r="JPD246" s="16"/>
      <c r="JPE246" s="16"/>
      <c r="JPF246" s="16"/>
      <c r="JPG246" s="15"/>
      <c r="JPH246" s="15"/>
      <c r="JPI246" s="10"/>
      <c r="JPJ246" s="10"/>
      <c r="JPK246" s="19"/>
      <c r="JPL246" s="19"/>
      <c r="JPO246" s="16"/>
      <c r="JPP246" s="15"/>
      <c r="JPQ246" s="15"/>
      <c r="JPR246" s="15"/>
      <c r="JPS246" s="16"/>
      <c r="JPT246" s="16"/>
      <c r="JPU246" s="16"/>
      <c r="JPV246" s="16"/>
      <c r="JPW246" s="16"/>
      <c r="JPX246" s="15"/>
      <c r="JPY246" s="15"/>
      <c r="JPZ246" s="10"/>
      <c r="JQA246" s="10"/>
      <c r="JQB246" s="19"/>
      <c r="JQC246" s="19"/>
      <c r="JQF246" s="16"/>
      <c r="JQG246" s="15"/>
      <c r="JQH246" s="15"/>
      <c r="JQI246" s="15"/>
      <c r="JQJ246" s="16"/>
      <c r="JQK246" s="16"/>
      <c r="JQL246" s="16"/>
      <c r="JQM246" s="16"/>
      <c r="JQN246" s="16"/>
      <c r="JQO246" s="15"/>
      <c r="JQP246" s="15"/>
      <c r="JQQ246" s="10"/>
      <c r="JQR246" s="10"/>
      <c r="JQS246" s="19"/>
      <c r="JQT246" s="19"/>
      <c r="JQW246" s="16"/>
      <c r="JQX246" s="15"/>
      <c r="JQY246" s="15"/>
      <c r="JQZ246" s="15"/>
      <c r="JRA246" s="16"/>
      <c r="JRB246" s="16"/>
      <c r="JRC246" s="16"/>
      <c r="JRD246" s="16"/>
      <c r="JRE246" s="16"/>
      <c r="JRF246" s="15"/>
      <c r="JRG246" s="15"/>
      <c r="JRH246" s="10"/>
      <c r="JRI246" s="10"/>
      <c r="JRJ246" s="19"/>
      <c r="JRK246" s="19"/>
      <c r="JRN246" s="16"/>
      <c r="JRO246" s="15"/>
      <c r="JRP246" s="15"/>
      <c r="JRQ246" s="15"/>
      <c r="JRR246" s="16"/>
      <c r="JRS246" s="16"/>
      <c r="JRT246" s="16"/>
      <c r="JRU246" s="16"/>
      <c r="JRV246" s="16"/>
      <c r="JRW246" s="15"/>
      <c r="JRX246" s="15"/>
      <c r="JRY246" s="10"/>
      <c r="JRZ246" s="10"/>
      <c r="JSA246" s="19"/>
      <c r="JSB246" s="19"/>
      <c r="JSE246" s="16"/>
      <c r="JSF246" s="15"/>
      <c r="JSG246" s="15"/>
      <c r="JSH246" s="15"/>
      <c r="JSI246" s="16"/>
      <c r="JSJ246" s="16"/>
      <c r="JSK246" s="16"/>
      <c r="JSL246" s="16"/>
      <c r="JSM246" s="16"/>
      <c r="JSN246" s="15"/>
      <c r="JSO246" s="15"/>
      <c r="JSP246" s="10"/>
      <c r="JSQ246" s="10"/>
      <c r="JSR246" s="19"/>
      <c r="JSS246" s="19"/>
      <c r="JSV246" s="16"/>
      <c r="JSW246" s="15"/>
      <c r="JSX246" s="15"/>
      <c r="JSY246" s="15"/>
      <c r="JSZ246" s="16"/>
      <c r="JTA246" s="16"/>
      <c r="JTB246" s="16"/>
      <c r="JTC246" s="16"/>
      <c r="JTD246" s="16"/>
      <c r="JTE246" s="15"/>
      <c r="JTF246" s="15"/>
      <c r="JTG246" s="10"/>
      <c r="JTH246" s="10"/>
      <c r="JTI246" s="19"/>
      <c r="JTJ246" s="19"/>
      <c r="JTM246" s="16"/>
      <c r="JTN246" s="15"/>
      <c r="JTO246" s="15"/>
      <c r="JTP246" s="15"/>
      <c r="JTQ246" s="16"/>
      <c r="JTR246" s="16"/>
      <c r="JTS246" s="16"/>
      <c r="JTT246" s="16"/>
      <c r="JTU246" s="16"/>
      <c r="JTV246" s="15"/>
      <c r="JTW246" s="15"/>
      <c r="JTX246" s="10"/>
      <c r="JTY246" s="10"/>
      <c r="JTZ246" s="19"/>
      <c r="JUA246" s="19"/>
      <c r="JUD246" s="16"/>
      <c r="JUE246" s="15"/>
      <c r="JUF246" s="15"/>
      <c r="JUG246" s="15"/>
      <c r="JUH246" s="16"/>
      <c r="JUI246" s="16"/>
      <c r="JUJ246" s="16"/>
      <c r="JUK246" s="16"/>
      <c r="JUL246" s="16"/>
      <c r="JUM246" s="15"/>
      <c r="JUN246" s="15"/>
      <c r="JUO246" s="10"/>
      <c r="JUP246" s="10"/>
      <c r="JUQ246" s="19"/>
      <c r="JUR246" s="19"/>
      <c r="JUU246" s="16"/>
      <c r="JUV246" s="15"/>
      <c r="JUW246" s="15"/>
      <c r="JUX246" s="15"/>
      <c r="JUY246" s="16"/>
      <c r="JUZ246" s="16"/>
      <c r="JVA246" s="16"/>
      <c r="JVB246" s="16"/>
      <c r="JVC246" s="16"/>
      <c r="JVD246" s="15"/>
      <c r="JVE246" s="15"/>
      <c r="JVF246" s="10"/>
      <c r="JVG246" s="10"/>
      <c r="JVH246" s="19"/>
      <c r="JVI246" s="19"/>
      <c r="JVL246" s="16"/>
      <c r="JVM246" s="15"/>
      <c r="JVN246" s="15"/>
      <c r="JVO246" s="15"/>
      <c r="JVP246" s="16"/>
      <c r="JVQ246" s="16"/>
      <c r="JVR246" s="16"/>
      <c r="JVS246" s="16"/>
      <c r="JVT246" s="16"/>
      <c r="JVU246" s="15"/>
      <c r="JVV246" s="15"/>
      <c r="JVW246" s="10"/>
      <c r="JVX246" s="10"/>
      <c r="JVY246" s="19"/>
      <c r="JVZ246" s="19"/>
      <c r="JWC246" s="16"/>
      <c r="JWD246" s="15"/>
      <c r="JWE246" s="15"/>
      <c r="JWF246" s="15"/>
      <c r="JWG246" s="16"/>
      <c r="JWH246" s="16"/>
      <c r="JWI246" s="16"/>
      <c r="JWJ246" s="16"/>
      <c r="JWK246" s="16"/>
      <c r="JWL246" s="15"/>
      <c r="JWM246" s="15"/>
      <c r="JWN246" s="10"/>
      <c r="JWO246" s="10"/>
      <c r="JWP246" s="19"/>
      <c r="JWQ246" s="19"/>
      <c r="JWT246" s="16"/>
      <c r="JWU246" s="15"/>
      <c r="JWV246" s="15"/>
      <c r="JWW246" s="15"/>
      <c r="JWX246" s="16"/>
      <c r="JWY246" s="16"/>
      <c r="JWZ246" s="16"/>
      <c r="JXA246" s="16"/>
      <c r="JXB246" s="16"/>
      <c r="JXC246" s="15"/>
      <c r="JXD246" s="15"/>
      <c r="JXE246" s="10"/>
      <c r="JXF246" s="10"/>
      <c r="JXG246" s="19"/>
      <c r="JXH246" s="19"/>
      <c r="JXK246" s="16"/>
      <c r="JXL246" s="15"/>
      <c r="JXM246" s="15"/>
      <c r="JXN246" s="15"/>
      <c r="JXO246" s="16"/>
      <c r="JXP246" s="16"/>
      <c r="JXQ246" s="16"/>
      <c r="JXR246" s="16"/>
      <c r="JXS246" s="16"/>
      <c r="JXT246" s="15"/>
      <c r="JXU246" s="15"/>
      <c r="JXV246" s="10"/>
      <c r="JXW246" s="10"/>
      <c r="JXX246" s="19"/>
      <c r="JXY246" s="19"/>
      <c r="JYB246" s="16"/>
      <c r="JYC246" s="15"/>
      <c r="JYD246" s="15"/>
      <c r="JYE246" s="15"/>
      <c r="JYF246" s="16"/>
      <c r="JYG246" s="16"/>
      <c r="JYH246" s="16"/>
      <c r="JYI246" s="16"/>
      <c r="JYJ246" s="16"/>
      <c r="JYK246" s="15"/>
      <c r="JYL246" s="15"/>
      <c r="JYM246" s="10"/>
      <c r="JYN246" s="10"/>
      <c r="JYO246" s="19"/>
      <c r="JYP246" s="19"/>
      <c r="JYS246" s="16"/>
      <c r="JYT246" s="15"/>
      <c r="JYU246" s="15"/>
      <c r="JYV246" s="15"/>
      <c r="JYW246" s="16"/>
      <c r="JYX246" s="16"/>
      <c r="JYY246" s="16"/>
      <c r="JYZ246" s="16"/>
      <c r="JZA246" s="16"/>
      <c r="JZB246" s="15"/>
      <c r="JZC246" s="15"/>
      <c r="JZD246" s="10"/>
      <c r="JZE246" s="10"/>
      <c r="JZF246" s="19"/>
      <c r="JZG246" s="19"/>
      <c r="JZJ246" s="16"/>
      <c r="JZK246" s="15"/>
      <c r="JZL246" s="15"/>
      <c r="JZM246" s="15"/>
      <c r="JZN246" s="16"/>
      <c r="JZO246" s="16"/>
      <c r="JZP246" s="16"/>
      <c r="JZQ246" s="16"/>
      <c r="JZR246" s="16"/>
      <c r="JZS246" s="15"/>
      <c r="JZT246" s="15"/>
      <c r="JZU246" s="10"/>
      <c r="JZV246" s="10"/>
      <c r="JZW246" s="19"/>
      <c r="JZX246" s="19"/>
      <c r="KAA246" s="16"/>
      <c r="KAB246" s="15"/>
      <c r="KAC246" s="15"/>
      <c r="KAD246" s="15"/>
      <c r="KAE246" s="16"/>
      <c r="KAF246" s="16"/>
      <c r="KAG246" s="16"/>
      <c r="KAH246" s="16"/>
      <c r="KAI246" s="16"/>
      <c r="KAJ246" s="15"/>
      <c r="KAK246" s="15"/>
      <c r="KAL246" s="10"/>
      <c r="KAM246" s="10"/>
      <c r="KAN246" s="19"/>
      <c r="KAO246" s="19"/>
      <c r="KAR246" s="16"/>
      <c r="KAS246" s="15"/>
      <c r="KAT246" s="15"/>
      <c r="KAU246" s="15"/>
      <c r="KAV246" s="16"/>
      <c r="KAW246" s="16"/>
      <c r="KAX246" s="16"/>
      <c r="KAY246" s="16"/>
      <c r="KAZ246" s="16"/>
      <c r="KBA246" s="15"/>
      <c r="KBB246" s="15"/>
      <c r="KBC246" s="10"/>
      <c r="KBD246" s="10"/>
      <c r="KBE246" s="19"/>
      <c r="KBF246" s="19"/>
      <c r="KBI246" s="16"/>
      <c r="KBJ246" s="15"/>
      <c r="KBK246" s="15"/>
      <c r="KBL246" s="15"/>
      <c r="KBM246" s="16"/>
      <c r="KBN246" s="16"/>
      <c r="KBO246" s="16"/>
      <c r="KBP246" s="16"/>
      <c r="KBQ246" s="16"/>
      <c r="KBR246" s="15"/>
      <c r="KBS246" s="15"/>
      <c r="KBT246" s="10"/>
      <c r="KBU246" s="10"/>
      <c r="KBV246" s="19"/>
      <c r="KBW246" s="19"/>
      <c r="KBZ246" s="16"/>
      <c r="KCA246" s="15"/>
      <c r="KCB246" s="15"/>
      <c r="KCC246" s="15"/>
      <c r="KCD246" s="16"/>
      <c r="KCE246" s="16"/>
      <c r="KCF246" s="16"/>
      <c r="KCG246" s="16"/>
      <c r="KCH246" s="16"/>
      <c r="KCI246" s="15"/>
      <c r="KCJ246" s="15"/>
      <c r="KCK246" s="10"/>
      <c r="KCL246" s="10"/>
      <c r="KCM246" s="19"/>
      <c r="KCN246" s="19"/>
      <c r="KCQ246" s="16"/>
      <c r="KCR246" s="15"/>
      <c r="KCS246" s="15"/>
      <c r="KCT246" s="15"/>
      <c r="KCU246" s="16"/>
      <c r="KCV246" s="16"/>
      <c r="KCW246" s="16"/>
      <c r="KCX246" s="16"/>
      <c r="KCY246" s="16"/>
      <c r="KCZ246" s="15"/>
      <c r="KDA246" s="15"/>
      <c r="KDB246" s="10"/>
      <c r="KDC246" s="10"/>
      <c r="KDD246" s="19"/>
      <c r="KDE246" s="19"/>
      <c r="KDH246" s="16"/>
      <c r="KDI246" s="15"/>
      <c r="KDJ246" s="15"/>
      <c r="KDK246" s="15"/>
      <c r="KDL246" s="16"/>
      <c r="KDM246" s="16"/>
      <c r="KDN246" s="16"/>
      <c r="KDO246" s="16"/>
      <c r="KDP246" s="16"/>
      <c r="KDQ246" s="15"/>
      <c r="KDR246" s="15"/>
      <c r="KDS246" s="10"/>
      <c r="KDT246" s="10"/>
      <c r="KDU246" s="19"/>
      <c r="KDV246" s="19"/>
      <c r="KDY246" s="16"/>
      <c r="KDZ246" s="15"/>
      <c r="KEA246" s="15"/>
      <c r="KEB246" s="15"/>
      <c r="KEC246" s="16"/>
      <c r="KED246" s="16"/>
      <c r="KEE246" s="16"/>
      <c r="KEF246" s="16"/>
      <c r="KEG246" s="16"/>
      <c r="KEH246" s="15"/>
      <c r="KEI246" s="15"/>
      <c r="KEJ246" s="10"/>
      <c r="KEK246" s="10"/>
      <c r="KEL246" s="19"/>
      <c r="KEM246" s="19"/>
      <c r="KEP246" s="16"/>
      <c r="KEQ246" s="15"/>
      <c r="KER246" s="15"/>
      <c r="KES246" s="15"/>
      <c r="KET246" s="16"/>
      <c r="KEU246" s="16"/>
      <c r="KEV246" s="16"/>
      <c r="KEW246" s="16"/>
      <c r="KEX246" s="16"/>
      <c r="KEY246" s="15"/>
      <c r="KEZ246" s="15"/>
      <c r="KFA246" s="10"/>
      <c r="KFB246" s="10"/>
      <c r="KFC246" s="19"/>
      <c r="KFD246" s="19"/>
      <c r="KFG246" s="16"/>
      <c r="KFH246" s="15"/>
      <c r="KFI246" s="15"/>
      <c r="KFJ246" s="15"/>
      <c r="KFK246" s="16"/>
      <c r="KFL246" s="16"/>
      <c r="KFM246" s="16"/>
      <c r="KFN246" s="16"/>
      <c r="KFO246" s="16"/>
      <c r="KFP246" s="15"/>
      <c r="KFQ246" s="15"/>
      <c r="KFR246" s="10"/>
      <c r="KFS246" s="10"/>
      <c r="KFT246" s="19"/>
      <c r="KFU246" s="19"/>
      <c r="KFX246" s="16"/>
      <c r="KFY246" s="15"/>
      <c r="KFZ246" s="15"/>
      <c r="KGA246" s="15"/>
      <c r="KGB246" s="16"/>
      <c r="KGC246" s="16"/>
      <c r="KGD246" s="16"/>
      <c r="KGE246" s="16"/>
      <c r="KGF246" s="16"/>
      <c r="KGG246" s="15"/>
      <c r="KGH246" s="15"/>
      <c r="KGI246" s="10"/>
      <c r="KGJ246" s="10"/>
      <c r="KGK246" s="19"/>
      <c r="KGL246" s="19"/>
      <c r="KGO246" s="16"/>
      <c r="KGP246" s="15"/>
      <c r="KGQ246" s="15"/>
      <c r="KGR246" s="15"/>
      <c r="KGS246" s="16"/>
      <c r="KGT246" s="16"/>
      <c r="KGU246" s="16"/>
      <c r="KGV246" s="16"/>
      <c r="KGW246" s="16"/>
      <c r="KGX246" s="15"/>
      <c r="KGY246" s="15"/>
      <c r="KGZ246" s="10"/>
      <c r="KHA246" s="10"/>
      <c r="KHB246" s="19"/>
      <c r="KHC246" s="19"/>
      <c r="KHF246" s="16"/>
      <c r="KHG246" s="15"/>
      <c r="KHH246" s="15"/>
      <c r="KHI246" s="15"/>
      <c r="KHJ246" s="16"/>
      <c r="KHK246" s="16"/>
      <c r="KHL246" s="16"/>
      <c r="KHM246" s="16"/>
      <c r="KHN246" s="16"/>
      <c r="KHO246" s="15"/>
      <c r="KHP246" s="15"/>
      <c r="KHQ246" s="10"/>
      <c r="KHR246" s="10"/>
      <c r="KHS246" s="19"/>
      <c r="KHT246" s="19"/>
      <c r="KHW246" s="16"/>
      <c r="KHX246" s="15"/>
      <c r="KHY246" s="15"/>
      <c r="KHZ246" s="15"/>
      <c r="KIA246" s="16"/>
      <c r="KIB246" s="16"/>
      <c r="KIC246" s="16"/>
      <c r="KID246" s="16"/>
      <c r="KIE246" s="16"/>
      <c r="KIF246" s="15"/>
      <c r="KIG246" s="15"/>
      <c r="KIH246" s="10"/>
      <c r="KII246" s="10"/>
      <c r="KIJ246" s="19"/>
      <c r="KIK246" s="19"/>
      <c r="KIN246" s="16"/>
      <c r="KIO246" s="15"/>
      <c r="KIP246" s="15"/>
      <c r="KIQ246" s="15"/>
      <c r="KIR246" s="16"/>
      <c r="KIS246" s="16"/>
      <c r="KIT246" s="16"/>
      <c r="KIU246" s="16"/>
      <c r="KIV246" s="16"/>
      <c r="KIW246" s="15"/>
      <c r="KIX246" s="15"/>
      <c r="KIY246" s="10"/>
      <c r="KIZ246" s="10"/>
      <c r="KJA246" s="19"/>
      <c r="KJB246" s="19"/>
      <c r="KJE246" s="16"/>
      <c r="KJF246" s="15"/>
      <c r="KJG246" s="15"/>
      <c r="KJH246" s="15"/>
      <c r="KJI246" s="16"/>
      <c r="KJJ246" s="16"/>
      <c r="KJK246" s="16"/>
      <c r="KJL246" s="16"/>
      <c r="KJM246" s="16"/>
      <c r="KJN246" s="15"/>
      <c r="KJO246" s="15"/>
      <c r="KJP246" s="10"/>
      <c r="KJQ246" s="10"/>
      <c r="KJR246" s="19"/>
      <c r="KJS246" s="19"/>
      <c r="KJV246" s="16"/>
      <c r="KJW246" s="15"/>
      <c r="KJX246" s="15"/>
      <c r="KJY246" s="15"/>
      <c r="KJZ246" s="16"/>
      <c r="KKA246" s="16"/>
      <c r="KKB246" s="16"/>
      <c r="KKC246" s="16"/>
      <c r="KKD246" s="16"/>
      <c r="KKE246" s="15"/>
      <c r="KKF246" s="15"/>
      <c r="KKG246" s="10"/>
      <c r="KKH246" s="10"/>
      <c r="KKI246" s="19"/>
      <c r="KKJ246" s="19"/>
      <c r="KKM246" s="16"/>
      <c r="KKN246" s="15"/>
      <c r="KKO246" s="15"/>
      <c r="KKP246" s="15"/>
      <c r="KKQ246" s="16"/>
      <c r="KKR246" s="16"/>
      <c r="KKS246" s="16"/>
      <c r="KKT246" s="16"/>
      <c r="KKU246" s="16"/>
      <c r="KKV246" s="15"/>
      <c r="KKW246" s="15"/>
      <c r="KKX246" s="10"/>
      <c r="KKY246" s="10"/>
      <c r="KKZ246" s="19"/>
      <c r="KLA246" s="19"/>
      <c r="KLD246" s="16"/>
      <c r="KLE246" s="15"/>
      <c r="KLF246" s="15"/>
      <c r="KLG246" s="15"/>
      <c r="KLH246" s="16"/>
      <c r="KLI246" s="16"/>
      <c r="KLJ246" s="16"/>
      <c r="KLK246" s="16"/>
      <c r="KLL246" s="16"/>
      <c r="KLM246" s="15"/>
      <c r="KLN246" s="15"/>
      <c r="KLO246" s="10"/>
      <c r="KLP246" s="10"/>
      <c r="KLQ246" s="19"/>
      <c r="KLR246" s="19"/>
      <c r="KLU246" s="16"/>
      <c r="KLV246" s="15"/>
      <c r="KLW246" s="15"/>
      <c r="KLX246" s="15"/>
      <c r="KLY246" s="16"/>
      <c r="KLZ246" s="16"/>
      <c r="KMA246" s="16"/>
      <c r="KMB246" s="16"/>
      <c r="KMC246" s="16"/>
      <c r="KMD246" s="15"/>
      <c r="KME246" s="15"/>
      <c r="KMF246" s="10"/>
      <c r="KMG246" s="10"/>
      <c r="KMH246" s="19"/>
      <c r="KMI246" s="19"/>
      <c r="KML246" s="16"/>
      <c r="KMM246" s="15"/>
      <c r="KMN246" s="15"/>
      <c r="KMO246" s="15"/>
      <c r="KMP246" s="16"/>
      <c r="KMQ246" s="16"/>
      <c r="KMR246" s="16"/>
      <c r="KMS246" s="16"/>
      <c r="KMT246" s="16"/>
      <c r="KMU246" s="15"/>
      <c r="KMV246" s="15"/>
      <c r="KMW246" s="10"/>
      <c r="KMX246" s="10"/>
      <c r="KMY246" s="19"/>
      <c r="KMZ246" s="19"/>
      <c r="KNC246" s="16"/>
      <c r="KND246" s="15"/>
      <c r="KNE246" s="15"/>
      <c r="KNF246" s="15"/>
      <c r="KNG246" s="16"/>
      <c r="KNH246" s="16"/>
      <c r="KNI246" s="16"/>
      <c r="KNJ246" s="16"/>
      <c r="KNK246" s="16"/>
      <c r="KNL246" s="15"/>
      <c r="KNM246" s="15"/>
      <c r="KNN246" s="10"/>
      <c r="KNO246" s="10"/>
      <c r="KNP246" s="19"/>
      <c r="KNQ246" s="19"/>
      <c r="KNT246" s="16"/>
      <c r="KNU246" s="15"/>
      <c r="KNV246" s="15"/>
      <c r="KNW246" s="15"/>
      <c r="KNX246" s="16"/>
      <c r="KNY246" s="16"/>
      <c r="KNZ246" s="16"/>
      <c r="KOA246" s="16"/>
      <c r="KOB246" s="16"/>
      <c r="KOC246" s="15"/>
      <c r="KOD246" s="15"/>
      <c r="KOE246" s="10"/>
      <c r="KOF246" s="10"/>
      <c r="KOG246" s="19"/>
      <c r="KOH246" s="19"/>
      <c r="KOK246" s="16"/>
      <c r="KOL246" s="15"/>
      <c r="KOM246" s="15"/>
      <c r="KON246" s="15"/>
      <c r="KOO246" s="16"/>
      <c r="KOP246" s="16"/>
      <c r="KOQ246" s="16"/>
      <c r="KOR246" s="16"/>
      <c r="KOS246" s="16"/>
      <c r="KOT246" s="15"/>
      <c r="KOU246" s="15"/>
      <c r="KOV246" s="10"/>
      <c r="KOW246" s="10"/>
      <c r="KOX246" s="19"/>
      <c r="KOY246" s="19"/>
      <c r="KPB246" s="16"/>
      <c r="KPC246" s="15"/>
      <c r="KPD246" s="15"/>
      <c r="KPE246" s="15"/>
      <c r="KPF246" s="16"/>
      <c r="KPG246" s="16"/>
      <c r="KPH246" s="16"/>
      <c r="KPI246" s="16"/>
      <c r="KPJ246" s="16"/>
      <c r="KPK246" s="15"/>
      <c r="KPL246" s="15"/>
      <c r="KPM246" s="10"/>
      <c r="KPN246" s="10"/>
      <c r="KPO246" s="19"/>
      <c r="KPP246" s="19"/>
      <c r="KPS246" s="16"/>
      <c r="KPT246" s="15"/>
      <c r="KPU246" s="15"/>
      <c r="KPV246" s="15"/>
      <c r="KPW246" s="16"/>
      <c r="KPX246" s="16"/>
      <c r="KPY246" s="16"/>
      <c r="KPZ246" s="16"/>
      <c r="KQA246" s="16"/>
      <c r="KQB246" s="15"/>
      <c r="KQC246" s="15"/>
      <c r="KQD246" s="10"/>
      <c r="KQE246" s="10"/>
      <c r="KQF246" s="19"/>
      <c r="KQG246" s="19"/>
      <c r="KQJ246" s="16"/>
      <c r="KQK246" s="15"/>
      <c r="KQL246" s="15"/>
      <c r="KQM246" s="15"/>
      <c r="KQN246" s="16"/>
      <c r="KQO246" s="16"/>
      <c r="KQP246" s="16"/>
      <c r="KQQ246" s="16"/>
      <c r="KQR246" s="16"/>
      <c r="KQS246" s="15"/>
      <c r="KQT246" s="15"/>
      <c r="KQU246" s="10"/>
      <c r="KQV246" s="10"/>
      <c r="KQW246" s="19"/>
      <c r="KQX246" s="19"/>
      <c r="KRA246" s="16"/>
      <c r="KRB246" s="15"/>
      <c r="KRC246" s="15"/>
      <c r="KRD246" s="15"/>
      <c r="KRE246" s="16"/>
      <c r="KRF246" s="16"/>
      <c r="KRG246" s="16"/>
      <c r="KRH246" s="16"/>
      <c r="KRI246" s="16"/>
      <c r="KRJ246" s="15"/>
      <c r="KRK246" s="15"/>
      <c r="KRL246" s="10"/>
      <c r="KRM246" s="10"/>
      <c r="KRN246" s="19"/>
      <c r="KRO246" s="19"/>
      <c r="KRR246" s="16"/>
      <c r="KRS246" s="15"/>
      <c r="KRT246" s="15"/>
      <c r="KRU246" s="15"/>
      <c r="KRV246" s="16"/>
      <c r="KRW246" s="16"/>
      <c r="KRX246" s="16"/>
      <c r="KRY246" s="16"/>
      <c r="KRZ246" s="16"/>
      <c r="KSA246" s="15"/>
      <c r="KSB246" s="15"/>
      <c r="KSC246" s="10"/>
      <c r="KSD246" s="10"/>
      <c r="KSE246" s="19"/>
      <c r="KSF246" s="19"/>
      <c r="KSI246" s="16"/>
      <c r="KSJ246" s="15"/>
      <c r="KSK246" s="15"/>
      <c r="KSL246" s="15"/>
      <c r="KSM246" s="16"/>
      <c r="KSN246" s="16"/>
      <c r="KSO246" s="16"/>
      <c r="KSP246" s="16"/>
      <c r="KSQ246" s="16"/>
      <c r="KSR246" s="15"/>
      <c r="KSS246" s="15"/>
      <c r="KST246" s="10"/>
      <c r="KSU246" s="10"/>
      <c r="KSV246" s="19"/>
      <c r="KSW246" s="19"/>
      <c r="KSZ246" s="16"/>
      <c r="KTA246" s="15"/>
      <c r="KTB246" s="15"/>
      <c r="KTC246" s="15"/>
      <c r="KTD246" s="16"/>
      <c r="KTE246" s="16"/>
      <c r="KTF246" s="16"/>
      <c r="KTG246" s="16"/>
      <c r="KTH246" s="16"/>
      <c r="KTI246" s="15"/>
      <c r="KTJ246" s="15"/>
      <c r="KTK246" s="10"/>
      <c r="KTL246" s="10"/>
      <c r="KTM246" s="19"/>
      <c r="KTN246" s="19"/>
      <c r="KTQ246" s="16"/>
      <c r="KTR246" s="15"/>
      <c r="KTS246" s="15"/>
      <c r="KTT246" s="15"/>
      <c r="KTU246" s="16"/>
      <c r="KTV246" s="16"/>
      <c r="KTW246" s="16"/>
      <c r="KTX246" s="16"/>
      <c r="KTY246" s="16"/>
      <c r="KTZ246" s="15"/>
      <c r="KUA246" s="15"/>
      <c r="KUB246" s="10"/>
      <c r="KUC246" s="10"/>
      <c r="KUD246" s="19"/>
      <c r="KUE246" s="19"/>
      <c r="KUH246" s="16"/>
      <c r="KUI246" s="15"/>
      <c r="KUJ246" s="15"/>
      <c r="KUK246" s="15"/>
      <c r="KUL246" s="16"/>
      <c r="KUM246" s="16"/>
      <c r="KUN246" s="16"/>
      <c r="KUO246" s="16"/>
      <c r="KUP246" s="16"/>
      <c r="KUQ246" s="15"/>
      <c r="KUR246" s="15"/>
      <c r="KUS246" s="10"/>
      <c r="KUT246" s="10"/>
      <c r="KUU246" s="19"/>
      <c r="KUV246" s="19"/>
      <c r="KUY246" s="16"/>
      <c r="KUZ246" s="15"/>
      <c r="KVA246" s="15"/>
      <c r="KVB246" s="15"/>
      <c r="KVC246" s="16"/>
      <c r="KVD246" s="16"/>
      <c r="KVE246" s="16"/>
      <c r="KVF246" s="16"/>
      <c r="KVG246" s="16"/>
      <c r="KVH246" s="15"/>
      <c r="KVI246" s="15"/>
      <c r="KVJ246" s="10"/>
      <c r="KVK246" s="10"/>
      <c r="KVL246" s="19"/>
      <c r="KVM246" s="19"/>
      <c r="KVP246" s="16"/>
      <c r="KVQ246" s="15"/>
      <c r="KVR246" s="15"/>
      <c r="KVS246" s="15"/>
      <c r="KVT246" s="16"/>
      <c r="KVU246" s="16"/>
      <c r="KVV246" s="16"/>
      <c r="KVW246" s="16"/>
      <c r="KVX246" s="16"/>
      <c r="KVY246" s="15"/>
      <c r="KVZ246" s="15"/>
      <c r="KWA246" s="10"/>
      <c r="KWB246" s="10"/>
      <c r="KWC246" s="19"/>
      <c r="KWD246" s="19"/>
      <c r="KWG246" s="16"/>
      <c r="KWH246" s="15"/>
      <c r="KWI246" s="15"/>
      <c r="KWJ246" s="15"/>
      <c r="KWK246" s="16"/>
      <c r="KWL246" s="16"/>
      <c r="KWM246" s="16"/>
      <c r="KWN246" s="16"/>
      <c r="KWO246" s="16"/>
      <c r="KWP246" s="15"/>
      <c r="KWQ246" s="15"/>
      <c r="KWR246" s="10"/>
      <c r="KWS246" s="10"/>
      <c r="KWT246" s="19"/>
      <c r="KWU246" s="19"/>
      <c r="KWX246" s="16"/>
      <c r="KWY246" s="15"/>
      <c r="KWZ246" s="15"/>
      <c r="KXA246" s="15"/>
      <c r="KXB246" s="16"/>
      <c r="KXC246" s="16"/>
      <c r="KXD246" s="16"/>
      <c r="KXE246" s="16"/>
      <c r="KXF246" s="16"/>
      <c r="KXG246" s="15"/>
      <c r="KXH246" s="15"/>
      <c r="KXI246" s="10"/>
      <c r="KXJ246" s="10"/>
      <c r="KXK246" s="19"/>
      <c r="KXL246" s="19"/>
      <c r="KXO246" s="16"/>
      <c r="KXP246" s="15"/>
      <c r="KXQ246" s="15"/>
      <c r="KXR246" s="15"/>
      <c r="KXS246" s="16"/>
      <c r="KXT246" s="16"/>
      <c r="KXU246" s="16"/>
      <c r="KXV246" s="16"/>
      <c r="KXW246" s="16"/>
      <c r="KXX246" s="15"/>
      <c r="KXY246" s="15"/>
      <c r="KXZ246" s="10"/>
      <c r="KYA246" s="10"/>
      <c r="KYB246" s="19"/>
      <c r="KYC246" s="19"/>
      <c r="KYF246" s="16"/>
      <c r="KYG246" s="15"/>
      <c r="KYH246" s="15"/>
      <c r="KYI246" s="15"/>
      <c r="KYJ246" s="16"/>
      <c r="KYK246" s="16"/>
      <c r="KYL246" s="16"/>
      <c r="KYM246" s="16"/>
      <c r="KYN246" s="16"/>
      <c r="KYO246" s="15"/>
      <c r="KYP246" s="15"/>
      <c r="KYQ246" s="10"/>
      <c r="KYR246" s="10"/>
      <c r="KYS246" s="19"/>
      <c r="KYT246" s="19"/>
      <c r="KYW246" s="16"/>
      <c r="KYX246" s="15"/>
      <c r="KYY246" s="15"/>
      <c r="KYZ246" s="15"/>
      <c r="KZA246" s="16"/>
      <c r="KZB246" s="16"/>
      <c r="KZC246" s="16"/>
      <c r="KZD246" s="16"/>
      <c r="KZE246" s="16"/>
      <c r="KZF246" s="15"/>
      <c r="KZG246" s="15"/>
      <c r="KZH246" s="10"/>
      <c r="KZI246" s="10"/>
      <c r="KZJ246" s="19"/>
      <c r="KZK246" s="19"/>
      <c r="KZN246" s="16"/>
      <c r="KZO246" s="15"/>
      <c r="KZP246" s="15"/>
      <c r="KZQ246" s="15"/>
      <c r="KZR246" s="16"/>
      <c r="KZS246" s="16"/>
      <c r="KZT246" s="16"/>
      <c r="KZU246" s="16"/>
      <c r="KZV246" s="16"/>
      <c r="KZW246" s="15"/>
      <c r="KZX246" s="15"/>
      <c r="KZY246" s="10"/>
      <c r="KZZ246" s="10"/>
      <c r="LAA246" s="19"/>
      <c r="LAB246" s="19"/>
      <c r="LAE246" s="16"/>
      <c r="LAF246" s="15"/>
      <c r="LAG246" s="15"/>
      <c r="LAH246" s="15"/>
      <c r="LAI246" s="16"/>
      <c r="LAJ246" s="16"/>
      <c r="LAK246" s="16"/>
      <c r="LAL246" s="16"/>
      <c r="LAM246" s="16"/>
      <c r="LAN246" s="15"/>
      <c r="LAO246" s="15"/>
      <c r="LAP246" s="10"/>
      <c r="LAQ246" s="10"/>
      <c r="LAR246" s="19"/>
      <c r="LAS246" s="19"/>
      <c r="LAV246" s="16"/>
      <c r="LAW246" s="15"/>
      <c r="LAX246" s="15"/>
      <c r="LAY246" s="15"/>
      <c r="LAZ246" s="16"/>
      <c r="LBA246" s="16"/>
      <c r="LBB246" s="16"/>
      <c r="LBC246" s="16"/>
      <c r="LBD246" s="16"/>
      <c r="LBE246" s="15"/>
      <c r="LBF246" s="15"/>
      <c r="LBG246" s="10"/>
      <c r="LBH246" s="10"/>
      <c r="LBI246" s="19"/>
      <c r="LBJ246" s="19"/>
      <c r="LBM246" s="16"/>
      <c r="LBN246" s="15"/>
      <c r="LBO246" s="15"/>
      <c r="LBP246" s="15"/>
      <c r="LBQ246" s="16"/>
      <c r="LBR246" s="16"/>
      <c r="LBS246" s="16"/>
      <c r="LBT246" s="16"/>
      <c r="LBU246" s="16"/>
      <c r="LBV246" s="15"/>
      <c r="LBW246" s="15"/>
      <c r="LBX246" s="10"/>
      <c r="LBY246" s="10"/>
      <c r="LBZ246" s="19"/>
      <c r="LCA246" s="19"/>
      <c r="LCD246" s="16"/>
      <c r="LCE246" s="15"/>
      <c r="LCF246" s="15"/>
      <c r="LCG246" s="15"/>
      <c r="LCH246" s="16"/>
      <c r="LCI246" s="16"/>
      <c r="LCJ246" s="16"/>
      <c r="LCK246" s="16"/>
      <c r="LCL246" s="16"/>
      <c r="LCM246" s="15"/>
      <c r="LCN246" s="15"/>
      <c r="LCO246" s="10"/>
      <c r="LCP246" s="10"/>
      <c r="LCQ246" s="19"/>
      <c r="LCR246" s="19"/>
      <c r="LCU246" s="16"/>
      <c r="LCV246" s="15"/>
      <c r="LCW246" s="15"/>
      <c r="LCX246" s="15"/>
      <c r="LCY246" s="16"/>
      <c r="LCZ246" s="16"/>
      <c r="LDA246" s="16"/>
      <c r="LDB246" s="16"/>
      <c r="LDC246" s="16"/>
      <c r="LDD246" s="15"/>
      <c r="LDE246" s="15"/>
      <c r="LDF246" s="10"/>
      <c r="LDG246" s="10"/>
      <c r="LDH246" s="19"/>
      <c r="LDI246" s="19"/>
      <c r="LDL246" s="16"/>
      <c r="LDM246" s="15"/>
      <c r="LDN246" s="15"/>
      <c r="LDO246" s="15"/>
      <c r="LDP246" s="16"/>
      <c r="LDQ246" s="16"/>
      <c r="LDR246" s="16"/>
      <c r="LDS246" s="16"/>
      <c r="LDT246" s="16"/>
      <c r="LDU246" s="15"/>
      <c r="LDV246" s="15"/>
      <c r="LDW246" s="10"/>
      <c r="LDX246" s="10"/>
      <c r="LDY246" s="19"/>
      <c r="LDZ246" s="19"/>
      <c r="LEC246" s="16"/>
      <c r="LED246" s="15"/>
      <c r="LEE246" s="15"/>
      <c r="LEF246" s="15"/>
      <c r="LEG246" s="16"/>
      <c r="LEH246" s="16"/>
      <c r="LEI246" s="16"/>
      <c r="LEJ246" s="16"/>
      <c r="LEK246" s="16"/>
      <c r="LEL246" s="15"/>
      <c r="LEM246" s="15"/>
      <c r="LEN246" s="10"/>
      <c r="LEO246" s="10"/>
      <c r="LEP246" s="19"/>
      <c r="LEQ246" s="19"/>
      <c r="LET246" s="16"/>
      <c r="LEU246" s="15"/>
      <c r="LEV246" s="15"/>
      <c r="LEW246" s="15"/>
      <c r="LEX246" s="16"/>
      <c r="LEY246" s="16"/>
      <c r="LEZ246" s="16"/>
      <c r="LFA246" s="16"/>
      <c r="LFB246" s="16"/>
      <c r="LFC246" s="15"/>
      <c r="LFD246" s="15"/>
      <c r="LFE246" s="10"/>
      <c r="LFF246" s="10"/>
      <c r="LFG246" s="19"/>
      <c r="LFH246" s="19"/>
      <c r="LFK246" s="16"/>
      <c r="LFL246" s="15"/>
      <c r="LFM246" s="15"/>
      <c r="LFN246" s="15"/>
      <c r="LFO246" s="16"/>
      <c r="LFP246" s="16"/>
      <c r="LFQ246" s="16"/>
      <c r="LFR246" s="16"/>
      <c r="LFS246" s="16"/>
      <c r="LFT246" s="15"/>
      <c r="LFU246" s="15"/>
      <c r="LFV246" s="10"/>
      <c r="LFW246" s="10"/>
      <c r="LFX246" s="19"/>
      <c r="LFY246" s="19"/>
      <c r="LGB246" s="16"/>
      <c r="LGC246" s="15"/>
      <c r="LGD246" s="15"/>
      <c r="LGE246" s="15"/>
      <c r="LGF246" s="16"/>
      <c r="LGG246" s="16"/>
      <c r="LGH246" s="16"/>
      <c r="LGI246" s="16"/>
      <c r="LGJ246" s="16"/>
      <c r="LGK246" s="15"/>
      <c r="LGL246" s="15"/>
      <c r="LGM246" s="10"/>
      <c r="LGN246" s="10"/>
      <c r="LGO246" s="19"/>
      <c r="LGP246" s="19"/>
      <c r="LGS246" s="16"/>
      <c r="LGT246" s="15"/>
      <c r="LGU246" s="15"/>
      <c r="LGV246" s="15"/>
      <c r="LGW246" s="16"/>
      <c r="LGX246" s="16"/>
      <c r="LGY246" s="16"/>
      <c r="LGZ246" s="16"/>
      <c r="LHA246" s="16"/>
      <c r="LHB246" s="15"/>
      <c r="LHC246" s="15"/>
      <c r="LHD246" s="10"/>
      <c r="LHE246" s="10"/>
      <c r="LHF246" s="19"/>
      <c r="LHG246" s="19"/>
      <c r="LHJ246" s="16"/>
      <c r="LHK246" s="15"/>
      <c r="LHL246" s="15"/>
      <c r="LHM246" s="15"/>
      <c r="LHN246" s="16"/>
      <c r="LHO246" s="16"/>
      <c r="LHP246" s="16"/>
      <c r="LHQ246" s="16"/>
      <c r="LHR246" s="16"/>
      <c r="LHS246" s="15"/>
      <c r="LHT246" s="15"/>
      <c r="LHU246" s="10"/>
      <c r="LHV246" s="10"/>
      <c r="LHW246" s="19"/>
      <c r="LHX246" s="19"/>
      <c r="LIA246" s="16"/>
      <c r="LIB246" s="15"/>
      <c r="LIC246" s="15"/>
      <c r="LID246" s="15"/>
      <c r="LIE246" s="16"/>
      <c r="LIF246" s="16"/>
      <c r="LIG246" s="16"/>
      <c r="LIH246" s="16"/>
      <c r="LII246" s="16"/>
      <c r="LIJ246" s="15"/>
      <c r="LIK246" s="15"/>
      <c r="LIL246" s="10"/>
      <c r="LIM246" s="10"/>
      <c r="LIN246" s="19"/>
      <c r="LIO246" s="19"/>
      <c r="LIR246" s="16"/>
      <c r="LIS246" s="15"/>
      <c r="LIT246" s="15"/>
      <c r="LIU246" s="15"/>
      <c r="LIV246" s="16"/>
      <c r="LIW246" s="16"/>
      <c r="LIX246" s="16"/>
      <c r="LIY246" s="16"/>
      <c r="LIZ246" s="16"/>
      <c r="LJA246" s="15"/>
      <c r="LJB246" s="15"/>
      <c r="LJC246" s="10"/>
      <c r="LJD246" s="10"/>
      <c r="LJE246" s="19"/>
      <c r="LJF246" s="19"/>
      <c r="LJI246" s="16"/>
      <c r="LJJ246" s="15"/>
      <c r="LJK246" s="15"/>
      <c r="LJL246" s="15"/>
      <c r="LJM246" s="16"/>
      <c r="LJN246" s="16"/>
      <c r="LJO246" s="16"/>
      <c r="LJP246" s="16"/>
      <c r="LJQ246" s="16"/>
      <c r="LJR246" s="15"/>
      <c r="LJS246" s="15"/>
      <c r="LJT246" s="10"/>
      <c r="LJU246" s="10"/>
      <c r="LJV246" s="19"/>
      <c r="LJW246" s="19"/>
      <c r="LJZ246" s="16"/>
      <c r="LKA246" s="15"/>
      <c r="LKB246" s="15"/>
      <c r="LKC246" s="15"/>
      <c r="LKD246" s="16"/>
      <c r="LKE246" s="16"/>
      <c r="LKF246" s="16"/>
      <c r="LKG246" s="16"/>
      <c r="LKH246" s="16"/>
      <c r="LKI246" s="15"/>
      <c r="LKJ246" s="15"/>
      <c r="LKK246" s="10"/>
      <c r="LKL246" s="10"/>
      <c r="LKM246" s="19"/>
      <c r="LKN246" s="19"/>
      <c r="LKQ246" s="16"/>
      <c r="LKR246" s="15"/>
      <c r="LKS246" s="15"/>
      <c r="LKT246" s="15"/>
      <c r="LKU246" s="16"/>
      <c r="LKV246" s="16"/>
      <c r="LKW246" s="16"/>
      <c r="LKX246" s="16"/>
      <c r="LKY246" s="16"/>
      <c r="LKZ246" s="15"/>
      <c r="LLA246" s="15"/>
      <c r="LLB246" s="10"/>
      <c r="LLC246" s="10"/>
      <c r="LLD246" s="19"/>
      <c r="LLE246" s="19"/>
      <c r="LLH246" s="16"/>
      <c r="LLI246" s="15"/>
      <c r="LLJ246" s="15"/>
      <c r="LLK246" s="15"/>
      <c r="LLL246" s="16"/>
      <c r="LLM246" s="16"/>
      <c r="LLN246" s="16"/>
      <c r="LLO246" s="16"/>
      <c r="LLP246" s="16"/>
      <c r="LLQ246" s="15"/>
      <c r="LLR246" s="15"/>
      <c r="LLS246" s="10"/>
      <c r="LLT246" s="10"/>
      <c r="LLU246" s="19"/>
      <c r="LLV246" s="19"/>
      <c r="LLY246" s="16"/>
      <c r="LLZ246" s="15"/>
      <c r="LMA246" s="15"/>
      <c r="LMB246" s="15"/>
      <c r="LMC246" s="16"/>
      <c r="LMD246" s="16"/>
      <c r="LME246" s="16"/>
      <c r="LMF246" s="16"/>
      <c r="LMG246" s="16"/>
      <c r="LMH246" s="15"/>
      <c r="LMI246" s="15"/>
      <c r="LMJ246" s="10"/>
      <c r="LMK246" s="10"/>
      <c r="LML246" s="19"/>
      <c r="LMM246" s="19"/>
      <c r="LMP246" s="16"/>
      <c r="LMQ246" s="15"/>
      <c r="LMR246" s="15"/>
      <c r="LMS246" s="15"/>
      <c r="LMT246" s="16"/>
      <c r="LMU246" s="16"/>
      <c r="LMV246" s="16"/>
      <c r="LMW246" s="16"/>
      <c r="LMX246" s="16"/>
      <c r="LMY246" s="15"/>
      <c r="LMZ246" s="15"/>
      <c r="LNA246" s="10"/>
      <c r="LNB246" s="10"/>
      <c r="LNC246" s="19"/>
      <c r="LND246" s="19"/>
      <c r="LNG246" s="16"/>
      <c r="LNH246" s="15"/>
      <c r="LNI246" s="15"/>
      <c r="LNJ246" s="15"/>
      <c r="LNK246" s="16"/>
      <c r="LNL246" s="16"/>
      <c r="LNM246" s="16"/>
      <c r="LNN246" s="16"/>
      <c r="LNO246" s="16"/>
      <c r="LNP246" s="15"/>
      <c r="LNQ246" s="15"/>
      <c r="LNR246" s="10"/>
      <c r="LNS246" s="10"/>
      <c r="LNT246" s="19"/>
      <c r="LNU246" s="19"/>
      <c r="LNX246" s="16"/>
      <c r="LNY246" s="15"/>
      <c r="LNZ246" s="15"/>
      <c r="LOA246" s="15"/>
      <c r="LOB246" s="16"/>
      <c r="LOC246" s="16"/>
      <c r="LOD246" s="16"/>
      <c r="LOE246" s="16"/>
      <c r="LOF246" s="16"/>
      <c r="LOG246" s="15"/>
      <c r="LOH246" s="15"/>
      <c r="LOI246" s="10"/>
      <c r="LOJ246" s="10"/>
      <c r="LOK246" s="19"/>
      <c r="LOL246" s="19"/>
      <c r="LOO246" s="16"/>
      <c r="LOP246" s="15"/>
      <c r="LOQ246" s="15"/>
      <c r="LOR246" s="15"/>
      <c r="LOS246" s="16"/>
      <c r="LOT246" s="16"/>
      <c r="LOU246" s="16"/>
      <c r="LOV246" s="16"/>
      <c r="LOW246" s="16"/>
      <c r="LOX246" s="15"/>
      <c r="LOY246" s="15"/>
      <c r="LOZ246" s="10"/>
      <c r="LPA246" s="10"/>
      <c r="LPB246" s="19"/>
      <c r="LPC246" s="19"/>
      <c r="LPF246" s="16"/>
      <c r="LPG246" s="15"/>
      <c r="LPH246" s="15"/>
      <c r="LPI246" s="15"/>
      <c r="LPJ246" s="16"/>
      <c r="LPK246" s="16"/>
      <c r="LPL246" s="16"/>
      <c r="LPM246" s="16"/>
      <c r="LPN246" s="16"/>
      <c r="LPO246" s="15"/>
      <c r="LPP246" s="15"/>
      <c r="LPQ246" s="10"/>
      <c r="LPR246" s="10"/>
      <c r="LPS246" s="19"/>
      <c r="LPT246" s="19"/>
      <c r="LPW246" s="16"/>
      <c r="LPX246" s="15"/>
      <c r="LPY246" s="15"/>
      <c r="LPZ246" s="15"/>
      <c r="LQA246" s="16"/>
      <c r="LQB246" s="16"/>
      <c r="LQC246" s="16"/>
      <c r="LQD246" s="16"/>
      <c r="LQE246" s="16"/>
      <c r="LQF246" s="15"/>
      <c r="LQG246" s="15"/>
      <c r="LQH246" s="10"/>
      <c r="LQI246" s="10"/>
      <c r="LQJ246" s="19"/>
      <c r="LQK246" s="19"/>
      <c r="LQN246" s="16"/>
      <c r="LQO246" s="15"/>
      <c r="LQP246" s="15"/>
      <c r="LQQ246" s="15"/>
      <c r="LQR246" s="16"/>
      <c r="LQS246" s="16"/>
      <c r="LQT246" s="16"/>
      <c r="LQU246" s="16"/>
      <c r="LQV246" s="16"/>
      <c r="LQW246" s="15"/>
      <c r="LQX246" s="15"/>
      <c r="LQY246" s="10"/>
      <c r="LQZ246" s="10"/>
      <c r="LRA246" s="19"/>
      <c r="LRB246" s="19"/>
      <c r="LRE246" s="16"/>
      <c r="LRF246" s="15"/>
      <c r="LRG246" s="15"/>
      <c r="LRH246" s="15"/>
      <c r="LRI246" s="16"/>
      <c r="LRJ246" s="16"/>
      <c r="LRK246" s="16"/>
      <c r="LRL246" s="16"/>
      <c r="LRM246" s="16"/>
      <c r="LRN246" s="15"/>
      <c r="LRO246" s="15"/>
      <c r="LRP246" s="10"/>
      <c r="LRQ246" s="10"/>
      <c r="LRR246" s="19"/>
      <c r="LRS246" s="19"/>
      <c r="LRV246" s="16"/>
      <c r="LRW246" s="15"/>
      <c r="LRX246" s="15"/>
      <c r="LRY246" s="15"/>
      <c r="LRZ246" s="16"/>
      <c r="LSA246" s="16"/>
      <c r="LSB246" s="16"/>
      <c r="LSC246" s="16"/>
      <c r="LSD246" s="16"/>
      <c r="LSE246" s="15"/>
      <c r="LSF246" s="15"/>
      <c r="LSG246" s="10"/>
      <c r="LSH246" s="10"/>
      <c r="LSI246" s="19"/>
      <c r="LSJ246" s="19"/>
      <c r="LSM246" s="16"/>
      <c r="LSN246" s="15"/>
      <c r="LSO246" s="15"/>
      <c r="LSP246" s="15"/>
      <c r="LSQ246" s="16"/>
      <c r="LSR246" s="16"/>
      <c r="LSS246" s="16"/>
      <c r="LST246" s="16"/>
      <c r="LSU246" s="16"/>
      <c r="LSV246" s="15"/>
      <c r="LSW246" s="15"/>
      <c r="LSX246" s="10"/>
      <c r="LSY246" s="10"/>
      <c r="LSZ246" s="19"/>
      <c r="LTA246" s="19"/>
      <c r="LTD246" s="16"/>
      <c r="LTE246" s="15"/>
      <c r="LTF246" s="15"/>
      <c r="LTG246" s="15"/>
      <c r="LTH246" s="16"/>
      <c r="LTI246" s="16"/>
      <c r="LTJ246" s="16"/>
      <c r="LTK246" s="16"/>
      <c r="LTL246" s="16"/>
      <c r="LTM246" s="15"/>
      <c r="LTN246" s="15"/>
      <c r="LTO246" s="10"/>
      <c r="LTP246" s="10"/>
      <c r="LTQ246" s="19"/>
      <c r="LTR246" s="19"/>
      <c r="LTU246" s="16"/>
      <c r="LTV246" s="15"/>
      <c r="LTW246" s="15"/>
      <c r="LTX246" s="15"/>
      <c r="LTY246" s="16"/>
      <c r="LTZ246" s="16"/>
      <c r="LUA246" s="16"/>
      <c r="LUB246" s="16"/>
      <c r="LUC246" s="16"/>
      <c r="LUD246" s="15"/>
      <c r="LUE246" s="15"/>
      <c r="LUF246" s="10"/>
      <c r="LUG246" s="10"/>
      <c r="LUH246" s="19"/>
      <c r="LUI246" s="19"/>
      <c r="LUL246" s="16"/>
      <c r="LUM246" s="15"/>
      <c r="LUN246" s="15"/>
      <c r="LUO246" s="15"/>
      <c r="LUP246" s="16"/>
      <c r="LUQ246" s="16"/>
      <c r="LUR246" s="16"/>
      <c r="LUS246" s="16"/>
      <c r="LUT246" s="16"/>
      <c r="LUU246" s="15"/>
      <c r="LUV246" s="15"/>
      <c r="LUW246" s="10"/>
      <c r="LUX246" s="10"/>
      <c r="LUY246" s="19"/>
      <c r="LUZ246" s="19"/>
      <c r="LVC246" s="16"/>
      <c r="LVD246" s="15"/>
      <c r="LVE246" s="15"/>
      <c r="LVF246" s="15"/>
      <c r="LVG246" s="16"/>
      <c r="LVH246" s="16"/>
      <c r="LVI246" s="16"/>
      <c r="LVJ246" s="16"/>
      <c r="LVK246" s="16"/>
      <c r="LVL246" s="15"/>
      <c r="LVM246" s="15"/>
      <c r="LVN246" s="10"/>
      <c r="LVO246" s="10"/>
      <c r="LVP246" s="19"/>
      <c r="LVQ246" s="19"/>
      <c r="LVT246" s="16"/>
      <c r="LVU246" s="15"/>
      <c r="LVV246" s="15"/>
      <c r="LVW246" s="15"/>
      <c r="LVX246" s="16"/>
      <c r="LVY246" s="16"/>
      <c r="LVZ246" s="16"/>
      <c r="LWA246" s="16"/>
      <c r="LWB246" s="16"/>
      <c r="LWC246" s="15"/>
      <c r="LWD246" s="15"/>
      <c r="LWE246" s="10"/>
      <c r="LWF246" s="10"/>
      <c r="LWG246" s="19"/>
      <c r="LWH246" s="19"/>
      <c r="LWK246" s="16"/>
      <c r="LWL246" s="15"/>
      <c r="LWM246" s="15"/>
      <c r="LWN246" s="15"/>
      <c r="LWO246" s="16"/>
      <c r="LWP246" s="16"/>
      <c r="LWQ246" s="16"/>
      <c r="LWR246" s="16"/>
      <c r="LWS246" s="16"/>
      <c r="LWT246" s="15"/>
      <c r="LWU246" s="15"/>
      <c r="LWV246" s="10"/>
      <c r="LWW246" s="10"/>
      <c r="LWX246" s="19"/>
      <c r="LWY246" s="19"/>
      <c r="LXB246" s="16"/>
      <c r="LXC246" s="15"/>
      <c r="LXD246" s="15"/>
      <c r="LXE246" s="15"/>
      <c r="LXF246" s="16"/>
      <c r="LXG246" s="16"/>
      <c r="LXH246" s="16"/>
      <c r="LXI246" s="16"/>
      <c r="LXJ246" s="16"/>
      <c r="LXK246" s="15"/>
      <c r="LXL246" s="15"/>
      <c r="LXM246" s="10"/>
      <c r="LXN246" s="10"/>
      <c r="LXO246" s="19"/>
      <c r="LXP246" s="19"/>
      <c r="LXS246" s="16"/>
      <c r="LXT246" s="15"/>
      <c r="LXU246" s="15"/>
      <c r="LXV246" s="15"/>
      <c r="LXW246" s="16"/>
      <c r="LXX246" s="16"/>
      <c r="LXY246" s="16"/>
      <c r="LXZ246" s="16"/>
      <c r="LYA246" s="16"/>
      <c r="LYB246" s="15"/>
      <c r="LYC246" s="15"/>
      <c r="LYD246" s="10"/>
      <c r="LYE246" s="10"/>
      <c r="LYF246" s="19"/>
      <c r="LYG246" s="19"/>
      <c r="LYJ246" s="16"/>
      <c r="LYK246" s="15"/>
      <c r="LYL246" s="15"/>
      <c r="LYM246" s="15"/>
      <c r="LYN246" s="16"/>
      <c r="LYO246" s="16"/>
      <c r="LYP246" s="16"/>
      <c r="LYQ246" s="16"/>
      <c r="LYR246" s="16"/>
      <c r="LYS246" s="15"/>
      <c r="LYT246" s="15"/>
      <c r="LYU246" s="10"/>
      <c r="LYV246" s="10"/>
      <c r="LYW246" s="19"/>
      <c r="LYX246" s="19"/>
      <c r="LZA246" s="16"/>
      <c r="LZB246" s="15"/>
      <c r="LZC246" s="15"/>
      <c r="LZD246" s="15"/>
      <c r="LZE246" s="16"/>
      <c r="LZF246" s="16"/>
      <c r="LZG246" s="16"/>
      <c r="LZH246" s="16"/>
      <c r="LZI246" s="16"/>
      <c r="LZJ246" s="15"/>
      <c r="LZK246" s="15"/>
      <c r="LZL246" s="10"/>
      <c r="LZM246" s="10"/>
      <c r="LZN246" s="19"/>
      <c r="LZO246" s="19"/>
      <c r="LZR246" s="16"/>
      <c r="LZS246" s="15"/>
      <c r="LZT246" s="15"/>
      <c r="LZU246" s="15"/>
      <c r="LZV246" s="16"/>
      <c r="LZW246" s="16"/>
      <c r="LZX246" s="16"/>
      <c r="LZY246" s="16"/>
      <c r="LZZ246" s="16"/>
      <c r="MAA246" s="15"/>
      <c r="MAB246" s="15"/>
      <c r="MAC246" s="10"/>
      <c r="MAD246" s="10"/>
      <c r="MAE246" s="19"/>
      <c r="MAF246" s="19"/>
      <c r="MAI246" s="16"/>
      <c r="MAJ246" s="15"/>
      <c r="MAK246" s="15"/>
      <c r="MAL246" s="15"/>
      <c r="MAM246" s="16"/>
      <c r="MAN246" s="16"/>
      <c r="MAO246" s="16"/>
      <c r="MAP246" s="16"/>
      <c r="MAQ246" s="16"/>
      <c r="MAR246" s="15"/>
      <c r="MAS246" s="15"/>
      <c r="MAT246" s="10"/>
      <c r="MAU246" s="10"/>
      <c r="MAV246" s="19"/>
      <c r="MAW246" s="19"/>
      <c r="MAZ246" s="16"/>
      <c r="MBA246" s="15"/>
      <c r="MBB246" s="15"/>
      <c r="MBC246" s="15"/>
      <c r="MBD246" s="16"/>
      <c r="MBE246" s="16"/>
      <c r="MBF246" s="16"/>
      <c r="MBG246" s="16"/>
      <c r="MBH246" s="16"/>
      <c r="MBI246" s="15"/>
      <c r="MBJ246" s="15"/>
      <c r="MBK246" s="10"/>
      <c r="MBL246" s="10"/>
      <c r="MBM246" s="19"/>
      <c r="MBN246" s="19"/>
      <c r="MBQ246" s="16"/>
      <c r="MBR246" s="15"/>
      <c r="MBS246" s="15"/>
      <c r="MBT246" s="15"/>
      <c r="MBU246" s="16"/>
      <c r="MBV246" s="16"/>
      <c r="MBW246" s="16"/>
      <c r="MBX246" s="16"/>
      <c r="MBY246" s="16"/>
      <c r="MBZ246" s="15"/>
      <c r="MCA246" s="15"/>
      <c r="MCB246" s="10"/>
      <c r="MCC246" s="10"/>
      <c r="MCD246" s="19"/>
      <c r="MCE246" s="19"/>
      <c r="MCH246" s="16"/>
      <c r="MCI246" s="15"/>
      <c r="MCJ246" s="15"/>
      <c r="MCK246" s="15"/>
      <c r="MCL246" s="16"/>
      <c r="MCM246" s="16"/>
      <c r="MCN246" s="16"/>
      <c r="MCO246" s="16"/>
      <c r="MCP246" s="16"/>
      <c r="MCQ246" s="15"/>
      <c r="MCR246" s="15"/>
      <c r="MCS246" s="10"/>
      <c r="MCT246" s="10"/>
      <c r="MCU246" s="19"/>
      <c r="MCV246" s="19"/>
      <c r="MCY246" s="16"/>
      <c r="MCZ246" s="15"/>
      <c r="MDA246" s="15"/>
      <c r="MDB246" s="15"/>
      <c r="MDC246" s="16"/>
      <c r="MDD246" s="16"/>
      <c r="MDE246" s="16"/>
      <c r="MDF246" s="16"/>
      <c r="MDG246" s="16"/>
      <c r="MDH246" s="15"/>
      <c r="MDI246" s="15"/>
      <c r="MDJ246" s="10"/>
      <c r="MDK246" s="10"/>
      <c r="MDL246" s="19"/>
      <c r="MDM246" s="19"/>
      <c r="MDP246" s="16"/>
      <c r="MDQ246" s="15"/>
      <c r="MDR246" s="15"/>
      <c r="MDS246" s="15"/>
      <c r="MDT246" s="16"/>
      <c r="MDU246" s="16"/>
      <c r="MDV246" s="16"/>
      <c r="MDW246" s="16"/>
      <c r="MDX246" s="16"/>
      <c r="MDY246" s="15"/>
      <c r="MDZ246" s="15"/>
      <c r="MEA246" s="10"/>
      <c r="MEB246" s="10"/>
      <c r="MEC246" s="19"/>
      <c r="MED246" s="19"/>
      <c r="MEG246" s="16"/>
      <c r="MEH246" s="15"/>
      <c r="MEI246" s="15"/>
      <c r="MEJ246" s="15"/>
      <c r="MEK246" s="16"/>
      <c r="MEL246" s="16"/>
      <c r="MEM246" s="16"/>
      <c r="MEN246" s="16"/>
      <c r="MEO246" s="16"/>
      <c r="MEP246" s="15"/>
      <c r="MEQ246" s="15"/>
      <c r="MER246" s="10"/>
      <c r="MES246" s="10"/>
      <c r="MET246" s="19"/>
      <c r="MEU246" s="19"/>
      <c r="MEX246" s="16"/>
      <c r="MEY246" s="15"/>
      <c r="MEZ246" s="15"/>
      <c r="MFA246" s="15"/>
      <c r="MFB246" s="16"/>
      <c r="MFC246" s="16"/>
      <c r="MFD246" s="16"/>
      <c r="MFE246" s="16"/>
      <c r="MFF246" s="16"/>
      <c r="MFG246" s="15"/>
      <c r="MFH246" s="15"/>
      <c r="MFI246" s="10"/>
      <c r="MFJ246" s="10"/>
      <c r="MFK246" s="19"/>
      <c r="MFL246" s="19"/>
      <c r="MFO246" s="16"/>
      <c r="MFP246" s="15"/>
      <c r="MFQ246" s="15"/>
      <c r="MFR246" s="15"/>
      <c r="MFS246" s="16"/>
      <c r="MFT246" s="16"/>
      <c r="MFU246" s="16"/>
      <c r="MFV246" s="16"/>
      <c r="MFW246" s="16"/>
      <c r="MFX246" s="15"/>
      <c r="MFY246" s="15"/>
      <c r="MFZ246" s="10"/>
      <c r="MGA246" s="10"/>
      <c r="MGB246" s="19"/>
      <c r="MGC246" s="19"/>
      <c r="MGF246" s="16"/>
      <c r="MGG246" s="15"/>
      <c r="MGH246" s="15"/>
      <c r="MGI246" s="15"/>
      <c r="MGJ246" s="16"/>
      <c r="MGK246" s="16"/>
      <c r="MGL246" s="16"/>
      <c r="MGM246" s="16"/>
      <c r="MGN246" s="16"/>
      <c r="MGO246" s="15"/>
      <c r="MGP246" s="15"/>
      <c r="MGQ246" s="10"/>
      <c r="MGR246" s="10"/>
      <c r="MGS246" s="19"/>
      <c r="MGT246" s="19"/>
      <c r="MGW246" s="16"/>
      <c r="MGX246" s="15"/>
      <c r="MGY246" s="15"/>
      <c r="MGZ246" s="15"/>
      <c r="MHA246" s="16"/>
      <c r="MHB246" s="16"/>
      <c r="MHC246" s="16"/>
      <c r="MHD246" s="16"/>
      <c r="MHE246" s="16"/>
      <c r="MHF246" s="15"/>
      <c r="MHG246" s="15"/>
      <c r="MHH246" s="10"/>
      <c r="MHI246" s="10"/>
      <c r="MHJ246" s="19"/>
      <c r="MHK246" s="19"/>
      <c r="MHN246" s="16"/>
      <c r="MHO246" s="15"/>
      <c r="MHP246" s="15"/>
      <c r="MHQ246" s="15"/>
      <c r="MHR246" s="16"/>
      <c r="MHS246" s="16"/>
      <c r="MHT246" s="16"/>
      <c r="MHU246" s="16"/>
      <c r="MHV246" s="16"/>
      <c r="MHW246" s="15"/>
      <c r="MHX246" s="15"/>
      <c r="MHY246" s="10"/>
      <c r="MHZ246" s="10"/>
      <c r="MIA246" s="19"/>
      <c r="MIB246" s="19"/>
      <c r="MIE246" s="16"/>
      <c r="MIF246" s="15"/>
      <c r="MIG246" s="15"/>
      <c r="MIH246" s="15"/>
      <c r="MII246" s="16"/>
      <c r="MIJ246" s="16"/>
      <c r="MIK246" s="16"/>
      <c r="MIL246" s="16"/>
      <c r="MIM246" s="16"/>
      <c r="MIN246" s="15"/>
      <c r="MIO246" s="15"/>
      <c r="MIP246" s="10"/>
      <c r="MIQ246" s="10"/>
      <c r="MIR246" s="19"/>
      <c r="MIS246" s="19"/>
      <c r="MIV246" s="16"/>
      <c r="MIW246" s="15"/>
      <c r="MIX246" s="15"/>
      <c r="MIY246" s="15"/>
      <c r="MIZ246" s="16"/>
      <c r="MJA246" s="16"/>
      <c r="MJB246" s="16"/>
      <c r="MJC246" s="16"/>
      <c r="MJD246" s="16"/>
      <c r="MJE246" s="15"/>
      <c r="MJF246" s="15"/>
      <c r="MJG246" s="10"/>
      <c r="MJH246" s="10"/>
      <c r="MJI246" s="19"/>
      <c r="MJJ246" s="19"/>
      <c r="MJM246" s="16"/>
      <c r="MJN246" s="15"/>
      <c r="MJO246" s="15"/>
      <c r="MJP246" s="15"/>
      <c r="MJQ246" s="16"/>
      <c r="MJR246" s="16"/>
      <c r="MJS246" s="16"/>
      <c r="MJT246" s="16"/>
      <c r="MJU246" s="16"/>
      <c r="MJV246" s="15"/>
      <c r="MJW246" s="15"/>
      <c r="MJX246" s="10"/>
      <c r="MJY246" s="10"/>
      <c r="MJZ246" s="19"/>
      <c r="MKA246" s="19"/>
      <c r="MKD246" s="16"/>
      <c r="MKE246" s="15"/>
      <c r="MKF246" s="15"/>
      <c r="MKG246" s="15"/>
      <c r="MKH246" s="16"/>
      <c r="MKI246" s="16"/>
      <c r="MKJ246" s="16"/>
      <c r="MKK246" s="16"/>
      <c r="MKL246" s="16"/>
      <c r="MKM246" s="15"/>
      <c r="MKN246" s="15"/>
      <c r="MKO246" s="10"/>
      <c r="MKP246" s="10"/>
      <c r="MKQ246" s="19"/>
      <c r="MKR246" s="19"/>
      <c r="MKU246" s="16"/>
      <c r="MKV246" s="15"/>
      <c r="MKW246" s="15"/>
      <c r="MKX246" s="15"/>
      <c r="MKY246" s="16"/>
      <c r="MKZ246" s="16"/>
      <c r="MLA246" s="16"/>
      <c r="MLB246" s="16"/>
      <c r="MLC246" s="16"/>
      <c r="MLD246" s="15"/>
      <c r="MLE246" s="15"/>
      <c r="MLF246" s="10"/>
      <c r="MLG246" s="10"/>
      <c r="MLH246" s="19"/>
      <c r="MLI246" s="19"/>
      <c r="MLL246" s="16"/>
      <c r="MLM246" s="15"/>
      <c r="MLN246" s="15"/>
      <c r="MLO246" s="15"/>
      <c r="MLP246" s="16"/>
      <c r="MLQ246" s="16"/>
      <c r="MLR246" s="16"/>
      <c r="MLS246" s="16"/>
      <c r="MLT246" s="16"/>
      <c r="MLU246" s="15"/>
      <c r="MLV246" s="15"/>
      <c r="MLW246" s="10"/>
      <c r="MLX246" s="10"/>
      <c r="MLY246" s="19"/>
      <c r="MLZ246" s="19"/>
      <c r="MMC246" s="16"/>
      <c r="MMD246" s="15"/>
      <c r="MME246" s="15"/>
      <c r="MMF246" s="15"/>
      <c r="MMG246" s="16"/>
      <c r="MMH246" s="16"/>
      <c r="MMI246" s="16"/>
      <c r="MMJ246" s="16"/>
      <c r="MMK246" s="16"/>
      <c r="MML246" s="15"/>
      <c r="MMM246" s="15"/>
      <c r="MMN246" s="10"/>
      <c r="MMO246" s="10"/>
      <c r="MMP246" s="19"/>
      <c r="MMQ246" s="19"/>
      <c r="MMT246" s="16"/>
      <c r="MMU246" s="15"/>
      <c r="MMV246" s="15"/>
      <c r="MMW246" s="15"/>
      <c r="MMX246" s="16"/>
      <c r="MMY246" s="16"/>
      <c r="MMZ246" s="16"/>
      <c r="MNA246" s="16"/>
      <c r="MNB246" s="16"/>
      <c r="MNC246" s="15"/>
      <c r="MND246" s="15"/>
      <c r="MNE246" s="10"/>
      <c r="MNF246" s="10"/>
      <c r="MNG246" s="19"/>
      <c r="MNH246" s="19"/>
      <c r="MNK246" s="16"/>
      <c r="MNL246" s="15"/>
      <c r="MNM246" s="15"/>
      <c r="MNN246" s="15"/>
      <c r="MNO246" s="16"/>
      <c r="MNP246" s="16"/>
      <c r="MNQ246" s="16"/>
      <c r="MNR246" s="16"/>
      <c r="MNS246" s="16"/>
      <c r="MNT246" s="15"/>
      <c r="MNU246" s="15"/>
      <c r="MNV246" s="10"/>
      <c r="MNW246" s="10"/>
      <c r="MNX246" s="19"/>
      <c r="MNY246" s="19"/>
      <c r="MOB246" s="16"/>
      <c r="MOC246" s="15"/>
      <c r="MOD246" s="15"/>
      <c r="MOE246" s="15"/>
      <c r="MOF246" s="16"/>
      <c r="MOG246" s="16"/>
      <c r="MOH246" s="16"/>
      <c r="MOI246" s="16"/>
      <c r="MOJ246" s="16"/>
      <c r="MOK246" s="15"/>
      <c r="MOL246" s="15"/>
      <c r="MOM246" s="10"/>
      <c r="MON246" s="10"/>
      <c r="MOO246" s="19"/>
      <c r="MOP246" s="19"/>
      <c r="MOS246" s="16"/>
      <c r="MOT246" s="15"/>
      <c r="MOU246" s="15"/>
      <c r="MOV246" s="15"/>
      <c r="MOW246" s="16"/>
      <c r="MOX246" s="16"/>
      <c r="MOY246" s="16"/>
      <c r="MOZ246" s="16"/>
      <c r="MPA246" s="16"/>
      <c r="MPB246" s="15"/>
      <c r="MPC246" s="15"/>
      <c r="MPD246" s="10"/>
      <c r="MPE246" s="10"/>
      <c r="MPF246" s="19"/>
      <c r="MPG246" s="19"/>
      <c r="MPJ246" s="16"/>
      <c r="MPK246" s="15"/>
      <c r="MPL246" s="15"/>
      <c r="MPM246" s="15"/>
      <c r="MPN246" s="16"/>
      <c r="MPO246" s="16"/>
      <c r="MPP246" s="16"/>
      <c r="MPQ246" s="16"/>
      <c r="MPR246" s="16"/>
      <c r="MPS246" s="15"/>
      <c r="MPT246" s="15"/>
      <c r="MPU246" s="10"/>
      <c r="MPV246" s="10"/>
      <c r="MPW246" s="19"/>
      <c r="MPX246" s="19"/>
      <c r="MQA246" s="16"/>
      <c r="MQB246" s="15"/>
      <c r="MQC246" s="15"/>
      <c r="MQD246" s="15"/>
      <c r="MQE246" s="16"/>
      <c r="MQF246" s="16"/>
      <c r="MQG246" s="16"/>
      <c r="MQH246" s="16"/>
      <c r="MQI246" s="16"/>
      <c r="MQJ246" s="15"/>
      <c r="MQK246" s="15"/>
      <c r="MQL246" s="10"/>
      <c r="MQM246" s="10"/>
      <c r="MQN246" s="19"/>
      <c r="MQO246" s="19"/>
      <c r="MQR246" s="16"/>
      <c r="MQS246" s="15"/>
      <c r="MQT246" s="15"/>
      <c r="MQU246" s="15"/>
      <c r="MQV246" s="16"/>
      <c r="MQW246" s="16"/>
      <c r="MQX246" s="16"/>
      <c r="MQY246" s="16"/>
      <c r="MQZ246" s="16"/>
      <c r="MRA246" s="15"/>
      <c r="MRB246" s="15"/>
      <c r="MRC246" s="10"/>
      <c r="MRD246" s="10"/>
      <c r="MRE246" s="19"/>
      <c r="MRF246" s="19"/>
      <c r="MRI246" s="16"/>
      <c r="MRJ246" s="15"/>
      <c r="MRK246" s="15"/>
      <c r="MRL246" s="15"/>
      <c r="MRM246" s="16"/>
      <c r="MRN246" s="16"/>
      <c r="MRO246" s="16"/>
      <c r="MRP246" s="16"/>
      <c r="MRQ246" s="16"/>
      <c r="MRR246" s="15"/>
      <c r="MRS246" s="15"/>
      <c r="MRT246" s="10"/>
      <c r="MRU246" s="10"/>
      <c r="MRV246" s="19"/>
      <c r="MRW246" s="19"/>
      <c r="MRZ246" s="16"/>
      <c r="MSA246" s="15"/>
      <c r="MSB246" s="15"/>
      <c r="MSC246" s="15"/>
      <c r="MSD246" s="16"/>
      <c r="MSE246" s="16"/>
      <c r="MSF246" s="16"/>
      <c r="MSG246" s="16"/>
      <c r="MSH246" s="16"/>
      <c r="MSI246" s="15"/>
      <c r="MSJ246" s="15"/>
      <c r="MSK246" s="10"/>
      <c r="MSL246" s="10"/>
      <c r="MSM246" s="19"/>
      <c r="MSN246" s="19"/>
      <c r="MSQ246" s="16"/>
      <c r="MSR246" s="15"/>
      <c r="MSS246" s="15"/>
      <c r="MST246" s="15"/>
      <c r="MSU246" s="16"/>
      <c r="MSV246" s="16"/>
      <c r="MSW246" s="16"/>
      <c r="MSX246" s="16"/>
      <c r="MSY246" s="16"/>
      <c r="MSZ246" s="15"/>
      <c r="MTA246" s="15"/>
      <c r="MTB246" s="10"/>
      <c r="MTC246" s="10"/>
      <c r="MTD246" s="19"/>
      <c r="MTE246" s="19"/>
      <c r="MTH246" s="16"/>
      <c r="MTI246" s="15"/>
      <c r="MTJ246" s="15"/>
      <c r="MTK246" s="15"/>
      <c r="MTL246" s="16"/>
      <c r="MTM246" s="16"/>
      <c r="MTN246" s="16"/>
      <c r="MTO246" s="16"/>
      <c r="MTP246" s="16"/>
      <c r="MTQ246" s="15"/>
      <c r="MTR246" s="15"/>
      <c r="MTS246" s="10"/>
      <c r="MTT246" s="10"/>
      <c r="MTU246" s="19"/>
      <c r="MTV246" s="19"/>
      <c r="MTY246" s="16"/>
      <c r="MTZ246" s="15"/>
      <c r="MUA246" s="15"/>
      <c r="MUB246" s="15"/>
      <c r="MUC246" s="16"/>
      <c r="MUD246" s="16"/>
      <c r="MUE246" s="16"/>
      <c r="MUF246" s="16"/>
      <c r="MUG246" s="16"/>
      <c r="MUH246" s="15"/>
      <c r="MUI246" s="15"/>
      <c r="MUJ246" s="10"/>
      <c r="MUK246" s="10"/>
      <c r="MUL246" s="19"/>
      <c r="MUM246" s="19"/>
      <c r="MUP246" s="16"/>
      <c r="MUQ246" s="15"/>
      <c r="MUR246" s="15"/>
      <c r="MUS246" s="15"/>
      <c r="MUT246" s="16"/>
      <c r="MUU246" s="16"/>
      <c r="MUV246" s="16"/>
      <c r="MUW246" s="16"/>
      <c r="MUX246" s="16"/>
      <c r="MUY246" s="15"/>
      <c r="MUZ246" s="15"/>
      <c r="MVA246" s="10"/>
      <c r="MVB246" s="10"/>
      <c r="MVC246" s="19"/>
      <c r="MVD246" s="19"/>
      <c r="MVG246" s="16"/>
      <c r="MVH246" s="15"/>
      <c r="MVI246" s="15"/>
      <c r="MVJ246" s="15"/>
      <c r="MVK246" s="16"/>
      <c r="MVL246" s="16"/>
      <c r="MVM246" s="16"/>
      <c r="MVN246" s="16"/>
      <c r="MVO246" s="16"/>
      <c r="MVP246" s="15"/>
      <c r="MVQ246" s="15"/>
      <c r="MVR246" s="10"/>
      <c r="MVS246" s="10"/>
      <c r="MVT246" s="19"/>
      <c r="MVU246" s="19"/>
      <c r="MVX246" s="16"/>
      <c r="MVY246" s="15"/>
      <c r="MVZ246" s="15"/>
      <c r="MWA246" s="15"/>
      <c r="MWB246" s="16"/>
      <c r="MWC246" s="16"/>
      <c r="MWD246" s="16"/>
      <c r="MWE246" s="16"/>
      <c r="MWF246" s="16"/>
      <c r="MWG246" s="15"/>
      <c r="MWH246" s="15"/>
      <c r="MWI246" s="10"/>
      <c r="MWJ246" s="10"/>
      <c r="MWK246" s="19"/>
      <c r="MWL246" s="19"/>
      <c r="MWO246" s="16"/>
      <c r="MWP246" s="15"/>
      <c r="MWQ246" s="15"/>
      <c r="MWR246" s="15"/>
      <c r="MWS246" s="16"/>
      <c r="MWT246" s="16"/>
      <c r="MWU246" s="16"/>
      <c r="MWV246" s="16"/>
      <c r="MWW246" s="16"/>
      <c r="MWX246" s="15"/>
      <c r="MWY246" s="15"/>
      <c r="MWZ246" s="10"/>
      <c r="MXA246" s="10"/>
      <c r="MXB246" s="19"/>
      <c r="MXC246" s="19"/>
      <c r="MXF246" s="16"/>
      <c r="MXG246" s="15"/>
      <c r="MXH246" s="15"/>
      <c r="MXI246" s="15"/>
      <c r="MXJ246" s="16"/>
      <c r="MXK246" s="16"/>
      <c r="MXL246" s="16"/>
      <c r="MXM246" s="16"/>
      <c r="MXN246" s="16"/>
      <c r="MXO246" s="15"/>
      <c r="MXP246" s="15"/>
      <c r="MXQ246" s="10"/>
      <c r="MXR246" s="10"/>
      <c r="MXS246" s="19"/>
      <c r="MXT246" s="19"/>
      <c r="MXW246" s="16"/>
      <c r="MXX246" s="15"/>
      <c r="MXY246" s="15"/>
      <c r="MXZ246" s="15"/>
      <c r="MYA246" s="16"/>
      <c r="MYB246" s="16"/>
      <c r="MYC246" s="16"/>
      <c r="MYD246" s="16"/>
      <c r="MYE246" s="16"/>
      <c r="MYF246" s="15"/>
      <c r="MYG246" s="15"/>
      <c r="MYH246" s="10"/>
      <c r="MYI246" s="10"/>
      <c r="MYJ246" s="19"/>
      <c r="MYK246" s="19"/>
      <c r="MYN246" s="16"/>
      <c r="MYO246" s="15"/>
      <c r="MYP246" s="15"/>
      <c r="MYQ246" s="15"/>
      <c r="MYR246" s="16"/>
      <c r="MYS246" s="16"/>
      <c r="MYT246" s="16"/>
      <c r="MYU246" s="16"/>
      <c r="MYV246" s="16"/>
      <c r="MYW246" s="15"/>
      <c r="MYX246" s="15"/>
      <c r="MYY246" s="10"/>
      <c r="MYZ246" s="10"/>
      <c r="MZA246" s="19"/>
      <c r="MZB246" s="19"/>
      <c r="MZE246" s="16"/>
      <c r="MZF246" s="15"/>
      <c r="MZG246" s="15"/>
      <c r="MZH246" s="15"/>
      <c r="MZI246" s="16"/>
      <c r="MZJ246" s="16"/>
      <c r="MZK246" s="16"/>
      <c r="MZL246" s="16"/>
      <c r="MZM246" s="16"/>
      <c r="MZN246" s="15"/>
      <c r="MZO246" s="15"/>
      <c r="MZP246" s="10"/>
      <c r="MZQ246" s="10"/>
      <c r="MZR246" s="19"/>
      <c r="MZS246" s="19"/>
      <c r="MZV246" s="16"/>
      <c r="MZW246" s="15"/>
      <c r="MZX246" s="15"/>
      <c r="MZY246" s="15"/>
      <c r="MZZ246" s="16"/>
      <c r="NAA246" s="16"/>
      <c r="NAB246" s="16"/>
      <c r="NAC246" s="16"/>
      <c r="NAD246" s="16"/>
      <c r="NAE246" s="15"/>
      <c r="NAF246" s="15"/>
      <c r="NAG246" s="10"/>
      <c r="NAH246" s="10"/>
      <c r="NAI246" s="19"/>
      <c r="NAJ246" s="19"/>
      <c r="NAM246" s="16"/>
      <c r="NAN246" s="15"/>
      <c r="NAO246" s="15"/>
      <c r="NAP246" s="15"/>
      <c r="NAQ246" s="16"/>
      <c r="NAR246" s="16"/>
      <c r="NAS246" s="16"/>
      <c r="NAT246" s="16"/>
      <c r="NAU246" s="16"/>
      <c r="NAV246" s="15"/>
      <c r="NAW246" s="15"/>
      <c r="NAX246" s="10"/>
      <c r="NAY246" s="10"/>
      <c r="NAZ246" s="19"/>
      <c r="NBA246" s="19"/>
      <c r="NBD246" s="16"/>
      <c r="NBE246" s="15"/>
      <c r="NBF246" s="15"/>
      <c r="NBG246" s="15"/>
      <c r="NBH246" s="16"/>
      <c r="NBI246" s="16"/>
      <c r="NBJ246" s="16"/>
      <c r="NBK246" s="16"/>
      <c r="NBL246" s="16"/>
      <c r="NBM246" s="15"/>
      <c r="NBN246" s="15"/>
      <c r="NBO246" s="10"/>
      <c r="NBP246" s="10"/>
      <c r="NBQ246" s="19"/>
      <c r="NBR246" s="19"/>
      <c r="NBU246" s="16"/>
      <c r="NBV246" s="15"/>
      <c r="NBW246" s="15"/>
      <c r="NBX246" s="15"/>
      <c r="NBY246" s="16"/>
      <c r="NBZ246" s="16"/>
      <c r="NCA246" s="16"/>
      <c r="NCB246" s="16"/>
      <c r="NCC246" s="16"/>
      <c r="NCD246" s="15"/>
      <c r="NCE246" s="15"/>
      <c r="NCF246" s="10"/>
      <c r="NCG246" s="10"/>
      <c r="NCH246" s="19"/>
      <c r="NCI246" s="19"/>
      <c r="NCL246" s="16"/>
      <c r="NCM246" s="15"/>
      <c r="NCN246" s="15"/>
      <c r="NCO246" s="15"/>
      <c r="NCP246" s="16"/>
      <c r="NCQ246" s="16"/>
      <c r="NCR246" s="16"/>
      <c r="NCS246" s="16"/>
      <c r="NCT246" s="16"/>
      <c r="NCU246" s="15"/>
      <c r="NCV246" s="15"/>
      <c r="NCW246" s="10"/>
      <c r="NCX246" s="10"/>
      <c r="NCY246" s="19"/>
      <c r="NCZ246" s="19"/>
      <c r="NDC246" s="16"/>
      <c r="NDD246" s="15"/>
      <c r="NDE246" s="15"/>
      <c r="NDF246" s="15"/>
      <c r="NDG246" s="16"/>
      <c r="NDH246" s="16"/>
      <c r="NDI246" s="16"/>
      <c r="NDJ246" s="16"/>
      <c r="NDK246" s="16"/>
      <c r="NDL246" s="15"/>
      <c r="NDM246" s="15"/>
      <c r="NDN246" s="10"/>
      <c r="NDO246" s="10"/>
      <c r="NDP246" s="19"/>
      <c r="NDQ246" s="19"/>
      <c r="NDT246" s="16"/>
      <c r="NDU246" s="15"/>
      <c r="NDV246" s="15"/>
      <c r="NDW246" s="15"/>
      <c r="NDX246" s="16"/>
      <c r="NDY246" s="16"/>
      <c r="NDZ246" s="16"/>
      <c r="NEA246" s="16"/>
      <c r="NEB246" s="16"/>
      <c r="NEC246" s="15"/>
      <c r="NED246" s="15"/>
      <c r="NEE246" s="10"/>
      <c r="NEF246" s="10"/>
      <c r="NEG246" s="19"/>
      <c r="NEH246" s="19"/>
      <c r="NEK246" s="16"/>
      <c r="NEL246" s="15"/>
      <c r="NEM246" s="15"/>
      <c r="NEN246" s="15"/>
      <c r="NEO246" s="16"/>
      <c r="NEP246" s="16"/>
      <c r="NEQ246" s="16"/>
      <c r="NER246" s="16"/>
      <c r="NES246" s="16"/>
      <c r="NET246" s="15"/>
      <c r="NEU246" s="15"/>
      <c r="NEV246" s="10"/>
      <c r="NEW246" s="10"/>
      <c r="NEX246" s="19"/>
      <c r="NEY246" s="19"/>
      <c r="NFB246" s="16"/>
      <c r="NFC246" s="15"/>
      <c r="NFD246" s="15"/>
      <c r="NFE246" s="15"/>
      <c r="NFF246" s="16"/>
      <c r="NFG246" s="16"/>
      <c r="NFH246" s="16"/>
      <c r="NFI246" s="16"/>
      <c r="NFJ246" s="16"/>
      <c r="NFK246" s="15"/>
      <c r="NFL246" s="15"/>
      <c r="NFM246" s="10"/>
      <c r="NFN246" s="10"/>
      <c r="NFO246" s="19"/>
      <c r="NFP246" s="19"/>
      <c r="NFS246" s="16"/>
      <c r="NFT246" s="15"/>
      <c r="NFU246" s="15"/>
      <c r="NFV246" s="15"/>
      <c r="NFW246" s="16"/>
      <c r="NFX246" s="16"/>
      <c r="NFY246" s="16"/>
      <c r="NFZ246" s="16"/>
      <c r="NGA246" s="16"/>
      <c r="NGB246" s="15"/>
      <c r="NGC246" s="15"/>
      <c r="NGD246" s="10"/>
      <c r="NGE246" s="10"/>
      <c r="NGF246" s="19"/>
      <c r="NGG246" s="19"/>
      <c r="NGJ246" s="16"/>
      <c r="NGK246" s="15"/>
      <c r="NGL246" s="15"/>
      <c r="NGM246" s="15"/>
      <c r="NGN246" s="16"/>
      <c r="NGO246" s="16"/>
      <c r="NGP246" s="16"/>
      <c r="NGQ246" s="16"/>
      <c r="NGR246" s="16"/>
      <c r="NGS246" s="15"/>
      <c r="NGT246" s="15"/>
      <c r="NGU246" s="10"/>
      <c r="NGV246" s="10"/>
      <c r="NGW246" s="19"/>
      <c r="NGX246" s="19"/>
      <c r="NHA246" s="16"/>
      <c r="NHB246" s="15"/>
      <c r="NHC246" s="15"/>
      <c r="NHD246" s="15"/>
      <c r="NHE246" s="16"/>
      <c r="NHF246" s="16"/>
      <c r="NHG246" s="16"/>
      <c r="NHH246" s="16"/>
      <c r="NHI246" s="16"/>
      <c r="NHJ246" s="15"/>
      <c r="NHK246" s="15"/>
      <c r="NHL246" s="10"/>
      <c r="NHM246" s="10"/>
      <c r="NHN246" s="19"/>
      <c r="NHO246" s="19"/>
      <c r="NHR246" s="16"/>
      <c r="NHS246" s="15"/>
      <c r="NHT246" s="15"/>
      <c r="NHU246" s="15"/>
      <c r="NHV246" s="16"/>
      <c r="NHW246" s="16"/>
      <c r="NHX246" s="16"/>
      <c r="NHY246" s="16"/>
      <c r="NHZ246" s="16"/>
      <c r="NIA246" s="15"/>
      <c r="NIB246" s="15"/>
      <c r="NIC246" s="10"/>
      <c r="NID246" s="10"/>
      <c r="NIE246" s="19"/>
      <c r="NIF246" s="19"/>
      <c r="NII246" s="16"/>
      <c r="NIJ246" s="15"/>
      <c r="NIK246" s="15"/>
      <c r="NIL246" s="15"/>
      <c r="NIM246" s="16"/>
      <c r="NIN246" s="16"/>
      <c r="NIO246" s="16"/>
      <c r="NIP246" s="16"/>
      <c r="NIQ246" s="16"/>
      <c r="NIR246" s="15"/>
      <c r="NIS246" s="15"/>
      <c r="NIT246" s="10"/>
      <c r="NIU246" s="10"/>
      <c r="NIV246" s="19"/>
      <c r="NIW246" s="19"/>
      <c r="NIZ246" s="16"/>
      <c r="NJA246" s="15"/>
      <c r="NJB246" s="15"/>
      <c r="NJC246" s="15"/>
      <c r="NJD246" s="16"/>
      <c r="NJE246" s="16"/>
      <c r="NJF246" s="16"/>
      <c r="NJG246" s="16"/>
      <c r="NJH246" s="16"/>
      <c r="NJI246" s="15"/>
      <c r="NJJ246" s="15"/>
      <c r="NJK246" s="10"/>
      <c r="NJL246" s="10"/>
      <c r="NJM246" s="19"/>
      <c r="NJN246" s="19"/>
      <c r="NJQ246" s="16"/>
      <c r="NJR246" s="15"/>
      <c r="NJS246" s="15"/>
      <c r="NJT246" s="15"/>
      <c r="NJU246" s="16"/>
      <c r="NJV246" s="16"/>
      <c r="NJW246" s="16"/>
      <c r="NJX246" s="16"/>
      <c r="NJY246" s="16"/>
      <c r="NJZ246" s="15"/>
      <c r="NKA246" s="15"/>
      <c r="NKB246" s="10"/>
      <c r="NKC246" s="10"/>
      <c r="NKD246" s="19"/>
      <c r="NKE246" s="19"/>
      <c r="NKH246" s="16"/>
      <c r="NKI246" s="15"/>
      <c r="NKJ246" s="15"/>
      <c r="NKK246" s="15"/>
      <c r="NKL246" s="16"/>
      <c r="NKM246" s="16"/>
      <c r="NKN246" s="16"/>
      <c r="NKO246" s="16"/>
      <c r="NKP246" s="16"/>
      <c r="NKQ246" s="15"/>
      <c r="NKR246" s="15"/>
      <c r="NKS246" s="10"/>
      <c r="NKT246" s="10"/>
      <c r="NKU246" s="19"/>
      <c r="NKV246" s="19"/>
      <c r="NKY246" s="16"/>
      <c r="NKZ246" s="15"/>
      <c r="NLA246" s="15"/>
      <c r="NLB246" s="15"/>
      <c r="NLC246" s="16"/>
      <c r="NLD246" s="16"/>
      <c r="NLE246" s="16"/>
      <c r="NLF246" s="16"/>
      <c r="NLG246" s="16"/>
      <c r="NLH246" s="15"/>
      <c r="NLI246" s="15"/>
      <c r="NLJ246" s="10"/>
      <c r="NLK246" s="10"/>
      <c r="NLL246" s="19"/>
      <c r="NLM246" s="19"/>
      <c r="NLP246" s="16"/>
      <c r="NLQ246" s="15"/>
      <c r="NLR246" s="15"/>
      <c r="NLS246" s="15"/>
      <c r="NLT246" s="16"/>
      <c r="NLU246" s="16"/>
      <c r="NLV246" s="16"/>
      <c r="NLW246" s="16"/>
      <c r="NLX246" s="16"/>
      <c r="NLY246" s="15"/>
      <c r="NLZ246" s="15"/>
      <c r="NMA246" s="10"/>
      <c r="NMB246" s="10"/>
      <c r="NMC246" s="19"/>
      <c r="NMD246" s="19"/>
      <c r="NMG246" s="16"/>
      <c r="NMH246" s="15"/>
      <c r="NMI246" s="15"/>
      <c r="NMJ246" s="15"/>
      <c r="NMK246" s="16"/>
      <c r="NML246" s="16"/>
      <c r="NMM246" s="16"/>
      <c r="NMN246" s="16"/>
      <c r="NMO246" s="16"/>
      <c r="NMP246" s="15"/>
      <c r="NMQ246" s="15"/>
      <c r="NMR246" s="10"/>
      <c r="NMS246" s="10"/>
      <c r="NMT246" s="19"/>
      <c r="NMU246" s="19"/>
      <c r="NMX246" s="16"/>
      <c r="NMY246" s="15"/>
      <c r="NMZ246" s="15"/>
      <c r="NNA246" s="15"/>
      <c r="NNB246" s="16"/>
      <c r="NNC246" s="16"/>
      <c r="NND246" s="16"/>
      <c r="NNE246" s="16"/>
      <c r="NNF246" s="16"/>
      <c r="NNG246" s="15"/>
      <c r="NNH246" s="15"/>
      <c r="NNI246" s="10"/>
      <c r="NNJ246" s="10"/>
      <c r="NNK246" s="19"/>
      <c r="NNL246" s="19"/>
      <c r="NNO246" s="16"/>
      <c r="NNP246" s="15"/>
      <c r="NNQ246" s="15"/>
      <c r="NNR246" s="15"/>
      <c r="NNS246" s="16"/>
      <c r="NNT246" s="16"/>
      <c r="NNU246" s="16"/>
      <c r="NNV246" s="16"/>
      <c r="NNW246" s="16"/>
      <c r="NNX246" s="15"/>
      <c r="NNY246" s="15"/>
      <c r="NNZ246" s="10"/>
      <c r="NOA246" s="10"/>
      <c r="NOB246" s="19"/>
      <c r="NOC246" s="19"/>
      <c r="NOF246" s="16"/>
      <c r="NOG246" s="15"/>
      <c r="NOH246" s="15"/>
      <c r="NOI246" s="15"/>
      <c r="NOJ246" s="16"/>
      <c r="NOK246" s="16"/>
      <c r="NOL246" s="16"/>
      <c r="NOM246" s="16"/>
      <c r="NON246" s="16"/>
      <c r="NOO246" s="15"/>
      <c r="NOP246" s="15"/>
      <c r="NOQ246" s="10"/>
      <c r="NOR246" s="10"/>
      <c r="NOS246" s="19"/>
      <c r="NOT246" s="19"/>
      <c r="NOW246" s="16"/>
      <c r="NOX246" s="15"/>
      <c r="NOY246" s="15"/>
      <c r="NOZ246" s="15"/>
      <c r="NPA246" s="16"/>
      <c r="NPB246" s="16"/>
      <c r="NPC246" s="16"/>
      <c r="NPD246" s="16"/>
      <c r="NPE246" s="16"/>
      <c r="NPF246" s="15"/>
      <c r="NPG246" s="15"/>
      <c r="NPH246" s="10"/>
      <c r="NPI246" s="10"/>
      <c r="NPJ246" s="19"/>
      <c r="NPK246" s="19"/>
      <c r="NPN246" s="16"/>
      <c r="NPO246" s="15"/>
      <c r="NPP246" s="15"/>
      <c r="NPQ246" s="15"/>
      <c r="NPR246" s="16"/>
      <c r="NPS246" s="16"/>
      <c r="NPT246" s="16"/>
      <c r="NPU246" s="16"/>
      <c r="NPV246" s="16"/>
      <c r="NPW246" s="15"/>
      <c r="NPX246" s="15"/>
      <c r="NPY246" s="10"/>
      <c r="NPZ246" s="10"/>
      <c r="NQA246" s="19"/>
      <c r="NQB246" s="19"/>
      <c r="NQE246" s="16"/>
      <c r="NQF246" s="15"/>
      <c r="NQG246" s="15"/>
      <c r="NQH246" s="15"/>
      <c r="NQI246" s="16"/>
      <c r="NQJ246" s="16"/>
      <c r="NQK246" s="16"/>
      <c r="NQL246" s="16"/>
      <c r="NQM246" s="16"/>
      <c r="NQN246" s="15"/>
      <c r="NQO246" s="15"/>
      <c r="NQP246" s="10"/>
      <c r="NQQ246" s="10"/>
      <c r="NQR246" s="19"/>
      <c r="NQS246" s="19"/>
      <c r="NQV246" s="16"/>
      <c r="NQW246" s="15"/>
      <c r="NQX246" s="15"/>
      <c r="NQY246" s="15"/>
      <c r="NQZ246" s="16"/>
      <c r="NRA246" s="16"/>
      <c r="NRB246" s="16"/>
      <c r="NRC246" s="16"/>
      <c r="NRD246" s="16"/>
      <c r="NRE246" s="15"/>
      <c r="NRF246" s="15"/>
      <c r="NRG246" s="10"/>
      <c r="NRH246" s="10"/>
      <c r="NRI246" s="19"/>
      <c r="NRJ246" s="19"/>
      <c r="NRM246" s="16"/>
      <c r="NRN246" s="15"/>
      <c r="NRO246" s="15"/>
      <c r="NRP246" s="15"/>
      <c r="NRQ246" s="16"/>
      <c r="NRR246" s="16"/>
      <c r="NRS246" s="16"/>
      <c r="NRT246" s="16"/>
      <c r="NRU246" s="16"/>
      <c r="NRV246" s="15"/>
      <c r="NRW246" s="15"/>
      <c r="NRX246" s="10"/>
      <c r="NRY246" s="10"/>
      <c r="NRZ246" s="19"/>
      <c r="NSA246" s="19"/>
      <c r="NSD246" s="16"/>
      <c r="NSE246" s="15"/>
      <c r="NSF246" s="15"/>
      <c r="NSG246" s="15"/>
      <c r="NSH246" s="16"/>
      <c r="NSI246" s="16"/>
      <c r="NSJ246" s="16"/>
      <c r="NSK246" s="16"/>
      <c r="NSL246" s="16"/>
      <c r="NSM246" s="15"/>
      <c r="NSN246" s="15"/>
      <c r="NSO246" s="10"/>
      <c r="NSP246" s="10"/>
      <c r="NSQ246" s="19"/>
      <c r="NSR246" s="19"/>
      <c r="NSU246" s="16"/>
      <c r="NSV246" s="15"/>
      <c r="NSW246" s="15"/>
      <c r="NSX246" s="15"/>
      <c r="NSY246" s="16"/>
      <c r="NSZ246" s="16"/>
      <c r="NTA246" s="16"/>
      <c r="NTB246" s="16"/>
      <c r="NTC246" s="16"/>
      <c r="NTD246" s="15"/>
      <c r="NTE246" s="15"/>
      <c r="NTF246" s="10"/>
      <c r="NTG246" s="10"/>
      <c r="NTH246" s="19"/>
      <c r="NTI246" s="19"/>
      <c r="NTL246" s="16"/>
      <c r="NTM246" s="15"/>
      <c r="NTN246" s="15"/>
      <c r="NTO246" s="15"/>
      <c r="NTP246" s="16"/>
      <c r="NTQ246" s="16"/>
      <c r="NTR246" s="16"/>
      <c r="NTS246" s="16"/>
      <c r="NTT246" s="16"/>
      <c r="NTU246" s="15"/>
      <c r="NTV246" s="15"/>
      <c r="NTW246" s="10"/>
      <c r="NTX246" s="10"/>
      <c r="NTY246" s="19"/>
      <c r="NTZ246" s="19"/>
      <c r="NUC246" s="16"/>
      <c r="NUD246" s="15"/>
      <c r="NUE246" s="15"/>
      <c r="NUF246" s="15"/>
      <c r="NUG246" s="16"/>
      <c r="NUH246" s="16"/>
      <c r="NUI246" s="16"/>
      <c r="NUJ246" s="16"/>
      <c r="NUK246" s="16"/>
      <c r="NUL246" s="15"/>
      <c r="NUM246" s="15"/>
      <c r="NUN246" s="10"/>
      <c r="NUO246" s="10"/>
      <c r="NUP246" s="19"/>
      <c r="NUQ246" s="19"/>
      <c r="NUT246" s="16"/>
      <c r="NUU246" s="15"/>
      <c r="NUV246" s="15"/>
      <c r="NUW246" s="15"/>
      <c r="NUX246" s="16"/>
      <c r="NUY246" s="16"/>
      <c r="NUZ246" s="16"/>
      <c r="NVA246" s="16"/>
      <c r="NVB246" s="16"/>
      <c r="NVC246" s="15"/>
      <c r="NVD246" s="15"/>
      <c r="NVE246" s="10"/>
      <c r="NVF246" s="10"/>
      <c r="NVG246" s="19"/>
      <c r="NVH246" s="19"/>
      <c r="NVK246" s="16"/>
      <c r="NVL246" s="15"/>
      <c r="NVM246" s="15"/>
      <c r="NVN246" s="15"/>
      <c r="NVO246" s="16"/>
      <c r="NVP246" s="16"/>
      <c r="NVQ246" s="16"/>
      <c r="NVR246" s="16"/>
      <c r="NVS246" s="16"/>
      <c r="NVT246" s="15"/>
      <c r="NVU246" s="15"/>
      <c r="NVV246" s="10"/>
      <c r="NVW246" s="10"/>
      <c r="NVX246" s="19"/>
      <c r="NVY246" s="19"/>
      <c r="NWB246" s="16"/>
      <c r="NWC246" s="15"/>
      <c r="NWD246" s="15"/>
      <c r="NWE246" s="15"/>
      <c r="NWF246" s="16"/>
      <c r="NWG246" s="16"/>
      <c r="NWH246" s="16"/>
      <c r="NWI246" s="16"/>
      <c r="NWJ246" s="16"/>
      <c r="NWK246" s="15"/>
      <c r="NWL246" s="15"/>
      <c r="NWM246" s="10"/>
      <c r="NWN246" s="10"/>
      <c r="NWO246" s="19"/>
      <c r="NWP246" s="19"/>
      <c r="NWS246" s="16"/>
      <c r="NWT246" s="15"/>
      <c r="NWU246" s="15"/>
      <c r="NWV246" s="15"/>
      <c r="NWW246" s="16"/>
      <c r="NWX246" s="16"/>
      <c r="NWY246" s="16"/>
      <c r="NWZ246" s="16"/>
      <c r="NXA246" s="16"/>
      <c r="NXB246" s="15"/>
      <c r="NXC246" s="15"/>
      <c r="NXD246" s="10"/>
      <c r="NXE246" s="10"/>
      <c r="NXF246" s="19"/>
      <c r="NXG246" s="19"/>
      <c r="NXJ246" s="16"/>
      <c r="NXK246" s="15"/>
      <c r="NXL246" s="15"/>
      <c r="NXM246" s="15"/>
      <c r="NXN246" s="16"/>
      <c r="NXO246" s="16"/>
      <c r="NXP246" s="16"/>
      <c r="NXQ246" s="16"/>
      <c r="NXR246" s="16"/>
      <c r="NXS246" s="15"/>
      <c r="NXT246" s="15"/>
      <c r="NXU246" s="10"/>
      <c r="NXV246" s="10"/>
      <c r="NXW246" s="19"/>
      <c r="NXX246" s="19"/>
      <c r="NYA246" s="16"/>
      <c r="NYB246" s="15"/>
      <c r="NYC246" s="15"/>
      <c r="NYD246" s="15"/>
      <c r="NYE246" s="16"/>
      <c r="NYF246" s="16"/>
      <c r="NYG246" s="16"/>
      <c r="NYH246" s="16"/>
      <c r="NYI246" s="16"/>
      <c r="NYJ246" s="15"/>
      <c r="NYK246" s="15"/>
      <c r="NYL246" s="10"/>
      <c r="NYM246" s="10"/>
      <c r="NYN246" s="19"/>
      <c r="NYO246" s="19"/>
      <c r="NYR246" s="16"/>
      <c r="NYS246" s="15"/>
      <c r="NYT246" s="15"/>
      <c r="NYU246" s="15"/>
      <c r="NYV246" s="16"/>
      <c r="NYW246" s="16"/>
      <c r="NYX246" s="16"/>
      <c r="NYY246" s="16"/>
      <c r="NYZ246" s="16"/>
      <c r="NZA246" s="15"/>
      <c r="NZB246" s="15"/>
      <c r="NZC246" s="10"/>
      <c r="NZD246" s="10"/>
      <c r="NZE246" s="19"/>
      <c r="NZF246" s="19"/>
      <c r="NZI246" s="16"/>
      <c r="NZJ246" s="15"/>
      <c r="NZK246" s="15"/>
      <c r="NZL246" s="15"/>
      <c r="NZM246" s="16"/>
      <c r="NZN246" s="16"/>
      <c r="NZO246" s="16"/>
      <c r="NZP246" s="16"/>
      <c r="NZQ246" s="16"/>
      <c r="NZR246" s="15"/>
      <c r="NZS246" s="15"/>
      <c r="NZT246" s="10"/>
      <c r="NZU246" s="10"/>
      <c r="NZV246" s="19"/>
      <c r="NZW246" s="19"/>
      <c r="NZZ246" s="16"/>
      <c r="OAA246" s="15"/>
      <c r="OAB246" s="15"/>
      <c r="OAC246" s="15"/>
      <c r="OAD246" s="16"/>
      <c r="OAE246" s="16"/>
      <c r="OAF246" s="16"/>
      <c r="OAG246" s="16"/>
      <c r="OAH246" s="16"/>
      <c r="OAI246" s="15"/>
      <c r="OAJ246" s="15"/>
      <c r="OAK246" s="10"/>
      <c r="OAL246" s="10"/>
      <c r="OAM246" s="19"/>
      <c r="OAN246" s="19"/>
      <c r="OAQ246" s="16"/>
      <c r="OAR246" s="15"/>
      <c r="OAS246" s="15"/>
      <c r="OAT246" s="15"/>
      <c r="OAU246" s="16"/>
      <c r="OAV246" s="16"/>
      <c r="OAW246" s="16"/>
      <c r="OAX246" s="16"/>
      <c r="OAY246" s="16"/>
      <c r="OAZ246" s="15"/>
      <c r="OBA246" s="15"/>
      <c r="OBB246" s="10"/>
      <c r="OBC246" s="10"/>
      <c r="OBD246" s="19"/>
      <c r="OBE246" s="19"/>
      <c r="OBH246" s="16"/>
      <c r="OBI246" s="15"/>
      <c r="OBJ246" s="15"/>
      <c r="OBK246" s="15"/>
      <c r="OBL246" s="16"/>
      <c r="OBM246" s="16"/>
      <c r="OBN246" s="16"/>
      <c r="OBO246" s="16"/>
      <c r="OBP246" s="16"/>
      <c r="OBQ246" s="15"/>
      <c r="OBR246" s="15"/>
      <c r="OBS246" s="10"/>
      <c r="OBT246" s="10"/>
      <c r="OBU246" s="19"/>
      <c r="OBV246" s="19"/>
      <c r="OBY246" s="16"/>
      <c r="OBZ246" s="15"/>
      <c r="OCA246" s="15"/>
      <c r="OCB246" s="15"/>
      <c r="OCC246" s="16"/>
      <c r="OCD246" s="16"/>
      <c r="OCE246" s="16"/>
      <c r="OCF246" s="16"/>
      <c r="OCG246" s="16"/>
      <c r="OCH246" s="15"/>
      <c r="OCI246" s="15"/>
      <c r="OCJ246" s="10"/>
      <c r="OCK246" s="10"/>
      <c r="OCL246" s="19"/>
      <c r="OCM246" s="19"/>
      <c r="OCP246" s="16"/>
      <c r="OCQ246" s="15"/>
      <c r="OCR246" s="15"/>
      <c r="OCS246" s="15"/>
      <c r="OCT246" s="16"/>
      <c r="OCU246" s="16"/>
      <c r="OCV246" s="16"/>
      <c r="OCW246" s="16"/>
      <c r="OCX246" s="16"/>
      <c r="OCY246" s="15"/>
      <c r="OCZ246" s="15"/>
      <c r="ODA246" s="10"/>
      <c r="ODB246" s="10"/>
      <c r="ODC246" s="19"/>
      <c r="ODD246" s="19"/>
      <c r="ODG246" s="16"/>
      <c r="ODH246" s="15"/>
      <c r="ODI246" s="15"/>
      <c r="ODJ246" s="15"/>
      <c r="ODK246" s="16"/>
      <c r="ODL246" s="16"/>
      <c r="ODM246" s="16"/>
      <c r="ODN246" s="16"/>
      <c r="ODO246" s="16"/>
      <c r="ODP246" s="15"/>
      <c r="ODQ246" s="15"/>
      <c r="ODR246" s="10"/>
      <c r="ODS246" s="10"/>
      <c r="ODT246" s="19"/>
      <c r="ODU246" s="19"/>
      <c r="ODX246" s="16"/>
      <c r="ODY246" s="15"/>
      <c r="ODZ246" s="15"/>
      <c r="OEA246" s="15"/>
      <c r="OEB246" s="16"/>
      <c r="OEC246" s="16"/>
      <c r="OED246" s="16"/>
      <c r="OEE246" s="16"/>
      <c r="OEF246" s="16"/>
      <c r="OEG246" s="15"/>
      <c r="OEH246" s="15"/>
      <c r="OEI246" s="10"/>
      <c r="OEJ246" s="10"/>
      <c r="OEK246" s="19"/>
      <c r="OEL246" s="19"/>
      <c r="OEO246" s="16"/>
      <c r="OEP246" s="15"/>
      <c r="OEQ246" s="15"/>
      <c r="OER246" s="15"/>
      <c r="OES246" s="16"/>
      <c r="OET246" s="16"/>
      <c r="OEU246" s="16"/>
      <c r="OEV246" s="16"/>
      <c r="OEW246" s="16"/>
      <c r="OEX246" s="15"/>
      <c r="OEY246" s="15"/>
      <c r="OEZ246" s="10"/>
      <c r="OFA246" s="10"/>
      <c r="OFB246" s="19"/>
      <c r="OFC246" s="19"/>
      <c r="OFF246" s="16"/>
      <c r="OFG246" s="15"/>
      <c r="OFH246" s="15"/>
      <c r="OFI246" s="15"/>
      <c r="OFJ246" s="16"/>
      <c r="OFK246" s="16"/>
      <c r="OFL246" s="16"/>
      <c r="OFM246" s="16"/>
      <c r="OFN246" s="16"/>
      <c r="OFO246" s="15"/>
      <c r="OFP246" s="15"/>
      <c r="OFQ246" s="10"/>
      <c r="OFR246" s="10"/>
      <c r="OFS246" s="19"/>
      <c r="OFT246" s="19"/>
      <c r="OFW246" s="16"/>
      <c r="OFX246" s="15"/>
      <c r="OFY246" s="15"/>
      <c r="OFZ246" s="15"/>
      <c r="OGA246" s="16"/>
      <c r="OGB246" s="16"/>
      <c r="OGC246" s="16"/>
      <c r="OGD246" s="16"/>
      <c r="OGE246" s="16"/>
      <c r="OGF246" s="15"/>
      <c r="OGG246" s="15"/>
      <c r="OGH246" s="10"/>
      <c r="OGI246" s="10"/>
      <c r="OGJ246" s="19"/>
      <c r="OGK246" s="19"/>
      <c r="OGN246" s="16"/>
      <c r="OGO246" s="15"/>
      <c r="OGP246" s="15"/>
      <c r="OGQ246" s="15"/>
      <c r="OGR246" s="16"/>
      <c r="OGS246" s="16"/>
      <c r="OGT246" s="16"/>
      <c r="OGU246" s="16"/>
      <c r="OGV246" s="16"/>
      <c r="OGW246" s="15"/>
      <c r="OGX246" s="15"/>
      <c r="OGY246" s="10"/>
      <c r="OGZ246" s="10"/>
      <c r="OHA246" s="19"/>
      <c r="OHB246" s="19"/>
      <c r="OHE246" s="16"/>
      <c r="OHF246" s="15"/>
      <c r="OHG246" s="15"/>
      <c r="OHH246" s="15"/>
      <c r="OHI246" s="16"/>
      <c r="OHJ246" s="16"/>
      <c r="OHK246" s="16"/>
      <c r="OHL246" s="16"/>
      <c r="OHM246" s="16"/>
      <c r="OHN246" s="15"/>
      <c r="OHO246" s="15"/>
      <c r="OHP246" s="10"/>
      <c r="OHQ246" s="10"/>
      <c r="OHR246" s="19"/>
      <c r="OHS246" s="19"/>
      <c r="OHV246" s="16"/>
      <c r="OHW246" s="15"/>
      <c r="OHX246" s="15"/>
      <c r="OHY246" s="15"/>
      <c r="OHZ246" s="16"/>
      <c r="OIA246" s="16"/>
      <c r="OIB246" s="16"/>
      <c r="OIC246" s="16"/>
      <c r="OID246" s="16"/>
      <c r="OIE246" s="15"/>
      <c r="OIF246" s="15"/>
      <c r="OIG246" s="10"/>
      <c r="OIH246" s="10"/>
      <c r="OII246" s="19"/>
      <c r="OIJ246" s="19"/>
      <c r="OIM246" s="16"/>
      <c r="OIN246" s="15"/>
      <c r="OIO246" s="15"/>
      <c r="OIP246" s="15"/>
      <c r="OIQ246" s="16"/>
      <c r="OIR246" s="16"/>
      <c r="OIS246" s="16"/>
      <c r="OIT246" s="16"/>
      <c r="OIU246" s="16"/>
      <c r="OIV246" s="15"/>
      <c r="OIW246" s="15"/>
      <c r="OIX246" s="10"/>
      <c r="OIY246" s="10"/>
      <c r="OIZ246" s="19"/>
      <c r="OJA246" s="19"/>
      <c r="OJD246" s="16"/>
      <c r="OJE246" s="15"/>
      <c r="OJF246" s="15"/>
      <c r="OJG246" s="15"/>
      <c r="OJH246" s="16"/>
      <c r="OJI246" s="16"/>
      <c r="OJJ246" s="16"/>
      <c r="OJK246" s="16"/>
      <c r="OJL246" s="16"/>
      <c r="OJM246" s="15"/>
      <c r="OJN246" s="15"/>
      <c r="OJO246" s="10"/>
      <c r="OJP246" s="10"/>
      <c r="OJQ246" s="19"/>
      <c r="OJR246" s="19"/>
      <c r="OJU246" s="16"/>
      <c r="OJV246" s="15"/>
      <c r="OJW246" s="15"/>
      <c r="OJX246" s="15"/>
      <c r="OJY246" s="16"/>
      <c r="OJZ246" s="16"/>
      <c r="OKA246" s="16"/>
      <c r="OKB246" s="16"/>
      <c r="OKC246" s="16"/>
      <c r="OKD246" s="15"/>
      <c r="OKE246" s="15"/>
      <c r="OKF246" s="10"/>
      <c r="OKG246" s="10"/>
      <c r="OKH246" s="19"/>
      <c r="OKI246" s="19"/>
      <c r="OKL246" s="16"/>
      <c r="OKM246" s="15"/>
      <c r="OKN246" s="15"/>
      <c r="OKO246" s="15"/>
      <c r="OKP246" s="16"/>
      <c r="OKQ246" s="16"/>
      <c r="OKR246" s="16"/>
      <c r="OKS246" s="16"/>
      <c r="OKT246" s="16"/>
      <c r="OKU246" s="15"/>
      <c r="OKV246" s="15"/>
      <c r="OKW246" s="10"/>
      <c r="OKX246" s="10"/>
      <c r="OKY246" s="19"/>
      <c r="OKZ246" s="19"/>
      <c r="OLC246" s="16"/>
      <c r="OLD246" s="15"/>
      <c r="OLE246" s="15"/>
      <c r="OLF246" s="15"/>
      <c r="OLG246" s="16"/>
      <c r="OLH246" s="16"/>
      <c r="OLI246" s="16"/>
      <c r="OLJ246" s="16"/>
      <c r="OLK246" s="16"/>
      <c r="OLL246" s="15"/>
      <c r="OLM246" s="15"/>
      <c r="OLN246" s="10"/>
      <c r="OLO246" s="10"/>
      <c r="OLP246" s="19"/>
      <c r="OLQ246" s="19"/>
      <c r="OLT246" s="16"/>
      <c r="OLU246" s="15"/>
      <c r="OLV246" s="15"/>
      <c r="OLW246" s="15"/>
      <c r="OLX246" s="16"/>
      <c r="OLY246" s="16"/>
      <c r="OLZ246" s="16"/>
      <c r="OMA246" s="16"/>
      <c r="OMB246" s="16"/>
      <c r="OMC246" s="15"/>
      <c r="OMD246" s="15"/>
      <c r="OME246" s="10"/>
      <c r="OMF246" s="10"/>
      <c r="OMG246" s="19"/>
      <c r="OMH246" s="19"/>
      <c r="OMK246" s="16"/>
      <c r="OML246" s="15"/>
      <c r="OMM246" s="15"/>
      <c r="OMN246" s="15"/>
      <c r="OMO246" s="16"/>
      <c r="OMP246" s="16"/>
      <c r="OMQ246" s="16"/>
      <c r="OMR246" s="16"/>
      <c r="OMS246" s="16"/>
      <c r="OMT246" s="15"/>
      <c r="OMU246" s="15"/>
      <c r="OMV246" s="10"/>
      <c r="OMW246" s="10"/>
      <c r="OMX246" s="19"/>
      <c r="OMY246" s="19"/>
      <c r="ONB246" s="16"/>
      <c r="ONC246" s="15"/>
      <c r="OND246" s="15"/>
      <c r="ONE246" s="15"/>
      <c r="ONF246" s="16"/>
      <c r="ONG246" s="16"/>
      <c r="ONH246" s="16"/>
      <c r="ONI246" s="16"/>
      <c r="ONJ246" s="16"/>
      <c r="ONK246" s="15"/>
      <c r="ONL246" s="15"/>
      <c r="ONM246" s="10"/>
      <c r="ONN246" s="10"/>
      <c r="ONO246" s="19"/>
      <c r="ONP246" s="19"/>
      <c r="ONS246" s="16"/>
      <c r="ONT246" s="15"/>
      <c r="ONU246" s="15"/>
      <c r="ONV246" s="15"/>
      <c r="ONW246" s="16"/>
      <c r="ONX246" s="16"/>
      <c r="ONY246" s="16"/>
      <c r="ONZ246" s="16"/>
      <c r="OOA246" s="16"/>
      <c r="OOB246" s="15"/>
      <c r="OOC246" s="15"/>
      <c r="OOD246" s="10"/>
      <c r="OOE246" s="10"/>
      <c r="OOF246" s="19"/>
      <c r="OOG246" s="19"/>
      <c r="OOJ246" s="16"/>
      <c r="OOK246" s="15"/>
      <c r="OOL246" s="15"/>
      <c r="OOM246" s="15"/>
      <c r="OON246" s="16"/>
      <c r="OOO246" s="16"/>
      <c r="OOP246" s="16"/>
      <c r="OOQ246" s="16"/>
      <c r="OOR246" s="16"/>
      <c r="OOS246" s="15"/>
      <c r="OOT246" s="15"/>
      <c r="OOU246" s="10"/>
      <c r="OOV246" s="10"/>
      <c r="OOW246" s="19"/>
      <c r="OOX246" s="19"/>
      <c r="OPA246" s="16"/>
      <c r="OPB246" s="15"/>
      <c r="OPC246" s="15"/>
      <c r="OPD246" s="15"/>
      <c r="OPE246" s="16"/>
      <c r="OPF246" s="16"/>
      <c r="OPG246" s="16"/>
      <c r="OPH246" s="16"/>
      <c r="OPI246" s="16"/>
      <c r="OPJ246" s="15"/>
      <c r="OPK246" s="15"/>
      <c r="OPL246" s="10"/>
      <c r="OPM246" s="10"/>
      <c r="OPN246" s="19"/>
      <c r="OPO246" s="19"/>
      <c r="OPR246" s="16"/>
      <c r="OPS246" s="15"/>
      <c r="OPT246" s="15"/>
      <c r="OPU246" s="15"/>
      <c r="OPV246" s="16"/>
      <c r="OPW246" s="16"/>
      <c r="OPX246" s="16"/>
      <c r="OPY246" s="16"/>
      <c r="OPZ246" s="16"/>
      <c r="OQA246" s="15"/>
      <c r="OQB246" s="15"/>
      <c r="OQC246" s="10"/>
      <c r="OQD246" s="10"/>
      <c r="OQE246" s="19"/>
      <c r="OQF246" s="19"/>
      <c r="OQI246" s="16"/>
      <c r="OQJ246" s="15"/>
      <c r="OQK246" s="15"/>
      <c r="OQL246" s="15"/>
      <c r="OQM246" s="16"/>
      <c r="OQN246" s="16"/>
      <c r="OQO246" s="16"/>
      <c r="OQP246" s="16"/>
      <c r="OQQ246" s="16"/>
      <c r="OQR246" s="15"/>
      <c r="OQS246" s="15"/>
      <c r="OQT246" s="10"/>
      <c r="OQU246" s="10"/>
      <c r="OQV246" s="19"/>
      <c r="OQW246" s="19"/>
      <c r="OQZ246" s="16"/>
      <c r="ORA246" s="15"/>
      <c r="ORB246" s="15"/>
      <c r="ORC246" s="15"/>
      <c r="ORD246" s="16"/>
      <c r="ORE246" s="16"/>
      <c r="ORF246" s="16"/>
      <c r="ORG246" s="16"/>
      <c r="ORH246" s="16"/>
      <c r="ORI246" s="15"/>
      <c r="ORJ246" s="15"/>
      <c r="ORK246" s="10"/>
      <c r="ORL246" s="10"/>
      <c r="ORM246" s="19"/>
      <c r="ORN246" s="19"/>
      <c r="ORQ246" s="16"/>
      <c r="ORR246" s="15"/>
      <c r="ORS246" s="15"/>
      <c r="ORT246" s="15"/>
      <c r="ORU246" s="16"/>
      <c r="ORV246" s="16"/>
      <c r="ORW246" s="16"/>
      <c r="ORX246" s="16"/>
      <c r="ORY246" s="16"/>
      <c r="ORZ246" s="15"/>
      <c r="OSA246" s="15"/>
      <c r="OSB246" s="10"/>
      <c r="OSC246" s="10"/>
      <c r="OSD246" s="19"/>
      <c r="OSE246" s="19"/>
      <c r="OSH246" s="16"/>
      <c r="OSI246" s="15"/>
      <c r="OSJ246" s="15"/>
      <c r="OSK246" s="15"/>
      <c r="OSL246" s="16"/>
      <c r="OSM246" s="16"/>
      <c r="OSN246" s="16"/>
      <c r="OSO246" s="16"/>
      <c r="OSP246" s="16"/>
      <c r="OSQ246" s="15"/>
      <c r="OSR246" s="15"/>
      <c r="OSS246" s="10"/>
      <c r="OST246" s="10"/>
      <c r="OSU246" s="19"/>
      <c r="OSV246" s="19"/>
      <c r="OSY246" s="16"/>
      <c r="OSZ246" s="15"/>
      <c r="OTA246" s="15"/>
      <c r="OTB246" s="15"/>
      <c r="OTC246" s="16"/>
      <c r="OTD246" s="16"/>
      <c r="OTE246" s="16"/>
      <c r="OTF246" s="16"/>
      <c r="OTG246" s="16"/>
      <c r="OTH246" s="15"/>
      <c r="OTI246" s="15"/>
      <c r="OTJ246" s="10"/>
      <c r="OTK246" s="10"/>
      <c r="OTL246" s="19"/>
      <c r="OTM246" s="19"/>
      <c r="OTP246" s="16"/>
      <c r="OTQ246" s="15"/>
      <c r="OTR246" s="15"/>
      <c r="OTS246" s="15"/>
      <c r="OTT246" s="16"/>
      <c r="OTU246" s="16"/>
      <c r="OTV246" s="16"/>
      <c r="OTW246" s="16"/>
      <c r="OTX246" s="16"/>
      <c r="OTY246" s="15"/>
      <c r="OTZ246" s="15"/>
      <c r="OUA246" s="10"/>
      <c r="OUB246" s="10"/>
      <c r="OUC246" s="19"/>
      <c r="OUD246" s="19"/>
      <c r="OUG246" s="16"/>
      <c r="OUH246" s="15"/>
      <c r="OUI246" s="15"/>
      <c r="OUJ246" s="15"/>
      <c r="OUK246" s="16"/>
      <c r="OUL246" s="16"/>
      <c r="OUM246" s="16"/>
      <c r="OUN246" s="16"/>
      <c r="OUO246" s="16"/>
      <c r="OUP246" s="15"/>
      <c r="OUQ246" s="15"/>
      <c r="OUR246" s="10"/>
      <c r="OUS246" s="10"/>
      <c r="OUT246" s="19"/>
      <c r="OUU246" s="19"/>
      <c r="OUX246" s="16"/>
      <c r="OUY246" s="15"/>
      <c r="OUZ246" s="15"/>
      <c r="OVA246" s="15"/>
      <c r="OVB246" s="16"/>
      <c r="OVC246" s="16"/>
      <c r="OVD246" s="16"/>
      <c r="OVE246" s="16"/>
      <c r="OVF246" s="16"/>
      <c r="OVG246" s="15"/>
      <c r="OVH246" s="15"/>
      <c r="OVI246" s="10"/>
      <c r="OVJ246" s="10"/>
      <c r="OVK246" s="19"/>
      <c r="OVL246" s="19"/>
      <c r="OVO246" s="16"/>
      <c r="OVP246" s="15"/>
      <c r="OVQ246" s="15"/>
      <c r="OVR246" s="15"/>
      <c r="OVS246" s="16"/>
      <c r="OVT246" s="16"/>
      <c r="OVU246" s="16"/>
      <c r="OVV246" s="16"/>
      <c r="OVW246" s="16"/>
      <c r="OVX246" s="15"/>
      <c r="OVY246" s="15"/>
      <c r="OVZ246" s="10"/>
      <c r="OWA246" s="10"/>
      <c r="OWB246" s="19"/>
      <c r="OWC246" s="19"/>
      <c r="OWF246" s="16"/>
      <c r="OWG246" s="15"/>
      <c r="OWH246" s="15"/>
      <c r="OWI246" s="15"/>
      <c r="OWJ246" s="16"/>
      <c r="OWK246" s="16"/>
      <c r="OWL246" s="16"/>
      <c r="OWM246" s="16"/>
      <c r="OWN246" s="16"/>
      <c r="OWO246" s="15"/>
      <c r="OWP246" s="15"/>
      <c r="OWQ246" s="10"/>
      <c r="OWR246" s="10"/>
      <c r="OWS246" s="19"/>
      <c r="OWT246" s="19"/>
      <c r="OWW246" s="16"/>
      <c r="OWX246" s="15"/>
      <c r="OWY246" s="15"/>
      <c r="OWZ246" s="15"/>
      <c r="OXA246" s="16"/>
      <c r="OXB246" s="16"/>
      <c r="OXC246" s="16"/>
      <c r="OXD246" s="16"/>
      <c r="OXE246" s="16"/>
      <c r="OXF246" s="15"/>
      <c r="OXG246" s="15"/>
      <c r="OXH246" s="10"/>
      <c r="OXI246" s="10"/>
      <c r="OXJ246" s="19"/>
      <c r="OXK246" s="19"/>
      <c r="OXN246" s="16"/>
      <c r="OXO246" s="15"/>
      <c r="OXP246" s="15"/>
      <c r="OXQ246" s="15"/>
      <c r="OXR246" s="16"/>
      <c r="OXS246" s="16"/>
      <c r="OXT246" s="16"/>
      <c r="OXU246" s="16"/>
      <c r="OXV246" s="16"/>
      <c r="OXW246" s="15"/>
      <c r="OXX246" s="15"/>
      <c r="OXY246" s="10"/>
      <c r="OXZ246" s="10"/>
      <c r="OYA246" s="19"/>
      <c r="OYB246" s="19"/>
      <c r="OYE246" s="16"/>
      <c r="OYF246" s="15"/>
      <c r="OYG246" s="15"/>
      <c r="OYH246" s="15"/>
      <c r="OYI246" s="16"/>
      <c r="OYJ246" s="16"/>
      <c r="OYK246" s="16"/>
      <c r="OYL246" s="16"/>
      <c r="OYM246" s="16"/>
      <c r="OYN246" s="15"/>
      <c r="OYO246" s="15"/>
      <c r="OYP246" s="10"/>
      <c r="OYQ246" s="10"/>
      <c r="OYR246" s="19"/>
      <c r="OYS246" s="19"/>
      <c r="OYV246" s="16"/>
      <c r="OYW246" s="15"/>
      <c r="OYX246" s="15"/>
      <c r="OYY246" s="15"/>
      <c r="OYZ246" s="16"/>
      <c r="OZA246" s="16"/>
      <c r="OZB246" s="16"/>
      <c r="OZC246" s="16"/>
      <c r="OZD246" s="16"/>
      <c r="OZE246" s="15"/>
      <c r="OZF246" s="15"/>
      <c r="OZG246" s="10"/>
      <c r="OZH246" s="10"/>
      <c r="OZI246" s="19"/>
      <c r="OZJ246" s="19"/>
      <c r="OZM246" s="16"/>
      <c r="OZN246" s="15"/>
      <c r="OZO246" s="15"/>
      <c r="OZP246" s="15"/>
      <c r="OZQ246" s="16"/>
      <c r="OZR246" s="16"/>
      <c r="OZS246" s="16"/>
      <c r="OZT246" s="16"/>
      <c r="OZU246" s="16"/>
      <c r="OZV246" s="15"/>
      <c r="OZW246" s="15"/>
      <c r="OZX246" s="10"/>
      <c r="OZY246" s="10"/>
      <c r="OZZ246" s="19"/>
      <c r="PAA246" s="19"/>
      <c r="PAD246" s="16"/>
      <c r="PAE246" s="15"/>
      <c r="PAF246" s="15"/>
      <c r="PAG246" s="15"/>
      <c r="PAH246" s="16"/>
      <c r="PAI246" s="16"/>
      <c r="PAJ246" s="16"/>
      <c r="PAK246" s="16"/>
      <c r="PAL246" s="16"/>
      <c r="PAM246" s="15"/>
      <c r="PAN246" s="15"/>
      <c r="PAO246" s="10"/>
      <c r="PAP246" s="10"/>
      <c r="PAQ246" s="19"/>
      <c r="PAR246" s="19"/>
      <c r="PAU246" s="16"/>
      <c r="PAV246" s="15"/>
      <c r="PAW246" s="15"/>
      <c r="PAX246" s="15"/>
      <c r="PAY246" s="16"/>
      <c r="PAZ246" s="16"/>
      <c r="PBA246" s="16"/>
      <c r="PBB246" s="16"/>
      <c r="PBC246" s="16"/>
      <c r="PBD246" s="15"/>
      <c r="PBE246" s="15"/>
      <c r="PBF246" s="10"/>
      <c r="PBG246" s="10"/>
      <c r="PBH246" s="19"/>
      <c r="PBI246" s="19"/>
      <c r="PBL246" s="16"/>
      <c r="PBM246" s="15"/>
      <c r="PBN246" s="15"/>
      <c r="PBO246" s="15"/>
      <c r="PBP246" s="16"/>
      <c r="PBQ246" s="16"/>
      <c r="PBR246" s="16"/>
      <c r="PBS246" s="16"/>
      <c r="PBT246" s="16"/>
      <c r="PBU246" s="15"/>
      <c r="PBV246" s="15"/>
      <c r="PBW246" s="10"/>
      <c r="PBX246" s="10"/>
      <c r="PBY246" s="19"/>
      <c r="PBZ246" s="19"/>
      <c r="PCC246" s="16"/>
      <c r="PCD246" s="15"/>
      <c r="PCE246" s="15"/>
      <c r="PCF246" s="15"/>
      <c r="PCG246" s="16"/>
      <c r="PCH246" s="16"/>
      <c r="PCI246" s="16"/>
      <c r="PCJ246" s="16"/>
      <c r="PCK246" s="16"/>
      <c r="PCL246" s="15"/>
      <c r="PCM246" s="15"/>
      <c r="PCN246" s="10"/>
      <c r="PCO246" s="10"/>
      <c r="PCP246" s="19"/>
      <c r="PCQ246" s="19"/>
      <c r="PCT246" s="16"/>
      <c r="PCU246" s="15"/>
      <c r="PCV246" s="15"/>
      <c r="PCW246" s="15"/>
      <c r="PCX246" s="16"/>
      <c r="PCY246" s="16"/>
      <c r="PCZ246" s="16"/>
      <c r="PDA246" s="16"/>
      <c r="PDB246" s="16"/>
      <c r="PDC246" s="15"/>
      <c r="PDD246" s="15"/>
      <c r="PDE246" s="10"/>
      <c r="PDF246" s="10"/>
      <c r="PDG246" s="19"/>
      <c r="PDH246" s="19"/>
      <c r="PDK246" s="16"/>
      <c r="PDL246" s="15"/>
      <c r="PDM246" s="15"/>
      <c r="PDN246" s="15"/>
      <c r="PDO246" s="16"/>
      <c r="PDP246" s="16"/>
      <c r="PDQ246" s="16"/>
      <c r="PDR246" s="16"/>
      <c r="PDS246" s="16"/>
      <c r="PDT246" s="15"/>
      <c r="PDU246" s="15"/>
      <c r="PDV246" s="10"/>
      <c r="PDW246" s="10"/>
      <c r="PDX246" s="19"/>
      <c r="PDY246" s="19"/>
      <c r="PEB246" s="16"/>
      <c r="PEC246" s="15"/>
      <c r="PED246" s="15"/>
      <c r="PEE246" s="15"/>
      <c r="PEF246" s="16"/>
      <c r="PEG246" s="16"/>
      <c r="PEH246" s="16"/>
      <c r="PEI246" s="16"/>
      <c r="PEJ246" s="16"/>
      <c r="PEK246" s="15"/>
      <c r="PEL246" s="15"/>
      <c r="PEM246" s="10"/>
      <c r="PEN246" s="10"/>
      <c r="PEO246" s="19"/>
      <c r="PEP246" s="19"/>
      <c r="PES246" s="16"/>
      <c r="PET246" s="15"/>
      <c r="PEU246" s="15"/>
      <c r="PEV246" s="15"/>
      <c r="PEW246" s="16"/>
      <c r="PEX246" s="16"/>
      <c r="PEY246" s="16"/>
      <c r="PEZ246" s="16"/>
      <c r="PFA246" s="16"/>
      <c r="PFB246" s="15"/>
      <c r="PFC246" s="15"/>
      <c r="PFD246" s="10"/>
      <c r="PFE246" s="10"/>
      <c r="PFF246" s="19"/>
      <c r="PFG246" s="19"/>
      <c r="PFJ246" s="16"/>
      <c r="PFK246" s="15"/>
      <c r="PFL246" s="15"/>
      <c r="PFM246" s="15"/>
      <c r="PFN246" s="16"/>
      <c r="PFO246" s="16"/>
      <c r="PFP246" s="16"/>
      <c r="PFQ246" s="16"/>
      <c r="PFR246" s="16"/>
      <c r="PFS246" s="15"/>
      <c r="PFT246" s="15"/>
      <c r="PFU246" s="10"/>
      <c r="PFV246" s="10"/>
      <c r="PFW246" s="19"/>
      <c r="PFX246" s="19"/>
      <c r="PGA246" s="16"/>
      <c r="PGB246" s="15"/>
      <c r="PGC246" s="15"/>
      <c r="PGD246" s="15"/>
      <c r="PGE246" s="16"/>
      <c r="PGF246" s="16"/>
      <c r="PGG246" s="16"/>
      <c r="PGH246" s="16"/>
      <c r="PGI246" s="16"/>
      <c r="PGJ246" s="15"/>
      <c r="PGK246" s="15"/>
      <c r="PGL246" s="10"/>
      <c r="PGM246" s="10"/>
      <c r="PGN246" s="19"/>
      <c r="PGO246" s="19"/>
      <c r="PGR246" s="16"/>
      <c r="PGS246" s="15"/>
      <c r="PGT246" s="15"/>
      <c r="PGU246" s="15"/>
      <c r="PGV246" s="16"/>
      <c r="PGW246" s="16"/>
      <c r="PGX246" s="16"/>
      <c r="PGY246" s="16"/>
      <c r="PGZ246" s="16"/>
      <c r="PHA246" s="15"/>
      <c r="PHB246" s="15"/>
      <c r="PHC246" s="10"/>
      <c r="PHD246" s="10"/>
      <c r="PHE246" s="19"/>
      <c r="PHF246" s="19"/>
      <c r="PHI246" s="16"/>
      <c r="PHJ246" s="15"/>
      <c r="PHK246" s="15"/>
      <c r="PHL246" s="15"/>
      <c r="PHM246" s="16"/>
      <c r="PHN246" s="16"/>
      <c r="PHO246" s="16"/>
      <c r="PHP246" s="16"/>
      <c r="PHQ246" s="16"/>
      <c r="PHR246" s="15"/>
      <c r="PHS246" s="15"/>
      <c r="PHT246" s="10"/>
      <c r="PHU246" s="10"/>
      <c r="PHV246" s="19"/>
      <c r="PHW246" s="19"/>
      <c r="PHZ246" s="16"/>
      <c r="PIA246" s="15"/>
      <c r="PIB246" s="15"/>
      <c r="PIC246" s="15"/>
      <c r="PID246" s="16"/>
      <c r="PIE246" s="16"/>
      <c r="PIF246" s="16"/>
      <c r="PIG246" s="16"/>
      <c r="PIH246" s="16"/>
      <c r="PII246" s="15"/>
      <c r="PIJ246" s="15"/>
      <c r="PIK246" s="10"/>
      <c r="PIL246" s="10"/>
      <c r="PIM246" s="19"/>
      <c r="PIN246" s="19"/>
      <c r="PIQ246" s="16"/>
      <c r="PIR246" s="15"/>
      <c r="PIS246" s="15"/>
      <c r="PIT246" s="15"/>
      <c r="PIU246" s="16"/>
      <c r="PIV246" s="16"/>
      <c r="PIW246" s="16"/>
      <c r="PIX246" s="16"/>
      <c r="PIY246" s="16"/>
      <c r="PIZ246" s="15"/>
      <c r="PJA246" s="15"/>
      <c r="PJB246" s="10"/>
      <c r="PJC246" s="10"/>
      <c r="PJD246" s="19"/>
      <c r="PJE246" s="19"/>
      <c r="PJH246" s="16"/>
      <c r="PJI246" s="15"/>
      <c r="PJJ246" s="15"/>
      <c r="PJK246" s="15"/>
      <c r="PJL246" s="16"/>
      <c r="PJM246" s="16"/>
      <c r="PJN246" s="16"/>
      <c r="PJO246" s="16"/>
      <c r="PJP246" s="16"/>
      <c r="PJQ246" s="15"/>
      <c r="PJR246" s="15"/>
      <c r="PJS246" s="10"/>
      <c r="PJT246" s="10"/>
      <c r="PJU246" s="19"/>
      <c r="PJV246" s="19"/>
      <c r="PJY246" s="16"/>
      <c r="PJZ246" s="15"/>
      <c r="PKA246" s="15"/>
      <c r="PKB246" s="15"/>
      <c r="PKC246" s="16"/>
      <c r="PKD246" s="16"/>
      <c r="PKE246" s="16"/>
      <c r="PKF246" s="16"/>
      <c r="PKG246" s="16"/>
      <c r="PKH246" s="15"/>
      <c r="PKI246" s="15"/>
      <c r="PKJ246" s="10"/>
      <c r="PKK246" s="10"/>
      <c r="PKL246" s="19"/>
      <c r="PKM246" s="19"/>
      <c r="PKP246" s="16"/>
      <c r="PKQ246" s="15"/>
      <c r="PKR246" s="15"/>
      <c r="PKS246" s="15"/>
      <c r="PKT246" s="16"/>
      <c r="PKU246" s="16"/>
      <c r="PKV246" s="16"/>
      <c r="PKW246" s="16"/>
      <c r="PKX246" s="16"/>
      <c r="PKY246" s="15"/>
      <c r="PKZ246" s="15"/>
      <c r="PLA246" s="10"/>
      <c r="PLB246" s="10"/>
      <c r="PLC246" s="19"/>
      <c r="PLD246" s="19"/>
      <c r="PLG246" s="16"/>
      <c r="PLH246" s="15"/>
      <c r="PLI246" s="15"/>
      <c r="PLJ246" s="15"/>
      <c r="PLK246" s="16"/>
      <c r="PLL246" s="16"/>
      <c r="PLM246" s="16"/>
      <c r="PLN246" s="16"/>
      <c r="PLO246" s="16"/>
      <c r="PLP246" s="15"/>
      <c r="PLQ246" s="15"/>
      <c r="PLR246" s="10"/>
      <c r="PLS246" s="10"/>
      <c r="PLT246" s="19"/>
      <c r="PLU246" s="19"/>
      <c r="PLX246" s="16"/>
      <c r="PLY246" s="15"/>
      <c r="PLZ246" s="15"/>
      <c r="PMA246" s="15"/>
      <c r="PMB246" s="16"/>
      <c r="PMC246" s="16"/>
      <c r="PMD246" s="16"/>
      <c r="PME246" s="16"/>
      <c r="PMF246" s="16"/>
      <c r="PMG246" s="15"/>
      <c r="PMH246" s="15"/>
      <c r="PMI246" s="10"/>
      <c r="PMJ246" s="10"/>
      <c r="PMK246" s="19"/>
      <c r="PML246" s="19"/>
      <c r="PMO246" s="16"/>
      <c r="PMP246" s="15"/>
      <c r="PMQ246" s="15"/>
      <c r="PMR246" s="15"/>
      <c r="PMS246" s="16"/>
      <c r="PMT246" s="16"/>
      <c r="PMU246" s="16"/>
      <c r="PMV246" s="16"/>
      <c r="PMW246" s="16"/>
      <c r="PMX246" s="15"/>
      <c r="PMY246" s="15"/>
      <c r="PMZ246" s="10"/>
      <c r="PNA246" s="10"/>
      <c r="PNB246" s="19"/>
      <c r="PNC246" s="19"/>
      <c r="PNF246" s="16"/>
      <c r="PNG246" s="15"/>
      <c r="PNH246" s="15"/>
      <c r="PNI246" s="15"/>
      <c r="PNJ246" s="16"/>
      <c r="PNK246" s="16"/>
      <c r="PNL246" s="16"/>
      <c r="PNM246" s="16"/>
      <c r="PNN246" s="16"/>
      <c r="PNO246" s="15"/>
      <c r="PNP246" s="15"/>
      <c r="PNQ246" s="10"/>
      <c r="PNR246" s="10"/>
      <c r="PNS246" s="19"/>
      <c r="PNT246" s="19"/>
      <c r="PNW246" s="16"/>
      <c r="PNX246" s="15"/>
      <c r="PNY246" s="15"/>
      <c r="PNZ246" s="15"/>
      <c r="POA246" s="16"/>
      <c r="POB246" s="16"/>
      <c r="POC246" s="16"/>
      <c r="POD246" s="16"/>
      <c r="POE246" s="16"/>
      <c r="POF246" s="15"/>
      <c r="POG246" s="15"/>
      <c r="POH246" s="10"/>
      <c r="POI246" s="10"/>
      <c r="POJ246" s="19"/>
      <c r="POK246" s="19"/>
      <c r="PON246" s="16"/>
      <c r="POO246" s="15"/>
      <c r="POP246" s="15"/>
      <c r="POQ246" s="15"/>
      <c r="POR246" s="16"/>
      <c r="POS246" s="16"/>
      <c r="POT246" s="16"/>
      <c r="POU246" s="16"/>
      <c r="POV246" s="16"/>
      <c r="POW246" s="15"/>
      <c r="POX246" s="15"/>
      <c r="POY246" s="10"/>
      <c r="POZ246" s="10"/>
      <c r="PPA246" s="19"/>
      <c r="PPB246" s="19"/>
      <c r="PPE246" s="16"/>
      <c r="PPF246" s="15"/>
      <c r="PPG246" s="15"/>
      <c r="PPH246" s="15"/>
      <c r="PPI246" s="16"/>
      <c r="PPJ246" s="16"/>
      <c r="PPK246" s="16"/>
      <c r="PPL246" s="16"/>
      <c r="PPM246" s="16"/>
      <c r="PPN246" s="15"/>
      <c r="PPO246" s="15"/>
      <c r="PPP246" s="10"/>
      <c r="PPQ246" s="10"/>
      <c r="PPR246" s="19"/>
      <c r="PPS246" s="19"/>
      <c r="PPV246" s="16"/>
      <c r="PPW246" s="15"/>
      <c r="PPX246" s="15"/>
      <c r="PPY246" s="15"/>
      <c r="PPZ246" s="16"/>
      <c r="PQA246" s="16"/>
      <c r="PQB246" s="16"/>
      <c r="PQC246" s="16"/>
      <c r="PQD246" s="16"/>
      <c r="PQE246" s="15"/>
      <c r="PQF246" s="15"/>
      <c r="PQG246" s="10"/>
      <c r="PQH246" s="10"/>
      <c r="PQI246" s="19"/>
      <c r="PQJ246" s="19"/>
      <c r="PQM246" s="16"/>
      <c r="PQN246" s="15"/>
      <c r="PQO246" s="15"/>
      <c r="PQP246" s="15"/>
      <c r="PQQ246" s="16"/>
      <c r="PQR246" s="16"/>
      <c r="PQS246" s="16"/>
      <c r="PQT246" s="16"/>
      <c r="PQU246" s="16"/>
      <c r="PQV246" s="15"/>
      <c r="PQW246" s="15"/>
      <c r="PQX246" s="10"/>
      <c r="PQY246" s="10"/>
      <c r="PQZ246" s="19"/>
      <c r="PRA246" s="19"/>
      <c r="PRD246" s="16"/>
      <c r="PRE246" s="15"/>
      <c r="PRF246" s="15"/>
      <c r="PRG246" s="15"/>
      <c r="PRH246" s="16"/>
      <c r="PRI246" s="16"/>
      <c r="PRJ246" s="16"/>
      <c r="PRK246" s="16"/>
      <c r="PRL246" s="16"/>
      <c r="PRM246" s="15"/>
      <c r="PRN246" s="15"/>
      <c r="PRO246" s="10"/>
      <c r="PRP246" s="10"/>
      <c r="PRQ246" s="19"/>
      <c r="PRR246" s="19"/>
      <c r="PRU246" s="16"/>
      <c r="PRV246" s="15"/>
      <c r="PRW246" s="15"/>
      <c r="PRX246" s="15"/>
      <c r="PRY246" s="16"/>
      <c r="PRZ246" s="16"/>
      <c r="PSA246" s="16"/>
      <c r="PSB246" s="16"/>
      <c r="PSC246" s="16"/>
      <c r="PSD246" s="15"/>
      <c r="PSE246" s="15"/>
      <c r="PSF246" s="10"/>
      <c r="PSG246" s="10"/>
      <c r="PSH246" s="19"/>
      <c r="PSI246" s="19"/>
      <c r="PSL246" s="16"/>
      <c r="PSM246" s="15"/>
      <c r="PSN246" s="15"/>
      <c r="PSO246" s="15"/>
      <c r="PSP246" s="16"/>
      <c r="PSQ246" s="16"/>
      <c r="PSR246" s="16"/>
      <c r="PSS246" s="16"/>
      <c r="PST246" s="16"/>
      <c r="PSU246" s="15"/>
      <c r="PSV246" s="15"/>
      <c r="PSW246" s="10"/>
      <c r="PSX246" s="10"/>
      <c r="PSY246" s="19"/>
      <c r="PSZ246" s="19"/>
      <c r="PTC246" s="16"/>
      <c r="PTD246" s="15"/>
      <c r="PTE246" s="15"/>
      <c r="PTF246" s="15"/>
      <c r="PTG246" s="16"/>
      <c r="PTH246" s="16"/>
      <c r="PTI246" s="16"/>
      <c r="PTJ246" s="16"/>
      <c r="PTK246" s="16"/>
      <c r="PTL246" s="15"/>
      <c r="PTM246" s="15"/>
      <c r="PTN246" s="10"/>
      <c r="PTO246" s="10"/>
      <c r="PTP246" s="19"/>
      <c r="PTQ246" s="19"/>
      <c r="PTT246" s="16"/>
      <c r="PTU246" s="15"/>
      <c r="PTV246" s="15"/>
      <c r="PTW246" s="15"/>
      <c r="PTX246" s="16"/>
      <c r="PTY246" s="16"/>
      <c r="PTZ246" s="16"/>
      <c r="PUA246" s="16"/>
      <c r="PUB246" s="16"/>
      <c r="PUC246" s="15"/>
      <c r="PUD246" s="15"/>
      <c r="PUE246" s="10"/>
      <c r="PUF246" s="10"/>
      <c r="PUG246" s="19"/>
      <c r="PUH246" s="19"/>
      <c r="PUK246" s="16"/>
      <c r="PUL246" s="15"/>
      <c r="PUM246" s="15"/>
      <c r="PUN246" s="15"/>
      <c r="PUO246" s="16"/>
      <c r="PUP246" s="16"/>
      <c r="PUQ246" s="16"/>
      <c r="PUR246" s="16"/>
      <c r="PUS246" s="16"/>
      <c r="PUT246" s="15"/>
      <c r="PUU246" s="15"/>
      <c r="PUV246" s="10"/>
      <c r="PUW246" s="10"/>
      <c r="PUX246" s="19"/>
      <c r="PUY246" s="19"/>
      <c r="PVB246" s="16"/>
      <c r="PVC246" s="15"/>
      <c r="PVD246" s="15"/>
      <c r="PVE246" s="15"/>
      <c r="PVF246" s="16"/>
      <c r="PVG246" s="16"/>
      <c r="PVH246" s="16"/>
      <c r="PVI246" s="16"/>
      <c r="PVJ246" s="16"/>
      <c r="PVK246" s="15"/>
      <c r="PVL246" s="15"/>
      <c r="PVM246" s="10"/>
      <c r="PVN246" s="10"/>
      <c r="PVO246" s="19"/>
      <c r="PVP246" s="19"/>
      <c r="PVS246" s="16"/>
      <c r="PVT246" s="15"/>
      <c r="PVU246" s="15"/>
      <c r="PVV246" s="15"/>
      <c r="PVW246" s="16"/>
      <c r="PVX246" s="16"/>
      <c r="PVY246" s="16"/>
      <c r="PVZ246" s="16"/>
      <c r="PWA246" s="16"/>
      <c r="PWB246" s="15"/>
      <c r="PWC246" s="15"/>
      <c r="PWD246" s="10"/>
      <c r="PWE246" s="10"/>
      <c r="PWF246" s="19"/>
      <c r="PWG246" s="19"/>
      <c r="PWJ246" s="16"/>
      <c r="PWK246" s="15"/>
      <c r="PWL246" s="15"/>
      <c r="PWM246" s="15"/>
      <c r="PWN246" s="16"/>
      <c r="PWO246" s="16"/>
      <c r="PWP246" s="16"/>
      <c r="PWQ246" s="16"/>
      <c r="PWR246" s="16"/>
      <c r="PWS246" s="15"/>
      <c r="PWT246" s="15"/>
      <c r="PWU246" s="10"/>
      <c r="PWV246" s="10"/>
      <c r="PWW246" s="19"/>
      <c r="PWX246" s="19"/>
      <c r="PXA246" s="16"/>
      <c r="PXB246" s="15"/>
      <c r="PXC246" s="15"/>
      <c r="PXD246" s="15"/>
      <c r="PXE246" s="16"/>
      <c r="PXF246" s="16"/>
      <c r="PXG246" s="16"/>
      <c r="PXH246" s="16"/>
      <c r="PXI246" s="16"/>
      <c r="PXJ246" s="15"/>
      <c r="PXK246" s="15"/>
      <c r="PXL246" s="10"/>
      <c r="PXM246" s="10"/>
      <c r="PXN246" s="19"/>
      <c r="PXO246" s="19"/>
      <c r="PXR246" s="16"/>
      <c r="PXS246" s="15"/>
      <c r="PXT246" s="15"/>
      <c r="PXU246" s="15"/>
      <c r="PXV246" s="16"/>
      <c r="PXW246" s="16"/>
      <c r="PXX246" s="16"/>
      <c r="PXY246" s="16"/>
      <c r="PXZ246" s="16"/>
      <c r="PYA246" s="15"/>
      <c r="PYB246" s="15"/>
      <c r="PYC246" s="10"/>
      <c r="PYD246" s="10"/>
      <c r="PYE246" s="19"/>
      <c r="PYF246" s="19"/>
      <c r="PYI246" s="16"/>
      <c r="PYJ246" s="15"/>
      <c r="PYK246" s="15"/>
      <c r="PYL246" s="15"/>
      <c r="PYM246" s="16"/>
      <c r="PYN246" s="16"/>
      <c r="PYO246" s="16"/>
      <c r="PYP246" s="16"/>
      <c r="PYQ246" s="16"/>
      <c r="PYR246" s="15"/>
      <c r="PYS246" s="15"/>
      <c r="PYT246" s="10"/>
      <c r="PYU246" s="10"/>
      <c r="PYV246" s="19"/>
      <c r="PYW246" s="19"/>
      <c r="PYZ246" s="16"/>
      <c r="PZA246" s="15"/>
      <c r="PZB246" s="15"/>
      <c r="PZC246" s="15"/>
      <c r="PZD246" s="16"/>
      <c r="PZE246" s="16"/>
      <c r="PZF246" s="16"/>
      <c r="PZG246" s="16"/>
      <c r="PZH246" s="16"/>
      <c r="PZI246" s="15"/>
      <c r="PZJ246" s="15"/>
      <c r="PZK246" s="10"/>
      <c r="PZL246" s="10"/>
      <c r="PZM246" s="19"/>
      <c r="PZN246" s="19"/>
      <c r="PZQ246" s="16"/>
      <c r="PZR246" s="15"/>
      <c r="PZS246" s="15"/>
      <c r="PZT246" s="15"/>
      <c r="PZU246" s="16"/>
      <c r="PZV246" s="16"/>
      <c r="PZW246" s="16"/>
      <c r="PZX246" s="16"/>
      <c r="PZY246" s="16"/>
      <c r="PZZ246" s="15"/>
      <c r="QAA246" s="15"/>
      <c r="QAB246" s="10"/>
      <c r="QAC246" s="10"/>
      <c r="QAD246" s="19"/>
      <c r="QAE246" s="19"/>
      <c r="QAH246" s="16"/>
      <c r="QAI246" s="15"/>
      <c r="QAJ246" s="15"/>
      <c r="QAK246" s="15"/>
      <c r="QAL246" s="16"/>
      <c r="QAM246" s="16"/>
      <c r="QAN246" s="16"/>
      <c r="QAO246" s="16"/>
      <c r="QAP246" s="16"/>
      <c r="QAQ246" s="15"/>
      <c r="QAR246" s="15"/>
      <c r="QAS246" s="10"/>
      <c r="QAT246" s="10"/>
      <c r="QAU246" s="19"/>
      <c r="QAV246" s="19"/>
      <c r="QAY246" s="16"/>
      <c r="QAZ246" s="15"/>
      <c r="QBA246" s="15"/>
      <c r="QBB246" s="15"/>
      <c r="QBC246" s="16"/>
      <c r="QBD246" s="16"/>
      <c r="QBE246" s="16"/>
      <c r="QBF246" s="16"/>
      <c r="QBG246" s="16"/>
      <c r="QBH246" s="15"/>
      <c r="QBI246" s="15"/>
      <c r="QBJ246" s="10"/>
      <c r="QBK246" s="10"/>
      <c r="QBL246" s="19"/>
      <c r="QBM246" s="19"/>
      <c r="QBP246" s="16"/>
      <c r="QBQ246" s="15"/>
      <c r="QBR246" s="15"/>
      <c r="QBS246" s="15"/>
      <c r="QBT246" s="16"/>
      <c r="QBU246" s="16"/>
      <c r="QBV246" s="16"/>
      <c r="QBW246" s="16"/>
      <c r="QBX246" s="16"/>
      <c r="QBY246" s="15"/>
      <c r="QBZ246" s="15"/>
      <c r="QCA246" s="10"/>
      <c r="QCB246" s="10"/>
      <c r="QCC246" s="19"/>
      <c r="QCD246" s="19"/>
      <c r="QCG246" s="16"/>
      <c r="QCH246" s="15"/>
      <c r="QCI246" s="15"/>
      <c r="QCJ246" s="15"/>
      <c r="QCK246" s="16"/>
      <c r="QCL246" s="16"/>
      <c r="QCM246" s="16"/>
      <c r="QCN246" s="16"/>
      <c r="QCO246" s="16"/>
      <c r="QCP246" s="15"/>
      <c r="QCQ246" s="15"/>
      <c r="QCR246" s="10"/>
      <c r="QCS246" s="10"/>
      <c r="QCT246" s="19"/>
      <c r="QCU246" s="19"/>
      <c r="QCX246" s="16"/>
      <c r="QCY246" s="15"/>
      <c r="QCZ246" s="15"/>
      <c r="QDA246" s="15"/>
      <c r="QDB246" s="16"/>
      <c r="QDC246" s="16"/>
      <c r="QDD246" s="16"/>
      <c r="QDE246" s="16"/>
      <c r="QDF246" s="16"/>
      <c r="QDG246" s="15"/>
      <c r="QDH246" s="15"/>
      <c r="QDI246" s="10"/>
      <c r="QDJ246" s="10"/>
      <c r="QDK246" s="19"/>
      <c r="QDL246" s="19"/>
      <c r="QDO246" s="16"/>
      <c r="QDP246" s="15"/>
      <c r="QDQ246" s="15"/>
      <c r="QDR246" s="15"/>
      <c r="QDS246" s="16"/>
      <c r="QDT246" s="16"/>
      <c r="QDU246" s="16"/>
      <c r="QDV246" s="16"/>
      <c r="QDW246" s="16"/>
      <c r="QDX246" s="15"/>
      <c r="QDY246" s="15"/>
      <c r="QDZ246" s="10"/>
      <c r="QEA246" s="10"/>
      <c r="QEB246" s="19"/>
      <c r="QEC246" s="19"/>
      <c r="QEF246" s="16"/>
      <c r="QEG246" s="15"/>
      <c r="QEH246" s="15"/>
      <c r="QEI246" s="15"/>
      <c r="QEJ246" s="16"/>
      <c r="QEK246" s="16"/>
      <c r="QEL246" s="16"/>
      <c r="QEM246" s="16"/>
      <c r="QEN246" s="16"/>
      <c r="QEO246" s="15"/>
      <c r="QEP246" s="15"/>
      <c r="QEQ246" s="10"/>
      <c r="QER246" s="10"/>
      <c r="QES246" s="19"/>
      <c r="QET246" s="19"/>
      <c r="QEW246" s="16"/>
      <c r="QEX246" s="15"/>
      <c r="QEY246" s="15"/>
      <c r="QEZ246" s="15"/>
      <c r="QFA246" s="16"/>
      <c r="QFB246" s="16"/>
      <c r="QFC246" s="16"/>
      <c r="QFD246" s="16"/>
      <c r="QFE246" s="16"/>
      <c r="QFF246" s="15"/>
      <c r="QFG246" s="15"/>
      <c r="QFH246" s="10"/>
      <c r="QFI246" s="10"/>
      <c r="QFJ246" s="19"/>
      <c r="QFK246" s="19"/>
      <c r="QFN246" s="16"/>
      <c r="QFO246" s="15"/>
      <c r="QFP246" s="15"/>
      <c r="QFQ246" s="15"/>
      <c r="QFR246" s="16"/>
      <c r="QFS246" s="16"/>
      <c r="QFT246" s="16"/>
      <c r="QFU246" s="16"/>
      <c r="QFV246" s="16"/>
      <c r="QFW246" s="15"/>
      <c r="QFX246" s="15"/>
      <c r="QFY246" s="10"/>
      <c r="QFZ246" s="10"/>
      <c r="QGA246" s="19"/>
      <c r="QGB246" s="19"/>
      <c r="QGE246" s="16"/>
      <c r="QGF246" s="15"/>
      <c r="QGG246" s="15"/>
      <c r="QGH246" s="15"/>
      <c r="QGI246" s="16"/>
      <c r="QGJ246" s="16"/>
      <c r="QGK246" s="16"/>
      <c r="QGL246" s="16"/>
      <c r="QGM246" s="16"/>
      <c r="QGN246" s="15"/>
      <c r="QGO246" s="15"/>
      <c r="QGP246" s="10"/>
      <c r="QGQ246" s="10"/>
      <c r="QGR246" s="19"/>
      <c r="QGS246" s="19"/>
      <c r="QGV246" s="16"/>
      <c r="QGW246" s="15"/>
      <c r="QGX246" s="15"/>
      <c r="QGY246" s="15"/>
      <c r="QGZ246" s="16"/>
      <c r="QHA246" s="16"/>
      <c r="QHB246" s="16"/>
      <c r="QHC246" s="16"/>
      <c r="QHD246" s="16"/>
      <c r="QHE246" s="15"/>
      <c r="QHF246" s="15"/>
      <c r="QHG246" s="10"/>
      <c r="QHH246" s="10"/>
      <c r="QHI246" s="19"/>
      <c r="QHJ246" s="19"/>
      <c r="QHM246" s="16"/>
      <c r="QHN246" s="15"/>
      <c r="QHO246" s="15"/>
      <c r="QHP246" s="15"/>
      <c r="QHQ246" s="16"/>
      <c r="QHR246" s="16"/>
      <c r="QHS246" s="16"/>
      <c r="QHT246" s="16"/>
      <c r="QHU246" s="16"/>
      <c r="QHV246" s="15"/>
      <c r="QHW246" s="15"/>
      <c r="QHX246" s="10"/>
      <c r="QHY246" s="10"/>
      <c r="QHZ246" s="19"/>
      <c r="QIA246" s="19"/>
      <c r="QID246" s="16"/>
      <c r="QIE246" s="15"/>
      <c r="QIF246" s="15"/>
      <c r="QIG246" s="15"/>
      <c r="QIH246" s="16"/>
      <c r="QII246" s="16"/>
      <c r="QIJ246" s="16"/>
      <c r="QIK246" s="16"/>
      <c r="QIL246" s="16"/>
      <c r="QIM246" s="15"/>
      <c r="QIN246" s="15"/>
      <c r="QIO246" s="10"/>
      <c r="QIP246" s="10"/>
      <c r="QIQ246" s="19"/>
      <c r="QIR246" s="19"/>
      <c r="QIU246" s="16"/>
      <c r="QIV246" s="15"/>
      <c r="QIW246" s="15"/>
      <c r="QIX246" s="15"/>
      <c r="QIY246" s="16"/>
      <c r="QIZ246" s="16"/>
      <c r="QJA246" s="16"/>
      <c r="QJB246" s="16"/>
      <c r="QJC246" s="16"/>
      <c r="QJD246" s="15"/>
      <c r="QJE246" s="15"/>
      <c r="QJF246" s="10"/>
      <c r="QJG246" s="10"/>
      <c r="QJH246" s="19"/>
      <c r="QJI246" s="19"/>
      <c r="QJL246" s="16"/>
      <c r="QJM246" s="15"/>
      <c r="QJN246" s="15"/>
      <c r="QJO246" s="15"/>
      <c r="QJP246" s="16"/>
      <c r="QJQ246" s="16"/>
      <c r="QJR246" s="16"/>
      <c r="QJS246" s="16"/>
      <c r="QJT246" s="16"/>
      <c r="QJU246" s="15"/>
      <c r="QJV246" s="15"/>
      <c r="QJW246" s="10"/>
      <c r="QJX246" s="10"/>
      <c r="QJY246" s="19"/>
      <c r="QJZ246" s="19"/>
      <c r="QKC246" s="16"/>
      <c r="QKD246" s="15"/>
      <c r="QKE246" s="15"/>
      <c r="QKF246" s="15"/>
      <c r="QKG246" s="16"/>
      <c r="QKH246" s="16"/>
      <c r="QKI246" s="16"/>
      <c r="QKJ246" s="16"/>
      <c r="QKK246" s="16"/>
      <c r="QKL246" s="15"/>
      <c r="QKM246" s="15"/>
      <c r="QKN246" s="10"/>
      <c r="QKO246" s="10"/>
      <c r="QKP246" s="19"/>
      <c r="QKQ246" s="19"/>
      <c r="QKT246" s="16"/>
      <c r="QKU246" s="15"/>
      <c r="QKV246" s="15"/>
      <c r="QKW246" s="15"/>
      <c r="QKX246" s="16"/>
      <c r="QKY246" s="16"/>
      <c r="QKZ246" s="16"/>
      <c r="QLA246" s="16"/>
      <c r="QLB246" s="16"/>
      <c r="QLC246" s="15"/>
      <c r="QLD246" s="15"/>
      <c r="QLE246" s="10"/>
      <c r="QLF246" s="10"/>
      <c r="QLG246" s="19"/>
      <c r="QLH246" s="19"/>
      <c r="QLK246" s="16"/>
      <c r="QLL246" s="15"/>
      <c r="QLM246" s="15"/>
      <c r="QLN246" s="15"/>
      <c r="QLO246" s="16"/>
      <c r="QLP246" s="16"/>
      <c r="QLQ246" s="16"/>
      <c r="QLR246" s="16"/>
      <c r="QLS246" s="16"/>
      <c r="QLT246" s="15"/>
      <c r="QLU246" s="15"/>
      <c r="QLV246" s="10"/>
      <c r="QLW246" s="10"/>
      <c r="QLX246" s="19"/>
      <c r="QLY246" s="19"/>
      <c r="QMB246" s="16"/>
      <c r="QMC246" s="15"/>
      <c r="QMD246" s="15"/>
      <c r="QME246" s="15"/>
      <c r="QMF246" s="16"/>
      <c r="QMG246" s="16"/>
      <c r="QMH246" s="16"/>
      <c r="QMI246" s="16"/>
      <c r="QMJ246" s="16"/>
      <c r="QMK246" s="15"/>
      <c r="QML246" s="15"/>
      <c r="QMM246" s="10"/>
      <c r="QMN246" s="10"/>
      <c r="QMO246" s="19"/>
      <c r="QMP246" s="19"/>
      <c r="QMS246" s="16"/>
      <c r="QMT246" s="15"/>
      <c r="QMU246" s="15"/>
      <c r="QMV246" s="15"/>
      <c r="QMW246" s="16"/>
      <c r="QMX246" s="16"/>
      <c r="QMY246" s="16"/>
      <c r="QMZ246" s="16"/>
      <c r="QNA246" s="16"/>
      <c r="QNB246" s="15"/>
      <c r="QNC246" s="15"/>
      <c r="QND246" s="10"/>
      <c r="QNE246" s="10"/>
      <c r="QNF246" s="19"/>
      <c r="QNG246" s="19"/>
      <c r="QNJ246" s="16"/>
      <c r="QNK246" s="15"/>
      <c r="QNL246" s="15"/>
      <c r="QNM246" s="15"/>
      <c r="QNN246" s="16"/>
      <c r="QNO246" s="16"/>
      <c r="QNP246" s="16"/>
      <c r="QNQ246" s="16"/>
      <c r="QNR246" s="16"/>
      <c r="QNS246" s="15"/>
      <c r="QNT246" s="15"/>
      <c r="QNU246" s="10"/>
      <c r="QNV246" s="10"/>
      <c r="QNW246" s="19"/>
      <c r="QNX246" s="19"/>
      <c r="QOA246" s="16"/>
      <c r="QOB246" s="15"/>
      <c r="QOC246" s="15"/>
      <c r="QOD246" s="15"/>
      <c r="QOE246" s="16"/>
      <c r="QOF246" s="16"/>
      <c r="QOG246" s="16"/>
      <c r="QOH246" s="16"/>
      <c r="QOI246" s="16"/>
      <c r="QOJ246" s="15"/>
      <c r="QOK246" s="15"/>
      <c r="QOL246" s="10"/>
      <c r="QOM246" s="10"/>
      <c r="QON246" s="19"/>
      <c r="QOO246" s="19"/>
      <c r="QOR246" s="16"/>
      <c r="QOS246" s="15"/>
      <c r="QOT246" s="15"/>
      <c r="QOU246" s="15"/>
      <c r="QOV246" s="16"/>
      <c r="QOW246" s="16"/>
      <c r="QOX246" s="16"/>
      <c r="QOY246" s="16"/>
      <c r="QOZ246" s="16"/>
      <c r="QPA246" s="15"/>
      <c r="QPB246" s="15"/>
      <c r="QPC246" s="10"/>
      <c r="QPD246" s="10"/>
      <c r="QPE246" s="19"/>
      <c r="QPF246" s="19"/>
      <c r="QPI246" s="16"/>
      <c r="QPJ246" s="15"/>
      <c r="QPK246" s="15"/>
      <c r="QPL246" s="15"/>
      <c r="QPM246" s="16"/>
      <c r="QPN246" s="16"/>
      <c r="QPO246" s="16"/>
      <c r="QPP246" s="16"/>
      <c r="QPQ246" s="16"/>
      <c r="QPR246" s="15"/>
      <c r="QPS246" s="15"/>
      <c r="QPT246" s="10"/>
      <c r="QPU246" s="10"/>
      <c r="QPV246" s="19"/>
      <c r="QPW246" s="19"/>
      <c r="QPZ246" s="16"/>
      <c r="QQA246" s="15"/>
      <c r="QQB246" s="15"/>
      <c r="QQC246" s="15"/>
      <c r="QQD246" s="16"/>
      <c r="QQE246" s="16"/>
      <c r="QQF246" s="16"/>
      <c r="QQG246" s="16"/>
      <c r="QQH246" s="16"/>
      <c r="QQI246" s="15"/>
      <c r="QQJ246" s="15"/>
      <c r="QQK246" s="10"/>
      <c r="QQL246" s="10"/>
      <c r="QQM246" s="19"/>
      <c r="QQN246" s="19"/>
      <c r="QQQ246" s="16"/>
      <c r="QQR246" s="15"/>
      <c r="QQS246" s="15"/>
      <c r="QQT246" s="15"/>
      <c r="QQU246" s="16"/>
      <c r="QQV246" s="16"/>
      <c r="QQW246" s="16"/>
      <c r="QQX246" s="16"/>
      <c r="QQY246" s="16"/>
      <c r="QQZ246" s="15"/>
      <c r="QRA246" s="15"/>
      <c r="QRB246" s="10"/>
      <c r="QRC246" s="10"/>
      <c r="QRD246" s="19"/>
      <c r="QRE246" s="19"/>
      <c r="QRH246" s="16"/>
      <c r="QRI246" s="15"/>
      <c r="QRJ246" s="15"/>
      <c r="QRK246" s="15"/>
      <c r="QRL246" s="16"/>
      <c r="QRM246" s="16"/>
      <c r="QRN246" s="16"/>
      <c r="QRO246" s="16"/>
      <c r="QRP246" s="16"/>
      <c r="QRQ246" s="15"/>
      <c r="QRR246" s="15"/>
      <c r="QRS246" s="10"/>
      <c r="QRT246" s="10"/>
      <c r="QRU246" s="19"/>
      <c r="QRV246" s="19"/>
      <c r="QRY246" s="16"/>
      <c r="QRZ246" s="15"/>
      <c r="QSA246" s="15"/>
      <c r="QSB246" s="15"/>
      <c r="QSC246" s="16"/>
      <c r="QSD246" s="16"/>
      <c r="QSE246" s="16"/>
      <c r="QSF246" s="16"/>
      <c r="QSG246" s="16"/>
      <c r="QSH246" s="15"/>
      <c r="QSI246" s="15"/>
      <c r="QSJ246" s="10"/>
      <c r="QSK246" s="10"/>
      <c r="QSL246" s="19"/>
      <c r="QSM246" s="19"/>
      <c r="QSP246" s="16"/>
      <c r="QSQ246" s="15"/>
      <c r="QSR246" s="15"/>
      <c r="QSS246" s="15"/>
      <c r="QST246" s="16"/>
      <c r="QSU246" s="16"/>
      <c r="QSV246" s="16"/>
      <c r="QSW246" s="16"/>
      <c r="QSX246" s="16"/>
      <c r="QSY246" s="15"/>
      <c r="QSZ246" s="15"/>
      <c r="QTA246" s="10"/>
      <c r="QTB246" s="10"/>
      <c r="QTC246" s="19"/>
      <c r="QTD246" s="19"/>
      <c r="QTG246" s="16"/>
      <c r="QTH246" s="15"/>
      <c r="QTI246" s="15"/>
      <c r="QTJ246" s="15"/>
      <c r="QTK246" s="16"/>
      <c r="QTL246" s="16"/>
      <c r="QTM246" s="16"/>
      <c r="QTN246" s="16"/>
      <c r="QTO246" s="16"/>
      <c r="QTP246" s="15"/>
      <c r="QTQ246" s="15"/>
      <c r="QTR246" s="10"/>
      <c r="QTS246" s="10"/>
      <c r="QTT246" s="19"/>
      <c r="QTU246" s="19"/>
      <c r="QTX246" s="16"/>
      <c r="QTY246" s="15"/>
      <c r="QTZ246" s="15"/>
      <c r="QUA246" s="15"/>
      <c r="QUB246" s="16"/>
      <c r="QUC246" s="16"/>
      <c r="QUD246" s="16"/>
      <c r="QUE246" s="16"/>
      <c r="QUF246" s="16"/>
      <c r="QUG246" s="15"/>
      <c r="QUH246" s="15"/>
      <c r="QUI246" s="10"/>
      <c r="QUJ246" s="10"/>
      <c r="QUK246" s="19"/>
      <c r="QUL246" s="19"/>
      <c r="QUO246" s="16"/>
      <c r="QUP246" s="15"/>
      <c r="QUQ246" s="15"/>
      <c r="QUR246" s="15"/>
      <c r="QUS246" s="16"/>
      <c r="QUT246" s="16"/>
      <c r="QUU246" s="16"/>
      <c r="QUV246" s="16"/>
      <c r="QUW246" s="16"/>
      <c r="QUX246" s="15"/>
      <c r="QUY246" s="15"/>
      <c r="QUZ246" s="10"/>
      <c r="QVA246" s="10"/>
      <c r="QVB246" s="19"/>
      <c r="QVC246" s="19"/>
      <c r="QVF246" s="16"/>
      <c r="QVG246" s="15"/>
      <c r="QVH246" s="15"/>
      <c r="QVI246" s="15"/>
      <c r="QVJ246" s="16"/>
      <c r="QVK246" s="16"/>
      <c r="QVL246" s="16"/>
      <c r="QVM246" s="16"/>
      <c r="QVN246" s="16"/>
      <c r="QVO246" s="15"/>
      <c r="QVP246" s="15"/>
      <c r="QVQ246" s="10"/>
      <c r="QVR246" s="10"/>
      <c r="QVS246" s="19"/>
      <c r="QVT246" s="19"/>
      <c r="QVW246" s="16"/>
      <c r="QVX246" s="15"/>
      <c r="QVY246" s="15"/>
      <c r="QVZ246" s="15"/>
      <c r="QWA246" s="16"/>
      <c r="QWB246" s="16"/>
      <c r="QWC246" s="16"/>
      <c r="QWD246" s="16"/>
      <c r="QWE246" s="16"/>
      <c r="QWF246" s="15"/>
      <c r="QWG246" s="15"/>
      <c r="QWH246" s="10"/>
      <c r="QWI246" s="10"/>
      <c r="QWJ246" s="19"/>
      <c r="QWK246" s="19"/>
      <c r="QWN246" s="16"/>
      <c r="QWO246" s="15"/>
      <c r="QWP246" s="15"/>
      <c r="QWQ246" s="15"/>
      <c r="QWR246" s="16"/>
      <c r="QWS246" s="16"/>
      <c r="QWT246" s="16"/>
      <c r="QWU246" s="16"/>
      <c r="QWV246" s="16"/>
      <c r="QWW246" s="15"/>
      <c r="QWX246" s="15"/>
      <c r="QWY246" s="10"/>
      <c r="QWZ246" s="10"/>
      <c r="QXA246" s="19"/>
      <c r="QXB246" s="19"/>
      <c r="QXE246" s="16"/>
      <c r="QXF246" s="15"/>
      <c r="QXG246" s="15"/>
      <c r="QXH246" s="15"/>
      <c r="QXI246" s="16"/>
      <c r="QXJ246" s="16"/>
      <c r="QXK246" s="16"/>
      <c r="QXL246" s="16"/>
      <c r="QXM246" s="16"/>
      <c r="QXN246" s="15"/>
      <c r="QXO246" s="15"/>
      <c r="QXP246" s="10"/>
      <c r="QXQ246" s="10"/>
      <c r="QXR246" s="19"/>
      <c r="QXS246" s="19"/>
      <c r="QXV246" s="16"/>
      <c r="QXW246" s="15"/>
      <c r="QXX246" s="15"/>
      <c r="QXY246" s="15"/>
      <c r="QXZ246" s="16"/>
      <c r="QYA246" s="16"/>
      <c r="QYB246" s="16"/>
      <c r="QYC246" s="16"/>
      <c r="QYD246" s="16"/>
      <c r="QYE246" s="15"/>
      <c r="QYF246" s="15"/>
      <c r="QYG246" s="10"/>
      <c r="QYH246" s="10"/>
      <c r="QYI246" s="19"/>
      <c r="QYJ246" s="19"/>
      <c r="QYM246" s="16"/>
      <c r="QYN246" s="15"/>
      <c r="QYO246" s="15"/>
      <c r="QYP246" s="15"/>
      <c r="QYQ246" s="16"/>
      <c r="QYR246" s="16"/>
      <c r="QYS246" s="16"/>
      <c r="QYT246" s="16"/>
      <c r="QYU246" s="16"/>
      <c r="QYV246" s="15"/>
      <c r="QYW246" s="15"/>
      <c r="QYX246" s="10"/>
      <c r="QYY246" s="10"/>
      <c r="QYZ246" s="19"/>
      <c r="QZA246" s="19"/>
      <c r="QZD246" s="16"/>
      <c r="QZE246" s="15"/>
      <c r="QZF246" s="15"/>
      <c r="QZG246" s="15"/>
      <c r="QZH246" s="16"/>
      <c r="QZI246" s="16"/>
      <c r="QZJ246" s="16"/>
      <c r="QZK246" s="16"/>
      <c r="QZL246" s="16"/>
      <c r="QZM246" s="15"/>
      <c r="QZN246" s="15"/>
      <c r="QZO246" s="10"/>
      <c r="QZP246" s="10"/>
      <c r="QZQ246" s="19"/>
      <c r="QZR246" s="19"/>
      <c r="QZU246" s="16"/>
      <c r="QZV246" s="15"/>
      <c r="QZW246" s="15"/>
      <c r="QZX246" s="15"/>
      <c r="QZY246" s="16"/>
      <c r="QZZ246" s="16"/>
      <c r="RAA246" s="16"/>
      <c r="RAB246" s="16"/>
      <c r="RAC246" s="16"/>
      <c r="RAD246" s="15"/>
      <c r="RAE246" s="15"/>
      <c r="RAF246" s="10"/>
      <c r="RAG246" s="10"/>
      <c r="RAH246" s="19"/>
      <c r="RAI246" s="19"/>
      <c r="RAL246" s="16"/>
      <c r="RAM246" s="15"/>
      <c r="RAN246" s="15"/>
      <c r="RAO246" s="15"/>
      <c r="RAP246" s="16"/>
      <c r="RAQ246" s="16"/>
      <c r="RAR246" s="16"/>
      <c r="RAS246" s="16"/>
      <c r="RAT246" s="16"/>
      <c r="RAU246" s="15"/>
      <c r="RAV246" s="15"/>
      <c r="RAW246" s="10"/>
      <c r="RAX246" s="10"/>
      <c r="RAY246" s="19"/>
      <c r="RAZ246" s="19"/>
      <c r="RBC246" s="16"/>
      <c r="RBD246" s="15"/>
      <c r="RBE246" s="15"/>
      <c r="RBF246" s="15"/>
      <c r="RBG246" s="16"/>
      <c r="RBH246" s="16"/>
      <c r="RBI246" s="16"/>
      <c r="RBJ246" s="16"/>
      <c r="RBK246" s="16"/>
      <c r="RBL246" s="15"/>
      <c r="RBM246" s="15"/>
      <c r="RBN246" s="10"/>
      <c r="RBO246" s="10"/>
      <c r="RBP246" s="19"/>
      <c r="RBQ246" s="19"/>
      <c r="RBT246" s="16"/>
      <c r="RBU246" s="15"/>
      <c r="RBV246" s="15"/>
      <c r="RBW246" s="15"/>
      <c r="RBX246" s="16"/>
      <c r="RBY246" s="16"/>
      <c r="RBZ246" s="16"/>
      <c r="RCA246" s="16"/>
      <c r="RCB246" s="16"/>
      <c r="RCC246" s="15"/>
      <c r="RCD246" s="15"/>
      <c r="RCE246" s="10"/>
      <c r="RCF246" s="10"/>
      <c r="RCG246" s="19"/>
      <c r="RCH246" s="19"/>
      <c r="RCK246" s="16"/>
      <c r="RCL246" s="15"/>
      <c r="RCM246" s="15"/>
      <c r="RCN246" s="15"/>
      <c r="RCO246" s="16"/>
      <c r="RCP246" s="16"/>
      <c r="RCQ246" s="16"/>
      <c r="RCR246" s="16"/>
      <c r="RCS246" s="16"/>
      <c r="RCT246" s="15"/>
      <c r="RCU246" s="15"/>
      <c r="RCV246" s="10"/>
      <c r="RCW246" s="10"/>
      <c r="RCX246" s="19"/>
      <c r="RCY246" s="19"/>
      <c r="RDB246" s="16"/>
      <c r="RDC246" s="15"/>
      <c r="RDD246" s="15"/>
      <c r="RDE246" s="15"/>
      <c r="RDF246" s="16"/>
      <c r="RDG246" s="16"/>
      <c r="RDH246" s="16"/>
      <c r="RDI246" s="16"/>
      <c r="RDJ246" s="16"/>
      <c r="RDK246" s="15"/>
      <c r="RDL246" s="15"/>
      <c r="RDM246" s="10"/>
      <c r="RDN246" s="10"/>
      <c r="RDO246" s="19"/>
      <c r="RDP246" s="19"/>
      <c r="RDS246" s="16"/>
      <c r="RDT246" s="15"/>
      <c r="RDU246" s="15"/>
      <c r="RDV246" s="15"/>
      <c r="RDW246" s="16"/>
      <c r="RDX246" s="16"/>
      <c r="RDY246" s="16"/>
      <c r="RDZ246" s="16"/>
      <c r="REA246" s="16"/>
      <c r="REB246" s="15"/>
      <c r="REC246" s="15"/>
      <c r="RED246" s="10"/>
      <c r="REE246" s="10"/>
      <c r="REF246" s="19"/>
      <c r="REG246" s="19"/>
      <c r="REJ246" s="16"/>
      <c r="REK246" s="15"/>
      <c r="REL246" s="15"/>
      <c r="REM246" s="15"/>
      <c r="REN246" s="16"/>
      <c r="REO246" s="16"/>
      <c r="REP246" s="16"/>
      <c r="REQ246" s="16"/>
      <c r="RER246" s="16"/>
      <c r="RES246" s="15"/>
      <c r="RET246" s="15"/>
      <c r="REU246" s="10"/>
      <c r="REV246" s="10"/>
      <c r="REW246" s="19"/>
      <c r="REX246" s="19"/>
      <c r="RFA246" s="16"/>
      <c r="RFB246" s="15"/>
      <c r="RFC246" s="15"/>
      <c r="RFD246" s="15"/>
      <c r="RFE246" s="16"/>
      <c r="RFF246" s="16"/>
      <c r="RFG246" s="16"/>
      <c r="RFH246" s="16"/>
      <c r="RFI246" s="16"/>
      <c r="RFJ246" s="15"/>
      <c r="RFK246" s="15"/>
      <c r="RFL246" s="10"/>
      <c r="RFM246" s="10"/>
      <c r="RFN246" s="19"/>
      <c r="RFO246" s="19"/>
      <c r="RFR246" s="16"/>
      <c r="RFS246" s="15"/>
      <c r="RFT246" s="15"/>
      <c r="RFU246" s="15"/>
      <c r="RFV246" s="16"/>
      <c r="RFW246" s="16"/>
      <c r="RFX246" s="16"/>
      <c r="RFY246" s="16"/>
      <c r="RFZ246" s="16"/>
      <c r="RGA246" s="15"/>
      <c r="RGB246" s="15"/>
      <c r="RGC246" s="10"/>
      <c r="RGD246" s="10"/>
      <c r="RGE246" s="19"/>
      <c r="RGF246" s="19"/>
      <c r="RGI246" s="16"/>
      <c r="RGJ246" s="15"/>
      <c r="RGK246" s="15"/>
      <c r="RGL246" s="15"/>
      <c r="RGM246" s="16"/>
      <c r="RGN246" s="16"/>
      <c r="RGO246" s="16"/>
      <c r="RGP246" s="16"/>
      <c r="RGQ246" s="16"/>
      <c r="RGR246" s="15"/>
      <c r="RGS246" s="15"/>
      <c r="RGT246" s="10"/>
      <c r="RGU246" s="10"/>
      <c r="RGV246" s="19"/>
      <c r="RGW246" s="19"/>
      <c r="RGZ246" s="16"/>
      <c r="RHA246" s="15"/>
      <c r="RHB246" s="15"/>
      <c r="RHC246" s="15"/>
      <c r="RHD246" s="16"/>
      <c r="RHE246" s="16"/>
      <c r="RHF246" s="16"/>
      <c r="RHG246" s="16"/>
      <c r="RHH246" s="16"/>
      <c r="RHI246" s="15"/>
      <c r="RHJ246" s="15"/>
      <c r="RHK246" s="10"/>
      <c r="RHL246" s="10"/>
      <c r="RHM246" s="19"/>
      <c r="RHN246" s="19"/>
      <c r="RHQ246" s="16"/>
      <c r="RHR246" s="15"/>
      <c r="RHS246" s="15"/>
      <c r="RHT246" s="15"/>
      <c r="RHU246" s="16"/>
      <c r="RHV246" s="16"/>
      <c r="RHW246" s="16"/>
      <c r="RHX246" s="16"/>
      <c r="RHY246" s="16"/>
      <c r="RHZ246" s="15"/>
      <c r="RIA246" s="15"/>
      <c r="RIB246" s="10"/>
      <c r="RIC246" s="10"/>
      <c r="RID246" s="19"/>
      <c r="RIE246" s="19"/>
      <c r="RIH246" s="16"/>
      <c r="RII246" s="15"/>
      <c r="RIJ246" s="15"/>
      <c r="RIK246" s="15"/>
      <c r="RIL246" s="16"/>
      <c r="RIM246" s="16"/>
      <c r="RIN246" s="16"/>
      <c r="RIO246" s="16"/>
      <c r="RIP246" s="16"/>
      <c r="RIQ246" s="15"/>
      <c r="RIR246" s="15"/>
      <c r="RIS246" s="10"/>
      <c r="RIT246" s="10"/>
      <c r="RIU246" s="19"/>
      <c r="RIV246" s="19"/>
      <c r="RIY246" s="16"/>
      <c r="RIZ246" s="15"/>
      <c r="RJA246" s="15"/>
      <c r="RJB246" s="15"/>
      <c r="RJC246" s="16"/>
      <c r="RJD246" s="16"/>
      <c r="RJE246" s="16"/>
      <c r="RJF246" s="16"/>
      <c r="RJG246" s="16"/>
      <c r="RJH246" s="15"/>
      <c r="RJI246" s="15"/>
      <c r="RJJ246" s="10"/>
      <c r="RJK246" s="10"/>
      <c r="RJL246" s="19"/>
      <c r="RJM246" s="19"/>
      <c r="RJP246" s="16"/>
      <c r="RJQ246" s="15"/>
      <c r="RJR246" s="15"/>
      <c r="RJS246" s="15"/>
      <c r="RJT246" s="16"/>
      <c r="RJU246" s="16"/>
      <c r="RJV246" s="16"/>
      <c r="RJW246" s="16"/>
      <c r="RJX246" s="16"/>
      <c r="RJY246" s="15"/>
      <c r="RJZ246" s="15"/>
      <c r="RKA246" s="10"/>
      <c r="RKB246" s="10"/>
      <c r="RKC246" s="19"/>
      <c r="RKD246" s="19"/>
      <c r="RKG246" s="16"/>
      <c r="RKH246" s="15"/>
      <c r="RKI246" s="15"/>
      <c r="RKJ246" s="15"/>
      <c r="RKK246" s="16"/>
      <c r="RKL246" s="16"/>
      <c r="RKM246" s="16"/>
      <c r="RKN246" s="16"/>
      <c r="RKO246" s="16"/>
      <c r="RKP246" s="15"/>
      <c r="RKQ246" s="15"/>
      <c r="RKR246" s="10"/>
      <c r="RKS246" s="10"/>
      <c r="RKT246" s="19"/>
      <c r="RKU246" s="19"/>
      <c r="RKX246" s="16"/>
      <c r="RKY246" s="15"/>
      <c r="RKZ246" s="15"/>
      <c r="RLA246" s="15"/>
      <c r="RLB246" s="16"/>
      <c r="RLC246" s="16"/>
      <c r="RLD246" s="16"/>
      <c r="RLE246" s="16"/>
      <c r="RLF246" s="16"/>
      <c r="RLG246" s="15"/>
      <c r="RLH246" s="15"/>
      <c r="RLI246" s="10"/>
      <c r="RLJ246" s="10"/>
      <c r="RLK246" s="19"/>
      <c r="RLL246" s="19"/>
      <c r="RLO246" s="16"/>
      <c r="RLP246" s="15"/>
      <c r="RLQ246" s="15"/>
      <c r="RLR246" s="15"/>
      <c r="RLS246" s="16"/>
      <c r="RLT246" s="16"/>
      <c r="RLU246" s="16"/>
      <c r="RLV246" s="16"/>
      <c r="RLW246" s="16"/>
      <c r="RLX246" s="15"/>
      <c r="RLY246" s="15"/>
      <c r="RLZ246" s="10"/>
      <c r="RMA246" s="10"/>
      <c r="RMB246" s="19"/>
      <c r="RMC246" s="19"/>
      <c r="RMF246" s="16"/>
      <c r="RMG246" s="15"/>
      <c r="RMH246" s="15"/>
      <c r="RMI246" s="15"/>
      <c r="RMJ246" s="16"/>
      <c r="RMK246" s="16"/>
      <c r="RML246" s="16"/>
      <c r="RMM246" s="16"/>
      <c r="RMN246" s="16"/>
      <c r="RMO246" s="15"/>
      <c r="RMP246" s="15"/>
      <c r="RMQ246" s="10"/>
      <c r="RMR246" s="10"/>
      <c r="RMS246" s="19"/>
      <c r="RMT246" s="19"/>
      <c r="RMW246" s="16"/>
      <c r="RMX246" s="15"/>
      <c r="RMY246" s="15"/>
      <c r="RMZ246" s="15"/>
      <c r="RNA246" s="16"/>
      <c r="RNB246" s="16"/>
      <c r="RNC246" s="16"/>
      <c r="RND246" s="16"/>
      <c r="RNE246" s="16"/>
      <c r="RNF246" s="15"/>
      <c r="RNG246" s="15"/>
      <c r="RNH246" s="10"/>
      <c r="RNI246" s="10"/>
      <c r="RNJ246" s="19"/>
      <c r="RNK246" s="19"/>
      <c r="RNN246" s="16"/>
      <c r="RNO246" s="15"/>
      <c r="RNP246" s="15"/>
      <c r="RNQ246" s="15"/>
      <c r="RNR246" s="16"/>
      <c r="RNS246" s="16"/>
      <c r="RNT246" s="16"/>
      <c r="RNU246" s="16"/>
      <c r="RNV246" s="16"/>
      <c r="RNW246" s="15"/>
      <c r="RNX246" s="15"/>
      <c r="RNY246" s="10"/>
      <c r="RNZ246" s="10"/>
      <c r="ROA246" s="19"/>
      <c r="ROB246" s="19"/>
      <c r="ROE246" s="16"/>
      <c r="ROF246" s="15"/>
      <c r="ROG246" s="15"/>
      <c r="ROH246" s="15"/>
      <c r="ROI246" s="16"/>
      <c r="ROJ246" s="16"/>
      <c r="ROK246" s="16"/>
      <c r="ROL246" s="16"/>
      <c r="ROM246" s="16"/>
      <c r="RON246" s="15"/>
      <c r="ROO246" s="15"/>
      <c r="ROP246" s="10"/>
      <c r="ROQ246" s="10"/>
      <c r="ROR246" s="19"/>
      <c r="ROS246" s="19"/>
      <c r="ROV246" s="16"/>
      <c r="ROW246" s="15"/>
      <c r="ROX246" s="15"/>
      <c r="ROY246" s="15"/>
      <c r="ROZ246" s="16"/>
      <c r="RPA246" s="16"/>
      <c r="RPB246" s="16"/>
      <c r="RPC246" s="16"/>
      <c r="RPD246" s="16"/>
      <c r="RPE246" s="15"/>
      <c r="RPF246" s="15"/>
      <c r="RPG246" s="10"/>
      <c r="RPH246" s="10"/>
      <c r="RPI246" s="19"/>
      <c r="RPJ246" s="19"/>
      <c r="RPM246" s="16"/>
      <c r="RPN246" s="15"/>
      <c r="RPO246" s="15"/>
      <c r="RPP246" s="15"/>
      <c r="RPQ246" s="16"/>
      <c r="RPR246" s="16"/>
      <c r="RPS246" s="16"/>
      <c r="RPT246" s="16"/>
      <c r="RPU246" s="16"/>
      <c r="RPV246" s="15"/>
      <c r="RPW246" s="15"/>
      <c r="RPX246" s="10"/>
      <c r="RPY246" s="10"/>
      <c r="RPZ246" s="19"/>
      <c r="RQA246" s="19"/>
      <c r="RQD246" s="16"/>
      <c r="RQE246" s="15"/>
      <c r="RQF246" s="15"/>
      <c r="RQG246" s="15"/>
      <c r="RQH246" s="16"/>
      <c r="RQI246" s="16"/>
      <c r="RQJ246" s="16"/>
      <c r="RQK246" s="16"/>
      <c r="RQL246" s="16"/>
      <c r="RQM246" s="15"/>
      <c r="RQN246" s="15"/>
      <c r="RQO246" s="10"/>
      <c r="RQP246" s="10"/>
      <c r="RQQ246" s="19"/>
      <c r="RQR246" s="19"/>
      <c r="RQU246" s="16"/>
      <c r="RQV246" s="15"/>
      <c r="RQW246" s="15"/>
      <c r="RQX246" s="15"/>
      <c r="RQY246" s="16"/>
      <c r="RQZ246" s="16"/>
      <c r="RRA246" s="16"/>
      <c r="RRB246" s="16"/>
      <c r="RRC246" s="16"/>
      <c r="RRD246" s="15"/>
      <c r="RRE246" s="15"/>
      <c r="RRF246" s="10"/>
      <c r="RRG246" s="10"/>
      <c r="RRH246" s="19"/>
      <c r="RRI246" s="19"/>
      <c r="RRL246" s="16"/>
      <c r="RRM246" s="15"/>
      <c r="RRN246" s="15"/>
      <c r="RRO246" s="15"/>
      <c r="RRP246" s="16"/>
      <c r="RRQ246" s="16"/>
      <c r="RRR246" s="16"/>
      <c r="RRS246" s="16"/>
      <c r="RRT246" s="16"/>
      <c r="RRU246" s="15"/>
      <c r="RRV246" s="15"/>
      <c r="RRW246" s="10"/>
      <c r="RRX246" s="10"/>
      <c r="RRY246" s="19"/>
      <c r="RRZ246" s="19"/>
      <c r="RSC246" s="16"/>
      <c r="RSD246" s="15"/>
      <c r="RSE246" s="15"/>
      <c r="RSF246" s="15"/>
      <c r="RSG246" s="16"/>
      <c r="RSH246" s="16"/>
      <c r="RSI246" s="16"/>
      <c r="RSJ246" s="16"/>
      <c r="RSK246" s="16"/>
      <c r="RSL246" s="15"/>
      <c r="RSM246" s="15"/>
      <c r="RSN246" s="10"/>
      <c r="RSO246" s="10"/>
      <c r="RSP246" s="19"/>
      <c r="RSQ246" s="19"/>
      <c r="RST246" s="16"/>
      <c r="RSU246" s="15"/>
      <c r="RSV246" s="15"/>
      <c r="RSW246" s="15"/>
      <c r="RSX246" s="16"/>
      <c r="RSY246" s="16"/>
      <c r="RSZ246" s="16"/>
      <c r="RTA246" s="16"/>
      <c r="RTB246" s="16"/>
      <c r="RTC246" s="15"/>
      <c r="RTD246" s="15"/>
      <c r="RTE246" s="10"/>
      <c r="RTF246" s="10"/>
      <c r="RTG246" s="19"/>
      <c r="RTH246" s="19"/>
      <c r="RTK246" s="16"/>
      <c r="RTL246" s="15"/>
      <c r="RTM246" s="15"/>
      <c r="RTN246" s="15"/>
      <c r="RTO246" s="16"/>
      <c r="RTP246" s="16"/>
      <c r="RTQ246" s="16"/>
      <c r="RTR246" s="16"/>
      <c r="RTS246" s="16"/>
      <c r="RTT246" s="15"/>
      <c r="RTU246" s="15"/>
      <c r="RTV246" s="10"/>
      <c r="RTW246" s="10"/>
      <c r="RTX246" s="19"/>
      <c r="RTY246" s="19"/>
      <c r="RUB246" s="16"/>
      <c r="RUC246" s="15"/>
      <c r="RUD246" s="15"/>
      <c r="RUE246" s="15"/>
      <c r="RUF246" s="16"/>
      <c r="RUG246" s="16"/>
      <c r="RUH246" s="16"/>
      <c r="RUI246" s="16"/>
      <c r="RUJ246" s="16"/>
      <c r="RUK246" s="15"/>
      <c r="RUL246" s="15"/>
      <c r="RUM246" s="10"/>
      <c r="RUN246" s="10"/>
      <c r="RUO246" s="19"/>
      <c r="RUP246" s="19"/>
      <c r="RUS246" s="16"/>
      <c r="RUT246" s="15"/>
      <c r="RUU246" s="15"/>
      <c r="RUV246" s="15"/>
      <c r="RUW246" s="16"/>
      <c r="RUX246" s="16"/>
      <c r="RUY246" s="16"/>
      <c r="RUZ246" s="16"/>
      <c r="RVA246" s="16"/>
      <c r="RVB246" s="15"/>
      <c r="RVC246" s="15"/>
      <c r="RVD246" s="10"/>
      <c r="RVE246" s="10"/>
      <c r="RVF246" s="19"/>
      <c r="RVG246" s="19"/>
      <c r="RVJ246" s="16"/>
      <c r="RVK246" s="15"/>
      <c r="RVL246" s="15"/>
      <c r="RVM246" s="15"/>
      <c r="RVN246" s="16"/>
      <c r="RVO246" s="16"/>
      <c r="RVP246" s="16"/>
      <c r="RVQ246" s="16"/>
      <c r="RVR246" s="16"/>
      <c r="RVS246" s="15"/>
      <c r="RVT246" s="15"/>
      <c r="RVU246" s="10"/>
      <c r="RVV246" s="10"/>
      <c r="RVW246" s="19"/>
      <c r="RVX246" s="19"/>
      <c r="RWA246" s="16"/>
      <c r="RWB246" s="15"/>
      <c r="RWC246" s="15"/>
      <c r="RWD246" s="15"/>
      <c r="RWE246" s="16"/>
      <c r="RWF246" s="16"/>
      <c r="RWG246" s="16"/>
      <c r="RWH246" s="16"/>
      <c r="RWI246" s="16"/>
      <c r="RWJ246" s="15"/>
      <c r="RWK246" s="15"/>
      <c r="RWL246" s="10"/>
      <c r="RWM246" s="10"/>
      <c r="RWN246" s="19"/>
      <c r="RWO246" s="19"/>
      <c r="RWR246" s="16"/>
      <c r="RWS246" s="15"/>
      <c r="RWT246" s="15"/>
      <c r="RWU246" s="15"/>
      <c r="RWV246" s="16"/>
      <c r="RWW246" s="16"/>
      <c r="RWX246" s="16"/>
      <c r="RWY246" s="16"/>
      <c r="RWZ246" s="16"/>
      <c r="RXA246" s="15"/>
      <c r="RXB246" s="15"/>
      <c r="RXC246" s="10"/>
      <c r="RXD246" s="10"/>
      <c r="RXE246" s="19"/>
      <c r="RXF246" s="19"/>
      <c r="RXI246" s="16"/>
      <c r="RXJ246" s="15"/>
      <c r="RXK246" s="15"/>
      <c r="RXL246" s="15"/>
      <c r="RXM246" s="16"/>
      <c r="RXN246" s="16"/>
      <c r="RXO246" s="16"/>
      <c r="RXP246" s="16"/>
      <c r="RXQ246" s="16"/>
      <c r="RXR246" s="15"/>
      <c r="RXS246" s="15"/>
      <c r="RXT246" s="10"/>
      <c r="RXU246" s="10"/>
      <c r="RXV246" s="19"/>
      <c r="RXW246" s="19"/>
      <c r="RXZ246" s="16"/>
      <c r="RYA246" s="15"/>
      <c r="RYB246" s="15"/>
      <c r="RYC246" s="15"/>
      <c r="RYD246" s="16"/>
      <c r="RYE246" s="16"/>
      <c r="RYF246" s="16"/>
      <c r="RYG246" s="16"/>
      <c r="RYH246" s="16"/>
      <c r="RYI246" s="15"/>
      <c r="RYJ246" s="15"/>
      <c r="RYK246" s="10"/>
      <c r="RYL246" s="10"/>
      <c r="RYM246" s="19"/>
      <c r="RYN246" s="19"/>
      <c r="RYQ246" s="16"/>
      <c r="RYR246" s="15"/>
      <c r="RYS246" s="15"/>
      <c r="RYT246" s="15"/>
      <c r="RYU246" s="16"/>
      <c r="RYV246" s="16"/>
      <c r="RYW246" s="16"/>
      <c r="RYX246" s="16"/>
      <c r="RYY246" s="16"/>
      <c r="RYZ246" s="15"/>
      <c r="RZA246" s="15"/>
      <c r="RZB246" s="10"/>
      <c r="RZC246" s="10"/>
      <c r="RZD246" s="19"/>
      <c r="RZE246" s="19"/>
      <c r="RZH246" s="16"/>
      <c r="RZI246" s="15"/>
      <c r="RZJ246" s="15"/>
      <c r="RZK246" s="15"/>
      <c r="RZL246" s="16"/>
      <c r="RZM246" s="16"/>
      <c r="RZN246" s="16"/>
      <c r="RZO246" s="16"/>
      <c r="RZP246" s="16"/>
      <c r="RZQ246" s="15"/>
      <c r="RZR246" s="15"/>
      <c r="RZS246" s="10"/>
      <c r="RZT246" s="10"/>
      <c r="RZU246" s="19"/>
      <c r="RZV246" s="19"/>
      <c r="RZY246" s="16"/>
      <c r="RZZ246" s="15"/>
      <c r="SAA246" s="15"/>
      <c r="SAB246" s="15"/>
      <c r="SAC246" s="16"/>
      <c r="SAD246" s="16"/>
      <c r="SAE246" s="16"/>
      <c r="SAF246" s="16"/>
      <c r="SAG246" s="16"/>
      <c r="SAH246" s="15"/>
      <c r="SAI246" s="15"/>
      <c r="SAJ246" s="10"/>
      <c r="SAK246" s="10"/>
      <c r="SAL246" s="19"/>
      <c r="SAM246" s="19"/>
      <c r="SAP246" s="16"/>
      <c r="SAQ246" s="15"/>
      <c r="SAR246" s="15"/>
      <c r="SAS246" s="15"/>
      <c r="SAT246" s="16"/>
      <c r="SAU246" s="16"/>
      <c r="SAV246" s="16"/>
      <c r="SAW246" s="16"/>
      <c r="SAX246" s="16"/>
      <c r="SAY246" s="15"/>
      <c r="SAZ246" s="15"/>
      <c r="SBA246" s="10"/>
      <c r="SBB246" s="10"/>
      <c r="SBC246" s="19"/>
      <c r="SBD246" s="19"/>
      <c r="SBG246" s="16"/>
      <c r="SBH246" s="15"/>
      <c r="SBI246" s="15"/>
      <c r="SBJ246" s="15"/>
      <c r="SBK246" s="16"/>
      <c r="SBL246" s="16"/>
      <c r="SBM246" s="16"/>
      <c r="SBN246" s="16"/>
      <c r="SBO246" s="16"/>
      <c r="SBP246" s="15"/>
      <c r="SBQ246" s="15"/>
      <c r="SBR246" s="10"/>
      <c r="SBS246" s="10"/>
      <c r="SBT246" s="19"/>
      <c r="SBU246" s="19"/>
      <c r="SBX246" s="16"/>
      <c r="SBY246" s="15"/>
      <c r="SBZ246" s="15"/>
      <c r="SCA246" s="15"/>
      <c r="SCB246" s="16"/>
      <c r="SCC246" s="16"/>
      <c r="SCD246" s="16"/>
      <c r="SCE246" s="16"/>
      <c r="SCF246" s="16"/>
      <c r="SCG246" s="15"/>
      <c r="SCH246" s="15"/>
      <c r="SCI246" s="10"/>
      <c r="SCJ246" s="10"/>
      <c r="SCK246" s="19"/>
      <c r="SCL246" s="19"/>
      <c r="SCO246" s="16"/>
      <c r="SCP246" s="15"/>
      <c r="SCQ246" s="15"/>
      <c r="SCR246" s="15"/>
      <c r="SCS246" s="16"/>
      <c r="SCT246" s="16"/>
      <c r="SCU246" s="16"/>
      <c r="SCV246" s="16"/>
      <c r="SCW246" s="16"/>
      <c r="SCX246" s="15"/>
      <c r="SCY246" s="15"/>
      <c r="SCZ246" s="10"/>
      <c r="SDA246" s="10"/>
      <c r="SDB246" s="19"/>
      <c r="SDC246" s="19"/>
      <c r="SDF246" s="16"/>
      <c r="SDG246" s="15"/>
      <c r="SDH246" s="15"/>
      <c r="SDI246" s="15"/>
      <c r="SDJ246" s="16"/>
      <c r="SDK246" s="16"/>
      <c r="SDL246" s="16"/>
      <c r="SDM246" s="16"/>
      <c r="SDN246" s="16"/>
      <c r="SDO246" s="15"/>
      <c r="SDP246" s="15"/>
      <c r="SDQ246" s="10"/>
      <c r="SDR246" s="10"/>
      <c r="SDS246" s="19"/>
      <c r="SDT246" s="19"/>
      <c r="SDW246" s="16"/>
      <c r="SDX246" s="15"/>
      <c r="SDY246" s="15"/>
      <c r="SDZ246" s="15"/>
      <c r="SEA246" s="16"/>
      <c r="SEB246" s="16"/>
      <c r="SEC246" s="16"/>
      <c r="SED246" s="16"/>
      <c r="SEE246" s="16"/>
      <c r="SEF246" s="15"/>
      <c r="SEG246" s="15"/>
      <c r="SEH246" s="10"/>
      <c r="SEI246" s="10"/>
      <c r="SEJ246" s="19"/>
      <c r="SEK246" s="19"/>
      <c r="SEN246" s="16"/>
      <c r="SEO246" s="15"/>
      <c r="SEP246" s="15"/>
      <c r="SEQ246" s="15"/>
      <c r="SER246" s="16"/>
      <c r="SES246" s="16"/>
      <c r="SET246" s="16"/>
      <c r="SEU246" s="16"/>
      <c r="SEV246" s="16"/>
      <c r="SEW246" s="15"/>
      <c r="SEX246" s="15"/>
      <c r="SEY246" s="10"/>
      <c r="SEZ246" s="10"/>
      <c r="SFA246" s="19"/>
      <c r="SFB246" s="19"/>
      <c r="SFE246" s="16"/>
      <c r="SFF246" s="15"/>
      <c r="SFG246" s="15"/>
      <c r="SFH246" s="15"/>
      <c r="SFI246" s="16"/>
      <c r="SFJ246" s="16"/>
      <c r="SFK246" s="16"/>
      <c r="SFL246" s="16"/>
      <c r="SFM246" s="16"/>
      <c r="SFN246" s="15"/>
      <c r="SFO246" s="15"/>
      <c r="SFP246" s="10"/>
      <c r="SFQ246" s="10"/>
      <c r="SFR246" s="19"/>
      <c r="SFS246" s="19"/>
      <c r="SFV246" s="16"/>
      <c r="SFW246" s="15"/>
      <c r="SFX246" s="15"/>
      <c r="SFY246" s="15"/>
      <c r="SFZ246" s="16"/>
      <c r="SGA246" s="16"/>
      <c r="SGB246" s="16"/>
      <c r="SGC246" s="16"/>
      <c r="SGD246" s="16"/>
      <c r="SGE246" s="15"/>
      <c r="SGF246" s="15"/>
      <c r="SGG246" s="10"/>
      <c r="SGH246" s="10"/>
      <c r="SGI246" s="19"/>
      <c r="SGJ246" s="19"/>
      <c r="SGM246" s="16"/>
      <c r="SGN246" s="15"/>
      <c r="SGO246" s="15"/>
      <c r="SGP246" s="15"/>
      <c r="SGQ246" s="16"/>
      <c r="SGR246" s="16"/>
      <c r="SGS246" s="16"/>
      <c r="SGT246" s="16"/>
      <c r="SGU246" s="16"/>
      <c r="SGV246" s="15"/>
      <c r="SGW246" s="15"/>
      <c r="SGX246" s="10"/>
      <c r="SGY246" s="10"/>
      <c r="SGZ246" s="19"/>
      <c r="SHA246" s="19"/>
      <c r="SHD246" s="16"/>
      <c r="SHE246" s="15"/>
      <c r="SHF246" s="15"/>
      <c r="SHG246" s="15"/>
      <c r="SHH246" s="16"/>
      <c r="SHI246" s="16"/>
      <c r="SHJ246" s="16"/>
      <c r="SHK246" s="16"/>
      <c r="SHL246" s="16"/>
      <c r="SHM246" s="15"/>
      <c r="SHN246" s="15"/>
      <c r="SHO246" s="10"/>
      <c r="SHP246" s="10"/>
      <c r="SHQ246" s="19"/>
      <c r="SHR246" s="19"/>
      <c r="SHU246" s="16"/>
      <c r="SHV246" s="15"/>
      <c r="SHW246" s="15"/>
      <c r="SHX246" s="15"/>
      <c r="SHY246" s="16"/>
      <c r="SHZ246" s="16"/>
      <c r="SIA246" s="16"/>
      <c r="SIB246" s="16"/>
      <c r="SIC246" s="16"/>
      <c r="SID246" s="15"/>
      <c r="SIE246" s="15"/>
      <c r="SIF246" s="10"/>
      <c r="SIG246" s="10"/>
      <c r="SIH246" s="19"/>
      <c r="SII246" s="19"/>
      <c r="SIL246" s="16"/>
      <c r="SIM246" s="15"/>
      <c r="SIN246" s="15"/>
      <c r="SIO246" s="15"/>
      <c r="SIP246" s="16"/>
      <c r="SIQ246" s="16"/>
      <c r="SIR246" s="16"/>
      <c r="SIS246" s="16"/>
      <c r="SIT246" s="16"/>
      <c r="SIU246" s="15"/>
      <c r="SIV246" s="15"/>
      <c r="SIW246" s="10"/>
      <c r="SIX246" s="10"/>
      <c r="SIY246" s="19"/>
      <c r="SIZ246" s="19"/>
      <c r="SJC246" s="16"/>
      <c r="SJD246" s="15"/>
      <c r="SJE246" s="15"/>
      <c r="SJF246" s="15"/>
      <c r="SJG246" s="16"/>
      <c r="SJH246" s="16"/>
      <c r="SJI246" s="16"/>
      <c r="SJJ246" s="16"/>
      <c r="SJK246" s="16"/>
      <c r="SJL246" s="15"/>
      <c r="SJM246" s="15"/>
      <c r="SJN246" s="10"/>
      <c r="SJO246" s="10"/>
      <c r="SJP246" s="19"/>
      <c r="SJQ246" s="19"/>
      <c r="SJT246" s="16"/>
      <c r="SJU246" s="15"/>
      <c r="SJV246" s="15"/>
      <c r="SJW246" s="15"/>
      <c r="SJX246" s="16"/>
      <c r="SJY246" s="16"/>
      <c r="SJZ246" s="16"/>
      <c r="SKA246" s="16"/>
      <c r="SKB246" s="16"/>
      <c r="SKC246" s="15"/>
      <c r="SKD246" s="15"/>
      <c r="SKE246" s="10"/>
      <c r="SKF246" s="10"/>
      <c r="SKG246" s="19"/>
      <c r="SKH246" s="19"/>
      <c r="SKK246" s="16"/>
      <c r="SKL246" s="15"/>
      <c r="SKM246" s="15"/>
      <c r="SKN246" s="15"/>
      <c r="SKO246" s="16"/>
      <c r="SKP246" s="16"/>
      <c r="SKQ246" s="16"/>
      <c r="SKR246" s="16"/>
      <c r="SKS246" s="16"/>
      <c r="SKT246" s="15"/>
      <c r="SKU246" s="15"/>
      <c r="SKV246" s="10"/>
      <c r="SKW246" s="10"/>
      <c r="SKX246" s="19"/>
      <c r="SKY246" s="19"/>
      <c r="SLB246" s="16"/>
      <c r="SLC246" s="15"/>
      <c r="SLD246" s="15"/>
      <c r="SLE246" s="15"/>
      <c r="SLF246" s="16"/>
      <c r="SLG246" s="16"/>
      <c r="SLH246" s="16"/>
      <c r="SLI246" s="16"/>
      <c r="SLJ246" s="16"/>
      <c r="SLK246" s="15"/>
      <c r="SLL246" s="15"/>
      <c r="SLM246" s="10"/>
      <c r="SLN246" s="10"/>
      <c r="SLO246" s="19"/>
      <c r="SLP246" s="19"/>
      <c r="SLS246" s="16"/>
      <c r="SLT246" s="15"/>
      <c r="SLU246" s="15"/>
      <c r="SLV246" s="15"/>
      <c r="SLW246" s="16"/>
      <c r="SLX246" s="16"/>
      <c r="SLY246" s="16"/>
      <c r="SLZ246" s="16"/>
      <c r="SMA246" s="16"/>
      <c r="SMB246" s="15"/>
      <c r="SMC246" s="15"/>
      <c r="SMD246" s="10"/>
      <c r="SME246" s="10"/>
      <c r="SMF246" s="19"/>
      <c r="SMG246" s="19"/>
      <c r="SMJ246" s="16"/>
      <c r="SMK246" s="15"/>
      <c r="SML246" s="15"/>
      <c r="SMM246" s="15"/>
      <c r="SMN246" s="16"/>
      <c r="SMO246" s="16"/>
      <c r="SMP246" s="16"/>
      <c r="SMQ246" s="16"/>
      <c r="SMR246" s="16"/>
      <c r="SMS246" s="15"/>
      <c r="SMT246" s="15"/>
      <c r="SMU246" s="10"/>
      <c r="SMV246" s="10"/>
      <c r="SMW246" s="19"/>
      <c r="SMX246" s="19"/>
      <c r="SNA246" s="16"/>
      <c r="SNB246" s="15"/>
      <c r="SNC246" s="15"/>
      <c r="SND246" s="15"/>
      <c r="SNE246" s="16"/>
      <c r="SNF246" s="16"/>
      <c r="SNG246" s="16"/>
      <c r="SNH246" s="16"/>
      <c r="SNI246" s="16"/>
      <c r="SNJ246" s="15"/>
      <c r="SNK246" s="15"/>
      <c r="SNL246" s="10"/>
      <c r="SNM246" s="10"/>
      <c r="SNN246" s="19"/>
      <c r="SNO246" s="19"/>
      <c r="SNR246" s="16"/>
      <c r="SNS246" s="15"/>
      <c r="SNT246" s="15"/>
      <c r="SNU246" s="15"/>
      <c r="SNV246" s="16"/>
      <c r="SNW246" s="16"/>
      <c r="SNX246" s="16"/>
      <c r="SNY246" s="16"/>
      <c r="SNZ246" s="16"/>
      <c r="SOA246" s="15"/>
      <c r="SOB246" s="15"/>
      <c r="SOC246" s="10"/>
      <c r="SOD246" s="10"/>
      <c r="SOE246" s="19"/>
      <c r="SOF246" s="19"/>
      <c r="SOI246" s="16"/>
      <c r="SOJ246" s="15"/>
      <c r="SOK246" s="15"/>
      <c r="SOL246" s="15"/>
      <c r="SOM246" s="16"/>
      <c r="SON246" s="16"/>
      <c r="SOO246" s="16"/>
      <c r="SOP246" s="16"/>
      <c r="SOQ246" s="16"/>
      <c r="SOR246" s="15"/>
      <c r="SOS246" s="15"/>
      <c r="SOT246" s="10"/>
      <c r="SOU246" s="10"/>
      <c r="SOV246" s="19"/>
      <c r="SOW246" s="19"/>
      <c r="SOZ246" s="16"/>
      <c r="SPA246" s="15"/>
      <c r="SPB246" s="15"/>
      <c r="SPC246" s="15"/>
      <c r="SPD246" s="16"/>
      <c r="SPE246" s="16"/>
      <c r="SPF246" s="16"/>
      <c r="SPG246" s="16"/>
      <c r="SPH246" s="16"/>
      <c r="SPI246" s="15"/>
      <c r="SPJ246" s="15"/>
      <c r="SPK246" s="10"/>
      <c r="SPL246" s="10"/>
      <c r="SPM246" s="19"/>
      <c r="SPN246" s="19"/>
      <c r="SPQ246" s="16"/>
      <c r="SPR246" s="15"/>
      <c r="SPS246" s="15"/>
      <c r="SPT246" s="15"/>
      <c r="SPU246" s="16"/>
      <c r="SPV246" s="16"/>
      <c r="SPW246" s="16"/>
      <c r="SPX246" s="16"/>
      <c r="SPY246" s="16"/>
      <c r="SPZ246" s="15"/>
      <c r="SQA246" s="15"/>
      <c r="SQB246" s="10"/>
      <c r="SQC246" s="10"/>
      <c r="SQD246" s="19"/>
      <c r="SQE246" s="19"/>
      <c r="SQH246" s="16"/>
      <c r="SQI246" s="15"/>
      <c r="SQJ246" s="15"/>
      <c r="SQK246" s="15"/>
      <c r="SQL246" s="16"/>
      <c r="SQM246" s="16"/>
      <c r="SQN246" s="16"/>
      <c r="SQO246" s="16"/>
      <c r="SQP246" s="16"/>
      <c r="SQQ246" s="15"/>
      <c r="SQR246" s="15"/>
      <c r="SQS246" s="10"/>
      <c r="SQT246" s="10"/>
      <c r="SQU246" s="19"/>
      <c r="SQV246" s="19"/>
      <c r="SQY246" s="16"/>
      <c r="SQZ246" s="15"/>
      <c r="SRA246" s="15"/>
      <c r="SRB246" s="15"/>
      <c r="SRC246" s="16"/>
      <c r="SRD246" s="16"/>
      <c r="SRE246" s="16"/>
      <c r="SRF246" s="16"/>
      <c r="SRG246" s="16"/>
      <c r="SRH246" s="15"/>
      <c r="SRI246" s="15"/>
      <c r="SRJ246" s="10"/>
      <c r="SRK246" s="10"/>
      <c r="SRL246" s="19"/>
      <c r="SRM246" s="19"/>
      <c r="SRP246" s="16"/>
      <c r="SRQ246" s="15"/>
      <c r="SRR246" s="15"/>
      <c r="SRS246" s="15"/>
      <c r="SRT246" s="16"/>
      <c r="SRU246" s="16"/>
      <c r="SRV246" s="16"/>
      <c r="SRW246" s="16"/>
      <c r="SRX246" s="16"/>
      <c r="SRY246" s="15"/>
      <c r="SRZ246" s="15"/>
      <c r="SSA246" s="10"/>
      <c r="SSB246" s="10"/>
      <c r="SSC246" s="19"/>
      <c r="SSD246" s="19"/>
      <c r="SSG246" s="16"/>
      <c r="SSH246" s="15"/>
      <c r="SSI246" s="15"/>
      <c r="SSJ246" s="15"/>
      <c r="SSK246" s="16"/>
      <c r="SSL246" s="16"/>
      <c r="SSM246" s="16"/>
      <c r="SSN246" s="16"/>
      <c r="SSO246" s="16"/>
      <c r="SSP246" s="15"/>
      <c r="SSQ246" s="15"/>
      <c r="SSR246" s="10"/>
      <c r="SSS246" s="10"/>
      <c r="SST246" s="19"/>
      <c r="SSU246" s="19"/>
      <c r="SSX246" s="16"/>
      <c r="SSY246" s="15"/>
      <c r="SSZ246" s="15"/>
      <c r="STA246" s="15"/>
      <c r="STB246" s="16"/>
      <c r="STC246" s="16"/>
      <c r="STD246" s="16"/>
      <c r="STE246" s="16"/>
      <c r="STF246" s="16"/>
      <c r="STG246" s="15"/>
      <c r="STH246" s="15"/>
      <c r="STI246" s="10"/>
      <c r="STJ246" s="10"/>
      <c r="STK246" s="19"/>
      <c r="STL246" s="19"/>
      <c r="STO246" s="16"/>
      <c r="STP246" s="15"/>
      <c r="STQ246" s="15"/>
      <c r="STR246" s="15"/>
      <c r="STS246" s="16"/>
      <c r="STT246" s="16"/>
      <c r="STU246" s="16"/>
      <c r="STV246" s="16"/>
      <c r="STW246" s="16"/>
      <c r="STX246" s="15"/>
      <c r="STY246" s="15"/>
      <c r="STZ246" s="10"/>
      <c r="SUA246" s="10"/>
      <c r="SUB246" s="19"/>
      <c r="SUC246" s="19"/>
      <c r="SUF246" s="16"/>
      <c r="SUG246" s="15"/>
      <c r="SUH246" s="15"/>
      <c r="SUI246" s="15"/>
      <c r="SUJ246" s="16"/>
      <c r="SUK246" s="16"/>
      <c r="SUL246" s="16"/>
      <c r="SUM246" s="16"/>
      <c r="SUN246" s="16"/>
      <c r="SUO246" s="15"/>
      <c r="SUP246" s="15"/>
      <c r="SUQ246" s="10"/>
      <c r="SUR246" s="10"/>
      <c r="SUS246" s="19"/>
      <c r="SUT246" s="19"/>
      <c r="SUW246" s="16"/>
      <c r="SUX246" s="15"/>
      <c r="SUY246" s="15"/>
      <c r="SUZ246" s="15"/>
      <c r="SVA246" s="16"/>
      <c r="SVB246" s="16"/>
      <c r="SVC246" s="16"/>
      <c r="SVD246" s="16"/>
      <c r="SVE246" s="16"/>
      <c r="SVF246" s="15"/>
      <c r="SVG246" s="15"/>
      <c r="SVH246" s="10"/>
      <c r="SVI246" s="10"/>
      <c r="SVJ246" s="19"/>
      <c r="SVK246" s="19"/>
      <c r="SVN246" s="16"/>
      <c r="SVO246" s="15"/>
      <c r="SVP246" s="15"/>
      <c r="SVQ246" s="15"/>
      <c r="SVR246" s="16"/>
      <c r="SVS246" s="16"/>
      <c r="SVT246" s="16"/>
      <c r="SVU246" s="16"/>
      <c r="SVV246" s="16"/>
      <c r="SVW246" s="15"/>
      <c r="SVX246" s="15"/>
      <c r="SVY246" s="10"/>
      <c r="SVZ246" s="10"/>
      <c r="SWA246" s="19"/>
      <c r="SWB246" s="19"/>
      <c r="SWE246" s="16"/>
      <c r="SWF246" s="15"/>
      <c r="SWG246" s="15"/>
      <c r="SWH246" s="15"/>
      <c r="SWI246" s="16"/>
      <c r="SWJ246" s="16"/>
      <c r="SWK246" s="16"/>
      <c r="SWL246" s="16"/>
      <c r="SWM246" s="16"/>
      <c r="SWN246" s="15"/>
      <c r="SWO246" s="15"/>
      <c r="SWP246" s="10"/>
      <c r="SWQ246" s="10"/>
      <c r="SWR246" s="19"/>
      <c r="SWS246" s="19"/>
      <c r="SWV246" s="16"/>
      <c r="SWW246" s="15"/>
      <c r="SWX246" s="15"/>
      <c r="SWY246" s="15"/>
      <c r="SWZ246" s="16"/>
      <c r="SXA246" s="16"/>
      <c r="SXB246" s="16"/>
      <c r="SXC246" s="16"/>
      <c r="SXD246" s="16"/>
      <c r="SXE246" s="15"/>
      <c r="SXF246" s="15"/>
      <c r="SXG246" s="10"/>
      <c r="SXH246" s="10"/>
      <c r="SXI246" s="19"/>
      <c r="SXJ246" s="19"/>
      <c r="SXM246" s="16"/>
      <c r="SXN246" s="15"/>
      <c r="SXO246" s="15"/>
      <c r="SXP246" s="15"/>
      <c r="SXQ246" s="16"/>
      <c r="SXR246" s="16"/>
      <c r="SXS246" s="16"/>
      <c r="SXT246" s="16"/>
      <c r="SXU246" s="16"/>
      <c r="SXV246" s="15"/>
      <c r="SXW246" s="15"/>
      <c r="SXX246" s="10"/>
      <c r="SXY246" s="10"/>
      <c r="SXZ246" s="19"/>
      <c r="SYA246" s="19"/>
      <c r="SYD246" s="16"/>
      <c r="SYE246" s="15"/>
      <c r="SYF246" s="15"/>
      <c r="SYG246" s="15"/>
      <c r="SYH246" s="16"/>
      <c r="SYI246" s="16"/>
      <c r="SYJ246" s="16"/>
      <c r="SYK246" s="16"/>
      <c r="SYL246" s="16"/>
      <c r="SYM246" s="15"/>
      <c r="SYN246" s="15"/>
      <c r="SYO246" s="10"/>
      <c r="SYP246" s="10"/>
      <c r="SYQ246" s="19"/>
      <c r="SYR246" s="19"/>
      <c r="SYU246" s="16"/>
      <c r="SYV246" s="15"/>
      <c r="SYW246" s="15"/>
      <c r="SYX246" s="15"/>
      <c r="SYY246" s="16"/>
      <c r="SYZ246" s="16"/>
      <c r="SZA246" s="16"/>
      <c r="SZB246" s="16"/>
      <c r="SZC246" s="16"/>
      <c r="SZD246" s="15"/>
      <c r="SZE246" s="15"/>
      <c r="SZF246" s="10"/>
      <c r="SZG246" s="10"/>
      <c r="SZH246" s="19"/>
      <c r="SZI246" s="19"/>
      <c r="SZL246" s="16"/>
      <c r="SZM246" s="15"/>
      <c r="SZN246" s="15"/>
      <c r="SZO246" s="15"/>
      <c r="SZP246" s="16"/>
      <c r="SZQ246" s="16"/>
      <c r="SZR246" s="16"/>
      <c r="SZS246" s="16"/>
      <c r="SZT246" s="16"/>
      <c r="SZU246" s="15"/>
      <c r="SZV246" s="15"/>
      <c r="SZW246" s="10"/>
      <c r="SZX246" s="10"/>
      <c r="SZY246" s="19"/>
      <c r="SZZ246" s="19"/>
      <c r="TAC246" s="16"/>
      <c r="TAD246" s="15"/>
      <c r="TAE246" s="15"/>
      <c r="TAF246" s="15"/>
      <c r="TAG246" s="16"/>
      <c r="TAH246" s="16"/>
      <c r="TAI246" s="16"/>
      <c r="TAJ246" s="16"/>
      <c r="TAK246" s="16"/>
      <c r="TAL246" s="15"/>
      <c r="TAM246" s="15"/>
      <c r="TAN246" s="10"/>
      <c r="TAO246" s="10"/>
      <c r="TAP246" s="19"/>
      <c r="TAQ246" s="19"/>
      <c r="TAT246" s="16"/>
      <c r="TAU246" s="15"/>
      <c r="TAV246" s="15"/>
      <c r="TAW246" s="15"/>
      <c r="TAX246" s="16"/>
      <c r="TAY246" s="16"/>
      <c r="TAZ246" s="16"/>
      <c r="TBA246" s="16"/>
      <c r="TBB246" s="16"/>
      <c r="TBC246" s="15"/>
      <c r="TBD246" s="15"/>
      <c r="TBE246" s="10"/>
      <c r="TBF246" s="10"/>
      <c r="TBG246" s="19"/>
      <c r="TBH246" s="19"/>
      <c r="TBK246" s="16"/>
      <c r="TBL246" s="15"/>
      <c r="TBM246" s="15"/>
      <c r="TBN246" s="15"/>
      <c r="TBO246" s="16"/>
      <c r="TBP246" s="16"/>
      <c r="TBQ246" s="16"/>
      <c r="TBR246" s="16"/>
      <c r="TBS246" s="16"/>
      <c r="TBT246" s="15"/>
      <c r="TBU246" s="15"/>
      <c r="TBV246" s="10"/>
      <c r="TBW246" s="10"/>
      <c r="TBX246" s="19"/>
      <c r="TBY246" s="19"/>
      <c r="TCB246" s="16"/>
      <c r="TCC246" s="15"/>
      <c r="TCD246" s="15"/>
      <c r="TCE246" s="15"/>
      <c r="TCF246" s="16"/>
      <c r="TCG246" s="16"/>
      <c r="TCH246" s="16"/>
      <c r="TCI246" s="16"/>
      <c r="TCJ246" s="16"/>
      <c r="TCK246" s="15"/>
      <c r="TCL246" s="15"/>
      <c r="TCM246" s="10"/>
      <c r="TCN246" s="10"/>
      <c r="TCO246" s="19"/>
      <c r="TCP246" s="19"/>
      <c r="TCS246" s="16"/>
      <c r="TCT246" s="15"/>
      <c r="TCU246" s="15"/>
      <c r="TCV246" s="15"/>
      <c r="TCW246" s="16"/>
      <c r="TCX246" s="16"/>
      <c r="TCY246" s="16"/>
      <c r="TCZ246" s="16"/>
      <c r="TDA246" s="16"/>
      <c r="TDB246" s="15"/>
      <c r="TDC246" s="15"/>
      <c r="TDD246" s="10"/>
      <c r="TDE246" s="10"/>
      <c r="TDF246" s="19"/>
      <c r="TDG246" s="19"/>
      <c r="TDJ246" s="16"/>
      <c r="TDK246" s="15"/>
      <c r="TDL246" s="15"/>
      <c r="TDM246" s="15"/>
      <c r="TDN246" s="16"/>
      <c r="TDO246" s="16"/>
      <c r="TDP246" s="16"/>
      <c r="TDQ246" s="16"/>
      <c r="TDR246" s="16"/>
      <c r="TDS246" s="15"/>
      <c r="TDT246" s="15"/>
      <c r="TDU246" s="10"/>
      <c r="TDV246" s="10"/>
      <c r="TDW246" s="19"/>
      <c r="TDX246" s="19"/>
      <c r="TEA246" s="16"/>
      <c r="TEB246" s="15"/>
      <c r="TEC246" s="15"/>
      <c r="TED246" s="15"/>
      <c r="TEE246" s="16"/>
      <c r="TEF246" s="16"/>
      <c r="TEG246" s="16"/>
      <c r="TEH246" s="16"/>
      <c r="TEI246" s="16"/>
      <c r="TEJ246" s="15"/>
      <c r="TEK246" s="15"/>
      <c r="TEL246" s="10"/>
      <c r="TEM246" s="10"/>
      <c r="TEN246" s="19"/>
      <c r="TEO246" s="19"/>
      <c r="TER246" s="16"/>
      <c r="TES246" s="15"/>
      <c r="TET246" s="15"/>
      <c r="TEU246" s="15"/>
      <c r="TEV246" s="16"/>
      <c r="TEW246" s="16"/>
      <c r="TEX246" s="16"/>
      <c r="TEY246" s="16"/>
      <c r="TEZ246" s="16"/>
      <c r="TFA246" s="15"/>
      <c r="TFB246" s="15"/>
      <c r="TFC246" s="10"/>
      <c r="TFD246" s="10"/>
      <c r="TFE246" s="19"/>
      <c r="TFF246" s="19"/>
      <c r="TFI246" s="16"/>
      <c r="TFJ246" s="15"/>
      <c r="TFK246" s="15"/>
      <c r="TFL246" s="15"/>
      <c r="TFM246" s="16"/>
      <c r="TFN246" s="16"/>
      <c r="TFO246" s="16"/>
      <c r="TFP246" s="16"/>
      <c r="TFQ246" s="16"/>
      <c r="TFR246" s="15"/>
      <c r="TFS246" s="15"/>
      <c r="TFT246" s="10"/>
      <c r="TFU246" s="10"/>
      <c r="TFV246" s="19"/>
      <c r="TFW246" s="19"/>
      <c r="TFZ246" s="16"/>
      <c r="TGA246" s="15"/>
      <c r="TGB246" s="15"/>
      <c r="TGC246" s="15"/>
      <c r="TGD246" s="16"/>
      <c r="TGE246" s="16"/>
      <c r="TGF246" s="16"/>
      <c r="TGG246" s="16"/>
      <c r="TGH246" s="16"/>
      <c r="TGI246" s="15"/>
      <c r="TGJ246" s="15"/>
      <c r="TGK246" s="10"/>
      <c r="TGL246" s="10"/>
      <c r="TGM246" s="19"/>
      <c r="TGN246" s="19"/>
      <c r="TGQ246" s="16"/>
      <c r="TGR246" s="15"/>
      <c r="TGS246" s="15"/>
      <c r="TGT246" s="15"/>
      <c r="TGU246" s="16"/>
      <c r="TGV246" s="16"/>
      <c r="TGW246" s="16"/>
      <c r="TGX246" s="16"/>
      <c r="TGY246" s="16"/>
      <c r="TGZ246" s="15"/>
      <c r="THA246" s="15"/>
      <c r="THB246" s="10"/>
      <c r="THC246" s="10"/>
      <c r="THD246" s="19"/>
      <c r="THE246" s="19"/>
      <c r="THH246" s="16"/>
      <c r="THI246" s="15"/>
      <c r="THJ246" s="15"/>
      <c r="THK246" s="15"/>
      <c r="THL246" s="16"/>
      <c r="THM246" s="16"/>
      <c r="THN246" s="16"/>
      <c r="THO246" s="16"/>
      <c r="THP246" s="16"/>
      <c r="THQ246" s="15"/>
      <c r="THR246" s="15"/>
      <c r="THS246" s="10"/>
      <c r="THT246" s="10"/>
      <c r="THU246" s="19"/>
      <c r="THV246" s="19"/>
      <c r="THY246" s="16"/>
      <c r="THZ246" s="15"/>
      <c r="TIA246" s="15"/>
      <c r="TIB246" s="15"/>
      <c r="TIC246" s="16"/>
      <c r="TID246" s="16"/>
      <c r="TIE246" s="16"/>
      <c r="TIF246" s="16"/>
      <c r="TIG246" s="16"/>
      <c r="TIH246" s="15"/>
      <c r="TII246" s="15"/>
      <c r="TIJ246" s="10"/>
      <c r="TIK246" s="10"/>
      <c r="TIL246" s="19"/>
      <c r="TIM246" s="19"/>
      <c r="TIP246" s="16"/>
      <c r="TIQ246" s="15"/>
      <c r="TIR246" s="15"/>
      <c r="TIS246" s="15"/>
      <c r="TIT246" s="16"/>
      <c r="TIU246" s="16"/>
      <c r="TIV246" s="16"/>
      <c r="TIW246" s="16"/>
      <c r="TIX246" s="16"/>
      <c r="TIY246" s="15"/>
      <c r="TIZ246" s="15"/>
      <c r="TJA246" s="10"/>
      <c r="TJB246" s="10"/>
      <c r="TJC246" s="19"/>
      <c r="TJD246" s="19"/>
      <c r="TJG246" s="16"/>
      <c r="TJH246" s="15"/>
      <c r="TJI246" s="15"/>
      <c r="TJJ246" s="15"/>
      <c r="TJK246" s="16"/>
      <c r="TJL246" s="16"/>
      <c r="TJM246" s="16"/>
      <c r="TJN246" s="16"/>
      <c r="TJO246" s="16"/>
      <c r="TJP246" s="15"/>
      <c r="TJQ246" s="15"/>
      <c r="TJR246" s="10"/>
      <c r="TJS246" s="10"/>
      <c r="TJT246" s="19"/>
      <c r="TJU246" s="19"/>
      <c r="TJX246" s="16"/>
      <c r="TJY246" s="15"/>
      <c r="TJZ246" s="15"/>
      <c r="TKA246" s="15"/>
      <c r="TKB246" s="16"/>
      <c r="TKC246" s="16"/>
      <c r="TKD246" s="16"/>
      <c r="TKE246" s="16"/>
      <c r="TKF246" s="16"/>
      <c r="TKG246" s="15"/>
      <c r="TKH246" s="15"/>
      <c r="TKI246" s="10"/>
      <c r="TKJ246" s="10"/>
      <c r="TKK246" s="19"/>
      <c r="TKL246" s="19"/>
      <c r="TKO246" s="16"/>
      <c r="TKP246" s="15"/>
      <c r="TKQ246" s="15"/>
      <c r="TKR246" s="15"/>
      <c r="TKS246" s="16"/>
      <c r="TKT246" s="16"/>
      <c r="TKU246" s="16"/>
      <c r="TKV246" s="16"/>
      <c r="TKW246" s="16"/>
      <c r="TKX246" s="15"/>
      <c r="TKY246" s="15"/>
      <c r="TKZ246" s="10"/>
      <c r="TLA246" s="10"/>
      <c r="TLB246" s="19"/>
      <c r="TLC246" s="19"/>
      <c r="TLF246" s="16"/>
      <c r="TLG246" s="15"/>
      <c r="TLH246" s="15"/>
      <c r="TLI246" s="15"/>
      <c r="TLJ246" s="16"/>
      <c r="TLK246" s="16"/>
      <c r="TLL246" s="16"/>
      <c r="TLM246" s="16"/>
      <c r="TLN246" s="16"/>
      <c r="TLO246" s="15"/>
      <c r="TLP246" s="15"/>
      <c r="TLQ246" s="10"/>
      <c r="TLR246" s="10"/>
      <c r="TLS246" s="19"/>
      <c r="TLT246" s="19"/>
      <c r="TLW246" s="16"/>
      <c r="TLX246" s="15"/>
      <c r="TLY246" s="15"/>
      <c r="TLZ246" s="15"/>
      <c r="TMA246" s="16"/>
      <c r="TMB246" s="16"/>
      <c r="TMC246" s="16"/>
      <c r="TMD246" s="16"/>
      <c r="TME246" s="16"/>
      <c r="TMF246" s="15"/>
      <c r="TMG246" s="15"/>
      <c r="TMH246" s="10"/>
      <c r="TMI246" s="10"/>
      <c r="TMJ246" s="19"/>
      <c r="TMK246" s="19"/>
      <c r="TMN246" s="16"/>
      <c r="TMO246" s="15"/>
      <c r="TMP246" s="15"/>
      <c r="TMQ246" s="15"/>
      <c r="TMR246" s="16"/>
      <c r="TMS246" s="16"/>
      <c r="TMT246" s="16"/>
      <c r="TMU246" s="16"/>
      <c r="TMV246" s="16"/>
      <c r="TMW246" s="15"/>
      <c r="TMX246" s="15"/>
      <c r="TMY246" s="10"/>
      <c r="TMZ246" s="10"/>
      <c r="TNA246" s="19"/>
      <c r="TNB246" s="19"/>
      <c r="TNE246" s="16"/>
      <c r="TNF246" s="15"/>
      <c r="TNG246" s="15"/>
      <c r="TNH246" s="15"/>
      <c r="TNI246" s="16"/>
      <c r="TNJ246" s="16"/>
      <c r="TNK246" s="16"/>
      <c r="TNL246" s="16"/>
      <c r="TNM246" s="16"/>
      <c r="TNN246" s="15"/>
      <c r="TNO246" s="15"/>
      <c r="TNP246" s="10"/>
      <c r="TNQ246" s="10"/>
      <c r="TNR246" s="19"/>
      <c r="TNS246" s="19"/>
      <c r="TNV246" s="16"/>
      <c r="TNW246" s="15"/>
      <c r="TNX246" s="15"/>
      <c r="TNY246" s="15"/>
      <c r="TNZ246" s="16"/>
      <c r="TOA246" s="16"/>
      <c r="TOB246" s="16"/>
      <c r="TOC246" s="16"/>
      <c r="TOD246" s="16"/>
      <c r="TOE246" s="15"/>
      <c r="TOF246" s="15"/>
      <c r="TOG246" s="10"/>
      <c r="TOH246" s="10"/>
      <c r="TOI246" s="19"/>
      <c r="TOJ246" s="19"/>
      <c r="TOM246" s="16"/>
      <c r="TON246" s="15"/>
      <c r="TOO246" s="15"/>
      <c r="TOP246" s="15"/>
      <c r="TOQ246" s="16"/>
      <c r="TOR246" s="16"/>
      <c r="TOS246" s="16"/>
      <c r="TOT246" s="16"/>
      <c r="TOU246" s="16"/>
      <c r="TOV246" s="15"/>
      <c r="TOW246" s="15"/>
      <c r="TOX246" s="10"/>
      <c r="TOY246" s="10"/>
      <c r="TOZ246" s="19"/>
      <c r="TPA246" s="19"/>
      <c r="TPD246" s="16"/>
      <c r="TPE246" s="15"/>
      <c r="TPF246" s="15"/>
      <c r="TPG246" s="15"/>
      <c r="TPH246" s="16"/>
      <c r="TPI246" s="16"/>
      <c r="TPJ246" s="16"/>
      <c r="TPK246" s="16"/>
      <c r="TPL246" s="16"/>
      <c r="TPM246" s="15"/>
      <c r="TPN246" s="15"/>
      <c r="TPO246" s="10"/>
      <c r="TPP246" s="10"/>
      <c r="TPQ246" s="19"/>
      <c r="TPR246" s="19"/>
      <c r="TPU246" s="16"/>
      <c r="TPV246" s="15"/>
      <c r="TPW246" s="15"/>
      <c r="TPX246" s="15"/>
      <c r="TPY246" s="16"/>
      <c r="TPZ246" s="16"/>
      <c r="TQA246" s="16"/>
      <c r="TQB246" s="16"/>
      <c r="TQC246" s="16"/>
      <c r="TQD246" s="15"/>
      <c r="TQE246" s="15"/>
      <c r="TQF246" s="10"/>
      <c r="TQG246" s="10"/>
      <c r="TQH246" s="19"/>
      <c r="TQI246" s="19"/>
      <c r="TQL246" s="16"/>
      <c r="TQM246" s="15"/>
      <c r="TQN246" s="15"/>
      <c r="TQO246" s="15"/>
      <c r="TQP246" s="16"/>
      <c r="TQQ246" s="16"/>
      <c r="TQR246" s="16"/>
      <c r="TQS246" s="16"/>
      <c r="TQT246" s="16"/>
      <c r="TQU246" s="15"/>
      <c r="TQV246" s="15"/>
      <c r="TQW246" s="10"/>
      <c r="TQX246" s="10"/>
      <c r="TQY246" s="19"/>
      <c r="TQZ246" s="19"/>
      <c r="TRC246" s="16"/>
      <c r="TRD246" s="15"/>
      <c r="TRE246" s="15"/>
      <c r="TRF246" s="15"/>
      <c r="TRG246" s="16"/>
      <c r="TRH246" s="16"/>
      <c r="TRI246" s="16"/>
      <c r="TRJ246" s="16"/>
      <c r="TRK246" s="16"/>
      <c r="TRL246" s="15"/>
      <c r="TRM246" s="15"/>
      <c r="TRN246" s="10"/>
      <c r="TRO246" s="10"/>
      <c r="TRP246" s="19"/>
      <c r="TRQ246" s="19"/>
      <c r="TRT246" s="16"/>
      <c r="TRU246" s="15"/>
      <c r="TRV246" s="15"/>
      <c r="TRW246" s="15"/>
      <c r="TRX246" s="16"/>
      <c r="TRY246" s="16"/>
      <c r="TRZ246" s="16"/>
      <c r="TSA246" s="16"/>
      <c r="TSB246" s="16"/>
      <c r="TSC246" s="15"/>
      <c r="TSD246" s="15"/>
      <c r="TSE246" s="10"/>
      <c r="TSF246" s="10"/>
      <c r="TSG246" s="19"/>
      <c r="TSH246" s="19"/>
      <c r="TSK246" s="16"/>
      <c r="TSL246" s="15"/>
      <c r="TSM246" s="15"/>
      <c r="TSN246" s="15"/>
      <c r="TSO246" s="16"/>
      <c r="TSP246" s="16"/>
      <c r="TSQ246" s="16"/>
      <c r="TSR246" s="16"/>
      <c r="TSS246" s="16"/>
      <c r="TST246" s="15"/>
      <c r="TSU246" s="15"/>
      <c r="TSV246" s="10"/>
      <c r="TSW246" s="10"/>
      <c r="TSX246" s="19"/>
      <c r="TSY246" s="19"/>
      <c r="TTB246" s="16"/>
      <c r="TTC246" s="15"/>
      <c r="TTD246" s="15"/>
      <c r="TTE246" s="15"/>
      <c r="TTF246" s="16"/>
      <c r="TTG246" s="16"/>
      <c r="TTH246" s="16"/>
      <c r="TTI246" s="16"/>
      <c r="TTJ246" s="16"/>
      <c r="TTK246" s="15"/>
      <c r="TTL246" s="15"/>
      <c r="TTM246" s="10"/>
      <c r="TTN246" s="10"/>
      <c r="TTO246" s="19"/>
      <c r="TTP246" s="19"/>
      <c r="TTS246" s="16"/>
      <c r="TTT246" s="15"/>
      <c r="TTU246" s="15"/>
      <c r="TTV246" s="15"/>
      <c r="TTW246" s="16"/>
      <c r="TTX246" s="16"/>
      <c r="TTY246" s="16"/>
      <c r="TTZ246" s="16"/>
      <c r="TUA246" s="16"/>
      <c r="TUB246" s="15"/>
      <c r="TUC246" s="15"/>
      <c r="TUD246" s="10"/>
      <c r="TUE246" s="10"/>
      <c r="TUF246" s="19"/>
      <c r="TUG246" s="19"/>
      <c r="TUJ246" s="16"/>
      <c r="TUK246" s="15"/>
      <c r="TUL246" s="15"/>
      <c r="TUM246" s="15"/>
      <c r="TUN246" s="16"/>
      <c r="TUO246" s="16"/>
      <c r="TUP246" s="16"/>
      <c r="TUQ246" s="16"/>
      <c r="TUR246" s="16"/>
      <c r="TUS246" s="15"/>
      <c r="TUT246" s="15"/>
      <c r="TUU246" s="10"/>
      <c r="TUV246" s="10"/>
      <c r="TUW246" s="19"/>
      <c r="TUX246" s="19"/>
      <c r="TVA246" s="16"/>
      <c r="TVB246" s="15"/>
      <c r="TVC246" s="15"/>
      <c r="TVD246" s="15"/>
      <c r="TVE246" s="16"/>
      <c r="TVF246" s="16"/>
      <c r="TVG246" s="16"/>
      <c r="TVH246" s="16"/>
      <c r="TVI246" s="16"/>
      <c r="TVJ246" s="15"/>
      <c r="TVK246" s="15"/>
      <c r="TVL246" s="10"/>
      <c r="TVM246" s="10"/>
      <c r="TVN246" s="19"/>
      <c r="TVO246" s="19"/>
      <c r="TVR246" s="16"/>
      <c r="TVS246" s="15"/>
      <c r="TVT246" s="15"/>
      <c r="TVU246" s="15"/>
      <c r="TVV246" s="16"/>
      <c r="TVW246" s="16"/>
      <c r="TVX246" s="16"/>
      <c r="TVY246" s="16"/>
      <c r="TVZ246" s="16"/>
      <c r="TWA246" s="15"/>
      <c r="TWB246" s="15"/>
      <c r="TWC246" s="10"/>
      <c r="TWD246" s="10"/>
      <c r="TWE246" s="19"/>
      <c r="TWF246" s="19"/>
      <c r="TWI246" s="16"/>
      <c r="TWJ246" s="15"/>
      <c r="TWK246" s="15"/>
      <c r="TWL246" s="15"/>
      <c r="TWM246" s="16"/>
      <c r="TWN246" s="16"/>
      <c r="TWO246" s="16"/>
      <c r="TWP246" s="16"/>
      <c r="TWQ246" s="16"/>
      <c r="TWR246" s="15"/>
      <c r="TWS246" s="15"/>
      <c r="TWT246" s="10"/>
      <c r="TWU246" s="10"/>
      <c r="TWV246" s="19"/>
      <c r="TWW246" s="19"/>
      <c r="TWZ246" s="16"/>
      <c r="TXA246" s="15"/>
      <c r="TXB246" s="15"/>
      <c r="TXC246" s="15"/>
      <c r="TXD246" s="16"/>
      <c r="TXE246" s="16"/>
      <c r="TXF246" s="16"/>
      <c r="TXG246" s="16"/>
      <c r="TXH246" s="16"/>
      <c r="TXI246" s="15"/>
      <c r="TXJ246" s="15"/>
      <c r="TXK246" s="10"/>
      <c r="TXL246" s="10"/>
      <c r="TXM246" s="19"/>
      <c r="TXN246" s="19"/>
      <c r="TXQ246" s="16"/>
      <c r="TXR246" s="15"/>
      <c r="TXS246" s="15"/>
      <c r="TXT246" s="15"/>
      <c r="TXU246" s="16"/>
      <c r="TXV246" s="16"/>
      <c r="TXW246" s="16"/>
      <c r="TXX246" s="16"/>
      <c r="TXY246" s="16"/>
      <c r="TXZ246" s="15"/>
      <c r="TYA246" s="15"/>
      <c r="TYB246" s="10"/>
      <c r="TYC246" s="10"/>
      <c r="TYD246" s="19"/>
      <c r="TYE246" s="19"/>
      <c r="TYH246" s="16"/>
      <c r="TYI246" s="15"/>
      <c r="TYJ246" s="15"/>
      <c r="TYK246" s="15"/>
      <c r="TYL246" s="16"/>
      <c r="TYM246" s="16"/>
      <c r="TYN246" s="16"/>
      <c r="TYO246" s="16"/>
      <c r="TYP246" s="16"/>
      <c r="TYQ246" s="15"/>
      <c r="TYR246" s="15"/>
      <c r="TYS246" s="10"/>
      <c r="TYT246" s="10"/>
      <c r="TYU246" s="19"/>
      <c r="TYV246" s="19"/>
      <c r="TYY246" s="16"/>
      <c r="TYZ246" s="15"/>
      <c r="TZA246" s="15"/>
      <c r="TZB246" s="15"/>
      <c r="TZC246" s="16"/>
      <c r="TZD246" s="16"/>
      <c r="TZE246" s="16"/>
      <c r="TZF246" s="16"/>
      <c r="TZG246" s="16"/>
      <c r="TZH246" s="15"/>
      <c r="TZI246" s="15"/>
      <c r="TZJ246" s="10"/>
      <c r="TZK246" s="10"/>
      <c r="TZL246" s="19"/>
      <c r="TZM246" s="19"/>
      <c r="TZP246" s="16"/>
      <c r="TZQ246" s="15"/>
      <c r="TZR246" s="15"/>
      <c r="TZS246" s="15"/>
      <c r="TZT246" s="16"/>
      <c r="TZU246" s="16"/>
      <c r="TZV246" s="16"/>
      <c r="TZW246" s="16"/>
      <c r="TZX246" s="16"/>
      <c r="TZY246" s="15"/>
      <c r="TZZ246" s="15"/>
      <c r="UAA246" s="10"/>
      <c r="UAB246" s="10"/>
      <c r="UAC246" s="19"/>
      <c r="UAD246" s="19"/>
      <c r="UAG246" s="16"/>
      <c r="UAH246" s="15"/>
      <c r="UAI246" s="15"/>
      <c r="UAJ246" s="15"/>
      <c r="UAK246" s="16"/>
      <c r="UAL246" s="16"/>
      <c r="UAM246" s="16"/>
      <c r="UAN246" s="16"/>
      <c r="UAO246" s="16"/>
      <c r="UAP246" s="15"/>
      <c r="UAQ246" s="15"/>
      <c r="UAR246" s="10"/>
      <c r="UAS246" s="10"/>
      <c r="UAT246" s="19"/>
      <c r="UAU246" s="19"/>
      <c r="UAX246" s="16"/>
      <c r="UAY246" s="15"/>
      <c r="UAZ246" s="15"/>
      <c r="UBA246" s="15"/>
      <c r="UBB246" s="16"/>
      <c r="UBC246" s="16"/>
      <c r="UBD246" s="16"/>
      <c r="UBE246" s="16"/>
      <c r="UBF246" s="16"/>
      <c r="UBG246" s="15"/>
      <c r="UBH246" s="15"/>
      <c r="UBI246" s="10"/>
      <c r="UBJ246" s="10"/>
      <c r="UBK246" s="19"/>
      <c r="UBL246" s="19"/>
      <c r="UBO246" s="16"/>
      <c r="UBP246" s="15"/>
      <c r="UBQ246" s="15"/>
      <c r="UBR246" s="15"/>
      <c r="UBS246" s="16"/>
      <c r="UBT246" s="16"/>
      <c r="UBU246" s="16"/>
      <c r="UBV246" s="16"/>
      <c r="UBW246" s="16"/>
      <c r="UBX246" s="15"/>
      <c r="UBY246" s="15"/>
      <c r="UBZ246" s="10"/>
      <c r="UCA246" s="10"/>
      <c r="UCB246" s="19"/>
      <c r="UCC246" s="19"/>
      <c r="UCF246" s="16"/>
      <c r="UCG246" s="15"/>
      <c r="UCH246" s="15"/>
      <c r="UCI246" s="15"/>
      <c r="UCJ246" s="16"/>
      <c r="UCK246" s="16"/>
      <c r="UCL246" s="16"/>
      <c r="UCM246" s="16"/>
      <c r="UCN246" s="16"/>
      <c r="UCO246" s="15"/>
      <c r="UCP246" s="15"/>
      <c r="UCQ246" s="10"/>
      <c r="UCR246" s="10"/>
      <c r="UCS246" s="19"/>
      <c r="UCT246" s="19"/>
      <c r="UCW246" s="16"/>
      <c r="UCX246" s="15"/>
      <c r="UCY246" s="15"/>
      <c r="UCZ246" s="15"/>
      <c r="UDA246" s="16"/>
      <c r="UDB246" s="16"/>
      <c r="UDC246" s="16"/>
      <c r="UDD246" s="16"/>
      <c r="UDE246" s="16"/>
      <c r="UDF246" s="15"/>
      <c r="UDG246" s="15"/>
      <c r="UDH246" s="10"/>
      <c r="UDI246" s="10"/>
      <c r="UDJ246" s="19"/>
      <c r="UDK246" s="19"/>
      <c r="UDN246" s="16"/>
      <c r="UDO246" s="15"/>
      <c r="UDP246" s="15"/>
      <c r="UDQ246" s="15"/>
      <c r="UDR246" s="16"/>
      <c r="UDS246" s="16"/>
      <c r="UDT246" s="16"/>
      <c r="UDU246" s="16"/>
      <c r="UDV246" s="16"/>
      <c r="UDW246" s="15"/>
      <c r="UDX246" s="15"/>
      <c r="UDY246" s="10"/>
      <c r="UDZ246" s="10"/>
      <c r="UEA246" s="19"/>
      <c r="UEB246" s="19"/>
      <c r="UEE246" s="16"/>
      <c r="UEF246" s="15"/>
      <c r="UEG246" s="15"/>
      <c r="UEH246" s="15"/>
      <c r="UEI246" s="16"/>
      <c r="UEJ246" s="16"/>
      <c r="UEK246" s="16"/>
      <c r="UEL246" s="16"/>
      <c r="UEM246" s="16"/>
      <c r="UEN246" s="15"/>
      <c r="UEO246" s="15"/>
      <c r="UEP246" s="10"/>
      <c r="UEQ246" s="10"/>
      <c r="UER246" s="19"/>
      <c r="UES246" s="19"/>
      <c r="UEV246" s="16"/>
      <c r="UEW246" s="15"/>
      <c r="UEX246" s="15"/>
      <c r="UEY246" s="15"/>
      <c r="UEZ246" s="16"/>
      <c r="UFA246" s="16"/>
      <c r="UFB246" s="16"/>
      <c r="UFC246" s="16"/>
      <c r="UFD246" s="16"/>
      <c r="UFE246" s="15"/>
      <c r="UFF246" s="15"/>
      <c r="UFG246" s="10"/>
      <c r="UFH246" s="10"/>
      <c r="UFI246" s="19"/>
      <c r="UFJ246" s="19"/>
      <c r="UFM246" s="16"/>
      <c r="UFN246" s="15"/>
      <c r="UFO246" s="15"/>
      <c r="UFP246" s="15"/>
      <c r="UFQ246" s="16"/>
      <c r="UFR246" s="16"/>
      <c r="UFS246" s="16"/>
      <c r="UFT246" s="16"/>
      <c r="UFU246" s="16"/>
      <c r="UFV246" s="15"/>
      <c r="UFW246" s="15"/>
      <c r="UFX246" s="10"/>
      <c r="UFY246" s="10"/>
      <c r="UFZ246" s="19"/>
      <c r="UGA246" s="19"/>
      <c r="UGD246" s="16"/>
      <c r="UGE246" s="15"/>
      <c r="UGF246" s="15"/>
      <c r="UGG246" s="15"/>
      <c r="UGH246" s="16"/>
      <c r="UGI246" s="16"/>
      <c r="UGJ246" s="16"/>
      <c r="UGK246" s="16"/>
      <c r="UGL246" s="16"/>
      <c r="UGM246" s="15"/>
      <c r="UGN246" s="15"/>
      <c r="UGO246" s="10"/>
      <c r="UGP246" s="10"/>
      <c r="UGQ246" s="19"/>
      <c r="UGR246" s="19"/>
      <c r="UGU246" s="16"/>
      <c r="UGV246" s="15"/>
      <c r="UGW246" s="15"/>
      <c r="UGX246" s="15"/>
      <c r="UGY246" s="16"/>
      <c r="UGZ246" s="16"/>
      <c r="UHA246" s="16"/>
      <c r="UHB246" s="16"/>
      <c r="UHC246" s="16"/>
      <c r="UHD246" s="15"/>
      <c r="UHE246" s="15"/>
      <c r="UHF246" s="10"/>
      <c r="UHG246" s="10"/>
      <c r="UHH246" s="19"/>
      <c r="UHI246" s="19"/>
      <c r="UHL246" s="16"/>
      <c r="UHM246" s="15"/>
      <c r="UHN246" s="15"/>
      <c r="UHO246" s="15"/>
      <c r="UHP246" s="16"/>
      <c r="UHQ246" s="16"/>
      <c r="UHR246" s="16"/>
      <c r="UHS246" s="16"/>
      <c r="UHT246" s="16"/>
      <c r="UHU246" s="15"/>
      <c r="UHV246" s="15"/>
      <c r="UHW246" s="10"/>
      <c r="UHX246" s="10"/>
      <c r="UHY246" s="19"/>
      <c r="UHZ246" s="19"/>
      <c r="UIC246" s="16"/>
      <c r="UID246" s="15"/>
      <c r="UIE246" s="15"/>
      <c r="UIF246" s="15"/>
      <c r="UIG246" s="16"/>
      <c r="UIH246" s="16"/>
      <c r="UII246" s="16"/>
      <c r="UIJ246" s="16"/>
      <c r="UIK246" s="16"/>
      <c r="UIL246" s="15"/>
      <c r="UIM246" s="15"/>
      <c r="UIN246" s="10"/>
      <c r="UIO246" s="10"/>
      <c r="UIP246" s="19"/>
      <c r="UIQ246" s="19"/>
      <c r="UIT246" s="16"/>
      <c r="UIU246" s="15"/>
      <c r="UIV246" s="15"/>
      <c r="UIW246" s="15"/>
      <c r="UIX246" s="16"/>
      <c r="UIY246" s="16"/>
      <c r="UIZ246" s="16"/>
      <c r="UJA246" s="16"/>
      <c r="UJB246" s="16"/>
      <c r="UJC246" s="15"/>
      <c r="UJD246" s="15"/>
      <c r="UJE246" s="10"/>
      <c r="UJF246" s="10"/>
      <c r="UJG246" s="19"/>
      <c r="UJH246" s="19"/>
      <c r="UJK246" s="16"/>
      <c r="UJL246" s="15"/>
      <c r="UJM246" s="15"/>
      <c r="UJN246" s="15"/>
      <c r="UJO246" s="16"/>
      <c r="UJP246" s="16"/>
      <c r="UJQ246" s="16"/>
      <c r="UJR246" s="16"/>
      <c r="UJS246" s="16"/>
      <c r="UJT246" s="15"/>
      <c r="UJU246" s="15"/>
      <c r="UJV246" s="10"/>
      <c r="UJW246" s="10"/>
      <c r="UJX246" s="19"/>
      <c r="UJY246" s="19"/>
      <c r="UKB246" s="16"/>
      <c r="UKC246" s="15"/>
      <c r="UKD246" s="15"/>
      <c r="UKE246" s="15"/>
      <c r="UKF246" s="16"/>
      <c r="UKG246" s="16"/>
      <c r="UKH246" s="16"/>
      <c r="UKI246" s="16"/>
      <c r="UKJ246" s="16"/>
      <c r="UKK246" s="15"/>
      <c r="UKL246" s="15"/>
      <c r="UKM246" s="10"/>
      <c r="UKN246" s="10"/>
      <c r="UKO246" s="19"/>
      <c r="UKP246" s="19"/>
      <c r="UKS246" s="16"/>
      <c r="UKT246" s="15"/>
      <c r="UKU246" s="15"/>
      <c r="UKV246" s="15"/>
      <c r="UKW246" s="16"/>
      <c r="UKX246" s="16"/>
      <c r="UKY246" s="16"/>
      <c r="UKZ246" s="16"/>
      <c r="ULA246" s="16"/>
      <c r="ULB246" s="15"/>
      <c r="ULC246" s="15"/>
      <c r="ULD246" s="10"/>
      <c r="ULE246" s="10"/>
      <c r="ULF246" s="19"/>
      <c r="ULG246" s="19"/>
      <c r="ULJ246" s="16"/>
      <c r="ULK246" s="15"/>
      <c r="ULL246" s="15"/>
      <c r="ULM246" s="15"/>
      <c r="ULN246" s="16"/>
      <c r="ULO246" s="16"/>
      <c r="ULP246" s="16"/>
      <c r="ULQ246" s="16"/>
      <c r="ULR246" s="16"/>
      <c r="ULS246" s="15"/>
      <c r="ULT246" s="15"/>
      <c r="ULU246" s="10"/>
      <c r="ULV246" s="10"/>
      <c r="ULW246" s="19"/>
      <c r="ULX246" s="19"/>
      <c r="UMA246" s="16"/>
      <c r="UMB246" s="15"/>
      <c r="UMC246" s="15"/>
      <c r="UMD246" s="15"/>
      <c r="UME246" s="16"/>
      <c r="UMF246" s="16"/>
      <c r="UMG246" s="16"/>
      <c r="UMH246" s="16"/>
      <c r="UMI246" s="16"/>
      <c r="UMJ246" s="15"/>
      <c r="UMK246" s="15"/>
      <c r="UML246" s="10"/>
      <c r="UMM246" s="10"/>
      <c r="UMN246" s="19"/>
      <c r="UMO246" s="19"/>
      <c r="UMR246" s="16"/>
      <c r="UMS246" s="15"/>
      <c r="UMT246" s="15"/>
      <c r="UMU246" s="15"/>
      <c r="UMV246" s="16"/>
      <c r="UMW246" s="16"/>
      <c r="UMX246" s="16"/>
      <c r="UMY246" s="16"/>
      <c r="UMZ246" s="16"/>
      <c r="UNA246" s="15"/>
      <c r="UNB246" s="15"/>
      <c r="UNC246" s="10"/>
      <c r="UND246" s="10"/>
      <c r="UNE246" s="19"/>
      <c r="UNF246" s="19"/>
      <c r="UNI246" s="16"/>
      <c r="UNJ246" s="15"/>
      <c r="UNK246" s="15"/>
      <c r="UNL246" s="15"/>
      <c r="UNM246" s="16"/>
      <c r="UNN246" s="16"/>
      <c r="UNO246" s="16"/>
      <c r="UNP246" s="16"/>
      <c r="UNQ246" s="16"/>
      <c r="UNR246" s="15"/>
      <c r="UNS246" s="15"/>
      <c r="UNT246" s="10"/>
      <c r="UNU246" s="10"/>
      <c r="UNV246" s="19"/>
      <c r="UNW246" s="19"/>
      <c r="UNZ246" s="16"/>
      <c r="UOA246" s="15"/>
      <c r="UOB246" s="15"/>
      <c r="UOC246" s="15"/>
      <c r="UOD246" s="16"/>
      <c r="UOE246" s="16"/>
      <c r="UOF246" s="16"/>
      <c r="UOG246" s="16"/>
      <c r="UOH246" s="16"/>
      <c r="UOI246" s="15"/>
      <c r="UOJ246" s="15"/>
      <c r="UOK246" s="10"/>
      <c r="UOL246" s="10"/>
      <c r="UOM246" s="19"/>
      <c r="UON246" s="19"/>
      <c r="UOQ246" s="16"/>
      <c r="UOR246" s="15"/>
      <c r="UOS246" s="15"/>
      <c r="UOT246" s="15"/>
      <c r="UOU246" s="16"/>
      <c r="UOV246" s="16"/>
      <c r="UOW246" s="16"/>
      <c r="UOX246" s="16"/>
      <c r="UOY246" s="16"/>
      <c r="UOZ246" s="15"/>
      <c r="UPA246" s="15"/>
      <c r="UPB246" s="10"/>
      <c r="UPC246" s="10"/>
      <c r="UPD246" s="19"/>
      <c r="UPE246" s="19"/>
      <c r="UPH246" s="16"/>
      <c r="UPI246" s="15"/>
      <c r="UPJ246" s="15"/>
      <c r="UPK246" s="15"/>
      <c r="UPL246" s="16"/>
      <c r="UPM246" s="16"/>
      <c r="UPN246" s="16"/>
      <c r="UPO246" s="16"/>
      <c r="UPP246" s="16"/>
      <c r="UPQ246" s="15"/>
      <c r="UPR246" s="15"/>
      <c r="UPS246" s="10"/>
      <c r="UPT246" s="10"/>
      <c r="UPU246" s="19"/>
      <c r="UPV246" s="19"/>
      <c r="UPY246" s="16"/>
      <c r="UPZ246" s="15"/>
      <c r="UQA246" s="15"/>
      <c r="UQB246" s="15"/>
      <c r="UQC246" s="16"/>
      <c r="UQD246" s="16"/>
      <c r="UQE246" s="16"/>
      <c r="UQF246" s="16"/>
      <c r="UQG246" s="16"/>
      <c r="UQH246" s="15"/>
      <c r="UQI246" s="15"/>
      <c r="UQJ246" s="10"/>
      <c r="UQK246" s="10"/>
      <c r="UQL246" s="19"/>
      <c r="UQM246" s="19"/>
      <c r="UQP246" s="16"/>
      <c r="UQQ246" s="15"/>
      <c r="UQR246" s="15"/>
      <c r="UQS246" s="15"/>
      <c r="UQT246" s="16"/>
      <c r="UQU246" s="16"/>
      <c r="UQV246" s="16"/>
      <c r="UQW246" s="16"/>
      <c r="UQX246" s="16"/>
      <c r="UQY246" s="15"/>
      <c r="UQZ246" s="15"/>
      <c r="URA246" s="10"/>
      <c r="URB246" s="10"/>
      <c r="URC246" s="19"/>
      <c r="URD246" s="19"/>
      <c r="URG246" s="16"/>
      <c r="URH246" s="15"/>
      <c r="URI246" s="15"/>
      <c r="URJ246" s="15"/>
      <c r="URK246" s="16"/>
      <c r="URL246" s="16"/>
      <c r="URM246" s="16"/>
      <c r="URN246" s="16"/>
      <c r="URO246" s="16"/>
      <c r="URP246" s="15"/>
      <c r="URQ246" s="15"/>
      <c r="URR246" s="10"/>
      <c r="URS246" s="10"/>
      <c r="URT246" s="19"/>
      <c r="URU246" s="19"/>
      <c r="URX246" s="16"/>
      <c r="URY246" s="15"/>
      <c r="URZ246" s="15"/>
      <c r="USA246" s="15"/>
      <c r="USB246" s="16"/>
      <c r="USC246" s="16"/>
      <c r="USD246" s="16"/>
      <c r="USE246" s="16"/>
      <c r="USF246" s="16"/>
      <c r="USG246" s="15"/>
      <c r="USH246" s="15"/>
      <c r="USI246" s="10"/>
      <c r="USJ246" s="10"/>
      <c r="USK246" s="19"/>
      <c r="USL246" s="19"/>
      <c r="USO246" s="16"/>
      <c r="USP246" s="15"/>
      <c r="USQ246" s="15"/>
      <c r="USR246" s="15"/>
      <c r="USS246" s="16"/>
      <c r="UST246" s="16"/>
      <c r="USU246" s="16"/>
      <c r="USV246" s="16"/>
      <c r="USW246" s="16"/>
      <c r="USX246" s="15"/>
      <c r="USY246" s="15"/>
      <c r="USZ246" s="10"/>
      <c r="UTA246" s="10"/>
      <c r="UTB246" s="19"/>
      <c r="UTC246" s="19"/>
      <c r="UTF246" s="16"/>
      <c r="UTG246" s="15"/>
      <c r="UTH246" s="15"/>
      <c r="UTI246" s="15"/>
      <c r="UTJ246" s="16"/>
      <c r="UTK246" s="16"/>
      <c r="UTL246" s="16"/>
      <c r="UTM246" s="16"/>
      <c r="UTN246" s="16"/>
      <c r="UTO246" s="15"/>
      <c r="UTP246" s="15"/>
      <c r="UTQ246" s="10"/>
      <c r="UTR246" s="10"/>
      <c r="UTS246" s="19"/>
      <c r="UTT246" s="19"/>
      <c r="UTW246" s="16"/>
      <c r="UTX246" s="15"/>
      <c r="UTY246" s="15"/>
      <c r="UTZ246" s="15"/>
      <c r="UUA246" s="16"/>
      <c r="UUB246" s="16"/>
      <c r="UUC246" s="16"/>
      <c r="UUD246" s="16"/>
      <c r="UUE246" s="16"/>
      <c r="UUF246" s="15"/>
      <c r="UUG246" s="15"/>
      <c r="UUH246" s="10"/>
      <c r="UUI246" s="10"/>
      <c r="UUJ246" s="19"/>
      <c r="UUK246" s="19"/>
      <c r="UUN246" s="16"/>
      <c r="UUO246" s="15"/>
      <c r="UUP246" s="15"/>
      <c r="UUQ246" s="15"/>
      <c r="UUR246" s="16"/>
      <c r="UUS246" s="16"/>
      <c r="UUT246" s="16"/>
      <c r="UUU246" s="16"/>
      <c r="UUV246" s="16"/>
      <c r="UUW246" s="15"/>
      <c r="UUX246" s="15"/>
      <c r="UUY246" s="10"/>
      <c r="UUZ246" s="10"/>
      <c r="UVA246" s="19"/>
      <c r="UVB246" s="19"/>
      <c r="UVE246" s="16"/>
      <c r="UVF246" s="15"/>
      <c r="UVG246" s="15"/>
      <c r="UVH246" s="15"/>
      <c r="UVI246" s="16"/>
      <c r="UVJ246" s="16"/>
      <c r="UVK246" s="16"/>
      <c r="UVL246" s="16"/>
      <c r="UVM246" s="16"/>
      <c r="UVN246" s="15"/>
      <c r="UVO246" s="15"/>
      <c r="UVP246" s="10"/>
      <c r="UVQ246" s="10"/>
      <c r="UVR246" s="19"/>
      <c r="UVS246" s="19"/>
      <c r="UVV246" s="16"/>
      <c r="UVW246" s="15"/>
      <c r="UVX246" s="15"/>
      <c r="UVY246" s="15"/>
      <c r="UVZ246" s="16"/>
      <c r="UWA246" s="16"/>
      <c r="UWB246" s="16"/>
      <c r="UWC246" s="16"/>
      <c r="UWD246" s="16"/>
      <c r="UWE246" s="15"/>
      <c r="UWF246" s="15"/>
      <c r="UWG246" s="10"/>
      <c r="UWH246" s="10"/>
      <c r="UWI246" s="19"/>
      <c r="UWJ246" s="19"/>
      <c r="UWM246" s="16"/>
      <c r="UWN246" s="15"/>
      <c r="UWO246" s="15"/>
      <c r="UWP246" s="15"/>
      <c r="UWQ246" s="16"/>
      <c r="UWR246" s="16"/>
      <c r="UWS246" s="16"/>
      <c r="UWT246" s="16"/>
      <c r="UWU246" s="16"/>
      <c r="UWV246" s="15"/>
      <c r="UWW246" s="15"/>
      <c r="UWX246" s="10"/>
      <c r="UWY246" s="10"/>
      <c r="UWZ246" s="19"/>
      <c r="UXA246" s="19"/>
      <c r="UXD246" s="16"/>
      <c r="UXE246" s="15"/>
      <c r="UXF246" s="15"/>
      <c r="UXG246" s="15"/>
      <c r="UXH246" s="16"/>
      <c r="UXI246" s="16"/>
      <c r="UXJ246" s="16"/>
      <c r="UXK246" s="16"/>
      <c r="UXL246" s="16"/>
      <c r="UXM246" s="15"/>
      <c r="UXN246" s="15"/>
      <c r="UXO246" s="10"/>
      <c r="UXP246" s="10"/>
      <c r="UXQ246" s="19"/>
      <c r="UXR246" s="19"/>
      <c r="UXU246" s="16"/>
      <c r="UXV246" s="15"/>
      <c r="UXW246" s="15"/>
      <c r="UXX246" s="15"/>
      <c r="UXY246" s="16"/>
      <c r="UXZ246" s="16"/>
      <c r="UYA246" s="16"/>
      <c r="UYB246" s="16"/>
      <c r="UYC246" s="16"/>
      <c r="UYD246" s="15"/>
      <c r="UYE246" s="15"/>
      <c r="UYF246" s="10"/>
      <c r="UYG246" s="10"/>
      <c r="UYH246" s="19"/>
      <c r="UYI246" s="19"/>
      <c r="UYL246" s="16"/>
      <c r="UYM246" s="15"/>
      <c r="UYN246" s="15"/>
      <c r="UYO246" s="15"/>
      <c r="UYP246" s="16"/>
      <c r="UYQ246" s="16"/>
      <c r="UYR246" s="16"/>
      <c r="UYS246" s="16"/>
      <c r="UYT246" s="16"/>
      <c r="UYU246" s="15"/>
      <c r="UYV246" s="15"/>
      <c r="UYW246" s="10"/>
      <c r="UYX246" s="10"/>
      <c r="UYY246" s="19"/>
      <c r="UYZ246" s="19"/>
      <c r="UZC246" s="16"/>
      <c r="UZD246" s="15"/>
      <c r="UZE246" s="15"/>
      <c r="UZF246" s="15"/>
      <c r="UZG246" s="16"/>
      <c r="UZH246" s="16"/>
      <c r="UZI246" s="16"/>
      <c r="UZJ246" s="16"/>
      <c r="UZK246" s="16"/>
      <c r="UZL246" s="15"/>
      <c r="UZM246" s="15"/>
      <c r="UZN246" s="10"/>
      <c r="UZO246" s="10"/>
      <c r="UZP246" s="19"/>
      <c r="UZQ246" s="19"/>
      <c r="UZT246" s="16"/>
      <c r="UZU246" s="15"/>
      <c r="UZV246" s="15"/>
      <c r="UZW246" s="15"/>
      <c r="UZX246" s="16"/>
      <c r="UZY246" s="16"/>
      <c r="UZZ246" s="16"/>
      <c r="VAA246" s="16"/>
      <c r="VAB246" s="16"/>
      <c r="VAC246" s="15"/>
      <c r="VAD246" s="15"/>
      <c r="VAE246" s="10"/>
      <c r="VAF246" s="10"/>
      <c r="VAG246" s="19"/>
      <c r="VAH246" s="19"/>
      <c r="VAK246" s="16"/>
      <c r="VAL246" s="15"/>
      <c r="VAM246" s="15"/>
      <c r="VAN246" s="15"/>
      <c r="VAO246" s="16"/>
      <c r="VAP246" s="16"/>
      <c r="VAQ246" s="16"/>
      <c r="VAR246" s="16"/>
      <c r="VAS246" s="16"/>
      <c r="VAT246" s="15"/>
      <c r="VAU246" s="15"/>
      <c r="VAV246" s="10"/>
      <c r="VAW246" s="10"/>
      <c r="VAX246" s="19"/>
      <c r="VAY246" s="19"/>
      <c r="VBB246" s="16"/>
      <c r="VBC246" s="15"/>
      <c r="VBD246" s="15"/>
      <c r="VBE246" s="15"/>
      <c r="VBF246" s="16"/>
      <c r="VBG246" s="16"/>
      <c r="VBH246" s="16"/>
      <c r="VBI246" s="16"/>
      <c r="VBJ246" s="16"/>
      <c r="VBK246" s="15"/>
      <c r="VBL246" s="15"/>
      <c r="VBM246" s="10"/>
      <c r="VBN246" s="10"/>
      <c r="VBO246" s="19"/>
      <c r="VBP246" s="19"/>
      <c r="VBS246" s="16"/>
      <c r="VBT246" s="15"/>
      <c r="VBU246" s="15"/>
      <c r="VBV246" s="15"/>
      <c r="VBW246" s="16"/>
      <c r="VBX246" s="16"/>
      <c r="VBY246" s="16"/>
      <c r="VBZ246" s="16"/>
      <c r="VCA246" s="16"/>
      <c r="VCB246" s="15"/>
      <c r="VCC246" s="15"/>
      <c r="VCD246" s="10"/>
      <c r="VCE246" s="10"/>
      <c r="VCF246" s="19"/>
      <c r="VCG246" s="19"/>
      <c r="VCJ246" s="16"/>
      <c r="VCK246" s="15"/>
      <c r="VCL246" s="15"/>
      <c r="VCM246" s="15"/>
      <c r="VCN246" s="16"/>
      <c r="VCO246" s="16"/>
      <c r="VCP246" s="16"/>
      <c r="VCQ246" s="16"/>
      <c r="VCR246" s="16"/>
      <c r="VCS246" s="15"/>
      <c r="VCT246" s="15"/>
      <c r="VCU246" s="10"/>
      <c r="VCV246" s="10"/>
      <c r="VCW246" s="19"/>
      <c r="VCX246" s="19"/>
      <c r="VDA246" s="16"/>
      <c r="VDB246" s="15"/>
      <c r="VDC246" s="15"/>
      <c r="VDD246" s="15"/>
      <c r="VDE246" s="16"/>
      <c r="VDF246" s="16"/>
      <c r="VDG246" s="16"/>
      <c r="VDH246" s="16"/>
      <c r="VDI246" s="16"/>
      <c r="VDJ246" s="15"/>
      <c r="VDK246" s="15"/>
      <c r="VDL246" s="10"/>
      <c r="VDM246" s="10"/>
      <c r="VDN246" s="19"/>
      <c r="VDO246" s="19"/>
      <c r="VDR246" s="16"/>
      <c r="VDS246" s="15"/>
      <c r="VDT246" s="15"/>
      <c r="VDU246" s="15"/>
      <c r="VDV246" s="16"/>
      <c r="VDW246" s="16"/>
      <c r="VDX246" s="16"/>
      <c r="VDY246" s="16"/>
      <c r="VDZ246" s="16"/>
      <c r="VEA246" s="15"/>
      <c r="VEB246" s="15"/>
      <c r="VEC246" s="10"/>
      <c r="VED246" s="10"/>
      <c r="VEE246" s="19"/>
      <c r="VEF246" s="19"/>
      <c r="VEI246" s="16"/>
      <c r="VEJ246" s="15"/>
      <c r="VEK246" s="15"/>
      <c r="VEL246" s="15"/>
      <c r="VEM246" s="16"/>
      <c r="VEN246" s="16"/>
      <c r="VEO246" s="16"/>
      <c r="VEP246" s="16"/>
      <c r="VEQ246" s="16"/>
      <c r="VER246" s="15"/>
      <c r="VES246" s="15"/>
      <c r="VET246" s="10"/>
      <c r="VEU246" s="10"/>
      <c r="VEV246" s="19"/>
      <c r="VEW246" s="19"/>
      <c r="VEZ246" s="16"/>
      <c r="VFA246" s="15"/>
      <c r="VFB246" s="15"/>
      <c r="VFC246" s="15"/>
      <c r="VFD246" s="16"/>
      <c r="VFE246" s="16"/>
      <c r="VFF246" s="16"/>
      <c r="VFG246" s="16"/>
      <c r="VFH246" s="16"/>
      <c r="VFI246" s="15"/>
      <c r="VFJ246" s="15"/>
      <c r="VFK246" s="10"/>
      <c r="VFL246" s="10"/>
      <c r="VFM246" s="19"/>
      <c r="VFN246" s="19"/>
      <c r="VFQ246" s="16"/>
      <c r="VFR246" s="15"/>
      <c r="VFS246" s="15"/>
      <c r="VFT246" s="15"/>
      <c r="VFU246" s="16"/>
      <c r="VFV246" s="16"/>
      <c r="VFW246" s="16"/>
      <c r="VFX246" s="16"/>
      <c r="VFY246" s="16"/>
      <c r="VFZ246" s="15"/>
      <c r="VGA246" s="15"/>
      <c r="VGB246" s="10"/>
      <c r="VGC246" s="10"/>
      <c r="VGD246" s="19"/>
      <c r="VGE246" s="19"/>
      <c r="VGH246" s="16"/>
      <c r="VGI246" s="15"/>
      <c r="VGJ246" s="15"/>
      <c r="VGK246" s="15"/>
      <c r="VGL246" s="16"/>
      <c r="VGM246" s="16"/>
      <c r="VGN246" s="16"/>
      <c r="VGO246" s="16"/>
      <c r="VGP246" s="16"/>
      <c r="VGQ246" s="15"/>
      <c r="VGR246" s="15"/>
      <c r="VGS246" s="10"/>
      <c r="VGT246" s="10"/>
      <c r="VGU246" s="19"/>
      <c r="VGV246" s="19"/>
      <c r="VGY246" s="16"/>
      <c r="VGZ246" s="15"/>
      <c r="VHA246" s="15"/>
      <c r="VHB246" s="15"/>
      <c r="VHC246" s="16"/>
      <c r="VHD246" s="16"/>
      <c r="VHE246" s="16"/>
      <c r="VHF246" s="16"/>
      <c r="VHG246" s="16"/>
      <c r="VHH246" s="15"/>
      <c r="VHI246" s="15"/>
      <c r="VHJ246" s="10"/>
      <c r="VHK246" s="10"/>
      <c r="VHL246" s="19"/>
      <c r="VHM246" s="19"/>
      <c r="VHP246" s="16"/>
      <c r="VHQ246" s="15"/>
      <c r="VHR246" s="15"/>
      <c r="VHS246" s="15"/>
      <c r="VHT246" s="16"/>
      <c r="VHU246" s="16"/>
      <c r="VHV246" s="16"/>
      <c r="VHW246" s="16"/>
      <c r="VHX246" s="16"/>
      <c r="VHY246" s="15"/>
      <c r="VHZ246" s="15"/>
      <c r="VIA246" s="10"/>
      <c r="VIB246" s="10"/>
      <c r="VIC246" s="19"/>
      <c r="VID246" s="19"/>
      <c r="VIG246" s="16"/>
      <c r="VIH246" s="15"/>
      <c r="VII246" s="15"/>
      <c r="VIJ246" s="15"/>
      <c r="VIK246" s="16"/>
      <c r="VIL246" s="16"/>
      <c r="VIM246" s="16"/>
      <c r="VIN246" s="16"/>
      <c r="VIO246" s="16"/>
      <c r="VIP246" s="15"/>
      <c r="VIQ246" s="15"/>
      <c r="VIR246" s="10"/>
      <c r="VIS246" s="10"/>
      <c r="VIT246" s="19"/>
      <c r="VIU246" s="19"/>
      <c r="VIX246" s="16"/>
      <c r="VIY246" s="15"/>
      <c r="VIZ246" s="15"/>
      <c r="VJA246" s="15"/>
      <c r="VJB246" s="16"/>
      <c r="VJC246" s="16"/>
      <c r="VJD246" s="16"/>
      <c r="VJE246" s="16"/>
      <c r="VJF246" s="16"/>
      <c r="VJG246" s="15"/>
      <c r="VJH246" s="15"/>
      <c r="VJI246" s="10"/>
      <c r="VJJ246" s="10"/>
      <c r="VJK246" s="19"/>
      <c r="VJL246" s="19"/>
      <c r="VJO246" s="16"/>
      <c r="VJP246" s="15"/>
      <c r="VJQ246" s="15"/>
      <c r="VJR246" s="15"/>
      <c r="VJS246" s="16"/>
      <c r="VJT246" s="16"/>
      <c r="VJU246" s="16"/>
      <c r="VJV246" s="16"/>
      <c r="VJW246" s="16"/>
      <c r="VJX246" s="15"/>
      <c r="VJY246" s="15"/>
      <c r="VJZ246" s="10"/>
      <c r="VKA246" s="10"/>
      <c r="VKB246" s="19"/>
      <c r="VKC246" s="19"/>
      <c r="VKF246" s="16"/>
      <c r="VKG246" s="15"/>
      <c r="VKH246" s="15"/>
      <c r="VKI246" s="15"/>
      <c r="VKJ246" s="16"/>
      <c r="VKK246" s="16"/>
      <c r="VKL246" s="16"/>
      <c r="VKM246" s="16"/>
      <c r="VKN246" s="16"/>
      <c r="VKO246" s="15"/>
      <c r="VKP246" s="15"/>
      <c r="VKQ246" s="10"/>
      <c r="VKR246" s="10"/>
      <c r="VKS246" s="19"/>
      <c r="VKT246" s="19"/>
      <c r="VKW246" s="16"/>
      <c r="VKX246" s="15"/>
      <c r="VKY246" s="15"/>
      <c r="VKZ246" s="15"/>
      <c r="VLA246" s="16"/>
      <c r="VLB246" s="16"/>
      <c r="VLC246" s="16"/>
      <c r="VLD246" s="16"/>
      <c r="VLE246" s="16"/>
      <c r="VLF246" s="15"/>
      <c r="VLG246" s="15"/>
      <c r="VLH246" s="10"/>
      <c r="VLI246" s="10"/>
      <c r="VLJ246" s="19"/>
      <c r="VLK246" s="19"/>
      <c r="VLN246" s="16"/>
      <c r="VLO246" s="15"/>
      <c r="VLP246" s="15"/>
      <c r="VLQ246" s="15"/>
      <c r="VLR246" s="16"/>
      <c r="VLS246" s="16"/>
      <c r="VLT246" s="16"/>
      <c r="VLU246" s="16"/>
      <c r="VLV246" s="16"/>
      <c r="VLW246" s="15"/>
      <c r="VLX246" s="15"/>
      <c r="VLY246" s="10"/>
      <c r="VLZ246" s="10"/>
      <c r="VMA246" s="19"/>
      <c r="VMB246" s="19"/>
      <c r="VME246" s="16"/>
      <c r="VMF246" s="15"/>
      <c r="VMG246" s="15"/>
      <c r="VMH246" s="15"/>
      <c r="VMI246" s="16"/>
      <c r="VMJ246" s="16"/>
      <c r="VMK246" s="16"/>
      <c r="VML246" s="16"/>
      <c r="VMM246" s="16"/>
      <c r="VMN246" s="15"/>
      <c r="VMO246" s="15"/>
      <c r="VMP246" s="10"/>
      <c r="VMQ246" s="10"/>
      <c r="VMR246" s="19"/>
      <c r="VMS246" s="19"/>
      <c r="VMV246" s="16"/>
      <c r="VMW246" s="15"/>
      <c r="VMX246" s="15"/>
      <c r="VMY246" s="15"/>
      <c r="VMZ246" s="16"/>
      <c r="VNA246" s="16"/>
      <c r="VNB246" s="16"/>
      <c r="VNC246" s="16"/>
      <c r="VND246" s="16"/>
      <c r="VNE246" s="15"/>
      <c r="VNF246" s="15"/>
      <c r="VNG246" s="10"/>
      <c r="VNH246" s="10"/>
      <c r="VNI246" s="19"/>
      <c r="VNJ246" s="19"/>
      <c r="VNM246" s="16"/>
      <c r="VNN246" s="15"/>
      <c r="VNO246" s="15"/>
      <c r="VNP246" s="15"/>
      <c r="VNQ246" s="16"/>
      <c r="VNR246" s="16"/>
      <c r="VNS246" s="16"/>
      <c r="VNT246" s="16"/>
      <c r="VNU246" s="16"/>
      <c r="VNV246" s="15"/>
      <c r="VNW246" s="15"/>
      <c r="VNX246" s="10"/>
      <c r="VNY246" s="10"/>
      <c r="VNZ246" s="19"/>
      <c r="VOA246" s="19"/>
      <c r="VOD246" s="16"/>
      <c r="VOE246" s="15"/>
      <c r="VOF246" s="15"/>
      <c r="VOG246" s="15"/>
      <c r="VOH246" s="16"/>
      <c r="VOI246" s="16"/>
      <c r="VOJ246" s="16"/>
      <c r="VOK246" s="16"/>
      <c r="VOL246" s="16"/>
      <c r="VOM246" s="15"/>
      <c r="VON246" s="15"/>
      <c r="VOO246" s="10"/>
      <c r="VOP246" s="10"/>
      <c r="VOQ246" s="19"/>
      <c r="VOR246" s="19"/>
      <c r="VOU246" s="16"/>
      <c r="VOV246" s="15"/>
      <c r="VOW246" s="15"/>
      <c r="VOX246" s="15"/>
      <c r="VOY246" s="16"/>
      <c r="VOZ246" s="16"/>
      <c r="VPA246" s="16"/>
      <c r="VPB246" s="16"/>
      <c r="VPC246" s="16"/>
      <c r="VPD246" s="15"/>
      <c r="VPE246" s="15"/>
      <c r="VPF246" s="10"/>
      <c r="VPG246" s="10"/>
      <c r="VPH246" s="19"/>
      <c r="VPI246" s="19"/>
      <c r="VPL246" s="16"/>
      <c r="VPM246" s="15"/>
      <c r="VPN246" s="15"/>
      <c r="VPO246" s="15"/>
      <c r="VPP246" s="16"/>
      <c r="VPQ246" s="16"/>
      <c r="VPR246" s="16"/>
      <c r="VPS246" s="16"/>
      <c r="VPT246" s="16"/>
      <c r="VPU246" s="15"/>
      <c r="VPV246" s="15"/>
      <c r="VPW246" s="10"/>
      <c r="VPX246" s="10"/>
      <c r="VPY246" s="19"/>
      <c r="VPZ246" s="19"/>
      <c r="VQC246" s="16"/>
      <c r="VQD246" s="15"/>
      <c r="VQE246" s="15"/>
      <c r="VQF246" s="15"/>
      <c r="VQG246" s="16"/>
      <c r="VQH246" s="16"/>
      <c r="VQI246" s="16"/>
      <c r="VQJ246" s="16"/>
      <c r="VQK246" s="16"/>
      <c r="VQL246" s="15"/>
      <c r="VQM246" s="15"/>
      <c r="VQN246" s="10"/>
      <c r="VQO246" s="10"/>
      <c r="VQP246" s="19"/>
      <c r="VQQ246" s="19"/>
      <c r="VQT246" s="16"/>
      <c r="VQU246" s="15"/>
      <c r="VQV246" s="15"/>
      <c r="VQW246" s="15"/>
      <c r="VQX246" s="16"/>
      <c r="VQY246" s="16"/>
      <c r="VQZ246" s="16"/>
      <c r="VRA246" s="16"/>
      <c r="VRB246" s="16"/>
      <c r="VRC246" s="15"/>
      <c r="VRD246" s="15"/>
      <c r="VRE246" s="10"/>
      <c r="VRF246" s="10"/>
      <c r="VRG246" s="19"/>
      <c r="VRH246" s="19"/>
      <c r="VRK246" s="16"/>
      <c r="VRL246" s="15"/>
      <c r="VRM246" s="15"/>
      <c r="VRN246" s="15"/>
      <c r="VRO246" s="16"/>
      <c r="VRP246" s="16"/>
      <c r="VRQ246" s="16"/>
      <c r="VRR246" s="16"/>
      <c r="VRS246" s="16"/>
      <c r="VRT246" s="15"/>
      <c r="VRU246" s="15"/>
      <c r="VRV246" s="10"/>
      <c r="VRW246" s="10"/>
      <c r="VRX246" s="19"/>
      <c r="VRY246" s="19"/>
      <c r="VSB246" s="16"/>
      <c r="VSC246" s="15"/>
      <c r="VSD246" s="15"/>
      <c r="VSE246" s="15"/>
      <c r="VSF246" s="16"/>
      <c r="VSG246" s="16"/>
      <c r="VSH246" s="16"/>
      <c r="VSI246" s="16"/>
      <c r="VSJ246" s="16"/>
      <c r="VSK246" s="15"/>
      <c r="VSL246" s="15"/>
      <c r="VSM246" s="10"/>
      <c r="VSN246" s="10"/>
      <c r="VSO246" s="19"/>
      <c r="VSP246" s="19"/>
      <c r="VSS246" s="16"/>
      <c r="VST246" s="15"/>
      <c r="VSU246" s="15"/>
      <c r="VSV246" s="15"/>
      <c r="VSW246" s="16"/>
      <c r="VSX246" s="16"/>
      <c r="VSY246" s="16"/>
      <c r="VSZ246" s="16"/>
      <c r="VTA246" s="16"/>
      <c r="VTB246" s="15"/>
      <c r="VTC246" s="15"/>
      <c r="VTD246" s="10"/>
      <c r="VTE246" s="10"/>
      <c r="VTF246" s="19"/>
      <c r="VTG246" s="19"/>
      <c r="VTJ246" s="16"/>
      <c r="VTK246" s="15"/>
      <c r="VTL246" s="15"/>
      <c r="VTM246" s="15"/>
      <c r="VTN246" s="16"/>
      <c r="VTO246" s="16"/>
      <c r="VTP246" s="16"/>
      <c r="VTQ246" s="16"/>
      <c r="VTR246" s="16"/>
      <c r="VTS246" s="15"/>
      <c r="VTT246" s="15"/>
      <c r="VTU246" s="10"/>
      <c r="VTV246" s="10"/>
      <c r="VTW246" s="19"/>
      <c r="VTX246" s="19"/>
      <c r="VUA246" s="16"/>
      <c r="VUB246" s="15"/>
      <c r="VUC246" s="15"/>
      <c r="VUD246" s="15"/>
      <c r="VUE246" s="16"/>
      <c r="VUF246" s="16"/>
      <c r="VUG246" s="16"/>
      <c r="VUH246" s="16"/>
      <c r="VUI246" s="16"/>
      <c r="VUJ246" s="15"/>
      <c r="VUK246" s="15"/>
      <c r="VUL246" s="10"/>
      <c r="VUM246" s="10"/>
      <c r="VUN246" s="19"/>
      <c r="VUO246" s="19"/>
      <c r="VUR246" s="16"/>
      <c r="VUS246" s="15"/>
      <c r="VUT246" s="15"/>
      <c r="VUU246" s="15"/>
      <c r="VUV246" s="16"/>
      <c r="VUW246" s="16"/>
      <c r="VUX246" s="16"/>
      <c r="VUY246" s="16"/>
      <c r="VUZ246" s="16"/>
      <c r="VVA246" s="15"/>
      <c r="VVB246" s="15"/>
      <c r="VVC246" s="10"/>
      <c r="VVD246" s="10"/>
      <c r="VVE246" s="19"/>
      <c r="VVF246" s="19"/>
      <c r="VVI246" s="16"/>
      <c r="VVJ246" s="15"/>
      <c r="VVK246" s="15"/>
      <c r="VVL246" s="15"/>
      <c r="VVM246" s="16"/>
      <c r="VVN246" s="16"/>
      <c r="VVO246" s="16"/>
      <c r="VVP246" s="16"/>
      <c r="VVQ246" s="16"/>
      <c r="VVR246" s="15"/>
      <c r="VVS246" s="15"/>
      <c r="VVT246" s="10"/>
      <c r="VVU246" s="10"/>
      <c r="VVV246" s="19"/>
      <c r="VVW246" s="19"/>
      <c r="VVZ246" s="16"/>
      <c r="VWA246" s="15"/>
      <c r="VWB246" s="15"/>
      <c r="VWC246" s="15"/>
      <c r="VWD246" s="16"/>
      <c r="VWE246" s="16"/>
      <c r="VWF246" s="16"/>
      <c r="VWG246" s="16"/>
      <c r="VWH246" s="16"/>
      <c r="VWI246" s="15"/>
      <c r="VWJ246" s="15"/>
      <c r="VWK246" s="10"/>
      <c r="VWL246" s="10"/>
      <c r="VWM246" s="19"/>
      <c r="VWN246" s="19"/>
      <c r="VWQ246" s="16"/>
      <c r="VWR246" s="15"/>
      <c r="VWS246" s="15"/>
      <c r="VWT246" s="15"/>
      <c r="VWU246" s="16"/>
      <c r="VWV246" s="16"/>
      <c r="VWW246" s="16"/>
      <c r="VWX246" s="16"/>
      <c r="VWY246" s="16"/>
      <c r="VWZ246" s="15"/>
      <c r="VXA246" s="15"/>
      <c r="VXB246" s="10"/>
      <c r="VXC246" s="10"/>
      <c r="VXD246" s="19"/>
      <c r="VXE246" s="19"/>
      <c r="VXH246" s="16"/>
      <c r="VXI246" s="15"/>
      <c r="VXJ246" s="15"/>
      <c r="VXK246" s="15"/>
      <c r="VXL246" s="16"/>
      <c r="VXM246" s="16"/>
      <c r="VXN246" s="16"/>
      <c r="VXO246" s="16"/>
      <c r="VXP246" s="16"/>
      <c r="VXQ246" s="15"/>
      <c r="VXR246" s="15"/>
      <c r="VXS246" s="10"/>
      <c r="VXT246" s="10"/>
      <c r="VXU246" s="19"/>
      <c r="VXV246" s="19"/>
      <c r="VXY246" s="16"/>
      <c r="VXZ246" s="15"/>
      <c r="VYA246" s="15"/>
      <c r="VYB246" s="15"/>
      <c r="VYC246" s="16"/>
      <c r="VYD246" s="16"/>
      <c r="VYE246" s="16"/>
      <c r="VYF246" s="16"/>
      <c r="VYG246" s="16"/>
      <c r="VYH246" s="15"/>
      <c r="VYI246" s="15"/>
      <c r="VYJ246" s="10"/>
      <c r="VYK246" s="10"/>
      <c r="VYL246" s="19"/>
      <c r="VYM246" s="19"/>
      <c r="VYP246" s="16"/>
      <c r="VYQ246" s="15"/>
      <c r="VYR246" s="15"/>
      <c r="VYS246" s="15"/>
      <c r="VYT246" s="16"/>
      <c r="VYU246" s="16"/>
      <c r="VYV246" s="16"/>
      <c r="VYW246" s="16"/>
      <c r="VYX246" s="16"/>
      <c r="VYY246" s="15"/>
      <c r="VYZ246" s="15"/>
      <c r="VZA246" s="10"/>
      <c r="VZB246" s="10"/>
      <c r="VZC246" s="19"/>
      <c r="VZD246" s="19"/>
      <c r="VZG246" s="16"/>
      <c r="VZH246" s="15"/>
      <c r="VZI246" s="15"/>
      <c r="VZJ246" s="15"/>
      <c r="VZK246" s="16"/>
      <c r="VZL246" s="16"/>
      <c r="VZM246" s="16"/>
      <c r="VZN246" s="16"/>
      <c r="VZO246" s="16"/>
      <c r="VZP246" s="15"/>
      <c r="VZQ246" s="15"/>
      <c r="VZR246" s="10"/>
      <c r="VZS246" s="10"/>
      <c r="VZT246" s="19"/>
      <c r="VZU246" s="19"/>
      <c r="VZX246" s="16"/>
      <c r="VZY246" s="15"/>
      <c r="VZZ246" s="15"/>
      <c r="WAA246" s="15"/>
      <c r="WAB246" s="16"/>
      <c r="WAC246" s="16"/>
      <c r="WAD246" s="16"/>
      <c r="WAE246" s="16"/>
      <c r="WAF246" s="16"/>
      <c r="WAG246" s="15"/>
      <c r="WAH246" s="15"/>
      <c r="WAI246" s="10"/>
      <c r="WAJ246" s="10"/>
      <c r="WAK246" s="19"/>
      <c r="WAL246" s="19"/>
      <c r="WAO246" s="16"/>
      <c r="WAP246" s="15"/>
      <c r="WAQ246" s="15"/>
      <c r="WAR246" s="15"/>
      <c r="WAS246" s="16"/>
      <c r="WAT246" s="16"/>
      <c r="WAU246" s="16"/>
      <c r="WAV246" s="16"/>
      <c r="WAW246" s="16"/>
      <c r="WAX246" s="15"/>
      <c r="WAY246" s="15"/>
      <c r="WAZ246" s="10"/>
      <c r="WBA246" s="10"/>
      <c r="WBB246" s="19"/>
      <c r="WBC246" s="19"/>
      <c r="WBF246" s="16"/>
      <c r="WBG246" s="15"/>
      <c r="WBH246" s="15"/>
      <c r="WBI246" s="15"/>
      <c r="WBJ246" s="16"/>
      <c r="WBK246" s="16"/>
      <c r="WBL246" s="16"/>
      <c r="WBM246" s="16"/>
      <c r="WBN246" s="16"/>
      <c r="WBO246" s="15"/>
      <c r="WBP246" s="15"/>
      <c r="WBQ246" s="10"/>
      <c r="WBR246" s="10"/>
      <c r="WBS246" s="19"/>
      <c r="WBT246" s="19"/>
      <c r="WBW246" s="16"/>
      <c r="WBX246" s="15"/>
      <c r="WBY246" s="15"/>
      <c r="WBZ246" s="15"/>
      <c r="WCA246" s="16"/>
      <c r="WCB246" s="16"/>
      <c r="WCC246" s="16"/>
      <c r="WCD246" s="16"/>
      <c r="WCE246" s="16"/>
      <c r="WCF246" s="15"/>
      <c r="WCG246" s="15"/>
      <c r="WCH246" s="10"/>
      <c r="WCI246" s="10"/>
      <c r="WCJ246" s="19"/>
      <c r="WCK246" s="19"/>
      <c r="WCN246" s="16"/>
      <c r="WCO246" s="15"/>
      <c r="WCP246" s="15"/>
      <c r="WCQ246" s="15"/>
      <c r="WCR246" s="16"/>
      <c r="WCS246" s="16"/>
      <c r="WCT246" s="16"/>
      <c r="WCU246" s="16"/>
      <c r="WCV246" s="16"/>
      <c r="WCW246" s="15"/>
      <c r="WCX246" s="15"/>
      <c r="WCY246" s="10"/>
      <c r="WCZ246" s="10"/>
      <c r="WDA246" s="19"/>
      <c r="WDB246" s="19"/>
      <c r="WDE246" s="16"/>
      <c r="WDF246" s="15"/>
      <c r="WDG246" s="15"/>
      <c r="WDH246" s="15"/>
      <c r="WDI246" s="16"/>
      <c r="WDJ246" s="16"/>
      <c r="WDK246" s="16"/>
      <c r="WDL246" s="16"/>
      <c r="WDM246" s="16"/>
      <c r="WDN246" s="15"/>
      <c r="WDO246" s="15"/>
      <c r="WDP246" s="10"/>
      <c r="WDQ246" s="10"/>
      <c r="WDR246" s="19"/>
      <c r="WDS246" s="19"/>
      <c r="WDV246" s="16"/>
      <c r="WDW246" s="15"/>
      <c r="WDX246" s="15"/>
      <c r="WDY246" s="15"/>
      <c r="WDZ246" s="16"/>
      <c r="WEA246" s="16"/>
      <c r="WEB246" s="16"/>
      <c r="WEC246" s="16"/>
      <c r="WED246" s="16"/>
      <c r="WEE246" s="15"/>
      <c r="WEF246" s="15"/>
      <c r="WEG246" s="10"/>
      <c r="WEH246" s="10"/>
      <c r="WEI246" s="19"/>
      <c r="WEJ246" s="19"/>
      <c r="WEM246" s="16"/>
      <c r="WEN246" s="15"/>
      <c r="WEO246" s="15"/>
      <c r="WEP246" s="15"/>
      <c r="WEQ246" s="16"/>
      <c r="WER246" s="16"/>
      <c r="WES246" s="16"/>
      <c r="WET246" s="16"/>
      <c r="WEU246" s="16"/>
      <c r="WEV246" s="15"/>
      <c r="WEW246" s="15"/>
      <c r="WEX246" s="10"/>
      <c r="WEY246" s="10"/>
      <c r="WEZ246" s="19"/>
      <c r="WFA246" s="19"/>
      <c r="WFD246" s="16"/>
      <c r="WFE246" s="15"/>
      <c r="WFF246" s="15"/>
      <c r="WFG246" s="15"/>
      <c r="WFH246" s="16"/>
      <c r="WFI246" s="16"/>
      <c r="WFJ246" s="16"/>
      <c r="WFK246" s="16"/>
      <c r="WFL246" s="16"/>
      <c r="WFM246" s="15"/>
      <c r="WFN246" s="15"/>
      <c r="WFO246" s="10"/>
      <c r="WFP246" s="10"/>
      <c r="WFQ246" s="19"/>
      <c r="WFR246" s="19"/>
      <c r="WFU246" s="16"/>
      <c r="WFV246" s="15"/>
      <c r="WFW246" s="15"/>
      <c r="WFX246" s="15"/>
      <c r="WFY246" s="16"/>
      <c r="WFZ246" s="16"/>
      <c r="WGA246" s="16"/>
      <c r="WGB246" s="16"/>
      <c r="WGC246" s="16"/>
      <c r="WGD246" s="15"/>
      <c r="WGE246" s="15"/>
      <c r="WGF246" s="10"/>
      <c r="WGG246" s="10"/>
      <c r="WGH246" s="19"/>
      <c r="WGI246" s="19"/>
      <c r="WGL246" s="16"/>
      <c r="WGM246" s="15"/>
      <c r="WGN246" s="15"/>
      <c r="WGO246" s="15"/>
      <c r="WGP246" s="16"/>
      <c r="WGQ246" s="16"/>
      <c r="WGR246" s="16"/>
      <c r="WGS246" s="16"/>
      <c r="WGT246" s="16"/>
      <c r="WGU246" s="15"/>
      <c r="WGV246" s="15"/>
      <c r="WGW246" s="10"/>
      <c r="WGX246" s="10"/>
      <c r="WGY246" s="19"/>
      <c r="WGZ246" s="19"/>
      <c r="WHC246" s="16"/>
      <c r="WHD246" s="15"/>
      <c r="WHE246" s="15"/>
      <c r="WHF246" s="15"/>
      <c r="WHG246" s="16"/>
      <c r="WHH246" s="16"/>
      <c r="WHI246" s="16"/>
      <c r="WHJ246" s="16"/>
      <c r="WHK246" s="16"/>
      <c r="WHL246" s="15"/>
      <c r="WHM246" s="15"/>
      <c r="WHN246" s="10"/>
      <c r="WHO246" s="10"/>
      <c r="WHP246" s="19"/>
      <c r="WHQ246" s="19"/>
      <c r="WHT246" s="16"/>
      <c r="WHU246" s="15"/>
      <c r="WHV246" s="15"/>
      <c r="WHW246" s="15"/>
      <c r="WHX246" s="16"/>
      <c r="WHY246" s="16"/>
      <c r="WHZ246" s="16"/>
      <c r="WIA246" s="16"/>
      <c r="WIB246" s="16"/>
      <c r="WIC246" s="15"/>
      <c r="WID246" s="15"/>
      <c r="WIE246" s="10"/>
      <c r="WIF246" s="10"/>
      <c r="WIG246" s="19"/>
      <c r="WIH246" s="19"/>
      <c r="WIK246" s="16"/>
      <c r="WIL246" s="15"/>
      <c r="WIM246" s="15"/>
      <c r="WIN246" s="15"/>
      <c r="WIO246" s="16"/>
      <c r="WIP246" s="16"/>
      <c r="WIQ246" s="16"/>
      <c r="WIR246" s="16"/>
      <c r="WIS246" s="16"/>
      <c r="WIT246" s="15"/>
      <c r="WIU246" s="15"/>
      <c r="WIV246" s="10"/>
      <c r="WIW246" s="10"/>
      <c r="WIX246" s="19"/>
      <c r="WIY246" s="19"/>
      <c r="WJB246" s="16"/>
      <c r="WJC246" s="15"/>
      <c r="WJD246" s="15"/>
      <c r="WJE246" s="15"/>
      <c r="WJF246" s="16"/>
      <c r="WJG246" s="16"/>
      <c r="WJH246" s="16"/>
      <c r="WJI246" s="16"/>
      <c r="WJJ246" s="16"/>
      <c r="WJK246" s="15"/>
      <c r="WJL246" s="15"/>
      <c r="WJM246" s="10"/>
      <c r="WJN246" s="10"/>
      <c r="WJO246" s="19"/>
      <c r="WJP246" s="19"/>
      <c r="WJS246" s="16"/>
      <c r="WJT246" s="15"/>
      <c r="WJU246" s="15"/>
      <c r="WJV246" s="15"/>
      <c r="WJW246" s="16"/>
      <c r="WJX246" s="16"/>
      <c r="WJY246" s="16"/>
      <c r="WJZ246" s="16"/>
      <c r="WKA246" s="16"/>
      <c r="WKB246" s="15"/>
      <c r="WKC246" s="15"/>
      <c r="WKD246" s="10"/>
      <c r="WKE246" s="10"/>
      <c r="WKF246" s="19"/>
      <c r="WKG246" s="19"/>
      <c r="WKJ246" s="16"/>
      <c r="WKK246" s="15"/>
      <c r="WKL246" s="15"/>
      <c r="WKM246" s="15"/>
      <c r="WKN246" s="16"/>
      <c r="WKO246" s="16"/>
      <c r="WKP246" s="16"/>
      <c r="WKQ246" s="16"/>
      <c r="WKR246" s="16"/>
      <c r="WKS246" s="15"/>
      <c r="WKT246" s="15"/>
      <c r="WKU246" s="10"/>
      <c r="WKV246" s="10"/>
      <c r="WKW246" s="19"/>
      <c r="WKX246" s="19"/>
      <c r="WLA246" s="16"/>
      <c r="WLB246" s="15"/>
      <c r="WLC246" s="15"/>
      <c r="WLD246" s="15"/>
      <c r="WLE246" s="16"/>
      <c r="WLF246" s="16"/>
      <c r="WLG246" s="16"/>
      <c r="WLH246" s="16"/>
      <c r="WLI246" s="16"/>
      <c r="WLJ246" s="15"/>
      <c r="WLK246" s="15"/>
      <c r="WLL246" s="10"/>
      <c r="WLM246" s="10"/>
      <c r="WLN246" s="19"/>
      <c r="WLO246" s="19"/>
      <c r="WLR246" s="16"/>
      <c r="WLS246" s="15"/>
      <c r="WLT246" s="15"/>
      <c r="WLU246" s="15"/>
      <c r="WLV246" s="16"/>
      <c r="WLW246" s="16"/>
      <c r="WLX246" s="16"/>
      <c r="WLY246" s="16"/>
      <c r="WLZ246" s="16"/>
      <c r="WMA246" s="15"/>
      <c r="WMB246" s="15"/>
      <c r="WMC246" s="10"/>
      <c r="WMD246" s="10"/>
      <c r="WME246" s="19"/>
      <c r="WMF246" s="19"/>
      <c r="WMI246" s="16"/>
      <c r="WMJ246" s="15"/>
      <c r="WMK246" s="15"/>
      <c r="WML246" s="15"/>
      <c r="WMM246" s="16"/>
      <c r="WMN246" s="16"/>
      <c r="WMO246" s="16"/>
      <c r="WMP246" s="16"/>
      <c r="WMQ246" s="16"/>
      <c r="WMR246" s="15"/>
      <c r="WMS246" s="15"/>
      <c r="WMT246" s="10"/>
      <c r="WMU246" s="10"/>
      <c r="WMV246" s="19"/>
      <c r="WMW246" s="19"/>
      <c r="WMZ246" s="16"/>
      <c r="WNA246" s="15"/>
      <c r="WNB246" s="15"/>
      <c r="WNC246" s="15"/>
      <c r="WND246" s="16"/>
      <c r="WNE246" s="16"/>
      <c r="WNF246" s="16"/>
      <c r="WNG246" s="16"/>
      <c r="WNH246" s="16"/>
      <c r="WNI246" s="15"/>
      <c r="WNJ246" s="15"/>
      <c r="WNK246" s="10"/>
      <c r="WNL246" s="10"/>
      <c r="WNM246" s="19"/>
      <c r="WNN246" s="19"/>
      <c r="WNQ246" s="16"/>
      <c r="WNR246" s="15"/>
      <c r="WNS246" s="15"/>
      <c r="WNT246" s="15"/>
      <c r="WNU246" s="16"/>
      <c r="WNV246" s="16"/>
      <c r="WNW246" s="16"/>
      <c r="WNX246" s="16"/>
      <c r="WNY246" s="16"/>
      <c r="WNZ246" s="15"/>
      <c r="WOA246" s="15"/>
      <c r="WOB246" s="10"/>
      <c r="WOC246" s="10"/>
      <c r="WOD246" s="19"/>
      <c r="WOE246" s="19"/>
      <c r="WOH246" s="16"/>
      <c r="WOI246" s="15"/>
      <c r="WOJ246" s="15"/>
      <c r="WOK246" s="15"/>
      <c r="WOL246" s="16"/>
      <c r="WOM246" s="16"/>
      <c r="WON246" s="16"/>
      <c r="WOO246" s="16"/>
      <c r="WOP246" s="16"/>
      <c r="WOQ246" s="15"/>
      <c r="WOR246" s="15"/>
      <c r="WOS246" s="10"/>
      <c r="WOT246" s="10"/>
      <c r="WOU246" s="19"/>
      <c r="WOV246" s="19"/>
      <c r="WOY246" s="16"/>
      <c r="WOZ246" s="15"/>
      <c r="WPA246" s="15"/>
      <c r="WPB246" s="15"/>
      <c r="WPC246" s="16"/>
      <c r="WPD246" s="16"/>
      <c r="WPE246" s="16"/>
      <c r="WPF246" s="16"/>
      <c r="WPG246" s="16"/>
      <c r="WPH246" s="15"/>
      <c r="WPI246" s="15"/>
      <c r="WPJ246" s="10"/>
      <c r="WPK246" s="10"/>
      <c r="WPL246" s="19"/>
      <c r="WPM246" s="19"/>
      <c r="WPP246" s="16"/>
      <c r="WPQ246" s="15"/>
      <c r="WPR246" s="15"/>
      <c r="WPS246" s="15"/>
      <c r="WPT246" s="16"/>
      <c r="WPU246" s="16"/>
      <c r="WPV246" s="16"/>
      <c r="WPW246" s="16"/>
      <c r="WPX246" s="16"/>
      <c r="WPY246" s="15"/>
      <c r="WPZ246" s="15"/>
      <c r="WQA246" s="10"/>
      <c r="WQB246" s="10"/>
      <c r="WQC246" s="19"/>
      <c r="WQD246" s="19"/>
      <c r="WQG246" s="16"/>
      <c r="WQH246" s="15"/>
      <c r="WQI246" s="15"/>
      <c r="WQJ246" s="15"/>
      <c r="WQK246" s="16"/>
      <c r="WQL246" s="16"/>
      <c r="WQM246" s="16"/>
      <c r="WQN246" s="16"/>
      <c r="WQO246" s="16"/>
      <c r="WQP246" s="15"/>
      <c r="WQQ246" s="15"/>
      <c r="WQR246" s="10"/>
      <c r="WQS246" s="10"/>
      <c r="WQT246" s="19"/>
      <c r="WQU246" s="19"/>
      <c r="WQX246" s="16"/>
      <c r="WQY246" s="15"/>
      <c r="WQZ246" s="15"/>
      <c r="WRA246" s="15"/>
      <c r="WRB246" s="16"/>
      <c r="WRC246" s="16"/>
      <c r="WRD246" s="16"/>
      <c r="WRE246" s="16"/>
      <c r="WRF246" s="16"/>
      <c r="WRG246" s="15"/>
      <c r="WRH246" s="15"/>
      <c r="WRI246" s="10"/>
      <c r="WRJ246" s="10"/>
      <c r="WRK246" s="19"/>
      <c r="WRL246" s="19"/>
      <c r="WRO246" s="16"/>
      <c r="WRP246" s="15"/>
      <c r="WRQ246" s="15"/>
      <c r="WRR246" s="15"/>
      <c r="WRS246" s="16"/>
      <c r="WRT246" s="16"/>
      <c r="WRU246" s="16"/>
      <c r="WRV246" s="16"/>
      <c r="WRW246" s="16"/>
      <c r="WRX246" s="15"/>
      <c r="WRY246" s="15"/>
      <c r="WRZ246" s="10"/>
      <c r="WSA246" s="10"/>
      <c r="WSB246" s="19"/>
      <c r="WSC246" s="19"/>
      <c r="WSF246" s="16"/>
      <c r="WSG246" s="15"/>
      <c r="WSH246" s="15"/>
      <c r="WSI246" s="15"/>
      <c r="WSJ246" s="16"/>
      <c r="WSK246" s="16"/>
      <c r="WSL246" s="16"/>
      <c r="WSM246" s="16"/>
      <c r="WSN246" s="16"/>
      <c r="WSO246" s="15"/>
      <c r="WSP246" s="15"/>
      <c r="WSQ246" s="10"/>
      <c r="WSR246" s="10"/>
      <c r="WSS246" s="19"/>
      <c r="WST246" s="19"/>
      <c r="WSW246" s="16"/>
      <c r="WSX246" s="15"/>
      <c r="WSY246" s="15"/>
      <c r="WSZ246" s="15"/>
      <c r="WTA246" s="16"/>
      <c r="WTB246" s="16"/>
      <c r="WTC246" s="16"/>
      <c r="WTD246" s="16"/>
      <c r="WTE246" s="16"/>
      <c r="WTF246" s="15"/>
      <c r="WTG246" s="15"/>
      <c r="WTH246" s="10"/>
      <c r="WTI246" s="10"/>
      <c r="WTJ246" s="19"/>
      <c r="WTK246" s="19"/>
      <c r="WTN246" s="16"/>
      <c r="WTO246" s="15"/>
      <c r="WTP246" s="15"/>
      <c r="WTQ246" s="15"/>
      <c r="WTR246" s="16"/>
      <c r="WTS246" s="16"/>
      <c r="WTT246" s="16"/>
      <c r="WTU246" s="16"/>
      <c r="WTV246" s="16"/>
      <c r="WTW246" s="15"/>
      <c r="WTX246" s="15"/>
      <c r="WTY246" s="10"/>
      <c r="WTZ246" s="10"/>
      <c r="WUA246" s="19"/>
      <c r="WUB246" s="19"/>
      <c r="WUE246" s="16"/>
      <c r="WUF246" s="15"/>
      <c r="WUG246" s="15"/>
      <c r="WUH246" s="15"/>
      <c r="WUI246" s="16"/>
      <c r="WUJ246" s="16"/>
      <c r="WUK246" s="16"/>
      <c r="WUL246" s="16"/>
      <c r="WUM246" s="16"/>
      <c r="WUN246" s="15"/>
      <c r="WUO246" s="15"/>
      <c r="WUP246" s="10"/>
      <c r="WUQ246" s="10"/>
      <c r="WUR246" s="19"/>
      <c r="WUS246" s="19"/>
      <c r="WUV246" s="16"/>
      <c r="WUW246" s="15"/>
      <c r="WUX246" s="15"/>
      <c r="WUY246" s="15"/>
      <c r="WUZ246" s="16"/>
      <c r="WVA246" s="16"/>
      <c r="WVB246" s="16"/>
      <c r="WVC246" s="16"/>
      <c r="WVD246" s="16"/>
      <c r="WVE246" s="15"/>
      <c r="WVF246" s="15"/>
      <c r="WVG246" s="10"/>
      <c r="WVH246" s="10"/>
      <c r="WVI246" s="19"/>
      <c r="WVJ246" s="19"/>
      <c r="WVM246" s="16"/>
      <c r="WVN246" s="15"/>
      <c r="WVO246" s="15"/>
      <c r="WVP246" s="15"/>
      <c r="WVQ246" s="16"/>
      <c r="WVR246" s="16"/>
      <c r="WVS246" s="16"/>
      <c r="WVT246" s="16"/>
      <c r="WVU246" s="16"/>
      <c r="WVV246" s="15"/>
      <c r="WVW246" s="15"/>
      <c r="WVX246" s="10"/>
      <c r="WVY246" s="10"/>
      <c r="WVZ246" s="19"/>
      <c r="WWA246" s="19"/>
      <c r="WWD246" s="16"/>
      <c r="WWE246" s="15"/>
      <c r="WWF246" s="15"/>
      <c r="WWG246" s="15"/>
      <c r="WWH246" s="16"/>
      <c r="WWI246" s="16"/>
      <c r="WWJ246" s="16"/>
      <c r="WWK246" s="16"/>
      <c r="WWL246" s="16"/>
      <c r="WWM246" s="15"/>
      <c r="WWN246" s="15"/>
      <c r="WWO246" s="10"/>
      <c r="WWP246" s="10"/>
      <c r="WWQ246" s="19"/>
      <c r="WWR246" s="19"/>
      <c r="WWU246" s="16"/>
      <c r="WWV246" s="15"/>
      <c r="WWW246" s="15"/>
      <c r="WWX246" s="15"/>
      <c r="WWY246" s="16"/>
      <c r="WWZ246" s="16"/>
      <c r="WXA246" s="16"/>
      <c r="WXB246" s="16"/>
      <c r="WXC246" s="16"/>
      <c r="WXD246" s="15"/>
      <c r="WXE246" s="15"/>
      <c r="WXF246" s="10"/>
      <c r="WXG246" s="10"/>
      <c r="WXH246" s="19"/>
      <c r="WXI246" s="19"/>
      <c r="WXL246" s="16"/>
      <c r="WXM246" s="15"/>
      <c r="WXN246" s="15"/>
      <c r="WXO246" s="15"/>
      <c r="WXP246" s="16"/>
      <c r="WXQ246" s="16"/>
      <c r="WXR246" s="16"/>
      <c r="WXS246" s="16"/>
      <c r="WXT246" s="16"/>
      <c r="WXU246" s="15"/>
      <c r="WXV246" s="15"/>
      <c r="WXW246" s="10"/>
      <c r="WXX246" s="10"/>
      <c r="WXY246" s="19"/>
      <c r="WXZ246" s="19"/>
      <c r="WYC246" s="16"/>
      <c r="WYD246" s="15"/>
      <c r="WYE246" s="15"/>
      <c r="WYF246" s="15"/>
      <c r="WYG246" s="16"/>
      <c r="WYH246" s="16"/>
      <c r="WYI246" s="16"/>
      <c r="WYJ246" s="16"/>
      <c r="WYK246" s="16"/>
      <c r="WYL246" s="15"/>
      <c r="WYM246" s="15"/>
      <c r="WYN246" s="10"/>
      <c r="WYO246" s="10"/>
      <c r="WYP246" s="19"/>
      <c r="WYQ246" s="19"/>
      <c r="WYT246" s="16"/>
      <c r="WYU246" s="15"/>
      <c r="WYV246" s="15"/>
      <c r="WYW246" s="15"/>
      <c r="WYX246" s="16"/>
      <c r="WYY246" s="16"/>
      <c r="WYZ246" s="16"/>
      <c r="WZA246" s="16"/>
      <c r="WZB246" s="16"/>
      <c r="WZC246" s="15"/>
      <c r="WZD246" s="15"/>
      <c r="WZE246" s="10"/>
      <c r="WZF246" s="10"/>
      <c r="WZG246" s="19"/>
      <c r="WZH246" s="19"/>
      <c r="WZK246" s="16"/>
      <c r="WZL246" s="15"/>
      <c r="WZM246" s="15"/>
      <c r="WZN246" s="15"/>
      <c r="WZO246" s="16"/>
      <c r="WZP246" s="16"/>
      <c r="WZQ246" s="16"/>
      <c r="WZR246" s="16"/>
      <c r="WZS246" s="16"/>
      <c r="WZT246" s="15"/>
      <c r="WZU246" s="15"/>
      <c r="WZV246" s="10"/>
      <c r="WZW246" s="10"/>
      <c r="WZX246" s="19"/>
      <c r="WZY246" s="19"/>
      <c r="XAB246" s="16"/>
      <c r="XAC246" s="15"/>
      <c r="XAD246" s="15"/>
      <c r="XAE246" s="15"/>
      <c r="XAF246" s="16"/>
      <c r="XAG246" s="16"/>
      <c r="XAH246" s="16"/>
      <c r="XAI246" s="16"/>
      <c r="XAJ246" s="16"/>
      <c r="XAK246" s="15"/>
      <c r="XAL246" s="15"/>
      <c r="XAM246" s="10"/>
      <c r="XAN246" s="10"/>
      <c r="XAO246" s="19"/>
      <c r="XAP246" s="19"/>
      <c r="XAS246" s="16"/>
      <c r="XAT246" s="15"/>
      <c r="XAU246" s="15"/>
      <c r="XAV246" s="15"/>
      <c r="XAW246" s="16"/>
      <c r="XAX246" s="16"/>
      <c r="XAY246" s="16"/>
      <c r="XAZ246" s="16"/>
      <c r="XBA246" s="16"/>
      <c r="XBB246" s="15"/>
      <c r="XBC246" s="15"/>
      <c r="XBD246" s="10"/>
      <c r="XBE246" s="10"/>
      <c r="XBF246" s="19"/>
      <c r="XBG246" s="19"/>
      <c r="XBJ246" s="16"/>
      <c r="XBK246" s="15"/>
      <c r="XBL246" s="15"/>
      <c r="XBM246" s="15"/>
      <c r="XBN246" s="16"/>
      <c r="XBO246" s="16"/>
      <c r="XBP246" s="16"/>
      <c r="XBQ246" s="16"/>
      <c r="XBR246" s="16"/>
      <c r="XBS246" s="15"/>
      <c r="XBT246" s="15"/>
      <c r="XBU246" s="10"/>
      <c r="XBV246" s="10"/>
      <c r="XBW246" s="19"/>
      <c r="XBX246" s="19"/>
      <c r="XCA246" s="16"/>
      <c r="XCB246" s="15"/>
      <c r="XCC246" s="15"/>
      <c r="XCD246" s="15"/>
      <c r="XCE246" s="16"/>
      <c r="XCF246" s="16"/>
      <c r="XCG246" s="16"/>
      <c r="XCH246" s="16"/>
      <c r="XCI246" s="16"/>
      <c r="XCJ246" s="15"/>
      <c r="XCK246" s="15"/>
      <c r="XCL246" s="10"/>
      <c r="XCM246" s="10"/>
      <c r="XCN246" s="19"/>
      <c r="XCO246" s="19"/>
      <c r="XCR246" s="16"/>
      <c r="XCS246" s="15"/>
      <c r="XCT246" s="15"/>
      <c r="XCU246" s="15"/>
      <c r="XCV246" s="16"/>
      <c r="XCW246" s="16"/>
      <c r="XCX246" s="16"/>
      <c r="XCY246" s="16"/>
      <c r="XCZ246" s="16"/>
      <c r="XDA246" s="15"/>
      <c r="XDB246" s="15"/>
      <c r="XDC246" s="10"/>
      <c r="XDD246" s="10"/>
      <c r="XDE246" s="19"/>
      <c r="XDF246" s="19"/>
      <c r="XDI246" s="16"/>
      <c r="XDJ246" s="15"/>
      <c r="XDK246" s="15"/>
      <c r="XDL246" s="15"/>
      <c r="XDM246" s="16"/>
      <c r="XDN246" s="16"/>
      <c r="XDO246" s="16"/>
      <c r="XDP246" s="16"/>
      <c r="XDQ246" s="16"/>
      <c r="XDR246" s="15"/>
      <c r="XDS246" s="15"/>
      <c r="XDT246" s="10"/>
      <c r="XDU246" s="10"/>
      <c r="XDV246" s="19"/>
      <c r="XDW246" s="19"/>
      <c r="XDZ246" s="16"/>
      <c r="XEA246" s="15"/>
      <c r="XEB246" s="15"/>
      <c r="XEC246" s="15"/>
      <c r="XED246" s="16"/>
      <c r="XEE246" s="16"/>
      <c r="XEF246" s="16"/>
      <c r="XEG246" s="16"/>
      <c r="XEH246" s="16"/>
      <c r="XEI246" s="15"/>
      <c r="XEJ246" s="15"/>
      <c r="XEK246" s="10"/>
      <c r="XEL246" s="10"/>
      <c r="XEM246" s="19"/>
      <c r="XEN246" s="19"/>
      <c r="XEQ246" s="16"/>
      <c r="XER246" s="15"/>
      <c r="XES246" s="15"/>
      <c r="XET246" s="15"/>
      <c r="XEU246" s="16"/>
      <c r="XEV246" s="16"/>
      <c r="XEW246" s="16"/>
      <c r="XEX246" s="16"/>
      <c r="XEY246" s="16"/>
      <c r="XEZ246" s="15"/>
      <c r="XFA246" s="15"/>
      <c r="XFB246" s="10"/>
      <c r="XFC246" s="10"/>
      <c r="XFD246" s="19"/>
    </row>
    <row r="247" spans="1:4094 4097:8191 8194:12288 12291:16384" ht="14.25" customHeight="1" x14ac:dyDescent="0.25">
      <c r="A247" s="31">
        <v>0</v>
      </c>
      <c r="B247" s="31">
        <v>1</v>
      </c>
      <c r="C247" s="31">
        <v>6</v>
      </c>
      <c r="D247" s="32" t="s">
        <v>1197</v>
      </c>
      <c r="E247" s="32" t="s">
        <v>164</v>
      </c>
      <c r="F247" s="32" t="s">
        <v>1198</v>
      </c>
      <c r="G247" s="32" t="s">
        <v>1200</v>
      </c>
      <c r="H247" s="32" t="s">
        <v>352</v>
      </c>
      <c r="I247" s="31" t="s">
        <v>1199</v>
      </c>
      <c r="J247" s="31">
        <v>99</v>
      </c>
      <c r="K247" s="33" t="s">
        <v>713</v>
      </c>
      <c r="L247" s="33" t="s">
        <v>684</v>
      </c>
      <c r="M247" s="34" t="s">
        <v>1365</v>
      </c>
      <c r="N247" s="34" t="s">
        <v>1689</v>
      </c>
      <c r="O247" s="35">
        <v>1</v>
      </c>
      <c r="P247" s="35"/>
      <c r="Q247" s="32"/>
      <c r="S247" s="1">
        <f t="shared" si="97"/>
        <v>0</v>
      </c>
      <c r="T247" s="1">
        <f t="shared" si="98"/>
        <v>0</v>
      </c>
      <c r="U247" s="1">
        <f t="shared" si="99"/>
        <v>0</v>
      </c>
      <c r="V247" s="1">
        <f t="shared" si="100"/>
        <v>0</v>
      </c>
      <c r="W247" s="1">
        <f t="shared" si="101"/>
        <v>0</v>
      </c>
      <c r="X247" s="1">
        <f t="shared" si="102"/>
        <v>0</v>
      </c>
      <c r="Y247" s="1">
        <f t="shared" si="103"/>
        <v>0</v>
      </c>
      <c r="Z247" s="1">
        <f t="shared" si="104"/>
        <v>0</v>
      </c>
      <c r="AA247" s="1">
        <f t="shared" si="105"/>
        <v>0</v>
      </c>
      <c r="AB247" s="1">
        <f t="shared" si="106"/>
        <v>0</v>
      </c>
      <c r="AD247" s="1">
        <f t="shared" si="107"/>
        <v>0</v>
      </c>
      <c r="AE247" s="1">
        <f t="shared" si="108"/>
        <v>1</v>
      </c>
      <c r="AF247" s="1">
        <f t="shared" si="109"/>
        <v>0</v>
      </c>
      <c r="AG247" s="1">
        <f t="shared" si="110"/>
        <v>1</v>
      </c>
      <c r="AH247" s="1">
        <f t="shared" si="111"/>
        <v>0</v>
      </c>
      <c r="AI247" s="1">
        <f t="shared" si="112"/>
        <v>1</v>
      </c>
    </row>
    <row r="248" spans="1:4094 4097:8191 8194:12288 12291:16384" ht="14.25" customHeight="1" x14ac:dyDescent="0.25">
      <c r="A248" s="31">
        <v>0</v>
      </c>
      <c r="B248" s="31">
        <v>1</v>
      </c>
      <c r="C248" s="31">
        <v>6</v>
      </c>
      <c r="D248" s="32" t="s">
        <v>954</v>
      </c>
      <c r="E248" s="32" t="s">
        <v>164</v>
      </c>
      <c r="F248" s="32" t="s">
        <v>952</v>
      </c>
      <c r="G248" s="32" t="s">
        <v>1081</v>
      </c>
      <c r="H248" s="32" t="s">
        <v>352</v>
      </c>
      <c r="I248" s="31" t="s">
        <v>953</v>
      </c>
      <c r="J248" s="31">
        <v>1</v>
      </c>
      <c r="K248" s="33" t="s">
        <v>932</v>
      </c>
      <c r="L248" s="33" t="s">
        <v>680</v>
      </c>
      <c r="M248" s="34" t="s">
        <v>1366</v>
      </c>
      <c r="N248" s="34" t="s">
        <v>1693</v>
      </c>
      <c r="O248" s="35">
        <v>1</v>
      </c>
      <c r="P248" s="35"/>
      <c r="Q248" s="32"/>
      <c r="R248" s="15"/>
      <c r="S248" s="1">
        <f t="shared" si="97"/>
        <v>1</v>
      </c>
      <c r="T248" s="1">
        <f t="shared" si="98"/>
        <v>0</v>
      </c>
      <c r="U248" s="1">
        <f t="shared" si="99"/>
        <v>0</v>
      </c>
      <c r="V248" s="1">
        <f t="shared" si="100"/>
        <v>0</v>
      </c>
      <c r="W248" s="1">
        <f t="shared" si="101"/>
        <v>0</v>
      </c>
      <c r="X248" s="1">
        <f t="shared" si="102"/>
        <v>0</v>
      </c>
      <c r="Y248" s="1">
        <f t="shared" si="103"/>
        <v>0</v>
      </c>
      <c r="Z248" s="1">
        <f t="shared" si="104"/>
        <v>0</v>
      </c>
      <c r="AA248" s="1">
        <f t="shared" si="105"/>
        <v>0</v>
      </c>
      <c r="AB248" s="1">
        <f t="shared" si="106"/>
        <v>0</v>
      </c>
      <c r="AD248" s="1">
        <f t="shared" si="107"/>
        <v>0</v>
      </c>
      <c r="AE248" s="1">
        <f t="shared" si="108"/>
        <v>1</v>
      </c>
      <c r="AF248" s="1">
        <f t="shared" si="109"/>
        <v>0</v>
      </c>
      <c r="AG248" s="1">
        <f t="shared" si="110"/>
        <v>1</v>
      </c>
      <c r="AH248" s="1">
        <f t="shared" si="111"/>
        <v>0</v>
      </c>
      <c r="AI248" s="1">
        <f t="shared" si="112"/>
        <v>1</v>
      </c>
      <c r="AJ248" s="15"/>
      <c r="AK248" s="15"/>
      <c r="AL248" s="15"/>
      <c r="AM248" s="15"/>
      <c r="AN248" s="15"/>
      <c r="AO248" s="15"/>
      <c r="AP248" s="15"/>
      <c r="AQ248" s="15"/>
      <c r="AR248" s="15"/>
      <c r="AS248" s="10"/>
      <c r="AT248" s="10"/>
      <c r="AU248" s="21"/>
      <c r="AV248" s="21"/>
      <c r="AY248" s="21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0"/>
      <c r="BK248" s="10"/>
      <c r="BL248" s="21"/>
      <c r="BM248" s="21"/>
      <c r="BP248" s="21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0"/>
      <c r="CB248" s="10"/>
      <c r="CC248" s="21"/>
      <c r="CD248" s="21"/>
      <c r="CG248" s="21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0"/>
      <c r="CS248" s="10"/>
      <c r="CT248" s="21"/>
      <c r="CU248" s="21"/>
      <c r="CX248" s="21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0"/>
      <c r="DJ248" s="10"/>
      <c r="DK248" s="21"/>
      <c r="DL248" s="21"/>
      <c r="DO248" s="21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0"/>
      <c r="EA248" s="10"/>
      <c r="EB248" s="21"/>
      <c r="EC248" s="21"/>
      <c r="EF248" s="21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0"/>
      <c r="ER248" s="10"/>
      <c r="ES248" s="21"/>
      <c r="ET248" s="21"/>
      <c r="EW248" s="21"/>
      <c r="EX248" s="15"/>
      <c r="EY248" s="15"/>
      <c r="EZ248" s="15"/>
      <c r="FA248" s="15"/>
      <c r="FB248" s="15"/>
      <c r="FC248" s="15"/>
      <c r="FD248" s="15"/>
      <c r="FE248" s="15"/>
      <c r="FF248" s="15"/>
      <c r="FG248" s="15"/>
      <c r="FH248" s="10"/>
      <c r="FI248" s="10"/>
      <c r="FJ248" s="21"/>
      <c r="FK248" s="21"/>
      <c r="FN248" s="21"/>
      <c r="FO248" s="15"/>
      <c r="FP248" s="15"/>
      <c r="FQ248" s="15"/>
      <c r="FR248" s="15"/>
      <c r="FS248" s="15"/>
      <c r="FT248" s="15"/>
      <c r="FU248" s="15"/>
      <c r="FV248" s="15"/>
      <c r="FW248" s="15"/>
      <c r="FX248" s="15"/>
      <c r="FY248" s="10"/>
      <c r="FZ248" s="10"/>
      <c r="GA248" s="21"/>
      <c r="GB248" s="21"/>
      <c r="GE248" s="21"/>
      <c r="GF248" s="15"/>
      <c r="GG248" s="15"/>
      <c r="GH248" s="15"/>
      <c r="GI248" s="15"/>
      <c r="GJ248" s="15"/>
      <c r="GK248" s="15"/>
      <c r="GL248" s="15"/>
      <c r="GM248" s="15"/>
      <c r="GN248" s="15"/>
      <c r="GO248" s="15"/>
      <c r="GP248" s="10"/>
      <c r="GQ248" s="10"/>
      <c r="GR248" s="21"/>
      <c r="GS248" s="21"/>
      <c r="GV248" s="21"/>
      <c r="GW248" s="15"/>
      <c r="GX248" s="15"/>
      <c r="GY248" s="15"/>
      <c r="GZ248" s="15"/>
      <c r="HA248" s="15"/>
      <c r="HB248" s="15"/>
      <c r="HC248" s="15"/>
      <c r="HD248" s="15"/>
      <c r="HE248" s="15"/>
      <c r="HF248" s="15"/>
      <c r="HG248" s="10"/>
      <c r="HH248" s="10"/>
      <c r="HI248" s="21"/>
      <c r="HJ248" s="21"/>
      <c r="HM248" s="21"/>
      <c r="HN248" s="15"/>
      <c r="HO248" s="15"/>
      <c r="HP248" s="15"/>
      <c r="HQ248" s="15"/>
      <c r="HR248" s="15"/>
      <c r="HS248" s="15"/>
      <c r="HT248" s="15"/>
      <c r="HU248" s="15"/>
      <c r="HV248" s="15"/>
      <c r="HW248" s="15"/>
      <c r="HX248" s="10"/>
      <c r="HY248" s="10"/>
      <c r="HZ248" s="21"/>
      <c r="IA248" s="21"/>
      <c r="ID248" s="21"/>
      <c r="IE248" s="15"/>
      <c r="IF248" s="15"/>
      <c r="IG248" s="15"/>
      <c r="IH248" s="15"/>
      <c r="II248" s="15"/>
      <c r="IJ248" s="15"/>
      <c r="IK248" s="15"/>
      <c r="IL248" s="15"/>
      <c r="IM248" s="15"/>
      <c r="IN248" s="15"/>
      <c r="IO248" s="10"/>
      <c r="IP248" s="10"/>
      <c r="IQ248" s="21"/>
      <c r="IR248" s="21"/>
      <c r="IU248" s="21"/>
      <c r="IV248" s="15"/>
      <c r="IW248" s="15"/>
      <c r="IX248" s="15"/>
      <c r="IY248" s="15"/>
      <c r="IZ248" s="15"/>
      <c r="JA248" s="15"/>
      <c r="JB248" s="15"/>
      <c r="JC248" s="15"/>
      <c r="JD248" s="15"/>
      <c r="JE248" s="15"/>
      <c r="JF248" s="10"/>
      <c r="JG248" s="10"/>
      <c r="JH248" s="21"/>
      <c r="JI248" s="21"/>
      <c r="JL248" s="21"/>
      <c r="JM248" s="15"/>
      <c r="JN248" s="15"/>
      <c r="JO248" s="15"/>
      <c r="JP248" s="15"/>
      <c r="JQ248" s="15"/>
      <c r="JR248" s="15"/>
      <c r="JS248" s="15"/>
      <c r="JT248" s="15"/>
      <c r="JU248" s="15"/>
      <c r="JV248" s="15"/>
      <c r="JW248" s="10"/>
      <c r="JX248" s="10"/>
      <c r="JY248" s="21"/>
      <c r="JZ248" s="21"/>
      <c r="KC248" s="21"/>
      <c r="KD248" s="15"/>
      <c r="KE248" s="15"/>
      <c r="KF248" s="15"/>
      <c r="KG248" s="15"/>
      <c r="KH248" s="15"/>
      <c r="KI248" s="15"/>
      <c r="KJ248" s="15"/>
      <c r="KK248" s="15"/>
      <c r="KL248" s="15"/>
      <c r="KM248" s="15"/>
      <c r="KN248" s="10"/>
      <c r="KO248" s="10"/>
      <c r="KP248" s="21"/>
      <c r="KQ248" s="21"/>
      <c r="KT248" s="21"/>
      <c r="KU248" s="15"/>
      <c r="KV248" s="15"/>
      <c r="KW248" s="15"/>
      <c r="KX248" s="15"/>
      <c r="KY248" s="15"/>
      <c r="KZ248" s="15"/>
      <c r="LA248" s="15"/>
      <c r="LB248" s="15"/>
      <c r="LC248" s="15"/>
      <c r="LD248" s="15"/>
      <c r="LE248" s="10"/>
      <c r="LF248" s="10"/>
      <c r="LG248" s="21"/>
      <c r="LH248" s="21"/>
      <c r="LK248" s="21"/>
      <c r="LL248" s="15"/>
      <c r="LM248" s="15"/>
      <c r="LN248" s="15"/>
      <c r="LO248" s="15"/>
      <c r="LP248" s="15"/>
      <c r="LQ248" s="15"/>
      <c r="LR248" s="15"/>
      <c r="LS248" s="15"/>
      <c r="LT248" s="15"/>
      <c r="LU248" s="15"/>
      <c r="LV248" s="10"/>
      <c r="LW248" s="10"/>
      <c r="LX248" s="21"/>
      <c r="LY248" s="21"/>
      <c r="MB248" s="21"/>
      <c r="MC248" s="15"/>
      <c r="MD248" s="15"/>
      <c r="ME248" s="15"/>
      <c r="MF248" s="15"/>
      <c r="MG248" s="15"/>
      <c r="MH248" s="15"/>
      <c r="MI248" s="15"/>
      <c r="MJ248" s="15"/>
      <c r="MK248" s="15"/>
      <c r="ML248" s="15"/>
      <c r="MM248" s="10"/>
      <c r="MN248" s="10"/>
      <c r="MO248" s="21"/>
      <c r="MP248" s="21"/>
      <c r="MS248" s="21"/>
      <c r="MT248" s="15"/>
      <c r="MU248" s="15"/>
      <c r="MV248" s="15"/>
      <c r="MW248" s="15"/>
      <c r="MX248" s="15"/>
      <c r="MY248" s="15"/>
      <c r="MZ248" s="15"/>
      <c r="NA248" s="15"/>
      <c r="NB248" s="15"/>
      <c r="NC248" s="15"/>
      <c r="ND248" s="10"/>
      <c r="NE248" s="10"/>
      <c r="NF248" s="21"/>
      <c r="NG248" s="21"/>
      <c r="NJ248" s="21"/>
      <c r="NK248" s="15"/>
      <c r="NL248" s="15"/>
      <c r="NM248" s="15"/>
      <c r="NN248" s="15"/>
      <c r="NO248" s="15"/>
      <c r="NP248" s="15"/>
      <c r="NQ248" s="15"/>
      <c r="NR248" s="15"/>
      <c r="NS248" s="15"/>
      <c r="NT248" s="15"/>
      <c r="NU248" s="10"/>
      <c r="NV248" s="10"/>
      <c r="NW248" s="21"/>
      <c r="NX248" s="21"/>
      <c r="OA248" s="21"/>
      <c r="OB248" s="15"/>
      <c r="OC248" s="15"/>
      <c r="OD248" s="15"/>
      <c r="OE248" s="15"/>
      <c r="OF248" s="15"/>
      <c r="OG248" s="15"/>
      <c r="OH248" s="15"/>
      <c r="OI248" s="15"/>
      <c r="OJ248" s="15"/>
      <c r="OK248" s="15"/>
      <c r="OL248" s="10"/>
      <c r="OM248" s="10"/>
      <c r="ON248" s="21"/>
      <c r="OO248" s="21"/>
      <c r="OR248" s="21"/>
      <c r="OS248" s="15"/>
      <c r="OT248" s="15"/>
      <c r="OU248" s="15"/>
      <c r="OV248" s="15"/>
      <c r="OW248" s="15"/>
      <c r="OX248" s="15"/>
      <c r="OY248" s="15"/>
      <c r="OZ248" s="15"/>
      <c r="PA248" s="15"/>
      <c r="PB248" s="15"/>
      <c r="PC248" s="10"/>
      <c r="PD248" s="10"/>
      <c r="PE248" s="21"/>
      <c r="PF248" s="21"/>
      <c r="PI248" s="21"/>
      <c r="PJ248" s="15"/>
      <c r="PK248" s="15"/>
      <c r="PL248" s="15"/>
      <c r="PM248" s="15"/>
      <c r="PN248" s="15"/>
      <c r="PO248" s="15"/>
      <c r="PP248" s="15"/>
      <c r="PQ248" s="15"/>
      <c r="PR248" s="15"/>
      <c r="PS248" s="15"/>
      <c r="PT248" s="10"/>
      <c r="PU248" s="10"/>
      <c r="PV248" s="21"/>
      <c r="PW248" s="21"/>
      <c r="PZ248" s="21"/>
      <c r="QA248" s="15"/>
      <c r="QB248" s="15"/>
      <c r="QC248" s="15"/>
      <c r="QD248" s="15"/>
      <c r="QE248" s="15"/>
      <c r="QF248" s="15"/>
      <c r="QG248" s="15"/>
      <c r="QH248" s="15"/>
      <c r="QI248" s="15"/>
      <c r="QJ248" s="15"/>
      <c r="QK248" s="10"/>
      <c r="QL248" s="10"/>
      <c r="QM248" s="21"/>
      <c r="QN248" s="21"/>
      <c r="QQ248" s="21"/>
      <c r="QR248" s="15"/>
      <c r="QS248" s="15"/>
      <c r="QT248" s="15"/>
      <c r="QU248" s="15"/>
      <c r="QV248" s="15"/>
      <c r="QW248" s="15"/>
      <c r="QX248" s="15"/>
      <c r="QY248" s="15"/>
      <c r="QZ248" s="15"/>
      <c r="RA248" s="15"/>
      <c r="RB248" s="10"/>
      <c r="RC248" s="10"/>
      <c r="RD248" s="21"/>
      <c r="RE248" s="21"/>
      <c r="RH248" s="21"/>
      <c r="RI248" s="15"/>
      <c r="RJ248" s="15"/>
      <c r="RK248" s="15"/>
      <c r="RL248" s="15"/>
      <c r="RM248" s="15"/>
      <c r="RN248" s="15"/>
      <c r="RO248" s="15"/>
      <c r="RP248" s="15"/>
      <c r="RQ248" s="15"/>
      <c r="RR248" s="15"/>
      <c r="RS248" s="10"/>
      <c r="RT248" s="10"/>
      <c r="RU248" s="21"/>
      <c r="RV248" s="21"/>
      <c r="RY248" s="21"/>
      <c r="RZ248" s="15"/>
      <c r="SA248" s="15"/>
      <c r="SB248" s="15"/>
      <c r="SC248" s="15"/>
      <c r="SD248" s="15"/>
      <c r="SE248" s="15"/>
      <c r="SF248" s="15"/>
      <c r="SG248" s="15"/>
      <c r="SH248" s="15"/>
      <c r="SI248" s="15"/>
      <c r="SJ248" s="10"/>
      <c r="SK248" s="10"/>
      <c r="SL248" s="21"/>
      <c r="SM248" s="21"/>
      <c r="SP248" s="21"/>
      <c r="SQ248" s="15"/>
      <c r="SR248" s="15"/>
      <c r="SS248" s="15"/>
      <c r="ST248" s="15"/>
      <c r="SU248" s="15"/>
      <c r="SV248" s="15"/>
      <c r="SW248" s="15"/>
      <c r="SX248" s="15"/>
      <c r="SY248" s="15"/>
      <c r="SZ248" s="15"/>
      <c r="TA248" s="10"/>
      <c r="TB248" s="10"/>
      <c r="TC248" s="21"/>
      <c r="TD248" s="21"/>
      <c r="TG248" s="21"/>
      <c r="TH248" s="15"/>
      <c r="TI248" s="15"/>
      <c r="TJ248" s="15"/>
      <c r="TK248" s="15"/>
      <c r="TL248" s="15"/>
      <c r="TM248" s="15"/>
      <c r="TN248" s="15"/>
      <c r="TO248" s="15"/>
      <c r="TP248" s="15"/>
      <c r="TQ248" s="15"/>
      <c r="TR248" s="10"/>
      <c r="TS248" s="10"/>
      <c r="TT248" s="21"/>
      <c r="TU248" s="21"/>
      <c r="TX248" s="21"/>
      <c r="TY248" s="15"/>
      <c r="TZ248" s="15"/>
      <c r="UA248" s="15"/>
      <c r="UB248" s="15"/>
      <c r="UC248" s="15"/>
      <c r="UD248" s="15"/>
      <c r="UE248" s="15"/>
      <c r="UF248" s="15"/>
      <c r="UG248" s="15"/>
      <c r="UH248" s="15"/>
      <c r="UI248" s="10"/>
      <c r="UJ248" s="10"/>
      <c r="UK248" s="21"/>
      <c r="UL248" s="21"/>
      <c r="UO248" s="21"/>
      <c r="UP248" s="15"/>
      <c r="UQ248" s="15"/>
      <c r="UR248" s="15"/>
      <c r="US248" s="15"/>
      <c r="UT248" s="15"/>
      <c r="UU248" s="15"/>
      <c r="UV248" s="15"/>
      <c r="UW248" s="15"/>
      <c r="UX248" s="15"/>
      <c r="UY248" s="15"/>
      <c r="UZ248" s="10"/>
      <c r="VA248" s="10"/>
      <c r="VB248" s="21"/>
      <c r="VC248" s="21"/>
      <c r="VF248" s="21"/>
      <c r="VG248" s="15"/>
      <c r="VH248" s="15"/>
      <c r="VI248" s="15"/>
      <c r="VJ248" s="15"/>
      <c r="VK248" s="15"/>
      <c r="VL248" s="15"/>
      <c r="VM248" s="15"/>
      <c r="VN248" s="15"/>
      <c r="VO248" s="15"/>
      <c r="VP248" s="15"/>
      <c r="VQ248" s="10"/>
      <c r="VR248" s="10"/>
      <c r="VS248" s="21"/>
      <c r="VT248" s="21"/>
      <c r="VW248" s="21"/>
      <c r="VX248" s="15"/>
      <c r="VY248" s="15"/>
      <c r="VZ248" s="15"/>
      <c r="WA248" s="15"/>
      <c r="WB248" s="15"/>
      <c r="WC248" s="15"/>
      <c r="WD248" s="15"/>
      <c r="WE248" s="15"/>
      <c r="WF248" s="15"/>
      <c r="WG248" s="15"/>
      <c r="WH248" s="10"/>
      <c r="WI248" s="10"/>
      <c r="WJ248" s="21"/>
      <c r="WK248" s="21"/>
      <c r="WN248" s="21"/>
      <c r="WO248" s="15"/>
      <c r="WP248" s="15"/>
      <c r="WQ248" s="15"/>
      <c r="WR248" s="15"/>
      <c r="WS248" s="15"/>
      <c r="WT248" s="15"/>
      <c r="WU248" s="15"/>
      <c r="WV248" s="15"/>
      <c r="WW248" s="15"/>
      <c r="WX248" s="15"/>
      <c r="WY248" s="10"/>
      <c r="WZ248" s="10"/>
      <c r="XA248" s="21"/>
      <c r="XB248" s="21"/>
      <c r="XE248" s="21"/>
      <c r="XF248" s="15"/>
      <c r="XG248" s="15"/>
      <c r="XH248" s="15"/>
      <c r="XI248" s="15"/>
      <c r="XJ248" s="15"/>
      <c r="XK248" s="15"/>
      <c r="XL248" s="15"/>
      <c r="XM248" s="15"/>
      <c r="XN248" s="15"/>
      <c r="XO248" s="15"/>
      <c r="XP248" s="10"/>
      <c r="XQ248" s="10"/>
      <c r="XR248" s="21"/>
      <c r="XS248" s="21"/>
      <c r="XV248" s="21"/>
      <c r="XW248" s="15"/>
      <c r="XX248" s="15"/>
      <c r="XY248" s="15"/>
      <c r="XZ248" s="15"/>
      <c r="YA248" s="15"/>
      <c r="YB248" s="15"/>
      <c r="YC248" s="15"/>
      <c r="YD248" s="15"/>
      <c r="YE248" s="15"/>
      <c r="YF248" s="15"/>
      <c r="YG248" s="10"/>
      <c r="YH248" s="10"/>
      <c r="YI248" s="21"/>
      <c r="YJ248" s="21"/>
      <c r="YM248" s="21"/>
      <c r="YN248" s="15"/>
      <c r="YO248" s="15"/>
      <c r="YP248" s="15"/>
      <c r="YQ248" s="15"/>
      <c r="YR248" s="15"/>
      <c r="YS248" s="15"/>
      <c r="YT248" s="15"/>
      <c r="YU248" s="15"/>
      <c r="YV248" s="15"/>
      <c r="YW248" s="15"/>
      <c r="YX248" s="10"/>
      <c r="YY248" s="10"/>
      <c r="YZ248" s="21"/>
      <c r="ZA248" s="21"/>
      <c r="ZD248" s="21"/>
      <c r="ZE248" s="15"/>
      <c r="ZF248" s="15"/>
      <c r="ZG248" s="15"/>
      <c r="ZH248" s="15"/>
      <c r="ZI248" s="15"/>
      <c r="ZJ248" s="15"/>
      <c r="ZK248" s="15"/>
      <c r="ZL248" s="15"/>
      <c r="ZM248" s="15"/>
      <c r="ZN248" s="15"/>
      <c r="ZO248" s="10"/>
      <c r="ZP248" s="10"/>
      <c r="ZQ248" s="21"/>
      <c r="ZR248" s="21"/>
      <c r="ZU248" s="21"/>
      <c r="ZV248" s="15"/>
      <c r="ZW248" s="15"/>
      <c r="ZX248" s="15"/>
      <c r="ZY248" s="15"/>
      <c r="ZZ248" s="15"/>
      <c r="AAA248" s="15"/>
      <c r="AAB248" s="15"/>
      <c r="AAC248" s="15"/>
      <c r="AAD248" s="15"/>
      <c r="AAE248" s="15"/>
      <c r="AAF248" s="10"/>
      <c r="AAG248" s="10"/>
      <c r="AAH248" s="21"/>
      <c r="AAI248" s="21"/>
      <c r="AAL248" s="21"/>
      <c r="AAM248" s="15"/>
      <c r="AAN248" s="15"/>
      <c r="AAO248" s="15"/>
      <c r="AAP248" s="15"/>
      <c r="AAQ248" s="15"/>
      <c r="AAR248" s="15"/>
      <c r="AAS248" s="15"/>
      <c r="AAT248" s="15"/>
      <c r="AAU248" s="15"/>
      <c r="AAV248" s="15"/>
      <c r="AAW248" s="10"/>
      <c r="AAX248" s="10"/>
      <c r="AAY248" s="21"/>
      <c r="AAZ248" s="21"/>
      <c r="ABC248" s="21"/>
      <c r="ABD248" s="15"/>
      <c r="ABE248" s="15"/>
      <c r="ABF248" s="15"/>
      <c r="ABG248" s="15"/>
      <c r="ABH248" s="15"/>
      <c r="ABI248" s="15"/>
      <c r="ABJ248" s="15"/>
      <c r="ABK248" s="15"/>
      <c r="ABL248" s="15"/>
      <c r="ABM248" s="15"/>
      <c r="ABN248" s="10"/>
      <c r="ABO248" s="10"/>
      <c r="ABP248" s="21"/>
      <c r="ABQ248" s="21"/>
      <c r="ABT248" s="21"/>
      <c r="ABU248" s="15"/>
      <c r="ABV248" s="15"/>
      <c r="ABW248" s="15"/>
      <c r="ABX248" s="15"/>
      <c r="ABY248" s="15"/>
      <c r="ABZ248" s="15"/>
      <c r="ACA248" s="15"/>
      <c r="ACB248" s="15"/>
      <c r="ACC248" s="15"/>
      <c r="ACD248" s="15"/>
      <c r="ACE248" s="10"/>
      <c r="ACF248" s="10"/>
      <c r="ACG248" s="21"/>
      <c r="ACH248" s="21"/>
      <c r="ACK248" s="21"/>
      <c r="ACL248" s="15"/>
      <c r="ACM248" s="15"/>
      <c r="ACN248" s="15"/>
      <c r="ACO248" s="15"/>
      <c r="ACP248" s="15"/>
      <c r="ACQ248" s="15"/>
      <c r="ACR248" s="15"/>
      <c r="ACS248" s="15"/>
      <c r="ACT248" s="15"/>
      <c r="ACU248" s="15"/>
      <c r="ACV248" s="10"/>
      <c r="ACW248" s="10"/>
      <c r="ACX248" s="21"/>
      <c r="ACY248" s="21"/>
      <c r="ADB248" s="21"/>
      <c r="ADC248" s="15"/>
      <c r="ADD248" s="15"/>
      <c r="ADE248" s="15"/>
      <c r="ADF248" s="15"/>
      <c r="ADG248" s="15"/>
      <c r="ADH248" s="15"/>
      <c r="ADI248" s="15"/>
      <c r="ADJ248" s="15"/>
      <c r="ADK248" s="15"/>
      <c r="ADL248" s="15"/>
      <c r="ADM248" s="10"/>
      <c r="ADN248" s="10"/>
      <c r="ADO248" s="21"/>
      <c r="ADP248" s="21"/>
      <c r="ADS248" s="21"/>
      <c r="ADT248" s="15"/>
      <c r="ADU248" s="15"/>
      <c r="ADV248" s="15"/>
      <c r="ADW248" s="15"/>
      <c r="ADX248" s="15"/>
      <c r="ADY248" s="15"/>
      <c r="ADZ248" s="15"/>
      <c r="AEA248" s="15"/>
      <c r="AEB248" s="15"/>
      <c r="AEC248" s="15"/>
      <c r="AED248" s="10"/>
      <c r="AEE248" s="10"/>
      <c r="AEF248" s="21"/>
      <c r="AEG248" s="21"/>
      <c r="AEJ248" s="21"/>
      <c r="AEK248" s="15"/>
      <c r="AEL248" s="15"/>
      <c r="AEM248" s="15"/>
      <c r="AEN248" s="15"/>
      <c r="AEO248" s="15"/>
      <c r="AEP248" s="15"/>
      <c r="AEQ248" s="15"/>
      <c r="AER248" s="15"/>
      <c r="AES248" s="15"/>
      <c r="AET248" s="15"/>
      <c r="AEU248" s="10"/>
      <c r="AEV248" s="10"/>
      <c r="AEW248" s="21"/>
      <c r="AEX248" s="21"/>
      <c r="AFA248" s="21"/>
      <c r="AFB248" s="15"/>
      <c r="AFC248" s="15"/>
      <c r="AFD248" s="15"/>
      <c r="AFE248" s="15"/>
      <c r="AFF248" s="15"/>
      <c r="AFG248" s="15"/>
      <c r="AFH248" s="15"/>
      <c r="AFI248" s="15"/>
      <c r="AFJ248" s="15"/>
      <c r="AFK248" s="15"/>
      <c r="AFL248" s="10"/>
      <c r="AFM248" s="10"/>
      <c r="AFN248" s="21"/>
      <c r="AFO248" s="21"/>
      <c r="AFR248" s="21"/>
      <c r="AFS248" s="15"/>
      <c r="AFT248" s="15"/>
      <c r="AFU248" s="15"/>
      <c r="AFV248" s="15"/>
      <c r="AFW248" s="15"/>
      <c r="AFX248" s="15"/>
      <c r="AFY248" s="15"/>
      <c r="AFZ248" s="15"/>
      <c r="AGA248" s="15"/>
      <c r="AGB248" s="15"/>
      <c r="AGC248" s="10"/>
      <c r="AGD248" s="10"/>
      <c r="AGE248" s="21"/>
      <c r="AGF248" s="21"/>
      <c r="AGI248" s="21"/>
      <c r="AGJ248" s="15"/>
      <c r="AGK248" s="15"/>
      <c r="AGL248" s="15"/>
      <c r="AGM248" s="15"/>
      <c r="AGN248" s="15"/>
      <c r="AGO248" s="15"/>
      <c r="AGP248" s="15"/>
      <c r="AGQ248" s="15"/>
      <c r="AGR248" s="15"/>
      <c r="AGS248" s="15"/>
      <c r="AGT248" s="10"/>
      <c r="AGU248" s="10"/>
      <c r="AGV248" s="21"/>
      <c r="AGW248" s="21"/>
      <c r="AGZ248" s="21"/>
      <c r="AHA248" s="15"/>
      <c r="AHB248" s="15"/>
      <c r="AHC248" s="15"/>
      <c r="AHD248" s="15"/>
      <c r="AHE248" s="15"/>
      <c r="AHF248" s="15"/>
      <c r="AHG248" s="15"/>
      <c r="AHH248" s="15"/>
      <c r="AHI248" s="15"/>
      <c r="AHJ248" s="15"/>
      <c r="AHK248" s="10"/>
      <c r="AHL248" s="10"/>
      <c r="AHM248" s="21"/>
      <c r="AHN248" s="21"/>
      <c r="AHQ248" s="21"/>
      <c r="AHR248" s="15"/>
      <c r="AHS248" s="15"/>
      <c r="AHT248" s="15"/>
      <c r="AHU248" s="15"/>
      <c r="AHV248" s="15"/>
      <c r="AHW248" s="15"/>
      <c r="AHX248" s="15"/>
      <c r="AHY248" s="15"/>
      <c r="AHZ248" s="15"/>
      <c r="AIA248" s="15"/>
      <c r="AIB248" s="10"/>
      <c r="AIC248" s="10"/>
      <c r="AID248" s="21"/>
      <c r="AIE248" s="21"/>
      <c r="AIH248" s="21"/>
      <c r="AII248" s="15"/>
      <c r="AIJ248" s="15"/>
      <c r="AIK248" s="15"/>
      <c r="AIL248" s="15"/>
      <c r="AIM248" s="15"/>
      <c r="AIN248" s="15"/>
      <c r="AIO248" s="15"/>
      <c r="AIP248" s="15"/>
      <c r="AIQ248" s="15"/>
      <c r="AIR248" s="15"/>
      <c r="AIS248" s="10"/>
      <c r="AIT248" s="10"/>
      <c r="AIU248" s="21"/>
      <c r="AIV248" s="21"/>
      <c r="AIY248" s="21"/>
      <c r="AIZ248" s="15"/>
      <c r="AJA248" s="15"/>
      <c r="AJB248" s="15"/>
      <c r="AJC248" s="15"/>
      <c r="AJD248" s="15"/>
      <c r="AJE248" s="15"/>
      <c r="AJF248" s="15"/>
      <c r="AJG248" s="15"/>
      <c r="AJH248" s="15"/>
      <c r="AJI248" s="15"/>
      <c r="AJJ248" s="10"/>
      <c r="AJK248" s="10"/>
      <c r="AJL248" s="21"/>
      <c r="AJM248" s="21"/>
      <c r="AJP248" s="21"/>
      <c r="AJQ248" s="15"/>
      <c r="AJR248" s="15"/>
      <c r="AJS248" s="15"/>
      <c r="AJT248" s="15"/>
      <c r="AJU248" s="15"/>
      <c r="AJV248" s="15"/>
      <c r="AJW248" s="15"/>
      <c r="AJX248" s="15"/>
      <c r="AJY248" s="15"/>
      <c r="AJZ248" s="15"/>
      <c r="AKA248" s="10"/>
      <c r="AKB248" s="10"/>
      <c r="AKC248" s="21"/>
      <c r="AKD248" s="21"/>
      <c r="AKG248" s="21"/>
      <c r="AKH248" s="15"/>
      <c r="AKI248" s="15"/>
      <c r="AKJ248" s="15"/>
      <c r="AKK248" s="15"/>
      <c r="AKL248" s="15"/>
      <c r="AKM248" s="15"/>
      <c r="AKN248" s="15"/>
      <c r="AKO248" s="15"/>
      <c r="AKP248" s="15"/>
      <c r="AKQ248" s="15"/>
      <c r="AKR248" s="10"/>
      <c r="AKS248" s="10"/>
      <c r="AKT248" s="21"/>
      <c r="AKU248" s="21"/>
      <c r="AKX248" s="21"/>
      <c r="AKY248" s="15"/>
      <c r="AKZ248" s="15"/>
      <c r="ALA248" s="15"/>
      <c r="ALB248" s="15"/>
      <c r="ALC248" s="15"/>
      <c r="ALD248" s="15"/>
      <c r="ALE248" s="15"/>
      <c r="ALF248" s="15"/>
      <c r="ALG248" s="15"/>
      <c r="ALH248" s="15"/>
      <c r="ALI248" s="10"/>
      <c r="ALJ248" s="10"/>
      <c r="ALK248" s="21"/>
      <c r="ALL248" s="21"/>
      <c r="ALO248" s="21"/>
      <c r="ALP248" s="15"/>
      <c r="ALQ248" s="15"/>
      <c r="ALR248" s="15"/>
      <c r="ALS248" s="15"/>
      <c r="ALT248" s="15"/>
      <c r="ALU248" s="15"/>
      <c r="ALV248" s="15"/>
      <c r="ALW248" s="15"/>
      <c r="ALX248" s="15"/>
      <c r="ALY248" s="15"/>
      <c r="ALZ248" s="10"/>
      <c r="AMA248" s="10"/>
      <c r="AMB248" s="21"/>
      <c r="AMC248" s="21"/>
      <c r="AMF248" s="21"/>
      <c r="AMG248" s="15"/>
      <c r="AMH248" s="15"/>
      <c r="AMI248" s="15"/>
      <c r="AMJ248" s="15"/>
      <c r="AMK248" s="15"/>
      <c r="AML248" s="15"/>
      <c r="AMM248" s="15"/>
      <c r="AMN248" s="15"/>
      <c r="AMO248" s="15"/>
      <c r="AMP248" s="15"/>
      <c r="AMQ248" s="10"/>
      <c r="AMR248" s="10"/>
      <c r="AMS248" s="21"/>
      <c r="AMT248" s="21"/>
      <c r="AMW248" s="21"/>
      <c r="AMX248" s="15"/>
      <c r="AMY248" s="15"/>
      <c r="AMZ248" s="15"/>
      <c r="ANA248" s="15"/>
      <c r="ANB248" s="15"/>
      <c r="ANC248" s="15"/>
      <c r="AND248" s="15"/>
      <c r="ANE248" s="15"/>
      <c r="ANF248" s="15"/>
      <c r="ANG248" s="15"/>
      <c r="ANH248" s="10"/>
      <c r="ANI248" s="10"/>
      <c r="ANJ248" s="21"/>
      <c r="ANK248" s="21"/>
      <c r="ANN248" s="21"/>
      <c r="ANO248" s="15"/>
      <c r="ANP248" s="15"/>
      <c r="ANQ248" s="15"/>
      <c r="ANR248" s="15"/>
      <c r="ANS248" s="15"/>
      <c r="ANT248" s="15"/>
      <c r="ANU248" s="15"/>
      <c r="ANV248" s="15"/>
      <c r="ANW248" s="15"/>
      <c r="ANX248" s="15"/>
      <c r="ANY248" s="10"/>
      <c r="ANZ248" s="10"/>
      <c r="AOA248" s="21"/>
      <c r="AOB248" s="21"/>
      <c r="AOE248" s="21"/>
      <c r="AOF248" s="15"/>
      <c r="AOG248" s="15"/>
      <c r="AOH248" s="15"/>
      <c r="AOI248" s="15"/>
      <c r="AOJ248" s="15"/>
      <c r="AOK248" s="15"/>
      <c r="AOL248" s="15"/>
      <c r="AOM248" s="15"/>
      <c r="AON248" s="15"/>
      <c r="AOO248" s="15"/>
      <c r="AOP248" s="10"/>
      <c r="AOQ248" s="10"/>
      <c r="AOR248" s="21"/>
      <c r="AOS248" s="21"/>
      <c r="AOV248" s="21"/>
      <c r="AOW248" s="15"/>
      <c r="AOX248" s="15"/>
      <c r="AOY248" s="15"/>
      <c r="AOZ248" s="15"/>
      <c r="APA248" s="15"/>
      <c r="APB248" s="15"/>
      <c r="APC248" s="15"/>
      <c r="APD248" s="15"/>
      <c r="APE248" s="15"/>
      <c r="APF248" s="15"/>
      <c r="APG248" s="10"/>
      <c r="APH248" s="10"/>
      <c r="API248" s="21"/>
      <c r="APJ248" s="21"/>
      <c r="APM248" s="21"/>
      <c r="APN248" s="15"/>
      <c r="APO248" s="15"/>
      <c r="APP248" s="15"/>
      <c r="APQ248" s="15"/>
      <c r="APR248" s="15"/>
      <c r="APS248" s="15"/>
      <c r="APT248" s="15"/>
      <c r="APU248" s="15"/>
      <c r="APV248" s="15"/>
      <c r="APW248" s="15"/>
      <c r="APX248" s="10"/>
      <c r="APY248" s="10"/>
      <c r="APZ248" s="21"/>
      <c r="AQA248" s="21"/>
      <c r="AQD248" s="21"/>
      <c r="AQE248" s="15"/>
      <c r="AQF248" s="15"/>
      <c r="AQG248" s="15"/>
      <c r="AQH248" s="15"/>
      <c r="AQI248" s="15"/>
      <c r="AQJ248" s="15"/>
      <c r="AQK248" s="15"/>
      <c r="AQL248" s="15"/>
      <c r="AQM248" s="15"/>
      <c r="AQN248" s="15"/>
      <c r="AQO248" s="10"/>
      <c r="AQP248" s="10"/>
      <c r="AQQ248" s="21"/>
      <c r="AQR248" s="21"/>
      <c r="AQU248" s="21"/>
      <c r="AQV248" s="15"/>
      <c r="AQW248" s="15"/>
      <c r="AQX248" s="15"/>
      <c r="AQY248" s="15"/>
      <c r="AQZ248" s="15"/>
      <c r="ARA248" s="15"/>
      <c r="ARB248" s="15"/>
      <c r="ARC248" s="15"/>
      <c r="ARD248" s="15"/>
      <c r="ARE248" s="15"/>
      <c r="ARF248" s="10"/>
      <c r="ARG248" s="10"/>
      <c r="ARH248" s="21"/>
      <c r="ARI248" s="21"/>
      <c r="ARL248" s="21"/>
      <c r="ARM248" s="15"/>
      <c r="ARN248" s="15"/>
      <c r="ARO248" s="15"/>
      <c r="ARP248" s="15"/>
      <c r="ARQ248" s="15"/>
      <c r="ARR248" s="15"/>
      <c r="ARS248" s="15"/>
      <c r="ART248" s="15"/>
      <c r="ARU248" s="15"/>
      <c r="ARV248" s="15"/>
      <c r="ARW248" s="10"/>
      <c r="ARX248" s="10"/>
      <c r="ARY248" s="21"/>
      <c r="ARZ248" s="21"/>
      <c r="ASC248" s="21"/>
      <c r="ASD248" s="15"/>
      <c r="ASE248" s="15"/>
      <c r="ASF248" s="15"/>
      <c r="ASG248" s="15"/>
      <c r="ASH248" s="15"/>
      <c r="ASI248" s="15"/>
      <c r="ASJ248" s="15"/>
      <c r="ASK248" s="15"/>
      <c r="ASL248" s="15"/>
      <c r="ASM248" s="15"/>
      <c r="ASN248" s="10"/>
      <c r="ASO248" s="10"/>
      <c r="ASP248" s="21"/>
      <c r="ASQ248" s="21"/>
      <c r="AST248" s="21"/>
      <c r="ASU248" s="15"/>
      <c r="ASV248" s="15"/>
      <c r="ASW248" s="15"/>
      <c r="ASX248" s="15"/>
      <c r="ASY248" s="15"/>
      <c r="ASZ248" s="15"/>
      <c r="ATA248" s="15"/>
      <c r="ATB248" s="15"/>
      <c r="ATC248" s="15"/>
      <c r="ATD248" s="15"/>
      <c r="ATE248" s="10"/>
      <c r="ATF248" s="10"/>
      <c r="ATG248" s="21"/>
      <c r="ATH248" s="21"/>
      <c r="ATK248" s="21"/>
      <c r="ATL248" s="15"/>
      <c r="ATM248" s="15"/>
      <c r="ATN248" s="15"/>
      <c r="ATO248" s="15"/>
      <c r="ATP248" s="15"/>
      <c r="ATQ248" s="15"/>
      <c r="ATR248" s="15"/>
      <c r="ATS248" s="15"/>
      <c r="ATT248" s="15"/>
      <c r="ATU248" s="15"/>
      <c r="ATV248" s="10"/>
      <c r="ATW248" s="10"/>
      <c r="ATX248" s="21"/>
      <c r="ATY248" s="21"/>
      <c r="AUB248" s="21"/>
      <c r="AUC248" s="15"/>
      <c r="AUD248" s="15"/>
      <c r="AUE248" s="15"/>
      <c r="AUF248" s="15"/>
      <c r="AUG248" s="15"/>
      <c r="AUH248" s="15"/>
      <c r="AUI248" s="15"/>
      <c r="AUJ248" s="15"/>
      <c r="AUK248" s="15"/>
      <c r="AUL248" s="15"/>
      <c r="AUM248" s="10"/>
      <c r="AUN248" s="10"/>
      <c r="AUO248" s="21"/>
      <c r="AUP248" s="21"/>
      <c r="AUS248" s="21"/>
      <c r="AUT248" s="15"/>
      <c r="AUU248" s="15"/>
      <c r="AUV248" s="15"/>
      <c r="AUW248" s="15"/>
      <c r="AUX248" s="15"/>
      <c r="AUY248" s="15"/>
      <c r="AUZ248" s="15"/>
      <c r="AVA248" s="15"/>
      <c r="AVB248" s="15"/>
      <c r="AVC248" s="15"/>
      <c r="AVD248" s="10"/>
      <c r="AVE248" s="10"/>
      <c r="AVF248" s="21"/>
      <c r="AVG248" s="21"/>
      <c r="AVJ248" s="21"/>
      <c r="AVK248" s="15"/>
      <c r="AVL248" s="15"/>
      <c r="AVM248" s="15"/>
      <c r="AVN248" s="15"/>
      <c r="AVO248" s="15"/>
      <c r="AVP248" s="15"/>
      <c r="AVQ248" s="15"/>
      <c r="AVR248" s="15"/>
      <c r="AVS248" s="15"/>
      <c r="AVT248" s="15"/>
      <c r="AVU248" s="10"/>
      <c r="AVV248" s="10"/>
      <c r="AVW248" s="21"/>
      <c r="AVX248" s="21"/>
      <c r="AWA248" s="21"/>
      <c r="AWB248" s="15"/>
      <c r="AWC248" s="15"/>
      <c r="AWD248" s="15"/>
      <c r="AWE248" s="15"/>
      <c r="AWF248" s="15"/>
      <c r="AWG248" s="15"/>
      <c r="AWH248" s="15"/>
      <c r="AWI248" s="15"/>
      <c r="AWJ248" s="15"/>
      <c r="AWK248" s="15"/>
      <c r="AWL248" s="10"/>
      <c r="AWM248" s="10"/>
      <c r="AWN248" s="21"/>
      <c r="AWO248" s="21"/>
      <c r="AWR248" s="21"/>
      <c r="AWS248" s="15"/>
      <c r="AWT248" s="15"/>
      <c r="AWU248" s="15"/>
      <c r="AWV248" s="15"/>
      <c r="AWW248" s="15"/>
      <c r="AWX248" s="15"/>
      <c r="AWY248" s="15"/>
      <c r="AWZ248" s="15"/>
      <c r="AXA248" s="15"/>
      <c r="AXB248" s="15"/>
      <c r="AXC248" s="10"/>
      <c r="AXD248" s="10"/>
      <c r="AXE248" s="21"/>
      <c r="AXF248" s="21"/>
      <c r="AXI248" s="21"/>
      <c r="AXJ248" s="15"/>
      <c r="AXK248" s="15"/>
      <c r="AXL248" s="15"/>
      <c r="AXM248" s="15"/>
      <c r="AXN248" s="15"/>
      <c r="AXO248" s="15"/>
      <c r="AXP248" s="15"/>
      <c r="AXQ248" s="15"/>
      <c r="AXR248" s="15"/>
      <c r="AXS248" s="15"/>
      <c r="AXT248" s="10"/>
      <c r="AXU248" s="10"/>
      <c r="AXV248" s="21"/>
      <c r="AXW248" s="21"/>
      <c r="AXZ248" s="21"/>
      <c r="AYA248" s="15"/>
      <c r="AYB248" s="15"/>
      <c r="AYC248" s="15"/>
      <c r="AYD248" s="15"/>
      <c r="AYE248" s="15"/>
      <c r="AYF248" s="15"/>
      <c r="AYG248" s="15"/>
      <c r="AYH248" s="15"/>
      <c r="AYI248" s="15"/>
      <c r="AYJ248" s="15"/>
      <c r="AYK248" s="10"/>
      <c r="AYL248" s="10"/>
      <c r="AYM248" s="21"/>
      <c r="AYN248" s="21"/>
      <c r="AYQ248" s="21"/>
      <c r="AYR248" s="15"/>
      <c r="AYS248" s="15"/>
      <c r="AYT248" s="15"/>
      <c r="AYU248" s="15"/>
      <c r="AYV248" s="15"/>
      <c r="AYW248" s="15"/>
      <c r="AYX248" s="15"/>
      <c r="AYY248" s="15"/>
      <c r="AYZ248" s="15"/>
      <c r="AZA248" s="15"/>
      <c r="AZB248" s="10"/>
      <c r="AZC248" s="10"/>
      <c r="AZD248" s="21"/>
      <c r="AZE248" s="21"/>
      <c r="AZH248" s="21"/>
      <c r="AZI248" s="15"/>
      <c r="AZJ248" s="15"/>
      <c r="AZK248" s="15"/>
      <c r="AZL248" s="15"/>
      <c r="AZM248" s="15"/>
      <c r="AZN248" s="15"/>
      <c r="AZO248" s="15"/>
      <c r="AZP248" s="15"/>
      <c r="AZQ248" s="15"/>
      <c r="AZR248" s="15"/>
      <c r="AZS248" s="10"/>
      <c r="AZT248" s="10"/>
      <c r="AZU248" s="21"/>
      <c r="AZV248" s="21"/>
      <c r="AZY248" s="21"/>
      <c r="AZZ248" s="15"/>
      <c r="BAA248" s="15"/>
      <c r="BAB248" s="15"/>
      <c r="BAC248" s="15"/>
      <c r="BAD248" s="15"/>
      <c r="BAE248" s="15"/>
      <c r="BAF248" s="15"/>
      <c r="BAG248" s="15"/>
      <c r="BAH248" s="15"/>
      <c r="BAI248" s="15"/>
      <c r="BAJ248" s="10"/>
      <c r="BAK248" s="10"/>
      <c r="BAL248" s="21"/>
      <c r="BAM248" s="21"/>
      <c r="BAP248" s="21"/>
      <c r="BAQ248" s="15"/>
      <c r="BAR248" s="15"/>
      <c r="BAS248" s="15"/>
      <c r="BAT248" s="15"/>
      <c r="BAU248" s="15"/>
      <c r="BAV248" s="15"/>
      <c r="BAW248" s="15"/>
      <c r="BAX248" s="15"/>
      <c r="BAY248" s="15"/>
      <c r="BAZ248" s="15"/>
      <c r="BBA248" s="10"/>
      <c r="BBB248" s="10"/>
      <c r="BBC248" s="21"/>
      <c r="BBD248" s="21"/>
      <c r="BBG248" s="21"/>
      <c r="BBH248" s="15"/>
      <c r="BBI248" s="15"/>
      <c r="BBJ248" s="15"/>
      <c r="BBK248" s="15"/>
      <c r="BBL248" s="15"/>
      <c r="BBM248" s="15"/>
      <c r="BBN248" s="15"/>
      <c r="BBO248" s="15"/>
      <c r="BBP248" s="15"/>
      <c r="BBQ248" s="15"/>
      <c r="BBR248" s="10"/>
      <c r="BBS248" s="10"/>
      <c r="BBT248" s="21"/>
      <c r="BBU248" s="21"/>
      <c r="BBX248" s="21"/>
      <c r="BBY248" s="15"/>
      <c r="BBZ248" s="15"/>
      <c r="BCA248" s="15"/>
      <c r="BCB248" s="15"/>
      <c r="BCC248" s="15"/>
      <c r="BCD248" s="15"/>
      <c r="BCE248" s="15"/>
      <c r="BCF248" s="15"/>
      <c r="BCG248" s="15"/>
      <c r="BCH248" s="15"/>
      <c r="BCI248" s="10"/>
      <c r="BCJ248" s="10"/>
      <c r="BCK248" s="21"/>
      <c r="BCL248" s="21"/>
      <c r="BCO248" s="21"/>
      <c r="BCP248" s="15"/>
      <c r="BCQ248" s="15"/>
      <c r="BCR248" s="15"/>
      <c r="BCS248" s="15"/>
      <c r="BCT248" s="15"/>
      <c r="BCU248" s="15"/>
      <c r="BCV248" s="15"/>
      <c r="BCW248" s="15"/>
      <c r="BCX248" s="15"/>
      <c r="BCY248" s="15"/>
      <c r="BCZ248" s="10"/>
      <c r="BDA248" s="10"/>
      <c r="BDB248" s="21"/>
      <c r="BDC248" s="21"/>
      <c r="BDF248" s="21"/>
      <c r="BDG248" s="15"/>
      <c r="BDH248" s="15"/>
      <c r="BDI248" s="15"/>
      <c r="BDJ248" s="15"/>
      <c r="BDK248" s="15"/>
      <c r="BDL248" s="15"/>
      <c r="BDM248" s="15"/>
      <c r="BDN248" s="15"/>
      <c r="BDO248" s="15"/>
      <c r="BDP248" s="15"/>
      <c r="BDQ248" s="10"/>
      <c r="BDR248" s="10"/>
      <c r="BDS248" s="21"/>
      <c r="BDT248" s="21"/>
      <c r="BDW248" s="21"/>
      <c r="BDX248" s="15"/>
      <c r="BDY248" s="15"/>
      <c r="BDZ248" s="15"/>
      <c r="BEA248" s="15"/>
      <c r="BEB248" s="15"/>
      <c r="BEC248" s="15"/>
      <c r="BED248" s="15"/>
      <c r="BEE248" s="15"/>
      <c r="BEF248" s="15"/>
      <c r="BEG248" s="15"/>
      <c r="BEH248" s="10"/>
      <c r="BEI248" s="10"/>
      <c r="BEJ248" s="21"/>
      <c r="BEK248" s="21"/>
      <c r="BEN248" s="21"/>
      <c r="BEO248" s="15"/>
      <c r="BEP248" s="15"/>
      <c r="BEQ248" s="15"/>
      <c r="BER248" s="15"/>
      <c r="BES248" s="15"/>
      <c r="BET248" s="15"/>
      <c r="BEU248" s="15"/>
      <c r="BEV248" s="15"/>
      <c r="BEW248" s="15"/>
      <c r="BEX248" s="15"/>
      <c r="BEY248" s="10"/>
      <c r="BEZ248" s="10"/>
      <c r="BFA248" s="21"/>
      <c r="BFB248" s="21"/>
      <c r="BFE248" s="21"/>
      <c r="BFF248" s="15"/>
      <c r="BFG248" s="15"/>
      <c r="BFH248" s="15"/>
      <c r="BFI248" s="15"/>
      <c r="BFJ248" s="15"/>
      <c r="BFK248" s="15"/>
      <c r="BFL248" s="15"/>
      <c r="BFM248" s="15"/>
      <c r="BFN248" s="15"/>
      <c r="BFO248" s="15"/>
      <c r="BFP248" s="10"/>
      <c r="BFQ248" s="10"/>
      <c r="BFR248" s="21"/>
      <c r="BFS248" s="21"/>
      <c r="BFV248" s="21"/>
      <c r="BFW248" s="15"/>
      <c r="BFX248" s="15"/>
      <c r="BFY248" s="15"/>
      <c r="BFZ248" s="15"/>
      <c r="BGA248" s="15"/>
      <c r="BGB248" s="15"/>
      <c r="BGC248" s="15"/>
      <c r="BGD248" s="15"/>
      <c r="BGE248" s="15"/>
      <c r="BGF248" s="15"/>
      <c r="BGG248" s="10"/>
      <c r="BGH248" s="10"/>
      <c r="BGI248" s="21"/>
      <c r="BGJ248" s="21"/>
      <c r="BGM248" s="21"/>
      <c r="BGN248" s="15"/>
      <c r="BGO248" s="15"/>
      <c r="BGP248" s="15"/>
      <c r="BGQ248" s="15"/>
      <c r="BGR248" s="15"/>
      <c r="BGS248" s="15"/>
      <c r="BGT248" s="15"/>
      <c r="BGU248" s="15"/>
      <c r="BGV248" s="15"/>
      <c r="BGW248" s="15"/>
      <c r="BGX248" s="10"/>
      <c r="BGY248" s="10"/>
      <c r="BGZ248" s="21"/>
      <c r="BHA248" s="21"/>
      <c r="BHD248" s="21"/>
      <c r="BHE248" s="15"/>
      <c r="BHF248" s="15"/>
      <c r="BHG248" s="15"/>
      <c r="BHH248" s="15"/>
      <c r="BHI248" s="15"/>
      <c r="BHJ248" s="15"/>
      <c r="BHK248" s="15"/>
      <c r="BHL248" s="15"/>
      <c r="BHM248" s="15"/>
      <c r="BHN248" s="15"/>
      <c r="BHO248" s="10"/>
      <c r="BHP248" s="10"/>
      <c r="BHQ248" s="21"/>
      <c r="BHR248" s="21"/>
      <c r="BHU248" s="21"/>
      <c r="BHV248" s="15"/>
      <c r="BHW248" s="15"/>
      <c r="BHX248" s="15"/>
      <c r="BHY248" s="15"/>
      <c r="BHZ248" s="15"/>
      <c r="BIA248" s="15"/>
      <c r="BIB248" s="15"/>
      <c r="BIC248" s="15"/>
      <c r="BID248" s="15"/>
      <c r="BIE248" s="15"/>
      <c r="BIF248" s="10"/>
      <c r="BIG248" s="10"/>
      <c r="BIH248" s="21"/>
      <c r="BII248" s="21"/>
      <c r="BIL248" s="21"/>
      <c r="BIM248" s="15"/>
      <c r="BIN248" s="15"/>
      <c r="BIO248" s="15"/>
      <c r="BIP248" s="15"/>
      <c r="BIQ248" s="15"/>
      <c r="BIR248" s="15"/>
      <c r="BIS248" s="15"/>
      <c r="BIT248" s="15"/>
      <c r="BIU248" s="15"/>
      <c r="BIV248" s="15"/>
      <c r="BIW248" s="10"/>
      <c r="BIX248" s="10"/>
      <c r="BIY248" s="21"/>
      <c r="BIZ248" s="21"/>
      <c r="BJC248" s="21"/>
      <c r="BJD248" s="15"/>
      <c r="BJE248" s="15"/>
      <c r="BJF248" s="15"/>
      <c r="BJG248" s="15"/>
      <c r="BJH248" s="15"/>
      <c r="BJI248" s="15"/>
      <c r="BJJ248" s="15"/>
      <c r="BJK248" s="15"/>
      <c r="BJL248" s="15"/>
      <c r="BJM248" s="15"/>
      <c r="BJN248" s="10"/>
      <c r="BJO248" s="10"/>
      <c r="BJP248" s="21"/>
      <c r="BJQ248" s="21"/>
      <c r="BJT248" s="21"/>
      <c r="BJU248" s="15"/>
      <c r="BJV248" s="15"/>
      <c r="BJW248" s="15"/>
      <c r="BJX248" s="15"/>
      <c r="BJY248" s="15"/>
      <c r="BJZ248" s="15"/>
      <c r="BKA248" s="15"/>
      <c r="BKB248" s="15"/>
      <c r="BKC248" s="15"/>
      <c r="BKD248" s="15"/>
      <c r="BKE248" s="10"/>
      <c r="BKF248" s="10"/>
      <c r="BKG248" s="21"/>
      <c r="BKH248" s="21"/>
      <c r="BKK248" s="21"/>
      <c r="BKL248" s="15"/>
      <c r="BKM248" s="15"/>
      <c r="BKN248" s="15"/>
      <c r="BKO248" s="15"/>
      <c r="BKP248" s="15"/>
      <c r="BKQ248" s="15"/>
      <c r="BKR248" s="15"/>
      <c r="BKS248" s="15"/>
      <c r="BKT248" s="15"/>
      <c r="BKU248" s="15"/>
      <c r="BKV248" s="10"/>
      <c r="BKW248" s="10"/>
      <c r="BKX248" s="21"/>
      <c r="BKY248" s="21"/>
      <c r="BLB248" s="21"/>
      <c r="BLC248" s="15"/>
      <c r="BLD248" s="15"/>
      <c r="BLE248" s="15"/>
      <c r="BLF248" s="15"/>
      <c r="BLG248" s="15"/>
      <c r="BLH248" s="15"/>
      <c r="BLI248" s="15"/>
      <c r="BLJ248" s="15"/>
      <c r="BLK248" s="15"/>
      <c r="BLL248" s="15"/>
      <c r="BLM248" s="10"/>
      <c r="BLN248" s="10"/>
      <c r="BLO248" s="21"/>
      <c r="BLP248" s="21"/>
      <c r="BLS248" s="21"/>
      <c r="BLT248" s="15"/>
      <c r="BLU248" s="15"/>
      <c r="BLV248" s="15"/>
      <c r="BLW248" s="15"/>
      <c r="BLX248" s="15"/>
      <c r="BLY248" s="15"/>
      <c r="BLZ248" s="15"/>
      <c r="BMA248" s="15"/>
      <c r="BMB248" s="15"/>
      <c r="BMC248" s="15"/>
      <c r="BMD248" s="10"/>
      <c r="BME248" s="10"/>
      <c r="BMF248" s="21"/>
      <c r="BMG248" s="21"/>
      <c r="BMJ248" s="21"/>
      <c r="BMK248" s="15"/>
      <c r="BML248" s="15"/>
      <c r="BMM248" s="15"/>
      <c r="BMN248" s="15"/>
      <c r="BMO248" s="15"/>
      <c r="BMP248" s="15"/>
      <c r="BMQ248" s="15"/>
      <c r="BMR248" s="15"/>
      <c r="BMS248" s="15"/>
      <c r="BMT248" s="15"/>
      <c r="BMU248" s="10"/>
      <c r="BMV248" s="10"/>
      <c r="BMW248" s="21"/>
      <c r="BMX248" s="21"/>
      <c r="BNA248" s="21"/>
      <c r="BNB248" s="15"/>
      <c r="BNC248" s="15"/>
      <c r="BND248" s="15"/>
      <c r="BNE248" s="15"/>
      <c r="BNF248" s="15"/>
      <c r="BNG248" s="15"/>
      <c r="BNH248" s="15"/>
      <c r="BNI248" s="15"/>
      <c r="BNJ248" s="15"/>
      <c r="BNK248" s="15"/>
      <c r="BNL248" s="10"/>
      <c r="BNM248" s="10"/>
      <c r="BNN248" s="21"/>
      <c r="BNO248" s="21"/>
      <c r="BNR248" s="21"/>
      <c r="BNS248" s="15"/>
      <c r="BNT248" s="15"/>
      <c r="BNU248" s="15"/>
      <c r="BNV248" s="15"/>
      <c r="BNW248" s="15"/>
      <c r="BNX248" s="15"/>
      <c r="BNY248" s="15"/>
      <c r="BNZ248" s="15"/>
      <c r="BOA248" s="15"/>
      <c r="BOB248" s="15"/>
      <c r="BOC248" s="10"/>
      <c r="BOD248" s="10"/>
      <c r="BOE248" s="21"/>
      <c r="BOF248" s="21"/>
      <c r="BOI248" s="21"/>
      <c r="BOJ248" s="15"/>
      <c r="BOK248" s="15"/>
      <c r="BOL248" s="15"/>
      <c r="BOM248" s="15"/>
      <c r="BON248" s="15"/>
      <c r="BOO248" s="15"/>
      <c r="BOP248" s="15"/>
      <c r="BOQ248" s="15"/>
      <c r="BOR248" s="15"/>
      <c r="BOS248" s="15"/>
      <c r="BOT248" s="10"/>
      <c r="BOU248" s="10"/>
      <c r="BOV248" s="21"/>
      <c r="BOW248" s="21"/>
      <c r="BOZ248" s="21"/>
      <c r="BPA248" s="15"/>
      <c r="BPB248" s="15"/>
      <c r="BPC248" s="15"/>
      <c r="BPD248" s="15"/>
      <c r="BPE248" s="15"/>
      <c r="BPF248" s="15"/>
      <c r="BPG248" s="15"/>
      <c r="BPH248" s="15"/>
      <c r="BPI248" s="15"/>
      <c r="BPJ248" s="15"/>
      <c r="BPK248" s="10"/>
      <c r="BPL248" s="10"/>
      <c r="BPM248" s="21"/>
      <c r="BPN248" s="21"/>
      <c r="BPQ248" s="21"/>
      <c r="BPR248" s="15"/>
      <c r="BPS248" s="15"/>
      <c r="BPT248" s="15"/>
      <c r="BPU248" s="15"/>
      <c r="BPV248" s="15"/>
      <c r="BPW248" s="15"/>
      <c r="BPX248" s="15"/>
      <c r="BPY248" s="15"/>
      <c r="BPZ248" s="15"/>
      <c r="BQA248" s="15"/>
      <c r="BQB248" s="10"/>
      <c r="BQC248" s="10"/>
      <c r="BQD248" s="21"/>
      <c r="BQE248" s="21"/>
      <c r="BQH248" s="21"/>
      <c r="BQI248" s="15"/>
      <c r="BQJ248" s="15"/>
      <c r="BQK248" s="15"/>
      <c r="BQL248" s="15"/>
      <c r="BQM248" s="15"/>
      <c r="BQN248" s="15"/>
      <c r="BQO248" s="15"/>
      <c r="BQP248" s="15"/>
      <c r="BQQ248" s="15"/>
      <c r="BQR248" s="15"/>
      <c r="BQS248" s="10"/>
      <c r="BQT248" s="10"/>
      <c r="BQU248" s="21"/>
      <c r="BQV248" s="21"/>
      <c r="BQY248" s="21"/>
      <c r="BQZ248" s="15"/>
      <c r="BRA248" s="15"/>
      <c r="BRB248" s="15"/>
      <c r="BRC248" s="15"/>
      <c r="BRD248" s="15"/>
      <c r="BRE248" s="15"/>
      <c r="BRF248" s="15"/>
      <c r="BRG248" s="15"/>
      <c r="BRH248" s="15"/>
      <c r="BRI248" s="15"/>
      <c r="BRJ248" s="10"/>
      <c r="BRK248" s="10"/>
      <c r="BRL248" s="21"/>
      <c r="BRM248" s="21"/>
      <c r="BRP248" s="21"/>
      <c r="BRQ248" s="15"/>
      <c r="BRR248" s="15"/>
      <c r="BRS248" s="15"/>
      <c r="BRT248" s="15"/>
      <c r="BRU248" s="15"/>
      <c r="BRV248" s="15"/>
      <c r="BRW248" s="15"/>
      <c r="BRX248" s="15"/>
      <c r="BRY248" s="15"/>
      <c r="BRZ248" s="15"/>
      <c r="BSA248" s="10"/>
      <c r="BSB248" s="10"/>
      <c r="BSC248" s="21"/>
      <c r="BSD248" s="21"/>
      <c r="BSG248" s="21"/>
      <c r="BSH248" s="15"/>
      <c r="BSI248" s="15"/>
      <c r="BSJ248" s="15"/>
      <c r="BSK248" s="15"/>
      <c r="BSL248" s="15"/>
      <c r="BSM248" s="15"/>
      <c r="BSN248" s="15"/>
      <c r="BSO248" s="15"/>
      <c r="BSP248" s="15"/>
      <c r="BSQ248" s="15"/>
      <c r="BSR248" s="10"/>
      <c r="BSS248" s="10"/>
      <c r="BST248" s="21"/>
      <c r="BSU248" s="21"/>
      <c r="BSX248" s="21"/>
      <c r="BSY248" s="15"/>
      <c r="BSZ248" s="15"/>
      <c r="BTA248" s="15"/>
      <c r="BTB248" s="15"/>
      <c r="BTC248" s="15"/>
      <c r="BTD248" s="15"/>
      <c r="BTE248" s="15"/>
      <c r="BTF248" s="15"/>
      <c r="BTG248" s="15"/>
      <c r="BTH248" s="15"/>
      <c r="BTI248" s="10"/>
      <c r="BTJ248" s="10"/>
      <c r="BTK248" s="21"/>
      <c r="BTL248" s="21"/>
      <c r="BTO248" s="21"/>
      <c r="BTP248" s="15"/>
      <c r="BTQ248" s="15"/>
      <c r="BTR248" s="15"/>
      <c r="BTS248" s="15"/>
      <c r="BTT248" s="15"/>
      <c r="BTU248" s="15"/>
      <c r="BTV248" s="15"/>
      <c r="BTW248" s="15"/>
      <c r="BTX248" s="15"/>
      <c r="BTY248" s="15"/>
      <c r="BTZ248" s="10"/>
      <c r="BUA248" s="10"/>
      <c r="BUB248" s="21"/>
      <c r="BUC248" s="21"/>
      <c r="BUF248" s="21"/>
      <c r="BUG248" s="15"/>
      <c r="BUH248" s="15"/>
      <c r="BUI248" s="15"/>
      <c r="BUJ248" s="15"/>
      <c r="BUK248" s="15"/>
      <c r="BUL248" s="15"/>
      <c r="BUM248" s="15"/>
      <c r="BUN248" s="15"/>
      <c r="BUO248" s="15"/>
      <c r="BUP248" s="15"/>
      <c r="BUQ248" s="10"/>
      <c r="BUR248" s="10"/>
      <c r="BUS248" s="21"/>
      <c r="BUT248" s="21"/>
      <c r="BUW248" s="21"/>
      <c r="BUX248" s="15"/>
      <c r="BUY248" s="15"/>
      <c r="BUZ248" s="15"/>
      <c r="BVA248" s="15"/>
      <c r="BVB248" s="15"/>
      <c r="BVC248" s="15"/>
      <c r="BVD248" s="15"/>
      <c r="BVE248" s="15"/>
      <c r="BVF248" s="15"/>
      <c r="BVG248" s="15"/>
      <c r="BVH248" s="10"/>
      <c r="BVI248" s="10"/>
      <c r="BVJ248" s="21"/>
      <c r="BVK248" s="21"/>
      <c r="BVN248" s="21"/>
      <c r="BVO248" s="15"/>
      <c r="BVP248" s="15"/>
      <c r="BVQ248" s="15"/>
      <c r="BVR248" s="15"/>
      <c r="BVS248" s="15"/>
      <c r="BVT248" s="15"/>
      <c r="BVU248" s="15"/>
      <c r="BVV248" s="15"/>
      <c r="BVW248" s="15"/>
      <c r="BVX248" s="15"/>
      <c r="BVY248" s="10"/>
      <c r="BVZ248" s="10"/>
      <c r="BWA248" s="21"/>
      <c r="BWB248" s="21"/>
      <c r="BWE248" s="21"/>
      <c r="BWF248" s="15"/>
      <c r="BWG248" s="15"/>
      <c r="BWH248" s="15"/>
      <c r="BWI248" s="15"/>
      <c r="BWJ248" s="15"/>
      <c r="BWK248" s="15"/>
      <c r="BWL248" s="15"/>
      <c r="BWM248" s="15"/>
      <c r="BWN248" s="15"/>
      <c r="BWO248" s="15"/>
      <c r="BWP248" s="10"/>
      <c r="BWQ248" s="10"/>
      <c r="BWR248" s="21"/>
      <c r="BWS248" s="21"/>
      <c r="BWV248" s="21"/>
      <c r="BWW248" s="15"/>
      <c r="BWX248" s="15"/>
      <c r="BWY248" s="15"/>
      <c r="BWZ248" s="15"/>
      <c r="BXA248" s="15"/>
      <c r="BXB248" s="15"/>
      <c r="BXC248" s="15"/>
      <c r="BXD248" s="15"/>
      <c r="BXE248" s="15"/>
      <c r="BXF248" s="15"/>
      <c r="BXG248" s="10"/>
      <c r="BXH248" s="10"/>
      <c r="BXI248" s="21"/>
      <c r="BXJ248" s="21"/>
      <c r="BXM248" s="21"/>
      <c r="BXN248" s="15"/>
      <c r="BXO248" s="15"/>
      <c r="BXP248" s="15"/>
      <c r="BXQ248" s="15"/>
      <c r="BXR248" s="15"/>
      <c r="BXS248" s="15"/>
      <c r="BXT248" s="15"/>
      <c r="BXU248" s="15"/>
      <c r="BXV248" s="15"/>
      <c r="BXW248" s="15"/>
      <c r="BXX248" s="10"/>
      <c r="BXY248" s="10"/>
      <c r="BXZ248" s="21"/>
      <c r="BYA248" s="21"/>
      <c r="BYD248" s="21"/>
      <c r="BYE248" s="15"/>
      <c r="BYF248" s="15"/>
      <c r="BYG248" s="15"/>
      <c r="BYH248" s="15"/>
      <c r="BYI248" s="15"/>
      <c r="BYJ248" s="15"/>
      <c r="BYK248" s="15"/>
      <c r="BYL248" s="15"/>
      <c r="BYM248" s="15"/>
      <c r="BYN248" s="15"/>
      <c r="BYO248" s="10"/>
      <c r="BYP248" s="10"/>
      <c r="BYQ248" s="21"/>
      <c r="BYR248" s="21"/>
      <c r="BYU248" s="21"/>
      <c r="BYV248" s="15"/>
      <c r="BYW248" s="15"/>
      <c r="BYX248" s="15"/>
      <c r="BYY248" s="15"/>
      <c r="BYZ248" s="15"/>
      <c r="BZA248" s="15"/>
      <c r="BZB248" s="15"/>
      <c r="BZC248" s="15"/>
      <c r="BZD248" s="15"/>
      <c r="BZE248" s="15"/>
      <c r="BZF248" s="10"/>
      <c r="BZG248" s="10"/>
      <c r="BZH248" s="21"/>
      <c r="BZI248" s="21"/>
      <c r="BZL248" s="21"/>
      <c r="BZM248" s="15"/>
      <c r="BZN248" s="15"/>
      <c r="BZO248" s="15"/>
      <c r="BZP248" s="15"/>
      <c r="BZQ248" s="15"/>
      <c r="BZR248" s="15"/>
      <c r="BZS248" s="15"/>
      <c r="BZT248" s="15"/>
      <c r="BZU248" s="15"/>
      <c r="BZV248" s="15"/>
      <c r="BZW248" s="10"/>
      <c r="BZX248" s="10"/>
      <c r="BZY248" s="21"/>
      <c r="BZZ248" s="21"/>
      <c r="CAC248" s="21"/>
      <c r="CAD248" s="15"/>
      <c r="CAE248" s="15"/>
      <c r="CAF248" s="15"/>
      <c r="CAG248" s="15"/>
      <c r="CAH248" s="15"/>
      <c r="CAI248" s="15"/>
      <c r="CAJ248" s="15"/>
      <c r="CAK248" s="15"/>
      <c r="CAL248" s="15"/>
      <c r="CAM248" s="15"/>
      <c r="CAN248" s="10"/>
      <c r="CAO248" s="10"/>
      <c r="CAP248" s="21"/>
      <c r="CAQ248" s="21"/>
      <c r="CAT248" s="21"/>
      <c r="CAU248" s="15"/>
      <c r="CAV248" s="15"/>
      <c r="CAW248" s="15"/>
      <c r="CAX248" s="15"/>
      <c r="CAY248" s="15"/>
      <c r="CAZ248" s="15"/>
      <c r="CBA248" s="15"/>
      <c r="CBB248" s="15"/>
      <c r="CBC248" s="15"/>
      <c r="CBD248" s="15"/>
      <c r="CBE248" s="10"/>
      <c r="CBF248" s="10"/>
      <c r="CBG248" s="21"/>
      <c r="CBH248" s="21"/>
      <c r="CBK248" s="21"/>
      <c r="CBL248" s="15"/>
      <c r="CBM248" s="15"/>
      <c r="CBN248" s="15"/>
      <c r="CBO248" s="15"/>
      <c r="CBP248" s="15"/>
      <c r="CBQ248" s="15"/>
      <c r="CBR248" s="15"/>
      <c r="CBS248" s="15"/>
      <c r="CBT248" s="15"/>
      <c r="CBU248" s="15"/>
      <c r="CBV248" s="10"/>
      <c r="CBW248" s="10"/>
      <c r="CBX248" s="21"/>
      <c r="CBY248" s="21"/>
      <c r="CCB248" s="21"/>
      <c r="CCC248" s="15"/>
      <c r="CCD248" s="15"/>
      <c r="CCE248" s="15"/>
      <c r="CCF248" s="15"/>
      <c r="CCG248" s="15"/>
      <c r="CCH248" s="15"/>
      <c r="CCI248" s="15"/>
      <c r="CCJ248" s="15"/>
      <c r="CCK248" s="15"/>
      <c r="CCL248" s="15"/>
      <c r="CCM248" s="10"/>
      <c r="CCN248" s="10"/>
      <c r="CCO248" s="21"/>
      <c r="CCP248" s="21"/>
      <c r="CCS248" s="21"/>
      <c r="CCT248" s="15"/>
      <c r="CCU248" s="15"/>
      <c r="CCV248" s="15"/>
      <c r="CCW248" s="15"/>
      <c r="CCX248" s="15"/>
      <c r="CCY248" s="15"/>
      <c r="CCZ248" s="15"/>
      <c r="CDA248" s="15"/>
      <c r="CDB248" s="15"/>
      <c r="CDC248" s="15"/>
      <c r="CDD248" s="10"/>
      <c r="CDE248" s="10"/>
      <c r="CDF248" s="21"/>
      <c r="CDG248" s="21"/>
      <c r="CDJ248" s="21"/>
      <c r="CDK248" s="15"/>
      <c r="CDL248" s="15"/>
      <c r="CDM248" s="15"/>
      <c r="CDN248" s="15"/>
      <c r="CDO248" s="15"/>
      <c r="CDP248" s="15"/>
      <c r="CDQ248" s="15"/>
      <c r="CDR248" s="15"/>
      <c r="CDS248" s="15"/>
      <c r="CDT248" s="15"/>
      <c r="CDU248" s="10"/>
      <c r="CDV248" s="10"/>
      <c r="CDW248" s="21"/>
      <c r="CDX248" s="21"/>
      <c r="CEA248" s="21"/>
      <c r="CEB248" s="15"/>
      <c r="CEC248" s="15"/>
      <c r="CED248" s="15"/>
      <c r="CEE248" s="15"/>
      <c r="CEF248" s="15"/>
      <c r="CEG248" s="15"/>
      <c r="CEH248" s="15"/>
      <c r="CEI248" s="15"/>
      <c r="CEJ248" s="15"/>
      <c r="CEK248" s="15"/>
      <c r="CEL248" s="10"/>
      <c r="CEM248" s="10"/>
      <c r="CEN248" s="21"/>
      <c r="CEO248" s="21"/>
      <c r="CER248" s="21"/>
      <c r="CES248" s="15"/>
      <c r="CET248" s="15"/>
      <c r="CEU248" s="15"/>
      <c r="CEV248" s="15"/>
      <c r="CEW248" s="15"/>
      <c r="CEX248" s="15"/>
      <c r="CEY248" s="15"/>
      <c r="CEZ248" s="15"/>
      <c r="CFA248" s="15"/>
      <c r="CFB248" s="15"/>
      <c r="CFC248" s="10"/>
      <c r="CFD248" s="10"/>
      <c r="CFE248" s="21"/>
      <c r="CFF248" s="21"/>
      <c r="CFI248" s="21"/>
      <c r="CFJ248" s="15"/>
      <c r="CFK248" s="15"/>
      <c r="CFL248" s="15"/>
      <c r="CFM248" s="15"/>
      <c r="CFN248" s="15"/>
      <c r="CFO248" s="15"/>
      <c r="CFP248" s="15"/>
      <c r="CFQ248" s="15"/>
      <c r="CFR248" s="15"/>
      <c r="CFS248" s="15"/>
      <c r="CFT248" s="10"/>
      <c r="CFU248" s="10"/>
      <c r="CFV248" s="21"/>
      <c r="CFW248" s="21"/>
      <c r="CFZ248" s="21"/>
      <c r="CGA248" s="15"/>
      <c r="CGB248" s="15"/>
      <c r="CGC248" s="15"/>
      <c r="CGD248" s="15"/>
      <c r="CGE248" s="15"/>
      <c r="CGF248" s="15"/>
      <c r="CGG248" s="15"/>
      <c r="CGH248" s="15"/>
      <c r="CGI248" s="15"/>
      <c r="CGJ248" s="15"/>
      <c r="CGK248" s="10"/>
      <c r="CGL248" s="10"/>
      <c r="CGM248" s="21"/>
      <c r="CGN248" s="21"/>
      <c r="CGQ248" s="21"/>
      <c r="CGR248" s="15"/>
      <c r="CGS248" s="15"/>
      <c r="CGT248" s="15"/>
      <c r="CGU248" s="15"/>
      <c r="CGV248" s="15"/>
      <c r="CGW248" s="15"/>
      <c r="CGX248" s="15"/>
      <c r="CGY248" s="15"/>
      <c r="CGZ248" s="15"/>
      <c r="CHA248" s="15"/>
      <c r="CHB248" s="10"/>
      <c r="CHC248" s="10"/>
      <c r="CHD248" s="21"/>
      <c r="CHE248" s="21"/>
      <c r="CHH248" s="21"/>
      <c r="CHI248" s="15"/>
      <c r="CHJ248" s="15"/>
      <c r="CHK248" s="15"/>
      <c r="CHL248" s="15"/>
      <c r="CHM248" s="15"/>
      <c r="CHN248" s="15"/>
      <c r="CHO248" s="15"/>
      <c r="CHP248" s="15"/>
      <c r="CHQ248" s="15"/>
      <c r="CHR248" s="15"/>
      <c r="CHS248" s="10"/>
      <c r="CHT248" s="10"/>
      <c r="CHU248" s="21"/>
      <c r="CHV248" s="21"/>
      <c r="CHY248" s="21"/>
      <c r="CHZ248" s="15"/>
      <c r="CIA248" s="15"/>
      <c r="CIB248" s="15"/>
      <c r="CIC248" s="15"/>
      <c r="CID248" s="15"/>
      <c r="CIE248" s="15"/>
      <c r="CIF248" s="15"/>
      <c r="CIG248" s="15"/>
      <c r="CIH248" s="15"/>
      <c r="CII248" s="15"/>
      <c r="CIJ248" s="10"/>
      <c r="CIK248" s="10"/>
      <c r="CIL248" s="21"/>
      <c r="CIM248" s="21"/>
      <c r="CIP248" s="21"/>
      <c r="CIQ248" s="15"/>
      <c r="CIR248" s="15"/>
      <c r="CIS248" s="15"/>
      <c r="CIT248" s="15"/>
      <c r="CIU248" s="15"/>
      <c r="CIV248" s="15"/>
      <c r="CIW248" s="15"/>
      <c r="CIX248" s="15"/>
      <c r="CIY248" s="15"/>
      <c r="CIZ248" s="15"/>
      <c r="CJA248" s="10"/>
      <c r="CJB248" s="10"/>
      <c r="CJC248" s="21"/>
      <c r="CJD248" s="21"/>
      <c r="CJG248" s="21"/>
      <c r="CJH248" s="15"/>
      <c r="CJI248" s="15"/>
      <c r="CJJ248" s="15"/>
      <c r="CJK248" s="15"/>
      <c r="CJL248" s="15"/>
      <c r="CJM248" s="15"/>
      <c r="CJN248" s="15"/>
      <c r="CJO248" s="15"/>
      <c r="CJP248" s="15"/>
      <c r="CJQ248" s="15"/>
      <c r="CJR248" s="10"/>
      <c r="CJS248" s="10"/>
      <c r="CJT248" s="21"/>
      <c r="CJU248" s="21"/>
      <c r="CJX248" s="21"/>
      <c r="CJY248" s="15"/>
      <c r="CJZ248" s="15"/>
      <c r="CKA248" s="15"/>
      <c r="CKB248" s="15"/>
      <c r="CKC248" s="15"/>
      <c r="CKD248" s="15"/>
      <c r="CKE248" s="15"/>
      <c r="CKF248" s="15"/>
      <c r="CKG248" s="15"/>
      <c r="CKH248" s="15"/>
      <c r="CKI248" s="10"/>
      <c r="CKJ248" s="10"/>
      <c r="CKK248" s="21"/>
      <c r="CKL248" s="21"/>
      <c r="CKO248" s="21"/>
      <c r="CKP248" s="15"/>
      <c r="CKQ248" s="15"/>
      <c r="CKR248" s="15"/>
      <c r="CKS248" s="15"/>
      <c r="CKT248" s="15"/>
      <c r="CKU248" s="15"/>
      <c r="CKV248" s="15"/>
      <c r="CKW248" s="15"/>
      <c r="CKX248" s="15"/>
      <c r="CKY248" s="15"/>
      <c r="CKZ248" s="10"/>
      <c r="CLA248" s="10"/>
      <c r="CLB248" s="21"/>
      <c r="CLC248" s="21"/>
      <c r="CLF248" s="21"/>
      <c r="CLG248" s="15"/>
      <c r="CLH248" s="15"/>
      <c r="CLI248" s="15"/>
      <c r="CLJ248" s="15"/>
      <c r="CLK248" s="15"/>
      <c r="CLL248" s="15"/>
      <c r="CLM248" s="15"/>
      <c r="CLN248" s="15"/>
      <c r="CLO248" s="15"/>
      <c r="CLP248" s="15"/>
      <c r="CLQ248" s="10"/>
      <c r="CLR248" s="10"/>
      <c r="CLS248" s="21"/>
      <c r="CLT248" s="21"/>
      <c r="CLW248" s="21"/>
      <c r="CLX248" s="15"/>
      <c r="CLY248" s="15"/>
      <c r="CLZ248" s="15"/>
      <c r="CMA248" s="15"/>
      <c r="CMB248" s="15"/>
      <c r="CMC248" s="15"/>
      <c r="CMD248" s="15"/>
      <c r="CME248" s="15"/>
      <c r="CMF248" s="15"/>
      <c r="CMG248" s="15"/>
      <c r="CMH248" s="10"/>
      <c r="CMI248" s="10"/>
      <c r="CMJ248" s="21"/>
      <c r="CMK248" s="21"/>
      <c r="CMN248" s="21"/>
      <c r="CMO248" s="15"/>
      <c r="CMP248" s="15"/>
      <c r="CMQ248" s="15"/>
      <c r="CMR248" s="15"/>
      <c r="CMS248" s="15"/>
      <c r="CMT248" s="15"/>
      <c r="CMU248" s="15"/>
      <c r="CMV248" s="15"/>
      <c r="CMW248" s="15"/>
      <c r="CMX248" s="15"/>
      <c r="CMY248" s="10"/>
      <c r="CMZ248" s="10"/>
      <c r="CNA248" s="21"/>
      <c r="CNB248" s="21"/>
      <c r="CNE248" s="21"/>
      <c r="CNF248" s="15"/>
      <c r="CNG248" s="15"/>
      <c r="CNH248" s="15"/>
      <c r="CNI248" s="15"/>
      <c r="CNJ248" s="15"/>
      <c r="CNK248" s="15"/>
      <c r="CNL248" s="15"/>
      <c r="CNM248" s="15"/>
      <c r="CNN248" s="15"/>
      <c r="CNO248" s="15"/>
      <c r="CNP248" s="10"/>
      <c r="CNQ248" s="10"/>
      <c r="CNR248" s="21"/>
      <c r="CNS248" s="21"/>
      <c r="CNV248" s="21"/>
      <c r="CNW248" s="15"/>
      <c r="CNX248" s="15"/>
      <c r="CNY248" s="15"/>
      <c r="CNZ248" s="15"/>
      <c r="COA248" s="15"/>
      <c r="COB248" s="15"/>
      <c r="COC248" s="15"/>
      <c r="COD248" s="15"/>
      <c r="COE248" s="15"/>
      <c r="COF248" s="15"/>
      <c r="COG248" s="10"/>
      <c r="COH248" s="10"/>
      <c r="COI248" s="21"/>
      <c r="COJ248" s="21"/>
      <c r="COM248" s="21"/>
      <c r="CON248" s="15"/>
      <c r="COO248" s="15"/>
      <c r="COP248" s="15"/>
      <c r="COQ248" s="15"/>
      <c r="COR248" s="15"/>
      <c r="COS248" s="15"/>
      <c r="COT248" s="15"/>
      <c r="COU248" s="15"/>
      <c r="COV248" s="15"/>
      <c r="COW248" s="15"/>
      <c r="COX248" s="10"/>
      <c r="COY248" s="10"/>
      <c r="COZ248" s="21"/>
      <c r="CPA248" s="21"/>
      <c r="CPD248" s="21"/>
      <c r="CPE248" s="15"/>
      <c r="CPF248" s="15"/>
      <c r="CPG248" s="15"/>
      <c r="CPH248" s="15"/>
      <c r="CPI248" s="15"/>
      <c r="CPJ248" s="15"/>
      <c r="CPK248" s="15"/>
      <c r="CPL248" s="15"/>
      <c r="CPM248" s="15"/>
      <c r="CPN248" s="15"/>
      <c r="CPO248" s="10"/>
      <c r="CPP248" s="10"/>
      <c r="CPQ248" s="21"/>
      <c r="CPR248" s="21"/>
      <c r="CPU248" s="21"/>
      <c r="CPV248" s="15"/>
      <c r="CPW248" s="15"/>
      <c r="CPX248" s="15"/>
      <c r="CPY248" s="15"/>
      <c r="CPZ248" s="15"/>
      <c r="CQA248" s="15"/>
      <c r="CQB248" s="15"/>
      <c r="CQC248" s="15"/>
      <c r="CQD248" s="15"/>
      <c r="CQE248" s="15"/>
      <c r="CQF248" s="10"/>
      <c r="CQG248" s="10"/>
      <c r="CQH248" s="21"/>
      <c r="CQI248" s="21"/>
      <c r="CQL248" s="21"/>
      <c r="CQM248" s="15"/>
      <c r="CQN248" s="15"/>
      <c r="CQO248" s="15"/>
      <c r="CQP248" s="15"/>
      <c r="CQQ248" s="15"/>
      <c r="CQR248" s="15"/>
      <c r="CQS248" s="15"/>
      <c r="CQT248" s="15"/>
      <c r="CQU248" s="15"/>
      <c r="CQV248" s="15"/>
      <c r="CQW248" s="10"/>
      <c r="CQX248" s="10"/>
      <c r="CQY248" s="21"/>
      <c r="CQZ248" s="21"/>
      <c r="CRC248" s="21"/>
      <c r="CRD248" s="15"/>
      <c r="CRE248" s="15"/>
      <c r="CRF248" s="15"/>
      <c r="CRG248" s="15"/>
      <c r="CRH248" s="15"/>
      <c r="CRI248" s="15"/>
      <c r="CRJ248" s="15"/>
      <c r="CRK248" s="15"/>
      <c r="CRL248" s="15"/>
      <c r="CRM248" s="15"/>
      <c r="CRN248" s="10"/>
      <c r="CRO248" s="10"/>
      <c r="CRP248" s="21"/>
      <c r="CRQ248" s="21"/>
      <c r="CRT248" s="21"/>
      <c r="CRU248" s="15"/>
      <c r="CRV248" s="15"/>
      <c r="CRW248" s="15"/>
      <c r="CRX248" s="15"/>
      <c r="CRY248" s="15"/>
      <c r="CRZ248" s="15"/>
      <c r="CSA248" s="15"/>
      <c r="CSB248" s="15"/>
      <c r="CSC248" s="15"/>
      <c r="CSD248" s="15"/>
      <c r="CSE248" s="10"/>
      <c r="CSF248" s="10"/>
      <c r="CSG248" s="21"/>
      <c r="CSH248" s="21"/>
      <c r="CSK248" s="21"/>
      <c r="CSL248" s="15"/>
      <c r="CSM248" s="15"/>
      <c r="CSN248" s="15"/>
      <c r="CSO248" s="15"/>
      <c r="CSP248" s="15"/>
      <c r="CSQ248" s="15"/>
      <c r="CSR248" s="15"/>
      <c r="CSS248" s="15"/>
      <c r="CST248" s="15"/>
      <c r="CSU248" s="15"/>
      <c r="CSV248" s="10"/>
      <c r="CSW248" s="10"/>
      <c r="CSX248" s="21"/>
      <c r="CSY248" s="21"/>
      <c r="CTB248" s="21"/>
      <c r="CTC248" s="15"/>
      <c r="CTD248" s="15"/>
      <c r="CTE248" s="15"/>
      <c r="CTF248" s="15"/>
      <c r="CTG248" s="15"/>
      <c r="CTH248" s="15"/>
      <c r="CTI248" s="15"/>
      <c r="CTJ248" s="15"/>
      <c r="CTK248" s="15"/>
      <c r="CTL248" s="15"/>
      <c r="CTM248" s="10"/>
      <c r="CTN248" s="10"/>
      <c r="CTO248" s="21"/>
      <c r="CTP248" s="21"/>
      <c r="CTS248" s="21"/>
      <c r="CTT248" s="15"/>
      <c r="CTU248" s="15"/>
      <c r="CTV248" s="15"/>
      <c r="CTW248" s="15"/>
      <c r="CTX248" s="15"/>
      <c r="CTY248" s="15"/>
      <c r="CTZ248" s="15"/>
      <c r="CUA248" s="15"/>
      <c r="CUB248" s="15"/>
      <c r="CUC248" s="15"/>
      <c r="CUD248" s="10"/>
      <c r="CUE248" s="10"/>
      <c r="CUF248" s="21"/>
      <c r="CUG248" s="21"/>
      <c r="CUJ248" s="21"/>
      <c r="CUK248" s="15"/>
      <c r="CUL248" s="15"/>
      <c r="CUM248" s="15"/>
      <c r="CUN248" s="15"/>
      <c r="CUO248" s="15"/>
      <c r="CUP248" s="15"/>
      <c r="CUQ248" s="15"/>
      <c r="CUR248" s="15"/>
      <c r="CUS248" s="15"/>
      <c r="CUT248" s="15"/>
      <c r="CUU248" s="10"/>
      <c r="CUV248" s="10"/>
      <c r="CUW248" s="21"/>
      <c r="CUX248" s="21"/>
      <c r="CVA248" s="21"/>
      <c r="CVB248" s="15"/>
      <c r="CVC248" s="15"/>
      <c r="CVD248" s="15"/>
      <c r="CVE248" s="15"/>
      <c r="CVF248" s="15"/>
      <c r="CVG248" s="15"/>
      <c r="CVH248" s="15"/>
      <c r="CVI248" s="15"/>
      <c r="CVJ248" s="15"/>
      <c r="CVK248" s="15"/>
      <c r="CVL248" s="10"/>
      <c r="CVM248" s="10"/>
      <c r="CVN248" s="21"/>
      <c r="CVO248" s="21"/>
      <c r="CVR248" s="21"/>
      <c r="CVS248" s="15"/>
      <c r="CVT248" s="15"/>
      <c r="CVU248" s="15"/>
      <c r="CVV248" s="15"/>
      <c r="CVW248" s="15"/>
      <c r="CVX248" s="15"/>
      <c r="CVY248" s="15"/>
      <c r="CVZ248" s="15"/>
      <c r="CWA248" s="15"/>
      <c r="CWB248" s="15"/>
      <c r="CWC248" s="10"/>
      <c r="CWD248" s="10"/>
      <c r="CWE248" s="21"/>
      <c r="CWF248" s="21"/>
      <c r="CWI248" s="21"/>
      <c r="CWJ248" s="15"/>
      <c r="CWK248" s="15"/>
      <c r="CWL248" s="15"/>
      <c r="CWM248" s="15"/>
      <c r="CWN248" s="15"/>
      <c r="CWO248" s="15"/>
      <c r="CWP248" s="15"/>
      <c r="CWQ248" s="15"/>
      <c r="CWR248" s="15"/>
      <c r="CWS248" s="15"/>
      <c r="CWT248" s="10"/>
      <c r="CWU248" s="10"/>
      <c r="CWV248" s="21"/>
      <c r="CWW248" s="21"/>
      <c r="CWZ248" s="21"/>
      <c r="CXA248" s="15"/>
      <c r="CXB248" s="15"/>
      <c r="CXC248" s="15"/>
      <c r="CXD248" s="15"/>
      <c r="CXE248" s="15"/>
      <c r="CXF248" s="15"/>
      <c r="CXG248" s="15"/>
      <c r="CXH248" s="15"/>
      <c r="CXI248" s="15"/>
      <c r="CXJ248" s="15"/>
      <c r="CXK248" s="10"/>
      <c r="CXL248" s="10"/>
      <c r="CXM248" s="21"/>
      <c r="CXN248" s="21"/>
      <c r="CXQ248" s="21"/>
      <c r="CXR248" s="15"/>
      <c r="CXS248" s="15"/>
      <c r="CXT248" s="15"/>
      <c r="CXU248" s="15"/>
      <c r="CXV248" s="15"/>
      <c r="CXW248" s="15"/>
      <c r="CXX248" s="15"/>
      <c r="CXY248" s="15"/>
      <c r="CXZ248" s="15"/>
      <c r="CYA248" s="15"/>
      <c r="CYB248" s="10"/>
      <c r="CYC248" s="10"/>
      <c r="CYD248" s="21"/>
      <c r="CYE248" s="21"/>
      <c r="CYH248" s="21"/>
      <c r="CYI248" s="15"/>
      <c r="CYJ248" s="15"/>
      <c r="CYK248" s="15"/>
      <c r="CYL248" s="15"/>
      <c r="CYM248" s="15"/>
      <c r="CYN248" s="15"/>
      <c r="CYO248" s="15"/>
      <c r="CYP248" s="15"/>
      <c r="CYQ248" s="15"/>
      <c r="CYR248" s="15"/>
      <c r="CYS248" s="10"/>
      <c r="CYT248" s="10"/>
      <c r="CYU248" s="21"/>
      <c r="CYV248" s="21"/>
      <c r="CYY248" s="21"/>
      <c r="CYZ248" s="15"/>
      <c r="CZA248" s="15"/>
      <c r="CZB248" s="15"/>
      <c r="CZC248" s="15"/>
      <c r="CZD248" s="15"/>
      <c r="CZE248" s="15"/>
      <c r="CZF248" s="15"/>
      <c r="CZG248" s="15"/>
      <c r="CZH248" s="15"/>
      <c r="CZI248" s="15"/>
      <c r="CZJ248" s="10"/>
      <c r="CZK248" s="10"/>
      <c r="CZL248" s="21"/>
      <c r="CZM248" s="21"/>
      <c r="CZP248" s="21"/>
      <c r="CZQ248" s="15"/>
      <c r="CZR248" s="15"/>
      <c r="CZS248" s="15"/>
      <c r="CZT248" s="15"/>
      <c r="CZU248" s="15"/>
      <c r="CZV248" s="15"/>
      <c r="CZW248" s="15"/>
      <c r="CZX248" s="15"/>
      <c r="CZY248" s="15"/>
      <c r="CZZ248" s="15"/>
      <c r="DAA248" s="10"/>
      <c r="DAB248" s="10"/>
      <c r="DAC248" s="21"/>
      <c r="DAD248" s="21"/>
      <c r="DAG248" s="21"/>
      <c r="DAH248" s="15"/>
      <c r="DAI248" s="15"/>
      <c r="DAJ248" s="15"/>
      <c r="DAK248" s="15"/>
      <c r="DAL248" s="15"/>
      <c r="DAM248" s="15"/>
      <c r="DAN248" s="15"/>
      <c r="DAO248" s="15"/>
      <c r="DAP248" s="15"/>
      <c r="DAQ248" s="15"/>
      <c r="DAR248" s="10"/>
      <c r="DAS248" s="10"/>
      <c r="DAT248" s="21"/>
      <c r="DAU248" s="21"/>
      <c r="DAX248" s="21"/>
      <c r="DAY248" s="15"/>
      <c r="DAZ248" s="15"/>
      <c r="DBA248" s="15"/>
      <c r="DBB248" s="15"/>
      <c r="DBC248" s="15"/>
      <c r="DBD248" s="15"/>
      <c r="DBE248" s="15"/>
      <c r="DBF248" s="15"/>
      <c r="DBG248" s="15"/>
      <c r="DBH248" s="15"/>
      <c r="DBI248" s="10"/>
      <c r="DBJ248" s="10"/>
      <c r="DBK248" s="21"/>
      <c r="DBL248" s="21"/>
      <c r="DBO248" s="21"/>
      <c r="DBP248" s="15"/>
      <c r="DBQ248" s="15"/>
      <c r="DBR248" s="15"/>
      <c r="DBS248" s="15"/>
      <c r="DBT248" s="15"/>
      <c r="DBU248" s="15"/>
      <c r="DBV248" s="15"/>
      <c r="DBW248" s="15"/>
      <c r="DBX248" s="15"/>
      <c r="DBY248" s="15"/>
      <c r="DBZ248" s="10"/>
      <c r="DCA248" s="10"/>
      <c r="DCB248" s="21"/>
      <c r="DCC248" s="21"/>
      <c r="DCF248" s="21"/>
      <c r="DCG248" s="15"/>
      <c r="DCH248" s="15"/>
      <c r="DCI248" s="15"/>
      <c r="DCJ248" s="15"/>
      <c r="DCK248" s="15"/>
      <c r="DCL248" s="15"/>
      <c r="DCM248" s="15"/>
      <c r="DCN248" s="15"/>
      <c r="DCO248" s="15"/>
      <c r="DCP248" s="15"/>
      <c r="DCQ248" s="10"/>
      <c r="DCR248" s="10"/>
      <c r="DCS248" s="21"/>
      <c r="DCT248" s="21"/>
      <c r="DCW248" s="21"/>
      <c r="DCX248" s="15"/>
      <c r="DCY248" s="15"/>
      <c r="DCZ248" s="15"/>
      <c r="DDA248" s="15"/>
      <c r="DDB248" s="15"/>
      <c r="DDC248" s="15"/>
      <c r="DDD248" s="15"/>
      <c r="DDE248" s="15"/>
      <c r="DDF248" s="15"/>
      <c r="DDG248" s="15"/>
      <c r="DDH248" s="10"/>
      <c r="DDI248" s="10"/>
      <c r="DDJ248" s="21"/>
      <c r="DDK248" s="21"/>
      <c r="DDN248" s="21"/>
      <c r="DDO248" s="15"/>
      <c r="DDP248" s="15"/>
      <c r="DDQ248" s="15"/>
      <c r="DDR248" s="15"/>
      <c r="DDS248" s="15"/>
      <c r="DDT248" s="15"/>
      <c r="DDU248" s="15"/>
      <c r="DDV248" s="15"/>
      <c r="DDW248" s="15"/>
      <c r="DDX248" s="15"/>
      <c r="DDY248" s="10"/>
      <c r="DDZ248" s="10"/>
      <c r="DEA248" s="21"/>
      <c r="DEB248" s="21"/>
      <c r="DEE248" s="21"/>
      <c r="DEF248" s="15"/>
      <c r="DEG248" s="15"/>
      <c r="DEH248" s="15"/>
      <c r="DEI248" s="15"/>
      <c r="DEJ248" s="15"/>
      <c r="DEK248" s="15"/>
      <c r="DEL248" s="15"/>
      <c r="DEM248" s="15"/>
      <c r="DEN248" s="15"/>
      <c r="DEO248" s="15"/>
      <c r="DEP248" s="10"/>
      <c r="DEQ248" s="10"/>
      <c r="DER248" s="21"/>
      <c r="DES248" s="21"/>
      <c r="DEV248" s="21"/>
      <c r="DEW248" s="15"/>
      <c r="DEX248" s="15"/>
      <c r="DEY248" s="15"/>
      <c r="DEZ248" s="15"/>
      <c r="DFA248" s="15"/>
      <c r="DFB248" s="15"/>
      <c r="DFC248" s="15"/>
      <c r="DFD248" s="15"/>
      <c r="DFE248" s="15"/>
      <c r="DFF248" s="15"/>
      <c r="DFG248" s="10"/>
      <c r="DFH248" s="10"/>
      <c r="DFI248" s="21"/>
      <c r="DFJ248" s="21"/>
      <c r="DFM248" s="21"/>
      <c r="DFN248" s="15"/>
      <c r="DFO248" s="15"/>
      <c r="DFP248" s="15"/>
      <c r="DFQ248" s="15"/>
      <c r="DFR248" s="15"/>
      <c r="DFS248" s="15"/>
      <c r="DFT248" s="15"/>
      <c r="DFU248" s="15"/>
      <c r="DFV248" s="15"/>
      <c r="DFW248" s="15"/>
      <c r="DFX248" s="10"/>
      <c r="DFY248" s="10"/>
      <c r="DFZ248" s="21"/>
      <c r="DGA248" s="21"/>
      <c r="DGD248" s="21"/>
      <c r="DGE248" s="15"/>
      <c r="DGF248" s="15"/>
      <c r="DGG248" s="15"/>
      <c r="DGH248" s="15"/>
      <c r="DGI248" s="15"/>
      <c r="DGJ248" s="15"/>
      <c r="DGK248" s="15"/>
      <c r="DGL248" s="15"/>
      <c r="DGM248" s="15"/>
      <c r="DGN248" s="15"/>
      <c r="DGO248" s="10"/>
      <c r="DGP248" s="10"/>
      <c r="DGQ248" s="21"/>
      <c r="DGR248" s="21"/>
      <c r="DGU248" s="21"/>
      <c r="DGV248" s="15"/>
      <c r="DGW248" s="15"/>
      <c r="DGX248" s="15"/>
      <c r="DGY248" s="15"/>
      <c r="DGZ248" s="15"/>
      <c r="DHA248" s="15"/>
      <c r="DHB248" s="15"/>
      <c r="DHC248" s="15"/>
      <c r="DHD248" s="15"/>
      <c r="DHE248" s="15"/>
      <c r="DHF248" s="10"/>
      <c r="DHG248" s="10"/>
      <c r="DHH248" s="21"/>
      <c r="DHI248" s="21"/>
      <c r="DHL248" s="21"/>
      <c r="DHM248" s="15"/>
      <c r="DHN248" s="15"/>
      <c r="DHO248" s="15"/>
      <c r="DHP248" s="15"/>
      <c r="DHQ248" s="15"/>
      <c r="DHR248" s="15"/>
      <c r="DHS248" s="15"/>
      <c r="DHT248" s="15"/>
      <c r="DHU248" s="15"/>
      <c r="DHV248" s="15"/>
      <c r="DHW248" s="10"/>
      <c r="DHX248" s="10"/>
      <c r="DHY248" s="21"/>
      <c r="DHZ248" s="21"/>
      <c r="DIC248" s="21"/>
      <c r="DID248" s="15"/>
      <c r="DIE248" s="15"/>
      <c r="DIF248" s="15"/>
      <c r="DIG248" s="15"/>
      <c r="DIH248" s="15"/>
      <c r="DII248" s="15"/>
      <c r="DIJ248" s="15"/>
      <c r="DIK248" s="15"/>
      <c r="DIL248" s="15"/>
      <c r="DIM248" s="15"/>
      <c r="DIN248" s="10"/>
      <c r="DIO248" s="10"/>
      <c r="DIP248" s="21"/>
      <c r="DIQ248" s="21"/>
      <c r="DIT248" s="21"/>
      <c r="DIU248" s="15"/>
      <c r="DIV248" s="15"/>
      <c r="DIW248" s="15"/>
      <c r="DIX248" s="15"/>
      <c r="DIY248" s="15"/>
      <c r="DIZ248" s="15"/>
      <c r="DJA248" s="15"/>
      <c r="DJB248" s="15"/>
      <c r="DJC248" s="15"/>
      <c r="DJD248" s="15"/>
      <c r="DJE248" s="10"/>
      <c r="DJF248" s="10"/>
      <c r="DJG248" s="21"/>
      <c r="DJH248" s="21"/>
      <c r="DJK248" s="21"/>
      <c r="DJL248" s="15"/>
      <c r="DJM248" s="15"/>
      <c r="DJN248" s="15"/>
      <c r="DJO248" s="15"/>
      <c r="DJP248" s="15"/>
      <c r="DJQ248" s="15"/>
      <c r="DJR248" s="15"/>
      <c r="DJS248" s="15"/>
      <c r="DJT248" s="15"/>
      <c r="DJU248" s="15"/>
      <c r="DJV248" s="10"/>
      <c r="DJW248" s="10"/>
      <c r="DJX248" s="21"/>
      <c r="DJY248" s="21"/>
      <c r="DKB248" s="21"/>
      <c r="DKC248" s="15"/>
      <c r="DKD248" s="15"/>
      <c r="DKE248" s="15"/>
      <c r="DKF248" s="15"/>
      <c r="DKG248" s="15"/>
      <c r="DKH248" s="15"/>
      <c r="DKI248" s="15"/>
      <c r="DKJ248" s="15"/>
      <c r="DKK248" s="15"/>
      <c r="DKL248" s="15"/>
      <c r="DKM248" s="10"/>
      <c r="DKN248" s="10"/>
      <c r="DKO248" s="21"/>
      <c r="DKP248" s="21"/>
      <c r="DKS248" s="21"/>
      <c r="DKT248" s="15"/>
      <c r="DKU248" s="15"/>
      <c r="DKV248" s="15"/>
      <c r="DKW248" s="15"/>
      <c r="DKX248" s="15"/>
      <c r="DKY248" s="15"/>
      <c r="DKZ248" s="15"/>
      <c r="DLA248" s="15"/>
      <c r="DLB248" s="15"/>
      <c r="DLC248" s="15"/>
      <c r="DLD248" s="10"/>
      <c r="DLE248" s="10"/>
      <c r="DLF248" s="21"/>
      <c r="DLG248" s="21"/>
      <c r="DLJ248" s="21"/>
      <c r="DLK248" s="15"/>
      <c r="DLL248" s="15"/>
      <c r="DLM248" s="15"/>
      <c r="DLN248" s="15"/>
      <c r="DLO248" s="15"/>
      <c r="DLP248" s="15"/>
      <c r="DLQ248" s="15"/>
      <c r="DLR248" s="15"/>
      <c r="DLS248" s="15"/>
      <c r="DLT248" s="15"/>
      <c r="DLU248" s="10"/>
      <c r="DLV248" s="10"/>
      <c r="DLW248" s="21"/>
      <c r="DLX248" s="21"/>
      <c r="DMA248" s="21"/>
      <c r="DMB248" s="15"/>
      <c r="DMC248" s="15"/>
      <c r="DMD248" s="15"/>
      <c r="DME248" s="15"/>
      <c r="DMF248" s="15"/>
      <c r="DMG248" s="15"/>
      <c r="DMH248" s="15"/>
      <c r="DMI248" s="15"/>
      <c r="DMJ248" s="15"/>
      <c r="DMK248" s="15"/>
      <c r="DML248" s="10"/>
      <c r="DMM248" s="10"/>
      <c r="DMN248" s="21"/>
      <c r="DMO248" s="21"/>
      <c r="DMR248" s="21"/>
      <c r="DMS248" s="15"/>
      <c r="DMT248" s="15"/>
      <c r="DMU248" s="15"/>
      <c r="DMV248" s="15"/>
      <c r="DMW248" s="15"/>
      <c r="DMX248" s="15"/>
      <c r="DMY248" s="15"/>
      <c r="DMZ248" s="15"/>
      <c r="DNA248" s="15"/>
      <c r="DNB248" s="15"/>
      <c r="DNC248" s="10"/>
      <c r="DND248" s="10"/>
      <c r="DNE248" s="21"/>
      <c r="DNF248" s="21"/>
      <c r="DNI248" s="21"/>
      <c r="DNJ248" s="15"/>
      <c r="DNK248" s="15"/>
      <c r="DNL248" s="15"/>
      <c r="DNM248" s="15"/>
      <c r="DNN248" s="15"/>
      <c r="DNO248" s="15"/>
      <c r="DNP248" s="15"/>
      <c r="DNQ248" s="15"/>
      <c r="DNR248" s="15"/>
      <c r="DNS248" s="15"/>
      <c r="DNT248" s="10"/>
      <c r="DNU248" s="10"/>
      <c r="DNV248" s="21"/>
      <c r="DNW248" s="21"/>
      <c r="DNZ248" s="21"/>
      <c r="DOA248" s="15"/>
      <c r="DOB248" s="15"/>
      <c r="DOC248" s="15"/>
      <c r="DOD248" s="15"/>
      <c r="DOE248" s="15"/>
      <c r="DOF248" s="15"/>
      <c r="DOG248" s="15"/>
      <c r="DOH248" s="15"/>
      <c r="DOI248" s="15"/>
      <c r="DOJ248" s="15"/>
      <c r="DOK248" s="10"/>
      <c r="DOL248" s="10"/>
      <c r="DOM248" s="21"/>
      <c r="DON248" s="21"/>
      <c r="DOQ248" s="21"/>
      <c r="DOR248" s="15"/>
      <c r="DOS248" s="15"/>
      <c r="DOT248" s="15"/>
      <c r="DOU248" s="15"/>
      <c r="DOV248" s="15"/>
      <c r="DOW248" s="15"/>
      <c r="DOX248" s="15"/>
      <c r="DOY248" s="15"/>
      <c r="DOZ248" s="15"/>
      <c r="DPA248" s="15"/>
      <c r="DPB248" s="10"/>
      <c r="DPC248" s="10"/>
      <c r="DPD248" s="21"/>
      <c r="DPE248" s="21"/>
      <c r="DPH248" s="21"/>
      <c r="DPI248" s="15"/>
      <c r="DPJ248" s="15"/>
      <c r="DPK248" s="15"/>
      <c r="DPL248" s="15"/>
      <c r="DPM248" s="15"/>
      <c r="DPN248" s="15"/>
      <c r="DPO248" s="15"/>
      <c r="DPP248" s="15"/>
      <c r="DPQ248" s="15"/>
      <c r="DPR248" s="15"/>
      <c r="DPS248" s="10"/>
      <c r="DPT248" s="10"/>
      <c r="DPU248" s="21"/>
      <c r="DPV248" s="21"/>
      <c r="DPY248" s="21"/>
      <c r="DPZ248" s="15"/>
      <c r="DQA248" s="15"/>
      <c r="DQB248" s="15"/>
      <c r="DQC248" s="15"/>
      <c r="DQD248" s="15"/>
      <c r="DQE248" s="15"/>
      <c r="DQF248" s="15"/>
      <c r="DQG248" s="15"/>
      <c r="DQH248" s="15"/>
      <c r="DQI248" s="15"/>
      <c r="DQJ248" s="10"/>
      <c r="DQK248" s="10"/>
      <c r="DQL248" s="21"/>
      <c r="DQM248" s="21"/>
      <c r="DQP248" s="21"/>
      <c r="DQQ248" s="15"/>
      <c r="DQR248" s="15"/>
      <c r="DQS248" s="15"/>
      <c r="DQT248" s="15"/>
      <c r="DQU248" s="15"/>
      <c r="DQV248" s="15"/>
      <c r="DQW248" s="15"/>
      <c r="DQX248" s="15"/>
      <c r="DQY248" s="15"/>
      <c r="DQZ248" s="15"/>
      <c r="DRA248" s="10"/>
      <c r="DRB248" s="10"/>
      <c r="DRC248" s="21"/>
      <c r="DRD248" s="21"/>
      <c r="DRG248" s="21"/>
      <c r="DRH248" s="15"/>
      <c r="DRI248" s="15"/>
      <c r="DRJ248" s="15"/>
      <c r="DRK248" s="15"/>
      <c r="DRL248" s="15"/>
      <c r="DRM248" s="15"/>
      <c r="DRN248" s="15"/>
      <c r="DRO248" s="15"/>
      <c r="DRP248" s="15"/>
      <c r="DRQ248" s="15"/>
      <c r="DRR248" s="10"/>
      <c r="DRS248" s="10"/>
      <c r="DRT248" s="21"/>
      <c r="DRU248" s="21"/>
      <c r="DRX248" s="21"/>
      <c r="DRY248" s="15"/>
      <c r="DRZ248" s="15"/>
      <c r="DSA248" s="15"/>
      <c r="DSB248" s="15"/>
      <c r="DSC248" s="15"/>
      <c r="DSD248" s="15"/>
      <c r="DSE248" s="15"/>
      <c r="DSF248" s="15"/>
      <c r="DSG248" s="15"/>
      <c r="DSH248" s="15"/>
      <c r="DSI248" s="10"/>
      <c r="DSJ248" s="10"/>
      <c r="DSK248" s="21"/>
      <c r="DSL248" s="21"/>
      <c r="DSO248" s="21"/>
      <c r="DSP248" s="15"/>
      <c r="DSQ248" s="15"/>
      <c r="DSR248" s="15"/>
      <c r="DSS248" s="15"/>
      <c r="DST248" s="15"/>
      <c r="DSU248" s="15"/>
      <c r="DSV248" s="15"/>
      <c r="DSW248" s="15"/>
      <c r="DSX248" s="15"/>
      <c r="DSY248" s="15"/>
      <c r="DSZ248" s="10"/>
      <c r="DTA248" s="10"/>
      <c r="DTB248" s="21"/>
      <c r="DTC248" s="21"/>
      <c r="DTF248" s="21"/>
      <c r="DTG248" s="15"/>
      <c r="DTH248" s="15"/>
      <c r="DTI248" s="15"/>
      <c r="DTJ248" s="15"/>
      <c r="DTK248" s="15"/>
      <c r="DTL248" s="15"/>
      <c r="DTM248" s="15"/>
      <c r="DTN248" s="15"/>
      <c r="DTO248" s="15"/>
      <c r="DTP248" s="15"/>
      <c r="DTQ248" s="10"/>
      <c r="DTR248" s="10"/>
      <c r="DTS248" s="21"/>
      <c r="DTT248" s="21"/>
      <c r="DTW248" s="21"/>
      <c r="DTX248" s="15"/>
      <c r="DTY248" s="15"/>
      <c r="DTZ248" s="15"/>
      <c r="DUA248" s="15"/>
      <c r="DUB248" s="15"/>
      <c r="DUC248" s="15"/>
      <c r="DUD248" s="15"/>
      <c r="DUE248" s="15"/>
      <c r="DUF248" s="15"/>
      <c r="DUG248" s="15"/>
      <c r="DUH248" s="10"/>
      <c r="DUI248" s="10"/>
      <c r="DUJ248" s="21"/>
      <c r="DUK248" s="21"/>
      <c r="DUN248" s="21"/>
      <c r="DUO248" s="15"/>
      <c r="DUP248" s="15"/>
      <c r="DUQ248" s="15"/>
      <c r="DUR248" s="15"/>
      <c r="DUS248" s="15"/>
      <c r="DUT248" s="15"/>
      <c r="DUU248" s="15"/>
      <c r="DUV248" s="15"/>
      <c r="DUW248" s="15"/>
      <c r="DUX248" s="15"/>
      <c r="DUY248" s="10"/>
      <c r="DUZ248" s="10"/>
      <c r="DVA248" s="21"/>
      <c r="DVB248" s="21"/>
      <c r="DVE248" s="21"/>
      <c r="DVF248" s="15"/>
      <c r="DVG248" s="15"/>
      <c r="DVH248" s="15"/>
      <c r="DVI248" s="15"/>
      <c r="DVJ248" s="15"/>
      <c r="DVK248" s="15"/>
      <c r="DVL248" s="15"/>
      <c r="DVM248" s="15"/>
      <c r="DVN248" s="15"/>
      <c r="DVO248" s="15"/>
      <c r="DVP248" s="10"/>
      <c r="DVQ248" s="10"/>
      <c r="DVR248" s="21"/>
      <c r="DVS248" s="21"/>
      <c r="DVV248" s="21"/>
      <c r="DVW248" s="15"/>
      <c r="DVX248" s="15"/>
      <c r="DVY248" s="15"/>
      <c r="DVZ248" s="15"/>
      <c r="DWA248" s="15"/>
      <c r="DWB248" s="15"/>
      <c r="DWC248" s="15"/>
      <c r="DWD248" s="15"/>
      <c r="DWE248" s="15"/>
      <c r="DWF248" s="15"/>
      <c r="DWG248" s="10"/>
      <c r="DWH248" s="10"/>
      <c r="DWI248" s="21"/>
      <c r="DWJ248" s="21"/>
      <c r="DWM248" s="21"/>
      <c r="DWN248" s="15"/>
      <c r="DWO248" s="15"/>
      <c r="DWP248" s="15"/>
      <c r="DWQ248" s="15"/>
      <c r="DWR248" s="15"/>
      <c r="DWS248" s="15"/>
      <c r="DWT248" s="15"/>
      <c r="DWU248" s="15"/>
      <c r="DWV248" s="15"/>
      <c r="DWW248" s="15"/>
      <c r="DWX248" s="10"/>
      <c r="DWY248" s="10"/>
      <c r="DWZ248" s="21"/>
      <c r="DXA248" s="21"/>
      <c r="DXD248" s="21"/>
      <c r="DXE248" s="15"/>
      <c r="DXF248" s="15"/>
      <c r="DXG248" s="15"/>
      <c r="DXH248" s="15"/>
      <c r="DXI248" s="15"/>
      <c r="DXJ248" s="15"/>
      <c r="DXK248" s="15"/>
      <c r="DXL248" s="15"/>
      <c r="DXM248" s="15"/>
      <c r="DXN248" s="15"/>
      <c r="DXO248" s="10"/>
      <c r="DXP248" s="10"/>
      <c r="DXQ248" s="21"/>
      <c r="DXR248" s="21"/>
      <c r="DXU248" s="21"/>
      <c r="DXV248" s="15"/>
      <c r="DXW248" s="15"/>
      <c r="DXX248" s="15"/>
      <c r="DXY248" s="15"/>
      <c r="DXZ248" s="15"/>
      <c r="DYA248" s="15"/>
      <c r="DYB248" s="15"/>
      <c r="DYC248" s="15"/>
      <c r="DYD248" s="15"/>
      <c r="DYE248" s="15"/>
      <c r="DYF248" s="10"/>
      <c r="DYG248" s="10"/>
      <c r="DYH248" s="21"/>
      <c r="DYI248" s="21"/>
      <c r="DYL248" s="21"/>
      <c r="DYM248" s="15"/>
      <c r="DYN248" s="15"/>
      <c r="DYO248" s="15"/>
      <c r="DYP248" s="15"/>
      <c r="DYQ248" s="15"/>
      <c r="DYR248" s="15"/>
      <c r="DYS248" s="15"/>
      <c r="DYT248" s="15"/>
      <c r="DYU248" s="15"/>
      <c r="DYV248" s="15"/>
      <c r="DYW248" s="10"/>
      <c r="DYX248" s="10"/>
      <c r="DYY248" s="21"/>
      <c r="DYZ248" s="21"/>
      <c r="DZC248" s="21"/>
      <c r="DZD248" s="15"/>
      <c r="DZE248" s="15"/>
      <c r="DZF248" s="15"/>
      <c r="DZG248" s="15"/>
      <c r="DZH248" s="15"/>
      <c r="DZI248" s="15"/>
      <c r="DZJ248" s="15"/>
      <c r="DZK248" s="15"/>
      <c r="DZL248" s="15"/>
      <c r="DZM248" s="15"/>
      <c r="DZN248" s="10"/>
      <c r="DZO248" s="10"/>
      <c r="DZP248" s="21"/>
      <c r="DZQ248" s="21"/>
      <c r="DZT248" s="21"/>
      <c r="DZU248" s="15"/>
      <c r="DZV248" s="15"/>
      <c r="DZW248" s="15"/>
      <c r="DZX248" s="15"/>
      <c r="DZY248" s="15"/>
      <c r="DZZ248" s="15"/>
      <c r="EAA248" s="15"/>
      <c r="EAB248" s="15"/>
      <c r="EAC248" s="15"/>
      <c r="EAD248" s="15"/>
      <c r="EAE248" s="10"/>
      <c r="EAF248" s="10"/>
      <c r="EAG248" s="21"/>
      <c r="EAH248" s="21"/>
      <c r="EAK248" s="21"/>
      <c r="EAL248" s="15"/>
      <c r="EAM248" s="15"/>
      <c r="EAN248" s="15"/>
      <c r="EAO248" s="15"/>
      <c r="EAP248" s="15"/>
      <c r="EAQ248" s="15"/>
      <c r="EAR248" s="15"/>
      <c r="EAS248" s="15"/>
      <c r="EAT248" s="15"/>
      <c r="EAU248" s="15"/>
      <c r="EAV248" s="10"/>
      <c r="EAW248" s="10"/>
      <c r="EAX248" s="21"/>
      <c r="EAY248" s="21"/>
      <c r="EBB248" s="21"/>
      <c r="EBC248" s="15"/>
      <c r="EBD248" s="15"/>
      <c r="EBE248" s="15"/>
      <c r="EBF248" s="15"/>
      <c r="EBG248" s="15"/>
      <c r="EBH248" s="15"/>
      <c r="EBI248" s="15"/>
      <c r="EBJ248" s="15"/>
      <c r="EBK248" s="15"/>
      <c r="EBL248" s="15"/>
      <c r="EBM248" s="10"/>
      <c r="EBN248" s="10"/>
      <c r="EBO248" s="21"/>
      <c r="EBP248" s="21"/>
      <c r="EBS248" s="21"/>
      <c r="EBT248" s="15"/>
      <c r="EBU248" s="15"/>
      <c r="EBV248" s="15"/>
      <c r="EBW248" s="15"/>
      <c r="EBX248" s="15"/>
      <c r="EBY248" s="15"/>
      <c r="EBZ248" s="15"/>
      <c r="ECA248" s="15"/>
      <c r="ECB248" s="15"/>
      <c r="ECC248" s="15"/>
      <c r="ECD248" s="10"/>
      <c r="ECE248" s="10"/>
      <c r="ECF248" s="21"/>
      <c r="ECG248" s="21"/>
      <c r="ECJ248" s="21"/>
      <c r="ECK248" s="15"/>
      <c r="ECL248" s="15"/>
      <c r="ECM248" s="15"/>
      <c r="ECN248" s="15"/>
      <c r="ECO248" s="15"/>
      <c r="ECP248" s="15"/>
      <c r="ECQ248" s="15"/>
      <c r="ECR248" s="15"/>
      <c r="ECS248" s="15"/>
      <c r="ECT248" s="15"/>
      <c r="ECU248" s="10"/>
      <c r="ECV248" s="10"/>
      <c r="ECW248" s="21"/>
      <c r="ECX248" s="21"/>
      <c r="EDA248" s="21"/>
      <c r="EDB248" s="15"/>
      <c r="EDC248" s="15"/>
      <c r="EDD248" s="15"/>
      <c r="EDE248" s="15"/>
      <c r="EDF248" s="15"/>
      <c r="EDG248" s="15"/>
      <c r="EDH248" s="15"/>
      <c r="EDI248" s="15"/>
      <c r="EDJ248" s="15"/>
      <c r="EDK248" s="15"/>
      <c r="EDL248" s="10"/>
      <c r="EDM248" s="10"/>
      <c r="EDN248" s="21"/>
      <c r="EDO248" s="21"/>
      <c r="EDR248" s="21"/>
      <c r="EDS248" s="15"/>
      <c r="EDT248" s="15"/>
      <c r="EDU248" s="15"/>
      <c r="EDV248" s="15"/>
      <c r="EDW248" s="15"/>
      <c r="EDX248" s="15"/>
      <c r="EDY248" s="15"/>
      <c r="EDZ248" s="15"/>
      <c r="EEA248" s="15"/>
      <c r="EEB248" s="15"/>
      <c r="EEC248" s="10"/>
      <c r="EED248" s="10"/>
      <c r="EEE248" s="21"/>
      <c r="EEF248" s="21"/>
      <c r="EEI248" s="21"/>
      <c r="EEJ248" s="15"/>
      <c r="EEK248" s="15"/>
      <c r="EEL248" s="15"/>
      <c r="EEM248" s="15"/>
      <c r="EEN248" s="15"/>
      <c r="EEO248" s="15"/>
      <c r="EEP248" s="15"/>
      <c r="EEQ248" s="15"/>
      <c r="EER248" s="15"/>
      <c r="EES248" s="15"/>
      <c r="EET248" s="10"/>
      <c r="EEU248" s="10"/>
      <c r="EEV248" s="21"/>
      <c r="EEW248" s="21"/>
      <c r="EEZ248" s="21"/>
      <c r="EFA248" s="15"/>
      <c r="EFB248" s="15"/>
      <c r="EFC248" s="15"/>
      <c r="EFD248" s="15"/>
      <c r="EFE248" s="15"/>
      <c r="EFF248" s="15"/>
      <c r="EFG248" s="15"/>
      <c r="EFH248" s="15"/>
      <c r="EFI248" s="15"/>
      <c r="EFJ248" s="15"/>
      <c r="EFK248" s="10"/>
      <c r="EFL248" s="10"/>
      <c r="EFM248" s="21"/>
      <c r="EFN248" s="21"/>
      <c r="EFQ248" s="21"/>
      <c r="EFR248" s="15"/>
      <c r="EFS248" s="15"/>
      <c r="EFT248" s="15"/>
      <c r="EFU248" s="15"/>
      <c r="EFV248" s="15"/>
      <c r="EFW248" s="15"/>
      <c r="EFX248" s="15"/>
      <c r="EFY248" s="15"/>
      <c r="EFZ248" s="15"/>
      <c r="EGA248" s="15"/>
      <c r="EGB248" s="10"/>
      <c r="EGC248" s="10"/>
      <c r="EGD248" s="21"/>
      <c r="EGE248" s="21"/>
      <c r="EGH248" s="21"/>
      <c r="EGI248" s="15"/>
      <c r="EGJ248" s="15"/>
      <c r="EGK248" s="15"/>
      <c r="EGL248" s="15"/>
      <c r="EGM248" s="15"/>
      <c r="EGN248" s="15"/>
      <c r="EGO248" s="15"/>
      <c r="EGP248" s="15"/>
      <c r="EGQ248" s="15"/>
      <c r="EGR248" s="15"/>
      <c r="EGS248" s="10"/>
      <c r="EGT248" s="10"/>
      <c r="EGU248" s="21"/>
      <c r="EGV248" s="21"/>
      <c r="EGY248" s="21"/>
      <c r="EGZ248" s="15"/>
      <c r="EHA248" s="15"/>
      <c r="EHB248" s="15"/>
      <c r="EHC248" s="15"/>
      <c r="EHD248" s="15"/>
      <c r="EHE248" s="15"/>
      <c r="EHF248" s="15"/>
      <c r="EHG248" s="15"/>
      <c r="EHH248" s="15"/>
      <c r="EHI248" s="15"/>
      <c r="EHJ248" s="10"/>
      <c r="EHK248" s="10"/>
      <c r="EHL248" s="21"/>
      <c r="EHM248" s="21"/>
      <c r="EHP248" s="21"/>
      <c r="EHQ248" s="15"/>
      <c r="EHR248" s="15"/>
      <c r="EHS248" s="15"/>
      <c r="EHT248" s="15"/>
      <c r="EHU248" s="15"/>
      <c r="EHV248" s="15"/>
      <c r="EHW248" s="15"/>
      <c r="EHX248" s="15"/>
      <c r="EHY248" s="15"/>
      <c r="EHZ248" s="15"/>
      <c r="EIA248" s="10"/>
      <c r="EIB248" s="10"/>
      <c r="EIC248" s="21"/>
      <c r="EID248" s="21"/>
      <c r="EIG248" s="21"/>
      <c r="EIH248" s="15"/>
      <c r="EII248" s="15"/>
      <c r="EIJ248" s="15"/>
      <c r="EIK248" s="15"/>
      <c r="EIL248" s="15"/>
      <c r="EIM248" s="15"/>
      <c r="EIN248" s="15"/>
      <c r="EIO248" s="15"/>
      <c r="EIP248" s="15"/>
      <c r="EIQ248" s="15"/>
      <c r="EIR248" s="10"/>
      <c r="EIS248" s="10"/>
      <c r="EIT248" s="21"/>
      <c r="EIU248" s="21"/>
      <c r="EIX248" s="21"/>
      <c r="EIY248" s="15"/>
      <c r="EIZ248" s="15"/>
      <c r="EJA248" s="15"/>
      <c r="EJB248" s="15"/>
      <c r="EJC248" s="15"/>
      <c r="EJD248" s="15"/>
      <c r="EJE248" s="15"/>
      <c r="EJF248" s="15"/>
      <c r="EJG248" s="15"/>
      <c r="EJH248" s="15"/>
      <c r="EJI248" s="10"/>
      <c r="EJJ248" s="10"/>
      <c r="EJK248" s="21"/>
      <c r="EJL248" s="21"/>
      <c r="EJO248" s="21"/>
      <c r="EJP248" s="15"/>
      <c r="EJQ248" s="15"/>
      <c r="EJR248" s="15"/>
      <c r="EJS248" s="15"/>
      <c r="EJT248" s="15"/>
      <c r="EJU248" s="15"/>
      <c r="EJV248" s="15"/>
      <c r="EJW248" s="15"/>
      <c r="EJX248" s="15"/>
      <c r="EJY248" s="15"/>
      <c r="EJZ248" s="10"/>
      <c r="EKA248" s="10"/>
      <c r="EKB248" s="21"/>
      <c r="EKC248" s="21"/>
      <c r="EKF248" s="21"/>
      <c r="EKG248" s="15"/>
      <c r="EKH248" s="15"/>
      <c r="EKI248" s="15"/>
      <c r="EKJ248" s="15"/>
      <c r="EKK248" s="15"/>
      <c r="EKL248" s="15"/>
      <c r="EKM248" s="15"/>
      <c r="EKN248" s="15"/>
      <c r="EKO248" s="15"/>
      <c r="EKP248" s="15"/>
      <c r="EKQ248" s="10"/>
      <c r="EKR248" s="10"/>
      <c r="EKS248" s="21"/>
      <c r="EKT248" s="21"/>
      <c r="EKW248" s="21"/>
      <c r="EKX248" s="15"/>
      <c r="EKY248" s="15"/>
      <c r="EKZ248" s="15"/>
      <c r="ELA248" s="15"/>
      <c r="ELB248" s="15"/>
      <c r="ELC248" s="15"/>
      <c r="ELD248" s="15"/>
      <c r="ELE248" s="15"/>
      <c r="ELF248" s="15"/>
      <c r="ELG248" s="15"/>
      <c r="ELH248" s="10"/>
      <c r="ELI248" s="10"/>
      <c r="ELJ248" s="21"/>
      <c r="ELK248" s="21"/>
      <c r="ELN248" s="21"/>
      <c r="ELO248" s="15"/>
      <c r="ELP248" s="15"/>
      <c r="ELQ248" s="15"/>
      <c r="ELR248" s="15"/>
      <c r="ELS248" s="15"/>
      <c r="ELT248" s="15"/>
      <c r="ELU248" s="15"/>
      <c r="ELV248" s="15"/>
      <c r="ELW248" s="15"/>
      <c r="ELX248" s="15"/>
      <c r="ELY248" s="10"/>
      <c r="ELZ248" s="10"/>
      <c r="EMA248" s="21"/>
      <c r="EMB248" s="21"/>
      <c r="EME248" s="21"/>
      <c r="EMF248" s="15"/>
      <c r="EMG248" s="15"/>
      <c r="EMH248" s="15"/>
      <c r="EMI248" s="15"/>
      <c r="EMJ248" s="15"/>
      <c r="EMK248" s="15"/>
      <c r="EML248" s="15"/>
      <c r="EMM248" s="15"/>
      <c r="EMN248" s="15"/>
      <c r="EMO248" s="15"/>
      <c r="EMP248" s="10"/>
      <c r="EMQ248" s="10"/>
      <c r="EMR248" s="21"/>
      <c r="EMS248" s="21"/>
      <c r="EMV248" s="21"/>
      <c r="EMW248" s="15"/>
      <c r="EMX248" s="15"/>
      <c r="EMY248" s="15"/>
      <c r="EMZ248" s="15"/>
      <c r="ENA248" s="15"/>
      <c r="ENB248" s="15"/>
      <c r="ENC248" s="15"/>
      <c r="END248" s="15"/>
      <c r="ENE248" s="15"/>
      <c r="ENF248" s="15"/>
      <c r="ENG248" s="10"/>
      <c r="ENH248" s="10"/>
      <c r="ENI248" s="21"/>
      <c r="ENJ248" s="21"/>
      <c r="ENM248" s="21"/>
      <c r="ENN248" s="15"/>
      <c r="ENO248" s="15"/>
      <c r="ENP248" s="15"/>
      <c r="ENQ248" s="15"/>
      <c r="ENR248" s="15"/>
      <c r="ENS248" s="15"/>
      <c r="ENT248" s="15"/>
      <c r="ENU248" s="15"/>
      <c r="ENV248" s="15"/>
      <c r="ENW248" s="15"/>
      <c r="ENX248" s="10"/>
      <c r="ENY248" s="10"/>
      <c r="ENZ248" s="21"/>
      <c r="EOA248" s="21"/>
      <c r="EOD248" s="21"/>
      <c r="EOE248" s="15"/>
      <c r="EOF248" s="15"/>
      <c r="EOG248" s="15"/>
      <c r="EOH248" s="15"/>
      <c r="EOI248" s="15"/>
      <c r="EOJ248" s="15"/>
      <c r="EOK248" s="15"/>
      <c r="EOL248" s="15"/>
      <c r="EOM248" s="15"/>
      <c r="EON248" s="15"/>
      <c r="EOO248" s="10"/>
      <c r="EOP248" s="10"/>
      <c r="EOQ248" s="21"/>
      <c r="EOR248" s="21"/>
      <c r="EOU248" s="21"/>
      <c r="EOV248" s="15"/>
      <c r="EOW248" s="15"/>
      <c r="EOX248" s="15"/>
      <c r="EOY248" s="15"/>
      <c r="EOZ248" s="15"/>
      <c r="EPA248" s="15"/>
      <c r="EPB248" s="15"/>
      <c r="EPC248" s="15"/>
      <c r="EPD248" s="15"/>
      <c r="EPE248" s="15"/>
      <c r="EPF248" s="10"/>
      <c r="EPG248" s="10"/>
      <c r="EPH248" s="21"/>
      <c r="EPI248" s="21"/>
      <c r="EPL248" s="21"/>
      <c r="EPM248" s="15"/>
      <c r="EPN248" s="15"/>
      <c r="EPO248" s="15"/>
      <c r="EPP248" s="15"/>
      <c r="EPQ248" s="15"/>
      <c r="EPR248" s="15"/>
      <c r="EPS248" s="15"/>
      <c r="EPT248" s="15"/>
      <c r="EPU248" s="15"/>
      <c r="EPV248" s="15"/>
      <c r="EPW248" s="10"/>
      <c r="EPX248" s="10"/>
      <c r="EPY248" s="21"/>
      <c r="EPZ248" s="21"/>
      <c r="EQC248" s="21"/>
      <c r="EQD248" s="15"/>
      <c r="EQE248" s="15"/>
      <c r="EQF248" s="15"/>
      <c r="EQG248" s="15"/>
      <c r="EQH248" s="15"/>
      <c r="EQI248" s="15"/>
      <c r="EQJ248" s="15"/>
      <c r="EQK248" s="15"/>
      <c r="EQL248" s="15"/>
      <c r="EQM248" s="15"/>
      <c r="EQN248" s="10"/>
      <c r="EQO248" s="10"/>
      <c r="EQP248" s="21"/>
      <c r="EQQ248" s="21"/>
      <c r="EQT248" s="21"/>
      <c r="EQU248" s="15"/>
      <c r="EQV248" s="15"/>
      <c r="EQW248" s="15"/>
      <c r="EQX248" s="15"/>
      <c r="EQY248" s="15"/>
      <c r="EQZ248" s="15"/>
      <c r="ERA248" s="15"/>
      <c r="ERB248" s="15"/>
      <c r="ERC248" s="15"/>
      <c r="ERD248" s="15"/>
      <c r="ERE248" s="10"/>
      <c r="ERF248" s="10"/>
      <c r="ERG248" s="21"/>
      <c r="ERH248" s="21"/>
      <c r="ERK248" s="21"/>
      <c r="ERL248" s="15"/>
      <c r="ERM248" s="15"/>
      <c r="ERN248" s="15"/>
      <c r="ERO248" s="15"/>
      <c r="ERP248" s="15"/>
      <c r="ERQ248" s="15"/>
      <c r="ERR248" s="15"/>
      <c r="ERS248" s="15"/>
      <c r="ERT248" s="15"/>
      <c r="ERU248" s="15"/>
      <c r="ERV248" s="10"/>
      <c r="ERW248" s="10"/>
      <c r="ERX248" s="21"/>
      <c r="ERY248" s="21"/>
      <c r="ESB248" s="21"/>
      <c r="ESC248" s="15"/>
      <c r="ESD248" s="15"/>
      <c r="ESE248" s="15"/>
      <c r="ESF248" s="15"/>
      <c r="ESG248" s="15"/>
      <c r="ESH248" s="15"/>
      <c r="ESI248" s="15"/>
      <c r="ESJ248" s="15"/>
      <c r="ESK248" s="15"/>
      <c r="ESL248" s="15"/>
      <c r="ESM248" s="10"/>
      <c r="ESN248" s="10"/>
      <c r="ESO248" s="21"/>
      <c r="ESP248" s="21"/>
      <c r="ESS248" s="21"/>
      <c r="EST248" s="15"/>
      <c r="ESU248" s="15"/>
      <c r="ESV248" s="15"/>
      <c r="ESW248" s="15"/>
      <c r="ESX248" s="15"/>
      <c r="ESY248" s="15"/>
      <c r="ESZ248" s="15"/>
      <c r="ETA248" s="15"/>
      <c r="ETB248" s="15"/>
      <c r="ETC248" s="15"/>
      <c r="ETD248" s="10"/>
      <c r="ETE248" s="10"/>
      <c r="ETF248" s="21"/>
      <c r="ETG248" s="21"/>
      <c r="ETJ248" s="21"/>
      <c r="ETK248" s="15"/>
      <c r="ETL248" s="15"/>
      <c r="ETM248" s="15"/>
      <c r="ETN248" s="15"/>
      <c r="ETO248" s="15"/>
      <c r="ETP248" s="15"/>
      <c r="ETQ248" s="15"/>
      <c r="ETR248" s="15"/>
      <c r="ETS248" s="15"/>
      <c r="ETT248" s="15"/>
      <c r="ETU248" s="10"/>
      <c r="ETV248" s="10"/>
      <c r="ETW248" s="21"/>
      <c r="ETX248" s="21"/>
      <c r="EUA248" s="21"/>
      <c r="EUB248" s="15"/>
      <c r="EUC248" s="15"/>
      <c r="EUD248" s="15"/>
      <c r="EUE248" s="15"/>
      <c r="EUF248" s="15"/>
      <c r="EUG248" s="15"/>
      <c r="EUH248" s="15"/>
      <c r="EUI248" s="15"/>
      <c r="EUJ248" s="15"/>
      <c r="EUK248" s="15"/>
      <c r="EUL248" s="10"/>
      <c r="EUM248" s="10"/>
      <c r="EUN248" s="21"/>
      <c r="EUO248" s="21"/>
      <c r="EUR248" s="21"/>
      <c r="EUS248" s="15"/>
      <c r="EUT248" s="15"/>
      <c r="EUU248" s="15"/>
      <c r="EUV248" s="15"/>
      <c r="EUW248" s="15"/>
      <c r="EUX248" s="15"/>
      <c r="EUY248" s="15"/>
      <c r="EUZ248" s="15"/>
      <c r="EVA248" s="15"/>
      <c r="EVB248" s="15"/>
      <c r="EVC248" s="10"/>
      <c r="EVD248" s="10"/>
      <c r="EVE248" s="21"/>
      <c r="EVF248" s="21"/>
      <c r="EVI248" s="21"/>
      <c r="EVJ248" s="15"/>
      <c r="EVK248" s="15"/>
      <c r="EVL248" s="15"/>
      <c r="EVM248" s="15"/>
      <c r="EVN248" s="15"/>
      <c r="EVO248" s="15"/>
      <c r="EVP248" s="15"/>
      <c r="EVQ248" s="15"/>
      <c r="EVR248" s="15"/>
      <c r="EVS248" s="15"/>
      <c r="EVT248" s="10"/>
      <c r="EVU248" s="10"/>
      <c r="EVV248" s="21"/>
      <c r="EVW248" s="21"/>
      <c r="EVZ248" s="21"/>
      <c r="EWA248" s="15"/>
      <c r="EWB248" s="15"/>
      <c r="EWC248" s="15"/>
      <c r="EWD248" s="15"/>
      <c r="EWE248" s="15"/>
      <c r="EWF248" s="15"/>
      <c r="EWG248" s="15"/>
      <c r="EWH248" s="15"/>
      <c r="EWI248" s="15"/>
      <c r="EWJ248" s="15"/>
      <c r="EWK248" s="10"/>
      <c r="EWL248" s="10"/>
      <c r="EWM248" s="21"/>
      <c r="EWN248" s="21"/>
      <c r="EWQ248" s="21"/>
      <c r="EWR248" s="15"/>
      <c r="EWS248" s="15"/>
      <c r="EWT248" s="15"/>
      <c r="EWU248" s="15"/>
      <c r="EWV248" s="15"/>
      <c r="EWW248" s="15"/>
      <c r="EWX248" s="15"/>
      <c r="EWY248" s="15"/>
      <c r="EWZ248" s="15"/>
      <c r="EXA248" s="15"/>
      <c r="EXB248" s="10"/>
      <c r="EXC248" s="10"/>
      <c r="EXD248" s="21"/>
      <c r="EXE248" s="21"/>
      <c r="EXH248" s="21"/>
      <c r="EXI248" s="15"/>
      <c r="EXJ248" s="15"/>
      <c r="EXK248" s="15"/>
      <c r="EXL248" s="15"/>
      <c r="EXM248" s="15"/>
      <c r="EXN248" s="15"/>
      <c r="EXO248" s="15"/>
      <c r="EXP248" s="15"/>
      <c r="EXQ248" s="15"/>
      <c r="EXR248" s="15"/>
      <c r="EXS248" s="10"/>
      <c r="EXT248" s="10"/>
      <c r="EXU248" s="21"/>
      <c r="EXV248" s="21"/>
      <c r="EXY248" s="21"/>
      <c r="EXZ248" s="15"/>
      <c r="EYA248" s="15"/>
      <c r="EYB248" s="15"/>
      <c r="EYC248" s="15"/>
      <c r="EYD248" s="15"/>
      <c r="EYE248" s="15"/>
      <c r="EYF248" s="15"/>
      <c r="EYG248" s="15"/>
      <c r="EYH248" s="15"/>
      <c r="EYI248" s="15"/>
      <c r="EYJ248" s="10"/>
      <c r="EYK248" s="10"/>
      <c r="EYL248" s="21"/>
      <c r="EYM248" s="21"/>
      <c r="EYP248" s="21"/>
      <c r="EYQ248" s="15"/>
      <c r="EYR248" s="15"/>
      <c r="EYS248" s="15"/>
      <c r="EYT248" s="15"/>
      <c r="EYU248" s="15"/>
      <c r="EYV248" s="15"/>
      <c r="EYW248" s="15"/>
      <c r="EYX248" s="15"/>
      <c r="EYY248" s="15"/>
      <c r="EYZ248" s="15"/>
      <c r="EZA248" s="10"/>
      <c r="EZB248" s="10"/>
      <c r="EZC248" s="21"/>
      <c r="EZD248" s="21"/>
      <c r="EZG248" s="21"/>
      <c r="EZH248" s="15"/>
      <c r="EZI248" s="15"/>
      <c r="EZJ248" s="15"/>
      <c r="EZK248" s="15"/>
      <c r="EZL248" s="15"/>
      <c r="EZM248" s="15"/>
      <c r="EZN248" s="15"/>
      <c r="EZO248" s="15"/>
      <c r="EZP248" s="15"/>
      <c r="EZQ248" s="15"/>
      <c r="EZR248" s="10"/>
      <c r="EZS248" s="10"/>
      <c r="EZT248" s="21"/>
      <c r="EZU248" s="21"/>
      <c r="EZX248" s="21"/>
      <c r="EZY248" s="15"/>
      <c r="EZZ248" s="15"/>
      <c r="FAA248" s="15"/>
      <c r="FAB248" s="15"/>
      <c r="FAC248" s="15"/>
      <c r="FAD248" s="15"/>
      <c r="FAE248" s="15"/>
      <c r="FAF248" s="15"/>
      <c r="FAG248" s="15"/>
      <c r="FAH248" s="15"/>
      <c r="FAI248" s="10"/>
      <c r="FAJ248" s="10"/>
      <c r="FAK248" s="21"/>
      <c r="FAL248" s="21"/>
      <c r="FAO248" s="21"/>
      <c r="FAP248" s="15"/>
      <c r="FAQ248" s="15"/>
      <c r="FAR248" s="15"/>
      <c r="FAS248" s="15"/>
      <c r="FAT248" s="15"/>
      <c r="FAU248" s="15"/>
      <c r="FAV248" s="15"/>
      <c r="FAW248" s="15"/>
      <c r="FAX248" s="15"/>
      <c r="FAY248" s="15"/>
      <c r="FAZ248" s="10"/>
      <c r="FBA248" s="10"/>
      <c r="FBB248" s="21"/>
      <c r="FBC248" s="21"/>
      <c r="FBF248" s="21"/>
      <c r="FBG248" s="15"/>
      <c r="FBH248" s="15"/>
      <c r="FBI248" s="15"/>
      <c r="FBJ248" s="15"/>
      <c r="FBK248" s="15"/>
      <c r="FBL248" s="15"/>
      <c r="FBM248" s="15"/>
      <c r="FBN248" s="15"/>
      <c r="FBO248" s="15"/>
      <c r="FBP248" s="15"/>
      <c r="FBQ248" s="10"/>
      <c r="FBR248" s="10"/>
      <c r="FBS248" s="21"/>
      <c r="FBT248" s="21"/>
      <c r="FBW248" s="21"/>
      <c r="FBX248" s="15"/>
      <c r="FBY248" s="15"/>
      <c r="FBZ248" s="15"/>
      <c r="FCA248" s="15"/>
      <c r="FCB248" s="15"/>
      <c r="FCC248" s="15"/>
      <c r="FCD248" s="15"/>
      <c r="FCE248" s="15"/>
      <c r="FCF248" s="15"/>
      <c r="FCG248" s="15"/>
      <c r="FCH248" s="10"/>
      <c r="FCI248" s="10"/>
      <c r="FCJ248" s="21"/>
      <c r="FCK248" s="21"/>
      <c r="FCN248" s="21"/>
      <c r="FCO248" s="15"/>
      <c r="FCP248" s="15"/>
      <c r="FCQ248" s="15"/>
      <c r="FCR248" s="15"/>
      <c r="FCS248" s="15"/>
      <c r="FCT248" s="15"/>
      <c r="FCU248" s="15"/>
      <c r="FCV248" s="15"/>
      <c r="FCW248" s="15"/>
      <c r="FCX248" s="15"/>
      <c r="FCY248" s="10"/>
      <c r="FCZ248" s="10"/>
      <c r="FDA248" s="21"/>
      <c r="FDB248" s="21"/>
      <c r="FDE248" s="21"/>
      <c r="FDF248" s="15"/>
      <c r="FDG248" s="15"/>
      <c r="FDH248" s="15"/>
      <c r="FDI248" s="15"/>
      <c r="FDJ248" s="15"/>
      <c r="FDK248" s="15"/>
      <c r="FDL248" s="15"/>
      <c r="FDM248" s="15"/>
      <c r="FDN248" s="15"/>
      <c r="FDO248" s="15"/>
      <c r="FDP248" s="10"/>
      <c r="FDQ248" s="10"/>
      <c r="FDR248" s="21"/>
      <c r="FDS248" s="21"/>
      <c r="FDV248" s="21"/>
      <c r="FDW248" s="15"/>
      <c r="FDX248" s="15"/>
      <c r="FDY248" s="15"/>
      <c r="FDZ248" s="15"/>
      <c r="FEA248" s="15"/>
      <c r="FEB248" s="15"/>
      <c r="FEC248" s="15"/>
      <c r="FED248" s="15"/>
      <c r="FEE248" s="15"/>
      <c r="FEF248" s="15"/>
      <c r="FEG248" s="10"/>
      <c r="FEH248" s="10"/>
      <c r="FEI248" s="21"/>
      <c r="FEJ248" s="21"/>
      <c r="FEM248" s="21"/>
      <c r="FEN248" s="15"/>
      <c r="FEO248" s="15"/>
      <c r="FEP248" s="15"/>
      <c r="FEQ248" s="15"/>
      <c r="FER248" s="15"/>
      <c r="FES248" s="15"/>
      <c r="FET248" s="15"/>
      <c r="FEU248" s="15"/>
      <c r="FEV248" s="15"/>
      <c r="FEW248" s="15"/>
      <c r="FEX248" s="10"/>
      <c r="FEY248" s="10"/>
      <c r="FEZ248" s="21"/>
      <c r="FFA248" s="21"/>
      <c r="FFD248" s="21"/>
      <c r="FFE248" s="15"/>
      <c r="FFF248" s="15"/>
      <c r="FFG248" s="15"/>
      <c r="FFH248" s="15"/>
      <c r="FFI248" s="15"/>
      <c r="FFJ248" s="15"/>
      <c r="FFK248" s="15"/>
      <c r="FFL248" s="15"/>
      <c r="FFM248" s="15"/>
      <c r="FFN248" s="15"/>
      <c r="FFO248" s="10"/>
      <c r="FFP248" s="10"/>
      <c r="FFQ248" s="21"/>
      <c r="FFR248" s="21"/>
      <c r="FFU248" s="21"/>
      <c r="FFV248" s="15"/>
      <c r="FFW248" s="15"/>
      <c r="FFX248" s="15"/>
      <c r="FFY248" s="15"/>
      <c r="FFZ248" s="15"/>
      <c r="FGA248" s="15"/>
      <c r="FGB248" s="15"/>
      <c r="FGC248" s="15"/>
      <c r="FGD248" s="15"/>
      <c r="FGE248" s="15"/>
      <c r="FGF248" s="10"/>
      <c r="FGG248" s="10"/>
      <c r="FGH248" s="21"/>
      <c r="FGI248" s="21"/>
      <c r="FGL248" s="21"/>
      <c r="FGM248" s="15"/>
      <c r="FGN248" s="15"/>
      <c r="FGO248" s="15"/>
      <c r="FGP248" s="15"/>
      <c r="FGQ248" s="15"/>
      <c r="FGR248" s="15"/>
      <c r="FGS248" s="15"/>
      <c r="FGT248" s="15"/>
      <c r="FGU248" s="15"/>
      <c r="FGV248" s="15"/>
      <c r="FGW248" s="10"/>
      <c r="FGX248" s="10"/>
      <c r="FGY248" s="21"/>
      <c r="FGZ248" s="21"/>
      <c r="FHC248" s="21"/>
      <c r="FHD248" s="15"/>
      <c r="FHE248" s="15"/>
      <c r="FHF248" s="15"/>
      <c r="FHG248" s="15"/>
      <c r="FHH248" s="15"/>
      <c r="FHI248" s="15"/>
      <c r="FHJ248" s="15"/>
      <c r="FHK248" s="15"/>
      <c r="FHL248" s="15"/>
      <c r="FHM248" s="15"/>
      <c r="FHN248" s="10"/>
      <c r="FHO248" s="10"/>
      <c r="FHP248" s="21"/>
      <c r="FHQ248" s="21"/>
      <c r="FHT248" s="21"/>
      <c r="FHU248" s="15"/>
      <c r="FHV248" s="15"/>
      <c r="FHW248" s="15"/>
      <c r="FHX248" s="15"/>
      <c r="FHY248" s="15"/>
      <c r="FHZ248" s="15"/>
      <c r="FIA248" s="15"/>
      <c r="FIB248" s="15"/>
      <c r="FIC248" s="15"/>
      <c r="FID248" s="15"/>
      <c r="FIE248" s="10"/>
      <c r="FIF248" s="10"/>
      <c r="FIG248" s="21"/>
      <c r="FIH248" s="21"/>
      <c r="FIK248" s="21"/>
      <c r="FIL248" s="15"/>
      <c r="FIM248" s="15"/>
      <c r="FIN248" s="15"/>
      <c r="FIO248" s="15"/>
      <c r="FIP248" s="15"/>
      <c r="FIQ248" s="15"/>
      <c r="FIR248" s="15"/>
      <c r="FIS248" s="15"/>
      <c r="FIT248" s="15"/>
      <c r="FIU248" s="15"/>
      <c r="FIV248" s="10"/>
      <c r="FIW248" s="10"/>
      <c r="FIX248" s="21"/>
      <c r="FIY248" s="21"/>
      <c r="FJB248" s="21"/>
      <c r="FJC248" s="15"/>
      <c r="FJD248" s="15"/>
      <c r="FJE248" s="15"/>
      <c r="FJF248" s="15"/>
      <c r="FJG248" s="15"/>
      <c r="FJH248" s="15"/>
      <c r="FJI248" s="15"/>
      <c r="FJJ248" s="15"/>
      <c r="FJK248" s="15"/>
      <c r="FJL248" s="15"/>
      <c r="FJM248" s="10"/>
      <c r="FJN248" s="10"/>
      <c r="FJO248" s="21"/>
      <c r="FJP248" s="21"/>
      <c r="FJS248" s="21"/>
      <c r="FJT248" s="15"/>
      <c r="FJU248" s="15"/>
      <c r="FJV248" s="15"/>
      <c r="FJW248" s="15"/>
      <c r="FJX248" s="15"/>
      <c r="FJY248" s="15"/>
      <c r="FJZ248" s="15"/>
      <c r="FKA248" s="15"/>
      <c r="FKB248" s="15"/>
      <c r="FKC248" s="15"/>
      <c r="FKD248" s="10"/>
      <c r="FKE248" s="10"/>
      <c r="FKF248" s="21"/>
      <c r="FKG248" s="21"/>
      <c r="FKJ248" s="21"/>
      <c r="FKK248" s="15"/>
      <c r="FKL248" s="15"/>
      <c r="FKM248" s="15"/>
      <c r="FKN248" s="15"/>
      <c r="FKO248" s="15"/>
      <c r="FKP248" s="15"/>
      <c r="FKQ248" s="15"/>
      <c r="FKR248" s="15"/>
      <c r="FKS248" s="15"/>
      <c r="FKT248" s="15"/>
      <c r="FKU248" s="10"/>
      <c r="FKV248" s="10"/>
      <c r="FKW248" s="21"/>
      <c r="FKX248" s="21"/>
      <c r="FLA248" s="21"/>
      <c r="FLB248" s="15"/>
      <c r="FLC248" s="15"/>
      <c r="FLD248" s="15"/>
      <c r="FLE248" s="15"/>
      <c r="FLF248" s="15"/>
      <c r="FLG248" s="15"/>
      <c r="FLH248" s="15"/>
      <c r="FLI248" s="15"/>
      <c r="FLJ248" s="15"/>
      <c r="FLK248" s="15"/>
      <c r="FLL248" s="10"/>
      <c r="FLM248" s="10"/>
      <c r="FLN248" s="21"/>
      <c r="FLO248" s="21"/>
      <c r="FLR248" s="21"/>
      <c r="FLS248" s="15"/>
      <c r="FLT248" s="15"/>
      <c r="FLU248" s="15"/>
      <c r="FLV248" s="15"/>
      <c r="FLW248" s="15"/>
      <c r="FLX248" s="15"/>
      <c r="FLY248" s="15"/>
      <c r="FLZ248" s="15"/>
      <c r="FMA248" s="15"/>
      <c r="FMB248" s="15"/>
      <c r="FMC248" s="10"/>
      <c r="FMD248" s="10"/>
      <c r="FME248" s="21"/>
      <c r="FMF248" s="21"/>
      <c r="FMI248" s="21"/>
      <c r="FMJ248" s="15"/>
      <c r="FMK248" s="15"/>
      <c r="FML248" s="15"/>
      <c r="FMM248" s="15"/>
      <c r="FMN248" s="15"/>
      <c r="FMO248" s="15"/>
      <c r="FMP248" s="15"/>
      <c r="FMQ248" s="15"/>
      <c r="FMR248" s="15"/>
      <c r="FMS248" s="15"/>
      <c r="FMT248" s="10"/>
      <c r="FMU248" s="10"/>
      <c r="FMV248" s="21"/>
      <c r="FMW248" s="21"/>
      <c r="FMZ248" s="21"/>
      <c r="FNA248" s="15"/>
      <c r="FNB248" s="15"/>
      <c r="FNC248" s="15"/>
      <c r="FND248" s="15"/>
      <c r="FNE248" s="15"/>
      <c r="FNF248" s="15"/>
      <c r="FNG248" s="15"/>
      <c r="FNH248" s="15"/>
      <c r="FNI248" s="15"/>
      <c r="FNJ248" s="15"/>
      <c r="FNK248" s="10"/>
      <c r="FNL248" s="10"/>
      <c r="FNM248" s="21"/>
      <c r="FNN248" s="21"/>
      <c r="FNQ248" s="21"/>
      <c r="FNR248" s="15"/>
      <c r="FNS248" s="15"/>
      <c r="FNT248" s="15"/>
      <c r="FNU248" s="15"/>
      <c r="FNV248" s="15"/>
      <c r="FNW248" s="15"/>
      <c r="FNX248" s="15"/>
      <c r="FNY248" s="15"/>
      <c r="FNZ248" s="15"/>
      <c r="FOA248" s="15"/>
      <c r="FOB248" s="10"/>
      <c r="FOC248" s="10"/>
      <c r="FOD248" s="21"/>
      <c r="FOE248" s="21"/>
      <c r="FOH248" s="21"/>
      <c r="FOI248" s="15"/>
      <c r="FOJ248" s="15"/>
      <c r="FOK248" s="15"/>
      <c r="FOL248" s="15"/>
      <c r="FOM248" s="15"/>
      <c r="FON248" s="15"/>
      <c r="FOO248" s="15"/>
      <c r="FOP248" s="15"/>
      <c r="FOQ248" s="15"/>
      <c r="FOR248" s="15"/>
      <c r="FOS248" s="10"/>
      <c r="FOT248" s="10"/>
      <c r="FOU248" s="21"/>
      <c r="FOV248" s="21"/>
      <c r="FOY248" s="21"/>
      <c r="FOZ248" s="15"/>
      <c r="FPA248" s="15"/>
      <c r="FPB248" s="15"/>
      <c r="FPC248" s="15"/>
      <c r="FPD248" s="15"/>
      <c r="FPE248" s="15"/>
      <c r="FPF248" s="15"/>
      <c r="FPG248" s="15"/>
      <c r="FPH248" s="15"/>
      <c r="FPI248" s="15"/>
      <c r="FPJ248" s="10"/>
      <c r="FPK248" s="10"/>
      <c r="FPL248" s="21"/>
      <c r="FPM248" s="21"/>
      <c r="FPP248" s="21"/>
      <c r="FPQ248" s="15"/>
      <c r="FPR248" s="15"/>
      <c r="FPS248" s="15"/>
      <c r="FPT248" s="15"/>
      <c r="FPU248" s="15"/>
      <c r="FPV248" s="15"/>
      <c r="FPW248" s="15"/>
      <c r="FPX248" s="15"/>
      <c r="FPY248" s="15"/>
      <c r="FPZ248" s="15"/>
      <c r="FQA248" s="10"/>
      <c r="FQB248" s="10"/>
      <c r="FQC248" s="21"/>
      <c r="FQD248" s="21"/>
      <c r="FQG248" s="21"/>
      <c r="FQH248" s="15"/>
      <c r="FQI248" s="15"/>
      <c r="FQJ248" s="15"/>
      <c r="FQK248" s="15"/>
      <c r="FQL248" s="15"/>
      <c r="FQM248" s="15"/>
      <c r="FQN248" s="15"/>
      <c r="FQO248" s="15"/>
      <c r="FQP248" s="15"/>
      <c r="FQQ248" s="15"/>
      <c r="FQR248" s="10"/>
      <c r="FQS248" s="10"/>
      <c r="FQT248" s="21"/>
      <c r="FQU248" s="21"/>
      <c r="FQX248" s="21"/>
      <c r="FQY248" s="15"/>
      <c r="FQZ248" s="15"/>
      <c r="FRA248" s="15"/>
      <c r="FRB248" s="15"/>
      <c r="FRC248" s="15"/>
      <c r="FRD248" s="15"/>
      <c r="FRE248" s="15"/>
      <c r="FRF248" s="15"/>
      <c r="FRG248" s="15"/>
      <c r="FRH248" s="15"/>
      <c r="FRI248" s="10"/>
      <c r="FRJ248" s="10"/>
      <c r="FRK248" s="21"/>
      <c r="FRL248" s="21"/>
      <c r="FRO248" s="21"/>
      <c r="FRP248" s="15"/>
      <c r="FRQ248" s="15"/>
      <c r="FRR248" s="15"/>
      <c r="FRS248" s="15"/>
      <c r="FRT248" s="15"/>
      <c r="FRU248" s="15"/>
      <c r="FRV248" s="15"/>
      <c r="FRW248" s="15"/>
      <c r="FRX248" s="15"/>
      <c r="FRY248" s="15"/>
      <c r="FRZ248" s="10"/>
      <c r="FSA248" s="10"/>
      <c r="FSB248" s="21"/>
      <c r="FSC248" s="21"/>
      <c r="FSF248" s="21"/>
      <c r="FSG248" s="15"/>
      <c r="FSH248" s="15"/>
      <c r="FSI248" s="15"/>
      <c r="FSJ248" s="15"/>
      <c r="FSK248" s="15"/>
      <c r="FSL248" s="15"/>
      <c r="FSM248" s="15"/>
      <c r="FSN248" s="15"/>
      <c r="FSO248" s="15"/>
      <c r="FSP248" s="15"/>
      <c r="FSQ248" s="10"/>
      <c r="FSR248" s="10"/>
      <c r="FSS248" s="21"/>
      <c r="FST248" s="21"/>
      <c r="FSW248" s="21"/>
      <c r="FSX248" s="15"/>
      <c r="FSY248" s="15"/>
      <c r="FSZ248" s="15"/>
      <c r="FTA248" s="15"/>
      <c r="FTB248" s="15"/>
      <c r="FTC248" s="15"/>
      <c r="FTD248" s="15"/>
      <c r="FTE248" s="15"/>
      <c r="FTF248" s="15"/>
      <c r="FTG248" s="15"/>
      <c r="FTH248" s="10"/>
      <c r="FTI248" s="10"/>
      <c r="FTJ248" s="21"/>
      <c r="FTK248" s="21"/>
      <c r="FTN248" s="21"/>
      <c r="FTO248" s="15"/>
      <c r="FTP248" s="15"/>
      <c r="FTQ248" s="15"/>
      <c r="FTR248" s="15"/>
      <c r="FTS248" s="15"/>
      <c r="FTT248" s="15"/>
      <c r="FTU248" s="15"/>
      <c r="FTV248" s="15"/>
      <c r="FTW248" s="15"/>
      <c r="FTX248" s="15"/>
      <c r="FTY248" s="10"/>
      <c r="FTZ248" s="10"/>
      <c r="FUA248" s="21"/>
      <c r="FUB248" s="21"/>
      <c r="FUE248" s="21"/>
      <c r="FUF248" s="15"/>
      <c r="FUG248" s="15"/>
      <c r="FUH248" s="15"/>
      <c r="FUI248" s="15"/>
      <c r="FUJ248" s="15"/>
      <c r="FUK248" s="15"/>
      <c r="FUL248" s="15"/>
      <c r="FUM248" s="15"/>
      <c r="FUN248" s="15"/>
      <c r="FUO248" s="15"/>
      <c r="FUP248" s="10"/>
      <c r="FUQ248" s="10"/>
      <c r="FUR248" s="21"/>
      <c r="FUS248" s="21"/>
      <c r="FUV248" s="21"/>
      <c r="FUW248" s="15"/>
      <c r="FUX248" s="15"/>
      <c r="FUY248" s="15"/>
      <c r="FUZ248" s="15"/>
      <c r="FVA248" s="15"/>
      <c r="FVB248" s="15"/>
      <c r="FVC248" s="15"/>
      <c r="FVD248" s="15"/>
      <c r="FVE248" s="15"/>
      <c r="FVF248" s="15"/>
      <c r="FVG248" s="10"/>
      <c r="FVH248" s="10"/>
      <c r="FVI248" s="21"/>
      <c r="FVJ248" s="21"/>
      <c r="FVM248" s="21"/>
      <c r="FVN248" s="15"/>
      <c r="FVO248" s="15"/>
      <c r="FVP248" s="15"/>
      <c r="FVQ248" s="15"/>
      <c r="FVR248" s="15"/>
      <c r="FVS248" s="15"/>
      <c r="FVT248" s="15"/>
      <c r="FVU248" s="15"/>
      <c r="FVV248" s="15"/>
      <c r="FVW248" s="15"/>
      <c r="FVX248" s="10"/>
      <c r="FVY248" s="10"/>
      <c r="FVZ248" s="21"/>
      <c r="FWA248" s="21"/>
      <c r="FWD248" s="21"/>
      <c r="FWE248" s="15"/>
      <c r="FWF248" s="15"/>
      <c r="FWG248" s="15"/>
      <c r="FWH248" s="15"/>
      <c r="FWI248" s="15"/>
      <c r="FWJ248" s="15"/>
      <c r="FWK248" s="15"/>
      <c r="FWL248" s="15"/>
      <c r="FWM248" s="15"/>
      <c r="FWN248" s="15"/>
      <c r="FWO248" s="10"/>
      <c r="FWP248" s="10"/>
      <c r="FWQ248" s="21"/>
      <c r="FWR248" s="21"/>
      <c r="FWU248" s="21"/>
      <c r="FWV248" s="15"/>
      <c r="FWW248" s="15"/>
      <c r="FWX248" s="15"/>
      <c r="FWY248" s="15"/>
      <c r="FWZ248" s="15"/>
      <c r="FXA248" s="15"/>
      <c r="FXB248" s="15"/>
      <c r="FXC248" s="15"/>
      <c r="FXD248" s="15"/>
      <c r="FXE248" s="15"/>
      <c r="FXF248" s="10"/>
      <c r="FXG248" s="10"/>
      <c r="FXH248" s="21"/>
      <c r="FXI248" s="21"/>
      <c r="FXL248" s="21"/>
      <c r="FXM248" s="15"/>
      <c r="FXN248" s="15"/>
      <c r="FXO248" s="15"/>
      <c r="FXP248" s="15"/>
      <c r="FXQ248" s="15"/>
      <c r="FXR248" s="15"/>
      <c r="FXS248" s="15"/>
      <c r="FXT248" s="15"/>
      <c r="FXU248" s="15"/>
      <c r="FXV248" s="15"/>
      <c r="FXW248" s="10"/>
      <c r="FXX248" s="10"/>
      <c r="FXY248" s="21"/>
      <c r="FXZ248" s="21"/>
      <c r="FYC248" s="21"/>
      <c r="FYD248" s="15"/>
      <c r="FYE248" s="15"/>
      <c r="FYF248" s="15"/>
      <c r="FYG248" s="15"/>
      <c r="FYH248" s="15"/>
      <c r="FYI248" s="15"/>
      <c r="FYJ248" s="15"/>
      <c r="FYK248" s="15"/>
      <c r="FYL248" s="15"/>
      <c r="FYM248" s="15"/>
      <c r="FYN248" s="10"/>
      <c r="FYO248" s="10"/>
      <c r="FYP248" s="21"/>
      <c r="FYQ248" s="21"/>
      <c r="FYT248" s="21"/>
      <c r="FYU248" s="15"/>
      <c r="FYV248" s="15"/>
      <c r="FYW248" s="15"/>
      <c r="FYX248" s="15"/>
      <c r="FYY248" s="15"/>
      <c r="FYZ248" s="15"/>
      <c r="FZA248" s="15"/>
      <c r="FZB248" s="15"/>
      <c r="FZC248" s="15"/>
      <c r="FZD248" s="15"/>
      <c r="FZE248" s="10"/>
      <c r="FZF248" s="10"/>
      <c r="FZG248" s="21"/>
      <c r="FZH248" s="21"/>
      <c r="FZK248" s="21"/>
      <c r="FZL248" s="15"/>
      <c r="FZM248" s="15"/>
      <c r="FZN248" s="15"/>
      <c r="FZO248" s="15"/>
      <c r="FZP248" s="15"/>
      <c r="FZQ248" s="15"/>
      <c r="FZR248" s="15"/>
      <c r="FZS248" s="15"/>
      <c r="FZT248" s="15"/>
      <c r="FZU248" s="15"/>
      <c r="FZV248" s="10"/>
      <c r="FZW248" s="10"/>
      <c r="FZX248" s="21"/>
      <c r="FZY248" s="21"/>
      <c r="GAB248" s="21"/>
      <c r="GAC248" s="15"/>
      <c r="GAD248" s="15"/>
      <c r="GAE248" s="15"/>
      <c r="GAF248" s="15"/>
      <c r="GAG248" s="15"/>
      <c r="GAH248" s="15"/>
      <c r="GAI248" s="15"/>
      <c r="GAJ248" s="15"/>
      <c r="GAK248" s="15"/>
      <c r="GAL248" s="15"/>
      <c r="GAM248" s="10"/>
      <c r="GAN248" s="10"/>
      <c r="GAO248" s="21"/>
      <c r="GAP248" s="21"/>
      <c r="GAS248" s="21"/>
      <c r="GAT248" s="15"/>
      <c r="GAU248" s="15"/>
      <c r="GAV248" s="15"/>
      <c r="GAW248" s="15"/>
      <c r="GAX248" s="15"/>
      <c r="GAY248" s="15"/>
      <c r="GAZ248" s="15"/>
      <c r="GBA248" s="15"/>
      <c r="GBB248" s="15"/>
      <c r="GBC248" s="15"/>
      <c r="GBD248" s="10"/>
      <c r="GBE248" s="10"/>
      <c r="GBF248" s="21"/>
      <c r="GBG248" s="21"/>
      <c r="GBJ248" s="21"/>
      <c r="GBK248" s="15"/>
      <c r="GBL248" s="15"/>
      <c r="GBM248" s="15"/>
      <c r="GBN248" s="15"/>
      <c r="GBO248" s="15"/>
      <c r="GBP248" s="15"/>
      <c r="GBQ248" s="15"/>
      <c r="GBR248" s="15"/>
      <c r="GBS248" s="15"/>
      <c r="GBT248" s="15"/>
      <c r="GBU248" s="10"/>
      <c r="GBV248" s="10"/>
      <c r="GBW248" s="21"/>
      <c r="GBX248" s="21"/>
      <c r="GCA248" s="21"/>
      <c r="GCB248" s="15"/>
      <c r="GCC248" s="15"/>
      <c r="GCD248" s="15"/>
      <c r="GCE248" s="15"/>
      <c r="GCF248" s="15"/>
      <c r="GCG248" s="15"/>
      <c r="GCH248" s="15"/>
      <c r="GCI248" s="15"/>
      <c r="GCJ248" s="15"/>
      <c r="GCK248" s="15"/>
      <c r="GCL248" s="10"/>
      <c r="GCM248" s="10"/>
      <c r="GCN248" s="21"/>
      <c r="GCO248" s="21"/>
      <c r="GCR248" s="21"/>
      <c r="GCS248" s="15"/>
      <c r="GCT248" s="15"/>
      <c r="GCU248" s="15"/>
      <c r="GCV248" s="15"/>
      <c r="GCW248" s="15"/>
      <c r="GCX248" s="15"/>
      <c r="GCY248" s="15"/>
      <c r="GCZ248" s="15"/>
      <c r="GDA248" s="15"/>
      <c r="GDB248" s="15"/>
      <c r="GDC248" s="10"/>
      <c r="GDD248" s="10"/>
      <c r="GDE248" s="21"/>
      <c r="GDF248" s="21"/>
      <c r="GDI248" s="21"/>
      <c r="GDJ248" s="15"/>
      <c r="GDK248" s="15"/>
      <c r="GDL248" s="15"/>
      <c r="GDM248" s="15"/>
      <c r="GDN248" s="15"/>
      <c r="GDO248" s="15"/>
      <c r="GDP248" s="15"/>
      <c r="GDQ248" s="15"/>
      <c r="GDR248" s="15"/>
      <c r="GDS248" s="15"/>
      <c r="GDT248" s="10"/>
      <c r="GDU248" s="10"/>
      <c r="GDV248" s="21"/>
      <c r="GDW248" s="21"/>
      <c r="GDZ248" s="21"/>
      <c r="GEA248" s="15"/>
      <c r="GEB248" s="15"/>
      <c r="GEC248" s="15"/>
      <c r="GED248" s="15"/>
      <c r="GEE248" s="15"/>
      <c r="GEF248" s="15"/>
      <c r="GEG248" s="15"/>
      <c r="GEH248" s="15"/>
      <c r="GEI248" s="15"/>
      <c r="GEJ248" s="15"/>
      <c r="GEK248" s="10"/>
      <c r="GEL248" s="10"/>
      <c r="GEM248" s="21"/>
      <c r="GEN248" s="21"/>
      <c r="GEQ248" s="21"/>
      <c r="GER248" s="15"/>
      <c r="GES248" s="15"/>
      <c r="GET248" s="15"/>
      <c r="GEU248" s="15"/>
      <c r="GEV248" s="15"/>
      <c r="GEW248" s="15"/>
      <c r="GEX248" s="15"/>
      <c r="GEY248" s="15"/>
      <c r="GEZ248" s="15"/>
      <c r="GFA248" s="15"/>
      <c r="GFB248" s="10"/>
      <c r="GFC248" s="10"/>
      <c r="GFD248" s="21"/>
      <c r="GFE248" s="21"/>
      <c r="GFH248" s="21"/>
      <c r="GFI248" s="15"/>
      <c r="GFJ248" s="15"/>
      <c r="GFK248" s="15"/>
      <c r="GFL248" s="15"/>
      <c r="GFM248" s="15"/>
      <c r="GFN248" s="15"/>
      <c r="GFO248" s="15"/>
      <c r="GFP248" s="15"/>
      <c r="GFQ248" s="15"/>
      <c r="GFR248" s="15"/>
      <c r="GFS248" s="10"/>
      <c r="GFT248" s="10"/>
      <c r="GFU248" s="21"/>
      <c r="GFV248" s="21"/>
      <c r="GFY248" s="21"/>
      <c r="GFZ248" s="15"/>
      <c r="GGA248" s="15"/>
      <c r="GGB248" s="15"/>
      <c r="GGC248" s="15"/>
      <c r="GGD248" s="15"/>
      <c r="GGE248" s="15"/>
      <c r="GGF248" s="15"/>
      <c r="GGG248" s="15"/>
      <c r="GGH248" s="15"/>
      <c r="GGI248" s="15"/>
      <c r="GGJ248" s="10"/>
      <c r="GGK248" s="10"/>
      <c r="GGL248" s="21"/>
      <c r="GGM248" s="21"/>
      <c r="GGP248" s="21"/>
      <c r="GGQ248" s="15"/>
      <c r="GGR248" s="15"/>
      <c r="GGS248" s="15"/>
      <c r="GGT248" s="15"/>
      <c r="GGU248" s="15"/>
      <c r="GGV248" s="15"/>
      <c r="GGW248" s="15"/>
      <c r="GGX248" s="15"/>
      <c r="GGY248" s="15"/>
      <c r="GGZ248" s="15"/>
      <c r="GHA248" s="10"/>
      <c r="GHB248" s="10"/>
      <c r="GHC248" s="21"/>
      <c r="GHD248" s="21"/>
      <c r="GHG248" s="21"/>
      <c r="GHH248" s="15"/>
      <c r="GHI248" s="15"/>
      <c r="GHJ248" s="15"/>
      <c r="GHK248" s="15"/>
      <c r="GHL248" s="15"/>
      <c r="GHM248" s="15"/>
      <c r="GHN248" s="15"/>
      <c r="GHO248" s="15"/>
      <c r="GHP248" s="15"/>
      <c r="GHQ248" s="15"/>
      <c r="GHR248" s="10"/>
      <c r="GHS248" s="10"/>
      <c r="GHT248" s="21"/>
      <c r="GHU248" s="21"/>
      <c r="GHX248" s="21"/>
      <c r="GHY248" s="15"/>
      <c r="GHZ248" s="15"/>
      <c r="GIA248" s="15"/>
      <c r="GIB248" s="15"/>
      <c r="GIC248" s="15"/>
      <c r="GID248" s="15"/>
      <c r="GIE248" s="15"/>
      <c r="GIF248" s="15"/>
      <c r="GIG248" s="15"/>
      <c r="GIH248" s="15"/>
      <c r="GII248" s="10"/>
      <c r="GIJ248" s="10"/>
      <c r="GIK248" s="21"/>
      <c r="GIL248" s="21"/>
      <c r="GIO248" s="21"/>
      <c r="GIP248" s="15"/>
      <c r="GIQ248" s="15"/>
      <c r="GIR248" s="15"/>
      <c r="GIS248" s="15"/>
      <c r="GIT248" s="15"/>
      <c r="GIU248" s="15"/>
      <c r="GIV248" s="15"/>
      <c r="GIW248" s="15"/>
      <c r="GIX248" s="15"/>
      <c r="GIY248" s="15"/>
      <c r="GIZ248" s="10"/>
      <c r="GJA248" s="10"/>
      <c r="GJB248" s="21"/>
      <c r="GJC248" s="21"/>
      <c r="GJF248" s="21"/>
      <c r="GJG248" s="15"/>
      <c r="GJH248" s="15"/>
      <c r="GJI248" s="15"/>
      <c r="GJJ248" s="15"/>
      <c r="GJK248" s="15"/>
      <c r="GJL248" s="15"/>
      <c r="GJM248" s="15"/>
      <c r="GJN248" s="15"/>
      <c r="GJO248" s="15"/>
      <c r="GJP248" s="15"/>
      <c r="GJQ248" s="10"/>
      <c r="GJR248" s="10"/>
      <c r="GJS248" s="21"/>
      <c r="GJT248" s="21"/>
      <c r="GJW248" s="21"/>
      <c r="GJX248" s="15"/>
      <c r="GJY248" s="15"/>
      <c r="GJZ248" s="15"/>
      <c r="GKA248" s="15"/>
      <c r="GKB248" s="15"/>
      <c r="GKC248" s="15"/>
      <c r="GKD248" s="15"/>
      <c r="GKE248" s="15"/>
      <c r="GKF248" s="15"/>
      <c r="GKG248" s="15"/>
      <c r="GKH248" s="10"/>
      <c r="GKI248" s="10"/>
      <c r="GKJ248" s="21"/>
      <c r="GKK248" s="21"/>
      <c r="GKN248" s="21"/>
      <c r="GKO248" s="15"/>
      <c r="GKP248" s="15"/>
      <c r="GKQ248" s="15"/>
      <c r="GKR248" s="15"/>
      <c r="GKS248" s="15"/>
      <c r="GKT248" s="15"/>
      <c r="GKU248" s="15"/>
      <c r="GKV248" s="15"/>
      <c r="GKW248" s="15"/>
      <c r="GKX248" s="15"/>
      <c r="GKY248" s="10"/>
      <c r="GKZ248" s="10"/>
      <c r="GLA248" s="21"/>
      <c r="GLB248" s="21"/>
      <c r="GLE248" s="21"/>
      <c r="GLF248" s="15"/>
      <c r="GLG248" s="15"/>
      <c r="GLH248" s="15"/>
      <c r="GLI248" s="15"/>
      <c r="GLJ248" s="15"/>
      <c r="GLK248" s="15"/>
      <c r="GLL248" s="15"/>
      <c r="GLM248" s="15"/>
      <c r="GLN248" s="15"/>
      <c r="GLO248" s="15"/>
      <c r="GLP248" s="10"/>
      <c r="GLQ248" s="10"/>
      <c r="GLR248" s="21"/>
      <c r="GLS248" s="21"/>
      <c r="GLV248" s="21"/>
      <c r="GLW248" s="15"/>
      <c r="GLX248" s="15"/>
      <c r="GLY248" s="15"/>
      <c r="GLZ248" s="15"/>
      <c r="GMA248" s="15"/>
      <c r="GMB248" s="15"/>
      <c r="GMC248" s="15"/>
      <c r="GMD248" s="15"/>
      <c r="GME248" s="15"/>
      <c r="GMF248" s="15"/>
      <c r="GMG248" s="10"/>
      <c r="GMH248" s="10"/>
      <c r="GMI248" s="21"/>
      <c r="GMJ248" s="21"/>
      <c r="GMM248" s="21"/>
      <c r="GMN248" s="15"/>
      <c r="GMO248" s="15"/>
      <c r="GMP248" s="15"/>
      <c r="GMQ248" s="15"/>
      <c r="GMR248" s="15"/>
      <c r="GMS248" s="15"/>
      <c r="GMT248" s="15"/>
      <c r="GMU248" s="15"/>
      <c r="GMV248" s="15"/>
      <c r="GMW248" s="15"/>
      <c r="GMX248" s="10"/>
      <c r="GMY248" s="10"/>
      <c r="GMZ248" s="21"/>
      <c r="GNA248" s="21"/>
      <c r="GND248" s="21"/>
      <c r="GNE248" s="15"/>
      <c r="GNF248" s="15"/>
      <c r="GNG248" s="15"/>
      <c r="GNH248" s="15"/>
      <c r="GNI248" s="15"/>
      <c r="GNJ248" s="15"/>
      <c r="GNK248" s="15"/>
      <c r="GNL248" s="15"/>
      <c r="GNM248" s="15"/>
      <c r="GNN248" s="15"/>
      <c r="GNO248" s="10"/>
      <c r="GNP248" s="10"/>
      <c r="GNQ248" s="21"/>
      <c r="GNR248" s="21"/>
      <c r="GNU248" s="21"/>
      <c r="GNV248" s="15"/>
      <c r="GNW248" s="15"/>
      <c r="GNX248" s="15"/>
      <c r="GNY248" s="15"/>
      <c r="GNZ248" s="15"/>
      <c r="GOA248" s="15"/>
      <c r="GOB248" s="15"/>
      <c r="GOC248" s="15"/>
      <c r="GOD248" s="15"/>
      <c r="GOE248" s="15"/>
      <c r="GOF248" s="10"/>
      <c r="GOG248" s="10"/>
      <c r="GOH248" s="21"/>
      <c r="GOI248" s="21"/>
      <c r="GOL248" s="21"/>
      <c r="GOM248" s="15"/>
      <c r="GON248" s="15"/>
      <c r="GOO248" s="15"/>
      <c r="GOP248" s="15"/>
      <c r="GOQ248" s="15"/>
      <c r="GOR248" s="15"/>
      <c r="GOS248" s="15"/>
      <c r="GOT248" s="15"/>
      <c r="GOU248" s="15"/>
      <c r="GOV248" s="15"/>
      <c r="GOW248" s="10"/>
      <c r="GOX248" s="10"/>
      <c r="GOY248" s="21"/>
      <c r="GOZ248" s="21"/>
      <c r="GPC248" s="21"/>
      <c r="GPD248" s="15"/>
      <c r="GPE248" s="15"/>
      <c r="GPF248" s="15"/>
      <c r="GPG248" s="15"/>
      <c r="GPH248" s="15"/>
      <c r="GPI248" s="15"/>
      <c r="GPJ248" s="15"/>
      <c r="GPK248" s="15"/>
      <c r="GPL248" s="15"/>
      <c r="GPM248" s="15"/>
      <c r="GPN248" s="10"/>
      <c r="GPO248" s="10"/>
      <c r="GPP248" s="21"/>
      <c r="GPQ248" s="21"/>
      <c r="GPT248" s="21"/>
      <c r="GPU248" s="15"/>
      <c r="GPV248" s="15"/>
      <c r="GPW248" s="15"/>
      <c r="GPX248" s="15"/>
      <c r="GPY248" s="15"/>
      <c r="GPZ248" s="15"/>
      <c r="GQA248" s="15"/>
      <c r="GQB248" s="15"/>
      <c r="GQC248" s="15"/>
      <c r="GQD248" s="15"/>
      <c r="GQE248" s="10"/>
      <c r="GQF248" s="10"/>
      <c r="GQG248" s="21"/>
      <c r="GQH248" s="21"/>
      <c r="GQK248" s="21"/>
      <c r="GQL248" s="15"/>
      <c r="GQM248" s="15"/>
      <c r="GQN248" s="15"/>
      <c r="GQO248" s="15"/>
      <c r="GQP248" s="15"/>
      <c r="GQQ248" s="15"/>
      <c r="GQR248" s="15"/>
      <c r="GQS248" s="15"/>
      <c r="GQT248" s="15"/>
      <c r="GQU248" s="15"/>
      <c r="GQV248" s="10"/>
      <c r="GQW248" s="10"/>
      <c r="GQX248" s="21"/>
      <c r="GQY248" s="21"/>
      <c r="GRB248" s="21"/>
      <c r="GRC248" s="15"/>
      <c r="GRD248" s="15"/>
      <c r="GRE248" s="15"/>
      <c r="GRF248" s="15"/>
      <c r="GRG248" s="15"/>
      <c r="GRH248" s="15"/>
      <c r="GRI248" s="15"/>
      <c r="GRJ248" s="15"/>
      <c r="GRK248" s="15"/>
      <c r="GRL248" s="15"/>
      <c r="GRM248" s="10"/>
      <c r="GRN248" s="10"/>
      <c r="GRO248" s="21"/>
      <c r="GRP248" s="21"/>
      <c r="GRS248" s="21"/>
      <c r="GRT248" s="15"/>
      <c r="GRU248" s="15"/>
      <c r="GRV248" s="15"/>
      <c r="GRW248" s="15"/>
      <c r="GRX248" s="15"/>
      <c r="GRY248" s="15"/>
      <c r="GRZ248" s="15"/>
      <c r="GSA248" s="15"/>
      <c r="GSB248" s="15"/>
      <c r="GSC248" s="15"/>
      <c r="GSD248" s="10"/>
      <c r="GSE248" s="10"/>
      <c r="GSF248" s="21"/>
      <c r="GSG248" s="21"/>
      <c r="GSJ248" s="21"/>
      <c r="GSK248" s="15"/>
      <c r="GSL248" s="15"/>
      <c r="GSM248" s="15"/>
      <c r="GSN248" s="15"/>
      <c r="GSO248" s="15"/>
      <c r="GSP248" s="15"/>
      <c r="GSQ248" s="15"/>
      <c r="GSR248" s="15"/>
      <c r="GSS248" s="15"/>
      <c r="GST248" s="15"/>
      <c r="GSU248" s="10"/>
      <c r="GSV248" s="10"/>
      <c r="GSW248" s="21"/>
      <c r="GSX248" s="21"/>
      <c r="GTA248" s="21"/>
      <c r="GTB248" s="15"/>
      <c r="GTC248" s="15"/>
      <c r="GTD248" s="15"/>
      <c r="GTE248" s="15"/>
      <c r="GTF248" s="15"/>
      <c r="GTG248" s="15"/>
      <c r="GTH248" s="15"/>
      <c r="GTI248" s="15"/>
      <c r="GTJ248" s="15"/>
      <c r="GTK248" s="15"/>
      <c r="GTL248" s="10"/>
      <c r="GTM248" s="10"/>
      <c r="GTN248" s="21"/>
      <c r="GTO248" s="21"/>
      <c r="GTR248" s="21"/>
      <c r="GTS248" s="15"/>
      <c r="GTT248" s="15"/>
      <c r="GTU248" s="15"/>
      <c r="GTV248" s="15"/>
      <c r="GTW248" s="15"/>
      <c r="GTX248" s="15"/>
      <c r="GTY248" s="15"/>
      <c r="GTZ248" s="15"/>
      <c r="GUA248" s="15"/>
      <c r="GUB248" s="15"/>
      <c r="GUC248" s="10"/>
      <c r="GUD248" s="10"/>
      <c r="GUE248" s="21"/>
      <c r="GUF248" s="21"/>
      <c r="GUI248" s="21"/>
      <c r="GUJ248" s="15"/>
      <c r="GUK248" s="15"/>
      <c r="GUL248" s="15"/>
      <c r="GUM248" s="15"/>
      <c r="GUN248" s="15"/>
      <c r="GUO248" s="15"/>
      <c r="GUP248" s="15"/>
      <c r="GUQ248" s="15"/>
      <c r="GUR248" s="15"/>
      <c r="GUS248" s="15"/>
      <c r="GUT248" s="10"/>
      <c r="GUU248" s="10"/>
      <c r="GUV248" s="21"/>
      <c r="GUW248" s="21"/>
      <c r="GUZ248" s="21"/>
      <c r="GVA248" s="15"/>
      <c r="GVB248" s="15"/>
      <c r="GVC248" s="15"/>
      <c r="GVD248" s="15"/>
      <c r="GVE248" s="15"/>
      <c r="GVF248" s="15"/>
      <c r="GVG248" s="15"/>
      <c r="GVH248" s="15"/>
      <c r="GVI248" s="15"/>
      <c r="GVJ248" s="15"/>
      <c r="GVK248" s="10"/>
      <c r="GVL248" s="10"/>
      <c r="GVM248" s="21"/>
      <c r="GVN248" s="21"/>
      <c r="GVQ248" s="21"/>
      <c r="GVR248" s="15"/>
      <c r="GVS248" s="15"/>
      <c r="GVT248" s="15"/>
      <c r="GVU248" s="15"/>
      <c r="GVV248" s="15"/>
      <c r="GVW248" s="15"/>
      <c r="GVX248" s="15"/>
      <c r="GVY248" s="15"/>
      <c r="GVZ248" s="15"/>
      <c r="GWA248" s="15"/>
      <c r="GWB248" s="10"/>
      <c r="GWC248" s="10"/>
      <c r="GWD248" s="21"/>
      <c r="GWE248" s="21"/>
      <c r="GWH248" s="21"/>
      <c r="GWI248" s="15"/>
      <c r="GWJ248" s="15"/>
      <c r="GWK248" s="15"/>
      <c r="GWL248" s="15"/>
      <c r="GWM248" s="15"/>
      <c r="GWN248" s="15"/>
      <c r="GWO248" s="15"/>
      <c r="GWP248" s="15"/>
      <c r="GWQ248" s="15"/>
      <c r="GWR248" s="15"/>
      <c r="GWS248" s="10"/>
      <c r="GWT248" s="10"/>
      <c r="GWU248" s="21"/>
      <c r="GWV248" s="21"/>
      <c r="GWY248" s="21"/>
      <c r="GWZ248" s="15"/>
      <c r="GXA248" s="15"/>
      <c r="GXB248" s="15"/>
      <c r="GXC248" s="15"/>
      <c r="GXD248" s="15"/>
      <c r="GXE248" s="15"/>
      <c r="GXF248" s="15"/>
      <c r="GXG248" s="15"/>
      <c r="GXH248" s="15"/>
      <c r="GXI248" s="15"/>
      <c r="GXJ248" s="10"/>
      <c r="GXK248" s="10"/>
      <c r="GXL248" s="21"/>
      <c r="GXM248" s="21"/>
      <c r="GXP248" s="21"/>
      <c r="GXQ248" s="15"/>
      <c r="GXR248" s="15"/>
      <c r="GXS248" s="15"/>
      <c r="GXT248" s="15"/>
      <c r="GXU248" s="15"/>
      <c r="GXV248" s="15"/>
      <c r="GXW248" s="15"/>
      <c r="GXX248" s="15"/>
      <c r="GXY248" s="15"/>
      <c r="GXZ248" s="15"/>
      <c r="GYA248" s="10"/>
      <c r="GYB248" s="10"/>
      <c r="GYC248" s="21"/>
      <c r="GYD248" s="21"/>
      <c r="GYG248" s="21"/>
      <c r="GYH248" s="15"/>
      <c r="GYI248" s="15"/>
      <c r="GYJ248" s="15"/>
      <c r="GYK248" s="15"/>
      <c r="GYL248" s="15"/>
      <c r="GYM248" s="15"/>
      <c r="GYN248" s="15"/>
      <c r="GYO248" s="15"/>
      <c r="GYP248" s="15"/>
      <c r="GYQ248" s="15"/>
      <c r="GYR248" s="10"/>
      <c r="GYS248" s="10"/>
      <c r="GYT248" s="21"/>
      <c r="GYU248" s="21"/>
      <c r="GYX248" s="21"/>
      <c r="GYY248" s="15"/>
      <c r="GYZ248" s="15"/>
      <c r="GZA248" s="15"/>
      <c r="GZB248" s="15"/>
      <c r="GZC248" s="15"/>
      <c r="GZD248" s="15"/>
      <c r="GZE248" s="15"/>
      <c r="GZF248" s="15"/>
      <c r="GZG248" s="15"/>
      <c r="GZH248" s="15"/>
      <c r="GZI248" s="10"/>
      <c r="GZJ248" s="10"/>
      <c r="GZK248" s="21"/>
      <c r="GZL248" s="21"/>
      <c r="GZO248" s="21"/>
      <c r="GZP248" s="15"/>
      <c r="GZQ248" s="15"/>
      <c r="GZR248" s="15"/>
      <c r="GZS248" s="15"/>
      <c r="GZT248" s="15"/>
      <c r="GZU248" s="15"/>
      <c r="GZV248" s="15"/>
      <c r="GZW248" s="15"/>
      <c r="GZX248" s="15"/>
      <c r="GZY248" s="15"/>
      <c r="GZZ248" s="10"/>
      <c r="HAA248" s="10"/>
      <c r="HAB248" s="21"/>
      <c r="HAC248" s="21"/>
      <c r="HAF248" s="21"/>
      <c r="HAG248" s="15"/>
      <c r="HAH248" s="15"/>
      <c r="HAI248" s="15"/>
      <c r="HAJ248" s="15"/>
      <c r="HAK248" s="15"/>
      <c r="HAL248" s="15"/>
      <c r="HAM248" s="15"/>
      <c r="HAN248" s="15"/>
      <c r="HAO248" s="15"/>
      <c r="HAP248" s="15"/>
      <c r="HAQ248" s="10"/>
      <c r="HAR248" s="10"/>
      <c r="HAS248" s="21"/>
      <c r="HAT248" s="21"/>
      <c r="HAW248" s="21"/>
      <c r="HAX248" s="15"/>
      <c r="HAY248" s="15"/>
      <c r="HAZ248" s="15"/>
      <c r="HBA248" s="15"/>
      <c r="HBB248" s="15"/>
      <c r="HBC248" s="15"/>
      <c r="HBD248" s="15"/>
      <c r="HBE248" s="15"/>
      <c r="HBF248" s="15"/>
      <c r="HBG248" s="15"/>
      <c r="HBH248" s="10"/>
      <c r="HBI248" s="10"/>
      <c r="HBJ248" s="21"/>
      <c r="HBK248" s="21"/>
      <c r="HBN248" s="21"/>
      <c r="HBO248" s="15"/>
      <c r="HBP248" s="15"/>
      <c r="HBQ248" s="15"/>
      <c r="HBR248" s="15"/>
      <c r="HBS248" s="15"/>
      <c r="HBT248" s="15"/>
      <c r="HBU248" s="15"/>
      <c r="HBV248" s="15"/>
      <c r="HBW248" s="15"/>
      <c r="HBX248" s="15"/>
      <c r="HBY248" s="10"/>
      <c r="HBZ248" s="10"/>
      <c r="HCA248" s="21"/>
      <c r="HCB248" s="21"/>
      <c r="HCE248" s="21"/>
      <c r="HCF248" s="15"/>
      <c r="HCG248" s="15"/>
      <c r="HCH248" s="15"/>
      <c r="HCI248" s="15"/>
      <c r="HCJ248" s="15"/>
      <c r="HCK248" s="15"/>
      <c r="HCL248" s="15"/>
      <c r="HCM248" s="15"/>
      <c r="HCN248" s="15"/>
      <c r="HCO248" s="15"/>
      <c r="HCP248" s="10"/>
      <c r="HCQ248" s="10"/>
      <c r="HCR248" s="21"/>
      <c r="HCS248" s="21"/>
      <c r="HCV248" s="21"/>
      <c r="HCW248" s="15"/>
      <c r="HCX248" s="15"/>
      <c r="HCY248" s="15"/>
      <c r="HCZ248" s="15"/>
      <c r="HDA248" s="15"/>
      <c r="HDB248" s="15"/>
      <c r="HDC248" s="15"/>
      <c r="HDD248" s="15"/>
      <c r="HDE248" s="15"/>
      <c r="HDF248" s="15"/>
      <c r="HDG248" s="10"/>
      <c r="HDH248" s="10"/>
      <c r="HDI248" s="21"/>
      <c r="HDJ248" s="21"/>
      <c r="HDM248" s="21"/>
      <c r="HDN248" s="15"/>
      <c r="HDO248" s="15"/>
      <c r="HDP248" s="15"/>
      <c r="HDQ248" s="15"/>
      <c r="HDR248" s="15"/>
      <c r="HDS248" s="15"/>
      <c r="HDT248" s="15"/>
      <c r="HDU248" s="15"/>
      <c r="HDV248" s="15"/>
      <c r="HDW248" s="15"/>
      <c r="HDX248" s="10"/>
      <c r="HDY248" s="10"/>
      <c r="HDZ248" s="21"/>
      <c r="HEA248" s="21"/>
      <c r="HED248" s="21"/>
      <c r="HEE248" s="15"/>
      <c r="HEF248" s="15"/>
      <c r="HEG248" s="15"/>
      <c r="HEH248" s="15"/>
      <c r="HEI248" s="15"/>
      <c r="HEJ248" s="15"/>
      <c r="HEK248" s="15"/>
      <c r="HEL248" s="15"/>
      <c r="HEM248" s="15"/>
      <c r="HEN248" s="15"/>
      <c r="HEO248" s="10"/>
      <c r="HEP248" s="10"/>
      <c r="HEQ248" s="21"/>
      <c r="HER248" s="21"/>
      <c r="HEU248" s="21"/>
      <c r="HEV248" s="15"/>
      <c r="HEW248" s="15"/>
      <c r="HEX248" s="15"/>
      <c r="HEY248" s="15"/>
      <c r="HEZ248" s="15"/>
      <c r="HFA248" s="15"/>
      <c r="HFB248" s="15"/>
      <c r="HFC248" s="15"/>
      <c r="HFD248" s="15"/>
      <c r="HFE248" s="15"/>
      <c r="HFF248" s="10"/>
      <c r="HFG248" s="10"/>
      <c r="HFH248" s="21"/>
      <c r="HFI248" s="21"/>
      <c r="HFL248" s="21"/>
      <c r="HFM248" s="15"/>
      <c r="HFN248" s="15"/>
      <c r="HFO248" s="15"/>
      <c r="HFP248" s="15"/>
      <c r="HFQ248" s="15"/>
      <c r="HFR248" s="15"/>
      <c r="HFS248" s="15"/>
      <c r="HFT248" s="15"/>
      <c r="HFU248" s="15"/>
      <c r="HFV248" s="15"/>
      <c r="HFW248" s="10"/>
      <c r="HFX248" s="10"/>
      <c r="HFY248" s="21"/>
      <c r="HFZ248" s="21"/>
      <c r="HGC248" s="21"/>
      <c r="HGD248" s="15"/>
      <c r="HGE248" s="15"/>
      <c r="HGF248" s="15"/>
      <c r="HGG248" s="15"/>
      <c r="HGH248" s="15"/>
      <c r="HGI248" s="15"/>
      <c r="HGJ248" s="15"/>
      <c r="HGK248" s="15"/>
      <c r="HGL248" s="15"/>
      <c r="HGM248" s="15"/>
      <c r="HGN248" s="10"/>
      <c r="HGO248" s="10"/>
      <c r="HGP248" s="21"/>
      <c r="HGQ248" s="21"/>
      <c r="HGT248" s="21"/>
      <c r="HGU248" s="15"/>
      <c r="HGV248" s="15"/>
      <c r="HGW248" s="15"/>
      <c r="HGX248" s="15"/>
      <c r="HGY248" s="15"/>
      <c r="HGZ248" s="15"/>
      <c r="HHA248" s="15"/>
      <c r="HHB248" s="15"/>
      <c r="HHC248" s="15"/>
      <c r="HHD248" s="15"/>
      <c r="HHE248" s="10"/>
      <c r="HHF248" s="10"/>
      <c r="HHG248" s="21"/>
      <c r="HHH248" s="21"/>
      <c r="HHK248" s="21"/>
      <c r="HHL248" s="15"/>
      <c r="HHM248" s="15"/>
      <c r="HHN248" s="15"/>
      <c r="HHO248" s="15"/>
      <c r="HHP248" s="15"/>
      <c r="HHQ248" s="15"/>
      <c r="HHR248" s="15"/>
      <c r="HHS248" s="15"/>
      <c r="HHT248" s="15"/>
      <c r="HHU248" s="15"/>
      <c r="HHV248" s="10"/>
      <c r="HHW248" s="10"/>
      <c r="HHX248" s="21"/>
      <c r="HHY248" s="21"/>
      <c r="HIB248" s="21"/>
      <c r="HIC248" s="15"/>
      <c r="HID248" s="15"/>
      <c r="HIE248" s="15"/>
      <c r="HIF248" s="15"/>
      <c r="HIG248" s="15"/>
      <c r="HIH248" s="15"/>
      <c r="HII248" s="15"/>
      <c r="HIJ248" s="15"/>
      <c r="HIK248" s="15"/>
      <c r="HIL248" s="15"/>
      <c r="HIM248" s="10"/>
      <c r="HIN248" s="10"/>
      <c r="HIO248" s="21"/>
      <c r="HIP248" s="21"/>
      <c r="HIS248" s="21"/>
      <c r="HIT248" s="15"/>
      <c r="HIU248" s="15"/>
      <c r="HIV248" s="15"/>
      <c r="HIW248" s="15"/>
      <c r="HIX248" s="15"/>
      <c r="HIY248" s="15"/>
      <c r="HIZ248" s="15"/>
      <c r="HJA248" s="15"/>
      <c r="HJB248" s="15"/>
      <c r="HJC248" s="15"/>
      <c r="HJD248" s="10"/>
      <c r="HJE248" s="10"/>
      <c r="HJF248" s="21"/>
      <c r="HJG248" s="21"/>
      <c r="HJJ248" s="21"/>
      <c r="HJK248" s="15"/>
      <c r="HJL248" s="15"/>
      <c r="HJM248" s="15"/>
      <c r="HJN248" s="15"/>
      <c r="HJO248" s="15"/>
      <c r="HJP248" s="15"/>
      <c r="HJQ248" s="15"/>
      <c r="HJR248" s="15"/>
      <c r="HJS248" s="15"/>
      <c r="HJT248" s="15"/>
      <c r="HJU248" s="10"/>
      <c r="HJV248" s="10"/>
      <c r="HJW248" s="21"/>
      <c r="HJX248" s="21"/>
      <c r="HKA248" s="21"/>
      <c r="HKB248" s="15"/>
      <c r="HKC248" s="15"/>
      <c r="HKD248" s="15"/>
      <c r="HKE248" s="15"/>
      <c r="HKF248" s="15"/>
      <c r="HKG248" s="15"/>
      <c r="HKH248" s="15"/>
      <c r="HKI248" s="15"/>
      <c r="HKJ248" s="15"/>
      <c r="HKK248" s="15"/>
      <c r="HKL248" s="10"/>
      <c r="HKM248" s="10"/>
      <c r="HKN248" s="21"/>
      <c r="HKO248" s="21"/>
      <c r="HKR248" s="21"/>
      <c r="HKS248" s="15"/>
      <c r="HKT248" s="15"/>
      <c r="HKU248" s="15"/>
      <c r="HKV248" s="15"/>
      <c r="HKW248" s="15"/>
      <c r="HKX248" s="15"/>
      <c r="HKY248" s="15"/>
      <c r="HKZ248" s="15"/>
      <c r="HLA248" s="15"/>
      <c r="HLB248" s="15"/>
      <c r="HLC248" s="10"/>
      <c r="HLD248" s="10"/>
      <c r="HLE248" s="21"/>
      <c r="HLF248" s="21"/>
      <c r="HLI248" s="21"/>
      <c r="HLJ248" s="15"/>
      <c r="HLK248" s="15"/>
      <c r="HLL248" s="15"/>
      <c r="HLM248" s="15"/>
      <c r="HLN248" s="15"/>
      <c r="HLO248" s="15"/>
      <c r="HLP248" s="15"/>
      <c r="HLQ248" s="15"/>
      <c r="HLR248" s="15"/>
      <c r="HLS248" s="15"/>
      <c r="HLT248" s="10"/>
      <c r="HLU248" s="10"/>
      <c r="HLV248" s="21"/>
      <c r="HLW248" s="21"/>
      <c r="HLZ248" s="21"/>
      <c r="HMA248" s="15"/>
      <c r="HMB248" s="15"/>
      <c r="HMC248" s="15"/>
      <c r="HMD248" s="15"/>
      <c r="HME248" s="15"/>
      <c r="HMF248" s="15"/>
      <c r="HMG248" s="15"/>
      <c r="HMH248" s="15"/>
      <c r="HMI248" s="15"/>
      <c r="HMJ248" s="15"/>
      <c r="HMK248" s="10"/>
      <c r="HML248" s="10"/>
      <c r="HMM248" s="21"/>
      <c r="HMN248" s="21"/>
      <c r="HMQ248" s="21"/>
      <c r="HMR248" s="15"/>
      <c r="HMS248" s="15"/>
      <c r="HMT248" s="15"/>
      <c r="HMU248" s="15"/>
      <c r="HMV248" s="15"/>
      <c r="HMW248" s="15"/>
      <c r="HMX248" s="15"/>
      <c r="HMY248" s="15"/>
      <c r="HMZ248" s="15"/>
      <c r="HNA248" s="15"/>
      <c r="HNB248" s="10"/>
      <c r="HNC248" s="10"/>
      <c r="HND248" s="21"/>
      <c r="HNE248" s="21"/>
      <c r="HNH248" s="21"/>
      <c r="HNI248" s="15"/>
      <c r="HNJ248" s="15"/>
      <c r="HNK248" s="15"/>
      <c r="HNL248" s="15"/>
      <c r="HNM248" s="15"/>
      <c r="HNN248" s="15"/>
      <c r="HNO248" s="15"/>
      <c r="HNP248" s="15"/>
      <c r="HNQ248" s="15"/>
      <c r="HNR248" s="15"/>
      <c r="HNS248" s="10"/>
      <c r="HNT248" s="10"/>
      <c r="HNU248" s="21"/>
      <c r="HNV248" s="21"/>
      <c r="HNY248" s="21"/>
      <c r="HNZ248" s="15"/>
      <c r="HOA248" s="15"/>
      <c r="HOB248" s="15"/>
      <c r="HOC248" s="15"/>
      <c r="HOD248" s="15"/>
      <c r="HOE248" s="15"/>
      <c r="HOF248" s="15"/>
      <c r="HOG248" s="15"/>
      <c r="HOH248" s="15"/>
      <c r="HOI248" s="15"/>
      <c r="HOJ248" s="10"/>
      <c r="HOK248" s="10"/>
      <c r="HOL248" s="21"/>
      <c r="HOM248" s="21"/>
      <c r="HOP248" s="21"/>
      <c r="HOQ248" s="15"/>
      <c r="HOR248" s="15"/>
      <c r="HOS248" s="15"/>
      <c r="HOT248" s="15"/>
      <c r="HOU248" s="15"/>
      <c r="HOV248" s="15"/>
      <c r="HOW248" s="15"/>
      <c r="HOX248" s="15"/>
      <c r="HOY248" s="15"/>
      <c r="HOZ248" s="15"/>
      <c r="HPA248" s="10"/>
      <c r="HPB248" s="10"/>
      <c r="HPC248" s="21"/>
      <c r="HPD248" s="21"/>
      <c r="HPG248" s="21"/>
      <c r="HPH248" s="15"/>
      <c r="HPI248" s="15"/>
      <c r="HPJ248" s="15"/>
      <c r="HPK248" s="15"/>
      <c r="HPL248" s="15"/>
      <c r="HPM248" s="15"/>
      <c r="HPN248" s="15"/>
      <c r="HPO248" s="15"/>
      <c r="HPP248" s="15"/>
      <c r="HPQ248" s="15"/>
      <c r="HPR248" s="10"/>
      <c r="HPS248" s="10"/>
      <c r="HPT248" s="21"/>
      <c r="HPU248" s="21"/>
      <c r="HPX248" s="21"/>
      <c r="HPY248" s="15"/>
      <c r="HPZ248" s="15"/>
      <c r="HQA248" s="15"/>
      <c r="HQB248" s="15"/>
      <c r="HQC248" s="15"/>
      <c r="HQD248" s="15"/>
      <c r="HQE248" s="15"/>
      <c r="HQF248" s="15"/>
      <c r="HQG248" s="15"/>
      <c r="HQH248" s="15"/>
      <c r="HQI248" s="10"/>
      <c r="HQJ248" s="10"/>
      <c r="HQK248" s="21"/>
      <c r="HQL248" s="21"/>
      <c r="HQO248" s="21"/>
      <c r="HQP248" s="15"/>
      <c r="HQQ248" s="15"/>
      <c r="HQR248" s="15"/>
      <c r="HQS248" s="15"/>
      <c r="HQT248" s="15"/>
      <c r="HQU248" s="15"/>
      <c r="HQV248" s="15"/>
      <c r="HQW248" s="15"/>
      <c r="HQX248" s="15"/>
      <c r="HQY248" s="15"/>
      <c r="HQZ248" s="10"/>
      <c r="HRA248" s="10"/>
      <c r="HRB248" s="21"/>
      <c r="HRC248" s="21"/>
      <c r="HRF248" s="21"/>
      <c r="HRG248" s="15"/>
      <c r="HRH248" s="15"/>
      <c r="HRI248" s="15"/>
      <c r="HRJ248" s="15"/>
      <c r="HRK248" s="15"/>
      <c r="HRL248" s="15"/>
      <c r="HRM248" s="15"/>
      <c r="HRN248" s="15"/>
      <c r="HRO248" s="15"/>
      <c r="HRP248" s="15"/>
      <c r="HRQ248" s="10"/>
      <c r="HRR248" s="10"/>
      <c r="HRS248" s="21"/>
      <c r="HRT248" s="21"/>
      <c r="HRW248" s="21"/>
      <c r="HRX248" s="15"/>
      <c r="HRY248" s="15"/>
      <c r="HRZ248" s="15"/>
      <c r="HSA248" s="15"/>
      <c r="HSB248" s="15"/>
      <c r="HSC248" s="15"/>
      <c r="HSD248" s="15"/>
      <c r="HSE248" s="15"/>
      <c r="HSF248" s="15"/>
      <c r="HSG248" s="15"/>
      <c r="HSH248" s="10"/>
      <c r="HSI248" s="10"/>
      <c r="HSJ248" s="21"/>
      <c r="HSK248" s="21"/>
      <c r="HSN248" s="21"/>
      <c r="HSO248" s="15"/>
      <c r="HSP248" s="15"/>
      <c r="HSQ248" s="15"/>
      <c r="HSR248" s="15"/>
      <c r="HSS248" s="15"/>
      <c r="HST248" s="15"/>
      <c r="HSU248" s="15"/>
      <c r="HSV248" s="15"/>
      <c r="HSW248" s="15"/>
      <c r="HSX248" s="15"/>
      <c r="HSY248" s="10"/>
      <c r="HSZ248" s="10"/>
      <c r="HTA248" s="21"/>
      <c r="HTB248" s="21"/>
      <c r="HTE248" s="21"/>
      <c r="HTF248" s="15"/>
      <c r="HTG248" s="15"/>
      <c r="HTH248" s="15"/>
      <c r="HTI248" s="15"/>
      <c r="HTJ248" s="15"/>
      <c r="HTK248" s="15"/>
      <c r="HTL248" s="15"/>
      <c r="HTM248" s="15"/>
      <c r="HTN248" s="15"/>
      <c r="HTO248" s="15"/>
      <c r="HTP248" s="10"/>
      <c r="HTQ248" s="10"/>
      <c r="HTR248" s="21"/>
      <c r="HTS248" s="21"/>
      <c r="HTV248" s="21"/>
      <c r="HTW248" s="15"/>
      <c r="HTX248" s="15"/>
      <c r="HTY248" s="15"/>
      <c r="HTZ248" s="15"/>
      <c r="HUA248" s="15"/>
      <c r="HUB248" s="15"/>
      <c r="HUC248" s="15"/>
      <c r="HUD248" s="15"/>
      <c r="HUE248" s="15"/>
      <c r="HUF248" s="15"/>
      <c r="HUG248" s="10"/>
      <c r="HUH248" s="10"/>
      <c r="HUI248" s="21"/>
      <c r="HUJ248" s="21"/>
      <c r="HUM248" s="21"/>
      <c r="HUN248" s="15"/>
      <c r="HUO248" s="15"/>
      <c r="HUP248" s="15"/>
      <c r="HUQ248" s="15"/>
      <c r="HUR248" s="15"/>
      <c r="HUS248" s="15"/>
      <c r="HUT248" s="15"/>
      <c r="HUU248" s="15"/>
      <c r="HUV248" s="15"/>
      <c r="HUW248" s="15"/>
      <c r="HUX248" s="10"/>
      <c r="HUY248" s="10"/>
      <c r="HUZ248" s="21"/>
      <c r="HVA248" s="21"/>
      <c r="HVD248" s="21"/>
      <c r="HVE248" s="15"/>
      <c r="HVF248" s="15"/>
      <c r="HVG248" s="15"/>
      <c r="HVH248" s="15"/>
      <c r="HVI248" s="15"/>
      <c r="HVJ248" s="15"/>
      <c r="HVK248" s="15"/>
      <c r="HVL248" s="15"/>
      <c r="HVM248" s="15"/>
      <c r="HVN248" s="15"/>
      <c r="HVO248" s="10"/>
      <c r="HVP248" s="10"/>
      <c r="HVQ248" s="21"/>
      <c r="HVR248" s="21"/>
      <c r="HVU248" s="21"/>
      <c r="HVV248" s="15"/>
      <c r="HVW248" s="15"/>
      <c r="HVX248" s="15"/>
      <c r="HVY248" s="15"/>
      <c r="HVZ248" s="15"/>
      <c r="HWA248" s="15"/>
      <c r="HWB248" s="15"/>
      <c r="HWC248" s="15"/>
      <c r="HWD248" s="15"/>
      <c r="HWE248" s="15"/>
      <c r="HWF248" s="10"/>
      <c r="HWG248" s="10"/>
      <c r="HWH248" s="21"/>
      <c r="HWI248" s="21"/>
      <c r="HWL248" s="21"/>
      <c r="HWM248" s="15"/>
      <c r="HWN248" s="15"/>
      <c r="HWO248" s="15"/>
      <c r="HWP248" s="15"/>
      <c r="HWQ248" s="15"/>
      <c r="HWR248" s="15"/>
      <c r="HWS248" s="15"/>
      <c r="HWT248" s="15"/>
      <c r="HWU248" s="15"/>
      <c r="HWV248" s="15"/>
      <c r="HWW248" s="10"/>
      <c r="HWX248" s="10"/>
      <c r="HWY248" s="21"/>
      <c r="HWZ248" s="21"/>
      <c r="HXC248" s="21"/>
      <c r="HXD248" s="15"/>
      <c r="HXE248" s="15"/>
      <c r="HXF248" s="15"/>
      <c r="HXG248" s="15"/>
      <c r="HXH248" s="15"/>
      <c r="HXI248" s="15"/>
      <c r="HXJ248" s="15"/>
      <c r="HXK248" s="15"/>
      <c r="HXL248" s="15"/>
      <c r="HXM248" s="15"/>
      <c r="HXN248" s="10"/>
      <c r="HXO248" s="10"/>
      <c r="HXP248" s="21"/>
      <c r="HXQ248" s="21"/>
      <c r="HXT248" s="21"/>
      <c r="HXU248" s="15"/>
      <c r="HXV248" s="15"/>
      <c r="HXW248" s="15"/>
      <c r="HXX248" s="15"/>
      <c r="HXY248" s="15"/>
      <c r="HXZ248" s="15"/>
      <c r="HYA248" s="15"/>
      <c r="HYB248" s="15"/>
      <c r="HYC248" s="15"/>
      <c r="HYD248" s="15"/>
      <c r="HYE248" s="10"/>
      <c r="HYF248" s="10"/>
      <c r="HYG248" s="21"/>
      <c r="HYH248" s="21"/>
      <c r="HYK248" s="21"/>
      <c r="HYL248" s="15"/>
      <c r="HYM248" s="15"/>
      <c r="HYN248" s="15"/>
      <c r="HYO248" s="15"/>
      <c r="HYP248" s="15"/>
      <c r="HYQ248" s="15"/>
      <c r="HYR248" s="15"/>
      <c r="HYS248" s="15"/>
      <c r="HYT248" s="15"/>
      <c r="HYU248" s="15"/>
      <c r="HYV248" s="10"/>
      <c r="HYW248" s="10"/>
      <c r="HYX248" s="21"/>
      <c r="HYY248" s="21"/>
      <c r="HZB248" s="21"/>
      <c r="HZC248" s="15"/>
      <c r="HZD248" s="15"/>
      <c r="HZE248" s="15"/>
      <c r="HZF248" s="15"/>
      <c r="HZG248" s="15"/>
      <c r="HZH248" s="15"/>
      <c r="HZI248" s="15"/>
      <c r="HZJ248" s="15"/>
      <c r="HZK248" s="15"/>
      <c r="HZL248" s="15"/>
      <c r="HZM248" s="10"/>
      <c r="HZN248" s="10"/>
      <c r="HZO248" s="21"/>
      <c r="HZP248" s="21"/>
      <c r="HZS248" s="21"/>
      <c r="HZT248" s="15"/>
      <c r="HZU248" s="15"/>
      <c r="HZV248" s="15"/>
      <c r="HZW248" s="15"/>
      <c r="HZX248" s="15"/>
      <c r="HZY248" s="15"/>
      <c r="HZZ248" s="15"/>
      <c r="IAA248" s="15"/>
      <c r="IAB248" s="15"/>
      <c r="IAC248" s="15"/>
      <c r="IAD248" s="10"/>
      <c r="IAE248" s="10"/>
      <c r="IAF248" s="21"/>
      <c r="IAG248" s="21"/>
      <c r="IAJ248" s="21"/>
      <c r="IAK248" s="15"/>
      <c r="IAL248" s="15"/>
      <c r="IAM248" s="15"/>
      <c r="IAN248" s="15"/>
      <c r="IAO248" s="15"/>
      <c r="IAP248" s="15"/>
      <c r="IAQ248" s="15"/>
      <c r="IAR248" s="15"/>
      <c r="IAS248" s="15"/>
      <c r="IAT248" s="15"/>
      <c r="IAU248" s="10"/>
      <c r="IAV248" s="10"/>
      <c r="IAW248" s="21"/>
      <c r="IAX248" s="21"/>
      <c r="IBA248" s="21"/>
      <c r="IBB248" s="15"/>
      <c r="IBC248" s="15"/>
      <c r="IBD248" s="15"/>
      <c r="IBE248" s="15"/>
      <c r="IBF248" s="15"/>
      <c r="IBG248" s="15"/>
      <c r="IBH248" s="15"/>
      <c r="IBI248" s="15"/>
      <c r="IBJ248" s="15"/>
      <c r="IBK248" s="15"/>
      <c r="IBL248" s="10"/>
      <c r="IBM248" s="10"/>
      <c r="IBN248" s="21"/>
      <c r="IBO248" s="21"/>
      <c r="IBR248" s="21"/>
      <c r="IBS248" s="15"/>
      <c r="IBT248" s="15"/>
      <c r="IBU248" s="15"/>
      <c r="IBV248" s="15"/>
      <c r="IBW248" s="15"/>
      <c r="IBX248" s="15"/>
      <c r="IBY248" s="15"/>
      <c r="IBZ248" s="15"/>
      <c r="ICA248" s="15"/>
      <c r="ICB248" s="15"/>
      <c r="ICC248" s="10"/>
      <c r="ICD248" s="10"/>
      <c r="ICE248" s="21"/>
      <c r="ICF248" s="21"/>
      <c r="ICI248" s="21"/>
      <c r="ICJ248" s="15"/>
      <c r="ICK248" s="15"/>
      <c r="ICL248" s="15"/>
      <c r="ICM248" s="15"/>
      <c r="ICN248" s="15"/>
      <c r="ICO248" s="15"/>
      <c r="ICP248" s="15"/>
      <c r="ICQ248" s="15"/>
      <c r="ICR248" s="15"/>
      <c r="ICS248" s="15"/>
      <c r="ICT248" s="10"/>
      <c r="ICU248" s="10"/>
      <c r="ICV248" s="21"/>
      <c r="ICW248" s="21"/>
      <c r="ICZ248" s="21"/>
      <c r="IDA248" s="15"/>
      <c r="IDB248" s="15"/>
      <c r="IDC248" s="15"/>
      <c r="IDD248" s="15"/>
      <c r="IDE248" s="15"/>
      <c r="IDF248" s="15"/>
      <c r="IDG248" s="15"/>
      <c r="IDH248" s="15"/>
      <c r="IDI248" s="15"/>
      <c r="IDJ248" s="15"/>
      <c r="IDK248" s="10"/>
      <c r="IDL248" s="10"/>
      <c r="IDM248" s="21"/>
      <c r="IDN248" s="21"/>
      <c r="IDQ248" s="21"/>
      <c r="IDR248" s="15"/>
      <c r="IDS248" s="15"/>
      <c r="IDT248" s="15"/>
      <c r="IDU248" s="15"/>
      <c r="IDV248" s="15"/>
      <c r="IDW248" s="15"/>
      <c r="IDX248" s="15"/>
      <c r="IDY248" s="15"/>
      <c r="IDZ248" s="15"/>
      <c r="IEA248" s="15"/>
      <c r="IEB248" s="10"/>
      <c r="IEC248" s="10"/>
      <c r="IED248" s="21"/>
      <c r="IEE248" s="21"/>
      <c r="IEH248" s="21"/>
      <c r="IEI248" s="15"/>
      <c r="IEJ248" s="15"/>
      <c r="IEK248" s="15"/>
      <c r="IEL248" s="15"/>
      <c r="IEM248" s="15"/>
      <c r="IEN248" s="15"/>
      <c r="IEO248" s="15"/>
      <c r="IEP248" s="15"/>
      <c r="IEQ248" s="15"/>
      <c r="IER248" s="15"/>
      <c r="IES248" s="10"/>
      <c r="IET248" s="10"/>
      <c r="IEU248" s="21"/>
      <c r="IEV248" s="21"/>
      <c r="IEY248" s="21"/>
      <c r="IEZ248" s="15"/>
      <c r="IFA248" s="15"/>
      <c r="IFB248" s="15"/>
      <c r="IFC248" s="15"/>
      <c r="IFD248" s="15"/>
      <c r="IFE248" s="15"/>
      <c r="IFF248" s="15"/>
      <c r="IFG248" s="15"/>
      <c r="IFH248" s="15"/>
      <c r="IFI248" s="15"/>
      <c r="IFJ248" s="10"/>
      <c r="IFK248" s="10"/>
      <c r="IFL248" s="21"/>
      <c r="IFM248" s="21"/>
      <c r="IFP248" s="21"/>
      <c r="IFQ248" s="15"/>
      <c r="IFR248" s="15"/>
      <c r="IFS248" s="15"/>
      <c r="IFT248" s="15"/>
      <c r="IFU248" s="15"/>
      <c r="IFV248" s="15"/>
      <c r="IFW248" s="15"/>
      <c r="IFX248" s="15"/>
      <c r="IFY248" s="15"/>
      <c r="IFZ248" s="15"/>
      <c r="IGA248" s="10"/>
      <c r="IGB248" s="10"/>
      <c r="IGC248" s="21"/>
      <c r="IGD248" s="21"/>
      <c r="IGG248" s="21"/>
      <c r="IGH248" s="15"/>
      <c r="IGI248" s="15"/>
      <c r="IGJ248" s="15"/>
      <c r="IGK248" s="15"/>
      <c r="IGL248" s="15"/>
      <c r="IGM248" s="15"/>
      <c r="IGN248" s="15"/>
      <c r="IGO248" s="15"/>
      <c r="IGP248" s="15"/>
      <c r="IGQ248" s="15"/>
      <c r="IGR248" s="10"/>
      <c r="IGS248" s="10"/>
      <c r="IGT248" s="21"/>
      <c r="IGU248" s="21"/>
      <c r="IGX248" s="21"/>
      <c r="IGY248" s="15"/>
      <c r="IGZ248" s="15"/>
      <c r="IHA248" s="15"/>
      <c r="IHB248" s="15"/>
      <c r="IHC248" s="15"/>
      <c r="IHD248" s="15"/>
      <c r="IHE248" s="15"/>
      <c r="IHF248" s="15"/>
      <c r="IHG248" s="15"/>
      <c r="IHH248" s="15"/>
      <c r="IHI248" s="10"/>
      <c r="IHJ248" s="10"/>
      <c r="IHK248" s="21"/>
      <c r="IHL248" s="21"/>
      <c r="IHO248" s="21"/>
      <c r="IHP248" s="15"/>
      <c r="IHQ248" s="15"/>
      <c r="IHR248" s="15"/>
      <c r="IHS248" s="15"/>
      <c r="IHT248" s="15"/>
      <c r="IHU248" s="15"/>
      <c r="IHV248" s="15"/>
      <c r="IHW248" s="15"/>
      <c r="IHX248" s="15"/>
      <c r="IHY248" s="15"/>
      <c r="IHZ248" s="10"/>
      <c r="IIA248" s="10"/>
      <c r="IIB248" s="21"/>
      <c r="IIC248" s="21"/>
      <c r="IIF248" s="21"/>
      <c r="IIG248" s="15"/>
      <c r="IIH248" s="15"/>
      <c r="III248" s="15"/>
      <c r="IIJ248" s="15"/>
      <c r="IIK248" s="15"/>
      <c r="IIL248" s="15"/>
      <c r="IIM248" s="15"/>
      <c r="IIN248" s="15"/>
      <c r="IIO248" s="15"/>
      <c r="IIP248" s="15"/>
      <c r="IIQ248" s="10"/>
      <c r="IIR248" s="10"/>
      <c r="IIS248" s="21"/>
      <c r="IIT248" s="21"/>
      <c r="IIW248" s="21"/>
      <c r="IIX248" s="15"/>
      <c r="IIY248" s="15"/>
      <c r="IIZ248" s="15"/>
      <c r="IJA248" s="15"/>
      <c r="IJB248" s="15"/>
      <c r="IJC248" s="15"/>
      <c r="IJD248" s="15"/>
      <c r="IJE248" s="15"/>
      <c r="IJF248" s="15"/>
      <c r="IJG248" s="15"/>
      <c r="IJH248" s="10"/>
      <c r="IJI248" s="10"/>
      <c r="IJJ248" s="21"/>
      <c r="IJK248" s="21"/>
      <c r="IJN248" s="21"/>
      <c r="IJO248" s="15"/>
      <c r="IJP248" s="15"/>
      <c r="IJQ248" s="15"/>
      <c r="IJR248" s="15"/>
      <c r="IJS248" s="15"/>
      <c r="IJT248" s="15"/>
      <c r="IJU248" s="15"/>
      <c r="IJV248" s="15"/>
      <c r="IJW248" s="15"/>
      <c r="IJX248" s="15"/>
      <c r="IJY248" s="10"/>
      <c r="IJZ248" s="10"/>
      <c r="IKA248" s="21"/>
      <c r="IKB248" s="21"/>
      <c r="IKE248" s="21"/>
      <c r="IKF248" s="15"/>
      <c r="IKG248" s="15"/>
      <c r="IKH248" s="15"/>
      <c r="IKI248" s="15"/>
      <c r="IKJ248" s="15"/>
      <c r="IKK248" s="15"/>
      <c r="IKL248" s="15"/>
      <c r="IKM248" s="15"/>
      <c r="IKN248" s="15"/>
      <c r="IKO248" s="15"/>
      <c r="IKP248" s="10"/>
      <c r="IKQ248" s="10"/>
      <c r="IKR248" s="21"/>
      <c r="IKS248" s="21"/>
      <c r="IKV248" s="21"/>
      <c r="IKW248" s="15"/>
      <c r="IKX248" s="15"/>
      <c r="IKY248" s="15"/>
      <c r="IKZ248" s="15"/>
      <c r="ILA248" s="15"/>
      <c r="ILB248" s="15"/>
      <c r="ILC248" s="15"/>
      <c r="ILD248" s="15"/>
      <c r="ILE248" s="15"/>
      <c r="ILF248" s="15"/>
      <c r="ILG248" s="10"/>
      <c r="ILH248" s="10"/>
      <c r="ILI248" s="21"/>
      <c r="ILJ248" s="21"/>
      <c r="ILM248" s="21"/>
      <c r="ILN248" s="15"/>
      <c r="ILO248" s="15"/>
      <c r="ILP248" s="15"/>
      <c r="ILQ248" s="15"/>
      <c r="ILR248" s="15"/>
      <c r="ILS248" s="15"/>
      <c r="ILT248" s="15"/>
      <c r="ILU248" s="15"/>
      <c r="ILV248" s="15"/>
      <c r="ILW248" s="15"/>
      <c r="ILX248" s="10"/>
      <c r="ILY248" s="10"/>
      <c r="ILZ248" s="21"/>
      <c r="IMA248" s="21"/>
      <c r="IMD248" s="21"/>
      <c r="IME248" s="15"/>
      <c r="IMF248" s="15"/>
      <c r="IMG248" s="15"/>
      <c r="IMH248" s="15"/>
      <c r="IMI248" s="15"/>
      <c r="IMJ248" s="15"/>
      <c r="IMK248" s="15"/>
      <c r="IML248" s="15"/>
      <c r="IMM248" s="15"/>
      <c r="IMN248" s="15"/>
      <c r="IMO248" s="10"/>
      <c r="IMP248" s="10"/>
      <c r="IMQ248" s="21"/>
      <c r="IMR248" s="21"/>
      <c r="IMU248" s="21"/>
      <c r="IMV248" s="15"/>
      <c r="IMW248" s="15"/>
      <c r="IMX248" s="15"/>
      <c r="IMY248" s="15"/>
      <c r="IMZ248" s="15"/>
      <c r="INA248" s="15"/>
      <c r="INB248" s="15"/>
      <c r="INC248" s="15"/>
      <c r="IND248" s="15"/>
      <c r="INE248" s="15"/>
      <c r="INF248" s="10"/>
      <c r="ING248" s="10"/>
      <c r="INH248" s="21"/>
      <c r="INI248" s="21"/>
      <c r="INL248" s="21"/>
      <c r="INM248" s="15"/>
      <c r="INN248" s="15"/>
      <c r="INO248" s="15"/>
      <c r="INP248" s="15"/>
      <c r="INQ248" s="15"/>
      <c r="INR248" s="15"/>
      <c r="INS248" s="15"/>
      <c r="INT248" s="15"/>
      <c r="INU248" s="15"/>
      <c r="INV248" s="15"/>
      <c r="INW248" s="10"/>
      <c r="INX248" s="10"/>
      <c r="INY248" s="21"/>
      <c r="INZ248" s="21"/>
      <c r="IOC248" s="21"/>
      <c r="IOD248" s="15"/>
      <c r="IOE248" s="15"/>
      <c r="IOF248" s="15"/>
      <c r="IOG248" s="15"/>
      <c r="IOH248" s="15"/>
      <c r="IOI248" s="15"/>
      <c r="IOJ248" s="15"/>
      <c r="IOK248" s="15"/>
      <c r="IOL248" s="15"/>
      <c r="IOM248" s="15"/>
      <c r="ION248" s="10"/>
      <c r="IOO248" s="10"/>
      <c r="IOP248" s="21"/>
      <c r="IOQ248" s="21"/>
      <c r="IOT248" s="21"/>
      <c r="IOU248" s="15"/>
      <c r="IOV248" s="15"/>
      <c r="IOW248" s="15"/>
      <c r="IOX248" s="15"/>
      <c r="IOY248" s="15"/>
      <c r="IOZ248" s="15"/>
      <c r="IPA248" s="15"/>
      <c r="IPB248" s="15"/>
      <c r="IPC248" s="15"/>
      <c r="IPD248" s="15"/>
      <c r="IPE248" s="10"/>
      <c r="IPF248" s="10"/>
      <c r="IPG248" s="21"/>
      <c r="IPH248" s="21"/>
      <c r="IPK248" s="21"/>
      <c r="IPL248" s="15"/>
      <c r="IPM248" s="15"/>
      <c r="IPN248" s="15"/>
      <c r="IPO248" s="15"/>
      <c r="IPP248" s="15"/>
      <c r="IPQ248" s="15"/>
      <c r="IPR248" s="15"/>
      <c r="IPS248" s="15"/>
      <c r="IPT248" s="15"/>
      <c r="IPU248" s="15"/>
      <c r="IPV248" s="10"/>
      <c r="IPW248" s="10"/>
      <c r="IPX248" s="21"/>
      <c r="IPY248" s="21"/>
      <c r="IQB248" s="21"/>
      <c r="IQC248" s="15"/>
      <c r="IQD248" s="15"/>
      <c r="IQE248" s="15"/>
      <c r="IQF248" s="15"/>
      <c r="IQG248" s="15"/>
      <c r="IQH248" s="15"/>
      <c r="IQI248" s="15"/>
      <c r="IQJ248" s="15"/>
      <c r="IQK248" s="15"/>
      <c r="IQL248" s="15"/>
      <c r="IQM248" s="10"/>
      <c r="IQN248" s="10"/>
      <c r="IQO248" s="21"/>
      <c r="IQP248" s="21"/>
      <c r="IQS248" s="21"/>
      <c r="IQT248" s="15"/>
      <c r="IQU248" s="15"/>
      <c r="IQV248" s="15"/>
      <c r="IQW248" s="15"/>
      <c r="IQX248" s="15"/>
      <c r="IQY248" s="15"/>
      <c r="IQZ248" s="15"/>
      <c r="IRA248" s="15"/>
      <c r="IRB248" s="15"/>
      <c r="IRC248" s="15"/>
      <c r="IRD248" s="10"/>
      <c r="IRE248" s="10"/>
      <c r="IRF248" s="21"/>
      <c r="IRG248" s="21"/>
      <c r="IRJ248" s="21"/>
      <c r="IRK248" s="15"/>
      <c r="IRL248" s="15"/>
      <c r="IRM248" s="15"/>
      <c r="IRN248" s="15"/>
      <c r="IRO248" s="15"/>
      <c r="IRP248" s="15"/>
      <c r="IRQ248" s="15"/>
      <c r="IRR248" s="15"/>
      <c r="IRS248" s="15"/>
      <c r="IRT248" s="15"/>
      <c r="IRU248" s="10"/>
      <c r="IRV248" s="10"/>
      <c r="IRW248" s="21"/>
      <c r="IRX248" s="21"/>
      <c r="ISA248" s="21"/>
      <c r="ISB248" s="15"/>
      <c r="ISC248" s="15"/>
      <c r="ISD248" s="15"/>
      <c r="ISE248" s="15"/>
      <c r="ISF248" s="15"/>
      <c r="ISG248" s="15"/>
      <c r="ISH248" s="15"/>
      <c r="ISI248" s="15"/>
      <c r="ISJ248" s="15"/>
      <c r="ISK248" s="15"/>
      <c r="ISL248" s="10"/>
      <c r="ISM248" s="10"/>
      <c r="ISN248" s="21"/>
      <c r="ISO248" s="21"/>
      <c r="ISR248" s="21"/>
      <c r="ISS248" s="15"/>
      <c r="IST248" s="15"/>
      <c r="ISU248" s="15"/>
      <c r="ISV248" s="15"/>
      <c r="ISW248" s="15"/>
      <c r="ISX248" s="15"/>
      <c r="ISY248" s="15"/>
      <c r="ISZ248" s="15"/>
      <c r="ITA248" s="15"/>
      <c r="ITB248" s="15"/>
      <c r="ITC248" s="10"/>
      <c r="ITD248" s="10"/>
      <c r="ITE248" s="21"/>
      <c r="ITF248" s="21"/>
      <c r="ITI248" s="21"/>
      <c r="ITJ248" s="15"/>
      <c r="ITK248" s="15"/>
      <c r="ITL248" s="15"/>
      <c r="ITM248" s="15"/>
      <c r="ITN248" s="15"/>
      <c r="ITO248" s="15"/>
      <c r="ITP248" s="15"/>
      <c r="ITQ248" s="15"/>
      <c r="ITR248" s="15"/>
      <c r="ITS248" s="15"/>
      <c r="ITT248" s="10"/>
      <c r="ITU248" s="10"/>
      <c r="ITV248" s="21"/>
      <c r="ITW248" s="21"/>
      <c r="ITZ248" s="21"/>
      <c r="IUA248" s="15"/>
      <c r="IUB248" s="15"/>
      <c r="IUC248" s="15"/>
      <c r="IUD248" s="15"/>
      <c r="IUE248" s="15"/>
      <c r="IUF248" s="15"/>
      <c r="IUG248" s="15"/>
      <c r="IUH248" s="15"/>
      <c r="IUI248" s="15"/>
      <c r="IUJ248" s="15"/>
      <c r="IUK248" s="10"/>
      <c r="IUL248" s="10"/>
      <c r="IUM248" s="21"/>
      <c r="IUN248" s="21"/>
      <c r="IUQ248" s="21"/>
      <c r="IUR248" s="15"/>
      <c r="IUS248" s="15"/>
      <c r="IUT248" s="15"/>
      <c r="IUU248" s="15"/>
      <c r="IUV248" s="15"/>
      <c r="IUW248" s="15"/>
      <c r="IUX248" s="15"/>
      <c r="IUY248" s="15"/>
      <c r="IUZ248" s="15"/>
      <c r="IVA248" s="15"/>
      <c r="IVB248" s="10"/>
      <c r="IVC248" s="10"/>
      <c r="IVD248" s="21"/>
      <c r="IVE248" s="21"/>
      <c r="IVH248" s="21"/>
      <c r="IVI248" s="15"/>
      <c r="IVJ248" s="15"/>
      <c r="IVK248" s="15"/>
      <c r="IVL248" s="15"/>
      <c r="IVM248" s="15"/>
      <c r="IVN248" s="15"/>
      <c r="IVO248" s="15"/>
      <c r="IVP248" s="15"/>
      <c r="IVQ248" s="15"/>
      <c r="IVR248" s="15"/>
      <c r="IVS248" s="10"/>
      <c r="IVT248" s="10"/>
      <c r="IVU248" s="21"/>
      <c r="IVV248" s="21"/>
      <c r="IVY248" s="21"/>
      <c r="IVZ248" s="15"/>
      <c r="IWA248" s="15"/>
      <c r="IWB248" s="15"/>
      <c r="IWC248" s="15"/>
      <c r="IWD248" s="15"/>
      <c r="IWE248" s="15"/>
      <c r="IWF248" s="15"/>
      <c r="IWG248" s="15"/>
      <c r="IWH248" s="15"/>
      <c r="IWI248" s="15"/>
      <c r="IWJ248" s="10"/>
      <c r="IWK248" s="10"/>
      <c r="IWL248" s="21"/>
      <c r="IWM248" s="21"/>
      <c r="IWP248" s="21"/>
      <c r="IWQ248" s="15"/>
      <c r="IWR248" s="15"/>
      <c r="IWS248" s="15"/>
      <c r="IWT248" s="15"/>
      <c r="IWU248" s="15"/>
      <c r="IWV248" s="15"/>
      <c r="IWW248" s="15"/>
      <c r="IWX248" s="15"/>
      <c r="IWY248" s="15"/>
      <c r="IWZ248" s="15"/>
      <c r="IXA248" s="10"/>
      <c r="IXB248" s="10"/>
      <c r="IXC248" s="21"/>
      <c r="IXD248" s="21"/>
      <c r="IXG248" s="21"/>
      <c r="IXH248" s="15"/>
      <c r="IXI248" s="15"/>
      <c r="IXJ248" s="15"/>
      <c r="IXK248" s="15"/>
      <c r="IXL248" s="15"/>
      <c r="IXM248" s="15"/>
      <c r="IXN248" s="15"/>
      <c r="IXO248" s="15"/>
      <c r="IXP248" s="15"/>
      <c r="IXQ248" s="15"/>
      <c r="IXR248" s="10"/>
      <c r="IXS248" s="10"/>
      <c r="IXT248" s="21"/>
      <c r="IXU248" s="21"/>
      <c r="IXX248" s="21"/>
      <c r="IXY248" s="15"/>
      <c r="IXZ248" s="15"/>
      <c r="IYA248" s="15"/>
      <c r="IYB248" s="15"/>
      <c r="IYC248" s="15"/>
      <c r="IYD248" s="15"/>
      <c r="IYE248" s="15"/>
      <c r="IYF248" s="15"/>
      <c r="IYG248" s="15"/>
      <c r="IYH248" s="15"/>
      <c r="IYI248" s="10"/>
      <c r="IYJ248" s="10"/>
      <c r="IYK248" s="21"/>
      <c r="IYL248" s="21"/>
      <c r="IYO248" s="21"/>
      <c r="IYP248" s="15"/>
      <c r="IYQ248" s="15"/>
      <c r="IYR248" s="15"/>
      <c r="IYS248" s="15"/>
      <c r="IYT248" s="15"/>
      <c r="IYU248" s="15"/>
      <c r="IYV248" s="15"/>
      <c r="IYW248" s="15"/>
      <c r="IYX248" s="15"/>
      <c r="IYY248" s="15"/>
      <c r="IYZ248" s="10"/>
      <c r="IZA248" s="10"/>
      <c r="IZB248" s="21"/>
      <c r="IZC248" s="21"/>
      <c r="IZF248" s="21"/>
      <c r="IZG248" s="15"/>
      <c r="IZH248" s="15"/>
      <c r="IZI248" s="15"/>
      <c r="IZJ248" s="15"/>
      <c r="IZK248" s="15"/>
      <c r="IZL248" s="15"/>
      <c r="IZM248" s="15"/>
      <c r="IZN248" s="15"/>
      <c r="IZO248" s="15"/>
      <c r="IZP248" s="15"/>
      <c r="IZQ248" s="10"/>
      <c r="IZR248" s="10"/>
      <c r="IZS248" s="21"/>
      <c r="IZT248" s="21"/>
      <c r="IZW248" s="21"/>
      <c r="IZX248" s="15"/>
      <c r="IZY248" s="15"/>
      <c r="IZZ248" s="15"/>
      <c r="JAA248" s="15"/>
      <c r="JAB248" s="15"/>
      <c r="JAC248" s="15"/>
      <c r="JAD248" s="15"/>
      <c r="JAE248" s="15"/>
      <c r="JAF248" s="15"/>
      <c r="JAG248" s="15"/>
      <c r="JAH248" s="10"/>
      <c r="JAI248" s="10"/>
      <c r="JAJ248" s="21"/>
      <c r="JAK248" s="21"/>
      <c r="JAN248" s="21"/>
      <c r="JAO248" s="15"/>
      <c r="JAP248" s="15"/>
      <c r="JAQ248" s="15"/>
      <c r="JAR248" s="15"/>
      <c r="JAS248" s="15"/>
      <c r="JAT248" s="15"/>
      <c r="JAU248" s="15"/>
      <c r="JAV248" s="15"/>
      <c r="JAW248" s="15"/>
      <c r="JAX248" s="15"/>
      <c r="JAY248" s="10"/>
      <c r="JAZ248" s="10"/>
      <c r="JBA248" s="21"/>
      <c r="JBB248" s="21"/>
      <c r="JBE248" s="21"/>
      <c r="JBF248" s="15"/>
      <c r="JBG248" s="15"/>
      <c r="JBH248" s="15"/>
      <c r="JBI248" s="15"/>
      <c r="JBJ248" s="15"/>
      <c r="JBK248" s="15"/>
      <c r="JBL248" s="15"/>
      <c r="JBM248" s="15"/>
      <c r="JBN248" s="15"/>
      <c r="JBO248" s="15"/>
      <c r="JBP248" s="10"/>
      <c r="JBQ248" s="10"/>
      <c r="JBR248" s="21"/>
      <c r="JBS248" s="21"/>
      <c r="JBV248" s="21"/>
      <c r="JBW248" s="15"/>
      <c r="JBX248" s="15"/>
      <c r="JBY248" s="15"/>
      <c r="JBZ248" s="15"/>
      <c r="JCA248" s="15"/>
      <c r="JCB248" s="15"/>
      <c r="JCC248" s="15"/>
      <c r="JCD248" s="15"/>
      <c r="JCE248" s="15"/>
      <c r="JCF248" s="15"/>
      <c r="JCG248" s="10"/>
      <c r="JCH248" s="10"/>
      <c r="JCI248" s="21"/>
      <c r="JCJ248" s="21"/>
      <c r="JCM248" s="21"/>
      <c r="JCN248" s="15"/>
      <c r="JCO248" s="15"/>
      <c r="JCP248" s="15"/>
      <c r="JCQ248" s="15"/>
      <c r="JCR248" s="15"/>
      <c r="JCS248" s="15"/>
      <c r="JCT248" s="15"/>
      <c r="JCU248" s="15"/>
      <c r="JCV248" s="15"/>
      <c r="JCW248" s="15"/>
      <c r="JCX248" s="10"/>
      <c r="JCY248" s="10"/>
      <c r="JCZ248" s="21"/>
      <c r="JDA248" s="21"/>
      <c r="JDD248" s="21"/>
      <c r="JDE248" s="15"/>
      <c r="JDF248" s="15"/>
      <c r="JDG248" s="15"/>
      <c r="JDH248" s="15"/>
      <c r="JDI248" s="15"/>
      <c r="JDJ248" s="15"/>
      <c r="JDK248" s="15"/>
      <c r="JDL248" s="15"/>
      <c r="JDM248" s="15"/>
      <c r="JDN248" s="15"/>
      <c r="JDO248" s="10"/>
      <c r="JDP248" s="10"/>
      <c r="JDQ248" s="21"/>
      <c r="JDR248" s="21"/>
      <c r="JDU248" s="21"/>
      <c r="JDV248" s="15"/>
      <c r="JDW248" s="15"/>
      <c r="JDX248" s="15"/>
      <c r="JDY248" s="15"/>
      <c r="JDZ248" s="15"/>
      <c r="JEA248" s="15"/>
      <c r="JEB248" s="15"/>
      <c r="JEC248" s="15"/>
      <c r="JED248" s="15"/>
      <c r="JEE248" s="15"/>
      <c r="JEF248" s="10"/>
      <c r="JEG248" s="10"/>
      <c r="JEH248" s="21"/>
      <c r="JEI248" s="21"/>
      <c r="JEL248" s="21"/>
      <c r="JEM248" s="15"/>
      <c r="JEN248" s="15"/>
      <c r="JEO248" s="15"/>
      <c r="JEP248" s="15"/>
      <c r="JEQ248" s="15"/>
      <c r="JER248" s="15"/>
      <c r="JES248" s="15"/>
      <c r="JET248" s="15"/>
      <c r="JEU248" s="15"/>
      <c r="JEV248" s="15"/>
      <c r="JEW248" s="10"/>
      <c r="JEX248" s="10"/>
      <c r="JEY248" s="21"/>
      <c r="JEZ248" s="21"/>
      <c r="JFC248" s="21"/>
      <c r="JFD248" s="15"/>
      <c r="JFE248" s="15"/>
      <c r="JFF248" s="15"/>
      <c r="JFG248" s="15"/>
      <c r="JFH248" s="15"/>
      <c r="JFI248" s="15"/>
      <c r="JFJ248" s="15"/>
      <c r="JFK248" s="15"/>
      <c r="JFL248" s="15"/>
      <c r="JFM248" s="15"/>
      <c r="JFN248" s="10"/>
      <c r="JFO248" s="10"/>
      <c r="JFP248" s="21"/>
      <c r="JFQ248" s="21"/>
      <c r="JFT248" s="21"/>
      <c r="JFU248" s="15"/>
      <c r="JFV248" s="15"/>
      <c r="JFW248" s="15"/>
      <c r="JFX248" s="15"/>
      <c r="JFY248" s="15"/>
      <c r="JFZ248" s="15"/>
      <c r="JGA248" s="15"/>
      <c r="JGB248" s="15"/>
      <c r="JGC248" s="15"/>
      <c r="JGD248" s="15"/>
      <c r="JGE248" s="10"/>
      <c r="JGF248" s="10"/>
      <c r="JGG248" s="21"/>
      <c r="JGH248" s="21"/>
      <c r="JGK248" s="21"/>
      <c r="JGL248" s="15"/>
      <c r="JGM248" s="15"/>
      <c r="JGN248" s="15"/>
      <c r="JGO248" s="15"/>
      <c r="JGP248" s="15"/>
      <c r="JGQ248" s="15"/>
      <c r="JGR248" s="15"/>
      <c r="JGS248" s="15"/>
      <c r="JGT248" s="15"/>
      <c r="JGU248" s="15"/>
      <c r="JGV248" s="10"/>
      <c r="JGW248" s="10"/>
      <c r="JGX248" s="21"/>
      <c r="JGY248" s="21"/>
      <c r="JHB248" s="21"/>
      <c r="JHC248" s="15"/>
      <c r="JHD248" s="15"/>
      <c r="JHE248" s="15"/>
      <c r="JHF248" s="15"/>
      <c r="JHG248" s="15"/>
      <c r="JHH248" s="15"/>
      <c r="JHI248" s="15"/>
      <c r="JHJ248" s="15"/>
      <c r="JHK248" s="15"/>
      <c r="JHL248" s="15"/>
      <c r="JHM248" s="10"/>
      <c r="JHN248" s="10"/>
      <c r="JHO248" s="21"/>
      <c r="JHP248" s="21"/>
      <c r="JHS248" s="21"/>
      <c r="JHT248" s="15"/>
      <c r="JHU248" s="15"/>
      <c r="JHV248" s="15"/>
      <c r="JHW248" s="15"/>
      <c r="JHX248" s="15"/>
      <c r="JHY248" s="15"/>
      <c r="JHZ248" s="15"/>
      <c r="JIA248" s="15"/>
      <c r="JIB248" s="15"/>
      <c r="JIC248" s="15"/>
      <c r="JID248" s="10"/>
      <c r="JIE248" s="10"/>
      <c r="JIF248" s="21"/>
      <c r="JIG248" s="21"/>
      <c r="JIJ248" s="21"/>
      <c r="JIK248" s="15"/>
      <c r="JIL248" s="15"/>
      <c r="JIM248" s="15"/>
      <c r="JIN248" s="15"/>
      <c r="JIO248" s="15"/>
      <c r="JIP248" s="15"/>
      <c r="JIQ248" s="15"/>
      <c r="JIR248" s="15"/>
      <c r="JIS248" s="15"/>
      <c r="JIT248" s="15"/>
      <c r="JIU248" s="10"/>
      <c r="JIV248" s="10"/>
      <c r="JIW248" s="21"/>
      <c r="JIX248" s="21"/>
      <c r="JJA248" s="21"/>
      <c r="JJB248" s="15"/>
      <c r="JJC248" s="15"/>
      <c r="JJD248" s="15"/>
      <c r="JJE248" s="15"/>
      <c r="JJF248" s="15"/>
      <c r="JJG248" s="15"/>
      <c r="JJH248" s="15"/>
      <c r="JJI248" s="15"/>
      <c r="JJJ248" s="15"/>
      <c r="JJK248" s="15"/>
      <c r="JJL248" s="10"/>
      <c r="JJM248" s="10"/>
      <c r="JJN248" s="21"/>
      <c r="JJO248" s="21"/>
      <c r="JJR248" s="21"/>
      <c r="JJS248" s="15"/>
      <c r="JJT248" s="15"/>
      <c r="JJU248" s="15"/>
      <c r="JJV248" s="15"/>
      <c r="JJW248" s="15"/>
      <c r="JJX248" s="15"/>
      <c r="JJY248" s="15"/>
      <c r="JJZ248" s="15"/>
      <c r="JKA248" s="15"/>
      <c r="JKB248" s="15"/>
      <c r="JKC248" s="10"/>
      <c r="JKD248" s="10"/>
      <c r="JKE248" s="21"/>
      <c r="JKF248" s="21"/>
      <c r="JKI248" s="21"/>
      <c r="JKJ248" s="15"/>
      <c r="JKK248" s="15"/>
      <c r="JKL248" s="15"/>
      <c r="JKM248" s="15"/>
      <c r="JKN248" s="15"/>
      <c r="JKO248" s="15"/>
      <c r="JKP248" s="15"/>
      <c r="JKQ248" s="15"/>
      <c r="JKR248" s="15"/>
      <c r="JKS248" s="15"/>
      <c r="JKT248" s="10"/>
      <c r="JKU248" s="10"/>
      <c r="JKV248" s="21"/>
      <c r="JKW248" s="21"/>
      <c r="JKZ248" s="21"/>
      <c r="JLA248" s="15"/>
      <c r="JLB248" s="15"/>
      <c r="JLC248" s="15"/>
      <c r="JLD248" s="15"/>
      <c r="JLE248" s="15"/>
      <c r="JLF248" s="15"/>
      <c r="JLG248" s="15"/>
      <c r="JLH248" s="15"/>
      <c r="JLI248" s="15"/>
      <c r="JLJ248" s="15"/>
      <c r="JLK248" s="10"/>
      <c r="JLL248" s="10"/>
      <c r="JLM248" s="21"/>
      <c r="JLN248" s="21"/>
      <c r="JLQ248" s="21"/>
      <c r="JLR248" s="15"/>
      <c r="JLS248" s="15"/>
      <c r="JLT248" s="15"/>
      <c r="JLU248" s="15"/>
      <c r="JLV248" s="15"/>
      <c r="JLW248" s="15"/>
      <c r="JLX248" s="15"/>
      <c r="JLY248" s="15"/>
      <c r="JLZ248" s="15"/>
      <c r="JMA248" s="15"/>
      <c r="JMB248" s="10"/>
      <c r="JMC248" s="10"/>
      <c r="JMD248" s="21"/>
      <c r="JME248" s="21"/>
      <c r="JMH248" s="21"/>
      <c r="JMI248" s="15"/>
      <c r="JMJ248" s="15"/>
      <c r="JMK248" s="15"/>
      <c r="JML248" s="15"/>
      <c r="JMM248" s="15"/>
      <c r="JMN248" s="15"/>
      <c r="JMO248" s="15"/>
      <c r="JMP248" s="15"/>
      <c r="JMQ248" s="15"/>
      <c r="JMR248" s="15"/>
      <c r="JMS248" s="10"/>
      <c r="JMT248" s="10"/>
      <c r="JMU248" s="21"/>
      <c r="JMV248" s="21"/>
      <c r="JMY248" s="21"/>
      <c r="JMZ248" s="15"/>
      <c r="JNA248" s="15"/>
      <c r="JNB248" s="15"/>
      <c r="JNC248" s="15"/>
      <c r="JND248" s="15"/>
      <c r="JNE248" s="15"/>
      <c r="JNF248" s="15"/>
      <c r="JNG248" s="15"/>
      <c r="JNH248" s="15"/>
      <c r="JNI248" s="15"/>
      <c r="JNJ248" s="10"/>
      <c r="JNK248" s="10"/>
      <c r="JNL248" s="21"/>
      <c r="JNM248" s="21"/>
      <c r="JNP248" s="21"/>
      <c r="JNQ248" s="15"/>
      <c r="JNR248" s="15"/>
      <c r="JNS248" s="15"/>
      <c r="JNT248" s="15"/>
      <c r="JNU248" s="15"/>
      <c r="JNV248" s="15"/>
      <c r="JNW248" s="15"/>
      <c r="JNX248" s="15"/>
      <c r="JNY248" s="15"/>
      <c r="JNZ248" s="15"/>
      <c r="JOA248" s="10"/>
      <c r="JOB248" s="10"/>
      <c r="JOC248" s="21"/>
      <c r="JOD248" s="21"/>
      <c r="JOG248" s="21"/>
      <c r="JOH248" s="15"/>
      <c r="JOI248" s="15"/>
      <c r="JOJ248" s="15"/>
      <c r="JOK248" s="15"/>
      <c r="JOL248" s="15"/>
      <c r="JOM248" s="15"/>
      <c r="JON248" s="15"/>
      <c r="JOO248" s="15"/>
      <c r="JOP248" s="15"/>
      <c r="JOQ248" s="15"/>
      <c r="JOR248" s="10"/>
      <c r="JOS248" s="10"/>
      <c r="JOT248" s="21"/>
      <c r="JOU248" s="21"/>
      <c r="JOX248" s="21"/>
      <c r="JOY248" s="15"/>
      <c r="JOZ248" s="15"/>
      <c r="JPA248" s="15"/>
      <c r="JPB248" s="15"/>
      <c r="JPC248" s="15"/>
      <c r="JPD248" s="15"/>
      <c r="JPE248" s="15"/>
      <c r="JPF248" s="15"/>
      <c r="JPG248" s="15"/>
      <c r="JPH248" s="15"/>
      <c r="JPI248" s="10"/>
      <c r="JPJ248" s="10"/>
      <c r="JPK248" s="21"/>
      <c r="JPL248" s="21"/>
      <c r="JPO248" s="21"/>
      <c r="JPP248" s="15"/>
      <c r="JPQ248" s="15"/>
      <c r="JPR248" s="15"/>
      <c r="JPS248" s="15"/>
      <c r="JPT248" s="15"/>
      <c r="JPU248" s="15"/>
      <c r="JPV248" s="15"/>
      <c r="JPW248" s="15"/>
      <c r="JPX248" s="15"/>
      <c r="JPY248" s="15"/>
      <c r="JPZ248" s="10"/>
      <c r="JQA248" s="10"/>
      <c r="JQB248" s="21"/>
      <c r="JQC248" s="21"/>
      <c r="JQF248" s="21"/>
      <c r="JQG248" s="15"/>
      <c r="JQH248" s="15"/>
      <c r="JQI248" s="15"/>
      <c r="JQJ248" s="15"/>
      <c r="JQK248" s="15"/>
      <c r="JQL248" s="15"/>
      <c r="JQM248" s="15"/>
      <c r="JQN248" s="15"/>
      <c r="JQO248" s="15"/>
      <c r="JQP248" s="15"/>
      <c r="JQQ248" s="10"/>
      <c r="JQR248" s="10"/>
      <c r="JQS248" s="21"/>
      <c r="JQT248" s="21"/>
      <c r="JQW248" s="21"/>
      <c r="JQX248" s="15"/>
      <c r="JQY248" s="15"/>
      <c r="JQZ248" s="15"/>
      <c r="JRA248" s="15"/>
      <c r="JRB248" s="15"/>
      <c r="JRC248" s="15"/>
      <c r="JRD248" s="15"/>
      <c r="JRE248" s="15"/>
      <c r="JRF248" s="15"/>
      <c r="JRG248" s="15"/>
      <c r="JRH248" s="10"/>
      <c r="JRI248" s="10"/>
      <c r="JRJ248" s="21"/>
      <c r="JRK248" s="21"/>
      <c r="JRN248" s="21"/>
      <c r="JRO248" s="15"/>
      <c r="JRP248" s="15"/>
      <c r="JRQ248" s="15"/>
      <c r="JRR248" s="15"/>
      <c r="JRS248" s="15"/>
      <c r="JRT248" s="15"/>
      <c r="JRU248" s="15"/>
      <c r="JRV248" s="15"/>
      <c r="JRW248" s="15"/>
      <c r="JRX248" s="15"/>
      <c r="JRY248" s="10"/>
      <c r="JRZ248" s="10"/>
      <c r="JSA248" s="21"/>
      <c r="JSB248" s="21"/>
      <c r="JSE248" s="21"/>
      <c r="JSF248" s="15"/>
      <c r="JSG248" s="15"/>
      <c r="JSH248" s="15"/>
      <c r="JSI248" s="15"/>
      <c r="JSJ248" s="15"/>
      <c r="JSK248" s="15"/>
      <c r="JSL248" s="15"/>
      <c r="JSM248" s="15"/>
      <c r="JSN248" s="15"/>
      <c r="JSO248" s="15"/>
      <c r="JSP248" s="10"/>
      <c r="JSQ248" s="10"/>
      <c r="JSR248" s="21"/>
      <c r="JSS248" s="21"/>
      <c r="JSV248" s="21"/>
      <c r="JSW248" s="15"/>
      <c r="JSX248" s="15"/>
      <c r="JSY248" s="15"/>
      <c r="JSZ248" s="15"/>
      <c r="JTA248" s="15"/>
      <c r="JTB248" s="15"/>
      <c r="JTC248" s="15"/>
      <c r="JTD248" s="15"/>
      <c r="JTE248" s="15"/>
      <c r="JTF248" s="15"/>
      <c r="JTG248" s="10"/>
      <c r="JTH248" s="10"/>
      <c r="JTI248" s="21"/>
      <c r="JTJ248" s="21"/>
      <c r="JTM248" s="21"/>
      <c r="JTN248" s="15"/>
      <c r="JTO248" s="15"/>
      <c r="JTP248" s="15"/>
      <c r="JTQ248" s="15"/>
      <c r="JTR248" s="15"/>
      <c r="JTS248" s="15"/>
      <c r="JTT248" s="15"/>
      <c r="JTU248" s="15"/>
      <c r="JTV248" s="15"/>
      <c r="JTW248" s="15"/>
      <c r="JTX248" s="10"/>
      <c r="JTY248" s="10"/>
      <c r="JTZ248" s="21"/>
      <c r="JUA248" s="21"/>
      <c r="JUD248" s="21"/>
      <c r="JUE248" s="15"/>
      <c r="JUF248" s="15"/>
      <c r="JUG248" s="15"/>
      <c r="JUH248" s="15"/>
      <c r="JUI248" s="15"/>
      <c r="JUJ248" s="15"/>
      <c r="JUK248" s="15"/>
      <c r="JUL248" s="15"/>
      <c r="JUM248" s="15"/>
      <c r="JUN248" s="15"/>
      <c r="JUO248" s="10"/>
      <c r="JUP248" s="10"/>
      <c r="JUQ248" s="21"/>
      <c r="JUR248" s="21"/>
      <c r="JUU248" s="21"/>
      <c r="JUV248" s="15"/>
      <c r="JUW248" s="15"/>
      <c r="JUX248" s="15"/>
      <c r="JUY248" s="15"/>
      <c r="JUZ248" s="15"/>
      <c r="JVA248" s="15"/>
      <c r="JVB248" s="15"/>
      <c r="JVC248" s="15"/>
      <c r="JVD248" s="15"/>
      <c r="JVE248" s="15"/>
      <c r="JVF248" s="10"/>
      <c r="JVG248" s="10"/>
      <c r="JVH248" s="21"/>
      <c r="JVI248" s="21"/>
      <c r="JVL248" s="21"/>
      <c r="JVM248" s="15"/>
      <c r="JVN248" s="15"/>
      <c r="JVO248" s="15"/>
      <c r="JVP248" s="15"/>
      <c r="JVQ248" s="15"/>
      <c r="JVR248" s="15"/>
      <c r="JVS248" s="15"/>
      <c r="JVT248" s="15"/>
      <c r="JVU248" s="15"/>
      <c r="JVV248" s="15"/>
      <c r="JVW248" s="10"/>
      <c r="JVX248" s="10"/>
      <c r="JVY248" s="21"/>
      <c r="JVZ248" s="21"/>
      <c r="JWC248" s="21"/>
      <c r="JWD248" s="15"/>
      <c r="JWE248" s="15"/>
      <c r="JWF248" s="15"/>
      <c r="JWG248" s="15"/>
      <c r="JWH248" s="15"/>
      <c r="JWI248" s="15"/>
      <c r="JWJ248" s="15"/>
      <c r="JWK248" s="15"/>
      <c r="JWL248" s="15"/>
      <c r="JWM248" s="15"/>
      <c r="JWN248" s="10"/>
      <c r="JWO248" s="10"/>
      <c r="JWP248" s="21"/>
      <c r="JWQ248" s="21"/>
      <c r="JWT248" s="21"/>
      <c r="JWU248" s="15"/>
      <c r="JWV248" s="15"/>
      <c r="JWW248" s="15"/>
      <c r="JWX248" s="15"/>
      <c r="JWY248" s="15"/>
      <c r="JWZ248" s="15"/>
      <c r="JXA248" s="15"/>
      <c r="JXB248" s="15"/>
      <c r="JXC248" s="15"/>
      <c r="JXD248" s="15"/>
      <c r="JXE248" s="10"/>
      <c r="JXF248" s="10"/>
      <c r="JXG248" s="21"/>
      <c r="JXH248" s="21"/>
      <c r="JXK248" s="21"/>
      <c r="JXL248" s="15"/>
      <c r="JXM248" s="15"/>
      <c r="JXN248" s="15"/>
      <c r="JXO248" s="15"/>
      <c r="JXP248" s="15"/>
      <c r="JXQ248" s="15"/>
      <c r="JXR248" s="15"/>
      <c r="JXS248" s="15"/>
      <c r="JXT248" s="15"/>
      <c r="JXU248" s="15"/>
      <c r="JXV248" s="10"/>
      <c r="JXW248" s="10"/>
      <c r="JXX248" s="21"/>
      <c r="JXY248" s="21"/>
      <c r="JYB248" s="21"/>
      <c r="JYC248" s="15"/>
      <c r="JYD248" s="15"/>
      <c r="JYE248" s="15"/>
      <c r="JYF248" s="15"/>
      <c r="JYG248" s="15"/>
      <c r="JYH248" s="15"/>
      <c r="JYI248" s="15"/>
      <c r="JYJ248" s="15"/>
      <c r="JYK248" s="15"/>
      <c r="JYL248" s="15"/>
      <c r="JYM248" s="10"/>
      <c r="JYN248" s="10"/>
      <c r="JYO248" s="21"/>
      <c r="JYP248" s="21"/>
      <c r="JYS248" s="21"/>
      <c r="JYT248" s="15"/>
      <c r="JYU248" s="15"/>
      <c r="JYV248" s="15"/>
      <c r="JYW248" s="15"/>
      <c r="JYX248" s="15"/>
      <c r="JYY248" s="15"/>
      <c r="JYZ248" s="15"/>
      <c r="JZA248" s="15"/>
      <c r="JZB248" s="15"/>
      <c r="JZC248" s="15"/>
      <c r="JZD248" s="10"/>
      <c r="JZE248" s="10"/>
      <c r="JZF248" s="21"/>
      <c r="JZG248" s="21"/>
      <c r="JZJ248" s="21"/>
      <c r="JZK248" s="15"/>
      <c r="JZL248" s="15"/>
      <c r="JZM248" s="15"/>
      <c r="JZN248" s="15"/>
      <c r="JZO248" s="15"/>
      <c r="JZP248" s="15"/>
      <c r="JZQ248" s="15"/>
      <c r="JZR248" s="15"/>
      <c r="JZS248" s="15"/>
      <c r="JZT248" s="15"/>
      <c r="JZU248" s="10"/>
      <c r="JZV248" s="10"/>
      <c r="JZW248" s="21"/>
      <c r="JZX248" s="21"/>
      <c r="KAA248" s="21"/>
      <c r="KAB248" s="15"/>
      <c r="KAC248" s="15"/>
      <c r="KAD248" s="15"/>
      <c r="KAE248" s="15"/>
      <c r="KAF248" s="15"/>
      <c r="KAG248" s="15"/>
      <c r="KAH248" s="15"/>
      <c r="KAI248" s="15"/>
      <c r="KAJ248" s="15"/>
      <c r="KAK248" s="15"/>
      <c r="KAL248" s="10"/>
      <c r="KAM248" s="10"/>
      <c r="KAN248" s="21"/>
      <c r="KAO248" s="21"/>
      <c r="KAR248" s="21"/>
      <c r="KAS248" s="15"/>
      <c r="KAT248" s="15"/>
      <c r="KAU248" s="15"/>
      <c r="KAV248" s="15"/>
      <c r="KAW248" s="15"/>
      <c r="KAX248" s="15"/>
      <c r="KAY248" s="15"/>
      <c r="KAZ248" s="15"/>
      <c r="KBA248" s="15"/>
      <c r="KBB248" s="15"/>
      <c r="KBC248" s="10"/>
      <c r="KBD248" s="10"/>
      <c r="KBE248" s="21"/>
      <c r="KBF248" s="21"/>
      <c r="KBI248" s="21"/>
      <c r="KBJ248" s="15"/>
      <c r="KBK248" s="15"/>
      <c r="KBL248" s="15"/>
      <c r="KBM248" s="15"/>
      <c r="KBN248" s="15"/>
      <c r="KBO248" s="15"/>
      <c r="KBP248" s="15"/>
      <c r="KBQ248" s="15"/>
      <c r="KBR248" s="15"/>
      <c r="KBS248" s="15"/>
      <c r="KBT248" s="10"/>
      <c r="KBU248" s="10"/>
      <c r="KBV248" s="21"/>
      <c r="KBW248" s="21"/>
      <c r="KBZ248" s="21"/>
      <c r="KCA248" s="15"/>
      <c r="KCB248" s="15"/>
      <c r="KCC248" s="15"/>
      <c r="KCD248" s="15"/>
      <c r="KCE248" s="15"/>
      <c r="KCF248" s="15"/>
      <c r="KCG248" s="15"/>
      <c r="KCH248" s="15"/>
      <c r="KCI248" s="15"/>
      <c r="KCJ248" s="15"/>
      <c r="KCK248" s="10"/>
      <c r="KCL248" s="10"/>
      <c r="KCM248" s="21"/>
      <c r="KCN248" s="21"/>
      <c r="KCQ248" s="21"/>
      <c r="KCR248" s="15"/>
      <c r="KCS248" s="15"/>
      <c r="KCT248" s="15"/>
      <c r="KCU248" s="15"/>
      <c r="KCV248" s="15"/>
      <c r="KCW248" s="15"/>
      <c r="KCX248" s="15"/>
      <c r="KCY248" s="15"/>
      <c r="KCZ248" s="15"/>
      <c r="KDA248" s="15"/>
      <c r="KDB248" s="10"/>
      <c r="KDC248" s="10"/>
      <c r="KDD248" s="21"/>
      <c r="KDE248" s="21"/>
      <c r="KDH248" s="21"/>
      <c r="KDI248" s="15"/>
      <c r="KDJ248" s="15"/>
      <c r="KDK248" s="15"/>
      <c r="KDL248" s="15"/>
      <c r="KDM248" s="15"/>
      <c r="KDN248" s="15"/>
      <c r="KDO248" s="15"/>
      <c r="KDP248" s="15"/>
      <c r="KDQ248" s="15"/>
      <c r="KDR248" s="15"/>
      <c r="KDS248" s="10"/>
      <c r="KDT248" s="10"/>
      <c r="KDU248" s="21"/>
      <c r="KDV248" s="21"/>
      <c r="KDY248" s="21"/>
      <c r="KDZ248" s="15"/>
      <c r="KEA248" s="15"/>
      <c r="KEB248" s="15"/>
      <c r="KEC248" s="15"/>
      <c r="KED248" s="15"/>
      <c r="KEE248" s="15"/>
      <c r="KEF248" s="15"/>
      <c r="KEG248" s="15"/>
      <c r="KEH248" s="15"/>
      <c r="KEI248" s="15"/>
      <c r="KEJ248" s="10"/>
      <c r="KEK248" s="10"/>
      <c r="KEL248" s="21"/>
      <c r="KEM248" s="21"/>
      <c r="KEP248" s="21"/>
      <c r="KEQ248" s="15"/>
      <c r="KER248" s="15"/>
      <c r="KES248" s="15"/>
      <c r="KET248" s="15"/>
      <c r="KEU248" s="15"/>
      <c r="KEV248" s="15"/>
      <c r="KEW248" s="15"/>
      <c r="KEX248" s="15"/>
      <c r="KEY248" s="15"/>
      <c r="KEZ248" s="15"/>
      <c r="KFA248" s="10"/>
      <c r="KFB248" s="10"/>
      <c r="KFC248" s="21"/>
      <c r="KFD248" s="21"/>
      <c r="KFG248" s="21"/>
      <c r="KFH248" s="15"/>
      <c r="KFI248" s="15"/>
      <c r="KFJ248" s="15"/>
      <c r="KFK248" s="15"/>
      <c r="KFL248" s="15"/>
      <c r="KFM248" s="15"/>
      <c r="KFN248" s="15"/>
      <c r="KFO248" s="15"/>
      <c r="KFP248" s="15"/>
      <c r="KFQ248" s="15"/>
      <c r="KFR248" s="10"/>
      <c r="KFS248" s="10"/>
      <c r="KFT248" s="21"/>
      <c r="KFU248" s="21"/>
      <c r="KFX248" s="21"/>
      <c r="KFY248" s="15"/>
      <c r="KFZ248" s="15"/>
      <c r="KGA248" s="15"/>
      <c r="KGB248" s="15"/>
      <c r="KGC248" s="15"/>
      <c r="KGD248" s="15"/>
      <c r="KGE248" s="15"/>
      <c r="KGF248" s="15"/>
      <c r="KGG248" s="15"/>
      <c r="KGH248" s="15"/>
      <c r="KGI248" s="10"/>
      <c r="KGJ248" s="10"/>
      <c r="KGK248" s="21"/>
      <c r="KGL248" s="21"/>
      <c r="KGO248" s="21"/>
      <c r="KGP248" s="15"/>
      <c r="KGQ248" s="15"/>
      <c r="KGR248" s="15"/>
      <c r="KGS248" s="15"/>
      <c r="KGT248" s="15"/>
      <c r="KGU248" s="15"/>
      <c r="KGV248" s="15"/>
      <c r="KGW248" s="15"/>
      <c r="KGX248" s="15"/>
      <c r="KGY248" s="15"/>
      <c r="KGZ248" s="10"/>
      <c r="KHA248" s="10"/>
      <c r="KHB248" s="21"/>
      <c r="KHC248" s="21"/>
      <c r="KHF248" s="21"/>
      <c r="KHG248" s="15"/>
      <c r="KHH248" s="15"/>
      <c r="KHI248" s="15"/>
      <c r="KHJ248" s="15"/>
      <c r="KHK248" s="15"/>
      <c r="KHL248" s="15"/>
      <c r="KHM248" s="15"/>
      <c r="KHN248" s="15"/>
      <c r="KHO248" s="15"/>
      <c r="KHP248" s="15"/>
      <c r="KHQ248" s="10"/>
      <c r="KHR248" s="10"/>
      <c r="KHS248" s="21"/>
      <c r="KHT248" s="21"/>
      <c r="KHW248" s="21"/>
      <c r="KHX248" s="15"/>
      <c r="KHY248" s="15"/>
      <c r="KHZ248" s="15"/>
      <c r="KIA248" s="15"/>
      <c r="KIB248" s="15"/>
      <c r="KIC248" s="15"/>
      <c r="KID248" s="15"/>
      <c r="KIE248" s="15"/>
      <c r="KIF248" s="15"/>
      <c r="KIG248" s="15"/>
      <c r="KIH248" s="10"/>
      <c r="KII248" s="10"/>
      <c r="KIJ248" s="21"/>
      <c r="KIK248" s="21"/>
      <c r="KIN248" s="21"/>
      <c r="KIO248" s="15"/>
      <c r="KIP248" s="15"/>
      <c r="KIQ248" s="15"/>
      <c r="KIR248" s="15"/>
      <c r="KIS248" s="15"/>
      <c r="KIT248" s="15"/>
      <c r="KIU248" s="15"/>
      <c r="KIV248" s="15"/>
      <c r="KIW248" s="15"/>
      <c r="KIX248" s="15"/>
      <c r="KIY248" s="10"/>
      <c r="KIZ248" s="10"/>
      <c r="KJA248" s="21"/>
      <c r="KJB248" s="21"/>
      <c r="KJE248" s="21"/>
      <c r="KJF248" s="15"/>
      <c r="KJG248" s="15"/>
      <c r="KJH248" s="15"/>
      <c r="KJI248" s="15"/>
      <c r="KJJ248" s="15"/>
      <c r="KJK248" s="15"/>
      <c r="KJL248" s="15"/>
      <c r="KJM248" s="15"/>
      <c r="KJN248" s="15"/>
      <c r="KJO248" s="15"/>
      <c r="KJP248" s="10"/>
      <c r="KJQ248" s="10"/>
      <c r="KJR248" s="21"/>
      <c r="KJS248" s="21"/>
      <c r="KJV248" s="21"/>
      <c r="KJW248" s="15"/>
      <c r="KJX248" s="15"/>
      <c r="KJY248" s="15"/>
      <c r="KJZ248" s="15"/>
      <c r="KKA248" s="15"/>
      <c r="KKB248" s="15"/>
      <c r="KKC248" s="15"/>
      <c r="KKD248" s="15"/>
      <c r="KKE248" s="15"/>
      <c r="KKF248" s="15"/>
      <c r="KKG248" s="10"/>
      <c r="KKH248" s="10"/>
      <c r="KKI248" s="21"/>
      <c r="KKJ248" s="21"/>
      <c r="KKM248" s="21"/>
      <c r="KKN248" s="15"/>
      <c r="KKO248" s="15"/>
      <c r="KKP248" s="15"/>
      <c r="KKQ248" s="15"/>
      <c r="KKR248" s="15"/>
      <c r="KKS248" s="15"/>
      <c r="KKT248" s="15"/>
      <c r="KKU248" s="15"/>
      <c r="KKV248" s="15"/>
      <c r="KKW248" s="15"/>
      <c r="KKX248" s="10"/>
      <c r="KKY248" s="10"/>
      <c r="KKZ248" s="21"/>
      <c r="KLA248" s="21"/>
      <c r="KLD248" s="21"/>
      <c r="KLE248" s="15"/>
      <c r="KLF248" s="15"/>
      <c r="KLG248" s="15"/>
      <c r="KLH248" s="15"/>
      <c r="KLI248" s="15"/>
      <c r="KLJ248" s="15"/>
      <c r="KLK248" s="15"/>
      <c r="KLL248" s="15"/>
      <c r="KLM248" s="15"/>
      <c r="KLN248" s="15"/>
      <c r="KLO248" s="10"/>
      <c r="KLP248" s="10"/>
      <c r="KLQ248" s="21"/>
      <c r="KLR248" s="21"/>
      <c r="KLU248" s="21"/>
      <c r="KLV248" s="15"/>
      <c r="KLW248" s="15"/>
      <c r="KLX248" s="15"/>
      <c r="KLY248" s="15"/>
      <c r="KLZ248" s="15"/>
      <c r="KMA248" s="15"/>
      <c r="KMB248" s="15"/>
      <c r="KMC248" s="15"/>
      <c r="KMD248" s="15"/>
      <c r="KME248" s="15"/>
      <c r="KMF248" s="10"/>
      <c r="KMG248" s="10"/>
      <c r="KMH248" s="21"/>
      <c r="KMI248" s="21"/>
      <c r="KML248" s="21"/>
      <c r="KMM248" s="15"/>
      <c r="KMN248" s="15"/>
      <c r="KMO248" s="15"/>
      <c r="KMP248" s="15"/>
      <c r="KMQ248" s="15"/>
      <c r="KMR248" s="15"/>
      <c r="KMS248" s="15"/>
      <c r="KMT248" s="15"/>
      <c r="KMU248" s="15"/>
      <c r="KMV248" s="15"/>
      <c r="KMW248" s="10"/>
      <c r="KMX248" s="10"/>
      <c r="KMY248" s="21"/>
      <c r="KMZ248" s="21"/>
      <c r="KNC248" s="21"/>
      <c r="KND248" s="15"/>
      <c r="KNE248" s="15"/>
      <c r="KNF248" s="15"/>
      <c r="KNG248" s="15"/>
      <c r="KNH248" s="15"/>
      <c r="KNI248" s="15"/>
      <c r="KNJ248" s="15"/>
      <c r="KNK248" s="15"/>
      <c r="KNL248" s="15"/>
      <c r="KNM248" s="15"/>
      <c r="KNN248" s="10"/>
      <c r="KNO248" s="10"/>
      <c r="KNP248" s="21"/>
      <c r="KNQ248" s="21"/>
      <c r="KNT248" s="21"/>
      <c r="KNU248" s="15"/>
      <c r="KNV248" s="15"/>
      <c r="KNW248" s="15"/>
      <c r="KNX248" s="15"/>
      <c r="KNY248" s="15"/>
      <c r="KNZ248" s="15"/>
      <c r="KOA248" s="15"/>
      <c r="KOB248" s="15"/>
      <c r="KOC248" s="15"/>
      <c r="KOD248" s="15"/>
      <c r="KOE248" s="10"/>
      <c r="KOF248" s="10"/>
      <c r="KOG248" s="21"/>
      <c r="KOH248" s="21"/>
      <c r="KOK248" s="21"/>
      <c r="KOL248" s="15"/>
      <c r="KOM248" s="15"/>
      <c r="KON248" s="15"/>
      <c r="KOO248" s="15"/>
      <c r="KOP248" s="15"/>
      <c r="KOQ248" s="15"/>
      <c r="KOR248" s="15"/>
      <c r="KOS248" s="15"/>
      <c r="KOT248" s="15"/>
      <c r="KOU248" s="15"/>
      <c r="KOV248" s="10"/>
      <c r="KOW248" s="10"/>
      <c r="KOX248" s="21"/>
      <c r="KOY248" s="21"/>
      <c r="KPB248" s="21"/>
      <c r="KPC248" s="15"/>
      <c r="KPD248" s="15"/>
      <c r="KPE248" s="15"/>
      <c r="KPF248" s="15"/>
      <c r="KPG248" s="15"/>
      <c r="KPH248" s="15"/>
      <c r="KPI248" s="15"/>
      <c r="KPJ248" s="15"/>
      <c r="KPK248" s="15"/>
      <c r="KPL248" s="15"/>
      <c r="KPM248" s="10"/>
      <c r="KPN248" s="10"/>
      <c r="KPO248" s="21"/>
      <c r="KPP248" s="21"/>
      <c r="KPS248" s="21"/>
      <c r="KPT248" s="15"/>
      <c r="KPU248" s="15"/>
      <c r="KPV248" s="15"/>
      <c r="KPW248" s="15"/>
      <c r="KPX248" s="15"/>
      <c r="KPY248" s="15"/>
      <c r="KPZ248" s="15"/>
      <c r="KQA248" s="15"/>
      <c r="KQB248" s="15"/>
      <c r="KQC248" s="15"/>
      <c r="KQD248" s="10"/>
      <c r="KQE248" s="10"/>
      <c r="KQF248" s="21"/>
      <c r="KQG248" s="21"/>
      <c r="KQJ248" s="21"/>
      <c r="KQK248" s="15"/>
      <c r="KQL248" s="15"/>
      <c r="KQM248" s="15"/>
      <c r="KQN248" s="15"/>
      <c r="KQO248" s="15"/>
      <c r="KQP248" s="15"/>
      <c r="KQQ248" s="15"/>
      <c r="KQR248" s="15"/>
      <c r="KQS248" s="15"/>
      <c r="KQT248" s="15"/>
      <c r="KQU248" s="10"/>
      <c r="KQV248" s="10"/>
      <c r="KQW248" s="21"/>
      <c r="KQX248" s="21"/>
      <c r="KRA248" s="21"/>
      <c r="KRB248" s="15"/>
      <c r="KRC248" s="15"/>
      <c r="KRD248" s="15"/>
      <c r="KRE248" s="15"/>
      <c r="KRF248" s="15"/>
      <c r="KRG248" s="15"/>
      <c r="KRH248" s="15"/>
      <c r="KRI248" s="15"/>
      <c r="KRJ248" s="15"/>
      <c r="KRK248" s="15"/>
      <c r="KRL248" s="10"/>
      <c r="KRM248" s="10"/>
      <c r="KRN248" s="21"/>
      <c r="KRO248" s="21"/>
      <c r="KRR248" s="21"/>
      <c r="KRS248" s="15"/>
      <c r="KRT248" s="15"/>
      <c r="KRU248" s="15"/>
      <c r="KRV248" s="15"/>
      <c r="KRW248" s="15"/>
      <c r="KRX248" s="15"/>
      <c r="KRY248" s="15"/>
      <c r="KRZ248" s="15"/>
      <c r="KSA248" s="15"/>
      <c r="KSB248" s="15"/>
      <c r="KSC248" s="10"/>
      <c r="KSD248" s="10"/>
      <c r="KSE248" s="21"/>
      <c r="KSF248" s="21"/>
      <c r="KSI248" s="21"/>
      <c r="KSJ248" s="15"/>
      <c r="KSK248" s="15"/>
      <c r="KSL248" s="15"/>
      <c r="KSM248" s="15"/>
      <c r="KSN248" s="15"/>
      <c r="KSO248" s="15"/>
      <c r="KSP248" s="15"/>
      <c r="KSQ248" s="15"/>
      <c r="KSR248" s="15"/>
      <c r="KSS248" s="15"/>
      <c r="KST248" s="10"/>
      <c r="KSU248" s="10"/>
      <c r="KSV248" s="21"/>
      <c r="KSW248" s="21"/>
      <c r="KSZ248" s="21"/>
      <c r="KTA248" s="15"/>
      <c r="KTB248" s="15"/>
      <c r="KTC248" s="15"/>
      <c r="KTD248" s="15"/>
      <c r="KTE248" s="15"/>
      <c r="KTF248" s="15"/>
      <c r="KTG248" s="15"/>
      <c r="KTH248" s="15"/>
      <c r="KTI248" s="15"/>
      <c r="KTJ248" s="15"/>
      <c r="KTK248" s="10"/>
      <c r="KTL248" s="10"/>
      <c r="KTM248" s="21"/>
      <c r="KTN248" s="21"/>
      <c r="KTQ248" s="21"/>
      <c r="KTR248" s="15"/>
      <c r="KTS248" s="15"/>
      <c r="KTT248" s="15"/>
      <c r="KTU248" s="15"/>
      <c r="KTV248" s="15"/>
      <c r="KTW248" s="15"/>
      <c r="KTX248" s="15"/>
      <c r="KTY248" s="15"/>
      <c r="KTZ248" s="15"/>
      <c r="KUA248" s="15"/>
      <c r="KUB248" s="10"/>
      <c r="KUC248" s="10"/>
      <c r="KUD248" s="21"/>
      <c r="KUE248" s="21"/>
      <c r="KUH248" s="21"/>
      <c r="KUI248" s="15"/>
      <c r="KUJ248" s="15"/>
      <c r="KUK248" s="15"/>
      <c r="KUL248" s="15"/>
      <c r="KUM248" s="15"/>
      <c r="KUN248" s="15"/>
      <c r="KUO248" s="15"/>
      <c r="KUP248" s="15"/>
      <c r="KUQ248" s="15"/>
      <c r="KUR248" s="15"/>
      <c r="KUS248" s="10"/>
      <c r="KUT248" s="10"/>
      <c r="KUU248" s="21"/>
      <c r="KUV248" s="21"/>
      <c r="KUY248" s="21"/>
      <c r="KUZ248" s="15"/>
      <c r="KVA248" s="15"/>
      <c r="KVB248" s="15"/>
      <c r="KVC248" s="15"/>
      <c r="KVD248" s="15"/>
      <c r="KVE248" s="15"/>
      <c r="KVF248" s="15"/>
      <c r="KVG248" s="15"/>
      <c r="KVH248" s="15"/>
      <c r="KVI248" s="15"/>
      <c r="KVJ248" s="10"/>
      <c r="KVK248" s="10"/>
      <c r="KVL248" s="21"/>
      <c r="KVM248" s="21"/>
      <c r="KVP248" s="21"/>
      <c r="KVQ248" s="15"/>
      <c r="KVR248" s="15"/>
      <c r="KVS248" s="15"/>
      <c r="KVT248" s="15"/>
      <c r="KVU248" s="15"/>
      <c r="KVV248" s="15"/>
      <c r="KVW248" s="15"/>
      <c r="KVX248" s="15"/>
      <c r="KVY248" s="15"/>
      <c r="KVZ248" s="15"/>
      <c r="KWA248" s="10"/>
      <c r="KWB248" s="10"/>
      <c r="KWC248" s="21"/>
      <c r="KWD248" s="21"/>
      <c r="KWG248" s="21"/>
      <c r="KWH248" s="15"/>
      <c r="KWI248" s="15"/>
      <c r="KWJ248" s="15"/>
      <c r="KWK248" s="15"/>
      <c r="KWL248" s="15"/>
      <c r="KWM248" s="15"/>
      <c r="KWN248" s="15"/>
      <c r="KWO248" s="15"/>
      <c r="KWP248" s="15"/>
      <c r="KWQ248" s="15"/>
      <c r="KWR248" s="10"/>
      <c r="KWS248" s="10"/>
      <c r="KWT248" s="21"/>
      <c r="KWU248" s="21"/>
      <c r="KWX248" s="21"/>
      <c r="KWY248" s="15"/>
      <c r="KWZ248" s="15"/>
      <c r="KXA248" s="15"/>
      <c r="KXB248" s="15"/>
      <c r="KXC248" s="15"/>
      <c r="KXD248" s="15"/>
      <c r="KXE248" s="15"/>
      <c r="KXF248" s="15"/>
      <c r="KXG248" s="15"/>
      <c r="KXH248" s="15"/>
      <c r="KXI248" s="10"/>
      <c r="KXJ248" s="10"/>
      <c r="KXK248" s="21"/>
      <c r="KXL248" s="21"/>
      <c r="KXO248" s="21"/>
      <c r="KXP248" s="15"/>
      <c r="KXQ248" s="15"/>
      <c r="KXR248" s="15"/>
      <c r="KXS248" s="15"/>
      <c r="KXT248" s="15"/>
      <c r="KXU248" s="15"/>
      <c r="KXV248" s="15"/>
      <c r="KXW248" s="15"/>
      <c r="KXX248" s="15"/>
      <c r="KXY248" s="15"/>
      <c r="KXZ248" s="10"/>
      <c r="KYA248" s="10"/>
      <c r="KYB248" s="21"/>
      <c r="KYC248" s="21"/>
      <c r="KYF248" s="21"/>
      <c r="KYG248" s="15"/>
      <c r="KYH248" s="15"/>
      <c r="KYI248" s="15"/>
      <c r="KYJ248" s="15"/>
      <c r="KYK248" s="15"/>
      <c r="KYL248" s="15"/>
      <c r="KYM248" s="15"/>
      <c r="KYN248" s="15"/>
      <c r="KYO248" s="15"/>
      <c r="KYP248" s="15"/>
      <c r="KYQ248" s="10"/>
      <c r="KYR248" s="10"/>
      <c r="KYS248" s="21"/>
      <c r="KYT248" s="21"/>
      <c r="KYW248" s="21"/>
      <c r="KYX248" s="15"/>
      <c r="KYY248" s="15"/>
      <c r="KYZ248" s="15"/>
      <c r="KZA248" s="15"/>
      <c r="KZB248" s="15"/>
      <c r="KZC248" s="15"/>
      <c r="KZD248" s="15"/>
      <c r="KZE248" s="15"/>
      <c r="KZF248" s="15"/>
      <c r="KZG248" s="15"/>
      <c r="KZH248" s="10"/>
      <c r="KZI248" s="10"/>
      <c r="KZJ248" s="21"/>
      <c r="KZK248" s="21"/>
      <c r="KZN248" s="21"/>
      <c r="KZO248" s="15"/>
      <c r="KZP248" s="15"/>
      <c r="KZQ248" s="15"/>
      <c r="KZR248" s="15"/>
      <c r="KZS248" s="15"/>
      <c r="KZT248" s="15"/>
      <c r="KZU248" s="15"/>
      <c r="KZV248" s="15"/>
      <c r="KZW248" s="15"/>
      <c r="KZX248" s="15"/>
      <c r="KZY248" s="10"/>
      <c r="KZZ248" s="10"/>
      <c r="LAA248" s="21"/>
      <c r="LAB248" s="21"/>
      <c r="LAE248" s="21"/>
      <c r="LAF248" s="15"/>
      <c r="LAG248" s="15"/>
      <c r="LAH248" s="15"/>
      <c r="LAI248" s="15"/>
      <c r="LAJ248" s="15"/>
      <c r="LAK248" s="15"/>
      <c r="LAL248" s="15"/>
      <c r="LAM248" s="15"/>
      <c r="LAN248" s="15"/>
      <c r="LAO248" s="15"/>
      <c r="LAP248" s="10"/>
      <c r="LAQ248" s="10"/>
      <c r="LAR248" s="21"/>
      <c r="LAS248" s="21"/>
      <c r="LAV248" s="21"/>
      <c r="LAW248" s="15"/>
      <c r="LAX248" s="15"/>
      <c r="LAY248" s="15"/>
      <c r="LAZ248" s="15"/>
      <c r="LBA248" s="15"/>
      <c r="LBB248" s="15"/>
      <c r="LBC248" s="15"/>
      <c r="LBD248" s="15"/>
      <c r="LBE248" s="15"/>
      <c r="LBF248" s="15"/>
      <c r="LBG248" s="10"/>
      <c r="LBH248" s="10"/>
      <c r="LBI248" s="21"/>
      <c r="LBJ248" s="21"/>
      <c r="LBM248" s="21"/>
      <c r="LBN248" s="15"/>
      <c r="LBO248" s="15"/>
      <c r="LBP248" s="15"/>
      <c r="LBQ248" s="15"/>
      <c r="LBR248" s="15"/>
      <c r="LBS248" s="15"/>
      <c r="LBT248" s="15"/>
      <c r="LBU248" s="15"/>
      <c r="LBV248" s="15"/>
      <c r="LBW248" s="15"/>
      <c r="LBX248" s="10"/>
      <c r="LBY248" s="10"/>
      <c r="LBZ248" s="21"/>
      <c r="LCA248" s="21"/>
      <c r="LCD248" s="21"/>
      <c r="LCE248" s="15"/>
      <c r="LCF248" s="15"/>
      <c r="LCG248" s="15"/>
      <c r="LCH248" s="15"/>
      <c r="LCI248" s="15"/>
      <c r="LCJ248" s="15"/>
      <c r="LCK248" s="15"/>
      <c r="LCL248" s="15"/>
      <c r="LCM248" s="15"/>
      <c r="LCN248" s="15"/>
      <c r="LCO248" s="10"/>
      <c r="LCP248" s="10"/>
      <c r="LCQ248" s="21"/>
      <c r="LCR248" s="21"/>
      <c r="LCU248" s="21"/>
      <c r="LCV248" s="15"/>
      <c r="LCW248" s="15"/>
      <c r="LCX248" s="15"/>
      <c r="LCY248" s="15"/>
      <c r="LCZ248" s="15"/>
      <c r="LDA248" s="15"/>
      <c r="LDB248" s="15"/>
      <c r="LDC248" s="15"/>
      <c r="LDD248" s="15"/>
      <c r="LDE248" s="15"/>
      <c r="LDF248" s="10"/>
      <c r="LDG248" s="10"/>
      <c r="LDH248" s="21"/>
      <c r="LDI248" s="21"/>
      <c r="LDL248" s="21"/>
      <c r="LDM248" s="15"/>
      <c r="LDN248" s="15"/>
      <c r="LDO248" s="15"/>
      <c r="LDP248" s="15"/>
      <c r="LDQ248" s="15"/>
      <c r="LDR248" s="15"/>
      <c r="LDS248" s="15"/>
      <c r="LDT248" s="15"/>
      <c r="LDU248" s="15"/>
      <c r="LDV248" s="15"/>
      <c r="LDW248" s="10"/>
      <c r="LDX248" s="10"/>
      <c r="LDY248" s="21"/>
      <c r="LDZ248" s="21"/>
      <c r="LEC248" s="21"/>
      <c r="LED248" s="15"/>
      <c r="LEE248" s="15"/>
      <c r="LEF248" s="15"/>
      <c r="LEG248" s="15"/>
      <c r="LEH248" s="15"/>
      <c r="LEI248" s="15"/>
      <c r="LEJ248" s="15"/>
      <c r="LEK248" s="15"/>
      <c r="LEL248" s="15"/>
      <c r="LEM248" s="15"/>
      <c r="LEN248" s="10"/>
      <c r="LEO248" s="10"/>
      <c r="LEP248" s="21"/>
      <c r="LEQ248" s="21"/>
      <c r="LET248" s="21"/>
      <c r="LEU248" s="15"/>
      <c r="LEV248" s="15"/>
      <c r="LEW248" s="15"/>
      <c r="LEX248" s="15"/>
      <c r="LEY248" s="15"/>
      <c r="LEZ248" s="15"/>
      <c r="LFA248" s="15"/>
      <c r="LFB248" s="15"/>
      <c r="LFC248" s="15"/>
      <c r="LFD248" s="15"/>
      <c r="LFE248" s="10"/>
      <c r="LFF248" s="10"/>
      <c r="LFG248" s="21"/>
      <c r="LFH248" s="21"/>
      <c r="LFK248" s="21"/>
      <c r="LFL248" s="15"/>
      <c r="LFM248" s="15"/>
      <c r="LFN248" s="15"/>
      <c r="LFO248" s="15"/>
      <c r="LFP248" s="15"/>
      <c r="LFQ248" s="15"/>
      <c r="LFR248" s="15"/>
      <c r="LFS248" s="15"/>
      <c r="LFT248" s="15"/>
      <c r="LFU248" s="15"/>
      <c r="LFV248" s="10"/>
      <c r="LFW248" s="10"/>
      <c r="LFX248" s="21"/>
      <c r="LFY248" s="21"/>
      <c r="LGB248" s="21"/>
      <c r="LGC248" s="15"/>
      <c r="LGD248" s="15"/>
      <c r="LGE248" s="15"/>
      <c r="LGF248" s="15"/>
      <c r="LGG248" s="15"/>
      <c r="LGH248" s="15"/>
      <c r="LGI248" s="15"/>
      <c r="LGJ248" s="15"/>
      <c r="LGK248" s="15"/>
      <c r="LGL248" s="15"/>
      <c r="LGM248" s="10"/>
      <c r="LGN248" s="10"/>
      <c r="LGO248" s="21"/>
      <c r="LGP248" s="21"/>
      <c r="LGS248" s="21"/>
      <c r="LGT248" s="15"/>
      <c r="LGU248" s="15"/>
      <c r="LGV248" s="15"/>
      <c r="LGW248" s="15"/>
      <c r="LGX248" s="15"/>
      <c r="LGY248" s="15"/>
      <c r="LGZ248" s="15"/>
      <c r="LHA248" s="15"/>
      <c r="LHB248" s="15"/>
      <c r="LHC248" s="15"/>
      <c r="LHD248" s="10"/>
      <c r="LHE248" s="10"/>
      <c r="LHF248" s="21"/>
      <c r="LHG248" s="21"/>
      <c r="LHJ248" s="21"/>
      <c r="LHK248" s="15"/>
      <c r="LHL248" s="15"/>
      <c r="LHM248" s="15"/>
      <c r="LHN248" s="15"/>
      <c r="LHO248" s="15"/>
      <c r="LHP248" s="15"/>
      <c r="LHQ248" s="15"/>
      <c r="LHR248" s="15"/>
      <c r="LHS248" s="15"/>
      <c r="LHT248" s="15"/>
      <c r="LHU248" s="10"/>
      <c r="LHV248" s="10"/>
      <c r="LHW248" s="21"/>
      <c r="LHX248" s="21"/>
      <c r="LIA248" s="21"/>
      <c r="LIB248" s="15"/>
      <c r="LIC248" s="15"/>
      <c r="LID248" s="15"/>
      <c r="LIE248" s="15"/>
      <c r="LIF248" s="15"/>
      <c r="LIG248" s="15"/>
      <c r="LIH248" s="15"/>
      <c r="LII248" s="15"/>
      <c r="LIJ248" s="15"/>
      <c r="LIK248" s="15"/>
      <c r="LIL248" s="10"/>
      <c r="LIM248" s="10"/>
      <c r="LIN248" s="21"/>
      <c r="LIO248" s="21"/>
      <c r="LIR248" s="21"/>
      <c r="LIS248" s="15"/>
      <c r="LIT248" s="15"/>
      <c r="LIU248" s="15"/>
      <c r="LIV248" s="15"/>
      <c r="LIW248" s="15"/>
      <c r="LIX248" s="15"/>
      <c r="LIY248" s="15"/>
      <c r="LIZ248" s="15"/>
      <c r="LJA248" s="15"/>
      <c r="LJB248" s="15"/>
      <c r="LJC248" s="10"/>
      <c r="LJD248" s="10"/>
      <c r="LJE248" s="21"/>
      <c r="LJF248" s="21"/>
      <c r="LJI248" s="21"/>
      <c r="LJJ248" s="15"/>
      <c r="LJK248" s="15"/>
      <c r="LJL248" s="15"/>
      <c r="LJM248" s="15"/>
      <c r="LJN248" s="15"/>
      <c r="LJO248" s="15"/>
      <c r="LJP248" s="15"/>
      <c r="LJQ248" s="15"/>
      <c r="LJR248" s="15"/>
      <c r="LJS248" s="15"/>
      <c r="LJT248" s="10"/>
      <c r="LJU248" s="10"/>
      <c r="LJV248" s="21"/>
      <c r="LJW248" s="21"/>
      <c r="LJZ248" s="21"/>
      <c r="LKA248" s="15"/>
      <c r="LKB248" s="15"/>
      <c r="LKC248" s="15"/>
      <c r="LKD248" s="15"/>
      <c r="LKE248" s="15"/>
      <c r="LKF248" s="15"/>
      <c r="LKG248" s="15"/>
      <c r="LKH248" s="15"/>
      <c r="LKI248" s="15"/>
      <c r="LKJ248" s="15"/>
      <c r="LKK248" s="10"/>
      <c r="LKL248" s="10"/>
      <c r="LKM248" s="21"/>
      <c r="LKN248" s="21"/>
      <c r="LKQ248" s="21"/>
      <c r="LKR248" s="15"/>
      <c r="LKS248" s="15"/>
      <c r="LKT248" s="15"/>
      <c r="LKU248" s="15"/>
      <c r="LKV248" s="15"/>
      <c r="LKW248" s="15"/>
      <c r="LKX248" s="15"/>
      <c r="LKY248" s="15"/>
      <c r="LKZ248" s="15"/>
      <c r="LLA248" s="15"/>
      <c r="LLB248" s="10"/>
      <c r="LLC248" s="10"/>
      <c r="LLD248" s="21"/>
      <c r="LLE248" s="21"/>
      <c r="LLH248" s="21"/>
      <c r="LLI248" s="15"/>
      <c r="LLJ248" s="15"/>
      <c r="LLK248" s="15"/>
      <c r="LLL248" s="15"/>
      <c r="LLM248" s="15"/>
      <c r="LLN248" s="15"/>
      <c r="LLO248" s="15"/>
      <c r="LLP248" s="15"/>
      <c r="LLQ248" s="15"/>
      <c r="LLR248" s="15"/>
      <c r="LLS248" s="10"/>
      <c r="LLT248" s="10"/>
      <c r="LLU248" s="21"/>
      <c r="LLV248" s="21"/>
      <c r="LLY248" s="21"/>
      <c r="LLZ248" s="15"/>
      <c r="LMA248" s="15"/>
      <c r="LMB248" s="15"/>
      <c r="LMC248" s="15"/>
      <c r="LMD248" s="15"/>
      <c r="LME248" s="15"/>
      <c r="LMF248" s="15"/>
      <c r="LMG248" s="15"/>
      <c r="LMH248" s="15"/>
      <c r="LMI248" s="15"/>
      <c r="LMJ248" s="10"/>
      <c r="LMK248" s="10"/>
      <c r="LML248" s="21"/>
      <c r="LMM248" s="21"/>
      <c r="LMP248" s="21"/>
      <c r="LMQ248" s="15"/>
      <c r="LMR248" s="15"/>
      <c r="LMS248" s="15"/>
      <c r="LMT248" s="15"/>
      <c r="LMU248" s="15"/>
      <c r="LMV248" s="15"/>
      <c r="LMW248" s="15"/>
      <c r="LMX248" s="15"/>
      <c r="LMY248" s="15"/>
      <c r="LMZ248" s="15"/>
      <c r="LNA248" s="10"/>
      <c r="LNB248" s="10"/>
      <c r="LNC248" s="21"/>
      <c r="LND248" s="21"/>
      <c r="LNG248" s="21"/>
      <c r="LNH248" s="15"/>
      <c r="LNI248" s="15"/>
      <c r="LNJ248" s="15"/>
      <c r="LNK248" s="15"/>
      <c r="LNL248" s="15"/>
      <c r="LNM248" s="15"/>
      <c r="LNN248" s="15"/>
      <c r="LNO248" s="15"/>
      <c r="LNP248" s="15"/>
      <c r="LNQ248" s="15"/>
      <c r="LNR248" s="10"/>
      <c r="LNS248" s="10"/>
      <c r="LNT248" s="21"/>
      <c r="LNU248" s="21"/>
      <c r="LNX248" s="21"/>
      <c r="LNY248" s="15"/>
      <c r="LNZ248" s="15"/>
      <c r="LOA248" s="15"/>
      <c r="LOB248" s="15"/>
      <c r="LOC248" s="15"/>
      <c r="LOD248" s="15"/>
      <c r="LOE248" s="15"/>
      <c r="LOF248" s="15"/>
      <c r="LOG248" s="15"/>
      <c r="LOH248" s="15"/>
      <c r="LOI248" s="10"/>
      <c r="LOJ248" s="10"/>
      <c r="LOK248" s="21"/>
      <c r="LOL248" s="21"/>
      <c r="LOO248" s="21"/>
      <c r="LOP248" s="15"/>
      <c r="LOQ248" s="15"/>
      <c r="LOR248" s="15"/>
      <c r="LOS248" s="15"/>
      <c r="LOT248" s="15"/>
      <c r="LOU248" s="15"/>
      <c r="LOV248" s="15"/>
      <c r="LOW248" s="15"/>
      <c r="LOX248" s="15"/>
      <c r="LOY248" s="15"/>
      <c r="LOZ248" s="10"/>
      <c r="LPA248" s="10"/>
      <c r="LPB248" s="21"/>
      <c r="LPC248" s="21"/>
      <c r="LPF248" s="21"/>
      <c r="LPG248" s="15"/>
      <c r="LPH248" s="15"/>
      <c r="LPI248" s="15"/>
      <c r="LPJ248" s="15"/>
      <c r="LPK248" s="15"/>
      <c r="LPL248" s="15"/>
      <c r="LPM248" s="15"/>
      <c r="LPN248" s="15"/>
      <c r="LPO248" s="15"/>
      <c r="LPP248" s="15"/>
      <c r="LPQ248" s="10"/>
      <c r="LPR248" s="10"/>
      <c r="LPS248" s="21"/>
      <c r="LPT248" s="21"/>
      <c r="LPW248" s="21"/>
      <c r="LPX248" s="15"/>
      <c r="LPY248" s="15"/>
      <c r="LPZ248" s="15"/>
      <c r="LQA248" s="15"/>
      <c r="LQB248" s="15"/>
      <c r="LQC248" s="15"/>
      <c r="LQD248" s="15"/>
      <c r="LQE248" s="15"/>
      <c r="LQF248" s="15"/>
      <c r="LQG248" s="15"/>
      <c r="LQH248" s="10"/>
      <c r="LQI248" s="10"/>
      <c r="LQJ248" s="21"/>
      <c r="LQK248" s="21"/>
      <c r="LQN248" s="21"/>
      <c r="LQO248" s="15"/>
      <c r="LQP248" s="15"/>
      <c r="LQQ248" s="15"/>
      <c r="LQR248" s="15"/>
      <c r="LQS248" s="15"/>
      <c r="LQT248" s="15"/>
      <c r="LQU248" s="15"/>
      <c r="LQV248" s="15"/>
      <c r="LQW248" s="15"/>
      <c r="LQX248" s="15"/>
      <c r="LQY248" s="10"/>
      <c r="LQZ248" s="10"/>
      <c r="LRA248" s="21"/>
      <c r="LRB248" s="21"/>
      <c r="LRE248" s="21"/>
      <c r="LRF248" s="15"/>
      <c r="LRG248" s="15"/>
      <c r="LRH248" s="15"/>
      <c r="LRI248" s="15"/>
      <c r="LRJ248" s="15"/>
      <c r="LRK248" s="15"/>
      <c r="LRL248" s="15"/>
      <c r="LRM248" s="15"/>
      <c r="LRN248" s="15"/>
      <c r="LRO248" s="15"/>
      <c r="LRP248" s="10"/>
      <c r="LRQ248" s="10"/>
      <c r="LRR248" s="21"/>
      <c r="LRS248" s="21"/>
      <c r="LRV248" s="21"/>
      <c r="LRW248" s="15"/>
      <c r="LRX248" s="15"/>
      <c r="LRY248" s="15"/>
      <c r="LRZ248" s="15"/>
      <c r="LSA248" s="15"/>
      <c r="LSB248" s="15"/>
      <c r="LSC248" s="15"/>
      <c r="LSD248" s="15"/>
      <c r="LSE248" s="15"/>
      <c r="LSF248" s="15"/>
      <c r="LSG248" s="10"/>
      <c r="LSH248" s="10"/>
      <c r="LSI248" s="21"/>
      <c r="LSJ248" s="21"/>
      <c r="LSM248" s="21"/>
      <c r="LSN248" s="15"/>
      <c r="LSO248" s="15"/>
      <c r="LSP248" s="15"/>
      <c r="LSQ248" s="15"/>
      <c r="LSR248" s="15"/>
      <c r="LSS248" s="15"/>
      <c r="LST248" s="15"/>
      <c r="LSU248" s="15"/>
      <c r="LSV248" s="15"/>
      <c r="LSW248" s="15"/>
      <c r="LSX248" s="10"/>
      <c r="LSY248" s="10"/>
      <c r="LSZ248" s="21"/>
      <c r="LTA248" s="21"/>
      <c r="LTD248" s="21"/>
      <c r="LTE248" s="15"/>
      <c r="LTF248" s="15"/>
      <c r="LTG248" s="15"/>
      <c r="LTH248" s="15"/>
      <c r="LTI248" s="15"/>
      <c r="LTJ248" s="15"/>
      <c r="LTK248" s="15"/>
      <c r="LTL248" s="15"/>
      <c r="LTM248" s="15"/>
      <c r="LTN248" s="15"/>
      <c r="LTO248" s="10"/>
      <c r="LTP248" s="10"/>
      <c r="LTQ248" s="21"/>
      <c r="LTR248" s="21"/>
      <c r="LTU248" s="21"/>
      <c r="LTV248" s="15"/>
      <c r="LTW248" s="15"/>
      <c r="LTX248" s="15"/>
      <c r="LTY248" s="15"/>
      <c r="LTZ248" s="15"/>
      <c r="LUA248" s="15"/>
      <c r="LUB248" s="15"/>
      <c r="LUC248" s="15"/>
      <c r="LUD248" s="15"/>
      <c r="LUE248" s="15"/>
      <c r="LUF248" s="10"/>
      <c r="LUG248" s="10"/>
      <c r="LUH248" s="21"/>
      <c r="LUI248" s="21"/>
      <c r="LUL248" s="21"/>
      <c r="LUM248" s="15"/>
      <c r="LUN248" s="15"/>
      <c r="LUO248" s="15"/>
      <c r="LUP248" s="15"/>
      <c r="LUQ248" s="15"/>
      <c r="LUR248" s="15"/>
      <c r="LUS248" s="15"/>
      <c r="LUT248" s="15"/>
      <c r="LUU248" s="15"/>
      <c r="LUV248" s="15"/>
      <c r="LUW248" s="10"/>
      <c r="LUX248" s="10"/>
      <c r="LUY248" s="21"/>
      <c r="LUZ248" s="21"/>
      <c r="LVC248" s="21"/>
      <c r="LVD248" s="15"/>
      <c r="LVE248" s="15"/>
      <c r="LVF248" s="15"/>
      <c r="LVG248" s="15"/>
      <c r="LVH248" s="15"/>
      <c r="LVI248" s="15"/>
      <c r="LVJ248" s="15"/>
      <c r="LVK248" s="15"/>
      <c r="LVL248" s="15"/>
      <c r="LVM248" s="15"/>
      <c r="LVN248" s="10"/>
      <c r="LVO248" s="10"/>
      <c r="LVP248" s="21"/>
      <c r="LVQ248" s="21"/>
      <c r="LVT248" s="21"/>
      <c r="LVU248" s="15"/>
      <c r="LVV248" s="15"/>
      <c r="LVW248" s="15"/>
      <c r="LVX248" s="15"/>
      <c r="LVY248" s="15"/>
      <c r="LVZ248" s="15"/>
      <c r="LWA248" s="15"/>
      <c r="LWB248" s="15"/>
      <c r="LWC248" s="15"/>
      <c r="LWD248" s="15"/>
      <c r="LWE248" s="10"/>
      <c r="LWF248" s="10"/>
      <c r="LWG248" s="21"/>
      <c r="LWH248" s="21"/>
      <c r="LWK248" s="21"/>
      <c r="LWL248" s="15"/>
      <c r="LWM248" s="15"/>
      <c r="LWN248" s="15"/>
      <c r="LWO248" s="15"/>
      <c r="LWP248" s="15"/>
      <c r="LWQ248" s="15"/>
      <c r="LWR248" s="15"/>
      <c r="LWS248" s="15"/>
      <c r="LWT248" s="15"/>
      <c r="LWU248" s="15"/>
      <c r="LWV248" s="10"/>
      <c r="LWW248" s="10"/>
      <c r="LWX248" s="21"/>
      <c r="LWY248" s="21"/>
      <c r="LXB248" s="21"/>
      <c r="LXC248" s="15"/>
      <c r="LXD248" s="15"/>
      <c r="LXE248" s="15"/>
      <c r="LXF248" s="15"/>
      <c r="LXG248" s="15"/>
      <c r="LXH248" s="15"/>
      <c r="LXI248" s="15"/>
      <c r="LXJ248" s="15"/>
      <c r="LXK248" s="15"/>
      <c r="LXL248" s="15"/>
      <c r="LXM248" s="10"/>
      <c r="LXN248" s="10"/>
      <c r="LXO248" s="21"/>
      <c r="LXP248" s="21"/>
      <c r="LXS248" s="21"/>
      <c r="LXT248" s="15"/>
      <c r="LXU248" s="15"/>
      <c r="LXV248" s="15"/>
      <c r="LXW248" s="15"/>
      <c r="LXX248" s="15"/>
      <c r="LXY248" s="15"/>
      <c r="LXZ248" s="15"/>
      <c r="LYA248" s="15"/>
      <c r="LYB248" s="15"/>
      <c r="LYC248" s="15"/>
      <c r="LYD248" s="10"/>
      <c r="LYE248" s="10"/>
      <c r="LYF248" s="21"/>
      <c r="LYG248" s="21"/>
      <c r="LYJ248" s="21"/>
      <c r="LYK248" s="15"/>
      <c r="LYL248" s="15"/>
      <c r="LYM248" s="15"/>
      <c r="LYN248" s="15"/>
      <c r="LYO248" s="15"/>
      <c r="LYP248" s="15"/>
      <c r="LYQ248" s="15"/>
      <c r="LYR248" s="15"/>
      <c r="LYS248" s="15"/>
      <c r="LYT248" s="15"/>
      <c r="LYU248" s="10"/>
      <c r="LYV248" s="10"/>
      <c r="LYW248" s="21"/>
      <c r="LYX248" s="21"/>
      <c r="LZA248" s="21"/>
      <c r="LZB248" s="15"/>
      <c r="LZC248" s="15"/>
      <c r="LZD248" s="15"/>
      <c r="LZE248" s="15"/>
      <c r="LZF248" s="15"/>
      <c r="LZG248" s="15"/>
      <c r="LZH248" s="15"/>
      <c r="LZI248" s="15"/>
      <c r="LZJ248" s="15"/>
      <c r="LZK248" s="15"/>
      <c r="LZL248" s="10"/>
      <c r="LZM248" s="10"/>
      <c r="LZN248" s="21"/>
      <c r="LZO248" s="21"/>
      <c r="LZR248" s="21"/>
      <c r="LZS248" s="15"/>
      <c r="LZT248" s="15"/>
      <c r="LZU248" s="15"/>
      <c r="LZV248" s="15"/>
      <c r="LZW248" s="15"/>
      <c r="LZX248" s="15"/>
      <c r="LZY248" s="15"/>
      <c r="LZZ248" s="15"/>
      <c r="MAA248" s="15"/>
      <c r="MAB248" s="15"/>
      <c r="MAC248" s="10"/>
      <c r="MAD248" s="10"/>
      <c r="MAE248" s="21"/>
      <c r="MAF248" s="21"/>
      <c r="MAI248" s="21"/>
      <c r="MAJ248" s="15"/>
      <c r="MAK248" s="15"/>
      <c r="MAL248" s="15"/>
      <c r="MAM248" s="15"/>
      <c r="MAN248" s="15"/>
      <c r="MAO248" s="15"/>
      <c r="MAP248" s="15"/>
      <c r="MAQ248" s="15"/>
      <c r="MAR248" s="15"/>
      <c r="MAS248" s="15"/>
      <c r="MAT248" s="10"/>
      <c r="MAU248" s="10"/>
      <c r="MAV248" s="21"/>
      <c r="MAW248" s="21"/>
      <c r="MAZ248" s="21"/>
      <c r="MBA248" s="15"/>
      <c r="MBB248" s="15"/>
      <c r="MBC248" s="15"/>
      <c r="MBD248" s="15"/>
      <c r="MBE248" s="15"/>
      <c r="MBF248" s="15"/>
      <c r="MBG248" s="15"/>
      <c r="MBH248" s="15"/>
      <c r="MBI248" s="15"/>
      <c r="MBJ248" s="15"/>
      <c r="MBK248" s="10"/>
      <c r="MBL248" s="10"/>
      <c r="MBM248" s="21"/>
      <c r="MBN248" s="21"/>
      <c r="MBQ248" s="21"/>
      <c r="MBR248" s="15"/>
      <c r="MBS248" s="15"/>
      <c r="MBT248" s="15"/>
      <c r="MBU248" s="15"/>
      <c r="MBV248" s="15"/>
      <c r="MBW248" s="15"/>
      <c r="MBX248" s="15"/>
      <c r="MBY248" s="15"/>
      <c r="MBZ248" s="15"/>
      <c r="MCA248" s="15"/>
      <c r="MCB248" s="10"/>
      <c r="MCC248" s="10"/>
      <c r="MCD248" s="21"/>
      <c r="MCE248" s="21"/>
      <c r="MCH248" s="21"/>
      <c r="MCI248" s="15"/>
      <c r="MCJ248" s="15"/>
      <c r="MCK248" s="15"/>
      <c r="MCL248" s="15"/>
      <c r="MCM248" s="15"/>
      <c r="MCN248" s="15"/>
      <c r="MCO248" s="15"/>
      <c r="MCP248" s="15"/>
      <c r="MCQ248" s="15"/>
      <c r="MCR248" s="15"/>
      <c r="MCS248" s="10"/>
      <c r="MCT248" s="10"/>
      <c r="MCU248" s="21"/>
      <c r="MCV248" s="21"/>
      <c r="MCY248" s="21"/>
      <c r="MCZ248" s="15"/>
      <c r="MDA248" s="15"/>
      <c r="MDB248" s="15"/>
      <c r="MDC248" s="15"/>
      <c r="MDD248" s="15"/>
      <c r="MDE248" s="15"/>
      <c r="MDF248" s="15"/>
      <c r="MDG248" s="15"/>
      <c r="MDH248" s="15"/>
      <c r="MDI248" s="15"/>
      <c r="MDJ248" s="10"/>
      <c r="MDK248" s="10"/>
      <c r="MDL248" s="21"/>
      <c r="MDM248" s="21"/>
      <c r="MDP248" s="21"/>
      <c r="MDQ248" s="15"/>
      <c r="MDR248" s="15"/>
      <c r="MDS248" s="15"/>
      <c r="MDT248" s="15"/>
      <c r="MDU248" s="15"/>
      <c r="MDV248" s="15"/>
      <c r="MDW248" s="15"/>
      <c r="MDX248" s="15"/>
      <c r="MDY248" s="15"/>
      <c r="MDZ248" s="15"/>
      <c r="MEA248" s="10"/>
      <c r="MEB248" s="10"/>
      <c r="MEC248" s="21"/>
      <c r="MED248" s="21"/>
      <c r="MEG248" s="21"/>
      <c r="MEH248" s="15"/>
      <c r="MEI248" s="15"/>
      <c r="MEJ248" s="15"/>
      <c r="MEK248" s="15"/>
      <c r="MEL248" s="15"/>
      <c r="MEM248" s="15"/>
      <c r="MEN248" s="15"/>
      <c r="MEO248" s="15"/>
      <c r="MEP248" s="15"/>
      <c r="MEQ248" s="15"/>
      <c r="MER248" s="10"/>
      <c r="MES248" s="10"/>
      <c r="MET248" s="21"/>
      <c r="MEU248" s="21"/>
      <c r="MEX248" s="21"/>
      <c r="MEY248" s="15"/>
      <c r="MEZ248" s="15"/>
      <c r="MFA248" s="15"/>
      <c r="MFB248" s="15"/>
      <c r="MFC248" s="15"/>
      <c r="MFD248" s="15"/>
      <c r="MFE248" s="15"/>
      <c r="MFF248" s="15"/>
      <c r="MFG248" s="15"/>
      <c r="MFH248" s="15"/>
      <c r="MFI248" s="10"/>
      <c r="MFJ248" s="10"/>
      <c r="MFK248" s="21"/>
      <c r="MFL248" s="21"/>
      <c r="MFO248" s="21"/>
      <c r="MFP248" s="15"/>
      <c r="MFQ248" s="15"/>
      <c r="MFR248" s="15"/>
      <c r="MFS248" s="15"/>
      <c r="MFT248" s="15"/>
      <c r="MFU248" s="15"/>
      <c r="MFV248" s="15"/>
      <c r="MFW248" s="15"/>
      <c r="MFX248" s="15"/>
      <c r="MFY248" s="15"/>
      <c r="MFZ248" s="10"/>
      <c r="MGA248" s="10"/>
      <c r="MGB248" s="21"/>
      <c r="MGC248" s="21"/>
      <c r="MGF248" s="21"/>
      <c r="MGG248" s="15"/>
      <c r="MGH248" s="15"/>
      <c r="MGI248" s="15"/>
      <c r="MGJ248" s="15"/>
      <c r="MGK248" s="15"/>
      <c r="MGL248" s="15"/>
      <c r="MGM248" s="15"/>
      <c r="MGN248" s="15"/>
      <c r="MGO248" s="15"/>
      <c r="MGP248" s="15"/>
      <c r="MGQ248" s="10"/>
      <c r="MGR248" s="10"/>
      <c r="MGS248" s="21"/>
      <c r="MGT248" s="21"/>
      <c r="MGW248" s="21"/>
      <c r="MGX248" s="15"/>
      <c r="MGY248" s="15"/>
      <c r="MGZ248" s="15"/>
      <c r="MHA248" s="15"/>
      <c r="MHB248" s="15"/>
      <c r="MHC248" s="15"/>
      <c r="MHD248" s="15"/>
      <c r="MHE248" s="15"/>
      <c r="MHF248" s="15"/>
      <c r="MHG248" s="15"/>
      <c r="MHH248" s="10"/>
      <c r="MHI248" s="10"/>
      <c r="MHJ248" s="21"/>
      <c r="MHK248" s="21"/>
      <c r="MHN248" s="21"/>
      <c r="MHO248" s="15"/>
      <c r="MHP248" s="15"/>
      <c r="MHQ248" s="15"/>
      <c r="MHR248" s="15"/>
      <c r="MHS248" s="15"/>
      <c r="MHT248" s="15"/>
      <c r="MHU248" s="15"/>
      <c r="MHV248" s="15"/>
      <c r="MHW248" s="15"/>
      <c r="MHX248" s="15"/>
      <c r="MHY248" s="10"/>
      <c r="MHZ248" s="10"/>
      <c r="MIA248" s="21"/>
      <c r="MIB248" s="21"/>
      <c r="MIE248" s="21"/>
      <c r="MIF248" s="15"/>
      <c r="MIG248" s="15"/>
      <c r="MIH248" s="15"/>
      <c r="MII248" s="15"/>
      <c r="MIJ248" s="15"/>
      <c r="MIK248" s="15"/>
      <c r="MIL248" s="15"/>
      <c r="MIM248" s="15"/>
      <c r="MIN248" s="15"/>
      <c r="MIO248" s="15"/>
      <c r="MIP248" s="10"/>
      <c r="MIQ248" s="10"/>
      <c r="MIR248" s="21"/>
      <c r="MIS248" s="21"/>
      <c r="MIV248" s="21"/>
      <c r="MIW248" s="15"/>
      <c r="MIX248" s="15"/>
      <c r="MIY248" s="15"/>
      <c r="MIZ248" s="15"/>
      <c r="MJA248" s="15"/>
      <c r="MJB248" s="15"/>
      <c r="MJC248" s="15"/>
      <c r="MJD248" s="15"/>
      <c r="MJE248" s="15"/>
      <c r="MJF248" s="15"/>
      <c r="MJG248" s="10"/>
      <c r="MJH248" s="10"/>
      <c r="MJI248" s="21"/>
      <c r="MJJ248" s="21"/>
      <c r="MJM248" s="21"/>
      <c r="MJN248" s="15"/>
      <c r="MJO248" s="15"/>
      <c r="MJP248" s="15"/>
      <c r="MJQ248" s="15"/>
      <c r="MJR248" s="15"/>
      <c r="MJS248" s="15"/>
      <c r="MJT248" s="15"/>
      <c r="MJU248" s="15"/>
      <c r="MJV248" s="15"/>
      <c r="MJW248" s="15"/>
      <c r="MJX248" s="10"/>
      <c r="MJY248" s="10"/>
      <c r="MJZ248" s="21"/>
      <c r="MKA248" s="21"/>
      <c r="MKD248" s="21"/>
      <c r="MKE248" s="15"/>
      <c r="MKF248" s="15"/>
      <c r="MKG248" s="15"/>
      <c r="MKH248" s="15"/>
      <c r="MKI248" s="15"/>
      <c r="MKJ248" s="15"/>
      <c r="MKK248" s="15"/>
      <c r="MKL248" s="15"/>
      <c r="MKM248" s="15"/>
      <c r="MKN248" s="15"/>
      <c r="MKO248" s="10"/>
      <c r="MKP248" s="10"/>
      <c r="MKQ248" s="21"/>
      <c r="MKR248" s="21"/>
      <c r="MKU248" s="21"/>
      <c r="MKV248" s="15"/>
      <c r="MKW248" s="15"/>
      <c r="MKX248" s="15"/>
      <c r="MKY248" s="15"/>
      <c r="MKZ248" s="15"/>
      <c r="MLA248" s="15"/>
      <c r="MLB248" s="15"/>
      <c r="MLC248" s="15"/>
      <c r="MLD248" s="15"/>
      <c r="MLE248" s="15"/>
      <c r="MLF248" s="10"/>
      <c r="MLG248" s="10"/>
      <c r="MLH248" s="21"/>
      <c r="MLI248" s="21"/>
      <c r="MLL248" s="21"/>
      <c r="MLM248" s="15"/>
      <c r="MLN248" s="15"/>
      <c r="MLO248" s="15"/>
      <c r="MLP248" s="15"/>
      <c r="MLQ248" s="15"/>
      <c r="MLR248" s="15"/>
      <c r="MLS248" s="15"/>
      <c r="MLT248" s="15"/>
      <c r="MLU248" s="15"/>
      <c r="MLV248" s="15"/>
      <c r="MLW248" s="10"/>
      <c r="MLX248" s="10"/>
      <c r="MLY248" s="21"/>
      <c r="MLZ248" s="21"/>
      <c r="MMC248" s="21"/>
      <c r="MMD248" s="15"/>
      <c r="MME248" s="15"/>
      <c r="MMF248" s="15"/>
      <c r="MMG248" s="15"/>
      <c r="MMH248" s="15"/>
      <c r="MMI248" s="15"/>
      <c r="MMJ248" s="15"/>
      <c r="MMK248" s="15"/>
      <c r="MML248" s="15"/>
      <c r="MMM248" s="15"/>
      <c r="MMN248" s="10"/>
      <c r="MMO248" s="10"/>
      <c r="MMP248" s="21"/>
      <c r="MMQ248" s="21"/>
      <c r="MMT248" s="21"/>
      <c r="MMU248" s="15"/>
      <c r="MMV248" s="15"/>
      <c r="MMW248" s="15"/>
      <c r="MMX248" s="15"/>
      <c r="MMY248" s="15"/>
      <c r="MMZ248" s="15"/>
      <c r="MNA248" s="15"/>
      <c r="MNB248" s="15"/>
      <c r="MNC248" s="15"/>
      <c r="MND248" s="15"/>
      <c r="MNE248" s="10"/>
      <c r="MNF248" s="10"/>
      <c r="MNG248" s="21"/>
      <c r="MNH248" s="21"/>
      <c r="MNK248" s="21"/>
      <c r="MNL248" s="15"/>
      <c r="MNM248" s="15"/>
      <c r="MNN248" s="15"/>
      <c r="MNO248" s="15"/>
      <c r="MNP248" s="15"/>
      <c r="MNQ248" s="15"/>
      <c r="MNR248" s="15"/>
      <c r="MNS248" s="15"/>
      <c r="MNT248" s="15"/>
      <c r="MNU248" s="15"/>
      <c r="MNV248" s="10"/>
      <c r="MNW248" s="10"/>
      <c r="MNX248" s="21"/>
      <c r="MNY248" s="21"/>
      <c r="MOB248" s="21"/>
      <c r="MOC248" s="15"/>
      <c r="MOD248" s="15"/>
      <c r="MOE248" s="15"/>
      <c r="MOF248" s="15"/>
      <c r="MOG248" s="15"/>
      <c r="MOH248" s="15"/>
      <c r="MOI248" s="15"/>
      <c r="MOJ248" s="15"/>
      <c r="MOK248" s="15"/>
      <c r="MOL248" s="15"/>
      <c r="MOM248" s="10"/>
      <c r="MON248" s="10"/>
      <c r="MOO248" s="21"/>
      <c r="MOP248" s="21"/>
      <c r="MOS248" s="21"/>
      <c r="MOT248" s="15"/>
      <c r="MOU248" s="15"/>
      <c r="MOV248" s="15"/>
      <c r="MOW248" s="15"/>
      <c r="MOX248" s="15"/>
      <c r="MOY248" s="15"/>
      <c r="MOZ248" s="15"/>
      <c r="MPA248" s="15"/>
      <c r="MPB248" s="15"/>
      <c r="MPC248" s="15"/>
      <c r="MPD248" s="10"/>
      <c r="MPE248" s="10"/>
      <c r="MPF248" s="21"/>
      <c r="MPG248" s="21"/>
      <c r="MPJ248" s="21"/>
      <c r="MPK248" s="15"/>
      <c r="MPL248" s="15"/>
      <c r="MPM248" s="15"/>
      <c r="MPN248" s="15"/>
      <c r="MPO248" s="15"/>
      <c r="MPP248" s="15"/>
      <c r="MPQ248" s="15"/>
      <c r="MPR248" s="15"/>
      <c r="MPS248" s="15"/>
      <c r="MPT248" s="15"/>
      <c r="MPU248" s="10"/>
      <c r="MPV248" s="10"/>
      <c r="MPW248" s="21"/>
      <c r="MPX248" s="21"/>
      <c r="MQA248" s="21"/>
      <c r="MQB248" s="15"/>
      <c r="MQC248" s="15"/>
      <c r="MQD248" s="15"/>
      <c r="MQE248" s="15"/>
      <c r="MQF248" s="15"/>
      <c r="MQG248" s="15"/>
      <c r="MQH248" s="15"/>
      <c r="MQI248" s="15"/>
      <c r="MQJ248" s="15"/>
      <c r="MQK248" s="15"/>
      <c r="MQL248" s="10"/>
      <c r="MQM248" s="10"/>
      <c r="MQN248" s="21"/>
      <c r="MQO248" s="21"/>
      <c r="MQR248" s="21"/>
      <c r="MQS248" s="15"/>
      <c r="MQT248" s="15"/>
      <c r="MQU248" s="15"/>
      <c r="MQV248" s="15"/>
      <c r="MQW248" s="15"/>
      <c r="MQX248" s="15"/>
      <c r="MQY248" s="15"/>
      <c r="MQZ248" s="15"/>
      <c r="MRA248" s="15"/>
      <c r="MRB248" s="15"/>
      <c r="MRC248" s="10"/>
      <c r="MRD248" s="10"/>
      <c r="MRE248" s="21"/>
      <c r="MRF248" s="21"/>
      <c r="MRI248" s="21"/>
      <c r="MRJ248" s="15"/>
      <c r="MRK248" s="15"/>
      <c r="MRL248" s="15"/>
      <c r="MRM248" s="15"/>
      <c r="MRN248" s="15"/>
      <c r="MRO248" s="15"/>
      <c r="MRP248" s="15"/>
      <c r="MRQ248" s="15"/>
      <c r="MRR248" s="15"/>
      <c r="MRS248" s="15"/>
      <c r="MRT248" s="10"/>
      <c r="MRU248" s="10"/>
      <c r="MRV248" s="21"/>
      <c r="MRW248" s="21"/>
      <c r="MRZ248" s="21"/>
      <c r="MSA248" s="15"/>
      <c r="MSB248" s="15"/>
      <c r="MSC248" s="15"/>
      <c r="MSD248" s="15"/>
      <c r="MSE248" s="15"/>
      <c r="MSF248" s="15"/>
      <c r="MSG248" s="15"/>
      <c r="MSH248" s="15"/>
      <c r="MSI248" s="15"/>
      <c r="MSJ248" s="15"/>
      <c r="MSK248" s="10"/>
      <c r="MSL248" s="10"/>
      <c r="MSM248" s="21"/>
      <c r="MSN248" s="21"/>
      <c r="MSQ248" s="21"/>
      <c r="MSR248" s="15"/>
      <c r="MSS248" s="15"/>
      <c r="MST248" s="15"/>
      <c r="MSU248" s="15"/>
      <c r="MSV248" s="15"/>
      <c r="MSW248" s="15"/>
      <c r="MSX248" s="15"/>
      <c r="MSY248" s="15"/>
      <c r="MSZ248" s="15"/>
      <c r="MTA248" s="15"/>
      <c r="MTB248" s="10"/>
      <c r="MTC248" s="10"/>
      <c r="MTD248" s="21"/>
      <c r="MTE248" s="21"/>
      <c r="MTH248" s="21"/>
      <c r="MTI248" s="15"/>
      <c r="MTJ248" s="15"/>
      <c r="MTK248" s="15"/>
      <c r="MTL248" s="15"/>
      <c r="MTM248" s="15"/>
      <c r="MTN248" s="15"/>
      <c r="MTO248" s="15"/>
      <c r="MTP248" s="15"/>
      <c r="MTQ248" s="15"/>
      <c r="MTR248" s="15"/>
      <c r="MTS248" s="10"/>
      <c r="MTT248" s="10"/>
      <c r="MTU248" s="21"/>
      <c r="MTV248" s="21"/>
      <c r="MTY248" s="21"/>
      <c r="MTZ248" s="15"/>
      <c r="MUA248" s="15"/>
      <c r="MUB248" s="15"/>
      <c r="MUC248" s="15"/>
      <c r="MUD248" s="15"/>
      <c r="MUE248" s="15"/>
      <c r="MUF248" s="15"/>
      <c r="MUG248" s="15"/>
      <c r="MUH248" s="15"/>
      <c r="MUI248" s="15"/>
      <c r="MUJ248" s="10"/>
      <c r="MUK248" s="10"/>
      <c r="MUL248" s="21"/>
      <c r="MUM248" s="21"/>
      <c r="MUP248" s="21"/>
      <c r="MUQ248" s="15"/>
      <c r="MUR248" s="15"/>
      <c r="MUS248" s="15"/>
      <c r="MUT248" s="15"/>
      <c r="MUU248" s="15"/>
      <c r="MUV248" s="15"/>
      <c r="MUW248" s="15"/>
      <c r="MUX248" s="15"/>
      <c r="MUY248" s="15"/>
      <c r="MUZ248" s="15"/>
      <c r="MVA248" s="10"/>
      <c r="MVB248" s="10"/>
      <c r="MVC248" s="21"/>
      <c r="MVD248" s="21"/>
      <c r="MVG248" s="21"/>
      <c r="MVH248" s="15"/>
      <c r="MVI248" s="15"/>
      <c r="MVJ248" s="15"/>
      <c r="MVK248" s="15"/>
      <c r="MVL248" s="15"/>
      <c r="MVM248" s="15"/>
      <c r="MVN248" s="15"/>
      <c r="MVO248" s="15"/>
      <c r="MVP248" s="15"/>
      <c r="MVQ248" s="15"/>
      <c r="MVR248" s="10"/>
      <c r="MVS248" s="10"/>
      <c r="MVT248" s="21"/>
      <c r="MVU248" s="21"/>
      <c r="MVX248" s="21"/>
      <c r="MVY248" s="15"/>
      <c r="MVZ248" s="15"/>
      <c r="MWA248" s="15"/>
      <c r="MWB248" s="15"/>
      <c r="MWC248" s="15"/>
      <c r="MWD248" s="15"/>
      <c r="MWE248" s="15"/>
      <c r="MWF248" s="15"/>
      <c r="MWG248" s="15"/>
      <c r="MWH248" s="15"/>
      <c r="MWI248" s="10"/>
      <c r="MWJ248" s="10"/>
      <c r="MWK248" s="21"/>
      <c r="MWL248" s="21"/>
      <c r="MWO248" s="21"/>
      <c r="MWP248" s="15"/>
      <c r="MWQ248" s="15"/>
      <c r="MWR248" s="15"/>
      <c r="MWS248" s="15"/>
      <c r="MWT248" s="15"/>
      <c r="MWU248" s="15"/>
      <c r="MWV248" s="15"/>
      <c r="MWW248" s="15"/>
      <c r="MWX248" s="15"/>
      <c r="MWY248" s="15"/>
      <c r="MWZ248" s="10"/>
      <c r="MXA248" s="10"/>
      <c r="MXB248" s="21"/>
      <c r="MXC248" s="21"/>
      <c r="MXF248" s="21"/>
      <c r="MXG248" s="15"/>
      <c r="MXH248" s="15"/>
      <c r="MXI248" s="15"/>
      <c r="MXJ248" s="15"/>
      <c r="MXK248" s="15"/>
      <c r="MXL248" s="15"/>
      <c r="MXM248" s="15"/>
      <c r="MXN248" s="15"/>
      <c r="MXO248" s="15"/>
      <c r="MXP248" s="15"/>
      <c r="MXQ248" s="10"/>
      <c r="MXR248" s="10"/>
      <c r="MXS248" s="21"/>
      <c r="MXT248" s="21"/>
      <c r="MXW248" s="21"/>
      <c r="MXX248" s="15"/>
      <c r="MXY248" s="15"/>
      <c r="MXZ248" s="15"/>
      <c r="MYA248" s="15"/>
      <c r="MYB248" s="15"/>
      <c r="MYC248" s="15"/>
      <c r="MYD248" s="15"/>
      <c r="MYE248" s="15"/>
      <c r="MYF248" s="15"/>
      <c r="MYG248" s="15"/>
      <c r="MYH248" s="10"/>
      <c r="MYI248" s="10"/>
      <c r="MYJ248" s="21"/>
      <c r="MYK248" s="21"/>
      <c r="MYN248" s="21"/>
      <c r="MYO248" s="15"/>
      <c r="MYP248" s="15"/>
      <c r="MYQ248" s="15"/>
      <c r="MYR248" s="15"/>
      <c r="MYS248" s="15"/>
      <c r="MYT248" s="15"/>
      <c r="MYU248" s="15"/>
      <c r="MYV248" s="15"/>
      <c r="MYW248" s="15"/>
      <c r="MYX248" s="15"/>
      <c r="MYY248" s="10"/>
      <c r="MYZ248" s="10"/>
      <c r="MZA248" s="21"/>
      <c r="MZB248" s="21"/>
      <c r="MZE248" s="21"/>
      <c r="MZF248" s="15"/>
      <c r="MZG248" s="15"/>
      <c r="MZH248" s="15"/>
      <c r="MZI248" s="15"/>
      <c r="MZJ248" s="15"/>
      <c r="MZK248" s="15"/>
      <c r="MZL248" s="15"/>
      <c r="MZM248" s="15"/>
      <c r="MZN248" s="15"/>
      <c r="MZO248" s="15"/>
      <c r="MZP248" s="10"/>
      <c r="MZQ248" s="10"/>
      <c r="MZR248" s="21"/>
      <c r="MZS248" s="21"/>
      <c r="MZV248" s="21"/>
      <c r="MZW248" s="15"/>
      <c r="MZX248" s="15"/>
      <c r="MZY248" s="15"/>
      <c r="MZZ248" s="15"/>
      <c r="NAA248" s="15"/>
      <c r="NAB248" s="15"/>
      <c r="NAC248" s="15"/>
      <c r="NAD248" s="15"/>
      <c r="NAE248" s="15"/>
      <c r="NAF248" s="15"/>
      <c r="NAG248" s="10"/>
      <c r="NAH248" s="10"/>
      <c r="NAI248" s="21"/>
      <c r="NAJ248" s="21"/>
      <c r="NAM248" s="21"/>
      <c r="NAN248" s="15"/>
      <c r="NAO248" s="15"/>
      <c r="NAP248" s="15"/>
      <c r="NAQ248" s="15"/>
      <c r="NAR248" s="15"/>
      <c r="NAS248" s="15"/>
      <c r="NAT248" s="15"/>
      <c r="NAU248" s="15"/>
      <c r="NAV248" s="15"/>
      <c r="NAW248" s="15"/>
      <c r="NAX248" s="10"/>
      <c r="NAY248" s="10"/>
      <c r="NAZ248" s="21"/>
      <c r="NBA248" s="21"/>
      <c r="NBD248" s="21"/>
      <c r="NBE248" s="15"/>
      <c r="NBF248" s="15"/>
      <c r="NBG248" s="15"/>
      <c r="NBH248" s="15"/>
      <c r="NBI248" s="15"/>
      <c r="NBJ248" s="15"/>
      <c r="NBK248" s="15"/>
      <c r="NBL248" s="15"/>
      <c r="NBM248" s="15"/>
      <c r="NBN248" s="15"/>
      <c r="NBO248" s="10"/>
      <c r="NBP248" s="10"/>
      <c r="NBQ248" s="21"/>
      <c r="NBR248" s="21"/>
      <c r="NBU248" s="21"/>
      <c r="NBV248" s="15"/>
      <c r="NBW248" s="15"/>
      <c r="NBX248" s="15"/>
      <c r="NBY248" s="15"/>
      <c r="NBZ248" s="15"/>
      <c r="NCA248" s="15"/>
      <c r="NCB248" s="15"/>
      <c r="NCC248" s="15"/>
      <c r="NCD248" s="15"/>
      <c r="NCE248" s="15"/>
      <c r="NCF248" s="10"/>
      <c r="NCG248" s="10"/>
      <c r="NCH248" s="21"/>
      <c r="NCI248" s="21"/>
      <c r="NCL248" s="21"/>
      <c r="NCM248" s="15"/>
      <c r="NCN248" s="15"/>
      <c r="NCO248" s="15"/>
      <c r="NCP248" s="15"/>
      <c r="NCQ248" s="15"/>
      <c r="NCR248" s="15"/>
      <c r="NCS248" s="15"/>
      <c r="NCT248" s="15"/>
      <c r="NCU248" s="15"/>
      <c r="NCV248" s="15"/>
      <c r="NCW248" s="10"/>
      <c r="NCX248" s="10"/>
      <c r="NCY248" s="21"/>
      <c r="NCZ248" s="21"/>
      <c r="NDC248" s="21"/>
      <c r="NDD248" s="15"/>
      <c r="NDE248" s="15"/>
      <c r="NDF248" s="15"/>
      <c r="NDG248" s="15"/>
      <c r="NDH248" s="15"/>
      <c r="NDI248" s="15"/>
      <c r="NDJ248" s="15"/>
      <c r="NDK248" s="15"/>
      <c r="NDL248" s="15"/>
      <c r="NDM248" s="15"/>
      <c r="NDN248" s="10"/>
      <c r="NDO248" s="10"/>
      <c r="NDP248" s="21"/>
      <c r="NDQ248" s="21"/>
      <c r="NDT248" s="21"/>
      <c r="NDU248" s="15"/>
      <c r="NDV248" s="15"/>
      <c r="NDW248" s="15"/>
      <c r="NDX248" s="15"/>
      <c r="NDY248" s="15"/>
      <c r="NDZ248" s="15"/>
      <c r="NEA248" s="15"/>
      <c r="NEB248" s="15"/>
      <c r="NEC248" s="15"/>
      <c r="NED248" s="15"/>
      <c r="NEE248" s="10"/>
      <c r="NEF248" s="10"/>
      <c r="NEG248" s="21"/>
      <c r="NEH248" s="21"/>
      <c r="NEK248" s="21"/>
      <c r="NEL248" s="15"/>
      <c r="NEM248" s="15"/>
      <c r="NEN248" s="15"/>
      <c r="NEO248" s="15"/>
      <c r="NEP248" s="15"/>
      <c r="NEQ248" s="15"/>
      <c r="NER248" s="15"/>
      <c r="NES248" s="15"/>
      <c r="NET248" s="15"/>
      <c r="NEU248" s="15"/>
      <c r="NEV248" s="10"/>
      <c r="NEW248" s="10"/>
      <c r="NEX248" s="21"/>
      <c r="NEY248" s="21"/>
      <c r="NFB248" s="21"/>
      <c r="NFC248" s="15"/>
      <c r="NFD248" s="15"/>
      <c r="NFE248" s="15"/>
      <c r="NFF248" s="15"/>
      <c r="NFG248" s="15"/>
      <c r="NFH248" s="15"/>
      <c r="NFI248" s="15"/>
      <c r="NFJ248" s="15"/>
      <c r="NFK248" s="15"/>
      <c r="NFL248" s="15"/>
      <c r="NFM248" s="10"/>
      <c r="NFN248" s="10"/>
      <c r="NFO248" s="21"/>
      <c r="NFP248" s="21"/>
      <c r="NFS248" s="21"/>
      <c r="NFT248" s="15"/>
      <c r="NFU248" s="15"/>
      <c r="NFV248" s="15"/>
      <c r="NFW248" s="15"/>
      <c r="NFX248" s="15"/>
      <c r="NFY248" s="15"/>
      <c r="NFZ248" s="15"/>
      <c r="NGA248" s="15"/>
      <c r="NGB248" s="15"/>
      <c r="NGC248" s="15"/>
      <c r="NGD248" s="10"/>
      <c r="NGE248" s="10"/>
      <c r="NGF248" s="21"/>
      <c r="NGG248" s="21"/>
      <c r="NGJ248" s="21"/>
      <c r="NGK248" s="15"/>
      <c r="NGL248" s="15"/>
      <c r="NGM248" s="15"/>
      <c r="NGN248" s="15"/>
      <c r="NGO248" s="15"/>
      <c r="NGP248" s="15"/>
      <c r="NGQ248" s="15"/>
      <c r="NGR248" s="15"/>
      <c r="NGS248" s="15"/>
      <c r="NGT248" s="15"/>
      <c r="NGU248" s="10"/>
      <c r="NGV248" s="10"/>
      <c r="NGW248" s="21"/>
      <c r="NGX248" s="21"/>
      <c r="NHA248" s="21"/>
      <c r="NHB248" s="15"/>
      <c r="NHC248" s="15"/>
      <c r="NHD248" s="15"/>
      <c r="NHE248" s="15"/>
      <c r="NHF248" s="15"/>
      <c r="NHG248" s="15"/>
      <c r="NHH248" s="15"/>
      <c r="NHI248" s="15"/>
      <c r="NHJ248" s="15"/>
      <c r="NHK248" s="15"/>
      <c r="NHL248" s="10"/>
      <c r="NHM248" s="10"/>
      <c r="NHN248" s="21"/>
      <c r="NHO248" s="21"/>
      <c r="NHR248" s="21"/>
      <c r="NHS248" s="15"/>
      <c r="NHT248" s="15"/>
      <c r="NHU248" s="15"/>
      <c r="NHV248" s="15"/>
      <c r="NHW248" s="15"/>
      <c r="NHX248" s="15"/>
      <c r="NHY248" s="15"/>
      <c r="NHZ248" s="15"/>
      <c r="NIA248" s="15"/>
      <c r="NIB248" s="15"/>
      <c r="NIC248" s="10"/>
      <c r="NID248" s="10"/>
      <c r="NIE248" s="21"/>
      <c r="NIF248" s="21"/>
      <c r="NII248" s="21"/>
      <c r="NIJ248" s="15"/>
      <c r="NIK248" s="15"/>
      <c r="NIL248" s="15"/>
      <c r="NIM248" s="15"/>
      <c r="NIN248" s="15"/>
      <c r="NIO248" s="15"/>
      <c r="NIP248" s="15"/>
      <c r="NIQ248" s="15"/>
      <c r="NIR248" s="15"/>
      <c r="NIS248" s="15"/>
      <c r="NIT248" s="10"/>
      <c r="NIU248" s="10"/>
      <c r="NIV248" s="21"/>
      <c r="NIW248" s="21"/>
      <c r="NIZ248" s="21"/>
      <c r="NJA248" s="15"/>
      <c r="NJB248" s="15"/>
      <c r="NJC248" s="15"/>
      <c r="NJD248" s="15"/>
      <c r="NJE248" s="15"/>
      <c r="NJF248" s="15"/>
      <c r="NJG248" s="15"/>
      <c r="NJH248" s="15"/>
      <c r="NJI248" s="15"/>
      <c r="NJJ248" s="15"/>
      <c r="NJK248" s="10"/>
      <c r="NJL248" s="10"/>
      <c r="NJM248" s="21"/>
      <c r="NJN248" s="21"/>
      <c r="NJQ248" s="21"/>
      <c r="NJR248" s="15"/>
      <c r="NJS248" s="15"/>
      <c r="NJT248" s="15"/>
      <c r="NJU248" s="15"/>
      <c r="NJV248" s="15"/>
      <c r="NJW248" s="15"/>
      <c r="NJX248" s="15"/>
      <c r="NJY248" s="15"/>
      <c r="NJZ248" s="15"/>
      <c r="NKA248" s="15"/>
      <c r="NKB248" s="10"/>
      <c r="NKC248" s="10"/>
      <c r="NKD248" s="21"/>
      <c r="NKE248" s="21"/>
      <c r="NKH248" s="21"/>
      <c r="NKI248" s="15"/>
      <c r="NKJ248" s="15"/>
      <c r="NKK248" s="15"/>
      <c r="NKL248" s="15"/>
      <c r="NKM248" s="15"/>
      <c r="NKN248" s="15"/>
      <c r="NKO248" s="15"/>
      <c r="NKP248" s="15"/>
      <c r="NKQ248" s="15"/>
      <c r="NKR248" s="15"/>
      <c r="NKS248" s="10"/>
      <c r="NKT248" s="10"/>
      <c r="NKU248" s="21"/>
      <c r="NKV248" s="21"/>
      <c r="NKY248" s="21"/>
      <c r="NKZ248" s="15"/>
      <c r="NLA248" s="15"/>
      <c r="NLB248" s="15"/>
      <c r="NLC248" s="15"/>
      <c r="NLD248" s="15"/>
      <c r="NLE248" s="15"/>
      <c r="NLF248" s="15"/>
      <c r="NLG248" s="15"/>
      <c r="NLH248" s="15"/>
      <c r="NLI248" s="15"/>
      <c r="NLJ248" s="10"/>
      <c r="NLK248" s="10"/>
      <c r="NLL248" s="21"/>
      <c r="NLM248" s="21"/>
      <c r="NLP248" s="21"/>
      <c r="NLQ248" s="15"/>
      <c r="NLR248" s="15"/>
      <c r="NLS248" s="15"/>
      <c r="NLT248" s="15"/>
      <c r="NLU248" s="15"/>
      <c r="NLV248" s="15"/>
      <c r="NLW248" s="15"/>
      <c r="NLX248" s="15"/>
      <c r="NLY248" s="15"/>
      <c r="NLZ248" s="15"/>
      <c r="NMA248" s="10"/>
      <c r="NMB248" s="10"/>
      <c r="NMC248" s="21"/>
      <c r="NMD248" s="21"/>
      <c r="NMG248" s="21"/>
      <c r="NMH248" s="15"/>
      <c r="NMI248" s="15"/>
      <c r="NMJ248" s="15"/>
      <c r="NMK248" s="15"/>
      <c r="NML248" s="15"/>
      <c r="NMM248" s="15"/>
      <c r="NMN248" s="15"/>
      <c r="NMO248" s="15"/>
      <c r="NMP248" s="15"/>
      <c r="NMQ248" s="15"/>
      <c r="NMR248" s="10"/>
      <c r="NMS248" s="10"/>
      <c r="NMT248" s="21"/>
      <c r="NMU248" s="21"/>
      <c r="NMX248" s="21"/>
      <c r="NMY248" s="15"/>
      <c r="NMZ248" s="15"/>
      <c r="NNA248" s="15"/>
      <c r="NNB248" s="15"/>
      <c r="NNC248" s="15"/>
      <c r="NND248" s="15"/>
      <c r="NNE248" s="15"/>
      <c r="NNF248" s="15"/>
      <c r="NNG248" s="15"/>
      <c r="NNH248" s="15"/>
      <c r="NNI248" s="10"/>
      <c r="NNJ248" s="10"/>
      <c r="NNK248" s="21"/>
      <c r="NNL248" s="21"/>
      <c r="NNO248" s="21"/>
      <c r="NNP248" s="15"/>
      <c r="NNQ248" s="15"/>
      <c r="NNR248" s="15"/>
      <c r="NNS248" s="15"/>
      <c r="NNT248" s="15"/>
      <c r="NNU248" s="15"/>
      <c r="NNV248" s="15"/>
      <c r="NNW248" s="15"/>
      <c r="NNX248" s="15"/>
      <c r="NNY248" s="15"/>
      <c r="NNZ248" s="10"/>
      <c r="NOA248" s="10"/>
      <c r="NOB248" s="21"/>
      <c r="NOC248" s="21"/>
      <c r="NOF248" s="21"/>
      <c r="NOG248" s="15"/>
      <c r="NOH248" s="15"/>
      <c r="NOI248" s="15"/>
      <c r="NOJ248" s="15"/>
      <c r="NOK248" s="15"/>
      <c r="NOL248" s="15"/>
      <c r="NOM248" s="15"/>
      <c r="NON248" s="15"/>
      <c r="NOO248" s="15"/>
      <c r="NOP248" s="15"/>
      <c r="NOQ248" s="10"/>
      <c r="NOR248" s="10"/>
      <c r="NOS248" s="21"/>
      <c r="NOT248" s="21"/>
      <c r="NOW248" s="21"/>
      <c r="NOX248" s="15"/>
      <c r="NOY248" s="15"/>
      <c r="NOZ248" s="15"/>
      <c r="NPA248" s="15"/>
      <c r="NPB248" s="15"/>
      <c r="NPC248" s="15"/>
      <c r="NPD248" s="15"/>
      <c r="NPE248" s="15"/>
      <c r="NPF248" s="15"/>
      <c r="NPG248" s="15"/>
      <c r="NPH248" s="10"/>
      <c r="NPI248" s="10"/>
      <c r="NPJ248" s="21"/>
      <c r="NPK248" s="21"/>
      <c r="NPN248" s="21"/>
      <c r="NPO248" s="15"/>
      <c r="NPP248" s="15"/>
      <c r="NPQ248" s="15"/>
      <c r="NPR248" s="15"/>
      <c r="NPS248" s="15"/>
      <c r="NPT248" s="15"/>
      <c r="NPU248" s="15"/>
      <c r="NPV248" s="15"/>
      <c r="NPW248" s="15"/>
      <c r="NPX248" s="15"/>
      <c r="NPY248" s="10"/>
      <c r="NPZ248" s="10"/>
      <c r="NQA248" s="21"/>
      <c r="NQB248" s="21"/>
      <c r="NQE248" s="21"/>
      <c r="NQF248" s="15"/>
      <c r="NQG248" s="15"/>
      <c r="NQH248" s="15"/>
      <c r="NQI248" s="15"/>
      <c r="NQJ248" s="15"/>
      <c r="NQK248" s="15"/>
      <c r="NQL248" s="15"/>
      <c r="NQM248" s="15"/>
      <c r="NQN248" s="15"/>
      <c r="NQO248" s="15"/>
      <c r="NQP248" s="10"/>
      <c r="NQQ248" s="10"/>
      <c r="NQR248" s="21"/>
      <c r="NQS248" s="21"/>
      <c r="NQV248" s="21"/>
      <c r="NQW248" s="15"/>
      <c r="NQX248" s="15"/>
      <c r="NQY248" s="15"/>
      <c r="NQZ248" s="15"/>
      <c r="NRA248" s="15"/>
      <c r="NRB248" s="15"/>
      <c r="NRC248" s="15"/>
      <c r="NRD248" s="15"/>
      <c r="NRE248" s="15"/>
      <c r="NRF248" s="15"/>
      <c r="NRG248" s="10"/>
      <c r="NRH248" s="10"/>
      <c r="NRI248" s="21"/>
      <c r="NRJ248" s="21"/>
      <c r="NRM248" s="21"/>
      <c r="NRN248" s="15"/>
      <c r="NRO248" s="15"/>
      <c r="NRP248" s="15"/>
      <c r="NRQ248" s="15"/>
      <c r="NRR248" s="15"/>
      <c r="NRS248" s="15"/>
      <c r="NRT248" s="15"/>
      <c r="NRU248" s="15"/>
      <c r="NRV248" s="15"/>
      <c r="NRW248" s="15"/>
      <c r="NRX248" s="10"/>
      <c r="NRY248" s="10"/>
      <c r="NRZ248" s="21"/>
      <c r="NSA248" s="21"/>
      <c r="NSD248" s="21"/>
      <c r="NSE248" s="15"/>
      <c r="NSF248" s="15"/>
      <c r="NSG248" s="15"/>
      <c r="NSH248" s="15"/>
      <c r="NSI248" s="15"/>
      <c r="NSJ248" s="15"/>
      <c r="NSK248" s="15"/>
      <c r="NSL248" s="15"/>
      <c r="NSM248" s="15"/>
      <c r="NSN248" s="15"/>
      <c r="NSO248" s="10"/>
      <c r="NSP248" s="10"/>
      <c r="NSQ248" s="21"/>
      <c r="NSR248" s="21"/>
      <c r="NSU248" s="21"/>
      <c r="NSV248" s="15"/>
      <c r="NSW248" s="15"/>
      <c r="NSX248" s="15"/>
      <c r="NSY248" s="15"/>
      <c r="NSZ248" s="15"/>
      <c r="NTA248" s="15"/>
      <c r="NTB248" s="15"/>
      <c r="NTC248" s="15"/>
      <c r="NTD248" s="15"/>
      <c r="NTE248" s="15"/>
      <c r="NTF248" s="10"/>
      <c r="NTG248" s="10"/>
      <c r="NTH248" s="21"/>
      <c r="NTI248" s="21"/>
      <c r="NTL248" s="21"/>
      <c r="NTM248" s="15"/>
      <c r="NTN248" s="15"/>
      <c r="NTO248" s="15"/>
      <c r="NTP248" s="15"/>
      <c r="NTQ248" s="15"/>
      <c r="NTR248" s="15"/>
      <c r="NTS248" s="15"/>
      <c r="NTT248" s="15"/>
      <c r="NTU248" s="15"/>
      <c r="NTV248" s="15"/>
      <c r="NTW248" s="10"/>
      <c r="NTX248" s="10"/>
      <c r="NTY248" s="21"/>
      <c r="NTZ248" s="21"/>
      <c r="NUC248" s="21"/>
      <c r="NUD248" s="15"/>
      <c r="NUE248" s="15"/>
      <c r="NUF248" s="15"/>
      <c r="NUG248" s="15"/>
      <c r="NUH248" s="15"/>
      <c r="NUI248" s="15"/>
      <c r="NUJ248" s="15"/>
      <c r="NUK248" s="15"/>
      <c r="NUL248" s="15"/>
      <c r="NUM248" s="15"/>
      <c r="NUN248" s="10"/>
      <c r="NUO248" s="10"/>
      <c r="NUP248" s="21"/>
      <c r="NUQ248" s="21"/>
      <c r="NUT248" s="21"/>
      <c r="NUU248" s="15"/>
      <c r="NUV248" s="15"/>
      <c r="NUW248" s="15"/>
      <c r="NUX248" s="15"/>
      <c r="NUY248" s="15"/>
      <c r="NUZ248" s="15"/>
      <c r="NVA248" s="15"/>
      <c r="NVB248" s="15"/>
      <c r="NVC248" s="15"/>
      <c r="NVD248" s="15"/>
      <c r="NVE248" s="10"/>
      <c r="NVF248" s="10"/>
      <c r="NVG248" s="21"/>
      <c r="NVH248" s="21"/>
      <c r="NVK248" s="21"/>
      <c r="NVL248" s="15"/>
      <c r="NVM248" s="15"/>
      <c r="NVN248" s="15"/>
      <c r="NVO248" s="15"/>
      <c r="NVP248" s="15"/>
      <c r="NVQ248" s="15"/>
      <c r="NVR248" s="15"/>
      <c r="NVS248" s="15"/>
      <c r="NVT248" s="15"/>
      <c r="NVU248" s="15"/>
      <c r="NVV248" s="10"/>
      <c r="NVW248" s="10"/>
      <c r="NVX248" s="21"/>
      <c r="NVY248" s="21"/>
      <c r="NWB248" s="21"/>
      <c r="NWC248" s="15"/>
      <c r="NWD248" s="15"/>
      <c r="NWE248" s="15"/>
      <c r="NWF248" s="15"/>
      <c r="NWG248" s="15"/>
      <c r="NWH248" s="15"/>
      <c r="NWI248" s="15"/>
      <c r="NWJ248" s="15"/>
      <c r="NWK248" s="15"/>
      <c r="NWL248" s="15"/>
      <c r="NWM248" s="10"/>
      <c r="NWN248" s="10"/>
      <c r="NWO248" s="21"/>
      <c r="NWP248" s="21"/>
      <c r="NWS248" s="21"/>
      <c r="NWT248" s="15"/>
      <c r="NWU248" s="15"/>
      <c r="NWV248" s="15"/>
      <c r="NWW248" s="15"/>
      <c r="NWX248" s="15"/>
      <c r="NWY248" s="15"/>
      <c r="NWZ248" s="15"/>
      <c r="NXA248" s="15"/>
      <c r="NXB248" s="15"/>
      <c r="NXC248" s="15"/>
      <c r="NXD248" s="10"/>
      <c r="NXE248" s="10"/>
      <c r="NXF248" s="21"/>
      <c r="NXG248" s="21"/>
      <c r="NXJ248" s="21"/>
      <c r="NXK248" s="15"/>
      <c r="NXL248" s="15"/>
      <c r="NXM248" s="15"/>
      <c r="NXN248" s="15"/>
      <c r="NXO248" s="15"/>
      <c r="NXP248" s="15"/>
      <c r="NXQ248" s="15"/>
      <c r="NXR248" s="15"/>
      <c r="NXS248" s="15"/>
      <c r="NXT248" s="15"/>
      <c r="NXU248" s="10"/>
      <c r="NXV248" s="10"/>
      <c r="NXW248" s="21"/>
      <c r="NXX248" s="21"/>
      <c r="NYA248" s="21"/>
      <c r="NYB248" s="15"/>
      <c r="NYC248" s="15"/>
      <c r="NYD248" s="15"/>
      <c r="NYE248" s="15"/>
      <c r="NYF248" s="15"/>
      <c r="NYG248" s="15"/>
      <c r="NYH248" s="15"/>
      <c r="NYI248" s="15"/>
      <c r="NYJ248" s="15"/>
      <c r="NYK248" s="15"/>
      <c r="NYL248" s="10"/>
      <c r="NYM248" s="10"/>
      <c r="NYN248" s="21"/>
      <c r="NYO248" s="21"/>
      <c r="NYR248" s="21"/>
      <c r="NYS248" s="15"/>
      <c r="NYT248" s="15"/>
      <c r="NYU248" s="15"/>
      <c r="NYV248" s="15"/>
      <c r="NYW248" s="15"/>
      <c r="NYX248" s="15"/>
      <c r="NYY248" s="15"/>
      <c r="NYZ248" s="15"/>
      <c r="NZA248" s="15"/>
      <c r="NZB248" s="15"/>
      <c r="NZC248" s="10"/>
      <c r="NZD248" s="10"/>
      <c r="NZE248" s="21"/>
      <c r="NZF248" s="21"/>
      <c r="NZI248" s="21"/>
      <c r="NZJ248" s="15"/>
      <c r="NZK248" s="15"/>
      <c r="NZL248" s="15"/>
      <c r="NZM248" s="15"/>
      <c r="NZN248" s="15"/>
      <c r="NZO248" s="15"/>
      <c r="NZP248" s="15"/>
      <c r="NZQ248" s="15"/>
      <c r="NZR248" s="15"/>
      <c r="NZS248" s="15"/>
      <c r="NZT248" s="10"/>
      <c r="NZU248" s="10"/>
      <c r="NZV248" s="21"/>
      <c r="NZW248" s="21"/>
      <c r="NZZ248" s="21"/>
      <c r="OAA248" s="15"/>
      <c r="OAB248" s="15"/>
      <c r="OAC248" s="15"/>
      <c r="OAD248" s="15"/>
      <c r="OAE248" s="15"/>
      <c r="OAF248" s="15"/>
      <c r="OAG248" s="15"/>
      <c r="OAH248" s="15"/>
      <c r="OAI248" s="15"/>
      <c r="OAJ248" s="15"/>
      <c r="OAK248" s="10"/>
      <c r="OAL248" s="10"/>
      <c r="OAM248" s="21"/>
      <c r="OAN248" s="21"/>
      <c r="OAQ248" s="21"/>
      <c r="OAR248" s="15"/>
      <c r="OAS248" s="15"/>
      <c r="OAT248" s="15"/>
      <c r="OAU248" s="15"/>
      <c r="OAV248" s="15"/>
      <c r="OAW248" s="15"/>
      <c r="OAX248" s="15"/>
      <c r="OAY248" s="15"/>
      <c r="OAZ248" s="15"/>
      <c r="OBA248" s="15"/>
      <c r="OBB248" s="10"/>
      <c r="OBC248" s="10"/>
      <c r="OBD248" s="21"/>
      <c r="OBE248" s="21"/>
      <c r="OBH248" s="21"/>
      <c r="OBI248" s="15"/>
      <c r="OBJ248" s="15"/>
      <c r="OBK248" s="15"/>
      <c r="OBL248" s="15"/>
      <c r="OBM248" s="15"/>
      <c r="OBN248" s="15"/>
      <c r="OBO248" s="15"/>
      <c r="OBP248" s="15"/>
      <c r="OBQ248" s="15"/>
      <c r="OBR248" s="15"/>
      <c r="OBS248" s="10"/>
      <c r="OBT248" s="10"/>
      <c r="OBU248" s="21"/>
      <c r="OBV248" s="21"/>
      <c r="OBY248" s="21"/>
      <c r="OBZ248" s="15"/>
      <c r="OCA248" s="15"/>
      <c r="OCB248" s="15"/>
      <c r="OCC248" s="15"/>
      <c r="OCD248" s="15"/>
      <c r="OCE248" s="15"/>
      <c r="OCF248" s="15"/>
      <c r="OCG248" s="15"/>
      <c r="OCH248" s="15"/>
      <c r="OCI248" s="15"/>
      <c r="OCJ248" s="10"/>
      <c r="OCK248" s="10"/>
      <c r="OCL248" s="21"/>
      <c r="OCM248" s="21"/>
      <c r="OCP248" s="21"/>
      <c r="OCQ248" s="15"/>
      <c r="OCR248" s="15"/>
      <c r="OCS248" s="15"/>
      <c r="OCT248" s="15"/>
      <c r="OCU248" s="15"/>
      <c r="OCV248" s="15"/>
      <c r="OCW248" s="15"/>
      <c r="OCX248" s="15"/>
      <c r="OCY248" s="15"/>
      <c r="OCZ248" s="15"/>
      <c r="ODA248" s="10"/>
      <c r="ODB248" s="10"/>
      <c r="ODC248" s="21"/>
      <c r="ODD248" s="21"/>
      <c r="ODG248" s="21"/>
      <c r="ODH248" s="15"/>
      <c r="ODI248" s="15"/>
      <c r="ODJ248" s="15"/>
      <c r="ODK248" s="15"/>
      <c r="ODL248" s="15"/>
      <c r="ODM248" s="15"/>
      <c r="ODN248" s="15"/>
      <c r="ODO248" s="15"/>
      <c r="ODP248" s="15"/>
      <c r="ODQ248" s="15"/>
      <c r="ODR248" s="10"/>
      <c r="ODS248" s="10"/>
      <c r="ODT248" s="21"/>
      <c r="ODU248" s="21"/>
      <c r="ODX248" s="21"/>
      <c r="ODY248" s="15"/>
      <c r="ODZ248" s="15"/>
      <c r="OEA248" s="15"/>
      <c r="OEB248" s="15"/>
      <c r="OEC248" s="15"/>
      <c r="OED248" s="15"/>
      <c r="OEE248" s="15"/>
      <c r="OEF248" s="15"/>
      <c r="OEG248" s="15"/>
      <c r="OEH248" s="15"/>
      <c r="OEI248" s="10"/>
      <c r="OEJ248" s="10"/>
      <c r="OEK248" s="21"/>
      <c r="OEL248" s="21"/>
      <c r="OEO248" s="21"/>
      <c r="OEP248" s="15"/>
      <c r="OEQ248" s="15"/>
      <c r="OER248" s="15"/>
      <c r="OES248" s="15"/>
      <c r="OET248" s="15"/>
      <c r="OEU248" s="15"/>
      <c r="OEV248" s="15"/>
      <c r="OEW248" s="15"/>
      <c r="OEX248" s="15"/>
      <c r="OEY248" s="15"/>
      <c r="OEZ248" s="10"/>
      <c r="OFA248" s="10"/>
      <c r="OFB248" s="21"/>
      <c r="OFC248" s="21"/>
      <c r="OFF248" s="21"/>
      <c r="OFG248" s="15"/>
      <c r="OFH248" s="15"/>
      <c r="OFI248" s="15"/>
      <c r="OFJ248" s="15"/>
      <c r="OFK248" s="15"/>
      <c r="OFL248" s="15"/>
      <c r="OFM248" s="15"/>
      <c r="OFN248" s="15"/>
      <c r="OFO248" s="15"/>
      <c r="OFP248" s="15"/>
      <c r="OFQ248" s="10"/>
      <c r="OFR248" s="10"/>
      <c r="OFS248" s="21"/>
      <c r="OFT248" s="21"/>
      <c r="OFW248" s="21"/>
      <c r="OFX248" s="15"/>
      <c r="OFY248" s="15"/>
      <c r="OFZ248" s="15"/>
      <c r="OGA248" s="15"/>
      <c r="OGB248" s="15"/>
      <c r="OGC248" s="15"/>
      <c r="OGD248" s="15"/>
      <c r="OGE248" s="15"/>
      <c r="OGF248" s="15"/>
      <c r="OGG248" s="15"/>
      <c r="OGH248" s="10"/>
      <c r="OGI248" s="10"/>
      <c r="OGJ248" s="21"/>
      <c r="OGK248" s="21"/>
      <c r="OGN248" s="21"/>
      <c r="OGO248" s="15"/>
      <c r="OGP248" s="15"/>
      <c r="OGQ248" s="15"/>
      <c r="OGR248" s="15"/>
      <c r="OGS248" s="15"/>
      <c r="OGT248" s="15"/>
      <c r="OGU248" s="15"/>
      <c r="OGV248" s="15"/>
      <c r="OGW248" s="15"/>
      <c r="OGX248" s="15"/>
      <c r="OGY248" s="10"/>
      <c r="OGZ248" s="10"/>
      <c r="OHA248" s="21"/>
      <c r="OHB248" s="21"/>
      <c r="OHE248" s="21"/>
      <c r="OHF248" s="15"/>
      <c r="OHG248" s="15"/>
      <c r="OHH248" s="15"/>
      <c r="OHI248" s="15"/>
      <c r="OHJ248" s="15"/>
      <c r="OHK248" s="15"/>
      <c r="OHL248" s="15"/>
      <c r="OHM248" s="15"/>
      <c r="OHN248" s="15"/>
      <c r="OHO248" s="15"/>
      <c r="OHP248" s="10"/>
      <c r="OHQ248" s="10"/>
      <c r="OHR248" s="21"/>
      <c r="OHS248" s="21"/>
      <c r="OHV248" s="21"/>
      <c r="OHW248" s="15"/>
      <c r="OHX248" s="15"/>
      <c r="OHY248" s="15"/>
      <c r="OHZ248" s="15"/>
      <c r="OIA248" s="15"/>
      <c r="OIB248" s="15"/>
      <c r="OIC248" s="15"/>
      <c r="OID248" s="15"/>
      <c r="OIE248" s="15"/>
      <c r="OIF248" s="15"/>
      <c r="OIG248" s="10"/>
      <c r="OIH248" s="10"/>
      <c r="OII248" s="21"/>
      <c r="OIJ248" s="21"/>
      <c r="OIM248" s="21"/>
      <c r="OIN248" s="15"/>
      <c r="OIO248" s="15"/>
      <c r="OIP248" s="15"/>
      <c r="OIQ248" s="15"/>
      <c r="OIR248" s="15"/>
      <c r="OIS248" s="15"/>
      <c r="OIT248" s="15"/>
      <c r="OIU248" s="15"/>
      <c r="OIV248" s="15"/>
      <c r="OIW248" s="15"/>
      <c r="OIX248" s="10"/>
      <c r="OIY248" s="10"/>
      <c r="OIZ248" s="21"/>
      <c r="OJA248" s="21"/>
      <c r="OJD248" s="21"/>
      <c r="OJE248" s="15"/>
      <c r="OJF248" s="15"/>
      <c r="OJG248" s="15"/>
      <c r="OJH248" s="15"/>
      <c r="OJI248" s="15"/>
      <c r="OJJ248" s="15"/>
      <c r="OJK248" s="15"/>
      <c r="OJL248" s="15"/>
      <c r="OJM248" s="15"/>
      <c r="OJN248" s="15"/>
      <c r="OJO248" s="10"/>
      <c r="OJP248" s="10"/>
      <c r="OJQ248" s="21"/>
      <c r="OJR248" s="21"/>
      <c r="OJU248" s="21"/>
      <c r="OJV248" s="15"/>
      <c r="OJW248" s="15"/>
      <c r="OJX248" s="15"/>
      <c r="OJY248" s="15"/>
      <c r="OJZ248" s="15"/>
      <c r="OKA248" s="15"/>
      <c r="OKB248" s="15"/>
      <c r="OKC248" s="15"/>
      <c r="OKD248" s="15"/>
      <c r="OKE248" s="15"/>
      <c r="OKF248" s="10"/>
      <c r="OKG248" s="10"/>
      <c r="OKH248" s="21"/>
      <c r="OKI248" s="21"/>
      <c r="OKL248" s="21"/>
      <c r="OKM248" s="15"/>
      <c r="OKN248" s="15"/>
      <c r="OKO248" s="15"/>
      <c r="OKP248" s="15"/>
      <c r="OKQ248" s="15"/>
      <c r="OKR248" s="15"/>
      <c r="OKS248" s="15"/>
      <c r="OKT248" s="15"/>
      <c r="OKU248" s="15"/>
      <c r="OKV248" s="15"/>
      <c r="OKW248" s="10"/>
      <c r="OKX248" s="10"/>
      <c r="OKY248" s="21"/>
      <c r="OKZ248" s="21"/>
      <c r="OLC248" s="21"/>
      <c r="OLD248" s="15"/>
      <c r="OLE248" s="15"/>
      <c r="OLF248" s="15"/>
      <c r="OLG248" s="15"/>
      <c r="OLH248" s="15"/>
      <c r="OLI248" s="15"/>
      <c r="OLJ248" s="15"/>
      <c r="OLK248" s="15"/>
      <c r="OLL248" s="15"/>
      <c r="OLM248" s="15"/>
      <c r="OLN248" s="10"/>
      <c r="OLO248" s="10"/>
      <c r="OLP248" s="21"/>
      <c r="OLQ248" s="21"/>
      <c r="OLT248" s="21"/>
      <c r="OLU248" s="15"/>
      <c r="OLV248" s="15"/>
      <c r="OLW248" s="15"/>
      <c r="OLX248" s="15"/>
      <c r="OLY248" s="15"/>
      <c r="OLZ248" s="15"/>
      <c r="OMA248" s="15"/>
      <c r="OMB248" s="15"/>
      <c r="OMC248" s="15"/>
      <c r="OMD248" s="15"/>
      <c r="OME248" s="10"/>
      <c r="OMF248" s="10"/>
      <c r="OMG248" s="21"/>
      <c r="OMH248" s="21"/>
      <c r="OMK248" s="21"/>
      <c r="OML248" s="15"/>
      <c r="OMM248" s="15"/>
      <c r="OMN248" s="15"/>
      <c r="OMO248" s="15"/>
      <c r="OMP248" s="15"/>
      <c r="OMQ248" s="15"/>
      <c r="OMR248" s="15"/>
      <c r="OMS248" s="15"/>
      <c r="OMT248" s="15"/>
      <c r="OMU248" s="15"/>
      <c r="OMV248" s="10"/>
      <c r="OMW248" s="10"/>
      <c r="OMX248" s="21"/>
      <c r="OMY248" s="21"/>
      <c r="ONB248" s="21"/>
      <c r="ONC248" s="15"/>
      <c r="OND248" s="15"/>
      <c r="ONE248" s="15"/>
      <c r="ONF248" s="15"/>
      <c r="ONG248" s="15"/>
      <c r="ONH248" s="15"/>
      <c r="ONI248" s="15"/>
      <c r="ONJ248" s="15"/>
      <c r="ONK248" s="15"/>
      <c r="ONL248" s="15"/>
      <c r="ONM248" s="10"/>
      <c r="ONN248" s="10"/>
      <c r="ONO248" s="21"/>
      <c r="ONP248" s="21"/>
      <c r="ONS248" s="21"/>
      <c r="ONT248" s="15"/>
      <c r="ONU248" s="15"/>
      <c r="ONV248" s="15"/>
      <c r="ONW248" s="15"/>
      <c r="ONX248" s="15"/>
      <c r="ONY248" s="15"/>
      <c r="ONZ248" s="15"/>
      <c r="OOA248" s="15"/>
      <c r="OOB248" s="15"/>
      <c r="OOC248" s="15"/>
      <c r="OOD248" s="10"/>
      <c r="OOE248" s="10"/>
      <c r="OOF248" s="21"/>
      <c r="OOG248" s="21"/>
      <c r="OOJ248" s="21"/>
      <c r="OOK248" s="15"/>
      <c r="OOL248" s="15"/>
      <c r="OOM248" s="15"/>
      <c r="OON248" s="15"/>
      <c r="OOO248" s="15"/>
      <c r="OOP248" s="15"/>
      <c r="OOQ248" s="15"/>
      <c r="OOR248" s="15"/>
      <c r="OOS248" s="15"/>
      <c r="OOT248" s="15"/>
      <c r="OOU248" s="10"/>
      <c r="OOV248" s="10"/>
      <c r="OOW248" s="21"/>
      <c r="OOX248" s="21"/>
      <c r="OPA248" s="21"/>
      <c r="OPB248" s="15"/>
      <c r="OPC248" s="15"/>
      <c r="OPD248" s="15"/>
      <c r="OPE248" s="15"/>
      <c r="OPF248" s="15"/>
      <c r="OPG248" s="15"/>
      <c r="OPH248" s="15"/>
      <c r="OPI248" s="15"/>
      <c r="OPJ248" s="15"/>
      <c r="OPK248" s="15"/>
      <c r="OPL248" s="10"/>
      <c r="OPM248" s="10"/>
      <c r="OPN248" s="21"/>
      <c r="OPO248" s="21"/>
      <c r="OPR248" s="21"/>
      <c r="OPS248" s="15"/>
      <c r="OPT248" s="15"/>
      <c r="OPU248" s="15"/>
      <c r="OPV248" s="15"/>
      <c r="OPW248" s="15"/>
      <c r="OPX248" s="15"/>
      <c r="OPY248" s="15"/>
      <c r="OPZ248" s="15"/>
      <c r="OQA248" s="15"/>
      <c r="OQB248" s="15"/>
      <c r="OQC248" s="10"/>
      <c r="OQD248" s="10"/>
      <c r="OQE248" s="21"/>
      <c r="OQF248" s="21"/>
      <c r="OQI248" s="21"/>
      <c r="OQJ248" s="15"/>
      <c r="OQK248" s="15"/>
      <c r="OQL248" s="15"/>
      <c r="OQM248" s="15"/>
      <c r="OQN248" s="15"/>
      <c r="OQO248" s="15"/>
      <c r="OQP248" s="15"/>
      <c r="OQQ248" s="15"/>
      <c r="OQR248" s="15"/>
      <c r="OQS248" s="15"/>
      <c r="OQT248" s="10"/>
      <c r="OQU248" s="10"/>
      <c r="OQV248" s="21"/>
      <c r="OQW248" s="21"/>
      <c r="OQZ248" s="21"/>
      <c r="ORA248" s="15"/>
      <c r="ORB248" s="15"/>
      <c r="ORC248" s="15"/>
      <c r="ORD248" s="15"/>
      <c r="ORE248" s="15"/>
      <c r="ORF248" s="15"/>
      <c r="ORG248" s="15"/>
      <c r="ORH248" s="15"/>
      <c r="ORI248" s="15"/>
      <c r="ORJ248" s="15"/>
      <c r="ORK248" s="10"/>
      <c r="ORL248" s="10"/>
      <c r="ORM248" s="21"/>
      <c r="ORN248" s="21"/>
      <c r="ORQ248" s="21"/>
      <c r="ORR248" s="15"/>
      <c r="ORS248" s="15"/>
      <c r="ORT248" s="15"/>
      <c r="ORU248" s="15"/>
      <c r="ORV248" s="15"/>
      <c r="ORW248" s="15"/>
      <c r="ORX248" s="15"/>
      <c r="ORY248" s="15"/>
      <c r="ORZ248" s="15"/>
      <c r="OSA248" s="15"/>
      <c r="OSB248" s="10"/>
      <c r="OSC248" s="10"/>
      <c r="OSD248" s="21"/>
      <c r="OSE248" s="21"/>
      <c r="OSH248" s="21"/>
      <c r="OSI248" s="15"/>
      <c r="OSJ248" s="15"/>
      <c r="OSK248" s="15"/>
      <c r="OSL248" s="15"/>
      <c r="OSM248" s="15"/>
      <c r="OSN248" s="15"/>
      <c r="OSO248" s="15"/>
      <c r="OSP248" s="15"/>
      <c r="OSQ248" s="15"/>
      <c r="OSR248" s="15"/>
      <c r="OSS248" s="10"/>
      <c r="OST248" s="10"/>
      <c r="OSU248" s="21"/>
      <c r="OSV248" s="21"/>
      <c r="OSY248" s="21"/>
      <c r="OSZ248" s="15"/>
      <c r="OTA248" s="15"/>
      <c r="OTB248" s="15"/>
      <c r="OTC248" s="15"/>
      <c r="OTD248" s="15"/>
      <c r="OTE248" s="15"/>
      <c r="OTF248" s="15"/>
      <c r="OTG248" s="15"/>
      <c r="OTH248" s="15"/>
      <c r="OTI248" s="15"/>
      <c r="OTJ248" s="10"/>
      <c r="OTK248" s="10"/>
      <c r="OTL248" s="21"/>
      <c r="OTM248" s="21"/>
      <c r="OTP248" s="21"/>
      <c r="OTQ248" s="15"/>
      <c r="OTR248" s="15"/>
      <c r="OTS248" s="15"/>
      <c r="OTT248" s="15"/>
      <c r="OTU248" s="15"/>
      <c r="OTV248" s="15"/>
      <c r="OTW248" s="15"/>
      <c r="OTX248" s="15"/>
      <c r="OTY248" s="15"/>
      <c r="OTZ248" s="15"/>
      <c r="OUA248" s="10"/>
      <c r="OUB248" s="10"/>
      <c r="OUC248" s="21"/>
      <c r="OUD248" s="21"/>
      <c r="OUG248" s="21"/>
      <c r="OUH248" s="15"/>
      <c r="OUI248" s="15"/>
      <c r="OUJ248" s="15"/>
      <c r="OUK248" s="15"/>
      <c r="OUL248" s="15"/>
      <c r="OUM248" s="15"/>
      <c r="OUN248" s="15"/>
      <c r="OUO248" s="15"/>
      <c r="OUP248" s="15"/>
      <c r="OUQ248" s="15"/>
      <c r="OUR248" s="10"/>
      <c r="OUS248" s="10"/>
      <c r="OUT248" s="21"/>
      <c r="OUU248" s="21"/>
      <c r="OUX248" s="21"/>
      <c r="OUY248" s="15"/>
      <c r="OUZ248" s="15"/>
      <c r="OVA248" s="15"/>
      <c r="OVB248" s="15"/>
      <c r="OVC248" s="15"/>
      <c r="OVD248" s="15"/>
      <c r="OVE248" s="15"/>
      <c r="OVF248" s="15"/>
      <c r="OVG248" s="15"/>
      <c r="OVH248" s="15"/>
      <c r="OVI248" s="10"/>
      <c r="OVJ248" s="10"/>
      <c r="OVK248" s="21"/>
      <c r="OVL248" s="21"/>
      <c r="OVO248" s="21"/>
      <c r="OVP248" s="15"/>
      <c r="OVQ248" s="15"/>
      <c r="OVR248" s="15"/>
      <c r="OVS248" s="15"/>
      <c r="OVT248" s="15"/>
      <c r="OVU248" s="15"/>
      <c r="OVV248" s="15"/>
      <c r="OVW248" s="15"/>
      <c r="OVX248" s="15"/>
      <c r="OVY248" s="15"/>
      <c r="OVZ248" s="10"/>
      <c r="OWA248" s="10"/>
      <c r="OWB248" s="21"/>
      <c r="OWC248" s="21"/>
      <c r="OWF248" s="21"/>
      <c r="OWG248" s="15"/>
      <c r="OWH248" s="15"/>
      <c r="OWI248" s="15"/>
      <c r="OWJ248" s="15"/>
      <c r="OWK248" s="15"/>
      <c r="OWL248" s="15"/>
      <c r="OWM248" s="15"/>
      <c r="OWN248" s="15"/>
      <c r="OWO248" s="15"/>
      <c r="OWP248" s="15"/>
      <c r="OWQ248" s="10"/>
      <c r="OWR248" s="10"/>
      <c r="OWS248" s="21"/>
      <c r="OWT248" s="21"/>
      <c r="OWW248" s="21"/>
      <c r="OWX248" s="15"/>
      <c r="OWY248" s="15"/>
      <c r="OWZ248" s="15"/>
      <c r="OXA248" s="15"/>
      <c r="OXB248" s="15"/>
      <c r="OXC248" s="15"/>
      <c r="OXD248" s="15"/>
      <c r="OXE248" s="15"/>
      <c r="OXF248" s="15"/>
      <c r="OXG248" s="15"/>
      <c r="OXH248" s="10"/>
      <c r="OXI248" s="10"/>
      <c r="OXJ248" s="21"/>
      <c r="OXK248" s="21"/>
      <c r="OXN248" s="21"/>
      <c r="OXO248" s="15"/>
      <c r="OXP248" s="15"/>
      <c r="OXQ248" s="15"/>
      <c r="OXR248" s="15"/>
      <c r="OXS248" s="15"/>
      <c r="OXT248" s="15"/>
      <c r="OXU248" s="15"/>
      <c r="OXV248" s="15"/>
      <c r="OXW248" s="15"/>
      <c r="OXX248" s="15"/>
      <c r="OXY248" s="10"/>
      <c r="OXZ248" s="10"/>
      <c r="OYA248" s="21"/>
      <c r="OYB248" s="21"/>
      <c r="OYE248" s="21"/>
      <c r="OYF248" s="15"/>
      <c r="OYG248" s="15"/>
      <c r="OYH248" s="15"/>
      <c r="OYI248" s="15"/>
      <c r="OYJ248" s="15"/>
      <c r="OYK248" s="15"/>
      <c r="OYL248" s="15"/>
      <c r="OYM248" s="15"/>
      <c r="OYN248" s="15"/>
      <c r="OYO248" s="15"/>
      <c r="OYP248" s="10"/>
      <c r="OYQ248" s="10"/>
      <c r="OYR248" s="21"/>
      <c r="OYS248" s="21"/>
      <c r="OYV248" s="21"/>
      <c r="OYW248" s="15"/>
      <c r="OYX248" s="15"/>
      <c r="OYY248" s="15"/>
      <c r="OYZ248" s="15"/>
      <c r="OZA248" s="15"/>
      <c r="OZB248" s="15"/>
      <c r="OZC248" s="15"/>
      <c r="OZD248" s="15"/>
      <c r="OZE248" s="15"/>
      <c r="OZF248" s="15"/>
      <c r="OZG248" s="10"/>
      <c r="OZH248" s="10"/>
      <c r="OZI248" s="21"/>
      <c r="OZJ248" s="21"/>
      <c r="OZM248" s="21"/>
      <c r="OZN248" s="15"/>
      <c r="OZO248" s="15"/>
      <c r="OZP248" s="15"/>
      <c r="OZQ248" s="15"/>
      <c r="OZR248" s="15"/>
      <c r="OZS248" s="15"/>
      <c r="OZT248" s="15"/>
      <c r="OZU248" s="15"/>
      <c r="OZV248" s="15"/>
      <c r="OZW248" s="15"/>
      <c r="OZX248" s="10"/>
      <c r="OZY248" s="10"/>
      <c r="OZZ248" s="21"/>
      <c r="PAA248" s="21"/>
      <c r="PAD248" s="21"/>
      <c r="PAE248" s="15"/>
      <c r="PAF248" s="15"/>
      <c r="PAG248" s="15"/>
      <c r="PAH248" s="15"/>
      <c r="PAI248" s="15"/>
      <c r="PAJ248" s="15"/>
      <c r="PAK248" s="15"/>
      <c r="PAL248" s="15"/>
      <c r="PAM248" s="15"/>
      <c r="PAN248" s="15"/>
      <c r="PAO248" s="10"/>
      <c r="PAP248" s="10"/>
      <c r="PAQ248" s="21"/>
      <c r="PAR248" s="21"/>
      <c r="PAU248" s="21"/>
      <c r="PAV248" s="15"/>
      <c r="PAW248" s="15"/>
      <c r="PAX248" s="15"/>
      <c r="PAY248" s="15"/>
      <c r="PAZ248" s="15"/>
      <c r="PBA248" s="15"/>
      <c r="PBB248" s="15"/>
      <c r="PBC248" s="15"/>
      <c r="PBD248" s="15"/>
      <c r="PBE248" s="15"/>
      <c r="PBF248" s="10"/>
      <c r="PBG248" s="10"/>
      <c r="PBH248" s="21"/>
      <c r="PBI248" s="21"/>
      <c r="PBL248" s="21"/>
      <c r="PBM248" s="15"/>
      <c r="PBN248" s="15"/>
      <c r="PBO248" s="15"/>
      <c r="PBP248" s="15"/>
      <c r="PBQ248" s="15"/>
      <c r="PBR248" s="15"/>
      <c r="PBS248" s="15"/>
      <c r="PBT248" s="15"/>
      <c r="PBU248" s="15"/>
      <c r="PBV248" s="15"/>
      <c r="PBW248" s="10"/>
      <c r="PBX248" s="10"/>
      <c r="PBY248" s="21"/>
      <c r="PBZ248" s="21"/>
      <c r="PCC248" s="21"/>
      <c r="PCD248" s="15"/>
      <c r="PCE248" s="15"/>
      <c r="PCF248" s="15"/>
      <c r="PCG248" s="15"/>
      <c r="PCH248" s="15"/>
      <c r="PCI248" s="15"/>
      <c r="PCJ248" s="15"/>
      <c r="PCK248" s="15"/>
      <c r="PCL248" s="15"/>
      <c r="PCM248" s="15"/>
      <c r="PCN248" s="10"/>
      <c r="PCO248" s="10"/>
      <c r="PCP248" s="21"/>
      <c r="PCQ248" s="21"/>
      <c r="PCT248" s="21"/>
      <c r="PCU248" s="15"/>
      <c r="PCV248" s="15"/>
      <c r="PCW248" s="15"/>
      <c r="PCX248" s="15"/>
      <c r="PCY248" s="15"/>
      <c r="PCZ248" s="15"/>
      <c r="PDA248" s="15"/>
      <c r="PDB248" s="15"/>
      <c r="PDC248" s="15"/>
      <c r="PDD248" s="15"/>
      <c r="PDE248" s="10"/>
      <c r="PDF248" s="10"/>
      <c r="PDG248" s="21"/>
      <c r="PDH248" s="21"/>
      <c r="PDK248" s="21"/>
      <c r="PDL248" s="15"/>
      <c r="PDM248" s="15"/>
      <c r="PDN248" s="15"/>
      <c r="PDO248" s="15"/>
      <c r="PDP248" s="15"/>
      <c r="PDQ248" s="15"/>
      <c r="PDR248" s="15"/>
      <c r="PDS248" s="15"/>
      <c r="PDT248" s="15"/>
      <c r="PDU248" s="15"/>
      <c r="PDV248" s="10"/>
      <c r="PDW248" s="10"/>
      <c r="PDX248" s="21"/>
      <c r="PDY248" s="21"/>
      <c r="PEB248" s="21"/>
      <c r="PEC248" s="15"/>
      <c r="PED248" s="15"/>
      <c r="PEE248" s="15"/>
      <c r="PEF248" s="15"/>
      <c r="PEG248" s="15"/>
      <c r="PEH248" s="15"/>
      <c r="PEI248" s="15"/>
      <c r="PEJ248" s="15"/>
      <c r="PEK248" s="15"/>
      <c r="PEL248" s="15"/>
      <c r="PEM248" s="10"/>
      <c r="PEN248" s="10"/>
      <c r="PEO248" s="21"/>
      <c r="PEP248" s="21"/>
      <c r="PES248" s="21"/>
      <c r="PET248" s="15"/>
      <c r="PEU248" s="15"/>
      <c r="PEV248" s="15"/>
      <c r="PEW248" s="15"/>
      <c r="PEX248" s="15"/>
      <c r="PEY248" s="15"/>
      <c r="PEZ248" s="15"/>
      <c r="PFA248" s="15"/>
      <c r="PFB248" s="15"/>
      <c r="PFC248" s="15"/>
      <c r="PFD248" s="10"/>
      <c r="PFE248" s="10"/>
      <c r="PFF248" s="21"/>
      <c r="PFG248" s="21"/>
      <c r="PFJ248" s="21"/>
      <c r="PFK248" s="15"/>
      <c r="PFL248" s="15"/>
      <c r="PFM248" s="15"/>
      <c r="PFN248" s="15"/>
      <c r="PFO248" s="15"/>
      <c r="PFP248" s="15"/>
      <c r="PFQ248" s="15"/>
      <c r="PFR248" s="15"/>
      <c r="PFS248" s="15"/>
      <c r="PFT248" s="15"/>
      <c r="PFU248" s="10"/>
      <c r="PFV248" s="10"/>
      <c r="PFW248" s="21"/>
      <c r="PFX248" s="21"/>
      <c r="PGA248" s="21"/>
      <c r="PGB248" s="15"/>
      <c r="PGC248" s="15"/>
      <c r="PGD248" s="15"/>
      <c r="PGE248" s="15"/>
      <c r="PGF248" s="15"/>
      <c r="PGG248" s="15"/>
      <c r="PGH248" s="15"/>
      <c r="PGI248" s="15"/>
      <c r="PGJ248" s="15"/>
      <c r="PGK248" s="15"/>
      <c r="PGL248" s="10"/>
      <c r="PGM248" s="10"/>
      <c r="PGN248" s="21"/>
      <c r="PGO248" s="21"/>
      <c r="PGR248" s="21"/>
      <c r="PGS248" s="15"/>
      <c r="PGT248" s="15"/>
      <c r="PGU248" s="15"/>
      <c r="PGV248" s="15"/>
      <c r="PGW248" s="15"/>
      <c r="PGX248" s="15"/>
      <c r="PGY248" s="15"/>
      <c r="PGZ248" s="15"/>
      <c r="PHA248" s="15"/>
      <c r="PHB248" s="15"/>
      <c r="PHC248" s="10"/>
      <c r="PHD248" s="10"/>
      <c r="PHE248" s="21"/>
      <c r="PHF248" s="21"/>
      <c r="PHI248" s="21"/>
      <c r="PHJ248" s="15"/>
      <c r="PHK248" s="15"/>
      <c r="PHL248" s="15"/>
      <c r="PHM248" s="15"/>
      <c r="PHN248" s="15"/>
      <c r="PHO248" s="15"/>
      <c r="PHP248" s="15"/>
      <c r="PHQ248" s="15"/>
      <c r="PHR248" s="15"/>
      <c r="PHS248" s="15"/>
      <c r="PHT248" s="10"/>
      <c r="PHU248" s="10"/>
      <c r="PHV248" s="21"/>
      <c r="PHW248" s="21"/>
      <c r="PHZ248" s="21"/>
      <c r="PIA248" s="15"/>
      <c r="PIB248" s="15"/>
      <c r="PIC248" s="15"/>
      <c r="PID248" s="15"/>
      <c r="PIE248" s="15"/>
      <c r="PIF248" s="15"/>
      <c r="PIG248" s="15"/>
      <c r="PIH248" s="15"/>
      <c r="PII248" s="15"/>
      <c r="PIJ248" s="15"/>
      <c r="PIK248" s="10"/>
      <c r="PIL248" s="10"/>
      <c r="PIM248" s="21"/>
      <c r="PIN248" s="21"/>
      <c r="PIQ248" s="21"/>
      <c r="PIR248" s="15"/>
      <c r="PIS248" s="15"/>
      <c r="PIT248" s="15"/>
      <c r="PIU248" s="15"/>
      <c r="PIV248" s="15"/>
      <c r="PIW248" s="15"/>
      <c r="PIX248" s="15"/>
      <c r="PIY248" s="15"/>
      <c r="PIZ248" s="15"/>
      <c r="PJA248" s="15"/>
      <c r="PJB248" s="10"/>
      <c r="PJC248" s="10"/>
      <c r="PJD248" s="21"/>
      <c r="PJE248" s="21"/>
      <c r="PJH248" s="21"/>
      <c r="PJI248" s="15"/>
      <c r="PJJ248" s="15"/>
      <c r="PJK248" s="15"/>
      <c r="PJL248" s="15"/>
      <c r="PJM248" s="15"/>
      <c r="PJN248" s="15"/>
      <c r="PJO248" s="15"/>
      <c r="PJP248" s="15"/>
      <c r="PJQ248" s="15"/>
      <c r="PJR248" s="15"/>
      <c r="PJS248" s="10"/>
      <c r="PJT248" s="10"/>
      <c r="PJU248" s="21"/>
      <c r="PJV248" s="21"/>
      <c r="PJY248" s="21"/>
      <c r="PJZ248" s="15"/>
      <c r="PKA248" s="15"/>
      <c r="PKB248" s="15"/>
      <c r="PKC248" s="15"/>
      <c r="PKD248" s="15"/>
      <c r="PKE248" s="15"/>
      <c r="PKF248" s="15"/>
      <c r="PKG248" s="15"/>
      <c r="PKH248" s="15"/>
      <c r="PKI248" s="15"/>
      <c r="PKJ248" s="10"/>
      <c r="PKK248" s="10"/>
      <c r="PKL248" s="21"/>
      <c r="PKM248" s="21"/>
      <c r="PKP248" s="21"/>
      <c r="PKQ248" s="15"/>
      <c r="PKR248" s="15"/>
      <c r="PKS248" s="15"/>
      <c r="PKT248" s="15"/>
      <c r="PKU248" s="15"/>
      <c r="PKV248" s="15"/>
      <c r="PKW248" s="15"/>
      <c r="PKX248" s="15"/>
      <c r="PKY248" s="15"/>
      <c r="PKZ248" s="15"/>
      <c r="PLA248" s="10"/>
      <c r="PLB248" s="10"/>
      <c r="PLC248" s="21"/>
      <c r="PLD248" s="21"/>
      <c r="PLG248" s="21"/>
      <c r="PLH248" s="15"/>
      <c r="PLI248" s="15"/>
      <c r="PLJ248" s="15"/>
      <c r="PLK248" s="15"/>
      <c r="PLL248" s="15"/>
      <c r="PLM248" s="15"/>
      <c r="PLN248" s="15"/>
      <c r="PLO248" s="15"/>
      <c r="PLP248" s="15"/>
      <c r="PLQ248" s="15"/>
      <c r="PLR248" s="10"/>
      <c r="PLS248" s="10"/>
      <c r="PLT248" s="21"/>
      <c r="PLU248" s="21"/>
      <c r="PLX248" s="21"/>
      <c r="PLY248" s="15"/>
      <c r="PLZ248" s="15"/>
      <c r="PMA248" s="15"/>
      <c r="PMB248" s="15"/>
      <c r="PMC248" s="15"/>
      <c r="PMD248" s="15"/>
      <c r="PME248" s="15"/>
      <c r="PMF248" s="15"/>
      <c r="PMG248" s="15"/>
      <c r="PMH248" s="15"/>
      <c r="PMI248" s="10"/>
      <c r="PMJ248" s="10"/>
      <c r="PMK248" s="21"/>
      <c r="PML248" s="21"/>
      <c r="PMO248" s="21"/>
      <c r="PMP248" s="15"/>
      <c r="PMQ248" s="15"/>
      <c r="PMR248" s="15"/>
      <c r="PMS248" s="15"/>
      <c r="PMT248" s="15"/>
      <c r="PMU248" s="15"/>
      <c r="PMV248" s="15"/>
      <c r="PMW248" s="15"/>
      <c r="PMX248" s="15"/>
      <c r="PMY248" s="15"/>
      <c r="PMZ248" s="10"/>
      <c r="PNA248" s="10"/>
      <c r="PNB248" s="21"/>
      <c r="PNC248" s="21"/>
      <c r="PNF248" s="21"/>
      <c r="PNG248" s="15"/>
      <c r="PNH248" s="15"/>
      <c r="PNI248" s="15"/>
      <c r="PNJ248" s="15"/>
      <c r="PNK248" s="15"/>
      <c r="PNL248" s="15"/>
      <c r="PNM248" s="15"/>
      <c r="PNN248" s="15"/>
      <c r="PNO248" s="15"/>
      <c r="PNP248" s="15"/>
      <c r="PNQ248" s="10"/>
      <c r="PNR248" s="10"/>
      <c r="PNS248" s="21"/>
      <c r="PNT248" s="21"/>
      <c r="PNW248" s="21"/>
      <c r="PNX248" s="15"/>
      <c r="PNY248" s="15"/>
      <c r="PNZ248" s="15"/>
      <c r="POA248" s="15"/>
      <c r="POB248" s="15"/>
      <c r="POC248" s="15"/>
      <c r="POD248" s="15"/>
      <c r="POE248" s="15"/>
      <c r="POF248" s="15"/>
      <c r="POG248" s="15"/>
      <c r="POH248" s="10"/>
      <c r="POI248" s="10"/>
      <c r="POJ248" s="21"/>
      <c r="POK248" s="21"/>
      <c r="PON248" s="21"/>
      <c r="POO248" s="15"/>
      <c r="POP248" s="15"/>
      <c r="POQ248" s="15"/>
      <c r="POR248" s="15"/>
      <c r="POS248" s="15"/>
      <c r="POT248" s="15"/>
      <c r="POU248" s="15"/>
      <c r="POV248" s="15"/>
      <c r="POW248" s="15"/>
      <c r="POX248" s="15"/>
      <c r="POY248" s="10"/>
      <c r="POZ248" s="10"/>
      <c r="PPA248" s="21"/>
      <c r="PPB248" s="21"/>
      <c r="PPE248" s="21"/>
      <c r="PPF248" s="15"/>
      <c r="PPG248" s="15"/>
      <c r="PPH248" s="15"/>
      <c r="PPI248" s="15"/>
      <c r="PPJ248" s="15"/>
      <c r="PPK248" s="15"/>
      <c r="PPL248" s="15"/>
      <c r="PPM248" s="15"/>
      <c r="PPN248" s="15"/>
      <c r="PPO248" s="15"/>
      <c r="PPP248" s="10"/>
      <c r="PPQ248" s="10"/>
      <c r="PPR248" s="21"/>
      <c r="PPS248" s="21"/>
      <c r="PPV248" s="21"/>
      <c r="PPW248" s="15"/>
      <c r="PPX248" s="15"/>
      <c r="PPY248" s="15"/>
      <c r="PPZ248" s="15"/>
      <c r="PQA248" s="15"/>
      <c r="PQB248" s="15"/>
      <c r="PQC248" s="15"/>
      <c r="PQD248" s="15"/>
      <c r="PQE248" s="15"/>
      <c r="PQF248" s="15"/>
      <c r="PQG248" s="10"/>
      <c r="PQH248" s="10"/>
      <c r="PQI248" s="21"/>
      <c r="PQJ248" s="21"/>
      <c r="PQM248" s="21"/>
      <c r="PQN248" s="15"/>
      <c r="PQO248" s="15"/>
      <c r="PQP248" s="15"/>
      <c r="PQQ248" s="15"/>
      <c r="PQR248" s="15"/>
      <c r="PQS248" s="15"/>
      <c r="PQT248" s="15"/>
      <c r="PQU248" s="15"/>
      <c r="PQV248" s="15"/>
      <c r="PQW248" s="15"/>
      <c r="PQX248" s="10"/>
      <c r="PQY248" s="10"/>
      <c r="PQZ248" s="21"/>
      <c r="PRA248" s="21"/>
      <c r="PRD248" s="21"/>
      <c r="PRE248" s="15"/>
      <c r="PRF248" s="15"/>
      <c r="PRG248" s="15"/>
      <c r="PRH248" s="15"/>
      <c r="PRI248" s="15"/>
      <c r="PRJ248" s="15"/>
      <c r="PRK248" s="15"/>
      <c r="PRL248" s="15"/>
      <c r="PRM248" s="15"/>
      <c r="PRN248" s="15"/>
      <c r="PRO248" s="10"/>
      <c r="PRP248" s="10"/>
      <c r="PRQ248" s="21"/>
      <c r="PRR248" s="21"/>
      <c r="PRU248" s="21"/>
      <c r="PRV248" s="15"/>
      <c r="PRW248" s="15"/>
      <c r="PRX248" s="15"/>
      <c r="PRY248" s="15"/>
      <c r="PRZ248" s="15"/>
      <c r="PSA248" s="15"/>
      <c r="PSB248" s="15"/>
      <c r="PSC248" s="15"/>
      <c r="PSD248" s="15"/>
      <c r="PSE248" s="15"/>
      <c r="PSF248" s="10"/>
      <c r="PSG248" s="10"/>
      <c r="PSH248" s="21"/>
      <c r="PSI248" s="21"/>
      <c r="PSL248" s="21"/>
      <c r="PSM248" s="15"/>
      <c r="PSN248" s="15"/>
      <c r="PSO248" s="15"/>
      <c r="PSP248" s="15"/>
      <c r="PSQ248" s="15"/>
      <c r="PSR248" s="15"/>
      <c r="PSS248" s="15"/>
      <c r="PST248" s="15"/>
      <c r="PSU248" s="15"/>
      <c r="PSV248" s="15"/>
      <c r="PSW248" s="10"/>
      <c r="PSX248" s="10"/>
      <c r="PSY248" s="21"/>
      <c r="PSZ248" s="21"/>
      <c r="PTC248" s="21"/>
      <c r="PTD248" s="15"/>
      <c r="PTE248" s="15"/>
      <c r="PTF248" s="15"/>
      <c r="PTG248" s="15"/>
      <c r="PTH248" s="15"/>
      <c r="PTI248" s="15"/>
      <c r="PTJ248" s="15"/>
      <c r="PTK248" s="15"/>
      <c r="PTL248" s="15"/>
      <c r="PTM248" s="15"/>
      <c r="PTN248" s="10"/>
      <c r="PTO248" s="10"/>
      <c r="PTP248" s="21"/>
      <c r="PTQ248" s="21"/>
      <c r="PTT248" s="21"/>
      <c r="PTU248" s="15"/>
      <c r="PTV248" s="15"/>
      <c r="PTW248" s="15"/>
      <c r="PTX248" s="15"/>
      <c r="PTY248" s="15"/>
      <c r="PTZ248" s="15"/>
      <c r="PUA248" s="15"/>
      <c r="PUB248" s="15"/>
      <c r="PUC248" s="15"/>
      <c r="PUD248" s="15"/>
      <c r="PUE248" s="10"/>
      <c r="PUF248" s="10"/>
      <c r="PUG248" s="21"/>
      <c r="PUH248" s="21"/>
      <c r="PUK248" s="21"/>
      <c r="PUL248" s="15"/>
      <c r="PUM248" s="15"/>
      <c r="PUN248" s="15"/>
      <c r="PUO248" s="15"/>
      <c r="PUP248" s="15"/>
      <c r="PUQ248" s="15"/>
      <c r="PUR248" s="15"/>
      <c r="PUS248" s="15"/>
      <c r="PUT248" s="15"/>
      <c r="PUU248" s="15"/>
      <c r="PUV248" s="10"/>
      <c r="PUW248" s="10"/>
      <c r="PUX248" s="21"/>
      <c r="PUY248" s="21"/>
      <c r="PVB248" s="21"/>
      <c r="PVC248" s="15"/>
      <c r="PVD248" s="15"/>
      <c r="PVE248" s="15"/>
      <c r="PVF248" s="15"/>
      <c r="PVG248" s="15"/>
      <c r="PVH248" s="15"/>
      <c r="PVI248" s="15"/>
      <c r="PVJ248" s="15"/>
      <c r="PVK248" s="15"/>
      <c r="PVL248" s="15"/>
      <c r="PVM248" s="10"/>
      <c r="PVN248" s="10"/>
      <c r="PVO248" s="21"/>
      <c r="PVP248" s="21"/>
      <c r="PVS248" s="21"/>
      <c r="PVT248" s="15"/>
      <c r="PVU248" s="15"/>
      <c r="PVV248" s="15"/>
      <c r="PVW248" s="15"/>
      <c r="PVX248" s="15"/>
      <c r="PVY248" s="15"/>
      <c r="PVZ248" s="15"/>
      <c r="PWA248" s="15"/>
      <c r="PWB248" s="15"/>
      <c r="PWC248" s="15"/>
      <c r="PWD248" s="10"/>
      <c r="PWE248" s="10"/>
      <c r="PWF248" s="21"/>
      <c r="PWG248" s="21"/>
      <c r="PWJ248" s="21"/>
      <c r="PWK248" s="15"/>
      <c r="PWL248" s="15"/>
      <c r="PWM248" s="15"/>
      <c r="PWN248" s="15"/>
      <c r="PWO248" s="15"/>
      <c r="PWP248" s="15"/>
      <c r="PWQ248" s="15"/>
      <c r="PWR248" s="15"/>
      <c r="PWS248" s="15"/>
      <c r="PWT248" s="15"/>
      <c r="PWU248" s="10"/>
      <c r="PWV248" s="10"/>
      <c r="PWW248" s="21"/>
      <c r="PWX248" s="21"/>
      <c r="PXA248" s="21"/>
      <c r="PXB248" s="15"/>
      <c r="PXC248" s="15"/>
      <c r="PXD248" s="15"/>
      <c r="PXE248" s="15"/>
      <c r="PXF248" s="15"/>
      <c r="PXG248" s="15"/>
      <c r="PXH248" s="15"/>
      <c r="PXI248" s="15"/>
      <c r="PXJ248" s="15"/>
      <c r="PXK248" s="15"/>
      <c r="PXL248" s="10"/>
      <c r="PXM248" s="10"/>
      <c r="PXN248" s="21"/>
      <c r="PXO248" s="21"/>
      <c r="PXR248" s="21"/>
      <c r="PXS248" s="15"/>
      <c r="PXT248" s="15"/>
      <c r="PXU248" s="15"/>
      <c r="PXV248" s="15"/>
      <c r="PXW248" s="15"/>
      <c r="PXX248" s="15"/>
      <c r="PXY248" s="15"/>
      <c r="PXZ248" s="15"/>
      <c r="PYA248" s="15"/>
      <c r="PYB248" s="15"/>
      <c r="PYC248" s="10"/>
      <c r="PYD248" s="10"/>
      <c r="PYE248" s="21"/>
      <c r="PYF248" s="21"/>
      <c r="PYI248" s="21"/>
      <c r="PYJ248" s="15"/>
      <c r="PYK248" s="15"/>
      <c r="PYL248" s="15"/>
      <c r="PYM248" s="15"/>
      <c r="PYN248" s="15"/>
      <c r="PYO248" s="15"/>
      <c r="PYP248" s="15"/>
      <c r="PYQ248" s="15"/>
      <c r="PYR248" s="15"/>
      <c r="PYS248" s="15"/>
      <c r="PYT248" s="10"/>
      <c r="PYU248" s="10"/>
      <c r="PYV248" s="21"/>
      <c r="PYW248" s="21"/>
      <c r="PYZ248" s="21"/>
      <c r="PZA248" s="15"/>
      <c r="PZB248" s="15"/>
      <c r="PZC248" s="15"/>
      <c r="PZD248" s="15"/>
      <c r="PZE248" s="15"/>
      <c r="PZF248" s="15"/>
      <c r="PZG248" s="15"/>
      <c r="PZH248" s="15"/>
      <c r="PZI248" s="15"/>
      <c r="PZJ248" s="15"/>
      <c r="PZK248" s="10"/>
      <c r="PZL248" s="10"/>
      <c r="PZM248" s="21"/>
      <c r="PZN248" s="21"/>
      <c r="PZQ248" s="21"/>
      <c r="PZR248" s="15"/>
      <c r="PZS248" s="15"/>
      <c r="PZT248" s="15"/>
      <c r="PZU248" s="15"/>
      <c r="PZV248" s="15"/>
      <c r="PZW248" s="15"/>
      <c r="PZX248" s="15"/>
      <c r="PZY248" s="15"/>
      <c r="PZZ248" s="15"/>
      <c r="QAA248" s="15"/>
      <c r="QAB248" s="10"/>
      <c r="QAC248" s="10"/>
      <c r="QAD248" s="21"/>
      <c r="QAE248" s="21"/>
      <c r="QAH248" s="21"/>
      <c r="QAI248" s="15"/>
      <c r="QAJ248" s="15"/>
      <c r="QAK248" s="15"/>
      <c r="QAL248" s="15"/>
      <c r="QAM248" s="15"/>
      <c r="QAN248" s="15"/>
      <c r="QAO248" s="15"/>
      <c r="QAP248" s="15"/>
      <c r="QAQ248" s="15"/>
      <c r="QAR248" s="15"/>
      <c r="QAS248" s="10"/>
      <c r="QAT248" s="10"/>
      <c r="QAU248" s="21"/>
      <c r="QAV248" s="21"/>
      <c r="QAY248" s="21"/>
      <c r="QAZ248" s="15"/>
      <c r="QBA248" s="15"/>
      <c r="QBB248" s="15"/>
      <c r="QBC248" s="15"/>
      <c r="QBD248" s="15"/>
      <c r="QBE248" s="15"/>
      <c r="QBF248" s="15"/>
      <c r="QBG248" s="15"/>
      <c r="QBH248" s="15"/>
      <c r="QBI248" s="15"/>
      <c r="QBJ248" s="10"/>
      <c r="QBK248" s="10"/>
      <c r="QBL248" s="21"/>
      <c r="QBM248" s="21"/>
      <c r="QBP248" s="21"/>
      <c r="QBQ248" s="15"/>
      <c r="QBR248" s="15"/>
      <c r="QBS248" s="15"/>
      <c r="QBT248" s="15"/>
      <c r="QBU248" s="15"/>
      <c r="QBV248" s="15"/>
      <c r="QBW248" s="15"/>
      <c r="QBX248" s="15"/>
      <c r="QBY248" s="15"/>
      <c r="QBZ248" s="15"/>
      <c r="QCA248" s="10"/>
      <c r="QCB248" s="10"/>
      <c r="QCC248" s="21"/>
      <c r="QCD248" s="21"/>
      <c r="QCG248" s="21"/>
      <c r="QCH248" s="15"/>
      <c r="QCI248" s="15"/>
      <c r="QCJ248" s="15"/>
      <c r="QCK248" s="15"/>
      <c r="QCL248" s="15"/>
      <c r="QCM248" s="15"/>
      <c r="QCN248" s="15"/>
      <c r="QCO248" s="15"/>
      <c r="QCP248" s="15"/>
      <c r="QCQ248" s="15"/>
      <c r="QCR248" s="10"/>
      <c r="QCS248" s="10"/>
      <c r="QCT248" s="21"/>
      <c r="QCU248" s="21"/>
      <c r="QCX248" s="21"/>
      <c r="QCY248" s="15"/>
      <c r="QCZ248" s="15"/>
      <c r="QDA248" s="15"/>
      <c r="QDB248" s="15"/>
      <c r="QDC248" s="15"/>
      <c r="QDD248" s="15"/>
      <c r="QDE248" s="15"/>
      <c r="QDF248" s="15"/>
      <c r="QDG248" s="15"/>
      <c r="QDH248" s="15"/>
      <c r="QDI248" s="10"/>
      <c r="QDJ248" s="10"/>
      <c r="QDK248" s="21"/>
      <c r="QDL248" s="21"/>
      <c r="QDO248" s="21"/>
      <c r="QDP248" s="15"/>
      <c r="QDQ248" s="15"/>
      <c r="QDR248" s="15"/>
      <c r="QDS248" s="15"/>
      <c r="QDT248" s="15"/>
      <c r="QDU248" s="15"/>
      <c r="QDV248" s="15"/>
      <c r="QDW248" s="15"/>
      <c r="QDX248" s="15"/>
      <c r="QDY248" s="15"/>
      <c r="QDZ248" s="10"/>
      <c r="QEA248" s="10"/>
      <c r="QEB248" s="21"/>
      <c r="QEC248" s="21"/>
      <c r="QEF248" s="21"/>
      <c r="QEG248" s="15"/>
      <c r="QEH248" s="15"/>
      <c r="QEI248" s="15"/>
      <c r="QEJ248" s="15"/>
      <c r="QEK248" s="15"/>
      <c r="QEL248" s="15"/>
      <c r="QEM248" s="15"/>
      <c r="QEN248" s="15"/>
      <c r="QEO248" s="15"/>
      <c r="QEP248" s="15"/>
      <c r="QEQ248" s="10"/>
      <c r="QER248" s="10"/>
      <c r="QES248" s="21"/>
      <c r="QET248" s="21"/>
      <c r="QEW248" s="21"/>
      <c r="QEX248" s="15"/>
      <c r="QEY248" s="15"/>
      <c r="QEZ248" s="15"/>
      <c r="QFA248" s="15"/>
      <c r="QFB248" s="15"/>
      <c r="QFC248" s="15"/>
      <c r="QFD248" s="15"/>
      <c r="QFE248" s="15"/>
      <c r="QFF248" s="15"/>
      <c r="QFG248" s="15"/>
      <c r="QFH248" s="10"/>
      <c r="QFI248" s="10"/>
      <c r="QFJ248" s="21"/>
      <c r="QFK248" s="21"/>
      <c r="QFN248" s="21"/>
      <c r="QFO248" s="15"/>
      <c r="QFP248" s="15"/>
      <c r="QFQ248" s="15"/>
      <c r="QFR248" s="15"/>
      <c r="QFS248" s="15"/>
      <c r="QFT248" s="15"/>
      <c r="QFU248" s="15"/>
      <c r="QFV248" s="15"/>
      <c r="QFW248" s="15"/>
      <c r="QFX248" s="15"/>
      <c r="QFY248" s="10"/>
      <c r="QFZ248" s="10"/>
      <c r="QGA248" s="21"/>
      <c r="QGB248" s="21"/>
      <c r="QGE248" s="21"/>
      <c r="QGF248" s="15"/>
      <c r="QGG248" s="15"/>
      <c r="QGH248" s="15"/>
      <c r="QGI248" s="15"/>
      <c r="QGJ248" s="15"/>
      <c r="QGK248" s="15"/>
      <c r="QGL248" s="15"/>
      <c r="QGM248" s="15"/>
      <c r="QGN248" s="15"/>
      <c r="QGO248" s="15"/>
      <c r="QGP248" s="10"/>
      <c r="QGQ248" s="10"/>
      <c r="QGR248" s="21"/>
      <c r="QGS248" s="21"/>
      <c r="QGV248" s="21"/>
      <c r="QGW248" s="15"/>
      <c r="QGX248" s="15"/>
      <c r="QGY248" s="15"/>
      <c r="QGZ248" s="15"/>
      <c r="QHA248" s="15"/>
      <c r="QHB248" s="15"/>
      <c r="QHC248" s="15"/>
      <c r="QHD248" s="15"/>
      <c r="QHE248" s="15"/>
      <c r="QHF248" s="15"/>
      <c r="QHG248" s="10"/>
      <c r="QHH248" s="10"/>
      <c r="QHI248" s="21"/>
      <c r="QHJ248" s="21"/>
      <c r="QHM248" s="21"/>
      <c r="QHN248" s="15"/>
      <c r="QHO248" s="15"/>
      <c r="QHP248" s="15"/>
      <c r="QHQ248" s="15"/>
      <c r="QHR248" s="15"/>
      <c r="QHS248" s="15"/>
      <c r="QHT248" s="15"/>
      <c r="QHU248" s="15"/>
      <c r="QHV248" s="15"/>
      <c r="QHW248" s="15"/>
      <c r="QHX248" s="10"/>
      <c r="QHY248" s="10"/>
      <c r="QHZ248" s="21"/>
      <c r="QIA248" s="21"/>
      <c r="QID248" s="21"/>
      <c r="QIE248" s="15"/>
      <c r="QIF248" s="15"/>
      <c r="QIG248" s="15"/>
      <c r="QIH248" s="15"/>
      <c r="QII248" s="15"/>
      <c r="QIJ248" s="15"/>
      <c r="QIK248" s="15"/>
      <c r="QIL248" s="15"/>
      <c r="QIM248" s="15"/>
      <c r="QIN248" s="15"/>
      <c r="QIO248" s="10"/>
      <c r="QIP248" s="10"/>
      <c r="QIQ248" s="21"/>
      <c r="QIR248" s="21"/>
      <c r="QIU248" s="21"/>
      <c r="QIV248" s="15"/>
      <c r="QIW248" s="15"/>
      <c r="QIX248" s="15"/>
      <c r="QIY248" s="15"/>
      <c r="QIZ248" s="15"/>
      <c r="QJA248" s="15"/>
      <c r="QJB248" s="15"/>
      <c r="QJC248" s="15"/>
      <c r="QJD248" s="15"/>
      <c r="QJE248" s="15"/>
      <c r="QJF248" s="10"/>
      <c r="QJG248" s="10"/>
      <c r="QJH248" s="21"/>
      <c r="QJI248" s="21"/>
      <c r="QJL248" s="21"/>
      <c r="QJM248" s="15"/>
      <c r="QJN248" s="15"/>
      <c r="QJO248" s="15"/>
      <c r="QJP248" s="15"/>
      <c r="QJQ248" s="15"/>
      <c r="QJR248" s="15"/>
      <c r="QJS248" s="15"/>
      <c r="QJT248" s="15"/>
      <c r="QJU248" s="15"/>
      <c r="QJV248" s="15"/>
      <c r="QJW248" s="10"/>
      <c r="QJX248" s="10"/>
      <c r="QJY248" s="21"/>
      <c r="QJZ248" s="21"/>
      <c r="QKC248" s="21"/>
      <c r="QKD248" s="15"/>
      <c r="QKE248" s="15"/>
      <c r="QKF248" s="15"/>
      <c r="QKG248" s="15"/>
      <c r="QKH248" s="15"/>
      <c r="QKI248" s="15"/>
      <c r="QKJ248" s="15"/>
      <c r="QKK248" s="15"/>
      <c r="QKL248" s="15"/>
      <c r="QKM248" s="15"/>
      <c r="QKN248" s="10"/>
      <c r="QKO248" s="10"/>
      <c r="QKP248" s="21"/>
      <c r="QKQ248" s="21"/>
      <c r="QKT248" s="21"/>
      <c r="QKU248" s="15"/>
      <c r="QKV248" s="15"/>
      <c r="QKW248" s="15"/>
      <c r="QKX248" s="15"/>
      <c r="QKY248" s="15"/>
      <c r="QKZ248" s="15"/>
      <c r="QLA248" s="15"/>
      <c r="QLB248" s="15"/>
      <c r="QLC248" s="15"/>
      <c r="QLD248" s="15"/>
      <c r="QLE248" s="10"/>
      <c r="QLF248" s="10"/>
      <c r="QLG248" s="21"/>
      <c r="QLH248" s="21"/>
      <c r="QLK248" s="21"/>
      <c r="QLL248" s="15"/>
      <c r="QLM248" s="15"/>
      <c r="QLN248" s="15"/>
      <c r="QLO248" s="15"/>
      <c r="QLP248" s="15"/>
      <c r="QLQ248" s="15"/>
      <c r="QLR248" s="15"/>
      <c r="QLS248" s="15"/>
      <c r="QLT248" s="15"/>
      <c r="QLU248" s="15"/>
      <c r="QLV248" s="10"/>
      <c r="QLW248" s="10"/>
      <c r="QLX248" s="21"/>
      <c r="QLY248" s="21"/>
      <c r="QMB248" s="21"/>
      <c r="QMC248" s="15"/>
      <c r="QMD248" s="15"/>
      <c r="QME248" s="15"/>
      <c r="QMF248" s="15"/>
      <c r="QMG248" s="15"/>
      <c r="QMH248" s="15"/>
      <c r="QMI248" s="15"/>
      <c r="QMJ248" s="15"/>
      <c r="QMK248" s="15"/>
      <c r="QML248" s="15"/>
      <c r="QMM248" s="10"/>
      <c r="QMN248" s="10"/>
      <c r="QMO248" s="21"/>
      <c r="QMP248" s="21"/>
      <c r="QMS248" s="21"/>
      <c r="QMT248" s="15"/>
      <c r="QMU248" s="15"/>
      <c r="QMV248" s="15"/>
      <c r="QMW248" s="15"/>
      <c r="QMX248" s="15"/>
      <c r="QMY248" s="15"/>
      <c r="QMZ248" s="15"/>
      <c r="QNA248" s="15"/>
      <c r="QNB248" s="15"/>
      <c r="QNC248" s="15"/>
      <c r="QND248" s="10"/>
      <c r="QNE248" s="10"/>
      <c r="QNF248" s="21"/>
      <c r="QNG248" s="21"/>
      <c r="QNJ248" s="21"/>
      <c r="QNK248" s="15"/>
      <c r="QNL248" s="15"/>
      <c r="QNM248" s="15"/>
      <c r="QNN248" s="15"/>
      <c r="QNO248" s="15"/>
      <c r="QNP248" s="15"/>
      <c r="QNQ248" s="15"/>
      <c r="QNR248" s="15"/>
      <c r="QNS248" s="15"/>
      <c r="QNT248" s="15"/>
      <c r="QNU248" s="10"/>
      <c r="QNV248" s="10"/>
      <c r="QNW248" s="21"/>
      <c r="QNX248" s="21"/>
      <c r="QOA248" s="21"/>
      <c r="QOB248" s="15"/>
      <c r="QOC248" s="15"/>
      <c r="QOD248" s="15"/>
      <c r="QOE248" s="15"/>
      <c r="QOF248" s="15"/>
      <c r="QOG248" s="15"/>
      <c r="QOH248" s="15"/>
      <c r="QOI248" s="15"/>
      <c r="QOJ248" s="15"/>
      <c r="QOK248" s="15"/>
      <c r="QOL248" s="10"/>
      <c r="QOM248" s="10"/>
      <c r="QON248" s="21"/>
      <c r="QOO248" s="21"/>
      <c r="QOR248" s="21"/>
      <c r="QOS248" s="15"/>
      <c r="QOT248" s="15"/>
      <c r="QOU248" s="15"/>
      <c r="QOV248" s="15"/>
      <c r="QOW248" s="15"/>
      <c r="QOX248" s="15"/>
      <c r="QOY248" s="15"/>
      <c r="QOZ248" s="15"/>
      <c r="QPA248" s="15"/>
      <c r="QPB248" s="15"/>
      <c r="QPC248" s="10"/>
      <c r="QPD248" s="10"/>
      <c r="QPE248" s="21"/>
      <c r="QPF248" s="21"/>
      <c r="QPI248" s="21"/>
      <c r="QPJ248" s="15"/>
      <c r="QPK248" s="15"/>
      <c r="QPL248" s="15"/>
      <c r="QPM248" s="15"/>
      <c r="QPN248" s="15"/>
      <c r="QPO248" s="15"/>
      <c r="QPP248" s="15"/>
      <c r="QPQ248" s="15"/>
      <c r="QPR248" s="15"/>
      <c r="QPS248" s="15"/>
      <c r="QPT248" s="10"/>
      <c r="QPU248" s="10"/>
      <c r="QPV248" s="21"/>
      <c r="QPW248" s="21"/>
      <c r="QPZ248" s="21"/>
      <c r="QQA248" s="15"/>
      <c r="QQB248" s="15"/>
      <c r="QQC248" s="15"/>
      <c r="QQD248" s="15"/>
      <c r="QQE248" s="15"/>
      <c r="QQF248" s="15"/>
      <c r="QQG248" s="15"/>
      <c r="QQH248" s="15"/>
      <c r="QQI248" s="15"/>
      <c r="QQJ248" s="15"/>
      <c r="QQK248" s="10"/>
      <c r="QQL248" s="10"/>
      <c r="QQM248" s="21"/>
      <c r="QQN248" s="21"/>
      <c r="QQQ248" s="21"/>
      <c r="QQR248" s="15"/>
      <c r="QQS248" s="15"/>
      <c r="QQT248" s="15"/>
      <c r="QQU248" s="15"/>
      <c r="QQV248" s="15"/>
      <c r="QQW248" s="15"/>
      <c r="QQX248" s="15"/>
      <c r="QQY248" s="15"/>
      <c r="QQZ248" s="15"/>
      <c r="QRA248" s="15"/>
      <c r="QRB248" s="10"/>
      <c r="QRC248" s="10"/>
      <c r="QRD248" s="21"/>
      <c r="QRE248" s="21"/>
      <c r="QRH248" s="21"/>
      <c r="QRI248" s="15"/>
      <c r="QRJ248" s="15"/>
      <c r="QRK248" s="15"/>
      <c r="QRL248" s="15"/>
      <c r="QRM248" s="15"/>
      <c r="QRN248" s="15"/>
      <c r="QRO248" s="15"/>
      <c r="QRP248" s="15"/>
      <c r="QRQ248" s="15"/>
      <c r="QRR248" s="15"/>
      <c r="QRS248" s="10"/>
      <c r="QRT248" s="10"/>
      <c r="QRU248" s="21"/>
      <c r="QRV248" s="21"/>
      <c r="QRY248" s="21"/>
      <c r="QRZ248" s="15"/>
      <c r="QSA248" s="15"/>
      <c r="QSB248" s="15"/>
      <c r="QSC248" s="15"/>
      <c r="QSD248" s="15"/>
      <c r="QSE248" s="15"/>
      <c r="QSF248" s="15"/>
      <c r="QSG248" s="15"/>
      <c r="QSH248" s="15"/>
      <c r="QSI248" s="15"/>
      <c r="QSJ248" s="10"/>
      <c r="QSK248" s="10"/>
      <c r="QSL248" s="21"/>
      <c r="QSM248" s="21"/>
      <c r="QSP248" s="21"/>
      <c r="QSQ248" s="15"/>
      <c r="QSR248" s="15"/>
      <c r="QSS248" s="15"/>
      <c r="QST248" s="15"/>
      <c r="QSU248" s="15"/>
      <c r="QSV248" s="15"/>
      <c r="QSW248" s="15"/>
      <c r="QSX248" s="15"/>
      <c r="QSY248" s="15"/>
      <c r="QSZ248" s="15"/>
      <c r="QTA248" s="10"/>
      <c r="QTB248" s="10"/>
      <c r="QTC248" s="21"/>
      <c r="QTD248" s="21"/>
      <c r="QTG248" s="21"/>
      <c r="QTH248" s="15"/>
      <c r="QTI248" s="15"/>
      <c r="QTJ248" s="15"/>
      <c r="QTK248" s="15"/>
      <c r="QTL248" s="15"/>
      <c r="QTM248" s="15"/>
      <c r="QTN248" s="15"/>
      <c r="QTO248" s="15"/>
      <c r="QTP248" s="15"/>
      <c r="QTQ248" s="15"/>
      <c r="QTR248" s="10"/>
      <c r="QTS248" s="10"/>
      <c r="QTT248" s="21"/>
      <c r="QTU248" s="21"/>
      <c r="QTX248" s="21"/>
      <c r="QTY248" s="15"/>
      <c r="QTZ248" s="15"/>
      <c r="QUA248" s="15"/>
      <c r="QUB248" s="15"/>
      <c r="QUC248" s="15"/>
      <c r="QUD248" s="15"/>
      <c r="QUE248" s="15"/>
      <c r="QUF248" s="15"/>
      <c r="QUG248" s="15"/>
      <c r="QUH248" s="15"/>
      <c r="QUI248" s="10"/>
      <c r="QUJ248" s="10"/>
      <c r="QUK248" s="21"/>
      <c r="QUL248" s="21"/>
      <c r="QUO248" s="21"/>
      <c r="QUP248" s="15"/>
      <c r="QUQ248" s="15"/>
      <c r="QUR248" s="15"/>
      <c r="QUS248" s="15"/>
      <c r="QUT248" s="15"/>
      <c r="QUU248" s="15"/>
      <c r="QUV248" s="15"/>
      <c r="QUW248" s="15"/>
      <c r="QUX248" s="15"/>
      <c r="QUY248" s="15"/>
      <c r="QUZ248" s="10"/>
      <c r="QVA248" s="10"/>
      <c r="QVB248" s="21"/>
      <c r="QVC248" s="21"/>
      <c r="QVF248" s="21"/>
      <c r="QVG248" s="15"/>
      <c r="QVH248" s="15"/>
      <c r="QVI248" s="15"/>
      <c r="QVJ248" s="15"/>
      <c r="QVK248" s="15"/>
      <c r="QVL248" s="15"/>
      <c r="QVM248" s="15"/>
      <c r="QVN248" s="15"/>
      <c r="QVO248" s="15"/>
      <c r="QVP248" s="15"/>
      <c r="QVQ248" s="10"/>
      <c r="QVR248" s="10"/>
      <c r="QVS248" s="21"/>
      <c r="QVT248" s="21"/>
      <c r="QVW248" s="21"/>
      <c r="QVX248" s="15"/>
      <c r="QVY248" s="15"/>
      <c r="QVZ248" s="15"/>
      <c r="QWA248" s="15"/>
      <c r="QWB248" s="15"/>
      <c r="QWC248" s="15"/>
      <c r="QWD248" s="15"/>
      <c r="QWE248" s="15"/>
      <c r="QWF248" s="15"/>
      <c r="QWG248" s="15"/>
      <c r="QWH248" s="10"/>
      <c r="QWI248" s="10"/>
      <c r="QWJ248" s="21"/>
      <c r="QWK248" s="21"/>
      <c r="QWN248" s="21"/>
      <c r="QWO248" s="15"/>
      <c r="QWP248" s="15"/>
      <c r="QWQ248" s="15"/>
      <c r="QWR248" s="15"/>
      <c r="QWS248" s="15"/>
      <c r="QWT248" s="15"/>
      <c r="QWU248" s="15"/>
      <c r="QWV248" s="15"/>
      <c r="QWW248" s="15"/>
      <c r="QWX248" s="15"/>
      <c r="QWY248" s="10"/>
      <c r="QWZ248" s="10"/>
      <c r="QXA248" s="21"/>
      <c r="QXB248" s="21"/>
      <c r="QXE248" s="21"/>
      <c r="QXF248" s="15"/>
      <c r="QXG248" s="15"/>
      <c r="QXH248" s="15"/>
      <c r="QXI248" s="15"/>
      <c r="QXJ248" s="15"/>
      <c r="QXK248" s="15"/>
      <c r="QXL248" s="15"/>
      <c r="QXM248" s="15"/>
      <c r="QXN248" s="15"/>
      <c r="QXO248" s="15"/>
      <c r="QXP248" s="10"/>
      <c r="QXQ248" s="10"/>
      <c r="QXR248" s="21"/>
      <c r="QXS248" s="21"/>
      <c r="QXV248" s="21"/>
      <c r="QXW248" s="15"/>
      <c r="QXX248" s="15"/>
      <c r="QXY248" s="15"/>
      <c r="QXZ248" s="15"/>
      <c r="QYA248" s="15"/>
      <c r="QYB248" s="15"/>
      <c r="QYC248" s="15"/>
      <c r="QYD248" s="15"/>
      <c r="QYE248" s="15"/>
      <c r="QYF248" s="15"/>
      <c r="QYG248" s="10"/>
      <c r="QYH248" s="10"/>
      <c r="QYI248" s="21"/>
      <c r="QYJ248" s="21"/>
      <c r="QYM248" s="21"/>
      <c r="QYN248" s="15"/>
      <c r="QYO248" s="15"/>
      <c r="QYP248" s="15"/>
      <c r="QYQ248" s="15"/>
      <c r="QYR248" s="15"/>
      <c r="QYS248" s="15"/>
      <c r="QYT248" s="15"/>
      <c r="QYU248" s="15"/>
      <c r="QYV248" s="15"/>
      <c r="QYW248" s="15"/>
      <c r="QYX248" s="10"/>
      <c r="QYY248" s="10"/>
      <c r="QYZ248" s="21"/>
      <c r="QZA248" s="21"/>
      <c r="QZD248" s="21"/>
      <c r="QZE248" s="15"/>
      <c r="QZF248" s="15"/>
      <c r="QZG248" s="15"/>
      <c r="QZH248" s="15"/>
      <c r="QZI248" s="15"/>
      <c r="QZJ248" s="15"/>
      <c r="QZK248" s="15"/>
      <c r="QZL248" s="15"/>
      <c r="QZM248" s="15"/>
      <c r="QZN248" s="15"/>
      <c r="QZO248" s="10"/>
      <c r="QZP248" s="10"/>
      <c r="QZQ248" s="21"/>
      <c r="QZR248" s="21"/>
      <c r="QZU248" s="21"/>
      <c r="QZV248" s="15"/>
      <c r="QZW248" s="15"/>
      <c r="QZX248" s="15"/>
      <c r="QZY248" s="15"/>
      <c r="QZZ248" s="15"/>
      <c r="RAA248" s="15"/>
      <c r="RAB248" s="15"/>
      <c r="RAC248" s="15"/>
      <c r="RAD248" s="15"/>
      <c r="RAE248" s="15"/>
      <c r="RAF248" s="10"/>
      <c r="RAG248" s="10"/>
      <c r="RAH248" s="21"/>
      <c r="RAI248" s="21"/>
      <c r="RAL248" s="21"/>
      <c r="RAM248" s="15"/>
      <c r="RAN248" s="15"/>
      <c r="RAO248" s="15"/>
      <c r="RAP248" s="15"/>
      <c r="RAQ248" s="15"/>
      <c r="RAR248" s="15"/>
      <c r="RAS248" s="15"/>
      <c r="RAT248" s="15"/>
      <c r="RAU248" s="15"/>
      <c r="RAV248" s="15"/>
      <c r="RAW248" s="10"/>
      <c r="RAX248" s="10"/>
      <c r="RAY248" s="21"/>
      <c r="RAZ248" s="21"/>
      <c r="RBC248" s="21"/>
      <c r="RBD248" s="15"/>
      <c r="RBE248" s="15"/>
      <c r="RBF248" s="15"/>
      <c r="RBG248" s="15"/>
      <c r="RBH248" s="15"/>
      <c r="RBI248" s="15"/>
      <c r="RBJ248" s="15"/>
      <c r="RBK248" s="15"/>
      <c r="RBL248" s="15"/>
      <c r="RBM248" s="15"/>
      <c r="RBN248" s="10"/>
      <c r="RBO248" s="10"/>
      <c r="RBP248" s="21"/>
      <c r="RBQ248" s="21"/>
      <c r="RBT248" s="21"/>
      <c r="RBU248" s="15"/>
      <c r="RBV248" s="15"/>
      <c r="RBW248" s="15"/>
      <c r="RBX248" s="15"/>
      <c r="RBY248" s="15"/>
      <c r="RBZ248" s="15"/>
      <c r="RCA248" s="15"/>
      <c r="RCB248" s="15"/>
      <c r="RCC248" s="15"/>
      <c r="RCD248" s="15"/>
      <c r="RCE248" s="10"/>
      <c r="RCF248" s="10"/>
      <c r="RCG248" s="21"/>
      <c r="RCH248" s="21"/>
      <c r="RCK248" s="21"/>
      <c r="RCL248" s="15"/>
      <c r="RCM248" s="15"/>
      <c r="RCN248" s="15"/>
      <c r="RCO248" s="15"/>
      <c r="RCP248" s="15"/>
      <c r="RCQ248" s="15"/>
      <c r="RCR248" s="15"/>
      <c r="RCS248" s="15"/>
      <c r="RCT248" s="15"/>
      <c r="RCU248" s="15"/>
      <c r="RCV248" s="10"/>
      <c r="RCW248" s="10"/>
      <c r="RCX248" s="21"/>
      <c r="RCY248" s="21"/>
      <c r="RDB248" s="21"/>
      <c r="RDC248" s="15"/>
      <c r="RDD248" s="15"/>
      <c r="RDE248" s="15"/>
      <c r="RDF248" s="15"/>
      <c r="RDG248" s="15"/>
      <c r="RDH248" s="15"/>
      <c r="RDI248" s="15"/>
      <c r="RDJ248" s="15"/>
      <c r="RDK248" s="15"/>
      <c r="RDL248" s="15"/>
      <c r="RDM248" s="10"/>
      <c r="RDN248" s="10"/>
      <c r="RDO248" s="21"/>
      <c r="RDP248" s="21"/>
      <c r="RDS248" s="21"/>
      <c r="RDT248" s="15"/>
      <c r="RDU248" s="15"/>
      <c r="RDV248" s="15"/>
      <c r="RDW248" s="15"/>
      <c r="RDX248" s="15"/>
      <c r="RDY248" s="15"/>
      <c r="RDZ248" s="15"/>
      <c r="REA248" s="15"/>
      <c r="REB248" s="15"/>
      <c r="REC248" s="15"/>
      <c r="RED248" s="10"/>
      <c r="REE248" s="10"/>
      <c r="REF248" s="21"/>
      <c r="REG248" s="21"/>
      <c r="REJ248" s="21"/>
      <c r="REK248" s="15"/>
      <c r="REL248" s="15"/>
      <c r="REM248" s="15"/>
      <c r="REN248" s="15"/>
      <c r="REO248" s="15"/>
      <c r="REP248" s="15"/>
      <c r="REQ248" s="15"/>
      <c r="RER248" s="15"/>
      <c r="RES248" s="15"/>
      <c r="RET248" s="15"/>
      <c r="REU248" s="10"/>
      <c r="REV248" s="10"/>
      <c r="REW248" s="21"/>
      <c r="REX248" s="21"/>
      <c r="RFA248" s="21"/>
      <c r="RFB248" s="15"/>
      <c r="RFC248" s="15"/>
      <c r="RFD248" s="15"/>
      <c r="RFE248" s="15"/>
      <c r="RFF248" s="15"/>
      <c r="RFG248" s="15"/>
      <c r="RFH248" s="15"/>
      <c r="RFI248" s="15"/>
      <c r="RFJ248" s="15"/>
      <c r="RFK248" s="15"/>
      <c r="RFL248" s="10"/>
      <c r="RFM248" s="10"/>
      <c r="RFN248" s="21"/>
      <c r="RFO248" s="21"/>
      <c r="RFR248" s="21"/>
      <c r="RFS248" s="15"/>
      <c r="RFT248" s="15"/>
      <c r="RFU248" s="15"/>
      <c r="RFV248" s="15"/>
      <c r="RFW248" s="15"/>
      <c r="RFX248" s="15"/>
      <c r="RFY248" s="15"/>
      <c r="RFZ248" s="15"/>
      <c r="RGA248" s="15"/>
      <c r="RGB248" s="15"/>
      <c r="RGC248" s="10"/>
      <c r="RGD248" s="10"/>
      <c r="RGE248" s="21"/>
      <c r="RGF248" s="21"/>
      <c r="RGI248" s="21"/>
      <c r="RGJ248" s="15"/>
      <c r="RGK248" s="15"/>
      <c r="RGL248" s="15"/>
      <c r="RGM248" s="15"/>
      <c r="RGN248" s="15"/>
      <c r="RGO248" s="15"/>
      <c r="RGP248" s="15"/>
      <c r="RGQ248" s="15"/>
      <c r="RGR248" s="15"/>
      <c r="RGS248" s="15"/>
      <c r="RGT248" s="10"/>
      <c r="RGU248" s="10"/>
      <c r="RGV248" s="21"/>
      <c r="RGW248" s="21"/>
      <c r="RGZ248" s="21"/>
      <c r="RHA248" s="15"/>
      <c r="RHB248" s="15"/>
      <c r="RHC248" s="15"/>
      <c r="RHD248" s="15"/>
      <c r="RHE248" s="15"/>
      <c r="RHF248" s="15"/>
      <c r="RHG248" s="15"/>
      <c r="RHH248" s="15"/>
      <c r="RHI248" s="15"/>
      <c r="RHJ248" s="15"/>
      <c r="RHK248" s="10"/>
      <c r="RHL248" s="10"/>
      <c r="RHM248" s="21"/>
      <c r="RHN248" s="21"/>
      <c r="RHQ248" s="21"/>
      <c r="RHR248" s="15"/>
      <c r="RHS248" s="15"/>
      <c r="RHT248" s="15"/>
      <c r="RHU248" s="15"/>
      <c r="RHV248" s="15"/>
      <c r="RHW248" s="15"/>
      <c r="RHX248" s="15"/>
      <c r="RHY248" s="15"/>
      <c r="RHZ248" s="15"/>
      <c r="RIA248" s="15"/>
      <c r="RIB248" s="10"/>
      <c r="RIC248" s="10"/>
      <c r="RID248" s="21"/>
      <c r="RIE248" s="21"/>
      <c r="RIH248" s="21"/>
      <c r="RII248" s="15"/>
      <c r="RIJ248" s="15"/>
      <c r="RIK248" s="15"/>
      <c r="RIL248" s="15"/>
      <c r="RIM248" s="15"/>
      <c r="RIN248" s="15"/>
      <c r="RIO248" s="15"/>
      <c r="RIP248" s="15"/>
      <c r="RIQ248" s="15"/>
      <c r="RIR248" s="15"/>
      <c r="RIS248" s="10"/>
      <c r="RIT248" s="10"/>
      <c r="RIU248" s="21"/>
      <c r="RIV248" s="21"/>
      <c r="RIY248" s="21"/>
      <c r="RIZ248" s="15"/>
      <c r="RJA248" s="15"/>
      <c r="RJB248" s="15"/>
      <c r="RJC248" s="15"/>
      <c r="RJD248" s="15"/>
      <c r="RJE248" s="15"/>
      <c r="RJF248" s="15"/>
      <c r="RJG248" s="15"/>
      <c r="RJH248" s="15"/>
      <c r="RJI248" s="15"/>
      <c r="RJJ248" s="10"/>
      <c r="RJK248" s="10"/>
      <c r="RJL248" s="21"/>
      <c r="RJM248" s="21"/>
      <c r="RJP248" s="21"/>
      <c r="RJQ248" s="15"/>
      <c r="RJR248" s="15"/>
      <c r="RJS248" s="15"/>
      <c r="RJT248" s="15"/>
      <c r="RJU248" s="15"/>
      <c r="RJV248" s="15"/>
      <c r="RJW248" s="15"/>
      <c r="RJX248" s="15"/>
      <c r="RJY248" s="15"/>
      <c r="RJZ248" s="15"/>
      <c r="RKA248" s="10"/>
      <c r="RKB248" s="10"/>
      <c r="RKC248" s="21"/>
      <c r="RKD248" s="21"/>
      <c r="RKG248" s="21"/>
      <c r="RKH248" s="15"/>
      <c r="RKI248" s="15"/>
      <c r="RKJ248" s="15"/>
      <c r="RKK248" s="15"/>
      <c r="RKL248" s="15"/>
      <c r="RKM248" s="15"/>
      <c r="RKN248" s="15"/>
      <c r="RKO248" s="15"/>
      <c r="RKP248" s="15"/>
      <c r="RKQ248" s="15"/>
      <c r="RKR248" s="10"/>
      <c r="RKS248" s="10"/>
      <c r="RKT248" s="21"/>
      <c r="RKU248" s="21"/>
      <c r="RKX248" s="21"/>
      <c r="RKY248" s="15"/>
      <c r="RKZ248" s="15"/>
      <c r="RLA248" s="15"/>
      <c r="RLB248" s="15"/>
      <c r="RLC248" s="15"/>
      <c r="RLD248" s="15"/>
      <c r="RLE248" s="15"/>
      <c r="RLF248" s="15"/>
      <c r="RLG248" s="15"/>
      <c r="RLH248" s="15"/>
      <c r="RLI248" s="10"/>
      <c r="RLJ248" s="10"/>
      <c r="RLK248" s="21"/>
      <c r="RLL248" s="21"/>
      <c r="RLO248" s="21"/>
      <c r="RLP248" s="15"/>
      <c r="RLQ248" s="15"/>
      <c r="RLR248" s="15"/>
      <c r="RLS248" s="15"/>
      <c r="RLT248" s="15"/>
      <c r="RLU248" s="15"/>
      <c r="RLV248" s="15"/>
      <c r="RLW248" s="15"/>
      <c r="RLX248" s="15"/>
      <c r="RLY248" s="15"/>
      <c r="RLZ248" s="10"/>
      <c r="RMA248" s="10"/>
      <c r="RMB248" s="21"/>
      <c r="RMC248" s="21"/>
      <c r="RMF248" s="21"/>
      <c r="RMG248" s="15"/>
      <c r="RMH248" s="15"/>
      <c r="RMI248" s="15"/>
      <c r="RMJ248" s="15"/>
      <c r="RMK248" s="15"/>
      <c r="RML248" s="15"/>
      <c r="RMM248" s="15"/>
      <c r="RMN248" s="15"/>
      <c r="RMO248" s="15"/>
      <c r="RMP248" s="15"/>
      <c r="RMQ248" s="10"/>
      <c r="RMR248" s="10"/>
      <c r="RMS248" s="21"/>
      <c r="RMT248" s="21"/>
      <c r="RMW248" s="21"/>
      <c r="RMX248" s="15"/>
      <c r="RMY248" s="15"/>
      <c r="RMZ248" s="15"/>
      <c r="RNA248" s="15"/>
      <c r="RNB248" s="15"/>
      <c r="RNC248" s="15"/>
      <c r="RND248" s="15"/>
      <c r="RNE248" s="15"/>
      <c r="RNF248" s="15"/>
      <c r="RNG248" s="15"/>
      <c r="RNH248" s="10"/>
      <c r="RNI248" s="10"/>
      <c r="RNJ248" s="21"/>
      <c r="RNK248" s="21"/>
      <c r="RNN248" s="21"/>
      <c r="RNO248" s="15"/>
      <c r="RNP248" s="15"/>
      <c r="RNQ248" s="15"/>
      <c r="RNR248" s="15"/>
      <c r="RNS248" s="15"/>
      <c r="RNT248" s="15"/>
      <c r="RNU248" s="15"/>
      <c r="RNV248" s="15"/>
      <c r="RNW248" s="15"/>
      <c r="RNX248" s="15"/>
      <c r="RNY248" s="10"/>
      <c r="RNZ248" s="10"/>
      <c r="ROA248" s="21"/>
      <c r="ROB248" s="21"/>
      <c r="ROE248" s="21"/>
      <c r="ROF248" s="15"/>
      <c r="ROG248" s="15"/>
      <c r="ROH248" s="15"/>
      <c r="ROI248" s="15"/>
      <c r="ROJ248" s="15"/>
      <c r="ROK248" s="15"/>
      <c r="ROL248" s="15"/>
      <c r="ROM248" s="15"/>
      <c r="RON248" s="15"/>
      <c r="ROO248" s="15"/>
      <c r="ROP248" s="10"/>
      <c r="ROQ248" s="10"/>
      <c r="ROR248" s="21"/>
      <c r="ROS248" s="21"/>
      <c r="ROV248" s="21"/>
      <c r="ROW248" s="15"/>
      <c r="ROX248" s="15"/>
      <c r="ROY248" s="15"/>
      <c r="ROZ248" s="15"/>
      <c r="RPA248" s="15"/>
      <c r="RPB248" s="15"/>
      <c r="RPC248" s="15"/>
      <c r="RPD248" s="15"/>
      <c r="RPE248" s="15"/>
      <c r="RPF248" s="15"/>
      <c r="RPG248" s="10"/>
      <c r="RPH248" s="10"/>
      <c r="RPI248" s="21"/>
      <c r="RPJ248" s="21"/>
      <c r="RPM248" s="21"/>
      <c r="RPN248" s="15"/>
      <c r="RPO248" s="15"/>
      <c r="RPP248" s="15"/>
      <c r="RPQ248" s="15"/>
      <c r="RPR248" s="15"/>
      <c r="RPS248" s="15"/>
      <c r="RPT248" s="15"/>
      <c r="RPU248" s="15"/>
      <c r="RPV248" s="15"/>
      <c r="RPW248" s="15"/>
      <c r="RPX248" s="10"/>
      <c r="RPY248" s="10"/>
      <c r="RPZ248" s="21"/>
      <c r="RQA248" s="21"/>
      <c r="RQD248" s="21"/>
      <c r="RQE248" s="15"/>
      <c r="RQF248" s="15"/>
      <c r="RQG248" s="15"/>
      <c r="RQH248" s="15"/>
      <c r="RQI248" s="15"/>
      <c r="RQJ248" s="15"/>
      <c r="RQK248" s="15"/>
      <c r="RQL248" s="15"/>
      <c r="RQM248" s="15"/>
      <c r="RQN248" s="15"/>
      <c r="RQO248" s="10"/>
      <c r="RQP248" s="10"/>
      <c r="RQQ248" s="21"/>
      <c r="RQR248" s="21"/>
      <c r="RQU248" s="21"/>
      <c r="RQV248" s="15"/>
      <c r="RQW248" s="15"/>
      <c r="RQX248" s="15"/>
      <c r="RQY248" s="15"/>
      <c r="RQZ248" s="15"/>
      <c r="RRA248" s="15"/>
      <c r="RRB248" s="15"/>
      <c r="RRC248" s="15"/>
      <c r="RRD248" s="15"/>
      <c r="RRE248" s="15"/>
      <c r="RRF248" s="10"/>
      <c r="RRG248" s="10"/>
      <c r="RRH248" s="21"/>
      <c r="RRI248" s="21"/>
      <c r="RRL248" s="21"/>
      <c r="RRM248" s="15"/>
      <c r="RRN248" s="15"/>
      <c r="RRO248" s="15"/>
      <c r="RRP248" s="15"/>
      <c r="RRQ248" s="15"/>
      <c r="RRR248" s="15"/>
      <c r="RRS248" s="15"/>
      <c r="RRT248" s="15"/>
      <c r="RRU248" s="15"/>
      <c r="RRV248" s="15"/>
      <c r="RRW248" s="10"/>
      <c r="RRX248" s="10"/>
      <c r="RRY248" s="21"/>
      <c r="RRZ248" s="21"/>
      <c r="RSC248" s="21"/>
      <c r="RSD248" s="15"/>
      <c r="RSE248" s="15"/>
      <c r="RSF248" s="15"/>
      <c r="RSG248" s="15"/>
      <c r="RSH248" s="15"/>
      <c r="RSI248" s="15"/>
      <c r="RSJ248" s="15"/>
      <c r="RSK248" s="15"/>
      <c r="RSL248" s="15"/>
      <c r="RSM248" s="15"/>
      <c r="RSN248" s="10"/>
      <c r="RSO248" s="10"/>
      <c r="RSP248" s="21"/>
      <c r="RSQ248" s="21"/>
      <c r="RST248" s="21"/>
      <c r="RSU248" s="15"/>
      <c r="RSV248" s="15"/>
      <c r="RSW248" s="15"/>
      <c r="RSX248" s="15"/>
      <c r="RSY248" s="15"/>
      <c r="RSZ248" s="15"/>
      <c r="RTA248" s="15"/>
      <c r="RTB248" s="15"/>
      <c r="RTC248" s="15"/>
      <c r="RTD248" s="15"/>
      <c r="RTE248" s="10"/>
      <c r="RTF248" s="10"/>
      <c r="RTG248" s="21"/>
      <c r="RTH248" s="21"/>
      <c r="RTK248" s="21"/>
      <c r="RTL248" s="15"/>
      <c r="RTM248" s="15"/>
      <c r="RTN248" s="15"/>
      <c r="RTO248" s="15"/>
      <c r="RTP248" s="15"/>
      <c r="RTQ248" s="15"/>
      <c r="RTR248" s="15"/>
      <c r="RTS248" s="15"/>
      <c r="RTT248" s="15"/>
      <c r="RTU248" s="15"/>
      <c r="RTV248" s="10"/>
      <c r="RTW248" s="10"/>
      <c r="RTX248" s="21"/>
      <c r="RTY248" s="21"/>
      <c r="RUB248" s="21"/>
      <c r="RUC248" s="15"/>
      <c r="RUD248" s="15"/>
      <c r="RUE248" s="15"/>
      <c r="RUF248" s="15"/>
      <c r="RUG248" s="15"/>
      <c r="RUH248" s="15"/>
      <c r="RUI248" s="15"/>
      <c r="RUJ248" s="15"/>
      <c r="RUK248" s="15"/>
      <c r="RUL248" s="15"/>
      <c r="RUM248" s="10"/>
      <c r="RUN248" s="10"/>
      <c r="RUO248" s="21"/>
      <c r="RUP248" s="21"/>
      <c r="RUS248" s="21"/>
      <c r="RUT248" s="15"/>
      <c r="RUU248" s="15"/>
      <c r="RUV248" s="15"/>
      <c r="RUW248" s="15"/>
      <c r="RUX248" s="15"/>
      <c r="RUY248" s="15"/>
      <c r="RUZ248" s="15"/>
      <c r="RVA248" s="15"/>
      <c r="RVB248" s="15"/>
      <c r="RVC248" s="15"/>
      <c r="RVD248" s="10"/>
      <c r="RVE248" s="10"/>
      <c r="RVF248" s="21"/>
      <c r="RVG248" s="21"/>
      <c r="RVJ248" s="21"/>
      <c r="RVK248" s="15"/>
      <c r="RVL248" s="15"/>
      <c r="RVM248" s="15"/>
      <c r="RVN248" s="15"/>
      <c r="RVO248" s="15"/>
      <c r="RVP248" s="15"/>
      <c r="RVQ248" s="15"/>
      <c r="RVR248" s="15"/>
      <c r="RVS248" s="15"/>
      <c r="RVT248" s="15"/>
      <c r="RVU248" s="10"/>
      <c r="RVV248" s="10"/>
      <c r="RVW248" s="21"/>
      <c r="RVX248" s="21"/>
      <c r="RWA248" s="21"/>
      <c r="RWB248" s="15"/>
      <c r="RWC248" s="15"/>
      <c r="RWD248" s="15"/>
      <c r="RWE248" s="15"/>
      <c r="RWF248" s="15"/>
      <c r="RWG248" s="15"/>
      <c r="RWH248" s="15"/>
      <c r="RWI248" s="15"/>
      <c r="RWJ248" s="15"/>
      <c r="RWK248" s="15"/>
      <c r="RWL248" s="10"/>
      <c r="RWM248" s="10"/>
      <c r="RWN248" s="21"/>
      <c r="RWO248" s="21"/>
      <c r="RWR248" s="21"/>
      <c r="RWS248" s="15"/>
      <c r="RWT248" s="15"/>
      <c r="RWU248" s="15"/>
      <c r="RWV248" s="15"/>
      <c r="RWW248" s="15"/>
      <c r="RWX248" s="15"/>
      <c r="RWY248" s="15"/>
      <c r="RWZ248" s="15"/>
      <c r="RXA248" s="15"/>
      <c r="RXB248" s="15"/>
      <c r="RXC248" s="10"/>
      <c r="RXD248" s="10"/>
      <c r="RXE248" s="21"/>
      <c r="RXF248" s="21"/>
      <c r="RXI248" s="21"/>
      <c r="RXJ248" s="15"/>
      <c r="RXK248" s="15"/>
      <c r="RXL248" s="15"/>
      <c r="RXM248" s="15"/>
      <c r="RXN248" s="15"/>
      <c r="RXO248" s="15"/>
      <c r="RXP248" s="15"/>
      <c r="RXQ248" s="15"/>
      <c r="RXR248" s="15"/>
      <c r="RXS248" s="15"/>
      <c r="RXT248" s="10"/>
      <c r="RXU248" s="10"/>
      <c r="RXV248" s="21"/>
      <c r="RXW248" s="21"/>
      <c r="RXZ248" s="21"/>
      <c r="RYA248" s="15"/>
      <c r="RYB248" s="15"/>
      <c r="RYC248" s="15"/>
      <c r="RYD248" s="15"/>
      <c r="RYE248" s="15"/>
      <c r="RYF248" s="15"/>
      <c r="RYG248" s="15"/>
      <c r="RYH248" s="15"/>
      <c r="RYI248" s="15"/>
      <c r="RYJ248" s="15"/>
      <c r="RYK248" s="10"/>
      <c r="RYL248" s="10"/>
      <c r="RYM248" s="21"/>
      <c r="RYN248" s="21"/>
      <c r="RYQ248" s="21"/>
      <c r="RYR248" s="15"/>
      <c r="RYS248" s="15"/>
      <c r="RYT248" s="15"/>
      <c r="RYU248" s="15"/>
      <c r="RYV248" s="15"/>
      <c r="RYW248" s="15"/>
      <c r="RYX248" s="15"/>
      <c r="RYY248" s="15"/>
      <c r="RYZ248" s="15"/>
      <c r="RZA248" s="15"/>
      <c r="RZB248" s="10"/>
      <c r="RZC248" s="10"/>
      <c r="RZD248" s="21"/>
      <c r="RZE248" s="21"/>
      <c r="RZH248" s="21"/>
      <c r="RZI248" s="15"/>
      <c r="RZJ248" s="15"/>
      <c r="RZK248" s="15"/>
      <c r="RZL248" s="15"/>
      <c r="RZM248" s="15"/>
      <c r="RZN248" s="15"/>
      <c r="RZO248" s="15"/>
      <c r="RZP248" s="15"/>
      <c r="RZQ248" s="15"/>
      <c r="RZR248" s="15"/>
      <c r="RZS248" s="10"/>
      <c r="RZT248" s="10"/>
      <c r="RZU248" s="21"/>
      <c r="RZV248" s="21"/>
      <c r="RZY248" s="21"/>
      <c r="RZZ248" s="15"/>
      <c r="SAA248" s="15"/>
      <c r="SAB248" s="15"/>
      <c r="SAC248" s="15"/>
      <c r="SAD248" s="15"/>
      <c r="SAE248" s="15"/>
      <c r="SAF248" s="15"/>
      <c r="SAG248" s="15"/>
      <c r="SAH248" s="15"/>
      <c r="SAI248" s="15"/>
      <c r="SAJ248" s="10"/>
      <c r="SAK248" s="10"/>
      <c r="SAL248" s="21"/>
      <c r="SAM248" s="21"/>
      <c r="SAP248" s="21"/>
      <c r="SAQ248" s="15"/>
      <c r="SAR248" s="15"/>
      <c r="SAS248" s="15"/>
      <c r="SAT248" s="15"/>
      <c r="SAU248" s="15"/>
      <c r="SAV248" s="15"/>
      <c r="SAW248" s="15"/>
      <c r="SAX248" s="15"/>
      <c r="SAY248" s="15"/>
      <c r="SAZ248" s="15"/>
      <c r="SBA248" s="10"/>
      <c r="SBB248" s="10"/>
      <c r="SBC248" s="21"/>
      <c r="SBD248" s="21"/>
      <c r="SBG248" s="21"/>
      <c r="SBH248" s="15"/>
      <c r="SBI248" s="15"/>
      <c r="SBJ248" s="15"/>
      <c r="SBK248" s="15"/>
      <c r="SBL248" s="15"/>
      <c r="SBM248" s="15"/>
      <c r="SBN248" s="15"/>
      <c r="SBO248" s="15"/>
      <c r="SBP248" s="15"/>
      <c r="SBQ248" s="15"/>
      <c r="SBR248" s="10"/>
      <c r="SBS248" s="10"/>
      <c r="SBT248" s="21"/>
      <c r="SBU248" s="21"/>
      <c r="SBX248" s="21"/>
      <c r="SBY248" s="15"/>
      <c r="SBZ248" s="15"/>
      <c r="SCA248" s="15"/>
      <c r="SCB248" s="15"/>
      <c r="SCC248" s="15"/>
      <c r="SCD248" s="15"/>
      <c r="SCE248" s="15"/>
      <c r="SCF248" s="15"/>
      <c r="SCG248" s="15"/>
      <c r="SCH248" s="15"/>
      <c r="SCI248" s="10"/>
      <c r="SCJ248" s="10"/>
      <c r="SCK248" s="21"/>
      <c r="SCL248" s="21"/>
      <c r="SCO248" s="21"/>
      <c r="SCP248" s="15"/>
      <c r="SCQ248" s="15"/>
      <c r="SCR248" s="15"/>
      <c r="SCS248" s="15"/>
      <c r="SCT248" s="15"/>
      <c r="SCU248" s="15"/>
      <c r="SCV248" s="15"/>
      <c r="SCW248" s="15"/>
      <c r="SCX248" s="15"/>
      <c r="SCY248" s="15"/>
      <c r="SCZ248" s="10"/>
      <c r="SDA248" s="10"/>
      <c r="SDB248" s="21"/>
      <c r="SDC248" s="21"/>
      <c r="SDF248" s="21"/>
      <c r="SDG248" s="15"/>
      <c r="SDH248" s="15"/>
      <c r="SDI248" s="15"/>
      <c r="SDJ248" s="15"/>
      <c r="SDK248" s="15"/>
      <c r="SDL248" s="15"/>
      <c r="SDM248" s="15"/>
      <c r="SDN248" s="15"/>
      <c r="SDO248" s="15"/>
      <c r="SDP248" s="15"/>
      <c r="SDQ248" s="10"/>
      <c r="SDR248" s="10"/>
      <c r="SDS248" s="21"/>
      <c r="SDT248" s="21"/>
      <c r="SDW248" s="21"/>
      <c r="SDX248" s="15"/>
      <c r="SDY248" s="15"/>
      <c r="SDZ248" s="15"/>
      <c r="SEA248" s="15"/>
      <c r="SEB248" s="15"/>
      <c r="SEC248" s="15"/>
      <c r="SED248" s="15"/>
      <c r="SEE248" s="15"/>
      <c r="SEF248" s="15"/>
      <c r="SEG248" s="15"/>
      <c r="SEH248" s="10"/>
      <c r="SEI248" s="10"/>
      <c r="SEJ248" s="21"/>
      <c r="SEK248" s="21"/>
      <c r="SEN248" s="21"/>
      <c r="SEO248" s="15"/>
      <c r="SEP248" s="15"/>
      <c r="SEQ248" s="15"/>
      <c r="SER248" s="15"/>
      <c r="SES248" s="15"/>
      <c r="SET248" s="15"/>
      <c r="SEU248" s="15"/>
      <c r="SEV248" s="15"/>
      <c r="SEW248" s="15"/>
      <c r="SEX248" s="15"/>
      <c r="SEY248" s="10"/>
      <c r="SEZ248" s="10"/>
      <c r="SFA248" s="21"/>
      <c r="SFB248" s="21"/>
      <c r="SFE248" s="21"/>
      <c r="SFF248" s="15"/>
      <c r="SFG248" s="15"/>
      <c r="SFH248" s="15"/>
      <c r="SFI248" s="15"/>
      <c r="SFJ248" s="15"/>
      <c r="SFK248" s="15"/>
      <c r="SFL248" s="15"/>
      <c r="SFM248" s="15"/>
      <c r="SFN248" s="15"/>
      <c r="SFO248" s="15"/>
      <c r="SFP248" s="10"/>
      <c r="SFQ248" s="10"/>
      <c r="SFR248" s="21"/>
      <c r="SFS248" s="21"/>
      <c r="SFV248" s="21"/>
      <c r="SFW248" s="15"/>
      <c r="SFX248" s="15"/>
      <c r="SFY248" s="15"/>
      <c r="SFZ248" s="15"/>
      <c r="SGA248" s="15"/>
      <c r="SGB248" s="15"/>
      <c r="SGC248" s="15"/>
      <c r="SGD248" s="15"/>
      <c r="SGE248" s="15"/>
      <c r="SGF248" s="15"/>
      <c r="SGG248" s="10"/>
      <c r="SGH248" s="10"/>
      <c r="SGI248" s="21"/>
      <c r="SGJ248" s="21"/>
      <c r="SGM248" s="21"/>
      <c r="SGN248" s="15"/>
      <c r="SGO248" s="15"/>
      <c r="SGP248" s="15"/>
      <c r="SGQ248" s="15"/>
      <c r="SGR248" s="15"/>
      <c r="SGS248" s="15"/>
      <c r="SGT248" s="15"/>
      <c r="SGU248" s="15"/>
      <c r="SGV248" s="15"/>
      <c r="SGW248" s="15"/>
      <c r="SGX248" s="10"/>
      <c r="SGY248" s="10"/>
      <c r="SGZ248" s="21"/>
      <c r="SHA248" s="21"/>
      <c r="SHD248" s="21"/>
      <c r="SHE248" s="15"/>
      <c r="SHF248" s="15"/>
      <c r="SHG248" s="15"/>
      <c r="SHH248" s="15"/>
      <c r="SHI248" s="15"/>
      <c r="SHJ248" s="15"/>
      <c r="SHK248" s="15"/>
      <c r="SHL248" s="15"/>
      <c r="SHM248" s="15"/>
      <c r="SHN248" s="15"/>
      <c r="SHO248" s="10"/>
      <c r="SHP248" s="10"/>
      <c r="SHQ248" s="21"/>
      <c r="SHR248" s="21"/>
      <c r="SHU248" s="21"/>
      <c r="SHV248" s="15"/>
      <c r="SHW248" s="15"/>
      <c r="SHX248" s="15"/>
      <c r="SHY248" s="15"/>
      <c r="SHZ248" s="15"/>
      <c r="SIA248" s="15"/>
      <c r="SIB248" s="15"/>
      <c r="SIC248" s="15"/>
      <c r="SID248" s="15"/>
      <c r="SIE248" s="15"/>
      <c r="SIF248" s="10"/>
      <c r="SIG248" s="10"/>
      <c r="SIH248" s="21"/>
      <c r="SII248" s="21"/>
      <c r="SIL248" s="21"/>
      <c r="SIM248" s="15"/>
      <c r="SIN248" s="15"/>
      <c r="SIO248" s="15"/>
      <c r="SIP248" s="15"/>
      <c r="SIQ248" s="15"/>
      <c r="SIR248" s="15"/>
      <c r="SIS248" s="15"/>
      <c r="SIT248" s="15"/>
      <c r="SIU248" s="15"/>
      <c r="SIV248" s="15"/>
      <c r="SIW248" s="10"/>
      <c r="SIX248" s="10"/>
      <c r="SIY248" s="21"/>
      <c r="SIZ248" s="21"/>
      <c r="SJC248" s="21"/>
      <c r="SJD248" s="15"/>
      <c r="SJE248" s="15"/>
      <c r="SJF248" s="15"/>
      <c r="SJG248" s="15"/>
      <c r="SJH248" s="15"/>
      <c r="SJI248" s="15"/>
      <c r="SJJ248" s="15"/>
      <c r="SJK248" s="15"/>
      <c r="SJL248" s="15"/>
      <c r="SJM248" s="15"/>
      <c r="SJN248" s="10"/>
      <c r="SJO248" s="10"/>
      <c r="SJP248" s="21"/>
      <c r="SJQ248" s="21"/>
      <c r="SJT248" s="21"/>
      <c r="SJU248" s="15"/>
      <c r="SJV248" s="15"/>
      <c r="SJW248" s="15"/>
      <c r="SJX248" s="15"/>
      <c r="SJY248" s="15"/>
      <c r="SJZ248" s="15"/>
      <c r="SKA248" s="15"/>
      <c r="SKB248" s="15"/>
      <c r="SKC248" s="15"/>
      <c r="SKD248" s="15"/>
      <c r="SKE248" s="10"/>
      <c r="SKF248" s="10"/>
      <c r="SKG248" s="21"/>
      <c r="SKH248" s="21"/>
      <c r="SKK248" s="21"/>
      <c r="SKL248" s="15"/>
      <c r="SKM248" s="15"/>
      <c r="SKN248" s="15"/>
      <c r="SKO248" s="15"/>
      <c r="SKP248" s="15"/>
      <c r="SKQ248" s="15"/>
      <c r="SKR248" s="15"/>
      <c r="SKS248" s="15"/>
      <c r="SKT248" s="15"/>
      <c r="SKU248" s="15"/>
      <c r="SKV248" s="10"/>
      <c r="SKW248" s="10"/>
      <c r="SKX248" s="21"/>
      <c r="SKY248" s="21"/>
      <c r="SLB248" s="21"/>
      <c r="SLC248" s="15"/>
      <c r="SLD248" s="15"/>
      <c r="SLE248" s="15"/>
      <c r="SLF248" s="15"/>
      <c r="SLG248" s="15"/>
      <c r="SLH248" s="15"/>
      <c r="SLI248" s="15"/>
      <c r="SLJ248" s="15"/>
      <c r="SLK248" s="15"/>
      <c r="SLL248" s="15"/>
      <c r="SLM248" s="10"/>
      <c r="SLN248" s="10"/>
      <c r="SLO248" s="21"/>
      <c r="SLP248" s="21"/>
      <c r="SLS248" s="21"/>
      <c r="SLT248" s="15"/>
      <c r="SLU248" s="15"/>
      <c r="SLV248" s="15"/>
      <c r="SLW248" s="15"/>
      <c r="SLX248" s="15"/>
      <c r="SLY248" s="15"/>
      <c r="SLZ248" s="15"/>
      <c r="SMA248" s="15"/>
      <c r="SMB248" s="15"/>
      <c r="SMC248" s="15"/>
      <c r="SMD248" s="10"/>
      <c r="SME248" s="10"/>
      <c r="SMF248" s="21"/>
      <c r="SMG248" s="21"/>
      <c r="SMJ248" s="21"/>
      <c r="SMK248" s="15"/>
      <c r="SML248" s="15"/>
      <c r="SMM248" s="15"/>
      <c r="SMN248" s="15"/>
      <c r="SMO248" s="15"/>
      <c r="SMP248" s="15"/>
      <c r="SMQ248" s="15"/>
      <c r="SMR248" s="15"/>
      <c r="SMS248" s="15"/>
      <c r="SMT248" s="15"/>
      <c r="SMU248" s="10"/>
      <c r="SMV248" s="10"/>
      <c r="SMW248" s="21"/>
      <c r="SMX248" s="21"/>
      <c r="SNA248" s="21"/>
      <c r="SNB248" s="15"/>
      <c r="SNC248" s="15"/>
      <c r="SND248" s="15"/>
      <c r="SNE248" s="15"/>
      <c r="SNF248" s="15"/>
      <c r="SNG248" s="15"/>
      <c r="SNH248" s="15"/>
      <c r="SNI248" s="15"/>
      <c r="SNJ248" s="15"/>
      <c r="SNK248" s="15"/>
      <c r="SNL248" s="10"/>
      <c r="SNM248" s="10"/>
      <c r="SNN248" s="21"/>
      <c r="SNO248" s="21"/>
      <c r="SNR248" s="21"/>
      <c r="SNS248" s="15"/>
      <c r="SNT248" s="15"/>
      <c r="SNU248" s="15"/>
      <c r="SNV248" s="15"/>
      <c r="SNW248" s="15"/>
      <c r="SNX248" s="15"/>
      <c r="SNY248" s="15"/>
      <c r="SNZ248" s="15"/>
      <c r="SOA248" s="15"/>
      <c r="SOB248" s="15"/>
      <c r="SOC248" s="10"/>
      <c r="SOD248" s="10"/>
      <c r="SOE248" s="21"/>
      <c r="SOF248" s="21"/>
      <c r="SOI248" s="21"/>
      <c r="SOJ248" s="15"/>
      <c r="SOK248" s="15"/>
      <c r="SOL248" s="15"/>
      <c r="SOM248" s="15"/>
      <c r="SON248" s="15"/>
      <c r="SOO248" s="15"/>
      <c r="SOP248" s="15"/>
      <c r="SOQ248" s="15"/>
      <c r="SOR248" s="15"/>
      <c r="SOS248" s="15"/>
      <c r="SOT248" s="10"/>
      <c r="SOU248" s="10"/>
      <c r="SOV248" s="21"/>
      <c r="SOW248" s="21"/>
      <c r="SOZ248" s="21"/>
      <c r="SPA248" s="15"/>
      <c r="SPB248" s="15"/>
      <c r="SPC248" s="15"/>
      <c r="SPD248" s="15"/>
      <c r="SPE248" s="15"/>
      <c r="SPF248" s="15"/>
      <c r="SPG248" s="15"/>
      <c r="SPH248" s="15"/>
      <c r="SPI248" s="15"/>
      <c r="SPJ248" s="15"/>
      <c r="SPK248" s="10"/>
      <c r="SPL248" s="10"/>
      <c r="SPM248" s="21"/>
      <c r="SPN248" s="21"/>
      <c r="SPQ248" s="21"/>
      <c r="SPR248" s="15"/>
      <c r="SPS248" s="15"/>
      <c r="SPT248" s="15"/>
      <c r="SPU248" s="15"/>
      <c r="SPV248" s="15"/>
      <c r="SPW248" s="15"/>
      <c r="SPX248" s="15"/>
      <c r="SPY248" s="15"/>
      <c r="SPZ248" s="15"/>
      <c r="SQA248" s="15"/>
      <c r="SQB248" s="10"/>
      <c r="SQC248" s="10"/>
      <c r="SQD248" s="21"/>
      <c r="SQE248" s="21"/>
      <c r="SQH248" s="21"/>
      <c r="SQI248" s="15"/>
      <c r="SQJ248" s="15"/>
      <c r="SQK248" s="15"/>
      <c r="SQL248" s="15"/>
      <c r="SQM248" s="15"/>
      <c r="SQN248" s="15"/>
      <c r="SQO248" s="15"/>
      <c r="SQP248" s="15"/>
      <c r="SQQ248" s="15"/>
      <c r="SQR248" s="15"/>
      <c r="SQS248" s="10"/>
      <c r="SQT248" s="10"/>
      <c r="SQU248" s="21"/>
      <c r="SQV248" s="21"/>
      <c r="SQY248" s="21"/>
      <c r="SQZ248" s="15"/>
      <c r="SRA248" s="15"/>
      <c r="SRB248" s="15"/>
      <c r="SRC248" s="15"/>
      <c r="SRD248" s="15"/>
      <c r="SRE248" s="15"/>
      <c r="SRF248" s="15"/>
      <c r="SRG248" s="15"/>
      <c r="SRH248" s="15"/>
      <c r="SRI248" s="15"/>
      <c r="SRJ248" s="10"/>
      <c r="SRK248" s="10"/>
      <c r="SRL248" s="21"/>
      <c r="SRM248" s="21"/>
      <c r="SRP248" s="21"/>
      <c r="SRQ248" s="15"/>
      <c r="SRR248" s="15"/>
      <c r="SRS248" s="15"/>
      <c r="SRT248" s="15"/>
      <c r="SRU248" s="15"/>
      <c r="SRV248" s="15"/>
      <c r="SRW248" s="15"/>
      <c r="SRX248" s="15"/>
      <c r="SRY248" s="15"/>
      <c r="SRZ248" s="15"/>
      <c r="SSA248" s="10"/>
      <c r="SSB248" s="10"/>
      <c r="SSC248" s="21"/>
      <c r="SSD248" s="21"/>
      <c r="SSG248" s="21"/>
      <c r="SSH248" s="15"/>
      <c r="SSI248" s="15"/>
      <c r="SSJ248" s="15"/>
      <c r="SSK248" s="15"/>
      <c r="SSL248" s="15"/>
      <c r="SSM248" s="15"/>
      <c r="SSN248" s="15"/>
      <c r="SSO248" s="15"/>
      <c r="SSP248" s="15"/>
      <c r="SSQ248" s="15"/>
      <c r="SSR248" s="10"/>
      <c r="SSS248" s="10"/>
      <c r="SST248" s="21"/>
      <c r="SSU248" s="21"/>
      <c r="SSX248" s="21"/>
      <c r="SSY248" s="15"/>
      <c r="SSZ248" s="15"/>
      <c r="STA248" s="15"/>
      <c r="STB248" s="15"/>
      <c r="STC248" s="15"/>
      <c r="STD248" s="15"/>
      <c r="STE248" s="15"/>
      <c r="STF248" s="15"/>
      <c r="STG248" s="15"/>
      <c r="STH248" s="15"/>
      <c r="STI248" s="10"/>
      <c r="STJ248" s="10"/>
      <c r="STK248" s="21"/>
      <c r="STL248" s="21"/>
      <c r="STO248" s="21"/>
      <c r="STP248" s="15"/>
      <c r="STQ248" s="15"/>
      <c r="STR248" s="15"/>
      <c r="STS248" s="15"/>
      <c r="STT248" s="15"/>
      <c r="STU248" s="15"/>
      <c r="STV248" s="15"/>
      <c r="STW248" s="15"/>
      <c r="STX248" s="15"/>
      <c r="STY248" s="15"/>
      <c r="STZ248" s="10"/>
      <c r="SUA248" s="10"/>
      <c r="SUB248" s="21"/>
      <c r="SUC248" s="21"/>
      <c r="SUF248" s="21"/>
      <c r="SUG248" s="15"/>
      <c r="SUH248" s="15"/>
      <c r="SUI248" s="15"/>
      <c r="SUJ248" s="15"/>
      <c r="SUK248" s="15"/>
      <c r="SUL248" s="15"/>
      <c r="SUM248" s="15"/>
      <c r="SUN248" s="15"/>
      <c r="SUO248" s="15"/>
      <c r="SUP248" s="15"/>
      <c r="SUQ248" s="10"/>
      <c r="SUR248" s="10"/>
      <c r="SUS248" s="21"/>
      <c r="SUT248" s="21"/>
      <c r="SUW248" s="21"/>
      <c r="SUX248" s="15"/>
      <c r="SUY248" s="15"/>
      <c r="SUZ248" s="15"/>
      <c r="SVA248" s="15"/>
      <c r="SVB248" s="15"/>
      <c r="SVC248" s="15"/>
      <c r="SVD248" s="15"/>
      <c r="SVE248" s="15"/>
      <c r="SVF248" s="15"/>
      <c r="SVG248" s="15"/>
      <c r="SVH248" s="10"/>
      <c r="SVI248" s="10"/>
      <c r="SVJ248" s="21"/>
      <c r="SVK248" s="21"/>
      <c r="SVN248" s="21"/>
      <c r="SVO248" s="15"/>
      <c r="SVP248" s="15"/>
      <c r="SVQ248" s="15"/>
      <c r="SVR248" s="15"/>
      <c r="SVS248" s="15"/>
      <c r="SVT248" s="15"/>
      <c r="SVU248" s="15"/>
      <c r="SVV248" s="15"/>
      <c r="SVW248" s="15"/>
      <c r="SVX248" s="15"/>
      <c r="SVY248" s="10"/>
      <c r="SVZ248" s="10"/>
      <c r="SWA248" s="21"/>
      <c r="SWB248" s="21"/>
      <c r="SWE248" s="21"/>
      <c r="SWF248" s="15"/>
      <c r="SWG248" s="15"/>
      <c r="SWH248" s="15"/>
      <c r="SWI248" s="15"/>
      <c r="SWJ248" s="15"/>
      <c r="SWK248" s="15"/>
      <c r="SWL248" s="15"/>
      <c r="SWM248" s="15"/>
      <c r="SWN248" s="15"/>
      <c r="SWO248" s="15"/>
      <c r="SWP248" s="10"/>
      <c r="SWQ248" s="10"/>
      <c r="SWR248" s="21"/>
      <c r="SWS248" s="21"/>
      <c r="SWV248" s="21"/>
      <c r="SWW248" s="15"/>
      <c r="SWX248" s="15"/>
      <c r="SWY248" s="15"/>
      <c r="SWZ248" s="15"/>
      <c r="SXA248" s="15"/>
      <c r="SXB248" s="15"/>
      <c r="SXC248" s="15"/>
      <c r="SXD248" s="15"/>
      <c r="SXE248" s="15"/>
      <c r="SXF248" s="15"/>
      <c r="SXG248" s="10"/>
      <c r="SXH248" s="10"/>
      <c r="SXI248" s="21"/>
      <c r="SXJ248" s="21"/>
      <c r="SXM248" s="21"/>
      <c r="SXN248" s="15"/>
      <c r="SXO248" s="15"/>
      <c r="SXP248" s="15"/>
      <c r="SXQ248" s="15"/>
      <c r="SXR248" s="15"/>
      <c r="SXS248" s="15"/>
      <c r="SXT248" s="15"/>
      <c r="SXU248" s="15"/>
      <c r="SXV248" s="15"/>
      <c r="SXW248" s="15"/>
      <c r="SXX248" s="10"/>
      <c r="SXY248" s="10"/>
      <c r="SXZ248" s="21"/>
      <c r="SYA248" s="21"/>
      <c r="SYD248" s="21"/>
      <c r="SYE248" s="15"/>
      <c r="SYF248" s="15"/>
      <c r="SYG248" s="15"/>
      <c r="SYH248" s="15"/>
      <c r="SYI248" s="15"/>
      <c r="SYJ248" s="15"/>
      <c r="SYK248" s="15"/>
      <c r="SYL248" s="15"/>
      <c r="SYM248" s="15"/>
      <c r="SYN248" s="15"/>
      <c r="SYO248" s="10"/>
      <c r="SYP248" s="10"/>
      <c r="SYQ248" s="21"/>
      <c r="SYR248" s="21"/>
      <c r="SYU248" s="21"/>
      <c r="SYV248" s="15"/>
      <c r="SYW248" s="15"/>
      <c r="SYX248" s="15"/>
      <c r="SYY248" s="15"/>
      <c r="SYZ248" s="15"/>
      <c r="SZA248" s="15"/>
      <c r="SZB248" s="15"/>
      <c r="SZC248" s="15"/>
      <c r="SZD248" s="15"/>
      <c r="SZE248" s="15"/>
      <c r="SZF248" s="10"/>
      <c r="SZG248" s="10"/>
      <c r="SZH248" s="21"/>
      <c r="SZI248" s="21"/>
      <c r="SZL248" s="21"/>
      <c r="SZM248" s="15"/>
      <c r="SZN248" s="15"/>
      <c r="SZO248" s="15"/>
      <c r="SZP248" s="15"/>
      <c r="SZQ248" s="15"/>
      <c r="SZR248" s="15"/>
      <c r="SZS248" s="15"/>
      <c r="SZT248" s="15"/>
      <c r="SZU248" s="15"/>
      <c r="SZV248" s="15"/>
      <c r="SZW248" s="10"/>
      <c r="SZX248" s="10"/>
      <c r="SZY248" s="21"/>
      <c r="SZZ248" s="21"/>
      <c r="TAC248" s="21"/>
      <c r="TAD248" s="15"/>
      <c r="TAE248" s="15"/>
      <c r="TAF248" s="15"/>
      <c r="TAG248" s="15"/>
      <c r="TAH248" s="15"/>
      <c r="TAI248" s="15"/>
      <c r="TAJ248" s="15"/>
      <c r="TAK248" s="15"/>
      <c r="TAL248" s="15"/>
      <c r="TAM248" s="15"/>
      <c r="TAN248" s="10"/>
      <c r="TAO248" s="10"/>
      <c r="TAP248" s="21"/>
      <c r="TAQ248" s="21"/>
      <c r="TAT248" s="21"/>
      <c r="TAU248" s="15"/>
      <c r="TAV248" s="15"/>
      <c r="TAW248" s="15"/>
      <c r="TAX248" s="15"/>
      <c r="TAY248" s="15"/>
      <c r="TAZ248" s="15"/>
      <c r="TBA248" s="15"/>
      <c r="TBB248" s="15"/>
      <c r="TBC248" s="15"/>
      <c r="TBD248" s="15"/>
      <c r="TBE248" s="10"/>
      <c r="TBF248" s="10"/>
      <c r="TBG248" s="21"/>
      <c r="TBH248" s="21"/>
      <c r="TBK248" s="21"/>
      <c r="TBL248" s="15"/>
      <c r="TBM248" s="15"/>
      <c r="TBN248" s="15"/>
      <c r="TBO248" s="15"/>
      <c r="TBP248" s="15"/>
      <c r="TBQ248" s="15"/>
      <c r="TBR248" s="15"/>
      <c r="TBS248" s="15"/>
      <c r="TBT248" s="15"/>
      <c r="TBU248" s="15"/>
      <c r="TBV248" s="10"/>
      <c r="TBW248" s="10"/>
      <c r="TBX248" s="21"/>
      <c r="TBY248" s="21"/>
      <c r="TCB248" s="21"/>
      <c r="TCC248" s="15"/>
      <c r="TCD248" s="15"/>
      <c r="TCE248" s="15"/>
      <c r="TCF248" s="15"/>
      <c r="TCG248" s="15"/>
      <c r="TCH248" s="15"/>
      <c r="TCI248" s="15"/>
      <c r="TCJ248" s="15"/>
      <c r="TCK248" s="15"/>
      <c r="TCL248" s="15"/>
      <c r="TCM248" s="10"/>
      <c r="TCN248" s="10"/>
      <c r="TCO248" s="21"/>
      <c r="TCP248" s="21"/>
      <c r="TCS248" s="21"/>
      <c r="TCT248" s="15"/>
      <c r="TCU248" s="15"/>
      <c r="TCV248" s="15"/>
      <c r="TCW248" s="15"/>
      <c r="TCX248" s="15"/>
      <c r="TCY248" s="15"/>
      <c r="TCZ248" s="15"/>
      <c r="TDA248" s="15"/>
      <c r="TDB248" s="15"/>
      <c r="TDC248" s="15"/>
      <c r="TDD248" s="10"/>
      <c r="TDE248" s="10"/>
      <c r="TDF248" s="21"/>
      <c r="TDG248" s="21"/>
      <c r="TDJ248" s="21"/>
      <c r="TDK248" s="15"/>
      <c r="TDL248" s="15"/>
      <c r="TDM248" s="15"/>
      <c r="TDN248" s="15"/>
      <c r="TDO248" s="15"/>
      <c r="TDP248" s="15"/>
      <c r="TDQ248" s="15"/>
      <c r="TDR248" s="15"/>
      <c r="TDS248" s="15"/>
      <c r="TDT248" s="15"/>
      <c r="TDU248" s="10"/>
      <c r="TDV248" s="10"/>
      <c r="TDW248" s="21"/>
      <c r="TDX248" s="21"/>
      <c r="TEA248" s="21"/>
      <c r="TEB248" s="15"/>
      <c r="TEC248" s="15"/>
      <c r="TED248" s="15"/>
      <c r="TEE248" s="15"/>
      <c r="TEF248" s="15"/>
      <c r="TEG248" s="15"/>
      <c r="TEH248" s="15"/>
      <c r="TEI248" s="15"/>
      <c r="TEJ248" s="15"/>
      <c r="TEK248" s="15"/>
      <c r="TEL248" s="10"/>
      <c r="TEM248" s="10"/>
      <c r="TEN248" s="21"/>
      <c r="TEO248" s="21"/>
      <c r="TER248" s="21"/>
      <c r="TES248" s="15"/>
      <c r="TET248" s="15"/>
      <c r="TEU248" s="15"/>
      <c r="TEV248" s="15"/>
      <c r="TEW248" s="15"/>
      <c r="TEX248" s="15"/>
      <c r="TEY248" s="15"/>
      <c r="TEZ248" s="15"/>
      <c r="TFA248" s="15"/>
      <c r="TFB248" s="15"/>
      <c r="TFC248" s="10"/>
      <c r="TFD248" s="10"/>
      <c r="TFE248" s="21"/>
      <c r="TFF248" s="21"/>
      <c r="TFI248" s="21"/>
      <c r="TFJ248" s="15"/>
      <c r="TFK248" s="15"/>
      <c r="TFL248" s="15"/>
      <c r="TFM248" s="15"/>
      <c r="TFN248" s="15"/>
      <c r="TFO248" s="15"/>
      <c r="TFP248" s="15"/>
      <c r="TFQ248" s="15"/>
      <c r="TFR248" s="15"/>
      <c r="TFS248" s="15"/>
      <c r="TFT248" s="10"/>
      <c r="TFU248" s="10"/>
      <c r="TFV248" s="21"/>
      <c r="TFW248" s="21"/>
      <c r="TFZ248" s="21"/>
      <c r="TGA248" s="15"/>
      <c r="TGB248" s="15"/>
      <c r="TGC248" s="15"/>
      <c r="TGD248" s="15"/>
      <c r="TGE248" s="15"/>
      <c r="TGF248" s="15"/>
      <c r="TGG248" s="15"/>
      <c r="TGH248" s="15"/>
      <c r="TGI248" s="15"/>
      <c r="TGJ248" s="15"/>
      <c r="TGK248" s="10"/>
      <c r="TGL248" s="10"/>
      <c r="TGM248" s="21"/>
      <c r="TGN248" s="21"/>
      <c r="TGQ248" s="21"/>
      <c r="TGR248" s="15"/>
      <c r="TGS248" s="15"/>
      <c r="TGT248" s="15"/>
      <c r="TGU248" s="15"/>
      <c r="TGV248" s="15"/>
      <c r="TGW248" s="15"/>
      <c r="TGX248" s="15"/>
      <c r="TGY248" s="15"/>
      <c r="TGZ248" s="15"/>
      <c r="THA248" s="15"/>
      <c r="THB248" s="10"/>
      <c r="THC248" s="10"/>
      <c r="THD248" s="21"/>
      <c r="THE248" s="21"/>
      <c r="THH248" s="21"/>
      <c r="THI248" s="15"/>
      <c r="THJ248" s="15"/>
      <c r="THK248" s="15"/>
      <c r="THL248" s="15"/>
      <c r="THM248" s="15"/>
      <c r="THN248" s="15"/>
      <c r="THO248" s="15"/>
      <c r="THP248" s="15"/>
      <c r="THQ248" s="15"/>
      <c r="THR248" s="15"/>
      <c r="THS248" s="10"/>
      <c r="THT248" s="10"/>
      <c r="THU248" s="21"/>
      <c r="THV248" s="21"/>
      <c r="THY248" s="21"/>
      <c r="THZ248" s="15"/>
      <c r="TIA248" s="15"/>
      <c r="TIB248" s="15"/>
      <c r="TIC248" s="15"/>
      <c r="TID248" s="15"/>
      <c r="TIE248" s="15"/>
      <c r="TIF248" s="15"/>
      <c r="TIG248" s="15"/>
      <c r="TIH248" s="15"/>
      <c r="TII248" s="15"/>
      <c r="TIJ248" s="10"/>
      <c r="TIK248" s="10"/>
      <c r="TIL248" s="21"/>
      <c r="TIM248" s="21"/>
      <c r="TIP248" s="21"/>
      <c r="TIQ248" s="15"/>
      <c r="TIR248" s="15"/>
      <c r="TIS248" s="15"/>
      <c r="TIT248" s="15"/>
      <c r="TIU248" s="15"/>
      <c r="TIV248" s="15"/>
      <c r="TIW248" s="15"/>
      <c r="TIX248" s="15"/>
      <c r="TIY248" s="15"/>
      <c r="TIZ248" s="15"/>
      <c r="TJA248" s="10"/>
      <c r="TJB248" s="10"/>
      <c r="TJC248" s="21"/>
      <c r="TJD248" s="21"/>
      <c r="TJG248" s="21"/>
      <c r="TJH248" s="15"/>
      <c r="TJI248" s="15"/>
      <c r="TJJ248" s="15"/>
      <c r="TJK248" s="15"/>
      <c r="TJL248" s="15"/>
      <c r="TJM248" s="15"/>
      <c r="TJN248" s="15"/>
      <c r="TJO248" s="15"/>
      <c r="TJP248" s="15"/>
      <c r="TJQ248" s="15"/>
      <c r="TJR248" s="10"/>
      <c r="TJS248" s="10"/>
      <c r="TJT248" s="21"/>
      <c r="TJU248" s="21"/>
      <c r="TJX248" s="21"/>
      <c r="TJY248" s="15"/>
      <c r="TJZ248" s="15"/>
      <c r="TKA248" s="15"/>
      <c r="TKB248" s="15"/>
      <c r="TKC248" s="15"/>
      <c r="TKD248" s="15"/>
      <c r="TKE248" s="15"/>
      <c r="TKF248" s="15"/>
      <c r="TKG248" s="15"/>
      <c r="TKH248" s="15"/>
      <c r="TKI248" s="10"/>
      <c r="TKJ248" s="10"/>
      <c r="TKK248" s="21"/>
      <c r="TKL248" s="21"/>
      <c r="TKO248" s="21"/>
      <c r="TKP248" s="15"/>
      <c r="TKQ248" s="15"/>
      <c r="TKR248" s="15"/>
      <c r="TKS248" s="15"/>
      <c r="TKT248" s="15"/>
      <c r="TKU248" s="15"/>
      <c r="TKV248" s="15"/>
      <c r="TKW248" s="15"/>
      <c r="TKX248" s="15"/>
      <c r="TKY248" s="15"/>
      <c r="TKZ248" s="10"/>
      <c r="TLA248" s="10"/>
      <c r="TLB248" s="21"/>
      <c r="TLC248" s="21"/>
      <c r="TLF248" s="21"/>
      <c r="TLG248" s="15"/>
      <c r="TLH248" s="15"/>
      <c r="TLI248" s="15"/>
      <c r="TLJ248" s="15"/>
      <c r="TLK248" s="15"/>
      <c r="TLL248" s="15"/>
      <c r="TLM248" s="15"/>
      <c r="TLN248" s="15"/>
      <c r="TLO248" s="15"/>
      <c r="TLP248" s="15"/>
      <c r="TLQ248" s="10"/>
      <c r="TLR248" s="10"/>
      <c r="TLS248" s="21"/>
      <c r="TLT248" s="21"/>
      <c r="TLW248" s="21"/>
      <c r="TLX248" s="15"/>
      <c r="TLY248" s="15"/>
      <c r="TLZ248" s="15"/>
      <c r="TMA248" s="15"/>
      <c r="TMB248" s="15"/>
      <c r="TMC248" s="15"/>
      <c r="TMD248" s="15"/>
      <c r="TME248" s="15"/>
      <c r="TMF248" s="15"/>
      <c r="TMG248" s="15"/>
      <c r="TMH248" s="10"/>
      <c r="TMI248" s="10"/>
      <c r="TMJ248" s="21"/>
      <c r="TMK248" s="21"/>
      <c r="TMN248" s="21"/>
      <c r="TMO248" s="15"/>
      <c r="TMP248" s="15"/>
      <c r="TMQ248" s="15"/>
      <c r="TMR248" s="15"/>
      <c r="TMS248" s="15"/>
      <c r="TMT248" s="15"/>
      <c r="TMU248" s="15"/>
      <c r="TMV248" s="15"/>
      <c r="TMW248" s="15"/>
      <c r="TMX248" s="15"/>
      <c r="TMY248" s="10"/>
      <c r="TMZ248" s="10"/>
      <c r="TNA248" s="21"/>
      <c r="TNB248" s="21"/>
      <c r="TNE248" s="21"/>
      <c r="TNF248" s="15"/>
      <c r="TNG248" s="15"/>
      <c r="TNH248" s="15"/>
      <c r="TNI248" s="15"/>
      <c r="TNJ248" s="15"/>
      <c r="TNK248" s="15"/>
      <c r="TNL248" s="15"/>
      <c r="TNM248" s="15"/>
      <c r="TNN248" s="15"/>
      <c r="TNO248" s="15"/>
      <c r="TNP248" s="10"/>
      <c r="TNQ248" s="10"/>
      <c r="TNR248" s="21"/>
      <c r="TNS248" s="21"/>
      <c r="TNV248" s="21"/>
      <c r="TNW248" s="15"/>
      <c r="TNX248" s="15"/>
      <c r="TNY248" s="15"/>
      <c r="TNZ248" s="15"/>
      <c r="TOA248" s="15"/>
      <c r="TOB248" s="15"/>
      <c r="TOC248" s="15"/>
      <c r="TOD248" s="15"/>
      <c r="TOE248" s="15"/>
      <c r="TOF248" s="15"/>
      <c r="TOG248" s="10"/>
      <c r="TOH248" s="10"/>
      <c r="TOI248" s="21"/>
      <c r="TOJ248" s="21"/>
      <c r="TOM248" s="21"/>
      <c r="TON248" s="15"/>
      <c r="TOO248" s="15"/>
      <c r="TOP248" s="15"/>
      <c r="TOQ248" s="15"/>
      <c r="TOR248" s="15"/>
      <c r="TOS248" s="15"/>
      <c r="TOT248" s="15"/>
      <c r="TOU248" s="15"/>
      <c r="TOV248" s="15"/>
      <c r="TOW248" s="15"/>
      <c r="TOX248" s="10"/>
      <c r="TOY248" s="10"/>
      <c r="TOZ248" s="21"/>
      <c r="TPA248" s="21"/>
      <c r="TPD248" s="21"/>
      <c r="TPE248" s="15"/>
      <c r="TPF248" s="15"/>
      <c r="TPG248" s="15"/>
      <c r="TPH248" s="15"/>
      <c r="TPI248" s="15"/>
      <c r="TPJ248" s="15"/>
      <c r="TPK248" s="15"/>
      <c r="TPL248" s="15"/>
      <c r="TPM248" s="15"/>
      <c r="TPN248" s="15"/>
      <c r="TPO248" s="10"/>
      <c r="TPP248" s="10"/>
      <c r="TPQ248" s="21"/>
      <c r="TPR248" s="21"/>
      <c r="TPU248" s="21"/>
      <c r="TPV248" s="15"/>
      <c r="TPW248" s="15"/>
      <c r="TPX248" s="15"/>
      <c r="TPY248" s="15"/>
      <c r="TPZ248" s="15"/>
      <c r="TQA248" s="15"/>
      <c r="TQB248" s="15"/>
      <c r="TQC248" s="15"/>
      <c r="TQD248" s="15"/>
      <c r="TQE248" s="15"/>
      <c r="TQF248" s="10"/>
      <c r="TQG248" s="10"/>
      <c r="TQH248" s="21"/>
      <c r="TQI248" s="21"/>
      <c r="TQL248" s="21"/>
      <c r="TQM248" s="15"/>
      <c r="TQN248" s="15"/>
      <c r="TQO248" s="15"/>
      <c r="TQP248" s="15"/>
      <c r="TQQ248" s="15"/>
      <c r="TQR248" s="15"/>
      <c r="TQS248" s="15"/>
      <c r="TQT248" s="15"/>
      <c r="TQU248" s="15"/>
      <c r="TQV248" s="15"/>
      <c r="TQW248" s="10"/>
      <c r="TQX248" s="10"/>
      <c r="TQY248" s="21"/>
      <c r="TQZ248" s="21"/>
      <c r="TRC248" s="21"/>
      <c r="TRD248" s="15"/>
      <c r="TRE248" s="15"/>
      <c r="TRF248" s="15"/>
      <c r="TRG248" s="15"/>
      <c r="TRH248" s="15"/>
      <c r="TRI248" s="15"/>
      <c r="TRJ248" s="15"/>
      <c r="TRK248" s="15"/>
      <c r="TRL248" s="15"/>
      <c r="TRM248" s="15"/>
      <c r="TRN248" s="10"/>
      <c r="TRO248" s="10"/>
      <c r="TRP248" s="21"/>
      <c r="TRQ248" s="21"/>
      <c r="TRT248" s="21"/>
      <c r="TRU248" s="15"/>
      <c r="TRV248" s="15"/>
      <c r="TRW248" s="15"/>
      <c r="TRX248" s="15"/>
      <c r="TRY248" s="15"/>
      <c r="TRZ248" s="15"/>
      <c r="TSA248" s="15"/>
      <c r="TSB248" s="15"/>
      <c r="TSC248" s="15"/>
      <c r="TSD248" s="15"/>
      <c r="TSE248" s="10"/>
      <c r="TSF248" s="10"/>
      <c r="TSG248" s="21"/>
      <c r="TSH248" s="21"/>
      <c r="TSK248" s="21"/>
      <c r="TSL248" s="15"/>
      <c r="TSM248" s="15"/>
      <c r="TSN248" s="15"/>
      <c r="TSO248" s="15"/>
      <c r="TSP248" s="15"/>
      <c r="TSQ248" s="15"/>
      <c r="TSR248" s="15"/>
      <c r="TSS248" s="15"/>
      <c r="TST248" s="15"/>
      <c r="TSU248" s="15"/>
      <c r="TSV248" s="10"/>
      <c r="TSW248" s="10"/>
      <c r="TSX248" s="21"/>
      <c r="TSY248" s="21"/>
      <c r="TTB248" s="21"/>
      <c r="TTC248" s="15"/>
      <c r="TTD248" s="15"/>
      <c r="TTE248" s="15"/>
      <c r="TTF248" s="15"/>
      <c r="TTG248" s="15"/>
      <c r="TTH248" s="15"/>
      <c r="TTI248" s="15"/>
      <c r="TTJ248" s="15"/>
      <c r="TTK248" s="15"/>
      <c r="TTL248" s="15"/>
      <c r="TTM248" s="10"/>
      <c r="TTN248" s="10"/>
      <c r="TTO248" s="21"/>
      <c r="TTP248" s="21"/>
      <c r="TTS248" s="21"/>
      <c r="TTT248" s="15"/>
      <c r="TTU248" s="15"/>
      <c r="TTV248" s="15"/>
      <c r="TTW248" s="15"/>
      <c r="TTX248" s="15"/>
      <c r="TTY248" s="15"/>
      <c r="TTZ248" s="15"/>
      <c r="TUA248" s="15"/>
      <c r="TUB248" s="15"/>
      <c r="TUC248" s="15"/>
      <c r="TUD248" s="10"/>
      <c r="TUE248" s="10"/>
      <c r="TUF248" s="21"/>
      <c r="TUG248" s="21"/>
      <c r="TUJ248" s="21"/>
      <c r="TUK248" s="15"/>
      <c r="TUL248" s="15"/>
      <c r="TUM248" s="15"/>
      <c r="TUN248" s="15"/>
      <c r="TUO248" s="15"/>
      <c r="TUP248" s="15"/>
      <c r="TUQ248" s="15"/>
      <c r="TUR248" s="15"/>
      <c r="TUS248" s="15"/>
      <c r="TUT248" s="15"/>
      <c r="TUU248" s="10"/>
      <c r="TUV248" s="10"/>
      <c r="TUW248" s="21"/>
      <c r="TUX248" s="21"/>
      <c r="TVA248" s="21"/>
      <c r="TVB248" s="15"/>
      <c r="TVC248" s="15"/>
      <c r="TVD248" s="15"/>
      <c r="TVE248" s="15"/>
      <c r="TVF248" s="15"/>
      <c r="TVG248" s="15"/>
      <c r="TVH248" s="15"/>
      <c r="TVI248" s="15"/>
      <c r="TVJ248" s="15"/>
      <c r="TVK248" s="15"/>
      <c r="TVL248" s="10"/>
      <c r="TVM248" s="10"/>
      <c r="TVN248" s="21"/>
      <c r="TVO248" s="21"/>
      <c r="TVR248" s="21"/>
      <c r="TVS248" s="15"/>
      <c r="TVT248" s="15"/>
      <c r="TVU248" s="15"/>
      <c r="TVV248" s="15"/>
      <c r="TVW248" s="15"/>
      <c r="TVX248" s="15"/>
      <c r="TVY248" s="15"/>
      <c r="TVZ248" s="15"/>
      <c r="TWA248" s="15"/>
      <c r="TWB248" s="15"/>
      <c r="TWC248" s="10"/>
      <c r="TWD248" s="10"/>
      <c r="TWE248" s="21"/>
      <c r="TWF248" s="21"/>
      <c r="TWI248" s="21"/>
      <c r="TWJ248" s="15"/>
      <c r="TWK248" s="15"/>
      <c r="TWL248" s="15"/>
      <c r="TWM248" s="15"/>
      <c r="TWN248" s="15"/>
      <c r="TWO248" s="15"/>
      <c r="TWP248" s="15"/>
      <c r="TWQ248" s="15"/>
      <c r="TWR248" s="15"/>
      <c r="TWS248" s="15"/>
      <c r="TWT248" s="10"/>
      <c r="TWU248" s="10"/>
      <c r="TWV248" s="21"/>
      <c r="TWW248" s="21"/>
      <c r="TWZ248" s="21"/>
      <c r="TXA248" s="15"/>
      <c r="TXB248" s="15"/>
      <c r="TXC248" s="15"/>
      <c r="TXD248" s="15"/>
      <c r="TXE248" s="15"/>
      <c r="TXF248" s="15"/>
      <c r="TXG248" s="15"/>
      <c r="TXH248" s="15"/>
      <c r="TXI248" s="15"/>
      <c r="TXJ248" s="15"/>
      <c r="TXK248" s="10"/>
      <c r="TXL248" s="10"/>
      <c r="TXM248" s="21"/>
      <c r="TXN248" s="21"/>
      <c r="TXQ248" s="21"/>
      <c r="TXR248" s="15"/>
      <c r="TXS248" s="15"/>
      <c r="TXT248" s="15"/>
      <c r="TXU248" s="15"/>
      <c r="TXV248" s="15"/>
      <c r="TXW248" s="15"/>
      <c r="TXX248" s="15"/>
      <c r="TXY248" s="15"/>
      <c r="TXZ248" s="15"/>
      <c r="TYA248" s="15"/>
      <c r="TYB248" s="10"/>
      <c r="TYC248" s="10"/>
      <c r="TYD248" s="21"/>
      <c r="TYE248" s="21"/>
      <c r="TYH248" s="21"/>
      <c r="TYI248" s="15"/>
      <c r="TYJ248" s="15"/>
      <c r="TYK248" s="15"/>
      <c r="TYL248" s="15"/>
      <c r="TYM248" s="15"/>
      <c r="TYN248" s="15"/>
      <c r="TYO248" s="15"/>
      <c r="TYP248" s="15"/>
      <c r="TYQ248" s="15"/>
      <c r="TYR248" s="15"/>
      <c r="TYS248" s="10"/>
      <c r="TYT248" s="10"/>
      <c r="TYU248" s="21"/>
      <c r="TYV248" s="21"/>
      <c r="TYY248" s="21"/>
      <c r="TYZ248" s="15"/>
      <c r="TZA248" s="15"/>
      <c r="TZB248" s="15"/>
      <c r="TZC248" s="15"/>
      <c r="TZD248" s="15"/>
      <c r="TZE248" s="15"/>
      <c r="TZF248" s="15"/>
      <c r="TZG248" s="15"/>
      <c r="TZH248" s="15"/>
      <c r="TZI248" s="15"/>
      <c r="TZJ248" s="10"/>
      <c r="TZK248" s="10"/>
      <c r="TZL248" s="21"/>
      <c r="TZM248" s="21"/>
      <c r="TZP248" s="21"/>
      <c r="TZQ248" s="15"/>
      <c r="TZR248" s="15"/>
      <c r="TZS248" s="15"/>
      <c r="TZT248" s="15"/>
      <c r="TZU248" s="15"/>
      <c r="TZV248" s="15"/>
      <c r="TZW248" s="15"/>
      <c r="TZX248" s="15"/>
      <c r="TZY248" s="15"/>
      <c r="TZZ248" s="15"/>
      <c r="UAA248" s="10"/>
      <c r="UAB248" s="10"/>
      <c r="UAC248" s="21"/>
      <c r="UAD248" s="21"/>
      <c r="UAG248" s="21"/>
      <c r="UAH248" s="15"/>
      <c r="UAI248" s="15"/>
      <c r="UAJ248" s="15"/>
      <c r="UAK248" s="15"/>
      <c r="UAL248" s="15"/>
      <c r="UAM248" s="15"/>
      <c r="UAN248" s="15"/>
      <c r="UAO248" s="15"/>
      <c r="UAP248" s="15"/>
      <c r="UAQ248" s="15"/>
      <c r="UAR248" s="10"/>
      <c r="UAS248" s="10"/>
      <c r="UAT248" s="21"/>
      <c r="UAU248" s="21"/>
      <c r="UAX248" s="21"/>
      <c r="UAY248" s="15"/>
      <c r="UAZ248" s="15"/>
      <c r="UBA248" s="15"/>
      <c r="UBB248" s="15"/>
      <c r="UBC248" s="15"/>
      <c r="UBD248" s="15"/>
      <c r="UBE248" s="15"/>
      <c r="UBF248" s="15"/>
      <c r="UBG248" s="15"/>
      <c r="UBH248" s="15"/>
      <c r="UBI248" s="10"/>
      <c r="UBJ248" s="10"/>
      <c r="UBK248" s="21"/>
      <c r="UBL248" s="21"/>
      <c r="UBO248" s="21"/>
      <c r="UBP248" s="15"/>
      <c r="UBQ248" s="15"/>
      <c r="UBR248" s="15"/>
      <c r="UBS248" s="15"/>
      <c r="UBT248" s="15"/>
      <c r="UBU248" s="15"/>
      <c r="UBV248" s="15"/>
      <c r="UBW248" s="15"/>
      <c r="UBX248" s="15"/>
      <c r="UBY248" s="15"/>
      <c r="UBZ248" s="10"/>
      <c r="UCA248" s="10"/>
      <c r="UCB248" s="21"/>
      <c r="UCC248" s="21"/>
      <c r="UCF248" s="21"/>
      <c r="UCG248" s="15"/>
      <c r="UCH248" s="15"/>
      <c r="UCI248" s="15"/>
      <c r="UCJ248" s="15"/>
      <c r="UCK248" s="15"/>
      <c r="UCL248" s="15"/>
      <c r="UCM248" s="15"/>
      <c r="UCN248" s="15"/>
      <c r="UCO248" s="15"/>
      <c r="UCP248" s="15"/>
      <c r="UCQ248" s="10"/>
      <c r="UCR248" s="10"/>
      <c r="UCS248" s="21"/>
      <c r="UCT248" s="21"/>
      <c r="UCW248" s="21"/>
      <c r="UCX248" s="15"/>
      <c r="UCY248" s="15"/>
      <c r="UCZ248" s="15"/>
      <c r="UDA248" s="15"/>
      <c r="UDB248" s="15"/>
      <c r="UDC248" s="15"/>
      <c r="UDD248" s="15"/>
      <c r="UDE248" s="15"/>
      <c r="UDF248" s="15"/>
      <c r="UDG248" s="15"/>
      <c r="UDH248" s="10"/>
      <c r="UDI248" s="10"/>
      <c r="UDJ248" s="21"/>
      <c r="UDK248" s="21"/>
      <c r="UDN248" s="21"/>
      <c r="UDO248" s="15"/>
      <c r="UDP248" s="15"/>
      <c r="UDQ248" s="15"/>
      <c r="UDR248" s="15"/>
      <c r="UDS248" s="15"/>
      <c r="UDT248" s="15"/>
      <c r="UDU248" s="15"/>
      <c r="UDV248" s="15"/>
      <c r="UDW248" s="15"/>
      <c r="UDX248" s="15"/>
      <c r="UDY248" s="10"/>
      <c r="UDZ248" s="10"/>
      <c r="UEA248" s="21"/>
      <c r="UEB248" s="21"/>
      <c r="UEE248" s="21"/>
      <c r="UEF248" s="15"/>
      <c r="UEG248" s="15"/>
      <c r="UEH248" s="15"/>
      <c r="UEI248" s="15"/>
      <c r="UEJ248" s="15"/>
      <c r="UEK248" s="15"/>
      <c r="UEL248" s="15"/>
      <c r="UEM248" s="15"/>
      <c r="UEN248" s="15"/>
      <c r="UEO248" s="15"/>
      <c r="UEP248" s="10"/>
      <c r="UEQ248" s="10"/>
      <c r="UER248" s="21"/>
      <c r="UES248" s="21"/>
      <c r="UEV248" s="21"/>
      <c r="UEW248" s="15"/>
      <c r="UEX248" s="15"/>
      <c r="UEY248" s="15"/>
      <c r="UEZ248" s="15"/>
      <c r="UFA248" s="15"/>
      <c r="UFB248" s="15"/>
      <c r="UFC248" s="15"/>
      <c r="UFD248" s="15"/>
      <c r="UFE248" s="15"/>
      <c r="UFF248" s="15"/>
      <c r="UFG248" s="10"/>
      <c r="UFH248" s="10"/>
      <c r="UFI248" s="21"/>
      <c r="UFJ248" s="21"/>
      <c r="UFM248" s="21"/>
      <c r="UFN248" s="15"/>
      <c r="UFO248" s="15"/>
      <c r="UFP248" s="15"/>
      <c r="UFQ248" s="15"/>
      <c r="UFR248" s="15"/>
      <c r="UFS248" s="15"/>
      <c r="UFT248" s="15"/>
      <c r="UFU248" s="15"/>
      <c r="UFV248" s="15"/>
      <c r="UFW248" s="15"/>
      <c r="UFX248" s="10"/>
      <c r="UFY248" s="10"/>
      <c r="UFZ248" s="21"/>
      <c r="UGA248" s="21"/>
      <c r="UGD248" s="21"/>
      <c r="UGE248" s="15"/>
      <c r="UGF248" s="15"/>
      <c r="UGG248" s="15"/>
      <c r="UGH248" s="15"/>
      <c r="UGI248" s="15"/>
      <c r="UGJ248" s="15"/>
      <c r="UGK248" s="15"/>
      <c r="UGL248" s="15"/>
      <c r="UGM248" s="15"/>
      <c r="UGN248" s="15"/>
      <c r="UGO248" s="10"/>
      <c r="UGP248" s="10"/>
      <c r="UGQ248" s="21"/>
      <c r="UGR248" s="21"/>
      <c r="UGU248" s="21"/>
      <c r="UGV248" s="15"/>
      <c r="UGW248" s="15"/>
      <c r="UGX248" s="15"/>
      <c r="UGY248" s="15"/>
      <c r="UGZ248" s="15"/>
      <c r="UHA248" s="15"/>
      <c r="UHB248" s="15"/>
      <c r="UHC248" s="15"/>
      <c r="UHD248" s="15"/>
      <c r="UHE248" s="15"/>
      <c r="UHF248" s="10"/>
      <c r="UHG248" s="10"/>
      <c r="UHH248" s="21"/>
      <c r="UHI248" s="21"/>
      <c r="UHL248" s="21"/>
      <c r="UHM248" s="15"/>
      <c r="UHN248" s="15"/>
      <c r="UHO248" s="15"/>
      <c r="UHP248" s="15"/>
      <c r="UHQ248" s="15"/>
      <c r="UHR248" s="15"/>
      <c r="UHS248" s="15"/>
      <c r="UHT248" s="15"/>
      <c r="UHU248" s="15"/>
      <c r="UHV248" s="15"/>
      <c r="UHW248" s="10"/>
      <c r="UHX248" s="10"/>
      <c r="UHY248" s="21"/>
      <c r="UHZ248" s="21"/>
      <c r="UIC248" s="21"/>
      <c r="UID248" s="15"/>
      <c r="UIE248" s="15"/>
      <c r="UIF248" s="15"/>
      <c r="UIG248" s="15"/>
      <c r="UIH248" s="15"/>
      <c r="UII248" s="15"/>
      <c r="UIJ248" s="15"/>
      <c r="UIK248" s="15"/>
      <c r="UIL248" s="15"/>
      <c r="UIM248" s="15"/>
      <c r="UIN248" s="10"/>
      <c r="UIO248" s="10"/>
      <c r="UIP248" s="21"/>
      <c r="UIQ248" s="21"/>
      <c r="UIT248" s="21"/>
      <c r="UIU248" s="15"/>
      <c r="UIV248" s="15"/>
      <c r="UIW248" s="15"/>
      <c r="UIX248" s="15"/>
      <c r="UIY248" s="15"/>
      <c r="UIZ248" s="15"/>
      <c r="UJA248" s="15"/>
      <c r="UJB248" s="15"/>
      <c r="UJC248" s="15"/>
      <c r="UJD248" s="15"/>
      <c r="UJE248" s="10"/>
      <c r="UJF248" s="10"/>
      <c r="UJG248" s="21"/>
      <c r="UJH248" s="21"/>
      <c r="UJK248" s="21"/>
      <c r="UJL248" s="15"/>
      <c r="UJM248" s="15"/>
      <c r="UJN248" s="15"/>
      <c r="UJO248" s="15"/>
      <c r="UJP248" s="15"/>
      <c r="UJQ248" s="15"/>
      <c r="UJR248" s="15"/>
      <c r="UJS248" s="15"/>
      <c r="UJT248" s="15"/>
      <c r="UJU248" s="15"/>
      <c r="UJV248" s="10"/>
      <c r="UJW248" s="10"/>
      <c r="UJX248" s="21"/>
      <c r="UJY248" s="21"/>
      <c r="UKB248" s="21"/>
      <c r="UKC248" s="15"/>
      <c r="UKD248" s="15"/>
      <c r="UKE248" s="15"/>
      <c r="UKF248" s="15"/>
      <c r="UKG248" s="15"/>
      <c r="UKH248" s="15"/>
      <c r="UKI248" s="15"/>
      <c r="UKJ248" s="15"/>
      <c r="UKK248" s="15"/>
      <c r="UKL248" s="15"/>
      <c r="UKM248" s="10"/>
      <c r="UKN248" s="10"/>
      <c r="UKO248" s="21"/>
      <c r="UKP248" s="21"/>
      <c r="UKS248" s="21"/>
      <c r="UKT248" s="15"/>
      <c r="UKU248" s="15"/>
      <c r="UKV248" s="15"/>
      <c r="UKW248" s="15"/>
      <c r="UKX248" s="15"/>
      <c r="UKY248" s="15"/>
      <c r="UKZ248" s="15"/>
      <c r="ULA248" s="15"/>
      <c r="ULB248" s="15"/>
      <c r="ULC248" s="15"/>
      <c r="ULD248" s="10"/>
      <c r="ULE248" s="10"/>
      <c r="ULF248" s="21"/>
      <c r="ULG248" s="21"/>
      <c r="ULJ248" s="21"/>
      <c r="ULK248" s="15"/>
      <c r="ULL248" s="15"/>
      <c r="ULM248" s="15"/>
      <c r="ULN248" s="15"/>
      <c r="ULO248" s="15"/>
      <c r="ULP248" s="15"/>
      <c r="ULQ248" s="15"/>
      <c r="ULR248" s="15"/>
      <c r="ULS248" s="15"/>
      <c r="ULT248" s="15"/>
      <c r="ULU248" s="10"/>
      <c r="ULV248" s="10"/>
      <c r="ULW248" s="21"/>
      <c r="ULX248" s="21"/>
      <c r="UMA248" s="21"/>
      <c r="UMB248" s="15"/>
      <c r="UMC248" s="15"/>
      <c r="UMD248" s="15"/>
      <c r="UME248" s="15"/>
      <c r="UMF248" s="15"/>
      <c r="UMG248" s="15"/>
      <c r="UMH248" s="15"/>
      <c r="UMI248" s="15"/>
      <c r="UMJ248" s="15"/>
      <c r="UMK248" s="15"/>
      <c r="UML248" s="10"/>
      <c r="UMM248" s="10"/>
      <c r="UMN248" s="21"/>
      <c r="UMO248" s="21"/>
      <c r="UMR248" s="21"/>
      <c r="UMS248" s="15"/>
      <c r="UMT248" s="15"/>
      <c r="UMU248" s="15"/>
      <c r="UMV248" s="15"/>
      <c r="UMW248" s="15"/>
      <c r="UMX248" s="15"/>
      <c r="UMY248" s="15"/>
      <c r="UMZ248" s="15"/>
      <c r="UNA248" s="15"/>
      <c r="UNB248" s="15"/>
      <c r="UNC248" s="10"/>
      <c r="UND248" s="10"/>
      <c r="UNE248" s="21"/>
      <c r="UNF248" s="21"/>
      <c r="UNI248" s="21"/>
      <c r="UNJ248" s="15"/>
      <c r="UNK248" s="15"/>
      <c r="UNL248" s="15"/>
      <c r="UNM248" s="15"/>
      <c r="UNN248" s="15"/>
      <c r="UNO248" s="15"/>
      <c r="UNP248" s="15"/>
      <c r="UNQ248" s="15"/>
      <c r="UNR248" s="15"/>
      <c r="UNS248" s="15"/>
      <c r="UNT248" s="10"/>
      <c r="UNU248" s="10"/>
      <c r="UNV248" s="21"/>
      <c r="UNW248" s="21"/>
      <c r="UNZ248" s="21"/>
      <c r="UOA248" s="15"/>
      <c r="UOB248" s="15"/>
      <c r="UOC248" s="15"/>
      <c r="UOD248" s="15"/>
      <c r="UOE248" s="15"/>
      <c r="UOF248" s="15"/>
      <c r="UOG248" s="15"/>
      <c r="UOH248" s="15"/>
      <c r="UOI248" s="15"/>
      <c r="UOJ248" s="15"/>
      <c r="UOK248" s="10"/>
      <c r="UOL248" s="10"/>
      <c r="UOM248" s="21"/>
      <c r="UON248" s="21"/>
      <c r="UOQ248" s="21"/>
      <c r="UOR248" s="15"/>
      <c r="UOS248" s="15"/>
      <c r="UOT248" s="15"/>
      <c r="UOU248" s="15"/>
      <c r="UOV248" s="15"/>
      <c r="UOW248" s="15"/>
      <c r="UOX248" s="15"/>
      <c r="UOY248" s="15"/>
      <c r="UOZ248" s="15"/>
      <c r="UPA248" s="15"/>
      <c r="UPB248" s="10"/>
      <c r="UPC248" s="10"/>
      <c r="UPD248" s="21"/>
      <c r="UPE248" s="21"/>
      <c r="UPH248" s="21"/>
      <c r="UPI248" s="15"/>
      <c r="UPJ248" s="15"/>
      <c r="UPK248" s="15"/>
      <c r="UPL248" s="15"/>
      <c r="UPM248" s="15"/>
      <c r="UPN248" s="15"/>
      <c r="UPO248" s="15"/>
      <c r="UPP248" s="15"/>
      <c r="UPQ248" s="15"/>
      <c r="UPR248" s="15"/>
      <c r="UPS248" s="10"/>
      <c r="UPT248" s="10"/>
      <c r="UPU248" s="21"/>
      <c r="UPV248" s="21"/>
      <c r="UPY248" s="21"/>
      <c r="UPZ248" s="15"/>
      <c r="UQA248" s="15"/>
      <c r="UQB248" s="15"/>
      <c r="UQC248" s="15"/>
      <c r="UQD248" s="15"/>
      <c r="UQE248" s="15"/>
      <c r="UQF248" s="15"/>
      <c r="UQG248" s="15"/>
      <c r="UQH248" s="15"/>
      <c r="UQI248" s="15"/>
      <c r="UQJ248" s="10"/>
      <c r="UQK248" s="10"/>
      <c r="UQL248" s="21"/>
      <c r="UQM248" s="21"/>
      <c r="UQP248" s="21"/>
      <c r="UQQ248" s="15"/>
      <c r="UQR248" s="15"/>
      <c r="UQS248" s="15"/>
      <c r="UQT248" s="15"/>
      <c r="UQU248" s="15"/>
      <c r="UQV248" s="15"/>
      <c r="UQW248" s="15"/>
      <c r="UQX248" s="15"/>
      <c r="UQY248" s="15"/>
      <c r="UQZ248" s="15"/>
      <c r="URA248" s="10"/>
      <c r="URB248" s="10"/>
      <c r="URC248" s="21"/>
      <c r="URD248" s="21"/>
      <c r="URG248" s="21"/>
      <c r="URH248" s="15"/>
      <c r="URI248" s="15"/>
      <c r="URJ248" s="15"/>
      <c r="URK248" s="15"/>
      <c r="URL248" s="15"/>
      <c r="URM248" s="15"/>
      <c r="URN248" s="15"/>
      <c r="URO248" s="15"/>
      <c r="URP248" s="15"/>
      <c r="URQ248" s="15"/>
      <c r="URR248" s="10"/>
      <c r="URS248" s="10"/>
      <c r="URT248" s="21"/>
      <c r="URU248" s="21"/>
      <c r="URX248" s="21"/>
      <c r="URY248" s="15"/>
      <c r="URZ248" s="15"/>
      <c r="USA248" s="15"/>
      <c r="USB248" s="15"/>
      <c r="USC248" s="15"/>
      <c r="USD248" s="15"/>
      <c r="USE248" s="15"/>
      <c r="USF248" s="15"/>
      <c r="USG248" s="15"/>
      <c r="USH248" s="15"/>
      <c r="USI248" s="10"/>
      <c r="USJ248" s="10"/>
      <c r="USK248" s="21"/>
      <c r="USL248" s="21"/>
      <c r="USO248" s="21"/>
      <c r="USP248" s="15"/>
      <c r="USQ248" s="15"/>
      <c r="USR248" s="15"/>
      <c r="USS248" s="15"/>
      <c r="UST248" s="15"/>
      <c r="USU248" s="15"/>
      <c r="USV248" s="15"/>
      <c r="USW248" s="15"/>
      <c r="USX248" s="15"/>
      <c r="USY248" s="15"/>
      <c r="USZ248" s="10"/>
      <c r="UTA248" s="10"/>
      <c r="UTB248" s="21"/>
      <c r="UTC248" s="21"/>
      <c r="UTF248" s="21"/>
      <c r="UTG248" s="15"/>
      <c r="UTH248" s="15"/>
      <c r="UTI248" s="15"/>
      <c r="UTJ248" s="15"/>
      <c r="UTK248" s="15"/>
      <c r="UTL248" s="15"/>
      <c r="UTM248" s="15"/>
      <c r="UTN248" s="15"/>
      <c r="UTO248" s="15"/>
      <c r="UTP248" s="15"/>
      <c r="UTQ248" s="10"/>
      <c r="UTR248" s="10"/>
      <c r="UTS248" s="21"/>
      <c r="UTT248" s="21"/>
      <c r="UTW248" s="21"/>
      <c r="UTX248" s="15"/>
      <c r="UTY248" s="15"/>
      <c r="UTZ248" s="15"/>
      <c r="UUA248" s="15"/>
      <c r="UUB248" s="15"/>
      <c r="UUC248" s="15"/>
      <c r="UUD248" s="15"/>
      <c r="UUE248" s="15"/>
      <c r="UUF248" s="15"/>
      <c r="UUG248" s="15"/>
      <c r="UUH248" s="10"/>
      <c r="UUI248" s="10"/>
      <c r="UUJ248" s="21"/>
      <c r="UUK248" s="21"/>
      <c r="UUN248" s="21"/>
      <c r="UUO248" s="15"/>
      <c r="UUP248" s="15"/>
      <c r="UUQ248" s="15"/>
      <c r="UUR248" s="15"/>
      <c r="UUS248" s="15"/>
      <c r="UUT248" s="15"/>
      <c r="UUU248" s="15"/>
      <c r="UUV248" s="15"/>
      <c r="UUW248" s="15"/>
      <c r="UUX248" s="15"/>
      <c r="UUY248" s="10"/>
      <c r="UUZ248" s="10"/>
      <c r="UVA248" s="21"/>
      <c r="UVB248" s="21"/>
      <c r="UVE248" s="21"/>
      <c r="UVF248" s="15"/>
      <c r="UVG248" s="15"/>
      <c r="UVH248" s="15"/>
      <c r="UVI248" s="15"/>
      <c r="UVJ248" s="15"/>
      <c r="UVK248" s="15"/>
      <c r="UVL248" s="15"/>
      <c r="UVM248" s="15"/>
      <c r="UVN248" s="15"/>
      <c r="UVO248" s="15"/>
      <c r="UVP248" s="10"/>
      <c r="UVQ248" s="10"/>
      <c r="UVR248" s="21"/>
      <c r="UVS248" s="21"/>
      <c r="UVV248" s="21"/>
      <c r="UVW248" s="15"/>
      <c r="UVX248" s="15"/>
      <c r="UVY248" s="15"/>
      <c r="UVZ248" s="15"/>
      <c r="UWA248" s="15"/>
      <c r="UWB248" s="15"/>
      <c r="UWC248" s="15"/>
      <c r="UWD248" s="15"/>
      <c r="UWE248" s="15"/>
      <c r="UWF248" s="15"/>
      <c r="UWG248" s="10"/>
      <c r="UWH248" s="10"/>
      <c r="UWI248" s="21"/>
      <c r="UWJ248" s="21"/>
      <c r="UWM248" s="21"/>
      <c r="UWN248" s="15"/>
      <c r="UWO248" s="15"/>
      <c r="UWP248" s="15"/>
      <c r="UWQ248" s="15"/>
      <c r="UWR248" s="15"/>
      <c r="UWS248" s="15"/>
      <c r="UWT248" s="15"/>
      <c r="UWU248" s="15"/>
      <c r="UWV248" s="15"/>
      <c r="UWW248" s="15"/>
      <c r="UWX248" s="10"/>
      <c r="UWY248" s="10"/>
      <c r="UWZ248" s="21"/>
      <c r="UXA248" s="21"/>
      <c r="UXD248" s="21"/>
      <c r="UXE248" s="15"/>
      <c r="UXF248" s="15"/>
      <c r="UXG248" s="15"/>
      <c r="UXH248" s="15"/>
      <c r="UXI248" s="15"/>
      <c r="UXJ248" s="15"/>
      <c r="UXK248" s="15"/>
      <c r="UXL248" s="15"/>
      <c r="UXM248" s="15"/>
      <c r="UXN248" s="15"/>
      <c r="UXO248" s="10"/>
      <c r="UXP248" s="10"/>
      <c r="UXQ248" s="21"/>
      <c r="UXR248" s="21"/>
      <c r="UXU248" s="21"/>
      <c r="UXV248" s="15"/>
      <c r="UXW248" s="15"/>
      <c r="UXX248" s="15"/>
      <c r="UXY248" s="15"/>
      <c r="UXZ248" s="15"/>
      <c r="UYA248" s="15"/>
      <c r="UYB248" s="15"/>
      <c r="UYC248" s="15"/>
      <c r="UYD248" s="15"/>
      <c r="UYE248" s="15"/>
      <c r="UYF248" s="10"/>
      <c r="UYG248" s="10"/>
      <c r="UYH248" s="21"/>
      <c r="UYI248" s="21"/>
      <c r="UYL248" s="21"/>
      <c r="UYM248" s="15"/>
      <c r="UYN248" s="15"/>
      <c r="UYO248" s="15"/>
      <c r="UYP248" s="15"/>
      <c r="UYQ248" s="15"/>
      <c r="UYR248" s="15"/>
      <c r="UYS248" s="15"/>
      <c r="UYT248" s="15"/>
      <c r="UYU248" s="15"/>
      <c r="UYV248" s="15"/>
      <c r="UYW248" s="10"/>
      <c r="UYX248" s="10"/>
      <c r="UYY248" s="21"/>
      <c r="UYZ248" s="21"/>
      <c r="UZC248" s="21"/>
      <c r="UZD248" s="15"/>
      <c r="UZE248" s="15"/>
      <c r="UZF248" s="15"/>
      <c r="UZG248" s="15"/>
      <c r="UZH248" s="15"/>
      <c r="UZI248" s="15"/>
      <c r="UZJ248" s="15"/>
      <c r="UZK248" s="15"/>
      <c r="UZL248" s="15"/>
      <c r="UZM248" s="15"/>
      <c r="UZN248" s="10"/>
      <c r="UZO248" s="10"/>
      <c r="UZP248" s="21"/>
      <c r="UZQ248" s="21"/>
      <c r="UZT248" s="21"/>
      <c r="UZU248" s="15"/>
      <c r="UZV248" s="15"/>
      <c r="UZW248" s="15"/>
      <c r="UZX248" s="15"/>
      <c r="UZY248" s="15"/>
      <c r="UZZ248" s="15"/>
      <c r="VAA248" s="15"/>
      <c r="VAB248" s="15"/>
      <c r="VAC248" s="15"/>
      <c r="VAD248" s="15"/>
      <c r="VAE248" s="10"/>
      <c r="VAF248" s="10"/>
      <c r="VAG248" s="21"/>
      <c r="VAH248" s="21"/>
      <c r="VAK248" s="21"/>
      <c r="VAL248" s="15"/>
      <c r="VAM248" s="15"/>
      <c r="VAN248" s="15"/>
      <c r="VAO248" s="15"/>
      <c r="VAP248" s="15"/>
      <c r="VAQ248" s="15"/>
      <c r="VAR248" s="15"/>
      <c r="VAS248" s="15"/>
      <c r="VAT248" s="15"/>
      <c r="VAU248" s="15"/>
      <c r="VAV248" s="10"/>
      <c r="VAW248" s="10"/>
      <c r="VAX248" s="21"/>
      <c r="VAY248" s="21"/>
      <c r="VBB248" s="21"/>
      <c r="VBC248" s="15"/>
      <c r="VBD248" s="15"/>
      <c r="VBE248" s="15"/>
      <c r="VBF248" s="15"/>
      <c r="VBG248" s="15"/>
      <c r="VBH248" s="15"/>
      <c r="VBI248" s="15"/>
      <c r="VBJ248" s="15"/>
      <c r="VBK248" s="15"/>
      <c r="VBL248" s="15"/>
      <c r="VBM248" s="10"/>
      <c r="VBN248" s="10"/>
      <c r="VBO248" s="21"/>
      <c r="VBP248" s="21"/>
      <c r="VBS248" s="21"/>
      <c r="VBT248" s="15"/>
      <c r="VBU248" s="15"/>
      <c r="VBV248" s="15"/>
      <c r="VBW248" s="15"/>
      <c r="VBX248" s="15"/>
      <c r="VBY248" s="15"/>
      <c r="VBZ248" s="15"/>
      <c r="VCA248" s="15"/>
      <c r="VCB248" s="15"/>
      <c r="VCC248" s="15"/>
      <c r="VCD248" s="10"/>
      <c r="VCE248" s="10"/>
      <c r="VCF248" s="21"/>
      <c r="VCG248" s="21"/>
      <c r="VCJ248" s="21"/>
      <c r="VCK248" s="15"/>
      <c r="VCL248" s="15"/>
      <c r="VCM248" s="15"/>
      <c r="VCN248" s="15"/>
      <c r="VCO248" s="15"/>
      <c r="VCP248" s="15"/>
      <c r="VCQ248" s="15"/>
      <c r="VCR248" s="15"/>
      <c r="VCS248" s="15"/>
      <c r="VCT248" s="15"/>
      <c r="VCU248" s="10"/>
      <c r="VCV248" s="10"/>
      <c r="VCW248" s="21"/>
      <c r="VCX248" s="21"/>
      <c r="VDA248" s="21"/>
      <c r="VDB248" s="15"/>
      <c r="VDC248" s="15"/>
      <c r="VDD248" s="15"/>
      <c r="VDE248" s="15"/>
      <c r="VDF248" s="15"/>
      <c r="VDG248" s="15"/>
      <c r="VDH248" s="15"/>
      <c r="VDI248" s="15"/>
      <c r="VDJ248" s="15"/>
      <c r="VDK248" s="15"/>
      <c r="VDL248" s="10"/>
      <c r="VDM248" s="10"/>
      <c r="VDN248" s="21"/>
      <c r="VDO248" s="21"/>
      <c r="VDR248" s="21"/>
      <c r="VDS248" s="15"/>
      <c r="VDT248" s="15"/>
      <c r="VDU248" s="15"/>
      <c r="VDV248" s="15"/>
      <c r="VDW248" s="15"/>
      <c r="VDX248" s="15"/>
      <c r="VDY248" s="15"/>
      <c r="VDZ248" s="15"/>
      <c r="VEA248" s="15"/>
      <c r="VEB248" s="15"/>
      <c r="VEC248" s="10"/>
      <c r="VED248" s="10"/>
      <c r="VEE248" s="21"/>
      <c r="VEF248" s="21"/>
      <c r="VEI248" s="21"/>
      <c r="VEJ248" s="15"/>
      <c r="VEK248" s="15"/>
      <c r="VEL248" s="15"/>
      <c r="VEM248" s="15"/>
      <c r="VEN248" s="15"/>
      <c r="VEO248" s="15"/>
      <c r="VEP248" s="15"/>
      <c r="VEQ248" s="15"/>
      <c r="VER248" s="15"/>
      <c r="VES248" s="15"/>
      <c r="VET248" s="10"/>
      <c r="VEU248" s="10"/>
      <c r="VEV248" s="21"/>
      <c r="VEW248" s="21"/>
      <c r="VEZ248" s="21"/>
      <c r="VFA248" s="15"/>
      <c r="VFB248" s="15"/>
      <c r="VFC248" s="15"/>
      <c r="VFD248" s="15"/>
      <c r="VFE248" s="15"/>
      <c r="VFF248" s="15"/>
      <c r="VFG248" s="15"/>
      <c r="VFH248" s="15"/>
      <c r="VFI248" s="15"/>
      <c r="VFJ248" s="15"/>
      <c r="VFK248" s="10"/>
      <c r="VFL248" s="10"/>
      <c r="VFM248" s="21"/>
      <c r="VFN248" s="21"/>
      <c r="VFQ248" s="21"/>
      <c r="VFR248" s="15"/>
      <c r="VFS248" s="15"/>
      <c r="VFT248" s="15"/>
      <c r="VFU248" s="15"/>
      <c r="VFV248" s="15"/>
      <c r="VFW248" s="15"/>
      <c r="VFX248" s="15"/>
      <c r="VFY248" s="15"/>
      <c r="VFZ248" s="15"/>
      <c r="VGA248" s="15"/>
      <c r="VGB248" s="10"/>
      <c r="VGC248" s="10"/>
      <c r="VGD248" s="21"/>
      <c r="VGE248" s="21"/>
      <c r="VGH248" s="21"/>
      <c r="VGI248" s="15"/>
      <c r="VGJ248" s="15"/>
      <c r="VGK248" s="15"/>
      <c r="VGL248" s="15"/>
      <c r="VGM248" s="15"/>
      <c r="VGN248" s="15"/>
      <c r="VGO248" s="15"/>
      <c r="VGP248" s="15"/>
      <c r="VGQ248" s="15"/>
      <c r="VGR248" s="15"/>
      <c r="VGS248" s="10"/>
      <c r="VGT248" s="10"/>
      <c r="VGU248" s="21"/>
      <c r="VGV248" s="21"/>
      <c r="VGY248" s="21"/>
      <c r="VGZ248" s="15"/>
      <c r="VHA248" s="15"/>
      <c r="VHB248" s="15"/>
      <c r="VHC248" s="15"/>
      <c r="VHD248" s="15"/>
      <c r="VHE248" s="15"/>
      <c r="VHF248" s="15"/>
      <c r="VHG248" s="15"/>
      <c r="VHH248" s="15"/>
      <c r="VHI248" s="15"/>
      <c r="VHJ248" s="10"/>
      <c r="VHK248" s="10"/>
      <c r="VHL248" s="21"/>
      <c r="VHM248" s="21"/>
      <c r="VHP248" s="21"/>
      <c r="VHQ248" s="15"/>
      <c r="VHR248" s="15"/>
      <c r="VHS248" s="15"/>
      <c r="VHT248" s="15"/>
      <c r="VHU248" s="15"/>
      <c r="VHV248" s="15"/>
      <c r="VHW248" s="15"/>
      <c r="VHX248" s="15"/>
      <c r="VHY248" s="15"/>
      <c r="VHZ248" s="15"/>
      <c r="VIA248" s="10"/>
      <c r="VIB248" s="10"/>
      <c r="VIC248" s="21"/>
      <c r="VID248" s="21"/>
      <c r="VIG248" s="21"/>
      <c r="VIH248" s="15"/>
      <c r="VII248" s="15"/>
      <c r="VIJ248" s="15"/>
      <c r="VIK248" s="15"/>
      <c r="VIL248" s="15"/>
      <c r="VIM248" s="15"/>
      <c r="VIN248" s="15"/>
      <c r="VIO248" s="15"/>
      <c r="VIP248" s="15"/>
      <c r="VIQ248" s="15"/>
      <c r="VIR248" s="10"/>
      <c r="VIS248" s="10"/>
      <c r="VIT248" s="21"/>
      <c r="VIU248" s="21"/>
      <c r="VIX248" s="21"/>
      <c r="VIY248" s="15"/>
      <c r="VIZ248" s="15"/>
      <c r="VJA248" s="15"/>
      <c r="VJB248" s="15"/>
      <c r="VJC248" s="15"/>
      <c r="VJD248" s="15"/>
      <c r="VJE248" s="15"/>
      <c r="VJF248" s="15"/>
      <c r="VJG248" s="15"/>
      <c r="VJH248" s="15"/>
      <c r="VJI248" s="10"/>
      <c r="VJJ248" s="10"/>
      <c r="VJK248" s="21"/>
      <c r="VJL248" s="21"/>
      <c r="VJO248" s="21"/>
      <c r="VJP248" s="15"/>
      <c r="VJQ248" s="15"/>
      <c r="VJR248" s="15"/>
      <c r="VJS248" s="15"/>
      <c r="VJT248" s="15"/>
      <c r="VJU248" s="15"/>
      <c r="VJV248" s="15"/>
      <c r="VJW248" s="15"/>
      <c r="VJX248" s="15"/>
      <c r="VJY248" s="15"/>
      <c r="VJZ248" s="10"/>
      <c r="VKA248" s="10"/>
      <c r="VKB248" s="21"/>
      <c r="VKC248" s="21"/>
      <c r="VKF248" s="21"/>
      <c r="VKG248" s="15"/>
      <c r="VKH248" s="15"/>
      <c r="VKI248" s="15"/>
      <c r="VKJ248" s="15"/>
      <c r="VKK248" s="15"/>
      <c r="VKL248" s="15"/>
      <c r="VKM248" s="15"/>
      <c r="VKN248" s="15"/>
      <c r="VKO248" s="15"/>
      <c r="VKP248" s="15"/>
      <c r="VKQ248" s="10"/>
      <c r="VKR248" s="10"/>
      <c r="VKS248" s="21"/>
      <c r="VKT248" s="21"/>
      <c r="VKW248" s="21"/>
      <c r="VKX248" s="15"/>
      <c r="VKY248" s="15"/>
      <c r="VKZ248" s="15"/>
      <c r="VLA248" s="15"/>
      <c r="VLB248" s="15"/>
      <c r="VLC248" s="15"/>
      <c r="VLD248" s="15"/>
      <c r="VLE248" s="15"/>
      <c r="VLF248" s="15"/>
      <c r="VLG248" s="15"/>
      <c r="VLH248" s="10"/>
      <c r="VLI248" s="10"/>
      <c r="VLJ248" s="21"/>
      <c r="VLK248" s="21"/>
      <c r="VLN248" s="21"/>
      <c r="VLO248" s="15"/>
      <c r="VLP248" s="15"/>
      <c r="VLQ248" s="15"/>
      <c r="VLR248" s="15"/>
      <c r="VLS248" s="15"/>
      <c r="VLT248" s="15"/>
      <c r="VLU248" s="15"/>
      <c r="VLV248" s="15"/>
      <c r="VLW248" s="15"/>
      <c r="VLX248" s="15"/>
      <c r="VLY248" s="10"/>
      <c r="VLZ248" s="10"/>
      <c r="VMA248" s="21"/>
      <c r="VMB248" s="21"/>
      <c r="VME248" s="21"/>
      <c r="VMF248" s="15"/>
      <c r="VMG248" s="15"/>
      <c r="VMH248" s="15"/>
      <c r="VMI248" s="15"/>
      <c r="VMJ248" s="15"/>
      <c r="VMK248" s="15"/>
      <c r="VML248" s="15"/>
      <c r="VMM248" s="15"/>
      <c r="VMN248" s="15"/>
      <c r="VMO248" s="15"/>
      <c r="VMP248" s="10"/>
      <c r="VMQ248" s="10"/>
      <c r="VMR248" s="21"/>
      <c r="VMS248" s="21"/>
      <c r="VMV248" s="21"/>
      <c r="VMW248" s="15"/>
      <c r="VMX248" s="15"/>
      <c r="VMY248" s="15"/>
      <c r="VMZ248" s="15"/>
      <c r="VNA248" s="15"/>
      <c r="VNB248" s="15"/>
      <c r="VNC248" s="15"/>
      <c r="VND248" s="15"/>
      <c r="VNE248" s="15"/>
      <c r="VNF248" s="15"/>
      <c r="VNG248" s="10"/>
      <c r="VNH248" s="10"/>
      <c r="VNI248" s="21"/>
      <c r="VNJ248" s="21"/>
      <c r="VNM248" s="21"/>
      <c r="VNN248" s="15"/>
      <c r="VNO248" s="15"/>
      <c r="VNP248" s="15"/>
      <c r="VNQ248" s="15"/>
      <c r="VNR248" s="15"/>
      <c r="VNS248" s="15"/>
      <c r="VNT248" s="15"/>
      <c r="VNU248" s="15"/>
      <c r="VNV248" s="15"/>
      <c r="VNW248" s="15"/>
      <c r="VNX248" s="10"/>
      <c r="VNY248" s="10"/>
      <c r="VNZ248" s="21"/>
      <c r="VOA248" s="21"/>
      <c r="VOD248" s="21"/>
      <c r="VOE248" s="15"/>
      <c r="VOF248" s="15"/>
      <c r="VOG248" s="15"/>
      <c r="VOH248" s="15"/>
      <c r="VOI248" s="15"/>
      <c r="VOJ248" s="15"/>
      <c r="VOK248" s="15"/>
      <c r="VOL248" s="15"/>
      <c r="VOM248" s="15"/>
      <c r="VON248" s="15"/>
      <c r="VOO248" s="10"/>
      <c r="VOP248" s="10"/>
      <c r="VOQ248" s="21"/>
      <c r="VOR248" s="21"/>
      <c r="VOU248" s="21"/>
      <c r="VOV248" s="15"/>
      <c r="VOW248" s="15"/>
      <c r="VOX248" s="15"/>
      <c r="VOY248" s="15"/>
      <c r="VOZ248" s="15"/>
      <c r="VPA248" s="15"/>
      <c r="VPB248" s="15"/>
      <c r="VPC248" s="15"/>
      <c r="VPD248" s="15"/>
      <c r="VPE248" s="15"/>
      <c r="VPF248" s="10"/>
      <c r="VPG248" s="10"/>
      <c r="VPH248" s="21"/>
      <c r="VPI248" s="21"/>
      <c r="VPL248" s="21"/>
      <c r="VPM248" s="15"/>
      <c r="VPN248" s="15"/>
      <c r="VPO248" s="15"/>
      <c r="VPP248" s="15"/>
      <c r="VPQ248" s="15"/>
      <c r="VPR248" s="15"/>
      <c r="VPS248" s="15"/>
      <c r="VPT248" s="15"/>
      <c r="VPU248" s="15"/>
      <c r="VPV248" s="15"/>
      <c r="VPW248" s="10"/>
      <c r="VPX248" s="10"/>
      <c r="VPY248" s="21"/>
      <c r="VPZ248" s="21"/>
      <c r="VQC248" s="21"/>
      <c r="VQD248" s="15"/>
      <c r="VQE248" s="15"/>
      <c r="VQF248" s="15"/>
      <c r="VQG248" s="15"/>
      <c r="VQH248" s="15"/>
      <c r="VQI248" s="15"/>
      <c r="VQJ248" s="15"/>
      <c r="VQK248" s="15"/>
      <c r="VQL248" s="15"/>
      <c r="VQM248" s="15"/>
      <c r="VQN248" s="10"/>
      <c r="VQO248" s="10"/>
      <c r="VQP248" s="21"/>
      <c r="VQQ248" s="21"/>
      <c r="VQT248" s="21"/>
      <c r="VQU248" s="15"/>
      <c r="VQV248" s="15"/>
      <c r="VQW248" s="15"/>
      <c r="VQX248" s="15"/>
      <c r="VQY248" s="15"/>
      <c r="VQZ248" s="15"/>
      <c r="VRA248" s="15"/>
      <c r="VRB248" s="15"/>
      <c r="VRC248" s="15"/>
      <c r="VRD248" s="15"/>
      <c r="VRE248" s="10"/>
      <c r="VRF248" s="10"/>
      <c r="VRG248" s="21"/>
      <c r="VRH248" s="21"/>
      <c r="VRK248" s="21"/>
      <c r="VRL248" s="15"/>
      <c r="VRM248" s="15"/>
      <c r="VRN248" s="15"/>
      <c r="VRO248" s="15"/>
      <c r="VRP248" s="15"/>
      <c r="VRQ248" s="15"/>
      <c r="VRR248" s="15"/>
      <c r="VRS248" s="15"/>
      <c r="VRT248" s="15"/>
      <c r="VRU248" s="15"/>
      <c r="VRV248" s="10"/>
      <c r="VRW248" s="10"/>
      <c r="VRX248" s="21"/>
      <c r="VRY248" s="21"/>
      <c r="VSB248" s="21"/>
      <c r="VSC248" s="15"/>
      <c r="VSD248" s="15"/>
      <c r="VSE248" s="15"/>
      <c r="VSF248" s="15"/>
      <c r="VSG248" s="15"/>
      <c r="VSH248" s="15"/>
      <c r="VSI248" s="15"/>
      <c r="VSJ248" s="15"/>
      <c r="VSK248" s="15"/>
      <c r="VSL248" s="15"/>
      <c r="VSM248" s="10"/>
      <c r="VSN248" s="10"/>
      <c r="VSO248" s="21"/>
      <c r="VSP248" s="21"/>
      <c r="VSS248" s="21"/>
      <c r="VST248" s="15"/>
      <c r="VSU248" s="15"/>
      <c r="VSV248" s="15"/>
      <c r="VSW248" s="15"/>
      <c r="VSX248" s="15"/>
      <c r="VSY248" s="15"/>
      <c r="VSZ248" s="15"/>
      <c r="VTA248" s="15"/>
      <c r="VTB248" s="15"/>
      <c r="VTC248" s="15"/>
      <c r="VTD248" s="10"/>
      <c r="VTE248" s="10"/>
      <c r="VTF248" s="21"/>
      <c r="VTG248" s="21"/>
      <c r="VTJ248" s="21"/>
      <c r="VTK248" s="15"/>
      <c r="VTL248" s="15"/>
      <c r="VTM248" s="15"/>
      <c r="VTN248" s="15"/>
      <c r="VTO248" s="15"/>
      <c r="VTP248" s="15"/>
      <c r="VTQ248" s="15"/>
      <c r="VTR248" s="15"/>
      <c r="VTS248" s="15"/>
      <c r="VTT248" s="15"/>
      <c r="VTU248" s="10"/>
      <c r="VTV248" s="10"/>
      <c r="VTW248" s="21"/>
      <c r="VTX248" s="21"/>
      <c r="VUA248" s="21"/>
      <c r="VUB248" s="15"/>
      <c r="VUC248" s="15"/>
      <c r="VUD248" s="15"/>
      <c r="VUE248" s="15"/>
      <c r="VUF248" s="15"/>
      <c r="VUG248" s="15"/>
      <c r="VUH248" s="15"/>
      <c r="VUI248" s="15"/>
      <c r="VUJ248" s="15"/>
      <c r="VUK248" s="15"/>
      <c r="VUL248" s="10"/>
      <c r="VUM248" s="10"/>
      <c r="VUN248" s="21"/>
      <c r="VUO248" s="21"/>
      <c r="VUR248" s="21"/>
      <c r="VUS248" s="15"/>
      <c r="VUT248" s="15"/>
      <c r="VUU248" s="15"/>
      <c r="VUV248" s="15"/>
      <c r="VUW248" s="15"/>
      <c r="VUX248" s="15"/>
      <c r="VUY248" s="15"/>
      <c r="VUZ248" s="15"/>
      <c r="VVA248" s="15"/>
      <c r="VVB248" s="15"/>
      <c r="VVC248" s="10"/>
      <c r="VVD248" s="10"/>
      <c r="VVE248" s="21"/>
      <c r="VVF248" s="21"/>
      <c r="VVI248" s="21"/>
      <c r="VVJ248" s="15"/>
      <c r="VVK248" s="15"/>
      <c r="VVL248" s="15"/>
      <c r="VVM248" s="15"/>
      <c r="VVN248" s="15"/>
      <c r="VVO248" s="15"/>
      <c r="VVP248" s="15"/>
      <c r="VVQ248" s="15"/>
      <c r="VVR248" s="15"/>
      <c r="VVS248" s="15"/>
      <c r="VVT248" s="10"/>
      <c r="VVU248" s="10"/>
      <c r="VVV248" s="21"/>
      <c r="VVW248" s="21"/>
      <c r="VVZ248" s="21"/>
      <c r="VWA248" s="15"/>
      <c r="VWB248" s="15"/>
      <c r="VWC248" s="15"/>
      <c r="VWD248" s="15"/>
      <c r="VWE248" s="15"/>
      <c r="VWF248" s="15"/>
      <c r="VWG248" s="15"/>
      <c r="VWH248" s="15"/>
      <c r="VWI248" s="15"/>
      <c r="VWJ248" s="15"/>
      <c r="VWK248" s="10"/>
      <c r="VWL248" s="10"/>
      <c r="VWM248" s="21"/>
      <c r="VWN248" s="21"/>
      <c r="VWQ248" s="21"/>
      <c r="VWR248" s="15"/>
      <c r="VWS248" s="15"/>
      <c r="VWT248" s="15"/>
      <c r="VWU248" s="15"/>
      <c r="VWV248" s="15"/>
      <c r="VWW248" s="15"/>
      <c r="VWX248" s="15"/>
      <c r="VWY248" s="15"/>
      <c r="VWZ248" s="15"/>
      <c r="VXA248" s="15"/>
      <c r="VXB248" s="10"/>
      <c r="VXC248" s="10"/>
      <c r="VXD248" s="21"/>
      <c r="VXE248" s="21"/>
      <c r="VXH248" s="21"/>
      <c r="VXI248" s="15"/>
      <c r="VXJ248" s="15"/>
      <c r="VXK248" s="15"/>
      <c r="VXL248" s="15"/>
      <c r="VXM248" s="15"/>
      <c r="VXN248" s="15"/>
      <c r="VXO248" s="15"/>
      <c r="VXP248" s="15"/>
      <c r="VXQ248" s="15"/>
      <c r="VXR248" s="15"/>
      <c r="VXS248" s="10"/>
      <c r="VXT248" s="10"/>
      <c r="VXU248" s="21"/>
      <c r="VXV248" s="21"/>
      <c r="VXY248" s="21"/>
      <c r="VXZ248" s="15"/>
      <c r="VYA248" s="15"/>
      <c r="VYB248" s="15"/>
      <c r="VYC248" s="15"/>
      <c r="VYD248" s="15"/>
      <c r="VYE248" s="15"/>
      <c r="VYF248" s="15"/>
      <c r="VYG248" s="15"/>
      <c r="VYH248" s="15"/>
      <c r="VYI248" s="15"/>
      <c r="VYJ248" s="10"/>
      <c r="VYK248" s="10"/>
      <c r="VYL248" s="21"/>
      <c r="VYM248" s="21"/>
      <c r="VYP248" s="21"/>
      <c r="VYQ248" s="15"/>
      <c r="VYR248" s="15"/>
      <c r="VYS248" s="15"/>
      <c r="VYT248" s="15"/>
      <c r="VYU248" s="15"/>
      <c r="VYV248" s="15"/>
      <c r="VYW248" s="15"/>
      <c r="VYX248" s="15"/>
      <c r="VYY248" s="15"/>
      <c r="VYZ248" s="15"/>
      <c r="VZA248" s="10"/>
      <c r="VZB248" s="10"/>
      <c r="VZC248" s="21"/>
      <c r="VZD248" s="21"/>
      <c r="VZG248" s="21"/>
      <c r="VZH248" s="15"/>
      <c r="VZI248" s="15"/>
      <c r="VZJ248" s="15"/>
      <c r="VZK248" s="15"/>
      <c r="VZL248" s="15"/>
      <c r="VZM248" s="15"/>
      <c r="VZN248" s="15"/>
      <c r="VZO248" s="15"/>
      <c r="VZP248" s="15"/>
      <c r="VZQ248" s="15"/>
      <c r="VZR248" s="10"/>
      <c r="VZS248" s="10"/>
      <c r="VZT248" s="21"/>
      <c r="VZU248" s="21"/>
      <c r="VZX248" s="21"/>
      <c r="VZY248" s="15"/>
      <c r="VZZ248" s="15"/>
      <c r="WAA248" s="15"/>
      <c r="WAB248" s="15"/>
      <c r="WAC248" s="15"/>
      <c r="WAD248" s="15"/>
      <c r="WAE248" s="15"/>
      <c r="WAF248" s="15"/>
      <c r="WAG248" s="15"/>
      <c r="WAH248" s="15"/>
      <c r="WAI248" s="10"/>
      <c r="WAJ248" s="10"/>
      <c r="WAK248" s="21"/>
      <c r="WAL248" s="21"/>
      <c r="WAO248" s="21"/>
      <c r="WAP248" s="15"/>
      <c r="WAQ248" s="15"/>
      <c r="WAR248" s="15"/>
      <c r="WAS248" s="15"/>
      <c r="WAT248" s="15"/>
      <c r="WAU248" s="15"/>
      <c r="WAV248" s="15"/>
      <c r="WAW248" s="15"/>
      <c r="WAX248" s="15"/>
      <c r="WAY248" s="15"/>
      <c r="WAZ248" s="10"/>
      <c r="WBA248" s="10"/>
      <c r="WBB248" s="21"/>
      <c r="WBC248" s="21"/>
      <c r="WBF248" s="21"/>
      <c r="WBG248" s="15"/>
      <c r="WBH248" s="15"/>
      <c r="WBI248" s="15"/>
      <c r="WBJ248" s="15"/>
      <c r="WBK248" s="15"/>
      <c r="WBL248" s="15"/>
      <c r="WBM248" s="15"/>
      <c r="WBN248" s="15"/>
      <c r="WBO248" s="15"/>
      <c r="WBP248" s="15"/>
      <c r="WBQ248" s="10"/>
      <c r="WBR248" s="10"/>
      <c r="WBS248" s="21"/>
      <c r="WBT248" s="21"/>
      <c r="WBW248" s="21"/>
      <c r="WBX248" s="15"/>
      <c r="WBY248" s="15"/>
      <c r="WBZ248" s="15"/>
      <c r="WCA248" s="15"/>
      <c r="WCB248" s="15"/>
      <c r="WCC248" s="15"/>
      <c r="WCD248" s="15"/>
      <c r="WCE248" s="15"/>
      <c r="WCF248" s="15"/>
      <c r="WCG248" s="15"/>
      <c r="WCH248" s="10"/>
      <c r="WCI248" s="10"/>
      <c r="WCJ248" s="21"/>
      <c r="WCK248" s="21"/>
      <c r="WCN248" s="21"/>
      <c r="WCO248" s="15"/>
      <c r="WCP248" s="15"/>
      <c r="WCQ248" s="15"/>
      <c r="WCR248" s="15"/>
      <c r="WCS248" s="15"/>
      <c r="WCT248" s="15"/>
      <c r="WCU248" s="15"/>
      <c r="WCV248" s="15"/>
      <c r="WCW248" s="15"/>
      <c r="WCX248" s="15"/>
      <c r="WCY248" s="10"/>
      <c r="WCZ248" s="10"/>
      <c r="WDA248" s="21"/>
      <c r="WDB248" s="21"/>
      <c r="WDE248" s="21"/>
      <c r="WDF248" s="15"/>
      <c r="WDG248" s="15"/>
      <c r="WDH248" s="15"/>
      <c r="WDI248" s="15"/>
      <c r="WDJ248" s="15"/>
      <c r="WDK248" s="15"/>
      <c r="WDL248" s="15"/>
      <c r="WDM248" s="15"/>
      <c r="WDN248" s="15"/>
      <c r="WDO248" s="15"/>
      <c r="WDP248" s="10"/>
      <c r="WDQ248" s="10"/>
      <c r="WDR248" s="21"/>
      <c r="WDS248" s="21"/>
      <c r="WDV248" s="21"/>
      <c r="WDW248" s="15"/>
      <c r="WDX248" s="15"/>
      <c r="WDY248" s="15"/>
      <c r="WDZ248" s="15"/>
      <c r="WEA248" s="15"/>
      <c r="WEB248" s="15"/>
      <c r="WEC248" s="15"/>
      <c r="WED248" s="15"/>
      <c r="WEE248" s="15"/>
      <c r="WEF248" s="15"/>
      <c r="WEG248" s="10"/>
      <c r="WEH248" s="10"/>
      <c r="WEI248" s="21"/>
      <c r="WEJ248" s="21"/>
      <c r="WEM248" s="21"/>
      <c r="WEN248" s="15"/>
      <c r="WEO248" s="15"/>
      <c r="WEP248" s="15"/>
      <c r="WEQ248" s="15"/>
      <c r="WER248" s="15"/>
      <c r="WES248" s="15"/>
      <c r="WET248" s="15"/>
      <c r="WEU248" s="15"/>
      <c r="WEV248" s="15"/>
      <c r="WEW248" s="15"/>
      <c r="WEX248" s="10"/>
      <c r="WEY248" s="10"/>
      <c r="WEZ248" s="21"/>
      <c r="WFA248" s="21"/>
      <c r="WFD248" s="21"/>
      <c r="WFE248" s="15"/>
      <c r="WFF248" s="15"/>
      <c r="WFG248" s="15"/>
      <c r="WFH248" s="15"/>
      <c r="WFI248" s="15"/>
      <c r="WFJ248" s="15"/>
      <c r="WFK248" s="15"/>
      <c r="WFL248" s="15"/>
      <c r="WFM248" s="15"/>
      <c r="WFN248" s="15"/>
      <c r="WFO248" s="10"/>
      <c r="WFP248" s="10"/>
      <c r="WFQ248" s="21"/>
      <c r="WFR248" s="21"/>
      <c r="WFU248" s="21"/>
      <c r="WFV248" s="15"/>
      <c r="WFW248" s="15"/>
      <c r="WFX248" s="15"/>
      <c r="WFY248" s="15"/>
      <c r="WFZ248" s="15"/>
      <c r="WGA248" s="15"/>
      <c r="WGB248" s="15"/>
      <c r="WGC248" s="15"/>
      <c r="WGD248" s="15"/>
      <c r="WGE248" s="15"/>
      <c r="WGF248" s="10"/>
      <c r="WGG248" s="10"/>
      <c r="WGH248" s="21"/>
      <c r="WGI248" s="21"/>
      <c r="WGL248" s="21"/>
      <c r="WGM248" s="15"/>
      <c r="WGN248" s="15"/>
      <c r="WGO248" s="15"/>
      <c r="WGP248" s="15"/>
      <c r="WGQ248" s="15"/>
      <c r="WGR248" s="15"/>
      <c r="WGS248" s="15"/>
      <c r="WGT248" s="15"/>
      <c r="WGU248" s="15"/>
      <c r="WGV248" s="15"/>
      <c r="WGW248" s="10"/>
      <c r="WGX248" s="10"/>
      <c r="WGY248" s="21"/>
      <c r="WGZ248" s="21"/>
      <c r="WHC248" s="21"/>
      <c r="WHD248" s="15"/>
      <c r="WHE248" s="15"/>
      <c r="WHF248" s="15"/>
      <c r="WHG248" s="15"/>
      <c r="WHH248" s="15"/>
      <c r="WHI248" s="15"/>
      <c r="WHJ248" s="15"/>
      <c r="WHK248" s="15"/>
      <c r="WHL248" s="15"/>
      <c r="WHM248" s="15"/>
      <c r="WHN248" s="10"/>
      <c r="WHO248" s="10"/>
      <c r="WHP248" s="21"/>
      <c r="WHQ248" s="21"/>
      <c r="WHT248" s="21"/>
      <c r="WHU248" s="15"/>
      <c r="WHV248" s="15"/>
      <c r="WHW248" s="15"/>
      <c r="WHX248" s="15"/>
      <c r="WHY248" s="15"/>
      <c r="WHZ248" s="15"/>
      <c r="WIA248" s="15"/>
      <c r="WIB248" s="15"/>
      <c r="WIC248" s="15"/>
      <c r="WID248" s="15"/>
      <c r="WIE248" s="10"/>
      <c r="WIF248" s="10"/>
      <c r="WIG248" s="21"/>
      <c r="WIH248" s="21"/>
      <c r="WIK248" s="21"/>
      <c r="WIL248" s="15"/>
      <c r="WIM248" s="15"/>
      <c r="WIN248" s="15"/>
      <c r="WIO248" s="15"/>
      <c r="WIP248" s="15"/>
      <c r="WIQ248" s="15"/>
      <c r="WIR248" s="15"/>
      <c r="WIS248" s="15"/>
      <c r="WIT248" s="15"/>
      <c r="WIU248" s="15"/>
      <c r="WIV248" s="10"/>
      <c r="WIW248" s="10"/>
      <c r="WIX248" s="21"/>
      <c r="WIY248" s="21"/>
      <c r="WJB248" s="21"/>
      <c r="WJC248" s="15"/>
      <c r="WJD248" s="15"/>
      <c r="WJE248" s="15"/>
      <c r="WJF248" s="15"/>
      <c r="WJG248" s="15"/>
      <c r="WJH248" s="15"/>
      <c r="WJI248" s="15"/>
      <c r="WJJ248" s="15"/>
      <c r="WJK248" s="15"/>
      <c r="WJL248" s="15"/>
      <c r="WJM248" s="10"/>
      <c r="WJN248" s="10"/>
      <c r="WJO248" s="21"/>
      <c r="WJP248" s="21"/>
      <c r="WJS248" s="21"/>
      <c r="WJT248" s="15"/>
      <c r="WJU248" s="15"/>
      <c r="WJV248" s="15"/>
      <c r="WJW248" s="15"/>
      <c r="WJX248" s="15"/>
      <c r="WJY248" s="15"/>
      <c r="WJZ248" s="15"/>
      <c r="WKA248" s="15"/>
      <c r="WKB248" s="15"/>
      <c r="WKC248" s="15"/>
      <c r="WKD248" s="10"/>
      <c r="WKE248" s="10"/>
      <c r="WKF248" s="21"/>
      <c r="WKG248" s="21"/>
      <c r="WKJ248" s="21"/>
      <c r="WKK248" s="15"/>
      <c r="WKL248" s="15"/>
      <c r="WKM248" s="15"/>
      <c r="WKN248" s="15"/>
      <c r="WKO248" s="15"/>
      <c r="WKP248" s="15"/>
      <c r="WKQ248" s="15"/>
      <c r="WKR248" s="15"/>
      <c r="WKS248" s="15"/>
      <c r="WKT248" s="15"/>
      <c r="WKU248" s="10"/>
      <c r="WKV248" s="10"/>
      <c r="WKW248" s="21"/>
      <c r="WKX248" s="21"/>
      <c r="WLA248" s="21"/>
      <c r="WLB248" s="15"/>
      <c r="WLC248" s="15"/>
      <c r="WLD248" s="15"/>
      <c r="WLE248" s="15"/>
      <c r="WLF248" s="15"/>
      <c r="WLG248" s="15"/>
      <c r="WLH248" s="15"/>
      <c r="WLI248" s="15"/>
      <c r="WLJ248" s="15"/>
      <c r="WLK248" s="15"/>
      <c r="WLL248" s="10"/>
      <c r="WLM248" s="10"/>
      <c r="WLN248" s="21"/>
      <c r="WLO248" s="21"/>
      <c r="WLR248" s="21"/>
      <c r="WLS248" s="15"/>
      <c r="WLT248" s="15"/>
      <c r="WLU248" s="15"/>
      <c r="WLV248" s="15"/>
      <c r="WLW248" s="15"/>
      <c r="WLX248" s="15"/>
      <c r="WLY248" s="15"/>
      <c r="WLZ248" s="15"/>
      <c r="WMA248" s="15"/>
      <c r="WMB248" s="15"/>
      <c r="WMC248" s="10"/>
      <c r="WMD248" s="10"/>
      <c r="WME248" s="21"/>
      <c r="WMF248" s="21"/>
      <c r="WMI248" s="21"/>
      <c r="WMJ248" s="15"/>
      <c r="WMK248" s="15"/>
      <c r="WML248" s="15"/>
      <c r="WMM248" s="15"/>
      <c r="WMN248" s="15"/>
      <c r="WMO248" s="15"/>
      <c r="WMP248" s="15"/>
      <c r="WMQ248" s="15"/>
      <c r="WMR248" s="15"/>
      <c r="WMS248" s="15"/>
      <c r="WMT248" s="10"/>
      <c r="WMU248" s="10"/>
      <c r="WMV248" s="21"/>
      <c r="WMW248" s="21"/>
      <c r="WMZ248" s="21"/>
      <c r="WNA248" s="15"/>
      <c r="WNB248" s="15"/>
      <c r="WNC248" s="15"/>
      <c r="WND248" s="15"/>
      <c r="WNE248" s="15"/>
      <c r="WNF248" s="15"/>
      <c r="WNG248" s="15"/>
      <c r="WNH248" s="15"/>
      <c r="WNI248" s="15"/>
      <c r="WNJ248" s="15"/>
      <c r="WNK248" s="10"/>
      <c r="WNL248" s="10"/>
      <c r="WNM248" s="21"/>
      <c r="WNN248" s="21"/>
      <c r="WNQ248" s="21"/>
      <c r="WNR248" s="15"/>
      <c r="WNS248" s="15"/>
      <c r="WNT248" s="15"/>
      <c r="WNU248" s="15"/>
      <c r="WNV248" s="15"/>
      <c r="WNW248" s="15"/>
      <c r="WNX248" s="15"/>
      <c r="WNY248" s="15"/>
      <c r="WNZ248" s="15"/>
      <c r="WOA248" s="15"/>
      <c r="WOB248" s="10"/>
      <c r="WOC248" s="10"/>
      <c r="WOD248" s="21"/>
      <c r="WOE248" s="21"/>
      <c r="WOH248" s="21"/>
      <c r="WOI248" s="15"/>
      <c r="WOJ248" s="15"/>
      <c r="WOK248" s="15"/>
      <c r="WOL248" s="15"/>
      <c r="WOM248" s="15"/>
      <c r="WON248" s="15"/>
      <c r="WOO248" s="15"/>
      <c r="WOP248" s="15"/>
      <c r="WOQ248" s="15"/>
      <c r="WOR248" s="15"/>
      <c r="WOS248" s="10"/>
      <c r="WOT248" s="10"/>
      <c r="WOU248" s="21"/>
      <c r="WOV248" s="21"/>
      <c r="WOY248" s="21"/>
      <c r="WOZ248" s="15"/>
      <c r="WPA248" s="15"/>
      <c r="WPB248" s="15"/>
      <c r="WPC248" s="15"/>
      <c r="WPD248" s="15"/>
      <c r="WPE248" s="15"/>
      <c r="WPF248" s="15"/>
      <c r="WPG248" s="15"/>
      <c r="WPH248" s="15"/>
      <c r="WPI248" s="15"/>
      <c r="WPJ248" s="10"/>
      <c r="WPK248" s="10"/>
      <c r="WPL248" s="21"/>
      <c r="WPM248" s="21"/>
      <c r="WPP248" s="21"/>
      <c r="WPQ248" s="15"/>
      <c r="WPR248" s="15"/>
      <c r="WPS248" s="15"/>
      <c r="WPT248" s="15"/>
      <c r="WPU248" s="15"/>
      <c r="WPV248" s="15"/>
      <c r="WPW248" s="15"/>
      <c r="WPX248" s="15"/>
      <c r="WPY248" s="15"/>
      <c r="WPZ248" s="15"/>
      <c r="WQA248" s="10"/>
      <c r="WQB248" s="10"/>
      <c r="WQC248" s="21"/>
      <c r="WQD248" s="21"/>
      <c r="WQG248" s="21"/>
      <c r="WQH248" s="15"/>
      <c r="WQI248" s="15"/>
      <c r="WQJ248" s="15"/>
      <c r="WQK248" s="15"/>
      <c r="WQL248" s="15"/>
      <c r="WQM248" s="15"/>
      <c r="WQN248" s="15"/>
      <c r="WQO248" s="15"/>
      <c r="WQP248" s="15"/>
      <c r="WQQ248" s="15"/>
      <c r="WQR248" s="10"/>
      <c r="WQS248" s="10"/>
      <c r="WQT248" s="21"/>
      <c r="WQU248" s="21"/>
      <c r="WQX248" s="21"/>
      <c r="WQY248" s="15"/>
      <c r="WQZ248" s="15"/>
      <c r="WRA248" s="15"/>
      <c r="WRB248" s="15"/>
      <c r="WRC248" s="15"/>
      <c r="WRD248" s="15"/>
      <c r="WRE248" s="15"/>
      <c r="WRF248" s="15"/>
      <c r="WRG248" s="15"/>
      <c r="WRH248" s="15"/>
      <c r="WRI248" s="10"/>
      <c r="WRJ248" s="10"/>
      <c r="WRK248" s="21"/>
      <c r="WRL248" s="21"/>
      <c r="WRO248" s="21"/>
      <c r="WRP248" s="15"/>
      <c r="WRQ248" s="15"/>
      <c r="WRR248" s="15"/>
      <c r="WRS248" s="15"/>
      <c r="WRT248" s="15"/>
      <c r="WRU248" s="15"/>
      <c r="WRV248" s="15"/>
      <c r="WRW248" s="15"/>
      <c r="WRX248" s="15"/>
      <c r="WRY248" s="15"/>
      <c r="WRZ248" s="10"/>
      <c r="WSA248" s="10"/>
      <c r="WSB248" s="21"/>
      <c r="WSC248" s="21"/>
      <c r="WSF248" s="21"/>
      <c r="WSG248" s="15"/>
      <c r="WSH248" s="15"/>
      <c r="WSI248" s="15"/>
      <c r="WSJ248" s="15"/>
      <c r="WSK248" s="15"/>
      <c r="WSL248" s="15"/>
      <c r="WSM248" s="15"/>
      <c r="WSN248" s="15"/>
      <c r="WSO248" s="15"/>
      <c r="WSP248" s="15"/>
      <c r="WSQ248" s="10"/>
      <c r="WSR248" s="10"/>
      <c r="WSS248" s="21"/>
      <c r="WST248" s="21"/>
      <c r="WSW248" s="21"/>
      <c r="WSX248" s="15"/>
      <c r="WSY248" s="15"/>
      <c r="WSZ248" s="15"/>
      <c r="WTA248" s="15"/>
      <c r="WTB248" s="15"/>
      <c r="WTC248" s="15"/>
      <c r="WTD248" s="15"/>
      <c r="WTE248" s="15"/>
      <c r="WTF248" s="15"/>
      <c r="WTG248" s="15"/>
      <c r="WTH248" s="10"/>
      <c r="WTI248" s="10"/>
      <c r="WTJ248" s="21"/>
      <c r="WTK248" s="21"/>
      <c r="WTN248" s="21"/>
      <c r="WTO248" s="15"/>
      <c r="WTP248" s="15"/>
      <c r="WTQ248" s="15"/>
      <c r="WTR248" s="15"/>
      <c r="WTS248" s="15"/>
      <c r="WTT248" s="15"/>
      <c r="WTU248" s="15"/>
      <c r="WTV248" s="15"/>
      <c r="WTW248" s="15"/>
      <c r="WTX248" s="15"/>
      <c r="WTY248" s="10"/>
      <c r="WTZ248" s="10"/>
      <c r="WUA248" s="21"/>
      <c r="WUB248" s="21"/>
      <c r="WUE248" s="21"/>
      <c r="WUF248" s="15"/>
      <c r="WUG248" s="15"/>
      <c r="WUH248" s="15"/>
      <c r="WUI248" s="15"/>
      <c r="WUJ248" s="15"/>
      <c r="WUK248" s="15"/>
      <c r="WUL248" s="15"/>
      <c r="WUM248" s="15"/>
      <c r="WUN248" s="15"/>
      <c r="WUO248" s="15"/>
      <c r="WUP248" s="10"/>
      <c r="WUQ248" s="10"/>
      <c r="WUR248" s="21"/>
      <c r="WUS248" s="21"/>
      <c r="WUV248" s="21"/>
      <c r="WUW248" s="15"/>
      <c r="WUX248" s="15"/>
      <c r="WUY248" s="15"/>
      <c r="WUZ248" s="15"/>
      <c r="WVA248" s="15"/>
      <c r="WVB248" s="15"/>
      <c r="WVC248" s="15"/>
      <c r="WVD248" s="15"/>
      <c r="WVE248" s="15"/>
      <c r="WVF248" s="15"/>
      <c r="WVG248" s="10"/>
      <c r="WVH248" s="10"/>
      <c r="WVI248" s="21"/>
      <c r="WVJ248" s="21"/>
      <c r="WVM248" s="21"/>
      <c r="WVN248" s="15"/>
      <c r="WVO248" s="15"/>
      <c r="WVP248" s="15"/>
      <c r="WVQ248" s="15"/>
      <c r="WVR248" s="15"/>
      <c r="WVS248" s="15"/>
      <c r="WVT248" s="15"/>
      <c r="WVU248" s="15"/>
      <c r="WVV248" s="15"/>
      <c r="WVW248" s="15"/>
      <c r="WVX248" s="10"/>
      <c r="WVY248" s="10"/>
      <c r="WVZ248" s="21"/>
      <c r="WWA248" s="21"/>
      <c r="WWD248" s="21"/>
      <c r="WWE248" s="15"/>
      <c r="WWF248" s="15"/>
      <c r="WWG248" s="15"/>
      <c r="WWH248" s="15"/>
      <c r="WWI248" s="15"/>
      <c r="WWJ248" s="15"/>
      <c r="WWK248" s="15"/>
      <c r="WWL248" s="15"/>
      <c r="WWM248" s="15"/>
      <c r="WWN248" s="15"/>
      <c r="WWO248" s="10"/>
      <c r="WWP248" s="10"/>
      <c r="WWQ248" s="21"/>
      <c r="WWR248" s="21"/>
      <c r="WWU248" s="21"/>
      <c r="WWV248" s="15"/>
      <c r="WWW248" s="15"/>
      <c r="WWX248" s="15"/>
      <c r="WWY248" s="15"/>
      <c r="WWZ248" s="15"/>
      <c r="WXA248" s="15"/>
      <c r="WXB248" s="15"/>
      <c r="WXC248" s="15"/>
      <c r="WXD248" s="15"/>
      <c r="WXE248" s="15"/>
      <c r="WXF248" s="10"/>
      <c r="WXG248" s="10"/>
      <c r="WXH248" s="21"/>
      <c r="WXI248" s="21"/>
      <c r="WXL248" s="21"/>
      <c r="WXM248" s="15"/>
      <c r="WXN248" s="15"/>
      <c r="WXO248" s="15"/>
      <c r="WXP248" s="15"/>
      <c r="WXQ248" s="15"/>
      <c r="WXR248" s="15"/>
      <c r="WXS248" s="15"/>
      <c r="WXT248" s="15"/>
      <c r="WXU248" s="15"/>
      <c r="WXV248" s="15"/>
      <c r="WXW248" s="10"/>
      <c r="WXX248" s="10"/>
      <c r="WXY248" s="21"/>
      <c r="WXZ248" s="21"/>
      <c r="WYC248" s="21"/>
      <c r="WYD248" s="15"/>
      <c r="WYE248" s="15"/>
      <c r="WYF248" s="15"/>
      <c r="WYG248" s="15"/>
      <c r="WYH248" s="15"/>
      <c r="WYI248" s="15"/>
      <c r="WYJ248" s="15"/>
      <c r="WYK248" s="15"/>
      <c r="WYL248" s="15"/>
      <c r="WYM248" s="15"/>
      <c r="WYN248" s="10"/>
      <c r="WYO248" s="10"/>
      <c r="WYP248" s="21"/>
      <c r="WYQ248" s="21"/>
      <c r="WYT248" s="21"/>
      <c r="WYU248" s="15"/>
      <c r="WYV248" s="15"/>
      <c r="WYW248" s="15"/>
      <c r="WYX248" s="15"/>
      <c r="WYY248" s="15"/>
      <c r="WYZ248" s="15"/>
      <c r="WZA248" s="15"/>
      <c r="WZB248" s="15"/>
      <c r="WZC248" s="15"/>
      <c r="WZD248" s="15"/>
      <c r="WZE248" s="10"/>
      <c r="WZF248" s="10"/>
      <c r="WZG248" s="21"/>
      <c r="WZH248" s="21"/>
      <c r="WZK248" s="21"/>
      <c r="WZL248" s="15"/>
      <c r="WZM248" s="15"/>
      <c r="WZN248" s="15"/>
      <c r="WZO248" s="15"/>
      <c r="WZP248" s="15"/>
      <c r="WZQ248" s="15"/>
      <c r="WZR248" s="15"/>
      <c r="WZS248" s="15"/>
      <c r="WZT248" s="15"/>
      <c r="WZU248" s="15"/>
      <c r="WZV248" s="10"/>
      <c r="WZW248" s="10"/>
      <c r="WZX248" s="21"/>
      <c r="WZY248" s="21"/>
      <c r="XAB248" s="21"/>
      <c r="XAC248" s="15"/>
      <c r="XAD248" s="15"/>
      <c r="XAE248" s="15"/>
      <c r="XAF248" s="15"/>
      <c r="XAG248" s="15"/>
      <c r="XAH248" s="15"/>
      <c r="XAI248" s="15"/>
      <c r="XAJ248" s="15"/>
      <c r="XAK248" s="15"/>
      <c r="XAL248" s="15"/>
      <c r="XAM248" s="10"/>
      <c r="XAN248" s="10"/>
      <c r="XAO248" s="21"/>
      <c r="XAP248" s="21"/>
      <c r="XAS248" s="21"/>
      <c r="XAT248" s="15"/>
      <c r="XAU248" s="15"/>
      <c r="XAV248" s="15"/>
      <c r="XAW248" s="15"/>
      <c r="XAX248" s="15"/>
      <c r="XAY248" s="15"/>
      <c r="XAZ248" s="15"/>
      <c r="XBA248" s="15"/>
      <c r="XBB248" s="15"/>
      <c r="XBC248" s="15"/>
      <c r="XBD248" s="10"/>
      <c r="XBE248" s="10"/>
      <c r="XBF248" s="21"/>
      <c r="XBG248" s="21"/>
      <c r="XBJ248" s="21"/>
      <c r="XBK248" s="15"/>
      <c r="XBL248" s="15"/>
      <c r="XBM248" s="15"/>
      <c r="XBN248" s="15"/>
      <c r="XBO248" s="15"/>
      <c r="XBP248" s="15"/>
      <c r="XBQ248" s="15"/>
      <c r="XBR248" s="15"/>
      <c r="XBS248" s="15"/>
      <c r="XBT248" s="15"/>
      <c r="XBU248" s="10"/>
      <c r="XBV248" s="10"/>
      <c r="XBW248" s="21"/>
      <c r="XBX248" s="21"/>
      <c r="XCA248" s="21"/>
      <c r="XCB248" s="15"/>
      <c r="XCC248" s="15"/>
      <c r="XCD248" s="15"/>
      <c r="XCE248" s="15"/>
      <c r="XCF248" s="15"/>
      <c r="XCG248" s="15"/>
      <c r="XCH248" s="15"/>
      <c r="XCI248" s="15"/>
      <c r="XCJ248" s="15"/>
      <c r="XCK248" s="15"/>
      <c r="XCL248" s="10"/>
      <c r="XCM248" s="10"/>
      <c r="XCN248" s="21"/>
      <c r="XCO248" s="21"/>
      <c r="XCR248" s="21"/>
      <c r="XCS248" s="15"/>
      <c r="XCT248" s="15"/>
      <c r="XCU248" s="15"/>
      <c r="XCV248" s="15"/>
      <c r="XCW248" s="15"/>
      <c r="XCX248" s="15"/>
      <c r="XCY248" s="15"/>
      <c r="XCZ248" s="15"/>
      <c r="XDA248" s="15"/>
      <c r="XDB248" s="15"/>
      <c r="XDC248" s="10"/>
      <c r="XDD248" s="10"/>
      <c r="XDE248" s="21"/>
      <c r="XDF248" s="21"/>
      <c r="XDI248" s="21"/>
      <c r="XDJ248" s="15"/>
      <c r="XDK248" s="15"/>
      <c r="XDL248" s="15"/>
      <c r="XDM248" s="15"/>
      <c r="XDN248" s="15"/>
      <c r="XDO248" s="15"/>
      <c r="XDP248" s="15"/>
      <c r="XDQ248" s="15"/>
      <c r="XDR248" s="15"/>
      <c r="XDS248" s="15"/>
      <c r="XDT248" s="10"/>
      <c r="XDU248" s="10"/>
      <c r="XDV248" s="21"/>
      <c r="XDW248" s="21"/>
      <c r="XDZ248" s="21"/>
      <c r="XEA248" s="15"/>
      <c r="XEB248" s="15"/>
      <c r="XEC248" s="15"/>
      <c r="XED248" s="15"/>
      <c r="XEE248" s="15"/>
      <c r="XEF248" s="15"/>
      <c r="XEG248" s="15"/>
      <c r="XEH248" s="15"/>
      <c r="XEI248" s="15"/>
      <c r="XEJ248" s="15"/>
      <c r="XEK248" s="10"/>
      <c r="XEL248" s="10"/>
      <c r="XEM248" s="21"/>
      <c r="XEN248" s="21"/>
      <c r="XEQ248" s="21"/>
      <c r="XER248" s="15"/>
      <c r="XES248" s="15"/>
      <c r="XET248" s="15"/>
      <c r="XEU248" s="15"/>
      <c r="XEV248" s="15"/>
      <c r="XEW248" s="15"/>
      <c r="XEX248" s="15"/>
      <c r="XEY248" s="15"/>
      <c r="XEZ248" s="15"/>
      <c r="XFA248" s="15"/>
      <c r="XFB248" s="10"/>
      <c r="XFC248" s="10"/>
      <c r="XFD248" s="21"/>
    </row>
    <row r="249" spans="1:4094 4097:8191 8194:12288 12291:16384" ht="14.25" customHeight="1" x14ac:dyDescent="0.25">
      <c r="A249" s="31">
        <v>0</v>
      </c>
      <c r="B249" s="31">
        <v>1</v>
      </c>
      <c r="C249" s="31">
        <v>6</v>
      </c>
      <c r="D249" s="32" t="s">
        <v>517</v>
      </c>
      <c r="E249" s="32" t="s">
        <v>166</v>
      </c>
      <c r="F249" s="32" t="s">
        <v>518</v>
      </c>
      <c r="G249" s="32" t="s">
        <v>519</v>
      </c>
      <c r="H249" s="32" t="s">
        <v>352</v>
      </c>
      <c r="I249" s="31" t="s">
        <v>520</v>
      </c>
      <c r="J249" s="31">
        <v>99</v>
      </c>
      <c r="K249" s="33" t="s">
        <v>693</v>
      </c>
      <c r="L249" s="33">
        <v>40</v>
      </c>
      <c r="M249" s="34" t="s">
        <v>948</v>
      </c>
      <c r="N249" s="34" t="s">
        <v>1790</v>
      </c>
      <c r="O249" s="35">
        <v>1</v>
      </c>
      <c r="P249" s="35"/>
      <c r="Q249" s="32"/>
      <c r="S249" s="1">
        <f t="shared" si="97"/>
        <v>0</v>
      </c>
      <c r="T249" s="1">
        <f t="shared" si="98"/>
        <v>0</v>
      </c>
      <c r="U249" s="1">
        <f t="shared" si="99"/>
        <v>0</v>
      </c>
      <c r="V249" s="1">
        <f t="shared" si="100"/>
        <v>0</v>
      </c>
      <c r="W249" s="1">
        <f t="shared" si="101"/>
        <v>0</v>
      </c>
      <c r="X249" s="1">
        <f t="shared" si="102"/>
        <v>0</v>
      </c>
      <c r="Y249" s="1">
        <f t="shared" si="103"/>
        <v>0</v>
      </c>
      <c r="Z249" s="1">
        <f t="shared" si="104"/>
        <v>0</v>
      </c>
      <c r="AA249" s="1">
        <f t="shared" si="105"/>
        <v>0</v>
      </c>
      <c r="AB249" s="1">
        <f t="shared" si="106"/>
        <v>0</v>
      </c>
      <c r="AD249" s="1">
        <f t="shared" si="107"/>
        <v>0</v>
      </c>
      <c r="AE249" s="1">
        <f t="shared" si="108"/>
        <v>1</v>
      </c>
      <c r="AF249" s="1">
        <f t="shared" si="109"/>
        <v>0</v>
      </c>
      <c r="AG249" s="1">
        <f t="shared" si="110"/>
        <v>1</v>
      </c>
      <c r="AH249" s="1">
        <f t="shared" si="111"/>
        <v>0</v>
      </c>
      <c r="AI249" s="1">
        <f t="shared" si="112"/>
        <v>1</v>
      </c>
    </row>
    <row r="250" spans="1:4094 4097:8191 8194:12288 12291:16384" ht="13.9" customHeight="1" x14ac:dyDescent="0.25">
      <c r="A250" s="38">
        <v>0</v>
      </c>
      <c r="B250" s="38">
        <v>1</v>
      </c>
      <c r="C250" s="38">
        <v>6</v>
      </c>
      <c r="D250" s="39" t="s">
        <v>1778</v>
      </c>
      <c r="E250" s="39" t="s">
        <v>1779</v>
      </c>
      <c r="F250" s="39" t="s">
        <v>1780</v>
      </c>
      <c r="G250" s="39"/>
      <c r="H250" s="39" t="s">
        <v>352</v>
      </c>
      <c r="I250" s="38" t="s">
        <v>1781</v>
      </c>
      <c r="J250" s="38"/>
      <c r="K250" s="40" t="s">
        <v>694</v>
      </c>
      <c r="L250" s="40"/>
      <c r="M250" s="41"/>
      <c r="N250" s="42"/>
      <c r="O250" s="43"/>
      <c r="P250" s="43">
        <v>1</v>
      </c>
      <c r="Q250" s="39"/>
      <c r="S250" s="1">
        <f t="shared" si="97"/>
        <v>0</v>
      </c>
      <c r="T250" s="1">
        <f t="shared" si="98"/>
        <v>0</v>
      </c>
      <c r="U250" s="1">
        <f t="shared" si="99"/>
        <v>0</v>
      </c>
      <c r="V250" s="1">
        <f t="shared" si="100"/>
        <v>0</v>
      </c>
      <c r="W250" s="1">
        <f t="shared" si="101"/>
        <v>0</v>
      </c>
      <c r="X250" s="1">
        <f t="shared" si="102"/>
        <v>0</v>
      </c>
      <c r="Y250" s="1">
        <f t="shared" si="103"/>
        <v>0</v>
      </c>
      <c r="Z250" s="1">
        <f t="shared" si="104"/>
        <v>0</v>
      </c>
      <c r="AA250" s="1">
        <f t="shared" si="105"/>
        <v>0</v>
      </c>
      <c r="AB250" s="1">
        <f t="shared" si="106"/>
        <v>0</v>
      </c>
      <c r="AD250" s="1">
        <f t="shared" si="107"/>
        <v>0</v>
      </c>
      <c r="AE250" s="1">
        <f t="shared" si="108"/>
        <v>0</v>
      </c>
      <c r="AF250" s="1">
        <f t="shared" si="109"/>
        <v>0</v>
      </c>
      <c r="AG250" s="1">
        <f t="shared" si="110"/>
        <v>0</v>
      </c>
      <c r="AH250" s="1">
        <f t="shared" si="111"/>
        <v>1</v>
      </c>
      <c r="AI250" s="1">
        <f t="shared" si="112"/>
        <v>0</v>
      </c>
    </row>
    <row r="251" spans="1:4094 4097:8191 8194:12288 12291:16384" ht="14.25" customHeight="1" x14ac:dyDescent="0.25">
      <c r="A251" s="31">
        <v>0</v>
      </c>
      <c r="B251" s="31">
        <v>1</v>
      </c>
      <c r="C251" s="31">
        <v>6</v>
      </c>
      <c r="D251" s="32" t="s">
        <v>2026</v>
      </c>
      <c r="E251" s="32" t="s">
        <v>166</v>
      </c>
      <c r="F251" s="32" t="s">
        <v>2027</v>
      </c>
      <c r="G251" s="32"/>
      <c r="H251" s="32" t="s">
        <v>352</v>
      </c>
      <c r="I251" s="31" t="s">
        <v>2028</v>
      </c>
      <c r="J251" s="31"/>
      <c r="K251" s="33" t="s">
        <v>694</v>
      </c>
      <c r="L251" s="33"/>
      <c r="M251" s="34"/>
      <c r="N251" s="34" t="s">
        <v>1693</v>
      </c>
      <c r="O251" s="35">
        <v>1</v>
      </c>
      <c r="P251" s="35"/>
      <c r="Q251" s="32" t="s">
        <v>2029</v>
      </c>
      <c r="S251" s="1">
        <f t="shared" si="97"/>
        <v>0</v>
      </c>
      <c r="T251" s="1">
        <f t="shared" si="98"/>
        <v>0</v>
      </c>
      <c r="U251" s="1">
        <f t="shared" si="99"/>
        <v>0</v>
      </c>
      <c r="V251" s="1">
        <f t="shared" si="100"/>
        <v>0</v>
      </c>
      <c r="W251" s="1">
        <f t="shared" si="101"/>
        <v>0</v>
      </c>
      <c r="X251" s="1">
        <f t="shared" si="102"/>
        <v>0</v>
      </c>
      <c r="Y251" s="1">
        <f t="shared" si="103"/>
        <v>0</v>
      </c>
      <c r="Z251" s="1">
        <f t="shared" si="104"/>
        <v>0</v>
      </c>
      <c r="AA251" s="1">
        <f t="shared" si="105"/>
        <v>0</v>
      </c>
      <c r="AB251" s="1">
        <f t="shared" si="106"/>
        <v>0</v>
      </c>
      <c r="AD251" s="1">
        <f t="shared" si="107"/>
        <v>0</v>
      </c>
      <c r="AE251" s="1">
        <f t="shared" si="108"/>
        <v>1</v>
      </c>
      <c r="AF251" s="1">
        <f t="shared" si="109"/>
        <v>0</v>
      </c>
      <c r="AG251" s="1">
        <f t="shared" si="110"/>
        <v>1</v>
      </c>
      <c r="AH251" s="1">
        <f t="shared" si="111"/>
        <v>0</v>
      </c>
      <c r="AI251" s="1">
        <f t="shared" si="112"/>
        <v>1</v>
      </c>
    </row>
    <row r="252" spans="1:4094 4097:8191 8194:12288 12291:16384" ht="13.9" customHeight="1" x14ac:dyDescent="0.25">
      <c r="A252" s="31">
        <v>0</v>
      </c>
      <c r="B252" s="31">
        <v>1</v>
      </c>
      <c r="C252" s="31">
        <v>6</v>
      </c>
      <c r="D252" s="32" t="s">
        <v>1442</v>
      </c>
      <c r="E252" s="32" t="s">
        <v>166</v>
      </c>
      <c r="F252" s="32" t="s">
        <v>1444</v>
      </c>
      <c r="G252" s="32" t="s">
        <v>1445</v>
      </c>
      <c r="H252" s="32" t="s">
        <v>352</v>
      </c>
      <c r="I252" s="31" t="s">
        <v>1443</v>
      </c>
      <c r="J252" s="31">
        <v>99</v>
      </c>
      <c r="K252" s="33" t="s">
        <v>694</v>
      </c>
      <c r="L252" s="33">
        <v>62</v>
      </c>
      <c r="M252" s="34"/>
      <c r="N252" s="34" t="s">
        <v>1694</v>
      </c>
      <c r="O252" s="35">
        <v>1</v>
      </c>
      <c r="P252" s="35"/>
      <c r="Q252" s="32"/>
      <c r="S252" s="1">
        <f t="shared" si="97"/>
        <v>0</v>
      </c>
      <c r="T252" s="1">
        <f t="shared" si="98"/>
        <v>0</v>
      </c>
      <c r="U252" s="1">
        <f t="shared" si="99"/>
        <v>0</v>
      </c>
      <c r="V252" s="1">
        <f t="shared" si="100"/>
        <v>0</v>
      </c>
      <c r="W252" s="1">
        <f t="shared" si="101"/>
        <v>0</v>
      </c>
      <c r="X252" s="1">
        <f t="shared" si="102"/>
        <v>0</v>
      </c>
      <c r="Y252" s="1">
        <f t="shared" si="103"/>
        <v>0</v>
      </c>
      <c r="Z252" s="1">
        <f t="shared" si="104"/>
        <v>0</v>
      </c>
      <c r="AA252" s="1">
        <f t="shared" si="105"/>
        <v>0</v>
      </c>
      <c r="AB252" s="1">
        <f t="shared" si="106"/>
        <v>0</v>
      </c>
      <c r="AD252" s="1">
        <f t="shared" si="107"/>
        <v>0</v>
      </c>
      <c r="AE252" s="1">
        <f t="shared" si="108"/>
        <v>1</v>
      </c>
      <c r="AF252" s="1">
        <f t="shared" si="109"/>
        <v>0</v>
      </c>
      <c r="AG252" s="1">
        <f t="shared" si="110"/>
        <v>1</v>
      </c>
      <c r="AH252" s="1">
        <f t="shared" si="111"/>
        <v>0</v>
      </c>
      <c r="AI252" s="1">
        <f t="shared" si="112"/>
        <v>1</v>
      </c>
    </row>
    <row r="253" spans="1:4094 4097:8191 8194:12288 12291:16384" ht="14.25" customHeight="1" x14ac:dyDescent="0.25">
      <c r="A253" s="31">
        <v>0</v>
      </c>
      <c r="B253" s="31">
        <v>1</v>
      </c>
      <c r="C253" s="31">
        <v>6</v>
      </c>
      <c r="D253" s="32" t="s">
        <v>1164</v>
      </c>
      <c r="E253" s="32" t="s">
        <v>164</v>
      </c>
      <c r="F253" s="32" t="s">
        <v>1626</v>
      </c>
      <c r="G253" s="32" t="s">
        <v>212</v>
      </c>
      <c r="H253" s="32" t="s">
        <v>352</v>
      </c>
      <c r="I253" s="31" t="s">
        <v>1165</v>
      </c>
      <c r="J253" s="31">
        <v>1</v>
      </c>
      <c r="K253" s="33" t="s">
        <v>938</v>
      </c>
      <c r="L253" s="33" t="s">
        <v>678</v>
      </c>
      <c r="M253" s="34" t="s">
        <v>1528</v>
      </c>
      <c r="N253" s="34" t="s">
        <v>1700</v>
      </c>
      <c r="O253" s="35">
        <v>1</v>
      </c>
      <c r="P253" s="35"/>
      <c r="Q253" s="32"/>
      <c r="S253" s="1">
        <f t="shared" si="97"/>
        <v>1</v>
      </c>
      <c r="T253" s="1">
        <f t="shared" si="98"/>
        <v>0</v>
      </c>
      <c r="U253" s="1">
        <f t="shared" si="99"/>
        <v>0</v>
      </c>
      <c r="V253" s="1">
        <f t="shared" si="100"/>
        <v>0</v>
      </c>
      <c r="W253" s="1">
        <f t="shared" si="101"/>
        <v>0</v>
      </c>
      <c r="X253" s="1">
        <f t="shared" si="102"/>
        <v>0</v>
      </c>
      <c r="Y253" s="1">
        <f t="shared" si="103"/>
        <v>0</v>
      </c>
      <c r="Z253" s="1">
        <f t="shared" si="104"/>
        <v>0</v>
      </c>
      <c r="AA253" s="1">
        <f t="shared" si="105"/>
        <v>0</v>
      </c>
      <c r="AB253" s="1">
        <f t="shared" si="106"/>
        <v>0</v>
      </c>
      <c r="AD253" s="1">
        <f t="shared" si="107"/>
        <v>0</v>
      </c>
      <c r="AE253" s="1">
        <f t="shared" si="108"/>
        <v>1</v>
      </c>
      <c r="AF253" s="1">
        <f t="shared" si="109"/>
        <v>0</v>
      </c>
      <c r="AG253" s="1">
        <f t="shared" si="110"/>
        <v>1</v>
      </c>
      <c r="AH253" s="1">
        <f t="shared" si="111"/>
        <v>0</v>
      </c>
      <c r="AI253" s="1">
        <f t="shared" si="112"/>
        <v>1</v>
      </c>
    </row>
    <row r="254" spans="1:4094 4097:8191 8194:12288 12291:16384" ht="14.25" customHeight="1" x14ac:dyDescent="0.25">
      <c r="A254" s="31">
        <v>0</v>
      </c>
      <c r="B254" s="31">
        <v>1</v>
      </c>
      <c r="C254" s="31">
        <v>6</v>
      </c>
      <c r="D254" s="32" t="s">
        <v>2007</v>
      </c>
      <c r="E254" s="32" t="s">
        <v>2008</v>
      </c>
      <c r="F254" s="32" t="s">
        <v>2009</v>
      </c>
      <c r="G254" s="32" t="s">
        <v>207</v>
      </c>
      <c r="H254" s="32" t="s">
        <v>352</v>
      </c>
      <c r="I254" s="31" t="s">
        <v>2010</v>
      </c>
      <c r="J254" s="31">
        <v>3</v>
      </c>
      <c r="K254" s="33" t="s">
        <v>694</v>
      </c>
      <c r="L254" s="33">
        <v>30</v>
      </c>
      <c r="M254" s="34" t="s">
        <v>2011</v>
      </c>
      <c r="N254" s="34" t="s">
        <v>1790</v>
      </c>
      <c r="O254" s="35">
        <v>1</v>
      </c>
      <c r="P254" s="35"/>
      <c r="Q254" s="32"/>
      <c r="S254" s="1">
        <f t="shared" si="97"/>
        <v>0</v>
      </c>
      <c r="T254" s="1">
        <f t="shared" si="98"/>
        <v>0</v>
      </c>
      <c r="U254" s="1">
        <f t="shared" si="99"/>
        <v>1</v>
      </c>
      <c r="V254" s="1">
        <f t="shared" si="100"/>
        <v>0</v>
      </c>
      <c r="W254" s="1">
        <f t="shared" si="101"/>
        <v>0</v>
      </c>
      <c r="X254" s="1">
        <f t="shared" si="102"/>
        <v>0</v>
      </c>
      <c r="Y254" s="1">
        <f t="shared" si="103"/>
        <v>0</v>
      </c>
      <c r="Z254" s="1">
        <f t="shared" si="104"/>
        <v>0</v>
      </c>
      <c r="AA254" s="1">
        <f t="shared" si="105"/>
        <v>0</v>
      </c>
      <c r="AB254" s="1">
        <f t="shared" si="106"/>
        <v>0</v>
      </c>
      <c r="AD254" s="1">
        <f t="shared" si="107"/>
        <v>0</v>
      </c>
      <c r="AE254" s="1">
        <f t="shared" si="108"/>
        <v>1</v>
      </c>
      <c r="AF254" s="1">
        <f t="shared" si="109"/>
        <v>0</v>
      </c>
      <c r="AG254" s="1">
        <f t="shared" si="110"/>
        <v>1</v>
      </c>
      <c r="AH254" s="1">
        <f t="shared" si="111"/>
        <v>0</v>
      </c>
      <c r="AI254" s="1">
        <f t="shared" si="112"/>
        <v>1</v>
      </c>
    </row>
    <row r="255" spans="1:4094 4097:8191 8194:12288 12291:16384" ht="14.25" customHeight="1" x14ac:dyDescent="0.25">
      <c r="A255" s="31">
        <v>0</v>
      </c>
      <c r="B255" s="31">
        <v>1</v>
      </c>
      <c r="C255" s="31">
        <v>6</v>
      </c>
      <c r="D255" s="32" t="s">
        <v>97</v>
      </c>
      <c r="E255" s="32" t="s">
        <v>166</v>
      </c>
      <c r="F255" s="32" t="s">
        <v>294</v>
      </c>
      <c r="G255" s="32" t="s">
        <v>283</v>
      </c>
      <c r="H255" s="32" t="s">
        <v>352</v>
      </c>
      <c r="I255" s="31" t="s">
        <v>1094</v>
      </c>
      <c r="J255" s="31">
        <v>10</v>
      </c>
      <c r="K255" s="33" t="s">
        <v>932</v>
      </c>
      <c r="L255" s="33" t="s">
        <v>685</v>
      </c>
      <c r="M255" s="34" t="s">
        <v>696</v>
      </c>
      <c r="N255" s="34" t="s">
        <v>1694</v>
      </c>
      <c r="O255" s="35">
        <v>1</v>
      </c>
      <c r="P255" s="35"/>
      <c r="Q255" s="32"/>
      <c r="S255" s="1">
        <f t="shared" si="97"/>
        <v>0</v>
      </c>
      <c r="T255" s="1">
        <f t="shared" si="98"/>
        <v>0</v>
      </c>
      <c r="U255" s="1">
        <f t="shared" si="99"/>
        <v>0</v>
      </c>
      <c r="V255" s="1">
        <f t="shared" si="100"/>
        <v>0</v>
      </c>
      <c r="W255" s="1">
        <f t="shared" si="101"/>
        <v>0</v>
      </c>
      <c r="X255" s="1">
        <f t="shared" si="102"/>
        <v>0</v>
      </c>
      <c r="Y255" s="1">
        <f t="shared" si="103"/>
        <v>0</v>
      </c>
      <c r="Z255" s="1">
        <f t="shared" si="104"/>
        <v>0</v>
      </c>
      <c r="AA255" s="1">
        <f t="shared" si="105"/>
        <v>0</v>
      </c>
      <c r="AB255" s="1">
        <f t="shared" si="106"/>
        <v>1</v>
      </c>
      <c r="AD255" s="1">
        <f t="shared" si="107"/>
        <v>0</v>
      </c>
      <c r="AE255" s="1">
        <f t="shared" si="108"/>
        <v>1</v>
      </c>
      <c r="AF255" s="1">
        <f t="shared" si="109"/>
        <v>0</v>
      </c>
      <c r="AG255" s="1">
        <f t="shared" si="110"/>
        <v>1</v>
      </c>
      <c r="AH255" s="1">
        <f t="shared" si="111"/>
        <v>0</v>
      </c>
      <c r="AI255" s="1">
        <f t="shared" si="112"/>
        <v>1</v>
      </c>
    </row>
    <row r="256" spans="1:4094 4097:8191 8194:12288 12291:16384" ht="14.25" customHeight="1" x14ac:dyDescent="0.25">
      <c r="A256" s="31">
        <v>0</v>
      </c>
      <c r="B256" s="31">
        <v>1</v>
      </c>
      <c r="C256" s="31">
        <v>6</v>
      </c>
      <c r="D256" s="32" t="s">
        <v>595</v>
      </c>
      <c r="E256" s="32" t="s">
        <v>164</v>
      </c>
      <c r="F256" s="32" t="s">
        <v>597</v>
      </c>
      <c r="G256" s="32" t="s">
        <v>39</v>
      </c>
      <c r="H256" s="32" t="s">
        <v>352</v>
      </c>
      <c r="I256" s="31" t="s">
        <v>596</v>
      </c>
      <c r="J256" s="31">
        <v>99</v>
      </c>
      <c r="K256" s="33" t="s">
        <v>932</v>
      </c>
      <c r="L256" s="33" t="s">
        <v>684</v>
      </c>
      <c r="M256" s="34" t="s">
        <v>946</v>
      </c>
      <c r="N256" s="34" t="s">
        <v>1694</v>
      </c>
      <c r="O256" s="35">
        <v>1</v>
      </c>
      <c r="P256" s="35"/>
      <c r="Q256" s="32"/>
      <c r="S256" s="1">
        <f t="shared" si="97"/>
        <v>0</v>
      </c>
      <c r="T256" s="1">
        <f t="shared" si="98"/>
        <v>0</v>
      </c>
      <c r="U256" s="1">
        <f t="shared" si="99"/>
        <v>0</v>
      </c>
      <c r="V256" s="1">
        <f t="shared" si="100"/>
        <v>0</v>
      </c>
      <c r="W256" s="1">
        <f t="shared" si="101"/>
        <v>0</v>
      </c>
      <c r="X256" s="1">
        <f t="shared" si="102"/>
        <v>0</v>
      </c>
      <c r="Y256" s="1">
        <f t="shared" si="103"/>
        <v>0</v>
      </c>
      <c r="Z256" s="1">
        <f t="shared" si="104"/>
        <v>0</v>
      </c>
      <c r="AA256" s="1">
        <f t="shared" si="105"/>
        <v>0</v>
      </c>
      <c r="AB256" s="1">
        <f t="shared" si="106"/>
        <v>0</v>
      </c>
      <c r="AD256" s="1">
        <f t="shared" si="107"/>
        <v>0</v>
      </c>
      <c r="AE256" s="1">
        <f t="shared" si="108"/>
        <v>1</v>
      </c>
      <c r="AF256" s="1">
        <f t="shared" si="109"/>
        <v>0</v>
      </c>
      <c r="AG256" s="1">
        <f t="shared" si="110"/>
        <v>1</v>
      </c>
      <c r="AH256" s="1">
        <f t="shared" si="111"/>
        <v>0</v>
      </c>
      <c r="AI256" s="1">
        <f t="shared" si="112"/>
        <v>1</v>
      </c>
    </row>
    <row r="257" spans="1:35" ht="14.25" customHeight="1" x14ac:dyDescent="0.25">
      <c r="A257" s="31">
        <v>0</v>
      </c>
      <c r="B257" s="31">
        <v>1</v>
      </c>
      <c r="C257" s="31">
        <v>6</v>
      </c>
      <c r="D257" s="32" t="s">
        <v>1133</v>
      </c>
      <c r="E257" s="32" t="s">
        <v>164</v>
      </c>
      <c r="F257" s="32" t="s">
        <v>1135</v>
      </c>
      <c r="G257" s="32" t="s">
        <v>219</v>
      </c>
      <c r="H257" s="32" t="s">
        <v>352</v>
      </c>
      <c r="I257" s="31" t="s">
        <v>1134</v>
      </c>
      <c r="J257" s="31">
        <v>8</v>
      </c>
      <c r="K257" s="33" t="s">
        <v>693</v>
      </c>
      <c r="L257" s="33" t="s">
        <v>1667</v>
      </c>
      <c r="M257" s="34" t="s">
        <v>1367</v>
      </c>
      <c r="N257" s="34" t="s">
        <v>1693</v>
      </c>
      <c r="O257" s="35">
        <v>1</v>
      </c>
      <c r="P257" s="35"/>
      <c r="Q257" s="32"/>
      <c r="S257" s="1">
        <f t="shared" si="97"/>
        <v>0</v>
      </c>
      <c r="T257" s="1">
        <f t="shared" si="98"/>
        <v>0</v>
      </c>
      <c r="U257" s="1">
        <f t="shared" si="99"/>
        <v>0</v>
      </c>
      <c r="V257" s="1">
        <f t="shared" si="100"/>
        <v>0</v>
      </c>
      <c r="W257" s="1">
        <f t="shared" si="101"/>
        <v>0</v>
      </c>
      <c r="X257" s="1">
        <f t="shared" si="102"/>
        <v>0</v>
      </c>
      <c r="Y257" s="1">
        <f t="shared" si="103"/>
        <v>0</v>
      </c>
      <c r="Z257" s="1">
        <f t="shared" si="104"/>
        <v>1</v>
      </c>
      <c r="AA257" s="1">
        <f t="shared" si="105"/>
        <v>0</v>
      </c>
      <c r="AB257" s="1">
        <f t="shared" si="106"/>
        <v>0</v>
      </c>
      <c r="AD257" s="1">
        <f t="shared" si="107"/>
        <v>0</v>
      </c>
      <c r="AE257" s="1">
        <f t="shared" si="108"/>
        <v>1</v>
      </c>
      <c r="AF257" s="1">
        <f t="shared" si="109"/>
        <v>0</v>
      </c>
      <c r="AG257" s="1">
        <f t="shared" si="110"/>
        <v>1</v>
      </c>
      <c r="AH257" s="1">
        <f t="shared" si="111"/>
        <v>0</v>
      </c>
      <c r="AI257" s="1">
        <f t="shared" si="112"/>
        <v>1</v>
      </c>
    </row>
    <row r="258" spans="1:35" ht="14.25" customHeight="1" x14ac:dyDescent="0.25">
      <c r="A258" s="31">
        <v>0</v>
      </c>
      <c r="B258" s="31">
        <v>1</v>
      </c>
      <c r="C258" s="31">
        <v>6</v>
      </c>
      <c r="D258" s="32" t="s">
        <v>558</v>
      </c>
      <c r="E258" s="32" t="s">
        <v>166</v>
      </c>
      <c r="F258" s="32" t="s">
        <v>653</v>
      </c>
      <c r="G258" s="32" t="s">
        <v>201</v>
      </c>
      <c r="H258" s="32" t="s">
        <v>352</v>
      </c>
      <c r="I258" s="31" t="s">
        <v>575</v>
      </c>
      <c r="J258" s="31">
        <v>10</v>
      </c>
      <c r="K258" s="33" t="s">
        <v>938</v>
      </c>
      <c r="L258" s="33" t="s">
        <v>684</v>
      </c>
      <c r="M258" s="34" t="s">
        <v>696</v>
      </c>
      <c r="N258" s="34" t="s">
        <v>1693</v>
      </c>
      <c r="O258" s="35">
        <v>1</v>
      </c>
      <c r="P258" s="35"/>
      <c r="Q258" s="36"/>
      <c r="S258" s="1">
        <f t="shared" si="97"/>
        <v>0</v>
      </c>
      <c r="T258" s="1">
        <f t="shared" si="98"/>
        <v>0</v>
      </c>
      <c r="U258" s="1">
        <f t="shared" si="99"/>
        <v>0</v>
      </c>
      <c r="V258" s="1">
        <f t="shared" si="100"/>
        <v>0</v>
      </c>
      <c r="W258" s="1">
        <f t="shared" si="101"/>
        <v>0</v>
      </c>
      <c r="X258" s="1">
        <f t="shared" si="102"/>
        <v>0</v>
      </c>
      <c r="Y258" s="1">
        <f t="shared" si="103"/>
        <v>0</v>
      </c>
      <c r="Z258" s="1">
        <f t="shared" si="104"/>
        <v>0</v>
      </c>
      <c r="AA258" s="1">
        <f t="shared" si="105"/>
        <v>0</v>
      </c>
      <c r="AB258" s="1">
        <f t="shared" si="106"/>
        <v>1</v>
      </c>
      <c r="AD258" s="1">
        <f t="shared" si="107"/>
        <v>0</v>
      </c>
      <c r="AE258" s="1">
        <f t="shared" si="108"/>
        <v>1</v>
      </c>
      <c r="AF258" s="1">
        <f t="shared" si="109"/>
        <v>0</v>
      </c>
      <c r="AG258" s="1">
        <f t="shared" si="110"/>
        <v>1</v>
      </c>
      <c r="AH258" s="1">
        <f t="shared" si="111"/>
        <v>0</v>
      </c>
      <c r="AI258" s="1">
        <f t="shared" si="112"/>
        <v>1</v>
      </c>
    </row>
    <row r="259" spans="1:35" ht="14.25" customHeight="1" x14ac:dyDescent="0.25">
      <c r="A259" s="31">
        <v>0</v>
      </c>
      <c r="B259" s="31">
        <v>1</v>
      </c>
      <c r="C259" s="31">
        <v>6</v>
      </c>
      <c r="D259" s="32" t="s">
        <v>875</v>
      </c>
      <c r="E259" s="32" t="s">
        <v>166</v>
      </c>
      <c r="F259" s="32" t="s">
        <v>915</v>
      </c>
      <c r="G259" s="32" t="s">
        <v>916</v>
      </c>
      <c r="H259" s="32" t="s">
        <v>352</v>
      </c>
      <c r="I259" s="31" t="s">
        <v>929</v>
      </c>
      <c r="J259" s="31">
        <v>99</v>
      </c>
      <c r="K259" s="33" t="s">
        <v>693</v>
      </c>
      <c r="L259" s="33" t="s">
        <v>680</v>
      </c>
      <c r="M259" s="34" t="s">
        <v>1368</v>
      </c>
      <c r="N259" s="34" t="s">
        <v>1706</v>
      </c>
      <c r="O259" s="35">
        <v>1</v>
      </c>
      <c r="P259" s="35"/>
      <c r="Q259" s="32"/>
      <c r="S259" s="1">
        <f t="shared" si="97"/>
        <v>0</v>
      </c>
      <c r="T259" s="1">
        <f t="shared" si="98"/>
        <v>0</v>
      </c>
      <c r="U259" s="1">
        <f t="shared" si="99"/>
        <v>0</v>
      </c>
      <c r="V259" s="1">
        <f t="shared" si="100"/>
        <v>0</v>
      </c>
      <c r="W259" s="1">
        <f t="shared" si="101"/>
        <v>0</v>
      </c>
      <c r="X259" s="1">
        <f t="shared" si="102"/>
        <v>0</v>
      </c>
      <c r="Y259" s="1">
        <f t="shared" si="103"/>
        <v>0</v>
      </c>
      <c r="Z259" s="1">
        <f t="shared" si="104"/>
        <v>0</v>
      </c>
      <c r="AA259" s="1">
        <f t="shared" si="105"/>
        <v>0</v>
      </c>
      <c r="AB259" s="1">
        <f t="shared" si="106"/>
        <v>0</v>
      </c>
      <c r="AD259" s="1">
        <f t="shared" si="107"/>
        <v>0</v>
      </c>
      <c r="AE259" s="1">
        <f t="shared" si="108"/>
        <v>1</v>
      </c>
      <c r="AF259" s="1">
        <f t="shared" si="109"/>
        <v>0</v>
      </c>
      <c r="AG259" s="1">
        <f t="shared" si="110"/>
        <v>1</v>
      </c>
      <c r="AH259" s="1">
        <f t="shared" si="111"/>
        <v>0</v>
      </c>
      <c r="AI259" s="1">
        <f t="shared" si="112"/>
        <v>1</v>
      </c>
    </row>
    <row r="260" spans="1:35" ht="14.25" customHeight="1" x14ac:dyDescent="0.25">
      <c r="A260" s="31">
        <v>0</v>
      </c>
      <c r="B260" s="31">
        <v>1</v>
      </c>
      <c r="C260" s="31">
        <v>6</v>
      </c>
      <c r="D260" s="32" t="s">
        <v>99</v>
      </c>
      <c r="E260" s="32" t="s">
        <v>166</v>
      </c>
      <c r="F260" s="32" t="s">
        <v>654</v>
      </c>
      <c r="G260" s="32" t="s">
        <v>656</v>
      </c>
      <c r="H260" s="32" t="s">
        <v>352</v>
      </c>
      <c r="I260" s="31" t="s">
        <v>444</v>
      </c>
      <c r="J260" s="31">
        <v>99</v>
      </c>
      <c r="K260" s="33" t="s">
        <v>713</v>
      </c>
      <c r="L260" s="33" t="s">
        <v>687</v>
      </c>
      <c r="M260" s="34" t="s">
        <v>698</v>
      </c>
      <c r="N260" s="34" t="s">
        <v>1694</v>
      </c>
      <c r="O260" s="35">
        <v>1</v>
      </c>
      <c r="P260" s="35"/>
      <c r="Q260" s="32"/>
      <c r="S260" s="1">
        <f t="shared" si="97"/>
        <v>0</v>
      </c>
      <c r="T260" s="1">
        <f t="shared" si="98"/>
        <v>0</v>
      </c>
      <c r="U260" s="1">
        <f t="shared" si="99"/>
        <v>0</v>
      </c>
      <c r="V260" s="1">
        <f t="shared" si="100"/>
        <v>0</v>
      </c>
      <c r="W260" s="1">
        <f t="shared" si="101"/>
        <v>0</v>
      </c>
      <c r="X260" s="1">
        <f t="shared" si="102"/>
        <v>0</v>
      </c>
      <c r="Y260" s="1">
        <f t="shared" si="103"/>
        <v>0</v>
      </c>
      <c r="Z260" s="1">
        <f t="shared" si="104"/>
        <v>0</v>
      </c>
      <c r="AA260" s="1">
        <f t="shared" si="105"/>
        <v>0</v>
      </c>
      <c r="AB260" s="1">
        <f t="shared" si="106"/>
        <v>0</v>
      </c>
      <c r="AD260" s="1">
        <f t="shared" si="107"/>
        <v>0</v>
      </c>
      <c r="AE260" s="1">
        <f t="shared" si="108"/>
        <v>1</v>
      </c>
      <c r="AF260" s="1">
        <f t="shared" si="109"/>
        <v>0</v>
      </c>
      <c r="AG260" s="1">
        <f t="shared" si="110"/>
        <v>1</v>
      </c>
      <c r="AH260" s="1">
        <f t="shared" si="111"/>
        <v>0</v>
      </c>
      <c r="AI260" s="1">
        <f t="shared" si="112"/>
        <v>1</v>
      </c>
    </row>
    <row r="261" spans="1:35" ht="14.25" customHeight="1" x14ac:dyDescent="0.25">
      <c r="A261" s="31">
        <v>0</v>
      </c>
      <c r="B261" s="31">
        <v>1</v>
      </c>
      <c r="C261" s="31">
        <v>7</v>
      </c>
      <c r="D261" s="32" t="s">
        <v>86</v>
      </c>
      <c r="E261" s="32" t="s">
        <v>29</v>
      </c>
      <c r="F261" s="32" t="s">
        <v>655</v>
      </c>
      <c r="G261" s="32" t="s">
        <v>656</v>
      </c>
      <c r="H261" s="32" t="s">
        <v>352</v>
      </c>
      <c r="I261" s="31" t="s">
        <v>623</v>
      </c>
      <c r="J261" s="31">
        <v>99</v>
      </c>
      <c r="K261" s="33" t="s">
        <v>930</v>
      </c>
      <c r="L261" s="33" t="s">
        <v>684</v>
      </c>
      <c r="M261" s="34" t="s">
        <v>1369</v>
      </c>
      <c r="N261" s="34" t="s">
        <v>1681</v>
      </c>
      <c r="O261" s="35">
        <v>1</v>
      </c>
      <c r="P261" s="35">
        <v>1</v>
      </c>
      <c r="Q261" s="32"/>
      <c r="S261" s="1">
        <f t="shared" si="97"/>
        <v>0</v>
      </c>
      <c r="T261" s="1">
        <f t="shared" si="98"/>
        <v>0</v>
      </c>
      <c r="U261" s="1">
        <f t="shared" si="99"/>
        <v>0</v>
      </c>
      <c r="V261" s="1">
        <f t="shared" si="100"/>
        <v>0</v>
      </c>
      <c r="W261" s="1">
        <f t="shared" si="101"/>
        <v>0</v>
      </c>
      <c r="X261" s="1">
        <f t="shared" si="102"/>
        <v>0</v>
      </c>
      <c r="Y261" s="1">
        <f t="shared" si="103"/>
        <v>0</v>
      </c>
      <c r="Z261" s="1">
        <f t="shared" si="104"/>
        <v>0</v>
      </c>
      <c r="AA261" s="1">
        <f t="shared" si="105"/>
        <v>0</v>
      </c>
      <c r="AB261" s="1">
        <f t="shared" si="106"/>
        <v>0</v>
      </c>
      <c r="AD261" s="1">
        <f t="shared" si="107"/>
        <v>1</v>
      </c>
      <c r="AE261" s="1">
        <f t="shared" si="108"/>
        <v>0</v>
      </c>
      <c r="AF261" s="1">
        <f t="shared" si="109"/>
        <v>1</v>
      </c>
      <c r="AG261" s="1">
        <f t="shared" si="110"/>
        <v>0</v>
      </c>
      <c r="AH261" s="1">
        <f t="shared" si="111"/>
        <v>1</v>
      </c>
      <c r="AI261" s="1">
        <f t="shared" si="112"/>
        <v>0</v>
      </c>
    </row>
    <row r="262" spans="1:35" ht="14.25" customHeight="1" x14ac:dyDescent="0.25">
      <c r="A262" s="31">
        <v>0</v>
      </c>
      <c r="B262" s="31">
        <v>1</v>
      </c>
      <c r="C262" s="31">
        <v>7</v>
      </c>
      <c r="D262" s="32" t="s">
        <v>642</v>
      </c>
      <c r="E262" s="32" t="s">
        <v>29</v>
      </c>
      <c r="F262" s="32" t="s">
        <v>618</v>
      </c>
      <c r="G262" s="32" t="s">
        <v>231</v>
      </c>
      <c r="H262" s="32" t="s">
        <v>352</v>
      </c>
      <c r="I262" s="31" t="s">
        <v>619</v>
      </c>
      <c r="J262" s="31">
        <v>99</v>
      </c>
      <c r="K262" s="33" t="s">
        <v>704</v>
      </c>
      <c r="L262" s="33" t="s">
        <v>687</v>
      </c>
      <c r="M262" s="34" t="s">
        <v>949</v>
      </c>
      <c r="N262" s="34" t="s">
        <v>1790</v>
      </c>
      <c r="O262" s="35">
        <v>1</v>
      </c>
      <c r="P262" s="35"/>
      <c r="Q262" s="32"/>
      <c r="S262" s="1">
        <f t="shared" si="97"/>
        <v>0</v>
      </c>
      <c r="T262" s="1">
        <f t="shared" si="98"/>
        <v>0</v>
      </c>
      <c r="U262" s="1">
        <f t="shared" si="99"/>
        <v>0</v>
      </c>
      <c r="V262" s="1">
        <f t="shared" si="100"/>
        <v>0</v>
      </c>
      <c r="W262" s="1">
        <f t="shared" si="101"/>
        <v>0</v>
      </c>
      <c r="X262" s="1">
        <f t="shared" si="102"/>
        <v>0</v>
      </c>
      <c r="Y262" s="1">
        <f t="shared" si="103"/>
        <v>0</v>
      </c>
      <c r="Z262" s="1">
        <f t="shared" si="104"/>
        <v>0</v>
      </c>
      <c r="AA262" s="1">
        <f t="shared" si="105"/>
        <v>0</v>
      </c>
      <c r="AB262" s="1">
        <f t="shared" si="106"/>
        <v>0</v>
      </c>
      <c r="AD262" s="1">
        <f t="shared" si="107"/>
        <v>0</v>
      </c>
      <c r="AE262" s="1">
        <f t="shared" si="108"/>
        <v>1</v>
      </c>
      <c r="AF262" s="1">
        <f t="shared" si="109"/>
        <v>0</v>
      </c>
      <c r="AG262" s="1">
        <f t="shared" si="110"/>
        <v>1</v>
      </c>
      <c r="AH262" s="1">
        <f t="shared" si="111"/>
        <v>0</v>
      </c>
      <c r="AI262" s="1">
        <f t="shared" si="112"/>
        <v>1</v>
      </c>
    </row>
    <row r="263" spans="1:35" ht="14.25" customHeight="1" x14ac:dyDescent="0.25">
      <c r="A263" s="15">
        <v>0</v>
      </c>
      <c r="B263" s="15">
        <v>1</v>
      </c>
      <c r="C263" s="15">
        <v>7</v>
      </c>
      <c r="D263" s="16" t="s">
        <v>959</v>
      </c>
      <c r="E263" s="16" t="s">
        <v>29</v>
      </c>
      <c r="F263" s="16" t="s">
        <v>960</v>
      </c>
      <c r="G263" s="16" t="s">
        <v>961</v>
      </c>
      <c r="H263" s="16" t="s">
        <v>352</v>
      </c>
      <c r="I263" s="15" t="s">
        <v>958</v>
      </c>
      <c r="J263" s="15">
        <v>99</v>
      </c>
      <c r="K263" s="10" t="s">
        <v>694</v>
      </c>
      <c r="L263" s="10">
        <v>20</v>
      </c>
      <c r="M263" s="19" t="s">
        <v>949</v>
      </c>
      <c r="N263" s="19"/>
      <c r="Q263" s="16"/>
      <c r="S263" s="1">
        <f t="shared" si="97"/>
        <v>0</v>
      </c>
      <c r="T263" s="1">
        <f t="shared" si="98"/>
        <v>0</v>
      </c>
      <c r="U263" s="1">
        <f t="shared" si="99"/>
        <v>0</v>
      </c>
      <c r="V263" s="1">
        <f t="shared" si="100"/>
        <v>0</v>
      </c>
      <c r="W263" s="1">
        <f t="shared" si="101"/>
        <v>0</v>
      </c>
      <c r="X263" s="1">
        <f t="shared" si="102"/>
        <v>0</v>
      </c>
      <c r="Y263" s="1">
        <f t="shared" si="103"/>
        <v>0</v>
      </c>
      <c r="Z263" s="1">
        <f t="shared" si="104"/>
        <v>0</v>
      </c>
      <c r="AA263" s="1">
        <f t="shared" si="105"/>
        <v>0</v>
      </c>
      <c r="AB263" s="1">
        <f t="shared" si="106"/>
        <v>0</v>
      </c>
      <c r="AD263" s="1">
        <f t="shared" si="107"/>
        <v>0</v>
      </c>
      <c r="AE263" s="1">
        <f t="shared" si="108"/>
        <v>0</v>
      </c>
      <c r="AF263" s="1">
        <f t="shared" si="109"/>
        <v>0</v>
      </c>
      <c r="AG263" s="1">
        <f t="shared" si="110"/>
        <v>0</v>
      </c>
      <c r="AH263" s="1">
        <f t="shared" si="111"/>
        <v>0</v>
      </c>
      <c r="AI263" s="1">
        <f t="shared" si="112"/>
        <v>1</v>
      </c>
    </row>
    <row r="264" spans="1:35" ht="14.25" customHeight="1" x14ac:dyDescent="0.25">
      <c r="A264" s="31">
        <v>0</v>
      </c>
      <c r="B264" s="31">
        <v>1</v>
      </c>
      <c r="C264" s="31">
        <v>7</v>
      </c>
      <c r="D264" s="32" t="s">
        <v>583</v>
      </c>
      <c r="E264" s="32" t="s">
        <v>29</v>
      </c>
      <c r="F264" s="32" t="s">
        <v>584</v>
      </c>
      <c r="G264" s="32" t="s">
        <v>1049</v>
      </c>
      <c r="H264" s="32" t="s">
        <v>352</v>
      </c>
      <c r="I264" s="31" t="s">
        <v>585</v>
      </c>
      <c r="J264" s="31">
        <v>99</v>
      </c>
      <c r="K264" s="33" t="s">
        <v>694</v>
      </c>
      <c r="L264" s="33">
        <v>35</v>
      </c>
      <c r="M264" s="34" t="s">
        <v>1369</v>
      </c>
      <c r="N264" s="34" t="s">
        <v>1681</v>
      </c>
      <c r="O264" s="35">
        <v>1</v>
      </c>
      <c r="P264" s="35">
        <v>1</v>
      </c>
      <c r="Q264" s="32"/>
      <c r="S264" s="1">
        <f t="shared" si="97"/>
        <v>0</v>
      </c>
      <c r="T264" s="1">
        <f t="shared" si="98"/>
        <v>0</v>
      </c>
      <c r="U264" s="1">
        <f t="shared" si="99"/>
        <v>0</v>
      </c>
      <c r="V264" s="1">
        <f t="shared" si="100"/>
        <v>0</v>
      </c>
      <c r="W264" s="1">
        <f t="shared" si="101"/>
        <v>0</v>
      </c>
      <c r="X264" s="1">
        <f t="shared" si="102"/>
        <v>0</v>
      </c>
      <c r="Y264" s="1">
        <f t="shared" si="103"/>
        <v>0</v>
      </c>
      <c r="Z264" s="1">
        <f t="shared" si="104"/>
        <v>0</v>
      </c>
      <c r="AA264" s="1">
        <f t="shared" si="105"/>
        <v>0</v>
      </c>
      <c r="AB264" s="1">
        <f t="shared" si="106"/>
        <v>0</v>
      </c>
      <c r="AD264" s="1">
        <f t="shared" si="107"/>
        <v>1</v>
      </c>
      <c r="AE264" s="1">
        <f t="shared" si="108"/>
        <v>0</v>
      </c>
      <c r="AF264" s="1">
        <f t="shared" si="109"/>
        <v>1</v>
      </c>
      <c r="AG264" s="1">
        <f t="shared" si="110"/>
        <v>0</v>
      </c>
      <c r="AH264" s="1">
        <f t="shared" si="111"/>
        <v>1</v>
      </c>
      <c r="AI264" s="1">
        <f t="shared" si="112"/>
        <v>0</v>
      </c>
    </row>
    <row r="265" spans="1:35" ht="14.25" customHeight="1" x14ac:dyDescent="0.25">
      <c r="A265" s="31">
        <v>0</v>
      </c>
      <c r="B265" s="31">
        <v>1</v>
      </c>
      <c r="C265" s="31">
        <v>7</v>
      </c>
      <c r="D265" s="32" t="s">
        <v>1583</v>
      </c>
      <c r="E265" s="32" t="s">
        <v>29</v>
      </c>
      <c r="F265" s="32" t="s">
        <v>1637</v>
      </c>
      <c r="G265" s="32" t="s">
        <v>310</v>
      </c>
      <c r="H265" s="32" t="s">
        <v>352</v>
      </c>
      <c r="I265" s="31" t="s">
        <v>1584</v>
      </c>
      <c r="J265" s="31"/>
      <c r="K265" s="33" t="s">
        <v>704</v>
      </c>
      <c r="L265" s="33">
        <v>45</v>
      </c>
      <c r="M265" s="34" t="s">
        <v>1743</v>
      </c>
      <c r="N265" s="34" t="s">
        <v>1687</v>
      </c>
      <c r="O265" s="35">
        <v>1</v>
      </c>
      <c r="P265" s="35">
        <v>1</v>
      </c>
      <c r="Q265" s="32"/>
      <c r="S265" s="1">
        <f t="shared" si="97"/>
        <v>0</v>
      </c>
      <c r="T265" s="1">
        <f t="shared" si="98"/>
        <v>0</v>
      </c>
      <c r="U265" s="1">
        <f t="shared" si="99"/>
        <v>0</v>
      </c>
      <c r="V265" s="1">
        <f t="shared" si="100"/>
        <v>0</v>
      </c>
      <c r="W265" s="1">
        <f t="shared" si="101"/>
        <v>0</v>
      </c>
      <c r="X265" s="1">
        <f t="shared" si="102"/>
        <v>0</v>
      </c>
      <c r="Y265" s="1">
        <f t="shared" si="103"/>
        <v>0</v>
      </c>
      <c r="Z265" s="1">
        <f t="shared" si="104"/>
        <v>0</v>
      </c>
      <c r="AA265" s="1">
        <f t="shared" si="105"/>
        <v>0</v>
      </c>
      <c r="AB265" s="1">
        <f t="shared" si="106"/>
        <v>0</v>
      </c>
      <c r="AD265" s="1">
        <f t="shared" si="107"/>
        <v>1</v>
      </c>
      <c r="AE265" s="1">
        <f t="shared" si="108"/>
        <v>0</v>
      </c>
      <c r="AF265" s="1">
        <f t="shared" si="109"/>
        <v>1</v>
      </c>
      <c r="AG265" s="1">
        <f t="shared" si="110"/>
        <v>0</v>
      </c>
      <c r="AH265" s="1">
        <f t="shared" si="111"/>
        <v>1</v>
      </c>
      <c r="AI265" s="1">
        <f t="shared" si="112"/>
        <v>0</v>
      </c>
    </row>
    <row r="266" spans="1:35" ht="14.25" customHeight="1" x14ac:dyDescent="0.25">
      <c r="A266" s="31">
        <v>0</v>
      </c>
      <c r="B266" s="31">
        <v>1</v>
      </c>
      <c r="C266" s="31">
        <v>7</v>
      </c>
      <c r="D266" s="32" t="s">
        <v>839</v>
      </c>
      <c r="E266" s="32" t="s">
        <v>29</v>
      </c>
      <c r="F266" s="32" t="s">
        <v>840</v>
      </c>
      <c r="G266" s="32" t="s">
        <v>201</v>
      </c>
      <c r="H266" s="32" t="s">
        <v>352</v>
      </c>
      <c r="I266" s="31" t="s">
        <v>841</v>
      </c>
      <c r="J266" s="31">
        <v>10</v>
      </c>
      <c r="K266" s="33" t="s">
        <v>704</v>
      </c>
      <c r="L266" s="33" t="s">
        <v>684</v>
      </c>
      <c r="M266" s="34" t="s">
        <v>1369</v>
      </c>
      <c r="N266" s="34" t="s">
        <v>1700</v>
      </c>
      <c r="O266" s="35">
        <v>1</v>
      </c>
      <c r="P266" s="35"/>
      <c r="Q266" s="32"/>
      <c r="S266" s="1">
        <f t="shared" si="97"/>
        <v>0</v>
      </c>
      <c r="T266" s="1">
        <f t="shared" si="98"/>
        <v>0</v>
      </c>
      <c r="U266" s="1">
        <f t="shared" si="99"/>
        <v>0</v>
      </c>
      <c r="V266" s="1">
        <f t="shared" si="100"/>
        <v>0</v>
      </c>
      <c r="W266" s="1">
        <f t="shared" si="101"/>
        <v>0</v>
      </c>
      <c r="X266" s="1">
        <f t="shared" si="102"/>
        <v>0</v>
      </c>
      <c r="Y266" s="1">
        <f t="shared" si="103"/>
        <v>0</v>
      </c>
      <c r="Z266" s="1">
        <f t="shared" si="104"/>
        <v>0</v>
      </c>
      <c r="AA266" s="1">
        <f t="shared" si="105"/>
        <v>0</v>
      </c>
      <c r="AB266" s="1">
        <f t="shared" si="106"/>
        <v>1</v>
      </c>
      <c r="AD266" s="1">
        <f t="shared" si="107"/>
        <v>0</v>
      </c>
      <c r="AE266" s="1">
        <f t="shared" si="108"/>
        <v>1</v>
      </c>
      <c r="AF266" s="1">
        <f t="shared" si="109"/>
        <v>0</v>
      </c>
      <c r="AG266" s="1">
        <f t="shared" si="110"/>
        <v>1</v>
      </c>
      <c r="AH266" s="1">
        <f t="shared" si="111"/>
        <v>0</v>
      </c>
      <c r="AI266" s="1">
        <f t="shared" si="112"/>
        <v>1</v>
      </c>
    </row>
    <row r="267" spans="1:35" ht="14.25" customHeight="1" x14ac:dyDescent="0.25">
      <c r="A267" s="31">
        <v>0</v>
      </c>
      <c r="B267" s="31">
        <v>1</v>
      </c>
      <c r="C267" s="31">
        <v>7</v>
      </c>
      <c r="D267" s="32" t="s">
        <v>40</v>
      </c>
      <c r="E267" s="32" t="s">
        <v>29</v>
      </c>
      <c r="F267" s="32" t="s">
        <v>279</v>
      </c>
      <c r="G267" s="32" t="s">
        <v>229</v>
      </c>
      <c r="H267" s="32" t="s">
        <v>352</v>
      </c>
      <c r="I267" s="31" t="s">
        <v>433</v>
      </c>
      <c r="J267" s="31">
        <v>7</v>
      </c>
      <c r="K267" s="33" t="s">
        <v>704</v>
      </c>
      <c r="L267" s="33" t="s">
        <v>687</v>
      </c>
      <c r="M267" s="34" t="s">
        <v>949</v>
      </c>
      <c r="N267" s="34" t="s">
        <v>1681</v>
      </c>
      <c r="O267" s="35">
        <v>1</v>
      </c>
      <c r="P267" s="35">
        <v>1</v>
      </c>
      <c r="Q267" s="32"/>
      <c r="S267" s="1">
        <f t="shared" si="97"/>
        <v>0</v>
      </c>
      <c r="T267" s="1">
        <f t="shared" si="98"/>
        <v>0</v>
      </c>
      <c r="U267" s="1">
        <f t="shared" si="99"/>
        <v>0</v>
      </c>
      <c r="V267" s="1">
        <f t="shared" si="100"/>
        <v>0</v>
      </c>
      <c r="W267" s="1">
        <f t="shared" si="101"/>
        <v>0</v>
      </c>
      <c r="X267" s="1">
        <f t="shared" si="102"/>
        <v>0</v>
      </c>
      <c r="Y267" s="1">
        <f t="shared" si="103"/>
        <v>1</v>
      </c>
      <c r="Z267" s="1">
        <f t="shared" si="104"/>
        <v>0</v>
      </c>
      <c r="AA267" s="1">
        <f t="shared" si="105"/>
        <v>0</v>
      </c>
      <c r="AB267" s="1">
        <f t="shared" si="106"/>
        <v>0</v>
      </c>
      <c r="AD267" s="1">
        <f t="shared" si="107"/>
        <v>1</v>
      </c>
      <c r="AE267" s="1">
        <f t="shared" si="108"/>
        <v>0</v>
      </c>
      <c r="AF267" s="1">
        <f t="shared" si="109"/>
        <v>1</v>
      </c>
      <c r="AG267" s="1">
        <f t="shared" si="110"/>
        <v>0</v>
      </c>
      <c r="AH267" s="1">
        <f t="shared" si="111"/>
        <v>1</v>
      </c>
      <c r="AI267" s="1">
        <f t="shared" si="112"/>
        <v>0</v>
      </c>
    </row>
    <row r="268" spans="1:35" ht="14.25" customHeight="1" x14ac:dyDescent="0.25">
      <c r="A268" s="31">
        <v>1</v>
      </c>
      <c r="B268" s="31">
        <v>1</v>
      </c>
      <c r="C268" s="31">
        <v>7</v>
      </c>
      <c r="D268" s="32" t="s">
        <v>40</v>
      </c>
      <c r="E268" s="32" t="s">
        <v>29</v>
      </c>
      <c r="F268" s="32" t="s">
        <v>1557</v>
      </c>
      <c r="G268" s="32" t="s">
        <v>39</v>
      </c>
      <c r="H268" s="32" t="s">
        <v>352</v>
      </c>
      <c r="I268" s="31" t="s">
        <v>1558</v>
      </c>
      <c r="J268" s="31">
        <v>99</v>
      </c>
      <c r="K268" s="33" t="s">
        <v>704</v>
      </c>
      <c r="L268" s="33" t="s">
        <v>687</v>
      </c>
      <c r="M268" s="34" t="s">
        <v>949</v>
      </c>
      <c r="N268" s="34" t="s">
        <v>1681</v>
      </c>
      <c r="O268" s="35">
        <v>1</v>
      </c>
      <c r="P268" s="35">
        <v>1</v>
      </c>
      <c r="Q268" s="32"/>
      <c r="S268" s="1">
        <f t="shared" si="97"/>
        <v>0</v>
      </c>
      <c r="T268" s="1">
        <f t="shared" si="98"/>
        <v>0</v>
      </c>
      <c r="U268" s="1">
        <f t="shared" si="99"/>
        <v>0</v>
      </c>
      <c r="V268" s="1">
        <f t="shared" si="100"/>
        <v>0</v>
      </c>
      <c r="W268" s="1">
        <f t="shared" si="101"/>
        <v>0</v>
      </c>
      <c r="X268" s="1">
        <f t="shared" si="102"/>
        <v>0</v>
      </c>
      <c r="Y268" s="1">
        <f t="shared" si="103"/>
        <v>0</v>
      </c>
      <c r="Z268" s="1">
        <f t="shared" si="104"/>
        <v>0</v>
      </c>
      <c r="AA268" s="1">
        <f t="shared" si="105"/>
        <v>0</v>
      </c>
      <c r="AB268" s="1">
        <f t="shared" si="106"/>
        <v>0</v>
      </c>
      <c r="AD268" s="1">
        <f t="shared" si="107"/>
        <v>1</v>
      </c>
      <c r="AE268" s="1">
        <f t="shared" si="108"/>
        <v>0</v>
      </c>
      <c r="AF268" s="1">
        <f t="shared" si="109"/>
        <v>0</v>
      </c>
      <c r="AG268" s="1">
        <f t="shared" si="110"/>
        <v>0</v>
      </c>
      <c r="AH268" s="1">
        <f t="shared" si="111"/>
        <v>0</v>
      </c>
      <c r="AI268" s="1">
        <f t="shared" si="112"/>
        <v>0</v>
      </c>
    </row>
    <row r="269" spans="1:35" ht="14.25" customHeight="1" x14ac:dyDescent="0.25">
      <c r="A269" s="31">
        <v>0</v>
      </c>
      <c r="B269" s="31">
        <v>1</v>
      </c>
      <c r="C269" s="31">
        <v>7</v>
      </c>
      <c r="D269" s="32" t="s">
        <v>1446</v>
      </c>
      <c r="E269" s="32" t="s">
        <v>29</v>
      </c>
      <c r="F269" s="32" t="s">
        <v>980</v>
      </c>
      <c r="G269" s="32" t="s">
        <v>1078</v>
      </c>
      <c r="H269" s="32" t="s">
        <v>352</v>
      </c>
      <c r="I269" s="31" t="s">
        <v>1086</v>
      </c>
      <c r="J269" s="31">
        <v>10</v>
      </c>
      <c r="K269" s="33" t="s">
        <v>704</v>
      </c>
      <c r="L269" s="33" t="s">
        <v>685</v>
      </c>
      <c r="M269" s="34" t="s">
        <v>949</v>
      </c>
      <c r="N269" s="34" t="s">
        <v>1689</v>
      </c>
      <c r="O269" s="35">
        <v>1</v>
      </c>
      <c r="P269" s="35"/>
      <c r="Q269" s="32"/>
      <c r="S269" s="1">
        <f t="shared" si="97"/>
        <v>0</v>
      </c>
      <c r="T269" s="1">
        <f t="shared" si="98"/>
        <v>0</v>
      </c>
      <c r="U269" s="1">
        <f t="shared" si="99"/>
        <v>0</v>
      </c>
      <c r="V269" s="1">
        <f t="shared" si="100"/>
        <v>0</v>
      </c>
      <c r="W269" s="1">
        <f t="shared" si="101"/>
        <v>0</v>
      </c>
      <c r="X269" s="1">
        <f t="shared" si="102"/>
        <v>0</v>
      </c>
      <c r="Y269" s="1">
        <f t="shared" si="103"/>
        <v>0</v>
      </c>
      <c r="Z269" s="1">
        <f t="shared" si="104"/>
        <v>0</v>
      </c>
      <c r="AA269" s="1">
        <f t="shared" si="105"/>
        <v>0</v>
      </c>
      <c r="AB269" s="1">
        <f t="shared" si="106"/>
        <v>1</v>
      </c>
      <c r="AD269" s="1">
        <f t="shared" si="107"/>
        <v>0</v>
      </c>
      <c r="AE269" s="1">
        <f t="shared" si="108"/>
        <v>1</v>
      </c>
      <c r="AF269" s="1">
        <f t="shared" si="109"/>
        <v>0</v>
      </c>
      <c r="AG269" s="1">
        <f t="shared" si="110"/>
        <v>1</v>
      </c>
      <c r="AH269" s="1">
        <f t="shared" si="111"/>
        <v>0</v>
      </c>
      <c r="AI269" s="1">
        <f t="shared" si="112"/>
        <v>1</v>
      </c>
    </row>
    <row r="270" spans="1:35" ht="14.25" customHeight="1" x14ac:dyDescent="0.25">
      <c r="A270" s="31">
        <v>0</v>
      </c>
      <c r="B270" s="31">
        <v>1</v>
      </c>
      <c r="C270" s="31">
        <v>7</v>
      </c>
      <c r="D270" s="36" t="s">
        <v>1447</v>
      </c>
      <c r="E270" s="32" t="s">
        <v>29</v>
      </c>
      <c r="F270" s="36" t="s">
        <v>978</v>
      </c>
      <c r="G270" s="36" t="s">
        <v>239</v>
      </c>
      <c r="H270" s="36" t="s">
        <v>352</v>
      </c>
      <c r="I270" s="37" t="s">
        <v>979</v>
      </c>
      <c r="J270" s="31">
        <v>1</v>
      </c>
      <c r="K270" s="33" t="s">
        <v>937</v>
      </c>
      <c r="L270" s="33" t="s">
        <v>685</v>
      </c>
      <c r="M270" s="34" t="s">
        <v>949</v>
      </c>
      <c r="N270" s="34" t="s">
        <v>1744</v>
      </c>
      <c r="O270" s="35">
        <v>1</v>
      </c>
      <c r="P270" s="35"/>
      <c r="Q270" s="36"/>
      <c r="S270" s="1">
        <f t="shared" si="97"/>
        <v>1</v>
      </c>
      <c r="T270" s="1">
        <f t="shared" si="98"/>
        <v>0</v>
      </c>
      <c r="U270" s="1">
        <f t="shared" si="99"/>
        <v>0</v>
      </c>
      <c r="V270" s="1">
        <f t="shared" si="100"/>
        <v>0</v>
      </c>
      <c r="W270" s="1">
        <f t="shared" si="101"/>
        <v>0</v>
      </c>
      <c r="X270" s="1">
        <f t="shared" si="102"/>
        <v>0</v>
      </c>
      <c r="Y270" s="1">
        <f t="shared" si="103"/>
        <v>0</v>
      </c>
      <c r="Z270" s="1">
        <f t="shared" si="104"/>
        <v>0</v>
      </c>
      <c r="AA270" s="1">
        <f t="shared" si="105"/>
        <v>0</v>
      </c>
      <c r="AB270" s="1">
        <f t="shared" si="106"/>
        <v>0</v>
      </c>
      <c r="AD270" s="1">
        <f t="shared" si="107"/>
        <v>0</v>
      </c>
      <c r="AE270" s="1">
        <f t="shared" si="108"/>
        <v>1</v>
      </c>
      <c r="AF270" s="1">
        <f t="shared" si="109"/>
        <v>0</v>
      </c>
      <c r="AG270" s="1">
        <f t="shared" si="110"/>
        <v>1</v>
      </c>
      <c r="AH270" s="1">
        <f t="shared" si="111"/>
        <v>0</v>
      </c>
      <c r="AI270" s="1">
        <f t="shared" si="112"/>
        <v>1</v>
      </c>
    </row>
    <row r="271" spans="1:35" ht="14.25" customHeight="1" x14ac:dyDescent="0.25">
      <c r="A271" s="31">
        <v>1</v>
      </c>
      <c r="B271" s="31">
        <v>1</v>
      </c>
      <c r="C271" s="31">
        <v>7</v>
      </c>
      <c r="D271" s="36" t="s">
        <v>1447</v>
      </c>
      <c r="E271" s="32" t="s">
        <v>29</v>
      </c>
      <c r="F271" s="36" t="s">
        <v>2110</v>
      </c>
      <c r="G271" s="36" t="s">
        <v>219</v>
      </c>
      <c r="H271" s="36" t="s">
        <v>352</v>
      </c>
      <c r="I271" s="37" t="s">
        <v>2111</v>
      </c>
      <c r="J271" s="31">
        <v>8</v>
      </c>
      <c r="K271" s="33" t="s">
        <v>937</v>
      </c>
      <c r="L271" s="33" t="s">
        <v>685</v>
      </c>
      <c r="M271" s="34" t="s">
        <v>949</v>
      </c>
      <c r="N271" s="34" t="s">
        <v>1744</v>
      </c>
      <c r="O271" s="35">
        <v>1</v>
      </c>
      <c r="P271" s="35"/>
      <c r="Q271" s="36"/>
      <c r="S271" s="1">
        <f t="shared" si="97"/>
        <v>0</v>
      </c>
      <c r="T271" s="1">
        <f t="shared" si="98"/>
        <v>0</v>
      </c>
      <c r="U271" s="1">
        <f t="shared" si="99"/>
        <v>0</v>
      </c>
      <c r="V271" s="1">
        <f t="shared" si="100"/>
        <v>0</v>
      </c>
      <c r="W271" s="1">
        <f t="shared" si="101"/>
        <v>0</v>
      </c>
      <c r="X271" s="1">
        <f t="shared" si="102"/>
        <v>0</v>
      </c>
      <c r="Y271" s="1">
        <f t="shared" si="103"/>
        <v>0</v>
      </c>
      <c r="Z271" s="1">
        <f t="shared" si="104"/>
        <v>1</v>
      </c>
      <c r="AA271" s="1">
        <f t="shared" si="105"/>
        <v>0</v>
      </c>
      <c r="AB271" s="1">
        <f t="shared" si="106"/>
        <v>0</v>
      </c>
      <c r="AD271" s="1">
        <f t="shared" si="107"/>
        <v>0</v>
      </c>
      <c r="AE271" s="1">
        <f t="shared" si="108"/>
        <v>1</v>
      </c>
      <c r="AF271" s="1">
        <f t="shared" si="109"/>
        <v>0</v>
      </c>
      <c r="AG271" s="1">
        <f t="shared" si="110"/>
        <v>0</v>
      </c>
      <c r="AH271" s="1">
        <f t="shared" si="111"/>
        <v>0</v>
      </c>
      <c r="AI271" s="1">
        <f t="shared" si="112"/>
        <v>0</v>
      </c>
    </row>
    <row r="272" spans="1:35" ht="14.25" customHeight="1" x14ac:dyDescent="0.25">
      <c r="A272" s="31">
        <v>0</v>
      </c>
      <c r="B272" s="31">
        <v>1</v>
      </c>
      <c r="C272" s="31">
        <v>7</v>
      </c>
      <c r="D272" s="36" t="s">
        <v>876</v>
      </c>
      <c r="E272" s="32" t="s">
        <v>29</v>
      </c>
      <c r="F272" s="36" t="s">
        <v>877</v>
      </c>
      <c r="G272" s="36" t="s">
        <v>39</v>
      </c>
      <c r="H272" s="36" t="s">
        <v>353</v>
      </c>
      <c r="I272" s="37" t="s">
        <v>878</v>
      </c>
      <c r="J272" s="31">
        <v>11</v>
      </c>
      <c r="K272" s="33" t="s">
        <v>694</v>
      </c>
      <c r="L272" s="33">
        <v>35</v>
      </c>
      <c r="M272" s="34" t="s">
        <v>1369</v>
      </c>
      <c r="N272" s="34" t="s">
        <v>1790</v>
      </c>
      <c r="O272" s="35">
        <v>1</v>
      </c>
      <c r="P272" s="35"/>
      <c r="Q272" s="36" t="s">
        <v>1843</v>
      </c>
      <c r="S272" s="1">
        <f t="shared" si="97"/>
        <v>0</v>
      </c>
      <c r="T272" s="1">
        <f t="shared" si="98"/>
        <v>0</v>
      </c>
      <c r="U272" s="1">
        <f t="shared" si="99"/>
        <v>0</v>
      </c>
      <c r="V272" s="1">
        <f t="shared" si="100"/>
        <v>0</v>
      </c>
      <c r="W272" s="1">
        <f t="shared" si="101"/>
        <v>0</v>
      </c>
      <c r="X272" s="1">
        <f t="shared" si="102"/>
        <v>0</v>
      </c>
      <c r="Y272" s="1">
        <f t="shared" si="103"/>
        <v>0</v>
      </c>
      <c r="Z272" s="1">
        <f t="shared" si="104"/>
        <v>0</v>
      </c>
      <c r="AA272" s="1">
        <f t="shared" si="105"/>
        <v>0</v>
      </c>
      <c r="AB272" s="1">
        <f t="shared" si="106"/>
        <v>0</v>
      </c>
      <c r="AD272" s="1">
        <f t="shared" si="107"/>
        <v>0</v>
      </c>
      <c r="AE272" s="1">
        <f t="shared" si="108"/>
        <v>1</v>
      </c>
      <c r="AF272" s="1">
        <f t="shared" si="109"/>
        <v>0</v>
      </c>
      <c r="AG272" s="1">
        <f t="shared" si="110"/>
        <v>1</v>
      </c>
      <c r="AH272" s="1">
        <f t="shared" si="111"/>
        <v>0</v>
      </c>
      <c r="AI272" s="1">
        <f t="shared" si="112"/>
        <v>1</v>
      </c>
    </row>
    <row r="273" spans="1:35" ht="14.25" customHeight="1" x14ac:dyDescent="0.25">
      <c r="A273" s="31">
        <v>0</v>
      </c>
      <c r="B273" s="31">
        <v>1</v>
      </c>
      <c r="C273" s="31">
        <v>7</v>
      </c>
      <c r="D273" s="36" t="s">
        <v>1060</v>
      </c>
      <c r="E273" s="32" t="s">
        <v>29</v>
      </c>
      <c r="F273" s="36" t="s">
        <v>962</v>
      </c>
      <c r="G273" s="36" t="s">
        <v>202</v>
      </c>
      <c r="H273" s="36" t="s">
        <v>352</v>
      </c>
      <c r="I273" s="37" t="s">
        <v>963</v>
      </c>
      <c r="J273" s="31">
        <v>99</v>
      </c>
      <c r="K273" s="33" t="s">
        <v>704</v>
      </c>
      <c r="L273" s="33" t="s">
        <v>685</v>
      </c>
      <c r="M273" s="34" t="s">
        <v>1404</v>
      </c>
      <c r="N273" s="34" t="s">
        <v>1681</v>
      </c>
      <c r="O273" s="35">
        <v>1</v>
      </c>
      <c r="P273" s="35">
        <v>1</v>
      </c>
      <c r="Q273" s="36"/>
      <c r="S273" s="1">
        <f t="shared" si="97"/>
        <v>0</v>
      </c>
      <c r="T273" s="1">
        <f t="shared" si="98"/>
        <v>0</v>
      </c>
      <c r="U273" s="1">
        <f t="shared" si="99"/>
        <v>0</v>
      </c>
      <c r="V273" s="1">
        <f t="shared" si="100"/>
        <v>0</v>
      </c>
      <c r="W273" s="1">
        <f t="shared" si="101"/>
        <v>0</v>
      </c>
      <c r="X273" s="1">
        <f t="shared" si="102"/>
        <v>0</v>
      </c>
      <c r="Y273" s="1">
        <f t="shared" si="103"/>
        <v>0</v>
      </c>
      <c r="Z273" s="1">
        <f t="shared" si="104"/>
        <v>0</v>
      </c>
      <c r="AA273" s="1">
        <f t="shared" si="105"/>
        <v>0</v>
      </c>
      <c r="AB273" s="1">
        <f t="shared" si="106"/>
        <v>0</v>
      </c>
      <c r="AD273" s="1">
        <f t="shared" si="107"/>
        <v>1</v>
      </c>
      <c r="AE273" s="1">
        <f t="shared" si="108"/>
        <v>0</v>
      </c>
      <c r="AF273" s="1">
        <f t="shared" si="109"/>
        <v>1</v>
      </c>
      <c r="AG273" s="1">
        <f t="shared" si="110"/>
        <v>0</v>
      </c>
      <c r="AH273" s="1">
        <f t="shared" si="111"/>
        <v>1</v>
      </c>
      <c r="AI273" s="1">
        <f t="shared" si="112"/>
        <v>0</v>
      </c>
    </row>
    <row r="274" spans="1:35" ht="14.25" customHeight="1" x14ac:dyDescent="0.25">
      <c r="A274" s="31">
        <v>0</v>
      </c>
      <c r="B274" s="31">
        <v>1</v>
      </c>
      <c r="C274" s="31">
        <v>7</v>
      </c>
      <c r="D274" s="36" t="s">
        <v>808</v>
      </c>
      <c r="E274" s="32" t="s">
        <v>29</v>
      </c>
      <c r="F274" s="36" t="s">
        <v>809</v>
      </c>
      <c r="G274" s="36" t="s">
        <v>906</v>
      </c>
      <c r="H274" s="36" t="s">
        <v>352</v>
      </c>
      <c r="I274" s="37" t="s">
        <v>810</v>
      </c>
      <c r="J274" s="31">
        <v>99</v>
      </c>
      <c r="K274" s="33" t="s">
        <v>931</v>
      </c>
      <c r="L274" s="33" t="s">
        <v>685</v>
      </c>
      <c r="M274" s="34" t="s">
        <v>949</v>
      </c>
      <c r="N274" s="34" t="s">
        <v>1766</v>
      </c>
      <c r="O274" s="35">
        <v>1</v>
      </c>
      <c r="P274" s="35"/>
      <c r="Q274" s="36"/>
      <c r="S274" s="1">
        <f t="shared" si="97"/>
        <v>0</v>
      </c>
      <c r="T274" s="1">
        <f t="shared" si="98"/>
        <v>0</v>
      </c>
      <c r="U274" s="1">
        <f t="shared" si="99"/>
        <v>0</v>
      </c>
      <c r="V274" s="1">
        <f t="shared" si="100"/>
        <v>0</v>
      </c>
      <c r="W274" s="1">
        <f t="shared" si="101"/>
        <v>0</v>
      </c>
      <c r="X274" s="1">
        <f t="shared" si="102"/>
        <v>0</v>
      </c>
      <c r="Y274" s="1">
        <f t="shared" si="103"/>
        <v>0</v>
      </c>
      <c r="Z274" s="1">
        <f t="shared" si="104"/>
        <v>0</v>
      </c>
      <c r="AA274" s="1">
        <f t="shared" si="105"/>
        <v>0</v>
      </c>
      <c r="AB274" s="1">
        <f t="shared" si="106"/>
        <v>0</v>
      </c>
      <c r="AD274" s="1">
        <f t="shared" si="107"/>
        <v>0</v>
      </c>
      <c r="AE274" s="1">
        <f t="shared" si="108"/>
        <v>1</v>
      </c>
      <c r="AF274" s="1">
        <f t="shared" si="109"/>
        <v>0</v>
      </c>
      <c r="AG274" s="1">
        <f t="shared" si="110"/>
        <v>1</v>
      </c>
      <c r="AH274" s="1">
        <f t="shared" si="111"/>
        <v>0</v>
      </c>
      <c r="AI274" s="1">
        <f t="shared" si="112"/>
        <v>1</v>
      </c>
    </row>
    <row r="275" spans="1:35" ht="14.25" customHeight="1" x14ac:dyDescent="0.25">
      <c r="A275" s="31">
        <v>0</v>
      </c>
      <c r="B275" s="31">
        <v>1</v>
      </c>
      <c r="C275" s="31">
        <v>7</v>
      </c>
      <c r="D275" s="36" t="s">
        <v>1674</v>
      </c>
      <c r="E275" s="32" t="s">
        <v>29</v>
      </c>
      <c r="F275" s="36" t="s">
        <v>1675</v>
      </c>
      <c r="G275" s="36" t="s">
        <v>248</v>
      </c>
      <c r="H275" s="36" t="s">
        <v>352</v>
      </c>
      <c r="I275" s="37" t="s">
        <v>1676</v>
      </c>
      <c r="J275" s="31"/>
      <c r="K275" s="33" t="s">
        <v>694</v>
      </c>
      <c r="L275" s="33"/>
      <c r="M275" s="34"/>
      <c r="N275" s="34" t="s">
        <v>1681</v>
      </c>
      <c r="O275" s="35">
        <v>1</v>
      </c>
      <c r="P275" s="35">
        <v>1</v>
      </c>
      <c r="Q275" s="36"/>
      <c r="S275" s="1">
        <f t="shared" si="97"/>
        <v>0</v>
      </c>
      <c r="T275" s="1">
        <f t="shared" si="98"/>
        <v>0</v>
      </c>
      <c r="U275" s="1">
        <f t="shared" si="99"/>
        <v>0</v>
      </c>
      <c r="V275" s="1">
        <f t="shared" si="100"/>
        <v>0</v>
      </c>
      <c r="W275" s="1">
        <f t="shared" si="101"/>
        <v>0</v>
      </c>
      <c r="X275" s="1">
        <f t="shared" si="102"/>
        <v>0</v>
      </c>
      <c r="Y275" s="1">
        <f t="shared" si="103"/>
        <v>0</v>
      </c>
      <c r="Z275" s="1">
        <f t="shared" si="104"/>
        <v>0</v>
      </c>
      <c r="AA275" s="1">
        <f t="shared" si="105"/>
        <v>0</v>
      </c>
      <c r="AB275" s="1">
        <f t="shared" si="106"/>
        <v>0</v>
      </c>
      <c r="AD275" s="1">
        <f t="shared" si="107"/>
        <v>1</v>
      </c>
      <c r="AE275" s="1">
        <f t="shared" si="108"/>
        <v>0</v>
      </c>
      <c r="AF275" s="1">
        <f t="shared" si="109"/>
        <v>1</v>
      </c>
      <c r="AG275" s="1">
        <f t="shared" si="110"/>
        <v>0</v>
      </c>
      <c r="AH275" s="1">
        <f t="shared" si="111"/>
        <v>1</v>
      </c>
      <c r="AI275" s="1">
        <f t="shared" si="112"/>
        <v>0</v>
      </c>
    </row>
    <row r="276" spans="1:35" ht="14.25" customHeight="1" x14ac:dyDescent="0.25">
      <c r="A276" s="31">
        <v>0</v>
      </c>
      <c r="B276" s="31">
        <v>1</v>
      </c>
      <c r="C276" s="31">
        <v>7</v>
      </c>
      <c r="D276" s="32" t="s">
        <v>879</v>
      </c>
      <c r="E276" s="32" t="s">
        <v>29</v>
      </c>
      <c r="F276" s="32" t="s">
        <v>880</v>
      </c>
      <c r="G276" s="32" t="s">
        <v>227</v>
      </c>
      <c r="H276" s="32" t="s">
        <v>352</v>
      </c>
      <c r="I276" s="31" t="s">
        <v>881</v>
      </c>
      <c r="J276" s="31">
        <v>99</v>
      </c>
      <c r="K276" s="33" t="s">
        <v>704</v>
      </c>
      <c r="L276" s="33" t="s">
        <v>685</v>
      </c>
      <c r="M276" s="34" t="s">
        <v>1370</v>
      </c>
      <c r="N276" s="34" t="s">
        <v>1693</v>
      </c>
      <c r="O276" s="35">
        <v>1</v>
      </c>
      <c r="P276" s="35"/>
      <c r="Q276" s="32"/>
      <c r="S276" s="1">
        <f t="shared" si="97"/>
        <v>0</v>
      </c>
      <c r="T276" s="1">
        <f t="shared" si="98"/>
        <v>0</v>
      </c>
      <c r="U276" s="1">
        <f t="shared" si="99"/>
        <v>0</v>
      </c>
      <c r="V276" s="1">
        <f t="shared" si="100"/>
        <v>0</v>
      </c>
      <c r="W276" s="1">
        <f t="shared" si="101"/>
        <v>0</v>
      </c>
      <c r="X276" s="1">
        <f t="shared" si="102"/>
        <v>0</v>
      </c>
      <c r="Y276" s="1">
        <f t="shared" si="103"/>
        <v>0</v>
      </c>
      <c r="Z276" s="1">
        <f t="shared" si="104"/>
        <v>0</v>
      </c>
      <c r="AA276" s="1">
        <f t="shared" si="105"/>
        <v>0</v>
      </c>
      <c r="AB276" s="1">
        <f t="shared" si="106"/>
        <v>0</v>
      </c>
      <c r="AD276" s="1">
        <f t="shared" si="107"/>
        <v>0</v>
      </c>
      <c r="AE276" s="1">
        <f t="shared" si="108"/>
        <v>1</v>
      </c>
      <c r="AF276" s="1">
        <f t="shared" si="109"/>
        <v>0</v>
      </c>
      <c r="AG276" s="1">
        <f t="shared" si="110"/>
        <v>1</v>
      </c>
      <c r="AH276" s="1">
        <f t="shared" si="111"/>
        <v>0</v>
      </c>
      <c r="AI276" s="1">
        <f t="shared" si="112"/>
        <v>1</v>
      </c>
    </row>
    <row r="277" spans="1:35" ht="14.25" customHeight="1" x14ac:dyDescent="0.25">
      <c r="A277" s="31">
        <v>0</v>
      </c>
      <c r="B277" s="31">
        <v>1</v>
      </c>
      <c r="C277" s="31">
        <v>7</v>
      </c>
      <c r="D277" s="32" t="s">
        <v>88</v>
      </c>
      <c r="E277" s="32" t="s">
        <v>29</v>
      </c>
      <c r="F277" s="32" t="s">
        <v>280</v>
      </c>
      <c r="G277" s="32" t="s">
        <v>281</v>
      </c>
      <c r="H277" s="32" t="s">
        <v>352</v>
      </c>
      <c r="I277" s="31" t="s">
        <v>920</v>
      </c>
      <c r="J277" s="31">
        <v>99</v>
      </c>
      <c r="K277" s="33" t="s">
        <v>931</v>
      </c>
      <c r="L277" s="33" t="s">
        <v>685</v>
      </c>
      <c r="M277" s="34" t="s">
        <v>949</v>
      </c>
      <c r="N277" s="34" t="s">
        <v>1790</v>
      </c>
      <c r="O277" s="35">
        <v>1</v>
      </c>
      <c r="P277" s="35"/>
      <c r="Q277" s="32"/>
      <c r="S277" s="1">
        <f t="shared" si="97"/>
        <v>0</v>
      </c>
      <c r="T277" s="1">
        <f t="shared" si="98"/>
        <v>0</v>
      </c>
      <c r="U277" s="1">
        <f t="shared" si="99"/>
        <v>0</v>
      </c>
      <c r="V277" s="1">
        <f t="shared" si="100"/>
        <v>0</v>
      </c>
      <c r="W277" s="1">
        <f t="shared" si="101"/>
        <v>0</v>
      </c>
      <c r="X277" s="1">
        <f t="shared" si="102"/>
        <v>0</v>
      </c>
      <c r="Y277" s="1">
        <f t="shared" si="103"/>
        <v>0</v>
      </c>
      <c r="Z277" s="1">
        <f t="shared" si="104"/>
        <v>0</v>
      </c>
      <c r="AA277" s="1">
        <f t="shared" si="105"/>
        <v>0</v>
      </c>
      <c r="AB277" s="1">
        <f t="shared" si="106"/>
        <v>0</v>
      </c>
      <c r="AD277" s="1">
        <f t="shared" si="107"/>
        <v>0</v>
      </c>
      <c r="AE277" s="1">
        <f t="shared" si="108"/>
        <v>1</v>
      </c>
      <c r="AF277" s="1">
        <f t="shared" si="109"/>
        <v>0</v>
      </c>
      <c r="AG277" s="1">
        <f t="shared" si="110"/>
        <v>1</v>
      </c>
      <c r="AH277" s="1">
        <f t="shared" si="111"/>
        <v>0</v>
      </c>
      <c r="AI277" s="1">
        <f t="shared" si="112"/>
        <v>1</v>
      </c>
    </row>
    <row r="278" spans="1:35" ht="14.25" customHeight="1" x14ac:dyDescent="0.25">
      <c r="A278" s="31">
        <v>0</v>
      </c>
      <c r="B278" s="31">
        <v>1</v>
      </c>
      <c r="C278" s="31">
        <v>7</v>
      </c>
      <c r="D278" s="36" t="s">
        <v>1592</v>
      </c>
      <c r="E278" s="32" t="s">
        <v>29</v>
      </c>
      <c r="F278" s="36" t="s">
        <v>1491</v>
      </c>
      <c r="G278" s="36" t="s">
        <v>39</v>
      </c>
      <c r="H278" s="36" t="s">
        <v>864</v>
      </c>
      <c r="I278" s="37" t="s">
        <v>1492</v>
      </c>
      <c r="J278" s="31">
        <v>17</v>
      </c>
      <c r="K278" s="33" t="s">
        <v>704</v>
      </c>
      <c r="L278" s="33" t="s">
        <v>688</v>
      </c>
      <c r="M278" s="34" t="s">
        <v>1419</v>
      </c>
      <c r="N278" s="34" t="s">
        <v>1681</v>
      </c>
      <c r="O278" s="35">
        <v>1</v>
      </c>
      <c r="P278" s="35">
        <v>1</v>
      </c>
      <c r="Q278" s="36"/>
      <c r="S278" s="1">
        <f t="shared" si="97"/>
        <v>0</v>
      </c>
      <c r="T278" s="1">
        <f t="shared" si="98"/>
        <v>0</v>
      </c>
      <c r="U278" s="1">
        <f t="shared" si="99"/>
        <v>0</v>
      </c>
      <c r="V278" s="1">
        <f t="shared" si="100"/>
        <v>0</v>
      </c>
      <c r="W278" s="1">
        <f t="shared" si="101"/>
        <v>0</v>
      </c>
      <c r="X278" s="1">
        <f t="shared" si="102"/>
        <v>0</v>
      </c>
      <c r="Y278" s="1">
        <f t="shared" si="103"/>
        <v>0</v>
      </c>
      <c r="Z278" s="1">
        <f t="shared" si="104"/>
        <v>0</v>
      </c>
      <c r="AA278" s="1">
        <f t="shared" si="105"/>
        <v>0</v>
      </c>
      <c r="AB278" s="1">
        <f t="shared" si="106"/>
        <v>0</v>
      </c>
      <c r="AD278" s="1">
        <f t="shared" si="107"/>
        <v>1</v>
      </c>
      <c r="AE278" s="1">
        <f t="shared" si="108"/>
        <v>0</v>
      </c>
      <c r="AF278" s="1">
        <f t="shared" si="109"/>
        <v>1</v>
      </c>
      <c r="AG278" s="1">
        <f t="shared" si="110"/>
        <v>0</v>
      </c>
      <c r="AH278" s="1">
        <f t="shared" si="111"/>
        <v>1</v>
      </c>
      <c r="AI278" s="1">
        <f t="shared" si="112"/>
        <v>0</v>
      </c>
    </row>
    <row r="279" spans="1:35" ht="14.25" customHeight="1" x14ac:dyDescent="0.25">
      <c r="A279" s="31">
        <v>0</v>
      </c>
      <c r="B279" s="31">
        <v>1</v>
      </c>
      <c r="C279" s="31">
        <v>7</v>
      </c>
      <c r="D279" s="32" t="s">
        <v>1416</v>
      </c>
      <c r="E279" s="32" t="s">
        <v>29</v>
      </c>
      <c r="F279" s="32" t="s">
        <v>1417</v>
      </c>
      <c r="G279" s="32" t="s">
        <v>319</v>
      </c>
      <c r="H279" s="32" t="s">
        <v>352</v>
      </c>
      <c r="I279" s="31" t="s">
        <v>1418</v>
      </c>
      <c r="J279" s="31">
        <v>99</v>
      </c>
      <c r="K279" s="33" t="s">
        <v>694</v>
      </c>
      <c r="L279" s="33">
        <v>30</v>
      </c>
      <c r="M279" s="34" t="s">
        <v>1419</v>
      </c>
      <c r="N279" s="34" t="s">
        <v>1766</v>
      </c>
      <c r="O279" s="35">
        <v>1</v>
      </c>
      <c r="P279" s="35"/>
      <c r="Q279" s="32"/>
      <c r="S279" s="1">
        <f t="shared" ref="S279:S343" si="123">IF(J279=$S$7,1,0)</f>
        <v>0</v>
      </c>
      <c r="T279" s="1">
        <f t="shared" ref="T279:T343" si="124">IF(J279=$T$7,1,0)</f>
        <v>0</v>
      </c>
      <c r="U279" s="1">
        <f t="shared" ref="U279:U343" si="125">IF(J279=$U$7,1,0)</f>
        <v>0</v>
      </c>
      <c r="V279" s="1">
        <f t="shared" ref="V279:V343" si="126">IF(J279=$V$7,1,0)</f>
        <v>0</v>
      </c>
      <c r="W279" s="1">
        <f t="shared" ref="W279:W343" si="127">IF(J279=$W$7,1,0)</f>
        <v>0</v>
      </c>
      <c r="X279" s="1">
        <f t="shared" ref="X279:X343" si="128">IF(J279=$X$7,1,0)</f>
        <v>0</v>
      </c>
      <c r="Y279" s="1">
        <f t="shared" ref="Y279:Y343" si="129">IF(J279=$Y$7,1,0)</f>
        <v>0</v>
      </c>
      <c r="Z279" s="1">
        <f t="shared" ref="Z279:Z343" si="130">IF(J279=$Z$7,1,0)</f>
        <v>0</v>
      </c>
      <c r="AA279" s="1">
        <f t="shared" ref="AA279:AA343" si="131">IF(J279=$AA$7,1,0)</f>
        <v>0</v>
      </c>
      <c r="AB279" s="1">
        <f t="shared" ref="AB279:AB343" si="132">IF(J279=$AB$7,1,0)</f>
        <v>0</v>
      </c>
      <c r="AD279" s="1">
        <f t="shared" ref="AD279:AD343" si="133">+O279*P279</f>
        <v>0</v>
      </c>
      <c r="AE279" s="1">
        <f t="shared" ref="AE279:AE343" si="134">O279*(1-P279)</f>
        <v>1</v>
      </c>
      <c r="AF279" s="1">
        <f t="shared" si="109"/>
        <v>0</v>
      </c>
      <c r="AG279" s="1">
        <f t="shared" si="110"/>
        <v>1</v>
      </c>
      <c r="AH279" s="1">
        <f t="shared" si="111"/>
        <v>0</v>
      </c>
      <c r="AI279" s="1">
        <f t="shared" si="112"/>
        <v>1</v>
      </c>
    </row>
    <row r="280" spans="1:35" ht="14.25" customHeight="1" x14ac:dyDescent="0.25">
      <c r="A280" s="31">
        <v>0</v>
      </c>
      <c r="B280" s="31">
        <v>1</v>
      </c>
      <c r="C280" s="31">
        <v>7</v>
      </c>
      <c r="D280" s="36" t="s">
        <v>826</v>
      </c>
      <c r="E280" s="32" t="s">
        <v>29</v>
      </c>
      <c r="F280" s="36" t="s">
        <v>827</v>
      </c>
      <c r="G280" s="36" t="s">
        <v>221</v>
      </c>
      <c r="H280" s="36" t="s">
        <v>352</v>
      </c>
      <c r="I280" s="37" t="s">
        <v>828</v>
      </c>
      <c r="J280" s="31">
        <v>99</v>
      </c>
      <c r="K280" s="33" t="s">
        <v>931</v>
      </c>
      <c r="L280" s="33" t="s">
        <v>685</v>
      </c>
      <c r="M280" s="34" t="s">
        <v>949</v>
      </c>
      <c r="N280" s="34" t="s">
        <v>1790</v>
      </c>
      <c r="O280" s="35">
        <v>1</v>
      </c>
      <c r="P280" s="35"/>
      <c r="Q280" s="36"/>
      <c r="S280" s="1">
        <f t="shared" si="123"/>
        <v>0</v>
      </c>
      <c r="T280" s="1">
        <f t="shared" si="124"/>
        <v>0</v>
      </c>
      <c r="U280" s="1">
        <f t="shared" si="125"/>
        <v>0</v>
      </c>
      <c r="V280" s="1">
        <f t="shared" si="126"/>
        <v>0</v>
      </c>
      <c r="W280" s="1">
        <f t="shared" si="127"/>
        <v>0</v>
      </c>
      <c r="X280" s="1">
        <f t="shared" si="128"/>
        <v>0</v>
      </c>
      <c r="Y280" s="1">
        <f t="shared" si="129"/>
        <v>0</v>
      </c>
      <c r="Z280" s="1">
        <f t="shared" si="130"/>
        <v>0</v>
      </c>
      <c r="AA280" s="1">
        <f t="shared" si="131"/>
        <v>0</v>
      </c>
      <c r="AB280" s="1">
        <f t="shared" si="132"/>
        <v>0</v>
      </c>
      <c r="AD280" s="1">
        <f t="shared" si="133"/>
        <v>0</v>
      </c>
      <c r="AE280" s="1">
        <f t="shared" si="134"/>
        <v>1</v>
      </c>
      <c r="AF280" s="1">
        <f t="shared" ref="AF280:AF344" si="135">+O280*P280*(1-A280)</f>
        <v>0</v>
      </c>
      <c r="AG280" s="1">
        <f t="shared" ref="AG280:AG344" si="136">O280*(1-P280)*(1-A280)</f>
        <v>1</v>
      </c>
      <c r="AH280" s="1">
        <f t="shared" ref="AH280:AH344" si="137">+P280*(1-A280)</f>
        <v>0</v>
      </c>
      <c r="AI280" s="1">
        <f t="shared" ref="AI280:AI344" si="138">+(1-A280)*(1-P280)</f>
        <v>1</v>
      </c>
    </row>
    <row r="281" spans="1:35" ht="14.25" customHeight="1" x14ac:dyDescent="0.25">
      <c r="A281" s="31">
        <v>1</v>
      </c>
      <c r="B281" s="31">
        <v>1</v>
      </c>
      <c r="C281" s="31">
        <v>7</v>
      </c>
      <c r="D281" s="36" t="s">
        <v>826</v>
      </c>
      <c r="E281" s="32" t="s">
        <v>29</v>
      </c>
      <c r="F281" s="36" t="s">
        <v>908</v>
      </c>
      <c r="G281" s="36" t="s">
        <v>278</v>
      </c>
      <c r="H281" s="36" t="s">
        <v>352</v>
      </c>
      <c r="I281" s="37" t="s">
        <v>829</v>
      </c>
      <c r="J281" s="31">
        <v>99</v>
      </c>
      <c r="K281" s="33" t="s">
        <v>931</v>
      </c>
      <c r="L281" s="33" t="s">
        <v>685</v>
      </c>
      <c r="M281" s="34" t="s">
        <v>949</v>
      </c>
      <c r="N281" s="34" t="s">
        <v>1790</v>
      </c>
      <c r="O281" s="35">
        <v>1</v>
      </c>
      <c r="P281" s="35"/>
      <c r="Q281" s="36"/>
      <c r="S281" s="1">
        <f t="shared" si="123"/>
        <v>0</v>
      </c>
      <c r="T281" s="1">
        <f t="shared" si="124"/>
        <v>0</v>
      </c>
      <c r="U281" s="1">
        <f t="shared" si="125"/>
        <v>0</v>
      </c>
      <c r="V281" s="1">
        <f t="shared" si="126"/>
        <v>0</v>
      </c>
      <c r="W281" s="1">
        <f t="shared" si="127"/>
        <v>0</v>
      </c>
      <c r="X281" s="1">
        <f t="shared" si="128"/>
        <v>0</v>
      </c>
      <c r="Y281" s="1">
        <f t="shared" si="129"/>
        <v>0</v>
      </c>
      <c r="Z281" s="1">
        <f t="shared" si="130"/>
        <v>0</v>
      </c>
      <c r="AA281" s="1">
        <f t="shared" si="131"/>
        <v>0</v>
      </c>
      <c r="AB281" s="1">
        <f t="shared" si="132"/>
        <v>0</v>
      </c>
      <c r="AD281" s="1">
        <f t="shared" si="133"/>
        <v>0</v>
      </c>
      <c r="AE281" s="1">
        <f t="shared" si="134"/>
        <v>1</v>
      </c>
      <c r="AF281" s="1">
        <f t="shared" si="135"/>
        <v>0</v>
      </c>
      <c r="AG281" s="1">
        <f t="shared" si="136"/>
        <v>0</v>
      </c>
      <c r="AH281" s="1">
        <f t="shared" si="137"/>
        <v>0</v>
      </c>
      <c r="AI281" s="1">
        <f t="shared" si="138"/>
        <v>0</v>
      </c>
    </row>
    <row r="282" spans="1:35" ht="14.25" customHeight="1" x14ac:dyDescent="0.25">
      <c r="A282" s="31">
        <v>0</v>
      </c>
      <c r="B282" s="31">
        <v>1</v>
      </c>
      <c r="C282" s="31">
        <v>7</v>
      </c>
      <c r="D282" s="32" t="s">
        <v>1184</v>
      </c>
      <c r="E282" s="32" t="s">
        <v>29</v>
      </c>
      <c r="F282" s="32" t="s">
        <v>1185</v>
      </c>
      <c r="G282" s="32" t="s">
        <v>237</v>
      </c>
      <c r="H282" s="32" t="s">
        <v>352</v>
      </c>
      <c r="I282" s="31" t="s">
        <v>1326</v>
      </c>
      <c r="J282" s="31">
        <v>99</v>
      </c>
      <c r="K282" s="33" t="s">
        <v>704</v>
      </c>
      <c r="L282" s="33" t="s">
        <v>685</v>
      </c>
      <c r="M282" s="34" t="s">
        <v>1371</v>
      </c>
      <c r="N282" s="34" t="s">
        <v>1700</v>
      </c>
      <c r="O282" s="35">
        <v>1</v>
      </c>
      <c r="P282" s="35"/>
      <c r="Q282" s="32"/>
      <c r="S282" s="1">
        <f t="shared" si="123"/>
        <v>0</v>
      </c>
      <c r="T282" s="1">
        <f t="shared" si="124"/>
        <v>0</v>
      </c>
      <c r="U282" s="1">
        <f t="shared" si="125"/>
        <v>0</v>
      </c>
      <c r="V282" s="1">
        <f t="shared" si="126"/>
        <v>0</v>
      </c>
      <c r="W282" s="1">
        <f t="shared" si="127"/>
        <v>0</v>
      </c>
      <c r="X282" s="1">
        <f t="shared" si="128"/>
        <v>0</v>
      </c>
      <c r="Y282" s="1">
        <f t="shared" si="129"/>
        <v>0</v>
      </c>
      <c r="Z282" s="1">
        <f t="shared" si="130"/>
        <v>0</v>
      </c>
      <c r="AA282" s="1">
        <f t="shared" si="131"/>
        <v>0</v>
      </c>
      <c r="AB282" s="1">
        <f t="shared" si="132"/>
        <v>0</v>
      </c>
      <c r="AD282" s="1">
        <f t="shared" si="133"/>
        <v>0</v>
      </c>
      <c r="AE282" s="1">
        <f t="shared" si="134"/>
        <v>1</v>
      </c>
      <c r="AF282" s="1">
        <f t="shared" si="135"/>
        <v>0</v>
      </c>
      <c r="AG282" s="1">
        <f t="shared" si="136"/>
        <v>1</v>
      </c>
      <c r="AH282" s="1">
        <f t="shared" si="137"/>
        <v>0</v>
      </c>
      <c r="AI282" s="1">
        <f t="shared" si="138"/>
        <v>1</v>
      </c>
    </row>
    <row r="283" spans="1:35" ht="14.25" customHeight="1" x14ac:dyDescent="0.25">
      <c r="A283" s="31">
        <v>0</v>
      </c>
      <c r="B283" s="31">
        <v>1</v>
      </c>
      <c r="C283" s="31">
        <v>7</v>
      </c>
      <c r="D283" s="36" t="s">
        <v>1201</v>
      </c>
      <c r="E283" s="32" t="s">
        <v>29</v>
      </c>
      <c r="F283" s="36" t="s">
        <v>1202</v>
      </c>
      <c r="G283" s="36" t="s">
        <v>237</v>
      </c>
      <c r="H283" s="36" t="s">
        <v>352</v>
      </c>
      <c r="I283" s="37" t="s">
        <v>1203</v>
      </c>
      <c r="J283" s="31">
        <v>99</v>
      </c>
      <c r="K283" s="33" t="s">
        <v>704</v>
      </c>
      <c r="L283" s="33" t="s">
        <v>684</v>
      </c>
      <c r="M283" s="34" t="s">
        <v>1371</v>
      </c>
      <c r="N283" s="34" t="s">
        <v>1766</v>
      </c>
      <c r="O283" s="35">
        <v>1</v>
      </c>
      <c r="P283" s="35"/>
      <c r="Q283" s="36"/>
      <c r="S283" s="1">
        <f t="shared" si="123"/>
        <v>0</v>
      </c>
      <c r="T283" s="1">
        <f t="shared" si="124"/>
        <v>0</v>
      </c>
      <c r="U283" s="1">
        <f t="shared" si="125"/>
        <v>0</v>
      </c>
      <c r="V283" s="1">
        <f t="shared" si="126"/>
        <v>0</v>
      </c>
      <c r="W283" s="1">
        <f t="shared" si="127"/>
        <v>0</v>
      </c>
      <c r="X283" s="1">
        <f t="shared" si="128"/>
        <v>0</v>
      </c>
      <c r="Y283" s="1">
        <f t="shared" si="129"/>
        <v>0</v>
      </c>
      <c r="Z283" s="1">
        <f t="shared" si="130"/>
        <v>0</v>
      </c>
      <c r="AA283" s="1">
        <f t="shared" si="131"/>
        <v>0</v>
      </c>
      <c r="AB283" s="1">
        <f t="shared" si="132"/>
        <v>0</v>
      </c>
      <c r="AD283" s="1">
        <f t="shared" si="133"/>
        <v>0</v>
      </c>
      <c r="AE283" s="1">
        <f t="shared" si="134"/>
        <v>1</v>
      </c>
      <c r="AF283" s="1">
        <f t="shared" si="135"/>
        <v>0</v>
      </c>
      <c r="AG283" s="1">
        <f t="shared" si="136"/>
        <v>1</v>
      </c>
      <c r="AH283" s="1">
        <f t="shared" si="137"/>
        <v>0</v>
      </c>
      <c r="AI283" s="1">
        <f t="shared" si="138"/>
        <v>1</v>
      </c>
    </row>
    <row r="284" spans="1:35" ht="14.25" customHeight="1" x14ac:dyDescent="0.25">
      <c r="A284" s="31">
        <v>0</v>
      </c>
      <c r="B284" s="31">
        <v>1</v>
      </c>
      <c r="C284" s="31">
        <v>7</v>
      </c>
      <c r="D284" s="36" t="s">
        <v>92</v>
      </c>
      <c r="E284" s="32" t="s">
        <v>29</v>
      </c>
      <c r="F284" s="36" t="s">
        <v>286</v>
      </c>
      <c r="G284" s="36" t="s">
        <v>189</v>
      </c>
      <c r="H284" s="36" t="s">
        <v>352</v>
      </c>
      <c r="I284" s="37" t="s">
        <v>438</v>
      </c>
      <c r="J284" s="31">
        <v>99</v>
      </c>
      <c r="K284" s="33" t="s">
        <v>704</v>
      </c>
      <c r="L284" s="33" t="s">
        <v>685</v>
      </c>
      <c r="M284" s="34" t="s">
        <v>1372</v>
      </c>
      <c r="N284" s="34" t="s">
        <v>1695</v>
      </c>
      <c r="O284" s="35">
        <v>1</v>
      </c>
      <c r="P284" s="35"/>
      <c r="Q284" s="36"/>
      <c r="S284" s="1">
        <f t="shared" si="123"/>
        <v>0</v>
      </c>
      <c r="T284" s="1">
        <f t="shared" si="124"/>
        <v>0</v>
      </c>
      <c r="U284" s="1">
        <f t="shared" si="125"/>
        <v>0</v>
      </c>
      <c r="V284" s="1">
        <f t="shared" si="126"/>
        <v>0</v>
      </c>
      <c r="W284" s="1">
        <f t="shared" si="127"/>
        <v>0</v>
      </c>
      <c r="X284" s="1">
        <f t="shared" si="128"/>
        <v>0</v>
      </c>
      <c r="Y284" s="1">
        <f t="shared" si="129"/>
        <v>0</v>
      </c>
      <c r="Z284" s="1">
        <f t="shared" si="130"/>
        <v>0</v>
      </c>
      <c r="AA284" s="1">
        <f t="shared" si="131"/>
        <v>0</v>
      </c>
      <c r="AB284" s="1">
        <f t="shared" si="132"/>
        <v>0</v>
      </c>
      <c r="AD284" s="1">
        <f t="shared" si="133"/>
        <v>0</v>
      </c>
      <c r="AE284" s="1">
        <f t="shared" si="134"/>
        <v>1</v>
      </c>
      <c r="AF284" s="1">
        <f t="shared" si="135"/>
        <v>0</v>
      </c>
      <c r="AG284" s="1">
        <f t="shared" si="136"/>
        <v>1</v>
      </c>
      <c r="AH284" s="1">
        <f t="shared" si="137"/>
        <v>0</v>
      </c>
      <c r="AI284" s="1">
        <f t="shared" si="138"/>
        <v>1</v>
      </c>
    </row>
    <row r="285" spans="1:35" ht="14.25" customHeight="1" x14ac:dyDescent="0.25">
      <c r="A285" s="31">
        <v>0</v>
      </c>
      <c r="B285" s="31">
        <v>1</v>
      </c>
      <c r="C285" s="31">
        <v>7</v>
      </c>
      <c r="D285" s="32" t="s">
        <v>850</v>
      </c>
      <c r="E285" s="32" t="s">
        <v>29</v>
      </c>
      <c r="F285" s="32" t="s">
        <v>851</v>
      </c>
      <c r="G285" s="32" t="s">
        <v>193</v>
      </c>
      <c r="H285" s="32" t="s">
        <v>352</v>
      </c>
      <c r="I285" s="31" t="s">
        <v>852</v>
      </c>
      <c r="J285" s="31">
        <v>9</v>
      </c>
      <c r="K285" s="33" t="s">
        <v>704</v>
      </c>
      <c r="L285" s="33" t="s">
        <v>687</v>
      </c>
      <c r="M285" s="34" t="s">
        <v>699</v>
      </c>
      <c r="N285" s="34" t="s">
        <v>1689</v>
      </c>
      <c r="O285" s="35">
        <v>1</v>
      </c>
      <c r="P285" s="35"/>
      <c r="Q285" s="32"/>
      <c r="S285" s="1">
        <f t="shared" si="123"/>
        <v>0</v>
      </c>
      <c r="T285" s="1">
        <f t="shared" si="124"/>
        <v>0</v>
      </c>
      <c r="U285" s="1">
        <f t="shared" si="125"/>
        <v>0</v>
      </c>
      <c r="V285" s="1">
        <f t="shared" si="126"/>
        <v>0</v>
      </c>
      <c r="W285" s="1">
        <f t="shared" si="127"/>
        <v>0</v>
      </c>
      <c r="X285" s="1">
        <f t="shared" si="128"/>
        <v>0</v>
      </c>
      <c r="Y285" s="1">
        <f t="shared" si="129"/>
        <v>0</v>
      </c>
      <c r="Z285" s="1">
        <f t="shared" si="130"/>
        <v>0</v>
      </c>
      <c r="AA285" s="1">
        <f t="shared" si="131"/>
        <v>1</v>
      </c>
      <c r="AB285" s="1">
        <f t="shared" si="132"/>
        <v>0</v>
      </c>
      <c r="AD285" s="1">
        <f t="shared" si="133"/>
        <v>0</v>
      </c>
      <c r="AE285" s="1">
        <f t="shared" si="134"/>
        <v>1</v>
      </c>
      <c r="AF285" s="1">
        <f t="shared" si="135"/>
        <v>0</v>
      </c>
      <c r="AG285" s="1">
        <f t="shared" si="136"/>
        <v>1</v>
      </c>
      <c r="AH285" s="1">
        <f t="shared" si="137"/>
        <v>0</v>
      </c>
      <c r="AI285" s="1">
        <f t="shared" si="138"/>
        <v>1</v>
      </c>
    </row>
    <row r="286" spans="1:35" ht="14.25" customHeight="1" x14ac:dyDescent="0.25">
      <c r="A286" s="31">
        <v>1</v>
      </c>
      <c r="B286" s="31">
        <v>1</v>
      </c>
      <c r="C286" s="31">
        <v>7</v>
      </c>
      <c r="D286" s="32" t="s">
        <v>850</v>
      </c>
      <c r="E286" s="32" t="s">
        <v>29</v>
      </c>
      <c r="F286" s="32" t="s">
        <v>1044</v>
      </c>
      <c r="G286" s="32" t="s">
        <v>319</v>
      </c>
      <c r="H286" s="32" t="s">
        <v>352</v>
      </c>
      <c r="I286" s="31" t="s">
        <v>1045</v>
      </c>
      <c r="J286" s="31">
        <v>99</v>
      </c>
      <c r="K286" s="33" t="s">
        <v>704</v>
      </c>
      <c r="L286" s="33" t="s">
        <v>687</v>
      </c>
      <c r="M286" s="34" t="s">
        <v>699</v>
      </c>
      <c r="N286" s="34" t="s">
        <v>1689</v>
      </c>
      <c r="O286" s="35">
        <v>1</v>
      </c>
      <c r="P286" s="35"/>
      <c r="Q286" s="32"/>
      <c r="S286" s="1">
        <f t="shared" si="123"/>
        <v>0</v>
      </c>
      <c r="T286" s="1">
        <f t="shared" si="124"/>
        <v>0</v>
      </c>
      <c r="U286" s="1">
        <f t="shared" si="125"/>
        <v>0</v>
      </c>
      <c r="V286" s="1">
        <f t="shared" si="126"/>
        <v>0</v>
      </c>
      <c r="W286" s="1">
        <f t="shared" si="127"/>
        <v>0</v>
      </c>
      <c r="X286" s="1">
        <f t="shared" si="128"/>
        <v>0</v>
      </c>
      <c r="Y286" s="1">
        <f t="shared" si="129"/>
        <v>0</v>
      </c>
      <c r="Z286" s="1">
        <f t="shared" si="130"/>
        <v>0</v>
      </c>
      <c r="AA286" s="1">
        <f t="shared" si="131"/>
        <v>0</v>
      </c>
      <c r="AB286" s="1">
        <f t="shared" si="132"/>
        <v>0</v>
      </c>
      <c r="AD286" s="1">
        <f t="shared" si="133"/>
        <v>0</v>
      </c>
      <c r="AE286" s="1">
        <f t="shared" si="134"/>
        <v>1</v>
      </c>
      <c r="AF286" s="1">
        <f t="shared" si="135"/>
        <v>0</v>
      </c>
      <c r="AG286" s="1">
        <f t="shared" si="136"/>
        <v>0</v>
      </c>
      <c r="AH286" s="1">
        <f t="shared" si="137"/>
        <v>0</v>
      </c>
      <c r="AI286" s="1">
        <f t="shared" si="138"/>
        <v>0</v>
      </c>
    </row>
    <row r="287" spans="1:35" ht="14.25" customHeight="1" x14ac:dyDescent="0.25">
      <c r="A287" s="31">
        <v>1</v>
      </c>
      <c r="B287" s="31">
        <v>1</v>
      </c>
      <c r="C287" s="31">
        <v>7</v>
      </c>
      <c r="D287" s="32" t="s">
        <v>850</v>
      </c>
      <c r="E287" s="32" t="s">
        <v>29</v>
      </c>
      <c r="F287" s="32" t="s">
        <v>1959</v>
      </c>
      <c r="G287" s="32" t="s">
        <v>193</v>
      </c>
      <c r="H287" s="32" t="s">
        <v>352</v>
      </c>
      <c r="I287" s="31" t="s">
        <v>852</v>
      </c>
      <c r="J287" s="31">
        <v>9</v>
      </c>
      <c r="K287" s="33" t="s">
        <v>704</v>
      </c>
      <c r="L287" s="33" t="s">
        <v>687</v>
      </c>
      <c r="M287" s="34" t="s">
        <v>699</v>
      </c>
      <c r="N287" s="34" t="s">
        <v>1689</v>
      </c>
      <c r="O287" s="35">
        <v>1</v>
      </c>
      <c r="P287" s="35"/>
      <c r="Q287" s="32"/>
      <c r="S287" s="1">
        <f t="shared" si="123"/>
        <v>0</v>
      </c>
      <c r="T287" s="1">
        <f t="shared" si="124"/>
        <v>0</v>
      </c>
      <c r="U287" s="1">
        <f t="shared" si="125"/>
        <v>0</v>
      </c>
      <c r="V287" s="1">
        <f t="shared" si="126"/>
        <v>0</v>
      </c>
      <c r="W287" s="1">
        <f t="shared" si="127"/>
        <v>0</v>
      </c>
      <c r="X287" s="1">
        <f t="shared" si="128"/>
        <v>0</v>
      </c>
      <c r="Y287" s="1">
        <f t="shared" si="129"/>
        <v>0</v>
      </c>
      <c r="Z287" s="1">
        <f t="shared" si="130"/>
        <v>0</v>
      </c>
      <c r="AA287" s="1">
        <f t="shared" si="131"/>
        <v>1</v>
      </c>
      <c r="AB287" s="1">
        <f t="shared" si="132"/>
        <v>0</v>
      </c>
      <c r="AD287" s="1">
        <f t="shared" si="133"/>
        <v>0</v>
      </c>
      <c r="AE287" s="1">
        <f t="shared" si="134"/>
        <v>1</v>
      </c>
      <c r="AF287" s="1">
        <f t="shared" si="135"/>
        <v>0</v>
      </c>
      <c r="AG287" s="1">
        <f t="shared" si="136"/>
        <v>0</v>
      </c>
      <c r="AH287" s="1">
        <f t="shared" si="137"/>
        <v>0</v>
      </c>
      <c r="AI287" s="1">
        <f t="shared" si="138"/>
        <v>0</v>
      </c>
    </row>
    <row r="288" spans="1:35" ht="14.25" customHeight="1" x14ac:dyDescent="0.25">
      <c r="A288" s="31">
        <v>1</v>
      </c>
      <c r="B288" s="31">
        <v>1</v>
      </c>
      <c r="C288" s="31">
        <v>7</v>
      </c>
      <c r="D288" s="32" t="s">
        <v>850</v>
      </c>
      <c r="E288" s="32" t="s">
        <v>29</v>
      </c>
      <c r="F288" s="32" t="s">
        <v>1961</v>
      </c>
      <c r="G288" s="32" t="s">
        <v>208</v>
      </c>
      <c r="H288" s="32" t="s">
        <v>352</v>
      </c>
      <c r="I288" s="31" t="s">
        <v>1960</v>
      </c>
      <c r="J288" s="31">
        <v>99</v>
      </c>
      <c r="K288" s="33" t="s">
        <v>704</v>
      </c>
      <c r="L288" s="33" t="s">
        <v>687</v>
      </c>
      <c r="M288" s="34" t="s">
        <v>699</v>
      </c>
      <c r="N288" s="34" t="s">
        <v>1689</v>
      </c>
      <c r="O288" s="35">
        <v>1</v>
      </c>
      <c r="P288" s="35"/>
      <c r="Q288" s="32"/>
      <c r="S288" s="1">
        <f t="shared" si="123"/>
        <v>0</v>
      </c>
      <c r="T288" s="1">
        <f t="shared" si="124"/>
        <v>0</v>
      </c>
      <c r="U288" s="1">
        <f t="shared" si="125"/>
        <v>0</v>
      </c>
      <c r="V288" s="1">
        <f t="shared" si="126"/>
        <v>0</v>
      </c>
      <c r="W288" s="1">
        <f t="shared" si="127"/>
        <v>0</v>
      </c>
      <c r="X288" s="1">
        <f t="shared" si="128"/>
        <v>0</v>
      </c>
      <c r="Y288" s="1">
        <f t="shared" si="129"/>
        <v>0</v>
      </c>
      <c r="Z288" s="1">
        <f t="shared" si="130"/>
        <v>0</v>
      </c>
      <c r="AA288" s="1">
        <f t="shared" si="131"/>
        <v>0</v>
      </c>
      <c r="AB288" s="1">
        <f t="shared" si="132"/>
        <v>0</v>
      </c>
      <c r="AD288" s="1">
        <f t="shared" si="133"/>
        <v>0</v>
      </c>
      <c r="AE288" s="1">
        <f t="shared" si="134"/>
        <v>1</v>
      </c>
      <c r="AF288" s="1">
        <f t="shared" si="135"/>
        <v>0</v>
      </c>
      <c r="AG288" s="1">
        <f t="shared" si="136"/>
        <v>0</v>
      </c>
      <c r="AH288" s="1">
        <f t="shared" si="137"/>
        <v>0</v>
      </c>
      <c r="AI288" s="1">
        <f t="shared" si="138"/>
        <v>0</v>
      </c>
    </row>
    <row r="289" spans="1:35" ht="14.25" customHeight="1" x14ac:dyDescent="0.25">
      <c r="A289" s="31">
        <v>1</v>
      </c>
      <c r="B289" s="31">
        <v>1</v>
      </c>
      <c r="C289" s="31">
        <v>7</v>
      </c>
      <c r="D289" s="32" t="s">
        <v>850</v>
      </c>
      <c r="E289" s="32" t="s">
        <v>29</v>
      </c>
      <c r="F289" s="36" t="s">
        <v>1634</v>
      </c>
      <c r="G289" s="36" t="s">
        <v>2112</v>
      </c>
      <c r="H289" s="32" t="s">
        <v>352</v>
      </c>
      <c r="I289" s="37" t="s">
        <v>2113</v>
      </c>
      <c r="J289" s="31">
        <v>99</v>
      </c>
      <c r="K289" s="33" t="s">
        <v>704</v>
      </c>
      <c r="L289" s="33" t="s">
        <v>687</v>
      </c>
      <c r="M289" s="34" t="s">
        <v>699</v>
      </c>
      <c r="N289" s="34" t="s">
        <v>1689</v>
      </c>
      <c r="O289" s="35">
        <v>1</v>
      </c>
      <c r="P289" s="35"/>
      <c r="Q289" s="32"/>
      <c r="S289" s="1">
        <f t="shared" si="123"/>
        <v>0</v>
      </c>
      <c r="T289" s="1">
        <f t="shared" si="124"/>
        <v>0</v>
      </c>
      <c r="U289" s="1">
        <f t="shared" si="125"/>
        <v>0</v>
      </c>
      <c r="V289" s="1">
        <f t="shared" si="126"/>
        <v>0</v>
      </c>
      <c r="W289" s="1">
        <f t="shared" si="127"/>
        <v>0</v>
      </c>
      <c r="X289" s="1">
        <f t="shared" si="128"/>
        <v>0</v>
      </c>
      <c r="Y289" s="1">
        <f t="shared" si="129"/>
        <v>0</v>
      </c>
      <c r="Z289" s="1">
        <f t="shared" si="130"/>
        <v>0</v>
      </c>
      <c r="AA289" s="1">
        <f t="shared" si="131"/>
        <v>0</v>
      </c>
      <c r="AB289" s="1">
        <f t="shared" si="132"/>
        <v>0</v>
      </c>
      <c r="AD289" s="1">
        <f t="shared" si="133"/>
        <v>0</v>
      </c>
      <c r="AE289" s="1">
        <f t="shared" si="134"/>
        <v>1</v>
      </c>
      <c r="AF289" s="1">
        <f t="shared" si="135"/>
        <v>0</v>
      </c>
      <c r="AG289" s="1">
        <f t="shared" si="136"/>
        <v>0</v>
      </c>
      <c r="AH289" s="1">
        <f t="shared" si="137"/>
        <v>0</v>
      </c>
      <c r="AI289" s="1">
        <f t="shared" si="138"/>
        <v>0</v>
      </c>
    </row>
    <row r="290" spans="1:35" ht="14.25" customHeight="1" x14ac:dyDescent="0.25">
      <c r="A290" s="31">
        <v>0</v>
      </c>
      <c r="B290" s="31">
        <v>1</v>
      </c>
      <c r="C290" s="31">
        <v>7</v>
      </c>
      <c r="D290" s="36" t="s">
        <v>95</v>
      </c>
      <c r="E290" s="32" t="s">
        <v>29</v>
      </c>
      <c r="F290" s="36" t="s">
        <v>290</v>
      </c>
      <c r="G290" s="36" t="s">
        <v>291</v>
      </c>
      <c r="H290" s="36" t="s">
        <v>352</v>
      </c>
      <c r="I290" s="37" t="s">
        <v>1093</v>
      </c>
      <c r="J290" s="31">
        <v>99</v>
      </c>
      <c r="K290" s="33" t="s">
        <v>704</v>
      </c>
      <c r="L290" s="33" t="s">
        <v>687</v>
      </c>
      <c r="M290" s="34" t="s">
        <v>699</v>
      </c>
      <c r="N290" s="34" t="s">
        <v>1693</v>
      </c>
      <c r="O290" s="35">
        <v>1</v>
      </c>
      <c r="P290" s="35"/>
      <c r="Q290" s="36"/>
      <c r="S290" s="1">
        <f t="shared" si="123"/>
        <v>0</v>
      </c>
      <c r="T290" s="1">
        <f t="shared" si="124"/>
        <v>0</v>
      </c>
      <c r="U290" s="1">
        <f t="shared" si="125"/>
        <v>0</v>
      </c>
      <c r="V290" s="1">
        <f t="shared" si="126"/>
        <v>0</v>
      </c>
      <c r="W290" s="1">
        <f t="shared" si="127"/>
        <v>0</v>
      </c>
      <c r="X290" s="1">
        <f t="shared" si="128"/>
        <v>0</v>
      </c>
      <c r="Y290" s="1">
        <f t="shared" si="129"/>
        <v>0</v>
      </c>
      <c r="Z290" s="1">
        <f t="shared" si="130"/>
        <v>0</v>
      </c>
      <c r="AA290" s="1">
        <f t="shared" si="131"/>
        <v>0</v>
      </c>
      <c r="AB290" s="1">
        <f t="shared" si="132"/>
        <v>0</v>
      </c>
      <c r="AD290" s="1">
        <f t="shared" si="133"/>
        <v>0</v>
      </c>
      <c r="AE290" s="1">
        <f t="shared" si="134"/>
        <v>1</v>
      </c>
      <c r="AF290" s="1">
        <f t="shared" si="135"/>
        <v>0</v>
      </c>
      <c r="AG290" s="1">
        <f t="shared" si="136"/>
        <v>1</v>
      </c>
      <c r="AH290" s="1">
        <f t="shared" si="137"/>
        <v>0</v>
      </c>
      <c r="AI290" s="1">
        <f t="shared" si="138"/>
        <v>1</v>
      </c>
    </row>
    <row r="291" spans="1:35" ht="14.25" customHeight="1" x14ac:dyDescent="0.25">
      <c r="A291" s="31">
        <v>0</v>
      </c>
      <c r="B291" s="31">
        <v>1</v>
      </c>
      <c r="C291" s="31">
        <v>7</v>
      </c>
      <c r="D291" s="36" t="s">
        <v>528</v>
      </c>
      <c r="E291" s="32" t="s">
        <v>29</v>
      </c>
      <c r="F291" s="36" t="s">
        <v>657</v>
      </c>
      <c r="G291" s="36" t="s">
        <v>39</v>
      </c>
      <c r="H291" s="36" t="s">
        <v>529</v>
      </c>
      <c r="I291" s="37" t="s">
        <v>2159</v>
      </c>
      <c r="J291" s="31">
        <v>14</v>
      </c>
      <c r="K291" s="33" t="s">
        <v>930</v>
      </c>
      <c r="L291" s="33">
        <v>40</v>
      </c>
      <c r="M291" s="34" t="s">
        <v>699</v>
      </c>
      <c r="N291" s="34" t="s">
        <v>1689</v>
      </c>
      <c r="O291" s="35">
        <v>1</v>
      </c>
      <c r="P291" s="35"/>
      <c r="Q291" s="36"/>
      <c r="S291" s="1">
        <f t="shared" si="123"/>
        <v>0</v>
      </c>
      <c r="T291" s="1">
        <f t="shared" si="124"/>
        <v>0</v>
      </c>
      <c r="U291" s="1">
        <f t="shared" si="125"/>
        <v>0</v>
      </c>
      <c r="V291" s="1">
        <f t="shared" si="126"/>
        <v>0</v>
      </c>
      <c r="W291" s="1">
        <f t="shared" si="127"/>
        <v>0</v>
      </c>
      <c r="X291" s="1">
        <f t="shared" si="128"/>
        <v>0</v>
      </c>
      <c r="Y291" s="1">
        <f t="shared" si="129"/>
        <v>0</v>
      </c>
      <c r="Z291" s="1">
        <f t="shared" si="130"/>
        <v>0</v>
      </c>
      <c r="AA291" s="1">
        <f t="shared" si="131"/>
        <v>0</v>
      </c>
      <c r="AB291" s="1">
        <f t="shared" si="132"/>
        <v>0</v>
      </c>
      <c r="AD291" s="1">
        <f t="shared" si="133"/>
        <v>0</v>
      </c>
      <c r="AE291" s="1">
        <f t="shared" si="134"/>
        <v>1</v>
      </c>
      <c r="AF291" s="1">
        <f t="shared" si="135"/>
        <v>0</v>
      </c>
      <c r="AG291" s="1">
        <f t="shared" si="136"/>
        <v>1</v>
      </c>
      <c r="AH291" s="1">
        <f t="shared" si="137"/>
        <v>0</v>
      </c>
      <c r="AI291" s="1">
        <f t="shared" si="138"/>
        <v>1</v>
      </c>
    </row>
    <row r="292" spans="1:35" ht="14.25" customHeight="1" x14ac:dyDescent="0.25">
      <c r="A292" s="31">
        <v>0</v>
      </c>
      <c r="B292" s="31">
        <v>1</v>
      </c>
      <c r="C292" s="31">
        <v>7</v>
      </c>
      <c r="D292" s="36" t="s">
        <v>1288</v>
      </c>
      <c r="E292" s="32" t="s">
        <v>29</v>
      </c>
      <c r="F292" s="36" t="s">
        <v>1312</v>
      </c>
      <c r="G292" s="36" t="s">
        <v>39</v>
      </c>
      <c r="H292" s="36" t="s">
        <v>352</v>
      </c>
      <c r="I292" s="37" t="s">
        <v>1121</v>
      </c>
      <c r="J292" s="31">
        <v>99</v>
      </c>
      <c r="K292" s="33" t="s">
        <v>704</v>
      </c>
      <c r="L292" s="33" t="s">
        <v>684</v>
      </c>
      <c r="M292" s="34" t="s">
        <v>1373</v>
      </c>
      <c r="N292" s="34" t="s">
        <v>1687</v>
      </c>
      <c r="O292" s="35">
        <v>1</v>
      </c>
      <c r="P292" s="35">
        <v>1</v>
      </c>
      <c r="Q292" s="36"/>
      <c r="S292" s="1">
        <f t="shared" si="123"/>
        <v>0</v>
      </c>
      <c r="T292" s="1">
        <f t="shared" si="124"/>
        <v>0</v>
      </c>
      <c r="U292" s="1">
        <f t="shared" si="125"/>
        <v>0</v>
      </c>
      <c r="V292" s="1">
        <f t="shared" si="126"/>
        <v>0</v>
      </c>
      <c r="W292" s="1">
        <f t="shared" si="127"/>
        <v>0</v>
      </c>
      <c r="X292" s="1">
        <f t="shared" si="128"/>
        <v>0</v>
      </c>
      <c r="Y292" s="1">
        <f t="shared" si="129"/>
        <v>0</v>
      </c>
      <c r="Z292" s="1">
        <f t="shared" si="130"/>
        <v>0</v>
      </c>
      <c r="AA292" s="1">
        <f t="shared" si="131"/>
        <v>0</v>
      </c>
      <c r="AB292" s="1">
        <f t="shared" si="132"/>
        <v>0</v>
      </c>
      <c r="AD292" s="1">
        <f t="shared" si="133"/>
        <v>1</v>
      </c>
      <c r="AE292" s="1">
        <f t="shared" si="134"/>
        <v>0</v>
      </c>
      <c r="AF292" s="1">
        <f t="shared" si="135"/>
        <v>1</v>
      </c>
      <c r="AG292" s="1">
        <f t="shared" si="136"/>
        <v>0</v>
      </c>
      <c r="AH292" s="1">
        <f t="shared" si="137"/>
        <v>1</v>
      </c>
      <c r="AI292" s="1">
        <f t="shared" si="138"/>
        <v>0</v>
      </c>
    </row>
    <row r="293" spans="1:35" ht="14.25" customHeight="1" x14ac:dyDescent="0.25">
      <c r="A293" s="31">
        <v>0</v>
      </c>
      <c r="B293" s="31">
        <v>1</v>
      </c>
      <c r="C293" s="31">
        <v>7</v>
      </c>
      <c r="D293" s="32" t="s">
        <v>96</v>
      </c>
      <c r="E293" s="32" t="s">
        <v>29</v>
      </c>
      <c r="F293" s="32" t="s">
        <v>293</v>
      </c>
      <c r="G293" s="32" t="s">
        <v>262</v>
      </c>
      <c r="H293" s="32" t="s">
        <v>352</v>
      </c>
      <c r="I293" s="31" t="s">
        <v>442</v>
      </c>
      <c r="J293" s="31">
        <v>1</v>
      </c>
      <c r="K293" s="33" t="s">
        <v>704</v>
      </c>
      <c r="L293" s="33" t="s">
        <v>685</v>
      </c>
      <c r="M293" s="34" t="s">
        <v>699</v>
      </c>
      <c r="N293" s="34" t="s">
        <v>1689</v>
      </c>
      <c r="O293" s="35">
        <v>1</v>
      </c>
      <c r="P293" s="35"/>
      <c r="Q293" s="32"/>
      <c r="S293" s="1">
        <f t="shared" si="123"/>
        <v>1</v>
      </c>
      <c r="T293" s="1">
        <f t="shared" si="124"/>
        <v>0</v>
      </c>
      <c r="U293" s="1">
        <f t="shared" si="125"/>
        <v>0</v>
      </c>
      <c r="V293" s="1">
        <f t="shared" si="126"/>
        <v>0</v>
      </c>
      <c r="W293" s="1">
        <f t="shared" si="127"/>
        <v>0</v>
      </c>
      <c r="X293" s="1">
        <f t="shared" si="128"/>
        <v>0</v>
      </c>
      <c r="Y293" s="1">
        <f t="shared" si="129"/>
        <v>0</v>
      </c>
      <c r="Z293" s="1">
        <f t="shared" si="130"/>
        <v>0</v>
      </c>
      <c r="AA293" s="1">
        <f t="shared" si="131"/>
        <v>0</v>
      </c>
      <c r="AB293" s="1">
        <f t="shared" si="132"/>
        <v>0</v>
      </c>
      <c r="AD293" s="1">
        <f t="shared" si="133"/>
        <v>0</v>
      </c>
      <c r="AE293" s="1">
        <f t="shared" si="134"/>
        <v>1</v>
      </c>
      <c r="AF293" s="1">
        <f t="shared" si="135"/>
        <v>0</v>
      </c>
      <c r="AG293" s="1">
        <f t="shared" si="136"/>
        <v>1</v>
      </c>
      <c r="AH293" s="1">
        <f t="shared" si="137"/>
        <v>0</v>
      </c>
      <c r="AI293" s="1">
        <f t="shared" si="138"/>
        <v>1</v>
      </c>
    </row>
    <row r="294" spans="1:35" ht="14.25" customHeight="1" x14ac:dyDescent="0.25">
      <c r="A294" s="15">
        <v>0</v>
      </c>
      <c r="B294" s="15">
        <v>1</v>
      </c>
      <c r="C294" s="15">
        <v>7</v>
      </c>
      <c r="D294" s="16" t="s">
        <v>741</v>
      </c>
      <c r="E294" s="16" t="s">
        <v>29</v>
      </c>
      <c r="F294" s="20" t="s">
        <v>2035</v>
      </c>
      <c r="G294" s="16" t="s">
        <v>39</v>
      </c>
      <c r="H294" s="20" t="s">
        <v>365</v>
      </c>
      <c r="I294" s="21" t="s">
        <v>2036</v>
      </c>
      <c r="J294" s="15">
        <v>18</v>
      </c>
      <c r="K294" s="10" t="s">
        <v>694</v>
      </c>
      <c r="L294" s="10" t="s">
        <v>688</v>
      </c>
      <c r="M294" s="19" t="s">
        <v>699</v>
      </c>
      <c r="N294" s="17"/>
      <c r="Q294" s="16"/>
      <c r="S294" s="1">
        <f t="shared" si="123"/>
        <v>0</v>
      </c>
      <c r="T294" s="1">
        <f t="shared" si="124"/>
        <v>0</v>
      </c>
      <c r="U294" s="1">
        <f t="shared" si="125"/>
        <v>0</v>
      </c>
      <c r="V294" s="1">
        <f t="shared" si="126"/>
        <v>0</v>
      </c>
      <c r="W294" s="1">
        <f t="shared" si="127"/>
        <v>0</v>
      </c>
      <c r="X294" s="1">
        <f t="shared" si="128"/>
        <v>0</v>
      </c>
      <c r="Y294" s="1">
        <f t="shared" si="129"/>
        <v>0</v>
      </c>
      <c r="Z294" s="1">
        <f t="shared" si="130"/>
        <v>0</v>
      </c>
      <c r="AA294" s="1">
        <f t="shared" si="131"/>
        <v>0</v>
      </c>
      <c r="AB294" s="1">
        <f t="shared" si="132"/>
        <v>0</v>
      </c>
      <c r="AD294" s="1">
        <f t="shared" si="133"/>
        <v>0</v>
      </c>
      <c r="AE294" s="1">
        <f t="shared" si="134"/>
        <v>0</v>
      </c>
      <c r="AF294" s="1">
        <f t="shared" si="135"/>
        <v>0</v>
      </c>
      <c r="AG294" s="1">
        <f t="shared" si="136"/>
        <v>0</v>
      </c>
      <c r="AH294" s="1">
        <f t="shared" si="137"/>
        <v>0</v>
      </c>
      <c r="AI294" s="1">
        <f t="shared" si="138"/>
        <v>1</v>
      </c>
    </row>
    <row r="295" spans="1:35" ht="14.25" customHeight="1" x14ac:dyDescent="0.25">
      <c r="A295" s="31">
        <v>0</v>
      </c>
      <c r="B295" s="31">
        <v>1</v>
      </c>
      <c r="C295" s="31">
        <v>7</v>
      </c>
      <c r="D295" s="36" t="s">
        <v>1475</v>
      </c>
      <c r="E295" s="32" t="s">
        <v>29</v>
      </c>
      <c r="F295" s="36" t="s">
        <v>1627</v>
      </c>
      <c r="G295" s="36" t="s">
        <v>1628</v>
      </c>
      <c r="H295" s="36" t="s">
        <v>352</v>
      </c>
      <c r="I295" s="37" t="s">
        <v>1476</v>
      </c>
      <c r="J295" s="31">
        <v>99</v>
      </c>
      <c r="K295" s="33" t="s">
        <v>704</v>
      </c>
      <c r="L295" s="33" t="s">
        <v>39</v>
      </c>
      <c r="M295" s="34" t="s">
        <v>39</v>
      </c>
      <c r="N295" s="34" t="s">
        <v>1681</v>
      </c>
      <c r="O295" s="35">
        <v>1</v>
      </c>
      <c r="P295" s="35">
        <v>1</v>
      </c>
      <c r="Q295" s="36"/>
      <c r="S295" s="1">
        <f t="shared" si="123"/>
        <v>0</v>
      </c>
      <c r="T295" s="1">
        <f t="shared" si="124"/>
        <v>0</v>
      </c>
      <c r="U295" s="1">
        <f t="shared" si="125"/>
        <v>0</v>
      </c>
      <c r="V295" s="1">
        <f t="shared" si="126"/>
        <v>0</v>
      </c>
      <c r="W295" s="1">
        <f t="shared" si="127"/>
        <v>0</v>
      </c>
      <c r="X295" s="1">
        <f t="shared" si="128"/>
        <v>0</v>
      </c>
      <c r="Y295" s="1">
        <f t="shared" si="129"/>
        <v>0</v>
      </c>
      <c r="Z295" s="1">
        <f t="shared" si="130"/>
        <v>0</v>
      </c>
      <c r="AA295" s="1">
        <f t="shared" si="131"/>
        <v>0</v>
      </c>
      <c r="AB295" s="1">
        <f t="shared" si="132"/>
        <v>0</v>
      </c>
      <c r="AD295" s="1">
        <f t="shared" si="133"/>
        <v>1</v>
      </c>
      <c r="AE295" s="1">
        <f t="shared" si="134"/>
        <v>0</v>
      </c>
      <c r="AF295" s="1">
        <f t="shared" si="135"/>
        <v>1</v>
      </c>
      <c r="AG295" s="1">
        <f t="shared" si="136"/>
        <v>0</v>
      </c>
      <c r="AH295" s="1">
        <f t="shared" si="137"/>
        <v>1</v>
      </c>
      <c r="AI295" s="1">
        <f t="shared" si="138"/>
        <v>0</v>
      </c>
    </row>
    <row r="296" spans="1:35" ht="14.25" customHeight="1" x14ac:dyDescent="0.25">
      <c r="A296" s="31">
        <v>0</v>
      </c>
      <c r="B296" s="31">
        <v>1</v>
      </c>
      <c r="C296" s="31">
        <v>7</v>
      </c>
      <c r="D296" s="32" t="s">
        <v>1115</v>
      </c>
      <c r="E296" s="32" t="s">
        <v>29</v>
      </c>
      <c r="F296" s="32" t="s">
        <v>1116</v>
      </c>
      <c r="G296" s="32" t="s">
        <v>1118</v>
      </c>
      <c r="H296" s="32" t="s">
        <v>352</v>
      </c>
      <c r="I296" s="31" t="s">
        <v>1117</v>
      </c>
      <c r="J296" s="31">
        <v>99</v>
      </c>
      <c r="K296" s="33" t="s">
        <v>694</v>
      </c>
      <c r="L296" s="33">
        <v>30</v>
      </c>
      <c r="M296" s="34" t="s">
        <v>1374</v>
      </c>
      <c r="N296" s="34" t="s">
        <v>1790</v>
      </c>
      <c r="O296" s="35">
        <v>1</v>
      </c>
      <c r="P296" s="35"/>
      <c r="Q296" s="32"/>
      <c r="S296" s="1">
        <f t="shared" si="123"/>
        <v>0</v>
      </c>
      <c r="T296" s="1">
        <f t="shared" si="124"/>
        <v>0</v>
      </c>
      <c r="U296" s="1">
        <f t="shared" si="125"/>
        <v>0</v>
      </c>
      <c r="V296" s="1">
        <f t="shared" si="126"/>
        <v>0</v>
      </c>
      <c r="W296" s="1">
        <f t="shared" si="127"/>
        <v>0</v>
      </c>
      <c r="X296" s="1">
        <f t="shared" si="128"/>
        <v>0</v>
      </c>
      <c r="Y296" s="1">
        <f t="shared" si="129"/>
        <v>0</v>
      </c>
      <c r="Z296" s="1">
        <f t="shared" si="130"/>
        <v>0</v>
      </c>
      <c r="AA296" s="1">
        <f t="shared" si="131"/>
        <v>0</v>
      </c>
      <c r="AB296" s="1">
        <f t="shared" si="132"/>
        <v>0</v>
      </c>
      <c r="AD296" s="1">
        <f t="shared" si="133"/>
        <v>0</v>
      </c>
      <c r="AE296" s="1">
        <f t="shared" si="134"/>
        <v>1</v>
      </c>
      <c r="AF296" s="1">
        <f t="shared" si="135"/>
        <v>0</v>
      </c>
      <c r="AG296" s="1">
        <f t="shared" si="136"/>
        <v>1</v>
      </c>
      <c r="AH296" s="1">
        <f t="shared" si="137"/>
        <v>0</v>
      </c>
      <c r="AI296" s="1">
        <f t="shared" si="138"/>
        <v>1</v>
      </c>
    </row>
    <row r="297" spans="1:35" ht="14.25" customHeight="1" x14ac:dyDescent="0.25">
      <c r="A297" s="31">
        <v>0</v>
      </c>
      <c r="B297" s="31">
        <v>1</v>
      </c>
      <c r="C297" s="31">
        <v>7</v>
      </c>
      <c r="D297" s="32" t="s">
        <v>98</v>
      </c>
      <c r="E297" s="32" t="s">
        <v>29</v>
      </c>
      <c r="F297" s="32" t="s">
        <v>295</v>
      </c>
      <c r="G297" s="32" t="s">
        <v>196</v>
      </c>
      <c r="H297" s="32" t="s">
        <v>352</v>
      </c>
      <c r="I297" s="31" t="s">
        <v>443</v>
      </c>
      <c r="J297" s="31">
        <v>9</v>
      </c>
      <c r="K297" s="33" t="s">
        <v>694</v>
      </c>
      <c r="L297" s="33">
        <v>30</v>
      </c>
      <c r="M297" s="34" t="s">
        <v>699</v>
      </c>
      <c r="N297" s="34" t="s">
        <v>1689</v>
      </c>
      <c r="O297" s="35">
        <v>1</v>
      </c>
      <c r="P297" s="35"/>
      <c r="Q297" s="32"/>
      <c r="S297" s="1">
        <f t="shared" si="123"/>
        <v>0</v>
      </c>
      <c r="T297" s="1">
        <f t="shared" si="124"/>
        <v>0</v>
      </c>
      <c r="U297" s="1">
        <f t="shared" si="125"/>
        <v>0</v>
      </c>
      <c r="V297" s="1">
        <f t="shared" si="126"/>
        <v>0</v>
      </c>
      <c r="W297" s="1">
        <f t="shared" si="127"/>
        <v>0</v>
      </c>
      <c r="X297" s="1">
        <f t="shared" si="128"/>
        <v>0</v>
      </c>
      <c r="Y297" s="1">
        <f t="shared" si="129"/>
        <v>0</v>
      </c>
      <c r="Z297" s="1">
        <f t="shared" si="130"/>
        <v>0</v>
      </c>
      <c r="AA297" s="1">
        <f t="shared" si="131"/>
        <v>1</v>
      </c>
      <c r="AB297" s="1">
        <f t="shared" si="132"/>
        <v>0</v>
      </c>
      <c r="AD297" s="1">
        <f t="shared" si="133"/>
        <v>0</v>
      </c>
      <c r="AE297" s="1">
        <f t="shared" si="134"/>
        <v>1</v>
      </c>
      <c r="AF297" s="1">
        <f t="shared" si="135"/>
        <v>0</v>
      </c>
      <c r="AG297" s="1">
        <f t="shared" si="136"/>
        <v>1</v>
      </c>
      <c r="AH297" s="1">
        <f t="shared" si="137"/>
        <v>0</v>
      </c>
      <c r="AI297" s="1">
        <f t="shared" si="138"/>
        <v>1</v>
      </c>
    </row>
    <row r="298" spans="1:35" ht="14.25" customHeight="1" x14ac:dyDescent="0.25">
      <c r="A298" s="31">
        <v>0</v>
      </c>
      <c r="B298" s="31">
        <v>1</v>
      </c>
      <c r="C298" s="31">
        <v>7</v>
      </c>
      <c r="D298" s="32" t="s">
        <v>783</v>
      </c>
      <c r="E298" s="32" t="s">
        <v>29</v>
      </c>
      <c r="F298" s="32" t="s">
        <v>763</v>
      </c>
      <c r="G298" s="32" t="s">
        <v>784</v>
      </c>
      <c r="H298" s="32" t="s">
        <v>352</v>
      </c>
      <c r="I298" s="31" t="s">
        <v>928</v>
      </c>
      <c r="J298" s="31">
        <v>99</v>
      </c>
      <c r="K298" s="33" t="s">
        <v>704</v>
      </c>
      <c r="L298" s="33" t="s">
        <v>685</v>
      </c>
      <c r="M298" s="34" t="s">
        <v>699</v>
      </c>
      <c r="N298" s="34" t="s">
        <v>1766</v>
      </c>
      <c r="O298" s="35">
        <v>1</v>
      </c>
      <c r="P298" s="35"/>
      <c r="Q298" s="32"/>
      <c r="S298" s="1">
        <f t="shared" si="123"/>
        <v>0</v>
      </c>
      <c r="T298" s="1">
        <f t="shared" si="124"/>
        <v>0</v>
      </c>
      <c r="U298" s="1">
        <f t="shared" si="125"/>
        <v>0</v>
      </c>
      <c r="V298" s="1">
        <f t="shared" si="126"/>
        <v>0</v>
      </c>
      <c r="W298" s="1">
        <f t="shared" si="127"/>
        <v>0</v>
      </c>
      <c r="X298" s="1">
        <f t="shared" si="128"/>
        <v>0</v>
      </c>
      <c r="Y298" s="1">
        <f t="shared" si="129"/>
        <v>0</v>
      </c>
      <c r="Z298" s="1">
        <f t="shared" si="130"/>
        <v>0</v>
      </c>
      <c r="AA298" s="1">
        <f t="shared" si="131"/>
        <v>0</v>
      </c>
      <c r="AB298" s="1">
        <f t="shared" si="132"/>
        <v>0</v>
      </c>
      <c r="AD298" s="1">
        <f t="shared" si="133"/>
        <v>0</v>
      </c>
      <c r="AE298" s="1">
        <f t="shared" si="134"/>
        <v>1</v>
      </c>
      <c r="AF298" s="1">
        <f t="shared" si="135"/>
        <v>0</v>
      </c>
      <c r="AG298" s="1">
        <f t="shared" si="136"/>
        <v>1</v>
      </c>
      <c r="AH298" s="1">
        <f t="shared" si="137"/>
        <v>0</v>
      </c>
      <c r="AI298" s="1">
        <f t="shared" si="138"/>
        <v>1</v>
      </c>
    </row>
    <row r="299" spans="1:35" ht="14.25" customHeight="1" x14ac:dyDescent="0.25">
      <c r="A299" s="31">
        <v>0</v>
      </c>
      <c r="B299" s="31">
        <v>1</v>
      </c>
      <c r="C299" s="31">
        <v>7</v>
      </c>
      <c r="D299" s="32" t="s">
        <v>1291</v>
      </c>
      <c r="E299" s="32" t="s">
        <v>29</v>
      </c>
      <c r="F299" s="32" t="s">
        <v>1314</v>
      </c>
      <c r="G299" s="32" t="s">
        <v>1152</v>
      </c>
      <c r="H299" s="32" t="s">
        <v>352</v>
      </c>
      <c r="I299" s="31" t="s">
        <v>1646</v>
      </c>
      <c r="J299" s="31">
        <v>99</v>
      </c>
      <c r="K299" s="33" t="s">
        <v>704</v>
      </c>
      <c r="L299" s="33" t="s">
        <v>685</v>
      </c>
      <c r="M299" s="34" t="s">
        <v>1375</v>
      </c>
      <c r="N299" s="34" t="s">
        <v>1706</v>
      </c>
      <c r="O299" s="35">
        <v>1</v>
      </c>
      <c r="P299" s="35"/>
      <c r="Q299" s="32"/>
      <c r="S299" s="1">
        <f t="shared" si="123"/>
        <v>0</v>
      </c>
      <c r="T299" s="1">
        <f t="shared" si="124"/>
        <v>0</v>
      </c>
      <c r="U299" s="1">
        <f t="shared" si="125"/>
        <v>0</v>
      </c>
      <c r="V299" s="1">
        <f t="shared" si="126"/>
        <v>0</v>
      </c>
      <c r="W299" s="1">
        <f t="shared" si="127"/>
        <v>0</v>
      </c>
      <c r="X299" s="1">
        <f t="shared" si="128"/>
        <v>0</v>
      </c>
      <c r="Y299" s="1">
        <f t="shared" si="129"/>
        <v>0</v>
      </c>
      <c r="Z299" s="1">
        <f t="shared" si="130"/>
        <v>0</v>
      </c>
      <c r="AA299" s="1">
        <f t="shared" si="131"/>
        <v>0</v>
      </c>
      <c r="AB299" s="1">
        <f t="shared" si="132"/>
        <v>0</v>
      </c>
      <c r="AD299" s="1">
        <f t="shared" si="133"/>
        <v>0</v>
      </c>
      <c r="AE299" s="1">
        <f t="shared" si="134"/>
        <v>1</v>
      </c>
      <c r="AF299" s="1">
        <f t="shared" si="135"/>
        <v>0</v>
      </c>
      <c r="AG299" s="1">
        <f t="shared" si="136"/>
        <v>1</v>
      </c>
      <c r="AH299" s="1">
        <f t="shared" si="137"/>
        <v>0</v>
      </c>
      <c r="AI299" s="1">
        <f t="shared" si="138"/>
        <v>1</v>
      </c>
    </row>
    <row r="300" spans="1:35" ht="14.25" customHeight="1" x14ac:dyDescent="0.25">
      <c r="A300" s="31">
        <v>0</v>
      </c>
      <c r="B300" s="31">
        <v>1</v>
      </c>
      <c r="C300" s="31">
        <v>7</v>
      </c>
      <c r="D300" s="32" t="s">
        <v>1246</v>
      </c>
      <c r="E300" s="32" t="s">
        <v>29</v>
      </c>
      <c r="F300" s="32" t="s">
        <v>1247</v>
      </c>
      <c r="G300" s="32" t="s">
        <v>1248</v>
      </c>
      <c r="H300" s="32" t="s">
        <v>352</v>
      </c>
      <c r="I300" s="31" t="s">
        <v>1249</v>
      </c>
      <c r="J300" s="31">
        <v>99</v>
      </c>
      <c r="K300" s="33" t="s">
        <v>704</v>
      </c>
      <c r="L300" s="33" t="s">
        <v>685</v>
      </c>
      <c r="M300" s="34" t="s">
        <v>699</v>
      </c>
      <c r="N300" s="34" t="s">
        <v>1701</v>
      </c>
      <c r="O300" s="35">
        <v>1</v>
      </c>
      <c r="P300" s="35"/>
      <c r="Q300" s="32"/>
      <c r="S300" s="1">
        <f t="shared" si="123"/>
        <v>0</v>
      </c>
      <c r="T300" s="1">
        <f t="shared" si="124"/>
        <v>0</v>
      </c>
      <c r="U300" s="1">
        <f t="shared" si="125"/>
        <v>0</v>
      </c>
      <c r="V300" s="1">
        <f t="shared" si="126"/>
        <v>0</v>
      </c>
      <c r="W300" s="1">
        <f t="shared" si="127"/>
        <v>0</v>
      </c>
      <c r="X300" s="1">
        <f t="shared" si="128"/>
        <v>0</v>
      </c>
      <c r="Y300" s="1">
        <f t="shared" si="129"/>
        <v>0</v>
      </c>
      <c r="Z300" s="1">
        <f t="shared" si="130"/>
        <v>0</v>
      </c>
      <c r="AA300" s="1">
        <f t="shared" si="131"/>
        <v>0</v>
      </c>
      <c r="AB300" s="1">
        <f t="shared" si="132"/>
        <v>0</v>
      </c>
      <c r="AD300" s="1">
        <f t="shared" si="133"/>
        <v>0</v>
      </c>
      <c r="AE300" s="1">
        <f t="shared" si="134"/>
        <v>1</v>
      </c>
      <c r="AF300" s="1">
        <f t="shared" si="135"/>
        <v>0</v>
      </c>
      <c r="AG300" s="1">
        <f t="shared" si="136"/>
        <v>1</v>
      </c>
      <c r="AH300" s="1">
        <f t="shared" si="137"/>
        <v>0</v>
      </c>
      <c r="AI300" s="1">
        <f t="shared" si="138"/>
        <v>1</v>
      </c>
    </row>
    <row r="301" spans="1:35" ht="14.25" customHeight="1" x14ac:dyDescent="0.25">
      <c r="A301" s="31">
        <v>0</v>
      </c>
      <c r="B301" s="31">
        <v>1</v>
      </c>
      <c r="C301" s="31">
        <v>7</v>
      </c>
      <c r="D301" s="32" t="s">
        <v>700</v>
      </c>
      <c r="E301" s="32" t="s">
        <v>29</v>
      </c>
      <c r="F301" s="32" t="s">
        <v>701</v>
      </c>
      <c r="G301" s="32" t="s">
        <v>183</v>
      </c>
      <c r="H301" s="32" t="s">
        <v>352</v>
      </c>
      <c r="I301" s="31" t="s">
        <v>702</v>
      </c>
      <c r="J301" s="31">
        <v>99</v>
      </c>
      <c r="K301" s="33" t="s">
        <v>931</v>
      </c>
      <c r="L301" s="33" t="s">
        <v>39</v>
      </c>
      <c r="M301" s="34" t="s">
        <v>39</v>
      </c>
      <c r="N301" s="34" t="s">
        <v>1687</v>
      </c>
      <c r="O301" s="35">
        <v>1</v>
      </c>
      <c r="P301" s="35">
        <v>1</v>
      </c>
      <c r="Q301" s="32"/>
      <c r="S301" s="1">
        <f t="shared" si="123"/>
        <v>0</v>
      </c>
      <c r="T301" s="1">
        <f t="shared" si="124"/>
        <v>0</v>
      </c>
      <c r="U301" s="1">
        <f t="shared" si="125"/>
        <v>0</v>
      </c>
      <c r="V301" s="1">
        <f t="shared" si="126"/>
        <v>0</v>
      </c>
      <c r="W301" s="1">
        <f t="shared" si="127"/>
        <v>0</v>
      </c>
      <c r="X301" s="1">
        <f t="shared" si="128"/>
        <v>0</v>
      </c>
      <c r="Y301" s="1">
        <f t="shared" si="129"/>
        <v>0</v>
      </c>
      <c r="Z301" s="1">
        <f t="shared" si="130"/>
        <v>0</v>
      </c>
      <c r="AA301" s="1">
        <f t="shared" si="131"/>
        <v>0</v>
      </c>
      <c r="AB301" s="1">
        <f t="shared" si="132"/>
        <v>0</v>
      </c>
      <c r="AD301" s="1">
        <f t="shared" si="133"/>
        <v>1</v>
      </c>
      <c r="AE301" s="1">
        <f t="shared" si="134"/>
        <v>0</v>
      </c>
      <c r="AF301" s="1">
        <f t="shared" si="135"/>
        <v>1</v>
      </c>
      <c r="AG301" s="1">
        <f t="shared" si="136"/>
        <v>0</v>
      </c>
      <c r="AH301" s="1">
        <f t="shared" si="137"/>
        <v>1</v>
      </c>
      <c r="AI301" s="1">
        <f t="shared" si="138"/>
        <v>0</v>
      </c>
    </row>
    <row r="302" spans="1:35" ht="14.25" customHeight="1" x14ac:dyDescent="0.25">
      <c r="A302" s="31">
        <v>0</v>
      </c>
      <c r="B302" s="31">
        <v>1</v>
      </c>
      <c r="C302" s="31">
        <v>7</v>
      </c>
      <c r="D302" s="36" t="s">
        <v>2066</v>
      </c>
      <c r="E302" s="36" t="s">
        <v>29</v>
      </c>
      <c r="F302" s="36" t="s">
        <v>2067</v>
      </c>
      <c r="G302" s="36" t="s">
        <v>239</v>
      </c>
      <c r="H302" s="36" t="s">
        <v>352</v>
      </c>
      <c r="I302" s="37" t="s">
        <v>2068</v>
      </c>
      <c r="J302" s="31">
        <v>1</v>
      </c>
      <c r="K302" s="33" t="s">
        <v>694</v>
      </c>
      <c r="L302" s="33"/>
      <c r="M302" s="34"/>
      <c r="N302" s="34" t="s">
        <v>1693</v>
      </c>
      <c r="O302" s="35">
        <v>1</v>
      </c>
      <c r="P302" s="35"/>
      <c r="Q302" s="32" t="s">
        <v>2069</v>
      </c>
      <c r="S302" s="1">
        <f t="shared" si="123"/>
        <v>1</v>
      </c>
      <c r="T302" s="1">
        <f t="shared" si="124"/>
        <v>0</v>
      </c>
      <c r="U302" s="1">
        <f t="shared" si="125"/>
        <v>0</v>
      </c>
      <c r="V302" s="1">
        <f t="shared" si="126"/>
        <v>0</v>
      </c>
      <c r="W302" s="1">
        <f t="shared" si="127"/>
        <v>0</v>
      </c>
      <c r="X302" s="1">
        <f t="shared" si="128"/>
        <v>0</v>
      </c>
      <c r="Y302" s="1">
        <f t="shared" si="129"/>
        <v>0</v>
      </c>
      <c r="Z302" s="1">
        <f t="shared" si="130"/>
        <v>0</v>
      </c>
      <c r="AA302" s="1">
        <f t="shared" si="131"/>
        <v>0</v>
      </c>
      <c r="AB302" s="1">
        <f t="shared" si="132"/>
        <v>0</v>
      </c>
      <c r="AD302" s="1">
        <f t="shared" si="133"/>
        <v>0</v>
      </c>
      <c r="AE302" s="1">
        <f t="shared" si="134"/>
        <v>1</v>
      </c>
      <c r="AF302" s="1">
        <f t="shared" si="135"/>
        <v>0</v>
      </c>
      <c r="AG302" s="1">
        <f t="shared" si="136"/>
        <v>1</v>
      </c>
      <c r="AH302" s="1">
        <f t="shared" si="137"/>
        <v>0</v>
      </c>
      <c r="AI302" s="1">
        <f t="shared" si="138"/>
        <v>1</v>
      </c>
    </row>
    <row r="303" spans="1:35" ht="14.25" customHeight="1" x14ac:dyDescent="0.25">
      <c r="A303" s="31">
        <v>0</v>
      </c>
      <c r="B303" s="31">
        <v>2</v>
      </c>
      <c r="C303" s="31">
        <v>1</v>
      </c>
      <c r="D303" s="32" t="s">
        <v>532</v>
      </c>
      <c r="E303" s="32" t="s">
        <v>34</v>
      </c>
      <c r="F303" s="32" t="s">
        <v>533</v>
      </c>
      <c r="G303" s="32" t="s">
        <v>219</v>
      </c>
      <c r="H303" s="32" t="s">
        <v>352</v>
      </c>
      <c r="I303" s="31" t="s">
        <v>534</v>
      </c>
      <c r="J303" s="31">
        <v>8</v>
      </c>
      <c r="K303" s="33" t="s">
        <v>704</v>
      </c>
      <c r="L303" s="33" t="s">
        <v>704</v>
      </c>
      <c r="M303" s="34" t="s">
        <v>705</v>
      </c>
      <c r="N303" s="34" t="s">
        <v>1693</v>
      </c>
      <c r="O303" s="35">
        <v>1</v>
      </c>
      <c r="P303" s="35"/>
      <c r="Q303" s="32"/>
      <c r="S303" s="1">
        <f t="shared" si="123"/>
        <v>0</v>
      </c>
      <c r="T303" s="1">
        <f t="shared" si="124"/>
        <v>0</v>
      </c>
      <c r="U303" s="1">
        <f t="shared" si="125"/>
        <v>0</v>
      </c>
      <c r="V303" s="1">
        <f t="shared" si="126"/>
        <v>0</v>
      </c>
      <c r="W303" s="1">
        <f t="shared" si="127"/>
        <v>0</v>
      </c>
      <c r="X303" s="1">
        <f t="shared" si="128"/>
        <v>0</v>
      </c>
      <c r="Y303" s="1">
        <f t="shared" si="129"/>
        <v>0</v>
      </c>
      <c r="Z303" s="1">
        <f t="shared" si="130"/>
        <v>1</v>
      </c>
      <c r="AA303" s="1">
        <f t="shared" si="131"/>
        <v>0</v>
      </c>
      <c r="AB303" s="1">
        <f t="shared" si="132"/>
        <v>0</v>
      </c>
      <c r="AD303" s="1">
        <f t="shared" si="133"/>
        <v>0</v>
      </c>
      <c r="AE303" s="1">
        <f t="shared" si="134"/>
        <v>1</v>
      </c>
      <c r="AF303" s="1">
        <f t="shared" si="135"/>
        <v>0</v>
      </c>
      <c r="AG303" s="1">
        <f t="shared" si="136"/>
        <v>1</v>
      </c>
      <c r="AH303" s="1">
        <f t="shared" si="137"/>
        <v>0</v>
      </c>
      <c r="AI303" s="1">
        <f t="shared" si="138"/>
        <v>1</v>
      </c>
    </row>
    <row r="304" spans="1:35" ht="14.25" customHeight="1" x14ac:dyDescent="0.25">
      <c r="A304" s="31">
        <v>0</v>
      </c>
      <c r="B304" s="31">
        <v>2</v>
      </c>
      <c r="C304" s="31">
        <v>1</v>
      </c>
      <c r="D304" s="32" t="s">
        <v>1257</v>
      </c>
      <c r="E304" s="32" t="s">
        <v>555</v>
      </c>
      <c r="F304" s="32" t="s">
        <v>1258</v>
      </c>
      <c r="G304" s="32" t="s">
        <v>229</v>
      </c>
      <c r="H304" s="32" t="s">
        <v>352</v>
      </c>
      <c r="I304" s="31" t="s">
        <v>1259</v>
      </c>
      <c r="J304" s="31">
        <v>7</v>
      </c>
      <c r="K304" s="33" t="s">
        <v>704</v>
      </c>
      <c r="L304" s="33" t="s">
        <v>704</v>
      </c>
      <c r="M304" s="34" t="s">
        <v>705</v>
      </c>
      <c r="N304" s="34" t="s">
        <v>1701</v>
      </c>
      <c r="O304" s="35">
        <v>1</v>
      </c>
      <c r="P304" s="35"/>
      <c r="Q304" s="32"/>
      <c r="S304" s="1">
        <f t="shared" si="123"/>
        <v>0</v>
      </c>
      <c r="T304" s="1">
        <f t="shared" si="124"/>
        <v>0</v>
      </c>
      <c r="U304" s="1">
        <f t="shared" si="125"/>
        <v>0</v>
      </c>
      <c r="V304" s="1">
        <f t="shared" si="126"/>
        <v>0</v>
      </c>
      <c r="W304" s="1">
        <f t="shared" si="127"/>
        <v>0</v>
      </c>
      <c r="X304" s="1">
        <f t="shared" si="128"/>
        <v>0</v>
      </c>
      <c r="Y304" s="1">
        <f t="shared" si="129"/>
        <v>1</v>
      </c>
      <c r="Z304" s="1">
        <f t="shared" si="130"/>
        <v>0</v>
      </c>
      <c r="AA304" s="1">
        <f t="shared" si="131"/>
        <v>0</v>
      </c>
      <c r="AB304" s="1">
        <f t="shared" si="132"/>
        <v>0</v>
      </c>
      <c r="AD304" s="1">
        <f t="shared" si="133"/>
        <v>0</v>
      </c>
      <c r="AE304" s="1">
        <f t="shared" si="134"/>
        <v>1</v>
      </c>
      <c r="AF304" s="1">
        <f t="shared" si="135"/>
        <v>0</v>
      </c>
      <c r="AG304" s="1">
        <f t="shared" si="136"/>
        <v>1</v>
      </c>
      <c r="AH304" s="1">
        <f t="shared" si="137"/>
        <v>0</v>
      </c>
      <c r="AI304" s="1">
        <f t="shared" si="138"/>
        <v>1</v>
      </c>
    </row>
    <row r="305" spans="1:35" ht="14.25" customHeight="1" x14ac:dyDescent="0.25">
      <c r="A305" s="31">
        <v>0</v>
      </c>
      <c r="B305" s="31">
        <v>2</v>
      </c>
      <c r="C305" s="31">
        <v>1</v>
      </c>
      <c r="D305" s="32" t="s">
        <v>1293</v>
      </c>
      <c r="E305" s="32" t="s">
        <v>555</v>
      </c>
      <c r="F305" s="32" t="s">
        <v>1923</v>
      </c>
      <c r="G305" s="32" t="s">
        <v>212</v>
      </c>
      <c r="H305" s="32" t="s">
        <v>352</v>
      </c>
      <c r="I305" s="31" t="s">
        <v>1127</v>
      </c>
      <c r="J305" s="31">
        <v>1</v>
      </c>
      <c r="K305" s="33" t="s">
        <v>930</v>
      </c>
      <c r="L305" s="33" t="s">
        <v>704</v>
      </c>
      <c r="M305" s="34" t="s">
        <v>705</v>
      </c>
      <c r="N305" s="34" t="s">
        <v>1706</v>
      </c>
      <c r="O305" s="35">
        <v>1</v>
      </c>
      <c r="P305" s="35"/>
      <c r="Q305" s="32"/>
      <c r="S305" s="1">
        <f t="shared" si="123"/>
        <v>1</v>
      </c>
      <c r="T305" s="1">
        <f t="shared" si="124"/>
        <v>0</v>
      </c>
      <c r="U305" s="1">
        <f t="shared" si="125"/>
        <v>0</v>
      </c>
      <c r="V305" s="1">
        <f t="shared" si="126"/>
        <v>0</v>
      </c>
      <c r="W305" s="1">
        <f t="shared" si="127"/>
        <v>0</v>
      </c>
      <c r="X305" s="1">
        <f t="shared" si="128"/>
        <v>0</v>
      </c>
      <c r="Y305" s="1">
        <f t="shared" si="129"/>
        <v>0</v>
      </c>
      <c r="Z305" s="1">
        <f t="shared" si="130"/>
        <v>0</v>
      </c>
      <c r="AA305" s="1">
        <f t="shared" si="131"/>
        <v>0</v>
      </c>
      <c r="AB305" s="1">
        <f t="shared" si="132"/>
        <v>0</v>
      </c>
      <c r="AD305" s="1">
        <f t="shared" si="133"/>
        <v>0</v>
      </c>
      <c r="AE305" s="1">
        <f t="shared" si="134"/>
        <v>1</v>
      </c>
      <c r="AF305" s="1">
        <f t="shared" si="135"/>
        <v>0</v>
      </c>
      <c r="AG305" s="1">
        <f t="shared" si="136"/>
        <v>1</v>
      </c>
      <c r="AH305" s="1">
        <f t="shared" si="137"/>
        <v>0</v>
      </c>
      <c r="AI305" s="1">
        <f t="shared" si="138"/>
        <v>1</v>
      </c>
    </row>
    <row r="306" spans="1:35" ht="14.25" customHeight="1" x14ac:dyDescent="0.25">
      <c r="A306" s="31">
        <v>0</v>
      </c>
      <c r="B306" s="31">
        <v>2</v>
      </c>
      <c r="C306" s="31">
        <v>1</v>
      </c>
      <c r="D306" s="32" t="s">
        <v>1294</v>
      </c>
      <c r="E306" s="32" t="s">
        <v>555</v>
      </c>
      <c r="F306" s="32" t="s">
        <v>1122</v>
      </c>
      <c r="G306" s="32" t="s">
        <v>283</v>
      </c>
      <c r="H306" s="32" t="s">
        <v>352</v>
      </c>
      <c r="I306" s="31" t="s">
        <v>1123</v>
      </c>
      <c r="J306" s="31">
        <v>10</v>
      </c>
      <c r="K306" s="33" t="s">
        <v>930</v>
      </c>
      <c r="L306" s="33" t="s">
        <v>704</v>
      </c>
      <c r="M306" s="34" t="s">
        <v>705</v>
      </c>
      <c r="N306" s="34" t="s">
        <v>1706</v>
      </c>
      <c r="O306" s="35">
        <v>1</v>
      </c>
      <c r="P306" s="35"/>
      <c r="Q306" s="32"/>
      <c r="S306" s="1">
        <f t="shared" si="123"/>
        <v>0</v>
      </c>
      <c r="T306" s="1">
        <f t="shared" si="124"/>
        <v>0</v>
      </c>
      <c r="U306" s="1">
        <f t="shared" si="125"/>
        <v>0</v>
      </c>
      <c r="V306" s="1">
        <f t="shared" si="126"/>
        <v>0</v>
      </c>
      <c r="W306" s="1">
        <f t="shared" si="127"/>
        <v>0</v>
      </c>
      <c r="X306" s="1">
        <f t="shared" si="128"/>
        <v>0</v>
      </c>
      <c r="Y306" s="1">
        <f t="shared" si="129"/>
        <v>0</v>
      </c>
      <c r="Z306" s="1">
        <f t="shared" si="130"/>
        <v>0</v>
      </c>
      <c r="AA306" s="1">
        <f t="shared" si="131"/>
        <v>0</v>
      </c>
      <c r="AB306" s="1">
        <f t="shared" si="132"/>
        <v>1</v>
      </c>
      <c r="AD306" s="1">
        <f t="shared" si="133"/>
        <v>0</v>
      </c>
      <c r="AE306" s="1">
        <f t="shared" si="134"/>
        <v>1</v>
      </c>
      <c r="AF306" s="1">
        <f t="shared" si="135"/>
        <v>0</v>
      </c>
      <c r="AG306" s="1">
        <f t="shared" si="136"/>
        <v>1</v>
      </c>
      <c r="AH306" s="1">
        <f t="shared" si="137"/>
        <v>0</v>
      </c>
      <c r="AI306" s="1">
        <f t="shared" si="138"/>
        <v>1</v>
      </c>
    </row>
    <row r="307" spans="1:35" ht="14.25" customHeight="1" x14ac:dyDescent="0.25">
      <c r="A307" s="31">
        <v>0</v>
      </c>
      <c r="B307" s="31">
        <v>2</v>
      </c>
      <c r="C307" s="31">
        <v>1</v>
      </c>
      <c r="D307" s="32" t="s">
        <v>2002</v>
      </c>
      <c r="E307" s="32" t="s">
        <v>36</v>
      </c>
      <c r="F307" s="32" t="s">
        <v>2003</v>
      </c>
      <c r="G307" s="32" t="s">
        <v>1445</v>
      </c>
      <c r="H307" s="32" t="s">
        <v>352</v>
      </c>
      <c r="I307" s="31" t="s">
        <v>2005</v>
      </c>
      <c r="J307" s="31">
        <v>99</v>
      </c>
      <c r="K307" s="33" t="s">
        <v>694</v>
      </c>
      <c r="L307" s="33">
        <v>7</v>
      </c>
      <c r="M307" s="34" t="s">
        <v>2004</v>
      </c>
      <c r="N307" s="34" t="s">
        <v>1687</v>
      </c>
      <c r="O307" s="35">
        <v>1</v>
      </c>
      <c r="P307" s="35">
        <v>1</v>
      </c>
      <c r="Q307" s="32" t="s">
        <v>2006</v>
      </c>
      <c r="S307" s="1">
        <f t="shared" si="123"/>
        <v>0</v>
      </c>
      <c r="T307" s="1">
        <f t="shared" si="124"/>
        <v>0</v>
      </c>
      <c r="U307" s="1">
        <f t="shared" si="125"/>
        <v>0</v>
      </c>
      <c r="V307" s="1">
        <f t="shared" si="126"/>
        <v>0</v>
      </c>
      <c r="W307" s="1">
        <f t="shared" si="127"/>
        <v>0</v>
      </c>
      <c r="X307" s="1">
        <f t="shared" si="128"/>
        <v>0</v>
      </c>
      <c r="Y307" s="1">
        <f t="shared" si="129"/>
        <v>0</v>
      </c>
      <c r="Z307" s="1">
        <f t="shared" si="130"/>
        <v>0</v>
      </c>
      <c r="AA307" s="1">
        <f t="shared" si="131"/>
        <v>0</v>
      </c>
      <c r="AB307" s="1">
        <f t="shared" si="132"/>
        <v>0</v>
      </c>
      <c r="AD307" s="1">
        <f t="shared" si="133"/>
        <v>1</v>
      </c>
      <c r="AE307" s="1">
        <f t="shared" si="134"/>
        <v>0</v>
      </c>
      <c r="AF307" s="1">
        <f t="shared" si="135"/>
        <v>1</v>
      </c>
      <c r="AG307" s="1">
        <f t="shared" si="136"/>
        <v>0</v>
      </c>
      <c r="AH307" s="1">
        <f t="shared" si="137"/>
        <v>1</v>
      </c>
      <c r="AI307" s="1">
        <f t="shared" si="138"/>
        <v>0</v>
      </c>
    </row>
    <row r="308" spans="1:35" ht="14.25" customHeight="1" x14ac:dyDescent="0.25">
      <c r="A308" s="15">
        <v>0</v>
      </c>
      <c r="B308" s="15">
        <v>2</v>
      </c>
      <c r="C308" s="15">
        <v>1</v>
      </c>
      <c r="D308" s="16" t="s">
        <v>508</v>
      </c>
      <c r="E308" s="16" t="s">
        <v>34</v>
      </c>
      <c r="F308" s="16" t="s">
        <v>507</v>
      </c>
      <c r="G308" s="16" t="s">
        <v>542</v>
      </c>
      <c r="H308" s="16" t="s">
        <v>352</v>
      </c>
      <c r="I308" s="15" t="s">
        <v>1329</v>
      </c>
      <c r="J308" s="15">
        <v>99</v>
      </c>
      <c r="K308" s="10" t="s">
        <v>931</v>
      </c>
      <c r="L308" s="10" t="s">
        <v>704</v>
      </c>
      <c r="M308" s="19" t="s">
        <v>705</v>
      </c>
      <c r="N308" s="19"/>
      <c r="Q308" s="20" t="s">
        <v>1946</v>
      </c>
      <c r="S308" s="1">
        <f t="shared" si="123"/>
        <v>0</v>
      </c>
      <c r="T308" s="1">
        <f t="shared" si="124"/>
        <v>0</v>
      </c>
      <c r="U308" s="1">
        <f t="shared" si="125"/>
        <v>0</v>
      </c>
      <c r="V308" s="1">
        <f t="shared" si="126"/>
        <v>0</v>
      </c>
      <c r="W308" s="1">
        <f t="shared" si="127"/>
        <v>0</v>
      </c>
      <c r="X308" s="1">
        <f t="shared" si="128"/>
        <v>0</v>
      </c>
      <c r="Y308" s="1">
        <f t="shared" si="129"/>
        <v>0</v>
      </c>
      <c r="Z308" s="1">
        <f t="shared" si="130"/>
        <v>0</v>
      </c>
      <c r="AA308" s="1">
        <f t="shared" si="131"/>
        <v>0</v>
      </c>
      <c r="AB308" s="1">
        <f t="shared" si="132"/>
        <v>0</v>
      </c>
      <c r="AD308" s="1">
        <f t="shared" si="133"/>
        <v>0</v>
      </c>
      <c r="AE308" s="1">
        <f t="shared" si="134"/>
        <v>0</v>
      </c>
      <c r="AF308" s="1">
        <f t="shared" si="135"/>
        <v>0</v>
      </c>
      <c r="AG308" s="1">
        <f t="shared" si="136"/>
        <v>0</v>
      </c>
      <c r="AH308" s="1">
        <f t="shared" si="137"/>
        <v>0</v>
      </c>
      <c r="AI308" s="1">
        <f t="shared" si="138"/>
        <v>1</v>
      </c>
    </row>
    <row r="309" spans="1:35" ht="14.25" customHeight="1" x14ac:dyDescent="0.25">
      <c r="A309" s="31">
        <v>0</v>
      </c>
      <c r="B309" s="31">
        <v>2</v>
      </c>
      <c r="C309" s="31">
        <v>1</v>
      </c>
      <c r="D309" s="32" t="s">
        <v>1018</v>
      </c>
      <c r="E309" s="32" t="s">
        <v>36</v>
      </c>
      <c r="F309" s="32" t="s">
        <v>1615</v>
      </c>
      <c r="G309" s="32" t="s">
        <v>620</v>
      </c>
      <c r="H309" s="32" t="s">
        <v>352</v>
      </c>
      <c r="I309" s="31" t="s">
        <v>1019</v>
      </c>
      <c r="J309" s="31">
        <v>99</v>
      </c>
      <c r="K309" s="33" t="s">
        <v>935</v>
      </c>
      <c r="L309" s="33" t="s">
        <v>704</v>
      </c>
      <c r="M309" s="34" t="s">
        <v>705</v>
      </c>
      <c r="N309" s="34" t="s">
        <v>1687</v>
      </c>
      <c r="O309" s="35">
        <v>1</v>
      </c>
      <c r="P309" s="35">
        <v>1</v>
      </c>
      <c r="Q309" s="32" t="s">
        <v>1839</v>
      </c>
      <c r="S309" s="1">
        <f t="shared" si="123"/>
        <v>0</v>
      </c>
      <c r="T309" s="1">
        <f t="shared" si="124"/>
        <v>0</v>
      </c>
      <c r="U309" s="1">
        <f t="shared" si="125"/>
        <v>0</v>
      </c>
      <c r="V309" s="1">
        <f t="shared" si="126"/>
        <v>0</v>
      </c>
      <c r="W309" s="1">
        <f t="shared" si="127"/>
        <v>0</v>
      </c>
      <c r="X309" s="1">
        <f t="shared" si="128"/>
        <v>0</v>
      </c>
      <c r="Y309" s="1">
        <f t="shared" si="129"/>
        <v>0</v>
      </c>
      <c r="Z309" s="1">
        <f t="shared" si="130"/>
        <v>0</v>
      </c>
      <c r="AA309" s="1">
        <f t="shared" si="131"/>
        <v>0</v>
      </c>
      <c r="AB309" s="1">
        <f t="shared" si="132"/>
        <v>0</v>
      </c>
      <c r="AD309" s="1">
        <f t="shared" si="133"/>
        <v>1</v>
      </c>
      <c r="AE309" s="1">
        <f t="shared" si="134"/>
        <v>0</v>
      </c>
      <c r="AF309" s="1">
        <f t="shared" si="135"/>
        <v>1</v>
      </c>
      <c r="AG309" s="1">
        <f t="shared" si="136"/>
        <v>0</v>
      </c>
      <c r="AH309" s="1">
        <f t="shared" si="137"/>
        <v>1</v>
      </c>
      <c r="AI309" s="1">
        <f t="shared" si="138"/>
        <v>0</v>
      </c>
    </row>
    <row r="310" spans="1:35" ht="14.25" customHeight="1" x14ac:dyDescent="0.25">
      <c r="A310" s="31">
        <v>0</v>
      </c>
      <c r="B310" s="31">
        <v>2</v>
      </c>
      <c r="C310" s="31">
        <v>1</v>
      </c>
      <c r="D310" s="32" t="s">
        <v>49</v>
      </c>
      <c r="E310" s="32" t="s">
        <v>1281</v>
      </c>
      <c r="F310" s="32" t="s">
        <v>190</v>
      </c>
      <c r="G310" s="32" t="s">
        <v>191</v>
      </c>
      <c r="H310" s="32" t="s">
        <v>352</v>
      </c>
      <c r="I310" s="31" t="s">
        <v>384</v>
      </c>
      <c r="J310" s="31">
        <v>99</v>
      </c>
      <c r="K310" s="33" t="s">
        <v>703</v>
      </c>
      <c r="L310" s="33" t="s">
        <v>704</v>
      </c>
      <c r="M310" s="34" t="s">
        <v>705</v>
      </c>
      <c r="N310" s="34" t="s">
        <v>1701</v>
      </c>
      <c r="O310" s="35">
        <v>1</v>
      </c>
      <c r="P310" s="35"/>
      <c r="Q310" s="32"/>
      <c r="S310" s="1">
        <f t="shared" si="123"/>
        <v>0</v>
      </c>
      <c r="T310" s="1">
        <f t="shared" si="124"/>
        <v>0</v>
      </c>
      <c r="U310" s="1">
        <f t="shared" si="125"/>
        <v>0</v>
      </c>
      <c r="V310" s="1">
        <f t="shared" si="126"/>
        <v>0</v>
      </c>
      <c r="W310" s="1">
        <f t="shared" si="127"/>
        <v>0</v>
      </c>
      <c r="X310" s="1">
        <f t="shared" si="128"/>
        <v>0</v>
      </c>
      <c r="Y310" s="1">
        <f t="shared" si="129"/>
        <v>0</v>
      </c>
      <c r="Z310" s="1">
        <f t="shared" si="130"/>
        <v>0</v>
      </c>
      <c r="AA310" s="1">
        <f t="shared" si="131"/>
        <v>0</v>
      </c>
      <c r="AB310" s="1">
        <f t="shared" si="132"/>
        <v>0</v>
      </c>
      <c r="AD310" s="1">
        <f t="shared" si="133"/>
        <v>0</v>
      </c>
      <c r="AE310" s="1">
        <f t="shared" si="134"/>
        <v>1</v>
      </c>
      <c r="AF310" s="1">
        <f t="shared" si="135"/>
        <v>0</v>
      </c>
      <c r="AG310" s="1">
        <f t="shared" si="136"/>
        <v>1</v>
      </c>
      <c r="AH310" s="1">
        <f t="shared" si="137"/>
        <v>0</v>
      </c>
      <c r="AI310" s="1">
        <f t="shared" si="138"/>
        <v>1</v>
      </c>
    </row>
    <row r="311" spans="1:35" ht="14.25" customHeight="1" x14ac:dyDescent="0.25">
      <c r="A311" s="31">
        <v>1</v>
      </c>
      <c r="B311" s="31">
        <v>2</v>
      </c>
      <c r="C311" s="31">
        <v>1</v>
      </c>
      <c r="D311" s="32" t="s">
        <v>1050</v>
      </c>
      <c r="E311" s="32" t="s">
        <v>1281</v>
      </c>
      <c r="F311" s="32" t="s">
        <v>1065</v>
      </c>
      <c r="G311" s="32" t="s">
        <v>201</v>
      </c>
      <c r="H311" s="32" t="s">
        <v>352</v>
      </c>
      <c r="I311" s="31" t="s">
        <v>384</v>
      </c>
      <c r="J311" s="31">
        <v>10</v>
      </c>
      <c r="K311" s="33" t="s">
        <v>703</v>
      </c>
      <c r="L311" s="33" t="s">
        <v>704</v>
      </c>
      <c r="M311" s="34" t="s">
        <v>705</v>
      </c>
      <c r="N311" s="34" t="s">
        <v>1701</v>
      </c>
      <c r="O311" s="35">
        <v>1</v>
      </c>
      <c r="P311" s="35"/>
      <c r="Q311" s="32"/>
      <c r="S311" s="1">
        <f t="shared" si="123"/>
        <v>0</v>
      </c>
      <c r="T311" s="1">
        <f t="shared" si="124"/>
        <v>0</v>
      </c>
      <c r="U311" s="1">
        <f t="shared" si="125"/>
        <v>0</v>
      </c>
      <c r="V311" s="1">
        <f t="shared" si="126"/>
        <v>0</v>
      </c>
      <c r="W311" s="1">
        <f t="shared" si="127"/>
        <v>0</v>
      </c>
      <c r="X311" s="1">
        <f t="shared" si="128"/>
        <v>0</v>
      </c>
      <c r="Y311" s="1">
        <f t="shared" si="129"/>
        <v>0</v>
      </c>
      <c r="Z311" s="1">
        <f t="shared" si="130"/>
        <v>0</v>
      </c>
      <c r="AA311" s="1">
        <f t="shared" si="131"/>
        <v>0</v>
      </c>
      <c r="AB311" s="1">
        <f t="shared" si="132"/>
        <v>1</v>
      </c>
      <c r="AD311" s="1">
        <f t="shared" si="133"/>
        <v>0</v>
      </c>
      <c r="AE311" s="1">
        <f t="shared" si="134"/>
        <v>1</v>
      </c>
      <c r="AF311" s="1">
        <f t="shared" si="135"/>
        <v>0</v>
      </c>
      <c r="AG311" s="1">
        <f t="shared" si="136"/>
        <v>0</v>
      </c>
      <c r="AH311" s="1">
        <f t="shared" si="137"/>
        <v>0</v>
      </c>
      <c r="AI311" s="1">
        <f t="shared" si="138"/>
        <v>0</v>
      </c>
    </row>
    <row r="312" spans="1:35" ht="14.25" customHeight="1" x14ac:dyDescent="0.25">
      <c r="A312" s="31">
        <v>0</v>
      </c>
      <c r="B312" s="31">
        <v>2</v>
      </c>
      <c r="C312" s="31">
        <v>1</v>
      </c>
      <c r="D312" s="32" t="s">
        <v>1240</v>
      </c>
      <c r="E312" s="32" t="s">
        <v>555</v>
      </c>
      <c r="F312" s="32" t="s">
        <v>1241</v>
      </c>
      <c r="G312" s="32" t="s">
        <v>257</v>
      </c>
      <c r="H312" s="32" t="s">
        <v>352</v>
      </c>
      <c r="I312" s="31" t="s">
        <v>1242</v>
      </c>
      <c r="J312" s="31">
        <v>8</v>
      </c>
      <c r="K312" s="33" t="s">
        <v>930</v>
      </c>
      <c r="L312" s="33" t="s">
        <v>704</v>
      </c>
      <c r="M312" s="34" t="s">
        <v>705</v>
      </c>
      <c r="N312" s="34" t="s">
        <v>1693</v>
      </c>
      <c r="O312" s="35">
        <v>1</v>
      </c>
      <c r="P312" s="35"/>
      <c r="Q312" s="32"/>
      <c r="S312" s="1">
        <f t="shared" si="123"/>
        <v>0</v>
      </c>
      <c r="T312" s="1">
        <f t="shared" si="124"/>
        <v>0</v>
      </c>
      <c r="U312" s="1">
        <f t="shared" si="125"/>
        <v>0</v>
      </c>
      <c r="V312" s="1">
        <f t="shared" si="126"/>
        <v>0</v>
      </c>
      <c r="W312" s="1">
        <f t="shared" si="127"/>
        <v>0</v>
      </c>
      <c r="X312" s="1">
        <f t="shared" si="128"/>
        <v>0</v>
      </c>
      <c r="Y312" s="1">
        <f t="shared" si="129"/>
        <v>0</v>
      </c>
      <c r="Z312" s="1">
        <f t="shared" si="130"/>
        <v>1</v>
      </c>
      <c r="AA312" s="1">
        <f t="shared" si="131"/>
        <v>0</v>
      </c>
      <c r="AB312" s="1">
        <f t="shared" si="132"/>
        <v>0</v>
      </c>
      <c r="AD312" s="1">
        <f t="shared" si="133"/>
        <v>0</v>
      </c>
      <c r="AE312" s="1">
        <f t="shared" si="134"/>
        <v>1</v>
      </c>
      <c r="AF312" s="1">
        <f t="shared" si="135"/>
        <v>0</v>
      </c>
      <c r="AG312" s="1">
        <f t="shared" si="136"/>
        <v>1</v>
      </c>
      <c r="AH312" s="1">
        <f t="shared" si="137"/>
        <v>0</v>
      </c>
      <c r="AI312" s="1">
        <f t="shared" si="138"/>
        <v>1</v>
      </c>
    </row>
    <row r="313" spans="1:35" ht="14.25" customHeight="1" x14ac:dyDescent="0.25">
      <c r="A313" s="15">
        <v>0</v>
      </c>
      <c r="B313" s="15">
        <v>2</v>
      </c>
      <c r="C313" s="15">
        <v>1</v>
      </c>
      <c r="D313" s="16" t="s">
        <v>48</v>
      </c>
      <c r="E313" s="16" t="s">
        <v>571</v>
      </c>
      <c r="F313" s="16" t="s">
        <v>188</v>
      </c>
      <c r="G313" s="16" t="s">
        <v>298</v>
      </c>
      <c r="H313" s="16" t="s">
        <v>352</v>
      </c>
      <c r="I313" s="15" t="s">
        <v>383</v>
      </c>
      <c r="J313" s="15">
        <v>99</v>
      </c>
      <c r="K313" s="10" t="s">
        <v>704</v>
      </c>
      <c r="L313" s="10" t="s">
        <v>704</v>
      </c>
      <c r="M313" s="19" t="s">
        <v>705</v>
      </c>
      <c r="N313" s="19"/>
      <c r="Q313" s="16"/>
      <c r="S313" s="1">
        <f t="shared" si="123"/>
        <v>0</v>
      </c>
      <c r="T313" s="1">
        <f t="shared" si="124"/>
        <v>0</v>
      </c>
      <c r="U313" s="1">
        <f t="shared" si="125"/>
        <v>0</v>
      </c>
      <c r="V313" s="1">
        <f t="shared" si="126"/>
        <v>0</v>
      </c>
      <c r="W313" s="1">
        <f t="shared" si="127"/>
        <v>0</v>
      </c>
      <c r="X313" s="1">
        <f t="shared" si="128"/>
        <v>0</v>
      </c>
      <c r="Y313" s="1">
        <f t="shared" si="129"/>
        <v>0</v>
      </c>
      <c r="Z313" s="1">
        <f t="shared" si="130"/>
        <v>0</v>
      </c>
      <c r="AA313" s="1">
        <f t="shared" si="131"/>
        <v>0</v>
      </c>
      <c r="AB313" s="1">
        <f t="shared" si="132"/>
        <v>0</v>
      </c>
      <c r="AD313" s="1">
        <f t="shared" si="133"/>
        <v>0</v>
      </c>
      <c r="AE313" s="1">
        <f t="shared" si="134"/>
        <v>0</v>
      </c>
      <c r="AF313" s="1">
        <f t="shared" si="135"/>
        <v>0</v>
      </c>
      <c r="AG313" s="1">
        <f t="shared" si="136"/>
        <v>0</v>
      </c>
      <c r="AH313" s="1">
        <f t="shared" si="137"/>
        <v>0</v>
      </c>
      <c r="AI313" s="1">
        <f t="shared" si="138"/>
        <v>1</v>
      </c>
    </row>
    <row r="314" spans="1:35" ht="14.25" customHeight="1" x14ac:dyDescent="0.25">
      <c r="A314" s="31">
        <v>0</v>
      </c>
      <c r="B314" s="31">
        <v>2</v>
      </c>
      <c r="C314" s="31">
        <v>1</v>
      </c>
      <c r="D314" s="32" t="s">
        <v>57</v>
      </c>
      <c r="E314" s="32" t="s">
        <v>161</v>
      </c>
      <c r="F314" s="32" t="s">
        <v>658</v>
      </c>
      <c r="G314" s="32" t="s">
        <v>220</v>
      </c>
      <c r="H314" s="32" t="s">
        <v>352</v>
      </c>
      <c r="I314" s="31" t="s">
        <v>394</v>
      </c>
      <c r="J314" s="31">
        <v>99</v>
      </c>
      <c r="K314" s="33" t="s">
        <v>937</v>
      </c>
      <c r="L314" s="33" t="s">
        <v>704</v>
      </c>
      <c r="M314" s="34" t="s">
        <v>705</v>
      </c>
      <c r="N314" s="34" t="s">
        <v>1689</v>
      </c>
      <c r="O314" s="35">
        <v>1</v>
      </c>
      <c r="P314" s="35"/>
      <c r="Q314" s="32"/>
      <c r="S314" s="1">
        <f t="shared" si="123"/>
        <v>0</v>
      </c>
      <c r="T314" s="1">
        <f t="shared" si="124"/>
        <v>0</v>
      </c>
      <c r="U314" s="1">
        <f t="shared" si="125"/>
        <v>0</v>
      </c>
      <c r="V314" s="1">
        <f t="shared" si="126"/>
        <v>0</v>
      </c>
      <c r="W314" s="1">
        <f t="shared" si="127"/>
        <v>0</v>
      </c>
      <c r="X314" s="1">
        <f t="shared" si="128"/>
        <v>0</v>
      </c>
      <c r="Y314" s="1">
        <f t="shared" si="129"/>
        <v>0</v>
      </c>
      <c r="Z314" s="1">
        <f t="shared" si="130"/>
        <v>0</v>
      </c>
      <c r="AA314" s="1">
        <f t="shared" si="131"/>
        <v>0</v>
      </c>
      <c r="AB314" s="1">
        <f t="shared" si="132"/>
        <v>0</v>
      </c>
      <c r="AD314" s="1">
        <f t="shared" si="133"/>
        <v>0</v>
      </c>
      <c r="AE314" s="1">
        <f t="shared" si="134"/>
        <v>1</v>
      </c>
      <c r="AF314" s="1">
        <f t="shared" si="135"/>
        <v>0</v>
      </c>
      <c r="AG314" s="1">
        <f t="shared" si="136"/>
        <v>1</v>
      </c>
      <c r="AH314" s="1">
        <f t="shared" si="137"/>
        <v>0</v>
      </c>
      <c r="AI314" s="1">
        <f t="shared" si="138"/>
        <v>1</v>
      </c>
    </row>
    <row r="315" spans="1:35" ht="14.25" customHeight="1" x14ac:dyDescent="0.25">
      <c r="A315" s="31">
        <v>0</v>
      </c>
      <c r="B315" s="31">
        <v>2</v>
      </c>
      <c r="C315" s="31">
        <v>1</v>
      </c>
      <c r="D315" s="32" t="s">
        <v>511</v>
      </c>
      <c r="E315" s="32" t="s">
        <v>555</v>
      </c>
      <c r="F315" s="32" t="s">
        <v>228</v>
      </c>
      <c r="G315" s="32" t="s">
        <v>229</v>
      </c>
      <c r="H315" s="32" t="s">
        <v>352</v>
      </c>
      <c r="I315" s="31" t="s">
        <v>398</v>
      </c>
      <c r="J315" s="31">
        <v>7</v>
      </c>
      <c r="K315" s="33" t="s">
        <v>930</v>
      </c>
      <c r="L315" s="33" t="s">
        <v>704</v>
      </c>
      <c r="M315" s="34" t="s">
        <v>705</v>
      </c>
      <c r="N315" s="34" t="s">
        <v>1694</v>
      </c>
      <c r="O315" s="35">
        <v>1</v>
      </c>
      <c r="P315" s="35"/>
      <c r="Q315" s="32"/>
      <c r="S315" s="1">
        <f t="shared" si="123"/>
        <v>0</v>
      </c>
      <c r="T315" s="1">
        <f t="shared" si="124"/>
        <v>0</v>
      </c>
      <c r="U315" s="1">
        <f t="shared" si="125"/>
        <v>0</v>
      </c>
      <c r="V315" s="1">
        <f t="shared" si="126"/>
        <v>0</v>
      </c>
      <c r="W315" s="1">
        <f t="shared" si="127"/>
        <v>0</v>
      </c>
      <c r="X315" s="1">
        <f t="shared" si="128"/>
        <v>0</v>
      </c>
      <c r="Y315" s="1">
        <f t="shared" si="129"/>
        <v>1</v>
      </c>
      <c r="Z315" s="1">
        <f t="shared" si="130"/>
        <v>0</v>
      </c>
      <c r="AA315" s="1">
        <f t="shared" si="131"/>
        <v>0</v>
      </c>
      <c r="AB315" s="1">
        <f t="shared" si="132"/>
        <v>0</v>
      </c>
      <c r="AD315" s="1">
        <f t="shared" si="133"/>
        <v>0</v>
      </c>
      <c r="AE315" s="1">
        <f t="shared" si="134"/>
        <v>1</v>
      </c>
      <c r="AF315" s="1">
        <f t="shared" si="135"/>
        <v>0</v>
      </c>
      <c r="AG315" s="1">
        <f t="shared" si="136"/>
        <v>1</v>
      </c>
      <c r="AH315" s="1">
        <f t="shared" si="137"/>
        <v>0</v>
      </c>
      <c r="AI315" s="1">
        <f t="shared" si="138"/>
        <v>1</v>
      </c>
    </row>
    <row r="316" spans="1:35" ht="14.25" customHeight="1" x14ac:dyDescent="0.25">
      <c r="A316" s="31">
        <v>0</v>
      </c>
      <c r="B316" s="31">
        <v>2</v>
      </c>
      <c r="C316" s="31">
        <v>1</v>
      </c>
      <c r="D316" s="32" t="s">
        <v>554</v>
      </c>
      <c r="E316" s="32" t="s">
        <v>555</v>
      </c>
      <c r="F316" s="32" t="s">
        <v>556</v>
      </c>
      <c r="G316" s="32" t="s">
        <v>207</v>
      </c>
      <c r="H316" s="32" t="s">
        <v>352</v>
      </c>
      <c r="I316" s="31" t="s">
        <v>557</v>
      </c>
      <c r="J316" s="31">
        <v>3</v>
      </c>
      <c r="K316" s="33" t="s">
        <v>703</v>
      </c>
      <c r="L316" s="33" t="s">
        <v>704</v>
      </c>
      <c r="M316" s="34" t="s">
        <v>705</v>
      </c>
      <c r="N316" s="34" t="s">
        <v>1687</v>
      </c>
      <c r="O316" s="35">
        <v>1</v>
      </c>
      <c r="P316" s="35">
        <v>1</v>
      </c>
      <c r="Q316" s="32"/>
      <c r="S316" s="1">
        <f t="shared" si="123"/>
        <v>0</v>
      </c>
      <c r="T316" s="1">
        <f t="shared" si="124"/>
        <v>0</v>
      </c>
      <c r="U316" s="1">
        <f t="shared" si="125"/>
        <v>1</v>
      </c>
      <c r="V316" s="1">
        <f t="shared" si="126"/>
        <v>0</v>
      </c>
      <c r="W316" s="1">
        <f t="shared" si="127"/>
        <v>0</v>
      </c>
      <c r="X316" s="1">
        <f t="shared" si="128"/>
        <v>0</v>
      </c>
      <c r="Y316" s="1">
        <f t="shared" si="129"/>
        <v>0</v>
      </c>
      <c r="Z316" s="1">
        <f t="shared" si="130"/>
        <v>0</v>
      </c>
      <c r="AA316" s="1">
        <f t="shared" si="131"/>
        <v>0</v>
      </c>
      <c r="AB316" s="1">
        <f t="shared" si="132"/>
        <v>0</v>
      </c>
      <c r="AD316" s="1">
        <f t="shared" si="133"/>
        <v>1</v>
      </c>
      <c r="AE316" s="1">
        <f t="shared" si="134"/>
        <v>0</v>
      </c>
      <c r="AF316" s="1">
        <f t="shared" si="135"/>
        <v>1</v>
      </c>
      <c r="AG316" s="1">
        <f t="shared" si="136"/>
        <v>0</v>
      </c>
      <c r="AH316" s="1">
        <f t="shared" si="137"/>
        <v>1</v>
      </c>
      <c r="AI316" s="1">
        <f t="shared" si="138"/>
        <v>0</v>
      </c>
    </row>
    <row r="317" spans="1:35" ht="14.25" customHeight="1" x14ac:dyDescent="0.25">
      <c r="A317" s="37">
        <v>0</v>
      </c>
      <c r="B317" s="37">
        <v>2</v>
      </c>
      <c r="C317" s="37">
        <v>1</v>
      </c>
      <c r="D317" s="36" t="s">
        <v>1029</v>
      </c>
      <c r="E317" s="36" t="s">
        <v>32</v>
      </c>
      <c r="F317" s="36" t="s">
        <v>1244</v>
      </c>
      <c r="G317" s="36" t="s">
        <v>531</v>
      </c>
      <c r="H317" s="36" t="s">
        <v>352</v>
      </c>
      <c r="I317" s="37" t="s">
        <v>1245</v>
      </c>
      <c r="J317" s="37">
        <v>6</v>
      </c>
      <c r="K317" s="45" t="s">
        <v>704</v>
      </c>
      <c r="L317" s="33" t="s">
        <v>704</v>
      </c>
      <c r="M317" s="34" t="s">
        <v>705</v>
      </c>
      <c r="N317" s="34" t="s">
        <v>1693</v>
      </c>
      <c r="O317" s="35">
        <v>1</v>
      </c>
      <c r="P317" s="35"/>
      <c r="Q317" s="36"/>
      <c r="S317" s="1">
        <f t="shared" si="123"/>
        <v>0</v>
      </c>
      <c r="T317" s="1">
        <f t="shared" si="124"/>
        <v>0</v>
      </c>
      <c r="U317" s="1">
        <f t="shared" si="125"/>
        <v>0</v>
      </c>
      <c r="V317" s="1">
        <f t="shared" si="126"/>
        <v>0</v>
      </c>
      <c r="W317" s="1">
        <f t="shared" si="127"/>
        <v>0</v>
      </c>
      <c r="X317" s="1">
        <f t="shared" si="128"/>
        <v>1</v>
      </c>
      <c r="Y317" s="1">
        <f t="shared" si="129"/>
        <v>0</v>
      </c>
      <c r="Z317" s="1">
        <f t="shared" si="130"/>
        <v>0</v>
      </c>
      <c r="AA317" s="1">
        <f t="shared" si="131"/>
        <v>0</v>
      </c>
      <c r="AB317" s="1">
        <f t="shared" si="132"/>
        <v>0</v>
      </c>
      <c r="AD317" s="1">
        <f t="shared" si="133"/>
        <v>0</v>
      </c>
      <c r="AE317" s="1">
        <f t="shared" si="134"/>
        <v>1</v>
      </c>
      <c r="AF317" s="1">
        <f t="shared" si="135"/>
        <v>0</v>
      </c>
      <c r="AG317" s="1">
        <f t="shared" si="136"/>
        <v>1</v>
      </c>
      <c r="AH317" s="1">
        <f t="shared" si="137"/>
        <v>0</v>
      </c>
      <c r="AI317" s="1">
        <f t="shared" si="138"/>
        <v>1</v>
      </c>
    </row>
    <row r="318" spans="1:35" ht="14.25" customHeight="1" x14ac:dyDescent="0.25">
      <c r="A318" s="37">
        <v>0</v>
      </c>
      <c r="B318" s="37">
        <v>2</v>
      </c>
      <c r="C318" s="37">
        <v>1</v>
      </c>
      <c r="D318" s="36" t="s">
        <v>895</v>
      </c>
      <c r="E318" s="36" t="s">
        <v>1300</v>
      </c>
      <c r="F318" s="36" t="s">
        <v>770</v>
      </c>
      <c r="G318" s="36" t="s">
        <v>256</v>
      </c>
      <c r="H318" s="36" t="s">
        <v>352</v>
      </c>
      <c r="I318" s="37" t="s">
        <v>921</v>
      </c>
      <c r="J318" s="37">
        <v>99</v>
      </c>
      <c r="K318" s="45" t="s">
        <v>703</v>
      </c>
      <c r="L318" s="33" t="s">
        <v>704</v>
      </c>
      <c r="M318" s="34" t="s">
        <v>705</v>
      </c>
      <c r="N318" s="34" t="s">
        <v>1694</v>
      </c>
      <c r="O318" s="35">
        <v>1</v>
      </c>
      <c r="P318" s="35"/>
      <c r="Q318" s="36"/>
      <c r="S318" s="1">
        <f t="shared" si="123"/>
        <v>0</v>
      </c>
      <c r="T318" s="1">
        <f t="shared" si="124"/>
        <v>0</v>
      </c>
      <c r="U318" s="1">
        <f t="shared" si="125"/>
        <v>0</v>
      </c>
      <c r="V318" s="1">
        <f t="shared" si="126"/>
        <v>0</v>
      </c>
      <c r="W318" s="1">
        <f t="shared" si="127"/>
        <v>0</v>
      </c>
      <c r="X318" s="1">
        <f t="shared" si="128"/>
        <v>0</v>
      </c>
      <c r="Y318" s="1">
        <f t="shared" si="129"/>
        <v>0</v>
      </c>
      <c r="Z318" s="1">
        <f t="shared" si="130"/>
        <v>0</v>
      </c>
      <c r="AA318" s="1">
        <f t="shared" si="131"/>
        <v>0</v>
      </c>
      <c r="AB318" s="1">
        <f t="shared" si="132"/>
        <v>0</v>
      </c>
      <c r="AD318" s="1">
        <f t="shared" si="133"/>
        <v>0</v>
      </c>
      <c r="AE318" s="1">
        <f t="shared" si="134"/>
        <v>1</v>
      </c>
      <c r="AF318" s="1">
        <f t="shared" si="135"/>
        <v>0</v>
      </c>
      <c r="AG318" s="1">
        <f t="shared" si="136"/>
        <v>1</v>
      </c>
      <c r="AH318" s="1">
        <f t="shared" si="137"/>
        <v>0</v>
      </c>
      <c r="AI318" s="1">
        <f t="shared" si="138"/>
        <v>1</v>
      </c>
    </row>
    <row r="319" spans="1:35" ht="14.25" customHeight="1" x14ac:dyDescent="0.25">
      <c r="A319" s="37">
        <v>0</v>
      </c>
      <c r="B319" s="37">
        <v>2</v>
      </c>
      <c r="C319" s="37">
        <v>1</v>
      </c>
      <c r="D319" s="36" t="s">
        <v>1716</v>
      </c>
      <c r="E319" s="36" t="s">
        <v>1717</v>
      </c>
      <c r="F319" s="36" t="s">
        <v>1718</v>
      </c>
      <c r="G319" s="36" t="s">
        <v>179</v>
      </c>
      <c r="H319" s="36" t="s">
        <v>352</v>
      </c>
      <c r="I319" s="37" t="s">
        <v>1719</v>
      </c>
      <c r="J319" s="37"/>
      <c r="K319" s="45" t="s">
        <v>694</v>
      </c>
      <c r="L319" s="33">
        <v>4</v>
      </c>
      <c r="M319" s="34" t="s">
        <v>705</v>
      </c>
      <c r="N319" s="34" t="s">
        <v>1689</v>
      </c>
      <c r="O319" s="35">
        <v>1</v>
      </c>
      <c r="P319" s="35"/>
      <c r="Q319" s="36"/>
      <c r="S319" s="1">
        <f t="shared" si="123"/>
        <v>0</v>
      </c>
      <c r="T319" s="1">
        <f t="shared" si="124"/>
        <v>0</v>
      </c>
      <c r="U319" s="1">
        <f t="shared" si="125"/>
        <v>0</v>
      </c>
      <c r="V319" s="1">
        <f t="shared" si="126"/>
        <v>0</v>
      </c>
      <c r="W319" s="1">
        <f t="shared" si="127"/>
        <v>0</v>
      </c>
      <c r="X319" s="1">
        <f t="shared" si="128"/>
        <v>0</v>
      </c>
      <c r="Y319" s="1">
        <f t="shared" si="129"/>
        <v>0</v>
      </c>
      <c r="Z319" s="1">
        <f t="shared" si="130"/>
        <v>0</v>
      </c>
      <c r="AA319" s="1">
        <f t="shared" si="131"/>
        <v>0</v>
      </c>
      <c r="AB319" s="1">
        <f t="shared" si="132"/>
        <v>0</v>
      </c>
      <c r="AD319" s="1">
        <f t="shared" si="133"/>
        <v>0</v>
      </c>
      <c r="AE319" s="1">
        <f t="shared" si="134"/>
        <v>1</v>
      </c>
      <c r="AF319" s="1">
        <f t="shared" si="135"/>
        <v>0</v>
      </c>
      <c r="AG319" s="1">
        <f t="shared" si="136"/>
        <v>1</v>
      </c>
      <c r="AH319" s="1">
        <f t="shared" si="137"/>
        <v>0</v>
      </c>
      <c r="AI319" s="1">
        <f t="shared" si="138"/>
        <v>1</v>
      </c>
    </row>
    <row r="320" spans="1:35" ht="14.25" customHeight="1" x14ac:dyDescent="0.25">
      <c r="A320" s="31">
        <v>0</v>
      </c>
      <c r="B320" s="31">
        <v>2</v>
      </c>
      <c r="C320" s="31">
        <v>1</v>
      </c>
      <c r="D320" s="32" t="s">
        <v>611</v>
      </c>
      <c r="E320" s="32" t="s">
        <v>612</v>
      </c>
      <c r="F320" s="32" t="s">
        <v>613</v>
      </c>
      <c r="G320" s="32" t="s">
        <v>614</v>
      </c>
      <c r="H320" s="32" t="s">
        <v>352</v>
      </c>
      <c r="I320" s="31" t="s">
        <v>615</v>
      </c>
      <c r="J320" s="31">
        <v>99</v>
      </c>
      <c r="K320" s="33" t="s">
        <v>703</v>
      </c>
      <c r="L320" s="33" t="s">
        <v>704</v>
      </c>
      <c r="M320" s="34" t="s">
        <v>705</v>
      </c>
      <c r="N320" s="34" t="s">
        <v>1701</v>
      </c>
      <c r="O320" s="35">
        <v>1</v>
      </c>
      <c r="P320" s="35"/>
      <c r="Q320" s="32"/>
      <c r="S320" s="1">
        <f t="shared" si="123"/>
        <v>0</v>
      </c>
      <c r="T320" s="1">
        <f t="shared" si="124"/>
        <v>0</v>
      </c>
      <c r="U320" s="1">
        <f t="shared" si="125"/>
        <v>0</v>
      </c>
      <c r="V320" s="1">
        <f t="shared" si="126"/>
        <v>0</v>
      </c>
      <c r="W320" s="1">
        <f t="shared" si="127"/>
        <v>0</v>
      </c>
      <c r="X320" s="1">
        <f t="shared" si="128"/>
        <v>0</v>
      </c>
      <c r="Y320" s="1">
        <f t="shared" si="129"/>
        <v>0</v>
      </c>
      <c r="Z320" s="1">
        <f t="shared" si="130"/>
        <v>0</v>
      </c>
      <c r="AA320" s="1">
        <f t="shared" si="131"/>
        <v>0</v>
      </c>
      <c r="AB320" s="1">
        <f t="shared" si="132"/>
        <v>0</v>
      </c>
      <c r="AD320" s="1">
        <f t="shared" si="133"/>
        <v>0</v>
      </c>
      <c r="AE320" s="1">
        <f t="shared" si="134"/>
        <v>1</v>
      </c>
      <c r="AF320" s="1">
        <f t="shared" si="135"/>
        <v>0</v>
      </c>
      <c r="AG320" s="1">
        <f t="shared" si="136"/>
        <v>1</v>
      </c>
      <c r="AH320" s="1">
        <f t="shared" si="137"/>
        <v>0</v>
      </c>
      <c r="AI320" s="1">
        <f t="shared" si="138"/>
        <v>1</v>
      </c>
    </row>
    <row r="321" spans="1:35" ht="14.25" customHeight="1" x14ac:dyDescent="0.25">
      <c r="A321" s="31">
        <v>0</v>
      </c>
      <c r="B321" s="31">
        <v>2</v>
      </c>
      <c r="C321" s="31">
        <v>1</v>
      </c>
      <c r="D321" s="32" t="s">
        <v>1056</v>
      </c>
      <c r="E321" s="32" t="s">
        <v>1301</v>
      </c>
      <c r="F321" s="32" t="s">
        <v>1619</v>
      </c>
      <c r="G321" s="32" t="s">
        <v>189</v>
      </c>
      <c r="H321" s="32" t="s">
        <v>352</v>
      </c>
      <c r="I321" s="31" t="s">
        <v>1802</v>
      </c>
      <c r="J321" s="31">
        <v>99</v>
      </c>
      <c r="K321" s="33" t="s">
        <v>703</v>
      </c>
      <c r="L321" s="33" t="s">
        <v>704</v>
      </c>
      <c r="M321" s="34" t="s">
        <v>705</v>
      </c>
      <c r="N321" s="34" t="s">
        <v>1689</v>
      </c>
      <c r="O321" s="35">
        <v>1</v>
      </c>
      <c r="P321" s="35"/>
      <c r="Q321" s="32"/>
      <c r="S321" s="1">
        <f t="shared" si="123"/>
        <v>0</v>
      </c>
      <c r="T321" s="1">
        <f t="shared" si="124"/>
        <v>0</v>
      </c>
      <c r="U321" s="1">
        <f t="shared" si="125"/>
        <v>0</v>
      </c>
      <c r="V321" s="1">
        <f t="shared" si="126"/>
        <v>0</v>
      </c>
      <c r="W321" s="1">
        <f t="shared" si="127"/>
        <v>0</v>
      </c>
      <c r="X321" s="1">
        <f t="shared" si="128"/>
        <v>0</v>
      </c>
      <c r="Y321" s="1">
        <f t="shared" si="129"/>
        <v>0</v>
      </c>
      <c r="Z321" s="1">
        <f t="shared" si="130"/>
        <v>0</v>
      </c>
      <c r="AA321" s="1">
        <f t="shared" si="131"/>
        <v>0</v>
      </c>
      <c r="AB321" s="1">
        <f t="shared" si="132"/>
        <v>0</v>
      </c>
      <c r="AD321" s="1">
        <f t="shared" si="133"/>
        <v>0</v>
      </c>
      <c r="AE321" s="1">
        <f t="shared" si="134"/>
        <v>1</v>
      </c>
      <c r="AF321" s="1">
        <f t="shared" si="135"/>
        <v>0</v>
      </c>
      <c r="AG321" s="1">
        <f t="shared" si="136"/>
        <v>1</v>
      </c>
      <c r="AH321" s="1">
        <f t="shared" si="137"/>
        <v>0</v>
      </c>
      <c r="AI321" s="1">
        <f t="shared" si="138"/>
        <v>1</v>
      </c>
    </row>
    <row r="322" spans="1:35" ht="14.25" customHeight="1" x14ac:dyDescent="0.25">
      <c r="A322" s="15">
        <v>0</v>
      </c>
      <c r="B322" s="15">
        <v>2</v>
      </c>
      <c r="C322" s="15">
        <v>1</v>
      </c>
      <c r="D322" s="16" t="s">
        <v>643</v>
      </c>
      <c r="E322" s="16" t="s">
        <v>36</v>
      </c>
      <c r="F322" s="16" t="s">
        <v>659</v>
      </c>
      <c r="G322" s="16" t="s">
        <v>200</v>
      </c>
      <c r="H322" s="16" t="s">
        <v>352</v>
      </c>
      <c r="I322" s="15" t="s">
        <v>981</v>
      </c>
      <c r="J322" s="15">
        <v>99</v>
      </c>
      <c r="K322" s="10" t="s">
        <v>694</v>
      </c>
      <c r="L322" s="10">
        <v>4</v>
      </c>
      <c r="M322" s="19" t="s">
        <v>705</v>
      </c>
      <c r="N322" s="17"/>
      <c r="Q322" s="16"/>
      <c r="S322" s="1">
        <f t="shared" si="123"/>
        <v>0</v>
      </c>
      <c r="T322" s="1">
        <f t="shared" si="124"/>
        <v>0</v>
      </c>
      <c r="U322" s="1">
        <f t="shared" si="125"/>
        <v>0</v>
      </c>
      <c r="V322" s="1">
        <f t="shared" si="126"/>
        <v>0</v>
      </c>
      <c r="W322" s="1">
        <f t="shared" si="127"/>
        <v>0</v>
      </c>
      <c r="X322" s="1">
        <f t="shared" si="128"/>
        <v>0</v>
      </c>
      <c r="Y322" s="1">
        <f t="shared" si="129"/>
        <v>0</v>
      </c>
      <c r="Z322" s="1">
        <f t="shared" si="130"/>
        <v>0</v>
      </c>
      <c r="AA322" s="1">
        <f t="shared" si="131"/>
        <v>0</v>
      </c>
      <c r="AB322" s="1">
        <f t="shared" si="132"/>
        <v>0</v>
      </c>
      <c r="AD322" s="1">
        <f t="shared" si="133"/>
        <v>0</v>
      </c>
      <c r="AE322" s="1">
        <f t="shared" si="134"/>
        <v>0</v>
      </c>
      <c r="AF322" s="1">
        <f t="shared" si="135"/>
        <v>0</v>
      </c>
      <c r="AG322" s="1">
        <f t="shared" si="136"/>
        <v>0</v>
      </c>
      <c r="AH322" s="1">
        <f t="shared" si="137"/>
        <v>0</v>
      </c>
      <c r="AI322" s="1">
        <f t="shared" si="138"/>
        <v>1</v>
      </c>
    </row>
    <row r="323" spans="1:35" ht="14.25" customHeight="1" x14ac:dyDescent="0.25">
      <c r="A323" s="31">
        <v>0</v>
      </c>
      <c r="B323" s="31">
        <v>2</v>
      </c>
      <c r="C323" s="31">
        <v>1</v>
      </c>
      <c r="D323" s="32" t="s">
        <v>1231</v>
      </c>
      <c r="E323" s="32" t="s">
        <v>1232</v>
      </c>
      <c r="F323" s="32" t="s">
        <v>1233</v>
      </c>
      <c r="G323" s="32" t="s">
        <v>1136</v>
      </c>
      <c r="H323" s="32" t="s">
        <v>352</v>
      </c>
      <c r="I323" s="31" t="s">
        <v>1234</v>
      </c>
      <c r="J323" s="31">
        <v>11</v>
      </c>
      <c r="K323" s="33" t="s">
        <v>694</v>
      </c>
      <c r="L323" s="33">
        <v>6</v>
      </c>
      <c r="M323" s="34" t="s">
        <v>1682</v>
      </c>
      <c r="N323" s="34" t="s">
        <v>1790</v>
      </c>
      <c r="O323" s="35">
        <v>1</v>
      </c>
      <c r="P323" s="35"/>
      <c r="Q323" s="32"/>
      <c r="S323" s="1">
        <f t="shared" si="123"/>
        <v>0</v>
      </c>
      <c r="T323" s="1">
        <f t="shared" si="124"/>
        <v>0</v>
      </c>
      <c r="U323" s="1">
        <f t="shared" si="125"/>
        <v>0</v>
      </c>
      <c r="V323" s="1">
        <f t="shared" si="126"/>
        <v>0</v>
      </c>
      <c r="W323" s="1">
        <f t="shared" si="127"/>
        <v>0</v>
      </c>
      <c r="X323" s="1">
        <f t="shared" si="128"/>
        <v>0</v>
      </c>
      <c r="Y323" s="1">
        <f t="shared" si="129"/>
        <v>0</v>
      </c>
      <c r="Z323" s="1">
        <f t="shared" si="130"/>
        <v>0</v>
      </c>
      <c r="AA323" s="1">
        <f t="shared" si="131"/>
        <v>0</v>
      </c>
      <c r="AB323" s="1">
        <f t="shared" si="132"/>
        <v>0</v>
      </c>
      <c r="AD323" s="1">
        <f t="shared" si="133"/>
        <v>0</v>
      </c>
      <c r="AE323" s="1">
        <f t="shared" si="134"/>
        <v>1</v>
      </c>
      <c r="AF323" s="1">
        <f t="shared" si="135"/>
        <v>0</v>
      </c>
      <c r="AG323" s="1">
        <f t="shared" si="136"/>
        <v>1</v>
      </c>
      <c r="AH323" s="1">
        <f t="shared" si="137"/>
        <v>0</v>
      </c>
      <c r="AI323" s="1">
        <f t="shared" si="138"/>
        <v>1</v>
      </c>
    </row>
    <row r="324" spans="1:35" ht="14.25" customHeight="1" x14ac:dyDescent="0.25">
      <c r="A324" s="31">
        <v>0</v>
      </c>
      <c r="B324" s="31">
        <v>2</v>
      </c>
      <c r="C324" s="31">
        <v>1</v>
      </c>
      <c r="D324" s="32" t="s">
        <v>1098</v>
      </c>
      <c r="E324" s="32" t="s">
        <v>1281</v>
      </c>
      <c r="F324" s="32" t="s">
        <v>1096</v>
      </c>
      <c r="G324" s="32" t="s">
        <v>229</v>
      </c>
      <c r="H324" s="32" t="s">
        <v>352</v>
      </c>
      <c r="I324" s="31" t="s">
        <v>1097</v>
      </c>
      <c r="J324" s="31">
        <v>7</v>
      </c>
      <c r="K324" s="33" t="s">
        <v>704</v>
      </c>
      <c r="L324" s="33" t="s">
        <v>1663</v>
      </c>
      <c r="M324" s="34" t="s">
        <v>705</v>
      </c>
      <c r="N324" s="34" t="s">
        <v>1701</v>
      </c>
      <c r="O324" s="35">
        <v>1</v>
      </c>
      <c r="P324" s="35"/>
      <c r="Q324" s="32"/>
      <c r="S324" s="1">
        <f t="shared" si="123"/>
        <v>0</v>
      </c>
      <c r="T324" s="1">
        <f t="shared" si="124"/>
        <v>0</v>
      </c>
      <c r="U324" s="1">
        <f t="shared" si="125"/>
        <v>0</v>
      </c>
      <c r="V324" s="1">
        <f t="shared" si="126"/>
        <v>0</v>
      </c>
      <c r="W324" s="1">
        <f t="shared" si="127"/>
        <v>0</v>
      </c>
      <c r="X324" s="1">
        <f t="shared" si="128"/>
        <v>0</v>
      </c>
      <c r="Y324" s="1">
        <f t="shared" si="129"/>
        <v>1</v>
      </c>
      <c r="Z324" s="1">
        <f t="shared" si="130"/>
        <v>0</v>
      </c>
      <c r="AA324" s="1">
        <f t="shared" si="131"/>
        <v>0</v>
      </c>
      <c r="AB324" s="1">
        <f t="shared" si="132"/>
        <v>0</v>
      </c>
      <c r="AD324" s="1">
        <f t="shared" si="133"/>
        <v>0</v>
      </c>
      <c r="AE324" s="1">
        <f t="shared" si="134"/>
        <v>1</v>
      </c>
      <c r="AF324" s="1">
        <f t="shared" si="135"/>
        <v>0</v>
      </c>
      <c r="AG324" s="1">
        <f t="shared" si="136"/>
        <v>1</v>
      </c>
      <c r="AH324" s="1">
        <f t="shared" si="137"/>
        <v>0</v>
      </c>
      <c r="AI324" s="1">
        <f t="shared" si="138"/>
        <v>1</v>
      </c>
    </row>
    <row r="325" spans="1:35" ht="14.25" customHeight="1" x14ac:dyDescent="0.25">
      <c r="A325" s="31">
        <v>0</v>
      </c>
      <c r="B325" s="31">
        <v>2</v>
      </c>
      <c r="C325" s="31">
        <v>1</v>
      </c>
      <c r="D325" s="32" t="s">
        <v>984</v>
      </c>
      <c r="E325" s="32" t="s">
        <v>1303</v>
      </c>
      <c r="F325" s="32" t="s">
        <v>985</v>
      </c>
      <c r="G325" s="32" t="s">
        <v>1076</v>
      </c>
      <c r="H325" s="32" t="s">
        <v>352</v>
      </c>
      <c r="I325" s="31" t="s">
        <v>406</v>
      </c>
      <c r="J325" s="31">
        <v>99</v>
      </c>
      <c r="K325" s="33" t="s">
        <v>704</v>
      </c>
      <c r="L325" s="33" t="s">
        <v>704</v>
      </c>
      <c r="M325" s="34" t="s">
        <v>705</v>
      </c>
      <c r="N325" s="34" t="s">
        <v>1689</v>
      </c>
      <c r="O325" s="35">
        <v>1</v>
      </c>
      <c r="P325" s="35"/>
      <c r="Q325" s="32"/>
      <c r="S325" s="1">
        <f t="shared" si="123"/>
        <v>0</v>
      </c>
      <c r="T325" s="1">
        <f t="shared" si="124"/>
        <v>0</v>
      </c>
      <c r="U325" s="1">
        <f t="shared" si="125"/>
        <v>0</v>
      </c>
      <c r="V325" s="1">
        <f t="shared" si="126"/>
        <v>0</v>
      </c>
      <c r="W325" s="1">
        <f t="shared" si="127"/>
        <v>0</v>
      </c>
      <c r="X325" s="1">
        <f t="shared" si="128"/>
        <v>0</v>
      </c>
      <c r="Y325" s="1">
        <f t="shared" si="129"/>
        <v>0</v>
      </c>
      <c r="Z325" s="1">
        <f t="shared" si="130"/>
        <v>0</v>
      </c>
      <c r="AA325" s="1">
        <f t="shared" si="131"/>
        <v>0</v>
      </c>
      <c r="AB325" s="1">
        <f t="shared" si="132"/>
        <v>0</v>
      </c>
      <c r="AD325" s="1">
        <f t="shared" si="133"/>
        <v>0</v>
      </c>
      <c r="AE325" s="1">
        <f t="shared" si="134"/>
        <v>1</v>
      </c>
      <c r="AF325" s="1">
        <f t="shared" si="135"/>
        <v>0</v>
      </c>
      <c r="AG325" s="1">
        <f t="shared" si="136"/>
        <v>1</v>
      </c>
      <c r="AH325" s="1">
        <f t="shared" si="137"/>
        <v>0</v>
      </c>
      <c r="AI325" s="1">
        <f t="shared" si="138"/>
        <v>1</v>
      </c>
    </row>
    <row r="326" spans="1:35" ht="14.25" customHeight="1" x14ac:dyDescent="0.25">
      <c r="A326" s="31">
        <v>0</v>
      </c>
      <c r="B326" s="31">
        <v>2</v>
      </c>
      <c r="C326" s="31">
        <v>1</v>
      </c>
      <c r="D326" s="32" t="s">
        <v>1105</v>
      </c>
      <c r="E326" s="32" t="s">
        <v>555</v>
      </c>
      <c r="F326" s="32" t="s">
        <v>1320</v>
      </c>
      <c r="G326" s="32" t="s">
        <v>264</v>
      </c>
      <c r="H326" s="32" t="s">
        <v>352</v>
      </c>
      <c r="I326" s="31" t="s">
        <v>1106</v>
      </c>
      <c r="J326" s="31">
        <v>8</v>
      </c>
      <c r="K326" s="33" t="s">
        <v>703</v>
      </c>
      <c r="L326" s="33" t="s">
        <v>1663</v>
      </c>
      <c r="M326" s="34" t="s">
        <v>705</v>
      </c>
      <c r="N326" s="34" t="s">
        <v>1693</v>
      </c>
      <c r="O326" s="35">
        <v>1</v>
      </c>
      <c r="P326" s="35"/>
      <c r="Q326" s="32"/>
      <c r="S326" s="1">
        <f t="shared" si="123"/>
        <v>0</v>
      </c>
      <c r="T326" s="1">
        <f t="shared" si="124"/>
        <v>0</v>
      </c>
      <c r="U326" s="1">
        <f t="shared" si="125"/>
        <v>0</v>
      </c>
      <c r="V326" s="1">
        <f t="shared" si="126"/>
        <v>0</v>
      </c>
      <c r="W326" s="1">
        <f t="shared" si="127"/>
        <v>0</v>
      </c>
      <c r="X326" s="1">
        <f t="shared" si="128"/>
        <v>0</v>
      </c>
      <c r="Y326" s="1">
        <f t="shared" si="129"/>
        <v>0</v>
      </c>
      <c r="Z326" s="1">
        <f t="shared" si="130"/>
        <v>1</v>
      </c>
      <c r="AA326" s="1">
        <f t="shared" si="131"/>
        <v>0</v>
      </c>
      <c r="AB326" s="1">
        <f t="shared" si="132"/>
        <v>0</v>
      </c>
      <c r="AD326" s="1">
        <f t="shared" si="133"/>
        <v>0</v>
      </c>
      <c r="AE326" s="1">
        <f t="shared" si="134"/>
        <v>1</v>
      </c>
      <c r="AF326" s="1">
        <f t="shared" si="135"/>
        <v>0</v>
      </c>
      <c r="AG326" s="1">
        <f t="shared" si="136"/>
        <v>1</v>
      </c>
      <c r="AH326" s="1">
        <f t="shared" si="137"/>
        <v>0</v>
      </c>
      <c r="AI326" s="1">
        <f t="shared" si="138"/>
        <v>1</v>
      </c>
    </row>
    <row r="327" spans="1:35" ht="14.25" customHeight="1" x14ac:dyDescent="0.25">
      <c r="A327" s="31">
        <v>0</v>
      </c>
      <c r="B327" s="31">
        <v>2</v>
      </c>
      <c r="C327" s="31">
        <v>1</v>
      </c>
      <c r="D327" s="32" t="s">
        <v>1253</v>
      </c>
      <c r="E327" s="32" t="s">
        <v>1301</v>
      </c>
      <c r="F327" s="32" t="s">
        <v>1250</v>
      </c>
      <c r="G327" s="32" t="s">
        <v>1251</v>
      </c>
      <c r="H327" s="32" t="s">
        <v>352</v>
      </c>
      <c r="I327" s="31" t="s">
        <v>1252</v>
      </c>
      <c r="J327" s="31">
        <v>1</v>
      </c>
      <c r="K327" s="33" t="s">
        <v>703</v>
      </c>
      <c r="L327" s="33" t="s">
        <v>704</v>
      </c>
      <c r="M327" s="34" t="s">
        <v>705</v>
      </c>
      <c r="N327" s="34" t="s">
        <v>1706</v>
      </c>
      <c r="O327" s="35">
        <v>1</v>
      </c>
      <c r="P327" s="35"/>
      <c r="Q327" s="32" t="s">
        <v>1842</v>
      </c>
      <c r="S327" s="1">
        <f t="shared" si="123"/>
        <v>1</v>
      </c>
      <c r="T327" s="1">
        <f t="shared" si="124"/>
        <v>0</v>
      </c>
      <c r="U327" s="1">
        <f t="shared" si="125"/>
        <v>0</v>
      </c>
      <c r="V327" s="1">
        <f t="shared" si="126"/>
        <v>0</v>
      </c>
      <c r="W327" s="1">
        <f t="shared" si="127"/>
        <v>0</v>
      </c>
      <c r="X327" s="1">
        <f t="shared" si="128"/>
        <v>0</v>
      </c>
      <c r="Y327" s="1">
        <f t="shared" si="129"/>
        <v>0</v>
      </c>
      <c r="Z327" s="1">
        <f t="shared" si="130"/>
        <v>0</v>
      </c>
      <c r="AA327" s="1">
        <f t="shared" si="131"/>
        <v>0</v>
      </c>
      <c r="AB327" s="1">
        <f t="shared" si="132"/>
        <v>0</v>
      </c>
      <c r="AD327" s="1">
        <f t="shared" ref="AD327:AD332" si="139">+O327*P327</f>
        <v>0</v>
      </c>
      <c r="AE327" s="1">
        <f t="shared" ref="AE327:AE332" si="140">O327*(1-P327)</f>
        <v>1</v>
      </c>
      <c r="AF327" s="1">
        <f t="shared" ref="AF327:AF332" si="141">+O327*P327*(1-A327)</f>
        <v>0</v>
      </c>
      <c r="AG327" s="1">
        <f t="shared" ref="AG327:AG332" si="142">O327*(1-P327)*(1-A327)</f>
        <v>1</v>
      </c>
      <c r="AH327" s="1">
        <f t="shared" ref="AH327:AH332" si="143">+P327*(1-A327)</f>
        <v>0</v>
      </c>
      <c r="AI327" s="1">
        <f t="shared" ref="AI327:AI332" si="144">+(1-A327)*(1-P327)</f>
        <v>1</v>
      </c>
    </row>
    <row r="328" spans="1:35" ht="14.25" customHeight="1" x14ac:dyDescent="0.25">
      <c r="A328" s="31">
        <v>0</v>
      </c>
      <c r="B328" s="31">
        <v>2</v>
      </c>
      <c r="C328" s="31">
        <v>1</v>
      </c>
      <c r="D328" s="32" t="s">
        <v>52</v>
      </c>
      <c r="E328" s="32" t="s">
        <v>32</v>
      </c>
      <c r="F328" s="32" t="s">
        <v>205</v>
      </c>
      <c r="G328" s="32" t="s">
        <v>206</v>
      </c>
      <c r="H328" s="32" t="s">
        <v>352</v>
      </c>
      <c r="I328" s="31" t="s">
        <v>389</v>
      </c>
      <c r="J328" s="31">
        <v>99</v>
      </c>
      <c r="K328" s="33" t="s">
        <v>703</v>
      </c>
      <c r="L328" s="33" t="s">
        <v>704</v>
      </c>
      <c r="M328" s="34" t="s">
        <v>705</v>
      </c>
      <c r="N328" s="34" t="s">
        <v>1687</v>
      </c>
      <c r="O328" s="35">
        <v>1</v>
      </c>
      <c r="P328" s="35">
        <v>1</v>
      </c>
      <c r="Q328" s="32"/>
      <c r="S328" s="1">
        <f t="shared" si="123"/>
        <v>0</v>
      </c>
      <c r="T328" s="1">
        <f t="shared" si="124"/>
        <v>0</v>
      </c>
      <c r="U328" s="1">
        <f t="shared" si="125"/>
        <v>0</v>
      </c>
      <c r="V328" s="1">
        <f t="shared" si="126"/>
        <v>0</v>
      </c>
      <c r="W328" s="1">
        <f t="shared" si="127"/>
        <v>0</v>
      </c>
      <c r="X328" s="1">
        <f t="shared" si="128"/>
        <v>0</v>
      </c>
      <c r="Y328" s="1">
        <f t="shared" si="129"/>
        <v>0</v>
      </c>
      <c r="Z328" s="1">
        <f t="shared" si="130"/>
        <v>0</v>
      </c>
      <c r="AA328" s="1">
        <f t="shared" si="131"/>
        <v>0</v>
      </c>
      <c r="AB328" s="1">
        <f t="shared" si="132"/>
        <v>0</v>
      </c>
      <c r="AD328" s="1">
        <f t="shared" si="139"/>
        <v>1</v>
      </c>
      <c r="AE328" s="1">
        <f t="shared" si="140"/>
        <v>0</v>
      </c>
      <c r="AF328" s="1">
        <f t="shared" si="141"/>
        <v>1</v>
      </c>
      <c r="AG328" s="1">
        <f t="shared" si="142"/>
        <v>0</v>
      </c>
      <c r="AH328" s="1">
        <f t="shared" si="143"/>
        <v>1</v>
      </c>
      <c r="AI328" s="1">
        <f t="shared" si="144"/>
        <v>0</v>
      </c>
    </row>
    <row r="329" spans="1:35" ht="14.25" customHeight="1" x14ac:dyDescent="0.25">
      <c r="A329" s="31">
        <v>0</v>
      </c>
      <c r="B329" s="31">
        <v>2</v>
      </c>
      <c r="C329" s="31">
        <v>1</v>
      </c>
      <c r="D329" s="36" t="s">
        <v>2140</v>
      </c>
      <c r="E329" s="36" t="s">
        <v>555</v>
      </c>
      <c r="F329" s="36" t="s">
        <v>2136</v>
      </c>
      <c r="G329" s="36" t="s">
        <v>531</v>
      </c>
      <c r="H329" s="36" t="s">
        <v>352</v>
      </c>
      <c r="I329" s="37" t="s">
        <v>2137</v>
      </c>
      <c r="J329" s="31">
        <v>6</v>
      </c>
      <c r="K329" s="33" t="s">
        <v>694</v>
      </c>
      <c r="L329" s="33"/>
      <c r="M329" s="34"/>
      <c r="N329" s="34" t="s">
        <v>1687</v>
      </c>
      <c r="O329" s="35">
        <v>1</v>
      </c>
      <c r="P329" s="35">
        <v>1</v>
      </c>
      <c r="Q329" s="32" t="s">
        <v>2138</v>
      </c>
      <c r="S329" s="1">
        <f t="shared" si="123"/>
        <v>0</v>
      </c>
      <c r="T329" s="1">
        <f t="shared" si="124"/>
        <v>0</v>
      </c>
      <c r="U329" s="1">
        <f t="shared" si="125"/>
        <v>0</v>
      </c>
      <c r="V329" s="1">
        <f t="shared" si="126"/>
        <v>0</v>
      </c>
      <c r="W329" s="1">
        <f t="shared" si="127"/>
        <v>0</v>
      </c>
      <c r="X329" s="1">
        <f t="shared" si="128"/>
        <v>1</v>
      </c>
      <c r="Y329" s="1">
        <f t="shared" si="129"/>
        <v>0</v>
      </c>
      <c r="Z329" s="1">
        <f t="shared" si="130"/>
        <v>0</v>
      </c>
      <c r="AA329" s="1">
        <f t="shared" si="131"/>
        <v>0</v>
      </c>
      <c r="AB329" s="1">
        <f t="shared" si="132"/>
        <v>0</v>
      </c>
      <c r="AD329" s="1">
        <f t="shared" si="139"/>
        <v>1</v>
      </c>
      <c r="AE329" s="1">
        <f t="shared" si="140"/>
        <v>0</v>
      </c>
      <c r="AF329" s="1">
        <f t="shared" si="141"/>
        <v>1</v>
      </c>
      <c r="AG329" s="1">
        <f t="shared" si="142"/>
        <v>0</v>
      </c>
      <c r="AH329" s="1">
        <f t="shared" si="143"/>
        <v>1</v>
      </c>
      <c r="AI329" s="1">
        <f t="shared" si="144"/>
        <v>0</v>
      </c>
    </row>
    <row r="330" spans="1:35" ht="14.25" customHeight="1" x14ac:dyDescent="0.25">
      <c r="A330" s="31">
        <v>0</v>
      </c>
      <c r="B330" s="31">
        <v>2</v>
      </c>
      <c r="C330" s="31">
        <v>1</v>
      </c>
      <c r="D330" s="32" t="s">
        <v>73</v>
      </c>
      <c r="E330" s="32" t="s">
        <v>555</v>
      </c>
      <c r="F330" s="32" t="s">
        <v>1026</v>
      </c>
      <c r="G330" s="32" t="s">
        <v>189</v>
      </c>
      <c r="H330" s="32" t="s">
        <v>352</v>
      </c>
      <c r="I330" s="31" t="s">
        <v>419</v>
      </c>
      <c r="J330" s="31">
        <v>99</v>
      </c>
      <c r="K330" s="33" t="s">
        <v>930</v>
      </c>
      <c r="L330" s="33" t="s">
        <v>704</v>
      </c>
      <c r="M330" s="34" t="s">
        <v>705</v>
      </c>
      <c r="N330" s="34" t="s">
        <v>1689</v>
      </c>
      <c r="O330" s="35">
        <v>1</v>
      </c>
      <c r="P330" s="35"/>
      <c r="Q330" s="32"/>
      <c r="S330" s="1">
        <f t="shared" si="123"/>
        <v>0</v>
      </c>
      <c r="T330" s="1">
        <f t="shared" si="124"/>
        <v>0</v>
      </c>
      <c r="U330" s="1">
        <f t="shared" si="125"/>
        <v>0</v>
      </c>
      <c r="V330" s="1">
        <f t="shared" si="126"/>
        <v>0</v>
      </c>
      <c r="W330" s="1">
        <f t="shared" si="127"/>
        <v>0</v>
      </c>
      <c r="X330" s="1">
        <f t="shared" si="128"/>
        <v>0</v>
      </c>
      <c r="Y330" s="1">
        <f t="shared" si="129"/>
        <v>0</v>
      </c>
      <c r="Z330" s="1">
        <f t="shared" si="130"/>
        <v>0</v>
      </c>
      <c r="AA330" s="1">
        <f t="shared" si="131"/>
        <v>0</v>
      </c>
      <c r="AB330" s="1">
        <f t="shared" si="132"/>
        <v>0</v>
      </c>
      <c r="AD330" s="1">
        <f t="shared" si="139"/>
        <v>0</v>
      </c>
      <c r="AE330" s="1">
        <f t="shared" si="140"/>
        <v>1</v>
      </c>
      <c r="AF330" s="1">
        <f t="shared" si="141"/>
        <v>0</v>
      </c>
      <c r="AG330" s="1">
        <f t="shared" si="142"/>
        <v>1</v>
      </c>
      <c r="AH330" s="1">
        <f t="shared" si="143"/>
        <v>0</v>
      </c>
      <c r="AI330" s="1">
        <f t="shared" si="144"/>
        <v>1</v>
      </c>
    </row>
    <row r="331" spans="1:35" ht="14.25" customHeight="1" x14ac:dyDescent="0.25">
      <c r="A331" s="31">
        <v>0</v>
      </c>
      <c r="B331" s="31">
        <v>2</v>
      </c>
      <c r="C331" s="31">
        <v>1</v>
      </c>
      <c r="D331" s="32" t="s">
        <v>47</v>
      </c>
      <c r="E331" s="32" t="s">
        <v>32</v>
      </c>
      <c r="F331" s="32" t="s">
        <v>186</v>
      </c>
      <c r="G331" s="32" t="s">
        <v>179</v>
      </c>
      <c r="H331" s="32" t="s">
        <v>352</v>
      </c>
      <c r="I331" s="31" t="s">
        <v>381</v>
      </c>
      <c r="J331" s="31">
        <v>10</v>
      </c>
      <c r="K331" s="33" t="s">
        <v>931</v>
      </c>
      <c r="L331" s="33" t="s">
        <v>704</v>
      </c>
      <c r="M331" s="34" t="s">
        <v>705</v>
      </c>
      <c r="N331" s="34" t="s">
        <v>1689</v>
      </c>
      <c r="O331" s="35">
        <v>1</v>
      </c>
      <c r="P331" s="35"/>
      <c r="Q331" s="32"/>
      <c r="S331" s="1">
        <f t="shared" si="123"/>
        <v>0</v>
      </c>
      <c r="T331" s="1">
        <f t="shared" si="124"/>
        <v>0</v>
      </c>
      <c r="U331" s="1">
        <f t="shared" si="125"/>
        <v>0</v>
      </c>
      <c r="V331" s="1">
        <f t="shared" si="126"/>
        <v>0</v>
      </c>
      <c r="W331" s="1">
        <f t="shared" si="127"/>
        <v>0</v>
      </c>
      <c r="X331" s="1">
        <f t="shared" si="128"/>
        <v>0</v>
      </c>
      <c r="Y331" s="1">
        <f t="shared" si="129"/>
        <v>0</v>
      </c>
      <c r="Z331" s="1">
        <f t="shared" si="130"/>
        <v>0</v>
      </c>
      <c r="AA331" s="1">
        <f t="shared" si="131"/>
        <v>0</v>
      </c>
      <c r="AB331" s="1">
        <f t="shared" si="132"/>
        <v>1</v>
      </c>
      <c r="AD331" s="1">
        <f t="shared" si="139"/>
        <v>0</v>
      </c>
      <c r="AE331" s="1">
        <f t="shared" si="140"/>
        <v>1</v>
      </c>
      <c r="AF331" s="1">
        <f t="shared" si="141"/>
        <v>0</v>
      </c>
      <c r="AG331" s="1">
        <f t="shared" si="142"/>
        <v>1</v>
      </c>
      <c r="AH331" s="1">
        <f t="shared" si="143"/>
        <v>0</v>
      </c>
      <c r="AI331" s="1">
        <f t="shared" si="144"/>
        <v>1</v>
      </c>
    </row>
    <row r="332" spans="1:35" ht="14.25" customHeight="1" x14ac:dyDescent="0.25">
      <c r="A332" s="31">
        <v>0</v>
      </c>
      <c r="B332" s="31">
        <v>2</v>
      </c>
      <c r="C332" s="31">
        <v>1</v>
      </c>
      <c r="D332" s="32" t="s">
        <v>644</v>
      </c>
      <c r="E332" s="32" t="s">
        <v>159</v>
      </c>
      <c r="F332" s="32" t="s">
        <v>187</v>
      </c>
      <c r="G332" s="32" t="s">
        <v>660</v>
      </c>
      <c r="H332" s="32" t="s">
        <v>352</v>
      </c>
      <c r="I332" s="31" t="s">
        <v>382</v>
      </c>
      <c r="J332" s="31">
        <v>99</v>
      </c>
      <c r="K332" s="33" t="s">
        <v>703</v>
      </c>
      <c r="L332" s="33" t="s">
        <v>704</v>
      </c>
      <c r="M332" s="34" t="s">
        <v>705</v>
      </c>
      <c r="N332" s="34" t="s">
        <v>1701</v>
      </c>
      <c r="O332" s="35">
        <v>1</v>
      </c>
      <c r="P332" s="35"/>
      <c r="Q332" s="32"/>
      <c r="S332" s="1">
        <f t="shared" si="123"/>
        <v>0</v>
      </c>
      <c r="T332" s="1">
        <f t="shared" si="124"/>
        <v>0</v>
      </c>
      <c r="U332" s="1">
        <f t="shared" si="125"/>
        <v>0</v>
      </c>
      <c r="V332" s="1">
        <f t="shared" si="126"/>
        <v>0</v>
      </c>
      <c r="W332" s="1">
        <f t="shared" si="127"/>
        <v>0</v>
      </c>
      <c r="X332" s="1">
        <f t="shared" si="128"/>
        <v>0</v>
      </c>
      <c r="Y332" s="1">
        <f t="shared" si="129"/>
        <v>0</v>
      </c>
      <c r="Z332" s="1">
        <f t="shared" si="130"/>
        <v>0</v>
      </c>
      <c r="AA332" s="1">
        <f t="shared" si="131"/>
        <v>0</v>
      </c>
      <c r="AB332" s="1">
        <f t="shared" si="132"/>
        <v>0</v>
      </c>
      <c r="AD332" s="1">
        <f t="shared" si="139"/>
        <v>0</v>
      </c>
      <c r="AE332" s="1">
        <f t="shared" si="140"/>
        <v>1</v>
      </c>
      <c r="AF332" s="1">
        <f t="shared" si="141"/>
        <v>0</v>
      </c>
      <c r="AG332" s="1">
        <f t="shared" si="142"/>
        <v>1</v>
      </c>
      <c r="AH332" s="1">
        <f t="shared" si="143"/>
        <v>0</v>
      </c>
      <c r="AI332" s="1">
        <f t="shared" si="144"/>
        <v>1</v>
      </c>
    </row>
    <row r="333" spans="1:35" ht="14.25" customHeight="1" x14ac:dyDescent="0.25">
      <c r="A333" s="31">
        <v>0</v>
      </c>
      <c r="B333" s="31">
        <v>2</v>
      </c>
      <c r="C333" s="31">
        <v>1</v>
      </c>
      <c r="D333" s="32" t="s">
        <v>1271</v>
      </c>
      <c r="E333" s="32" t="s">
        <v>36</v>
      </c>
      <c r="F333" s="32" t="s">
        <v>1272</v>
      </c>
      <c r="G333" s="32" t="s">
        <v>257</v>
      </c>
      <c r="H333" s="32" t="s">
        <v>352</v>
      </c>
      <c r="I333" s="31" t="s">
        <v>1273</v>
      </c>
      <c r="J333" s="31">
        <v>8</v>
      </c>
      <c r="K333" s="33" t="s">
        <v>935</v>
      </c>
      <c r="L333" s="33" t="s">
        <v>704</v>
      </c>
      <c r="M333" s="34" t="s">
        <v>705</v>
      </c>
      <c r="N333" s="34" t="s">
        <v>1687</v>
      </c>
      <c r="O333" s="35">
        <v>1</v>
      </c>
      <c r="P333" s="35">
        <v>1</v>
      </c>
      <c r="Q333" s="32"/>
      <c r="S333" s="1">
        <f t="shared" si="123"/>
        <v>0</v>
      </c>
      <c r="T333" s="1">
        <f t="shared" si="124"/>
        <v>0</v>
      </c>
      <c r="U333" s="1">
        <f t="shared" si="125"/>
        <v>0</v>
      </c>
      <c r="V333" s="1">
        <f t="shared" si="126"/>
        <v>0</v>
      </c>
      <c r="W333" s="1">
        <f t="shared" si="127"/>
        <v>0</v>
      </c>
      <c r="X333" s="1">
        <f t="shared" si="128"/>
        <v>0</v>
      </c>
      <c r="Y333" s="1">
        <f t="shared" si="129"/>
        <v>0</v>
      </c>
      <c r="Z333" s="1">
        <f t="shared" si="130"/>
        <v>1</v>
      </c>
      <c r="AA333" s="1">
        <f t="shared" si="131"/>
        <v>0</v>
      </c>
      <c r="AB333" s="1">
        <f t="shared" si="132"/>
        <v>0</v>
      </c>
      <c r="AD333" s="1">
        <f t="shared" si="133"/>
        <v>1</v>
      </c>
      <c r="AE333" s="1">
        <f t="shared" si="134"/>
        <v>0</v>
      </c>
      <c r="AF333" s="1">
        <f t="shared" si="135"/>
        <v>1</v>
      </c>
      <c r="AG333" s="1">
        <f t="shared" si="136"/>
        <v>0</v>
      </c>
      <c r="AH333" s="1">
        <f t="shared" si="137"/>
        <v>1</v>
      </c>
      <c r="AI333" s="1">
        <f t="shared" si="138"/>
        <v>0</v>
      </c>
    </row>
    <row r="334" spans="1:35" ht="14.25" customHeight="1" x14ac:dyDescent="0.25">
      <c r="A334" s="31">
        <v>0</v>
      </c>
      <c r="B334" s="31">
        <v>2</v>
      </c>
      <c r="C334" s="31">
        <v>1</v>
      </c>
      <c r="D334" s="32" t="s">
        <v>54</v>
      </c>
      <c r="E334" s="32" t="s">
        <v>555</v>
      </c>
      <c r="F334" s="32" t="s">
        <v>211</v>
      </c>
      <c r="G334" s="32" t="s">
        <v>212</v>
      </c>
      <c r="H334" s="32" t="s">
        <v>352</v>
      </c>
      <c r="I334" s="31" t="s">
        <v>391</v>
      </c>
      <c r="J334" s="31">
        <v>1</v>
      </c>
      <c r="K334" s="33" t="s">
        <v>931</v>
      </c>
      <c r="L334" s="33" t="s">
        <v>704</v>
      </c>
      <c r="M334" s="34" t="s">
        <v>39</v>
      </c>
      <c r="N334" s="34" t="s">
        <v>1689</v>
      </c>
      <c r="O334" s="35">
        <v>1</v>
      </c>
      <c r="P334" s="35"/>
      <c r="Q334" s="32"/>
      <c r="S334" s="1">
        <f t="shared" si="123"/>
        <v>1</v>
      </c>
      <c r="T334" s="1">
        <f t="shared" si="124"/>
        <v>0</v>
      </c>
      <c r="U334" s="1">
        <f t="shared" si="125"/>
        <v>0</v>
      </c>
      <c r="V334" s="1">
        <f t="shared" si="126"/>
        <v>0</v>
      </c>
      <c r="W334" s="1">
        <f t="shared" si="127"/>
        <v>0</v>
      </c>
      <c r="X334" s="1">
        <f t="shared" si="128"/>
        <v>0</v>
      </c>
      <c r="Y334" s="1">
        <f t="shared" si="129"/>
        <v>0</v>
      </c>
      <c r="Z334" s="1">
        <f t="shared" si="130"/>
        <v>0</v>
      </c>
      <c r="AA334" s="1">
        <f t="shared" si="131"/>
        <v>0</v>
      </c>
      <c r="AB334" s="1">
        <f t="shared" si="132"/>
        <v>0</v>
      </c>
      <c r="AD334" s="1">
        <f t="shared" si="133"/>
        <v>0</v>
      </c>
      <c r="AE334" s="1">
        <f t="shared" si="134"/>
        <v>1</v>
      </c>
      <c r="AF334" s="1">
        <f t="shared" si="135"/>
        <v>0</v>
      </c>
      <c r="AG334" s="1">
        <f t="shared" si="136"/>
        <v>1</v>
      </c>
      <c r="AH334" s="1">
        <f t="shared" si="137"/>
        <v>0</v>
      </c>
      <c r="AI334" s="1">
        <f t="shared" si="138"/>
        <v>1</v>
      </c>
    </row>
    <row r="335" spans="1:35" ht="14.25" customHeight="1" x14ac:dyDescent="0.25">
      <c r="A335" s="31">
        <v>0</v>
      </c>
      <c r="B335" s="31">
        <v>2</v>
      </c>
      <c r="C335" s="31">
        <v>1</v>
      </c>
      <c r="D335" s="32" t="s">
        <v>61</v>
      </c>
      <c r="E335" s="32" t="s">
        <v>539</v>
      </c>
      <c r="F335" s="32" t="s">
        <v>232</v>
      </c>
      <c r="G335" s="32" t="s">
        <v>203</v>
      </c>
      <c r="H335" s="32" t="s">
        <v>352</v>
      </c>
      <c r="I335" s="31" t="s">
        <v>399</v>
      </c>
      <c r="J335" s="31">
        <v>7</v>
      </c>
      <c r="K335" s="33" t="s">
        <v>703</v>
      </c>
      <c r="L335" s="33" t="s">
        <v>704</v>
      </c>
      <c r="M335" s="34" t="s">
        <v>705</v>
      </c>
      <c r="N335" s="34" t="s">
        <v>1706</v>
      </c>
      <c r="O335" s="35">
        <v>1</v>
      </c>
      <c r="P335" s="35"/>
      <c r="Q335" s="32"/>
      <c r="S335" s="1">
        <f t="shared" si="123"/>
        <v>0</v>
      </c>
      <c r="T335" s="1">
        <f t="shared" si="124"/>
        <v>0</v>
      </c>
      <c r="U335" s="1">
        <f t="shared" si="125"/>
        <v>0</v>
      </c>
      <c r="V335" s="1">
        <f t="shared" si="126"/>
        <v>0</v>
      </c>
      <c r="W335" s="1">
        <f t="shared" si="127"/>
        <v>0</v>
      </c>
      <c r="X335" s="1">
        <f t="shared" si="128"/>
        <v>0</v>
      </c>
      <c r="Y335" s="1">
        <f t="shared" si="129"/>
        <v>1</v>
      </c>
      <c r="Z335" s="1">
        <f t="shared" si="130"/>
        <v>0</v>
      </c>
      <c r="AA335" s="1">
        <f t="shared" si="131"/>
        <v>0</v>
      </c>
      <c r="AB335" s="1">
        <f t="shared" si="132"/>
        <v>0</v>
      </c>
      <c r="AD335" s="1">
        <f t="shared" si="133"/>
        <v>0</v>
      </c>
      <c r="AE335" s="1">
        <f t="shared" si="134"/>
        <v>1</v>
      </c>
      <c r="AF335" s="1">
        <f t="shared" si="135"/>
        <v>0</v>
      </c>
      <c r="AG335" s="1">
        <f t="shared" si="136"/>
        <v>1</v>
      </c>
      <c r="AH335" s="1">
        <f t="shared" si="137"/>
        <v>0</v>
      </c>
      <c r="AI335" s="1">
        <f t="shared" si="138"/>
        <v>1</v>
      </c>
    </row>
    <row r="336" spans="1:35" ht="14.25" customHeight="1" x14ac:dyDescent="0.25">
      <c r="A336" s="31">
        <v>0</v>
      </c>
      <c r="B336" s="31">
        <v>2</v>
      </c>
      <c r="C336" s="31">
        <v>1</v>
      </c>
      <c r="D336" s="32" t="s">
        <v>1603</v>
      </c>
      <c r="E336" s="32" t="s">
        <v>555</v>
      </c>
      <c r="F336" s="32" t="s">
        <v>1323</v>
      </c>
      <c r="G336" s="32" t="s">
        <v>1251</v>
      </c>
      <c r="H336" s="32" t="s">
        <v>352</v>
      </c>
      <c r="I336" s="31" t="s">
        <v>1138</v>
      </c>
      <c r="J336" s="31">
        <v>99</v>
      </c>
      <c r="K336" s="33" t="s">
        <v>703</v>
      </c>
      <c r="L336" s="33" t="s">
        <v>704</v>
      </c>
      <c r="M336" s="34" t="s">
        <v>705</v>
      </c>
      <c r="N336" s="34" t="s">
        <v>1693</v>
      </c>
      <c r="O336" s="35">
        <v>1</v>
      </c>
      <c r="P336" s="35"/>
      <c r="Q336" s="32" t="s">
        <v>1841</v>
      </c>
      <c r="S336" s="1">
        <f t="shared" si="123"/>
        <v>0</v>
      </c>
      <c r="T336" s="1">
        <f t="shared" si="124"/>
        <v>0</v>
      </c>
      <c r="U336" s="1">
        <f t="shared" si="125"/>
        <v>0</v>
      </c>
      <c r="V336" s="1">
        <f t="shared" si="126"/>
        <v>0</v>
      </c>
      <c r="W336" s="1">
        <f t="shared" si="127"/>
        <v>0</v>
      </c>
      <c r="X336" s="1">
        <f t="shared" si="128"/>
        <v>0</v>
      </c>
      <c r="Y336" s="1">
        <f t="shared" si="129"/>
        <v>0</v>
      </c>
      <c r="Z336" s="1">
        <f t="shared" si="130"/>
        <v>0</v>
      </c>
      <c r="AA336" s="1">
        <f t="shared" si="131"/>
        <v>0</v>
      </c>
      <c r="AB336" s="1">
        <f t="shared" si="132"/>
        <v>0</v>
      </c>
      <c r="AD336" s="1">
        <f t="shared" si="133"/>
        <v>0</v>
      </c>
      <c r="AE336" s="1">
        <f t="shared" si="134"/>
        <v>1</v>
      </c>
      <c r="AF336" s="1">
        <f t="shared" si="135"/>
        <v>0</v>
      </c>
      <c r="AG336" s="1">
        <f t="shared" si="136"/>
        <v>1</v>
      </c>
      <c r="AH336" s="1">
        <f t="shared" si="137"/>
        <v>0</v>
      </c>
      <c r="AI336" s="1">
        <f t="shared" si="138"/>
        <v>1</v>
      </c>
    </row>
    <row r="337" spans="1:35" ht="14.25" customHeight="1" x14ac:dyDescent="0.25">
      <c r="A337" s="56">
        <v>0</v>
      </c>
      <c r="B337" s="56">
        <v>2</v>
      </c>
      <c r="C337" s="56">
        <v>1</v>
      </c>
      <c r="D337" s="57" t="s">
        <v>1285</v>
      </c>
      <c r="E337" s="57" t="s">
        <v>1305</v>
      </c>
      <c r="F337" s="57" t="s">
        <v>1268</v>
      </c>
      <c r="G337" s="57" t="s">
        <v>1269</v>
      </c>
      <c r="H337" s="57" t="s">
        <v>352</v>
      </c>
      <c r="I337" s="56" t="s">
        <v>1270</v>
      </c>
      <c r="J337" s="56">
        <v>99</v>
      </c>
      <c r="K337" s="58" t="s">
        <v>931</v>
      </c>
      <c r="L337" s="58" t="s">
        <v>704</v>
      </c>
      <c r="M337" s="59" t="s">
        <v>705</v>
      </c>
      <c r="N337" s="59" t="s">
        <v>1859</v>
      </c>
      <c r="O337" s="60">
        <v>1</v>
      </c>
      <c r="P337" s="60"/>
      <c r="Q337" s="57"/>
      <c r="S337" s="1">
        <f t="shared" si="123"/>
        <v>0</v>
      </c>
      <c r="T337" s="1">
        <f t="shared" si="124"/>
        <v>0</v>
      </c>
      <c r="U337" s="1">
        <f t="shared" si="125"/>
        <v>0</v>
      </c>
      <c r="V337" s="1">
        <f t="shared" si="126"/>
        <v>0</v>
      </c>
      <c r="W337" s="1">
        <f t="shared" si="127"/>
        <v>0</v>
      </c>
      <c r="X337" s="1">
        <f t="shared" si="128"/>
        <v>0</v>
      </c>
      <c r="Y337" s="1">
        <f t="shared" si="129"/>
        <v>0</v>
      </c>
      <c r="Z337" s="1">
        <f t="shared" si="130"/>
        <v>0</v>
      </c>
      <c r="AA337" s="1">
        <f t="shared" si="131"/>
        <v>0</v>
      </c>
      <c r="AB337" s="1">
        <f t="shared" si="132"/>
        <v>0</v>
      </c>
      <c r="AD337" s="1">
        <f t="shared" si="133"/>
        <v>0</v>
      </c>
      <c r="AE337" s="1">
        <f t="shared" si="134"/>
        <v>1</v>
      </c>
      <c r="AF337" s="1">
        <f t="shared" si="135"/>
        <v>0</v>
      </c>
      <c r="AG337" s="1">
        <f t="shared" si="136"/>
        <v>1</v>
      </c>
      <c r="AH337" s="1">
        <f t="shared" si="137"/>
        <v>0</v>
      </c>
      <c r="AI337" s="1">
        <f t="shared" si="138"/>
        <v>1</v>
      </c>
    </row>
    <row r="338" spans="1:35" ht="14.25" customHeight="1" x14ac:dyDescent="0.25">
      <c r="A338" s="15">
        <v>0</v>
      </c>
      <c r="B338" s="15">
        <v>2</v>
      </c>
      <c r="C338" s="15">
        <v>1</v>
      </c>
      <c r="D338" s="16" t="s">
        <v>1280</v>
      </c>
      <c r="E338" s="16" t="s">
        <v>159</v>
      </c>
      <c r="F338" s="16" t="s">
        <v>1282</v>
      </c>
      <c r="G338" s="16" t="s">
        <v>1283</v>
      </c>
      <c r="H338" s="16" t="s">
        <v>352</v>
      </c>
      <c r="I338" s="15" t="s">
        <v>1284</v>
      </c>
      <c r="J338" s="15">
        <v>8</v>
      </c>
      <c r="K338" s="10" t="s">
        <v>704</v>
      </c>
      <c r="L338" s="10" t="s">
        <v>704</v>
      </c>
      <c r="M338" s="19" t="s">
        <v>705</v>
      </c>
      <c r="N338" s="19"/>
      <c r="Q338" s="16"/>
      <c r="S338" s="1">
        <f t="shared" si="123"/>
        <v>0</v>
      </c>
      <c r="T338" s="1">
        <f t="shared" si="124"/>
        <v>0</v>
      </c>
      <c r="U338" s="1">
        <f t="shared" si="125"/>
        <v>0</v>
      </c>
      <c r="V338" s="1">
        <f t="shared" si="126"/>
        <v>0</v>
      </c>
      <c r="W338" s="1">
        <f t="shared" si="127"/>
        <v>0</v>
      </c>
      <c r="X338" s="1">
        <f t="shared" si="128"/>
        <v>0</v>
      </c>
      <c r="Y338" s="1">
        <f t="shared" si="129"/>
        <v>0</v>
      </c>
      <c r="Z338" s="1">
        <f t="shared" si="130"/>
        <v>1</v>
      </c>
      <c r="AA338" s="1">
        <f t="shared" si="131"/>
        <v>0</v>
      </c>
      <c r="AB338" s="1">
        <f t="shared" si="132"/>
        <v>0</v>
      </c>
      <c r="AD338" s="1">
        <f t="shared" si="133"/>
        <v>0</v>
      </c>
      <c r="AE338" s="1">
        <f t="shared" si="134"/>
        <v>0</v>
      </c>
      <c r="AF338" s="1">
        <f t="shared" si="135"/>
        <v>0</v>
      </c>
      <c r="AG338" s="1">
        <f t="shared" si="136"/>
        <v>0</v>
      </c>
      <c r="AH338" s="1">
        <f t="shared" si="137"/>
        <v>0</v>
      </c>
      <c r="AI338" s="1">
        <f t="shared" si="138"/>
        <v>1</v>
      </c>
    </row>
    <row r="339" spans="1:35" ht="14.25" customHeight="1" x14ac:dyDescent="0.25">
      <c r="A339" s="31">
        <v>0</v>
      </c>
      <c r="B339" s="31">
        <v>2</v>
      </c>
      <c r="C339" s="31">
        <v>2</v>
      </c>
      <c r="D339" s="32" t="s">
        <v>1602</v>
      </c>
      <c r="E339" s="32" t="s">
        <v>1139</v>
      </c>
      <c r="F339" s="32" t="s">
        <v>1635</v>
      </c>
      <c r="G339" s="32" t="s">
        <v>189</v>
      </c>
      <c r="H339" s="32" t="s">
        <v>352</v>
      </c>
      <c r="I339" s="31" t="s">
        <v>1563</v>
      </c>
      <c r="J339" s="31">
        <v>99</v>
      </c>
      <c r="K339" s="33" t="s">
        <v>704</v>
      </c>
      <c r="L339" s="33" t="s">
        <v>687</v>
      </c>
      <c r="M339" s="34" t="s">
        <v>1564</v>
      </c>
      <c r="N339" s="34" t="s">
        <v>1706</v>
      </c>
      <c r="O339" s="35">
        <v>1</v>
      </c>
      <c r="P339" s="35"/>
      <c r="Q339" s="32"/>
      <c r="S339" s="1">
        <f t="shared" si="123"/>
        <v>0</v>
      </c>
      <c r="T339" s="1">
        <f t="shared" si="124"/>
        <v>0</v>
      </c>
      <c r="U339" s="1">
        <f t="shared" si="125"/>
        <v>0</v>
      </c>
      <c r="V339" s="1">
        <f t="shared" si="126"/>
        <v>0</v>
      </c>
      <c r="W339" s="1">
        <f t="shared" si="127"/>
        <v>0</v>
      </c>
      <c r="X339" s="1">
        <f t="shared" si="128"/>
        <v>0</v>
      </c>
      <c r="Y339" s="1">
        <f t="shared" si="129"/>
        <v>0</v>
      </c>
      <c r="Z339" s="1">
        <f t="shared" si="130"/>
        <v>0</v>
      </c>
      <c r="AA339" s="1">
        <f t="shared" si="131"/>
        <v>0</v>
      </c>
      <c r="AB339" s="1">
        <f t="shared" si="132"/>
        <v>0</v>
      </c>
      <c r="AD339" s="1">
        <f t="shared" si="133"/>
        <v>0</v>
      </c>
      <c r="AE339" s="1">
        <f t="shared" si="134"/>
        <v>1</v>
      </c>
      <c r="AF339" s="1">
        <f t="shared" si="135"/>
        <v>0</v>
      </c>
      <c r="AG339" s="1">
        <f t="shared" si="136"/>
        <v>1</v>
      </c>
      <c r="AH339" s="1">
        <f t="shared" si="137"/>
        <v>0</v>
      </c>
      <c r="AI339" s="1">
        <f t="shared" si="138"/>
        <v>1</v>
      </c>
    </row>
    <row r="340" spans="1:35" ht="14.25" customHeight="1" x14ac:dyDescent="0.25">
      <c r="A340" s="31">
        <v>0</v>
      </c>
      <c r="B340" s="31">
        <v>2</v>
      </c>
      <c r="C340" s="31">
        <v>2</v>
      </c>
      <c r="D340" s="32" t="s">
        <v>65</v>
      </c>
      <c r="E340" s="32" t="s">
        <v>163</v>
      </c>
      <c r="F340" s="32" t="s">
        <v>242</v>
      </c>
      <c r="G340" s="32" t="s">
        <v>199</v>
      </c>
      <c r="H340" s="32" t="s">
        <v>352</v>
      </c>
      <c r="I340" s="31" t="s">
        <v>405</v>
      </c>
      <c r="J340" s="31">
        <v>2</v>
      </c>
      <c r="K340" s="33" t="s">
        <v>931</v>
      </c>
      <c r="L340" s="33" t="s">
        <v>687</v>
      </c>
      <c r="M340" s="34" t="s">
        <v>706</v>
      </c>
      <c r="N340" s="34" t="s">
        <v>1689</v>
      </c>
      <c r="O340" s="35">
        <v>1</v>
      </c>
      <c r="P340" s="35"/>
      <c r="Q340" s="32"/>
      <c r="S340" s="1">
        <f t="shared" si="123"/>
        <v>0</v>
      </c>
      <c r="T340" s="1">
        <f t="shared" si="124"/>
        <v>1</v>
      </c>
      <c r="U340" s="1">
        <f t="shared" si="125"/>
        <v>0</v>
      </c>
      <c r="V340" s="1">
        <f t="shared" si="126"/>
        <v>0</v>
      </c>
      <c r="W340" s="1">
        <f t="shared" si="127"/>
        <v>0</v>
      </c>
      <c r="X340" s="1">
        <f t="shared" si="128"/>
        <v>0</v>
      </c>
      <c r="Y340" s="1">
        <f t="shared" si="129"/>
        <v>0</v>
      </c>
      <c r="Z340" s="1">
        <f t="shared" si="130"/>
        <v>0</v>
      </c>
      <c r="AA340" s="1">
        <f t="shared" si="131"/>
        <v>0</v>
      </c>
      <c r="AB340" s="1">
        <f t="shared" si="132"/>
        <v>0</v>
      </c>
      <c r="AD340" s="1">
        <f t="shared" si="133"/>
        <v>0</v>
      </c>
      <c r="AE340" s="1">
        <f t="shared" si="134"/>
        <v>1</v>
      </c>
      <c r="AF340" s="1">
        <f t="shared" si="135"/>
        <v>0</v>
      </c>
      <c r="AG340" s="1">
        <f t="shared" si="136"/>
        <v>1</v>
      </c>
      <c r="AH340" s="1">
        <f t="shared" si="137"/>
        <v>0</v>
      </c>
      <c r="AI340" s="1">
        <f t="shared" si="138"/>
        <v>1</v>
      </c>
    </row>
    <row r="341" spans="1:35" ht="14.25" customHeight="1" x14ac:dyDescent="0.25">
      <c r="A341" s="31">
        <v>0</v>
      </c>
      <c r="B341" s="31">
        <v>2</v>
      </c>
      <c r="C341" s="31">
        <v>2</v>
      </c>
      <c r="D341" s="32" t="s">
        <v>1769</v>
      </c>
      <c r="E341" s="32" t="s">
        <v>1770</v>
      </c>
      <c r="F341" s="32" t="s">
        <v>1771</v>
      </c>
      <c r="G341" s="32" t="s">
        <v>195</v>
      </c>
      <c r="H341" s="32" t="s">
        <v>352</v>
      </c>
      <c r="I341" s="31" t="s">
        <v>1772</v>
      </c>
      <c r="J341" s="31"/>
      <c r="K341" s="33" t="s">
        <v>694</v>
      </c>
      <c r="L341" s="33">
        <v>20</v>
      </c>
      <c r="M341" s="34" t="s">
        <v>1773</v>
      </c>
      <c r="N341" s="34" t="s">
        <v>1693</v>
      </c>
      <c r="O341" s="35">
        <v>1</v>
      </c>
      <c r="P341" s="35"/>
      <c r="Q341" s="32"/>
      <c r="S341" s="1">
        <f t="shared" si="123"/>
        <v>0</v>
      </c>
      <c r="T341" s="1">
        <f t="shared" si="124"/>
        <v>0</v>
      </c>
      <c r="U341" s="1">
        <f t="shared" si="125"/>
        <v>0</v>
      </c>
      <c r="V341" s="1">
        <f t="shared" si="126"/>
        <v>0</v>
      </c>
      <c r="W341" s="1">
        <f t="shared" si="127"/>
        <v>0</v>
      </c>
      <c r="X341" s="1">
        <f t="shared" si="128"/>
        <v>0</v>
      </c>
      <c r="Y341" s="1">
        <f t="shared" si="129"/>
        <v>0</v>
      </c>
      <c r="Z341" s="1">
        <f t="shared" si="130"/>
        <v>0</v>
      </c>
      <c r="AA341" s="1">
        <f t="shared" si="131"/>
        <v>0</v>
      </c>
      <c r="AB341" s="1">
        <f t="shared" si="132"/>
        <v>0</v>
      </c>
      <c r="AD341" s="1">
        <f t="shared" si="133"/>
        <v>0</v>
      </c>
      <c r="AE341" s="1">
        <f t="shared" si="134"/>
        <v>1</v>
      </c>
      <c r="AF341" s="1">
        <f t="shared" si="135"/>
        <v>0</v>
      </c>
      <c r="AG341" s="1">
        <f t="shared" si="136"/>
        <v>1</v>
      </c>
      <c r="AH341" s="1">
        <f t="shared" si="137"/>
        <v>0</v>
      </c>
      <c r="AI341" s="1">
        <f t="shared" si="138"/>
        <v>1</v>
      </c>
    </row>
    <row r="342" spans="1:35" ht="14.25" customHeight="1" x14ac:dyDescent="0.25">
      <c r="A342" s="37">
        <v>0</v>
      </c>
      <c r="B342" s="37">
        <v>2</v>
      </c>
      <c r="C342" s="37">
        <v>2</v>
      </c>
      <c r="D342" s="36" t="s">
        <v>2076</v>
      </c>
      <c r="E342" s="36" t="s">
        <v>2074</v>
      </c>
      <c r="F342" s="36" t="s">
        <v>2075</v>
      </c>
      <c r="G342" s="36" t="s">
        <v>256</v>
      </c>
      <c r="H342" s="36" t="s">
        <v>352</v>
      </c>
      <c r="I342" s="37" t="s">
        <v>30</v>
      </c>
      <c r="J342" s="37">
        <v>2</v>
      </c>
      <c r="K342" s="33" t="s">
        <v>694</v>
      </c>
      <c r="L342" s="33"/>
      <c r="M342" s="34"/>
      <c r="N342" s="34" t="s">
        <v>1681</v>
      </c>
      <c r="O342" s="35">
        <v>1</v>
      </c>
      <c r="P342" s="35">
        <v>1</v>
      </c>
      <c r="Q342" s="36"/>
      <c r="S342" s="1">
        <f t="shared" si="123"/>
        <v>0</v>
      </c>
      <c r="T342" s="1">
        <f t="shared" si="124"/>
        <v>1</v>
      </c>
      <c r="U342" s="1">
        <f t="shared" si="125"/>
        <v>0</v>
      </c>
      <c r="V342" s="1">
        <f t="shared" si="126"/>
        <v>0</v>
      </c>
      <c r="W342" s="1">
        <f t="shared" si="127"/>
        <v>0</v>
      </c>
      <c r="X342" s="1">
        <f t="shared" si="128"/>
        <v>0</v>
      </c>
      <c r="Y342" s="1">
        <f t="shared" si="129"/>
        <v>0</v>
      </c>
      <c r="Z342" s="1">
        <f t="shared" si="130"/>
        <v>0</v>
      </c>
      <c r="AA342" s="1">
        <f t="shared" si="131"/>
        <v>0</v>
      </c>
      <c r="AB342" s="1">
        <f t="shared" si="132"/>
        <v>0</v>
      </c>
      <c r="AD342" s="1">
        <f t="shared" si="133"/>
        <v>1</v>
      </c>
      <c r="AE342" s="1">
        <f t="shared" si="134"/>
        <v>0</v>
      </c>
      <c r="AF342" s="1">
        <f t="shared" si="135"/>
        <v>1</v>
      </c>
      <c r="AG342" s="1">
        <f t="shared" si="136"/>
        <v>0</v>
      </c>
      <c r="AH342" s="1">
        <f t="shared" si="137"/>
        <v>1</v>
      </c>
      <c r="AI342" s="1">
        <f t="shared" si="138"/>
        <v>0</v>
      </c>
    </row>
    <row r="343" spans="1:35" ht="14.25" customHeight="1" x14ac:dyDescent="0.25">
      <c r="A343" s="31">
        <v>0</v>
      </c>
      <c r="B343" s="31">
        <v>2</v>
      </c>
      <c r="C343" s="31">
        <v>2</v>
      </c>
      <c r="D343" s="32" t="s">
        <v>1532</v>
      </c>
      <c r="E343" s="32" t="s">
        <v>1533</v>
      </c>
      <c r="F343" s="32" t="s">
        <v>1535</v>
      </c>
      <c r="G343" s="32" t="s">
        <v>1536</v>
      </c>
      <c r="H343" s="32" t="s">
        <v>352</v>
      </c>
      <c r="I343" s="31" t="s">
        <v>1534</v>
      </c>
      <c r="J343" s="31">
        <v>99</v>
      </c>
      <c r="K343" s="33" t="s">
        <v>694</v>
      </c>
      <c r="L343" s="33">
        <v>18</v>
      </c>
      <c r="M343" s="34" t="s">
        <v>1537</v>
      </c>
      <c r="N343" s="34" t="s">
        <v>1693</v>
      </c>
      <c r="O343" s="35">
        <v>1</v>
      </c>
      <c r="P343" s="35"/>
      <c r="Q343" s="32"/>
      <c r="S343" s="1">
        <f t="shared" si="123"/>
        <v>0</v>
      </c>
      <c r="T343" s="1">
        <f t="shared" si="124"/>
        <v>0</v>
      </c>
      <c r="U343" s="1">
        <f t="shared" si="125"/>
        <v>0</v>
      </c>
      <c r="V343" s="1">
        <f t="shared" si="126"/>
        <v>0</v>
      </c>
      <c r="W343" s="1">
        <f t="shared" si="127"/>
        <v>0</v>
      </c>
      <c r="X343" s="1">
        <f t="shared" si="128"/>
        <v>0</v>
      </c>
      <c r="Y343" s="1">
        <f t="shared" si="129"/>
        <v>0</v>
      </c>
      <c r="Z343" s="1">
        <f t="shared" si="130"/>
        <v>0</v>
      </c>
      <c r="AA343" s="1">
        <f t="shared" si="131"/>
        <v>0</v>
      </c>
      <c r="AB343" s="1">
        <f t="shared" si="132"/>
        <v>0</v>
      </c>
      <c r="AD343" s="1">
        <f t="shared" si="133"/>
        <v>0</v>
      </c>
      <c r="AE343" s="1">
        <f t="shared" si="134"/>
        <v>1</v>
      </c>
      <c r="AF343" s="1">
        <f t="shared" si="135"/>
        <v>0</v>
      </c>
      <c r="AG343" s="1">
        <f t="shared" si="136"/>
        <v>1</v>
      </c>
      <c r="AH343" s="1">
        <f t="shared" si="137"/>
        <v>0</v>
      </c>
      <c r="AI343" s="1">
        <f t="shared" si="138"/>
        <v>1</v>
      </c>
    </row>
    <row r="344" spans="1:35" ht="14.25" customHeight="1" x14ac:dyDescent="0.25">
      <c r="A344" s="31">
        <v>0</v>
      </c>
      <c r="B344" s="31">
        <v>2</v>
      </c>
      <c r="C344" s="31">
        <v>2</v>
      </c>
      <c r="D344" s="32" t="s">
        <v>64</v>
      </c>
      <c r="E344" s="32" t="s">
        <v>33</v>
      </c>
      <c r="F344" s="32" t="s">
        <v>240</v>
      </c>
      <c r="G344" s="32" t="s">
        <v>241</v>
      </c>
      <c r="H344" s="32" t="s">
        <v>352</v>
      </c>
      <c r="I344" s="31" t="s">
        <v>404</v>
      </c>
      <c r="J344" s="31">
        <v>1</v>
      </c>
      <c r="K344" s="33" t="s">
        <v>937</v>
      </c>
      <c r="L344" s="33" t="s">
        <v>707</v>
      </c>
      <c r="M344" s="34" t="s">
        <v>708</v>
      </c>
      <c r="N344" s="34" t="s">
        <v>1689</v>
      </c>
      <c r="O344" s="35">
        <v>1</v>
      </c>
      <c r="P344" s="35"/>
      <c r="Q344" s="32"/>
      <c r="S344" s="1">
        <f t="shared" ref="S344:S407" si="145">IF(J344=$S$7,1,0)</f>
        <v>1</v>
      </c>
      <c r="T344" s="1">
        <f t="shared" ref="T344:T407" si="146">IF(J344=$T$7,1,0)</f>
        <v>0</v>
      </c>
      <c r="U344" s="1">
        <f t="shared" ref="U344:U407" si="147">IF(J344=$U$7,1,0)</f>
        <v>0</v>
      </c>
      <c r="V344" s="1">
        <f t="shared" ref="V344:V407" si="148">IF(J344=$V$7,1,0)</f>
        <v>0</v>
      </c>
      <c r="W344" s="1">
        <f t="shared" ref="W344:W407" si="149">IF(J344=$W$7,1,0)</f>
        <v>0</v>
      </c>
      <c r="X344" s="1">
        <f t="shared" ref="X344:X407" si="150">IF(J344=$X$7,1,0)</f>
        <v>0</v>
      </c>
      <c r="Y344" s="1">
        <f t="shared" ref="Y344:Y407" si="151">IF(J344=$Y$7,1,0)</f>
        <v>0</v>
      </c>
      <c r="Z344" s="1">
        <f t="shared" ref="Z344:Z407" si="152">IF(J344=$Z$7,1,0)</f>
        <v>0</v>
      </c>
      <c r="AA344" s="1">
        <f t="shared" ref="AA344:AA407" si="153">IF(J344=$AA$7,1,0)</f>
        <v>0</v>
      </c>
      <c r="AB344" s="1">
        <f t="shared" ref="AB344:AB407" si="154">IF(J344=$AB$7,1,0)</f>
        <v>0</v>
      </c>
      <c r="AD344" s="1">
        <f t="shared" ref="AD344:AD407" si="155">+O344*P344</f>
        <v>0</v>
      </c>
      <c r="AE344" s="1">
        <f t="shared" ref="AE344:AE407" si="156">O344*(1-P344)</f>
        <v>1</v>
      </c>
      <c r="AF344" s="1">
        <f t="shared" si="135"/>
        <v>0</v>
      </c>
      <c r="AG344" s="1">
        <f t="shared" si="136"/>
        <v>1</v>
      </c>
      <c r="AH344" s="1">
        <f t="shared" si="137"/>
        <v>0</v>
      </c>
      <c r="AI344" s="1">
        <f t="shared" si="138"/>
        <v>1</v>
      </c>
    </row>
    <row r="345" spans="1:35" ht="14.25" customHeight="1" x14ac:dyDescent="0.25">
      <c r="A345" s="31">
        <v>0</v>
      </c>
      <c r="B345" s="31">
        <v>2</v>
      </c>
      <c r="C345" s="31">
        <v>2</v>
      </c>
      <c r="D345" s="32" t="s">
        <v>62</v>
      </c>
      <c r="E345" s="32" t="s">
        <v>1062</v>
      </c>
      <c r="F345" s="32" t="s">
        <v>233</v>
      </c>
      <c r="G345" s="32" t="s">
        <v>234</v>
      </c>
      <c r="H345" s="32" t="s">
        <v>352</v>
      </c>
      <c r="I345" s="31" t="s">
        <v>1330</v>
      </c>
      <c r="J345" s="31">
        <v>99</v>
      </c>
      <c r="K345" s="33" t="s">
        <v>931</v>
      </c>
      <c r="L345" s="33" t="s">
        <v>707</v>
      </c>
      <c r="M345" s="34" t="s">
        <v>709</v>
      </c>
      <c r="N345" s="34" t="s">
        <v>1689</v>
      </c>
      <c r="O345" s="35">
        <v>1</v>
      </c>
      <c r="P345" s="35"/>
      <c r="Q345" s="32"/>
      <c r="S345" s="1">
        <f t="shared" si="145"/>
        <v>0</v>
      </c>
      <c r="T345" s="1">
        <f t="shared" si="146"/>
        <v>0</v>
      </c>
      <c r="U345" s="1">
        <f t="shared" si="147"/>
        <v>0</v>
      </c>
      <c r="V345" s="1">
        <f t="shared" si="148"/>
        <v>0</v>
      </c>
      <c r="W345" s="1">
        <f t="shared" si="149"/>
        <v>0</v>
      </c>
      <c r="X345" s="1">
        <f t="shared" si="150"/>
        <v>0</v>
      </c>
      <c r="Y345" s="1">
        <f t="shared" si="151"/>
        <v>0</v>
      </c>
      <c r="Z345" s="1">
        <f t="shared" si="152"/>
        <v>0</v>
      </c>
      <c r="AA345" s="1">
        <f t="shared" si="153"/>
        <v>0</v>
      </c>
      <c r="AB345" s="1">
        <f t="shared" si="154"/>
        <v>0</v>
      </c>
      <c r="AD345" s="1">
        <f t="shared" si="155"/>
        <v>0</v>
      </c>
      <c r="AE345" s="1">
        <f t="shared" si="156"/>
        <v>1</v>
      </c>
      <c r="AF345" s="1">
        <f t="shared" ref="AF345:AF408" si="157">+O345*P345*(1-A345)</f>
        <v>0</v>
      </c>
      <c r="AG345" s="1">
        <f t="shared" ref="AG345:AG408" si="158">O345*(1-P345)*(1-A345)</f>
        <v>1</v>
      </c>
      <c r="AH345" s="1">
        <f t="shared" ref="AH345:AH408" si="159">+P345*(1-A345)</f>
        <v>0</v>
      </c>
      <c r="AI345" s="1">
        <f t="shared" ref="AI345:AI408" si="160">+(1-A345)*(1-P345)</f>
        <v>1</v>
      </c>
    </row>
    <row r="346" spans="1:35" ht="14.25" customHeight="1" x14ac:dyDescent="0.25">
      <c r="A346" s="31">
        <v>0</v>
      </c>
      <c r="B346" s="31">
        <v>2</v>
      </c>
      <c r="C346" s="31">
        <v>2</v>
      </c>
      <c r="D346" s="32" t="s">
        <v>1670</v>
      </c>
      <c r="E346" s="32" t="s">
        <v>1672</v>
      </c>
      <c r="F346" s="32" t="s">
        <v>1671</v>
      </c>
      <c r="G346" s="32"/>
      <c r="H346" s="32" t="s">
        <v>352</v>
      </c>
      <c r="I346" s="31" t="s">
        <v>1673</v>
      </c>
      <c r="J346" s="31"/>
      <c r="K346" s="33" t="s">
        <v>694</v>
      </c>
      <c r="L346" s="33"/>
      <c r="M346" s="34"/>
      <c r="N346" s="34" t="s">
        <v>1681</v>
      </c>
      <c r="O346" s="35">
        <v>1</v>
      </c>
      <c r="P346" s="35">
        <v>1</v>
      </c>
      <c r="Q346" s="32"/>
      <c r="S346" s="1">
        <f t="shared" si="145"/>
        <v>0</v>
      </c>
      <c r="T346" s="1">
        <f t="shared" si="146"/>
        <v>0</v>
      </c>
      <c r="U346" s="1">
        <f t="shared" si="147"/>
        <v>0</v>
      </c>
      <c r="V346" s="1">
        <f t="shared" si="148"/>
        <v>0</v>
      </c>
      <c r="W346" s="1">
        <f t="shared" si="149"/>
        <v>0</v>
      </c>
      <c r="X346" s="1">
        <f t="shared" si="150"/>
        <v>0</v>
      </c>
      <c r="Y346" s="1">
        <f t="shared" si="151"/>
        <v>0</v>
      </c>
      <c r="Z346" s="1">
        <f t="shared" si="152"/>
        <v>0</v>
      </c>
      <c r="AA346" s="1">
        <f t="shared" si="153"/>
        <v>0</v>
      </c>
      <c r="AB346" s="1">
        <f t="shared" si="154"/>
        <v>0</v>
      </c>
      <c r="AD346" s="1">
        <f t="shared" si="155"/>
        <v>1</v>
      </c>
      <c r="AE346" s="1">
        <f t="shared" si="156"/>
        <v>0</v>
      </c>
      <c r="AF346" s="1">
        <f t="shared" si="157"/>
        <v>1</v>
      </c>
      <c r="AG346" s="1">
        <f t="shared" si="158"/>
        <v>0</v>
      </c>
      <c r="AH346" s="1">
        <f t="shared" si="159"/>
        <v>1</v>
      </c>
      <c r="AI346" s="1">
        <f t="shared" si="160"/>
        <v>0</v>
      </c>
    </row>
    <row r="347" spans="1:35" ht="14.25" customHeight="1" x14ac:dyDescent="0.25">
      <c r="A347" s="31">
        <v>0</v>
      </c>
      <c r="B347" s="31">
        <v>2</v>
      </c>
      <c r="C347" s="31">
        <v>2</v>
      </c>
      <c r="D347" s="32" t="s">
        <v>768</v>
      </c>
      <c r="E347" s="32" t="s">
        <v>887</v>
      </c>
      <c r="F347" s="32" t="s">
        <v>1527</v>
      </c>
      <c r="G347" s="32" t="s">
        <v>229</v>
      </c>
      <c r="H347" s="32" t="s">
        <v>352</v>
      </c>
      <c r="I347" s="31" t="s">
        <v>1648</v>
      </c>
      <c r="J347" s="31">
        <v>7</v>
      </c>
      <c r="K347" s="33" t="s">
        <v>704</v>
      </c>
      <c r="L347" s="33">
        <v>20</v>
      </c>
      <c r="M347" s="34" t="s">
        <v>39</v>
      </c>
      <c r="N347" s="34" t="s">
        <v>1694</v>
      </c>
      <c r="O347" s="35">
        <v>1</v>
      </c>
      <c r="P347" s="35"/>
      <c r="Q347" s="32"/>
      <c r="S347" s="1">
        <f t="shared" si="145"/>
        <v>0</v>
      </c>
      <c r="T347" s="1">
        <f t="shared" si="146"/>
        <v>0</v>
      </c>
      <c r="U347" s="1">
        <f t="shared" si="147"/>
        <v>0</v>
      </c>
      <c r="V347" s="1">
        <f t="shared" si="148"/>
        <v>0</v>
      </c>
      <c r="W347" s="1">
        <f t="shared" si="149"/>
        <v>0</v>
      </c>
      <c r="X347" s="1">
        <f t="shared" si="150"/>
        <v>0</v>
      </c>
      <c r="Y347" s="1">
        <f t="shared" si="151"/>
        <v>1</v>
      </c>
      <c r="Z347" s="1">
        <f t="shared" si="152"/>
        <v>0</v>
      </c>
      <c r="AA347" s="1">
        <f t="shared" si="153"/>
        <v>0</v>
      </c>
      <c r="AB347" s="1">
        <f t="shared" si="154"/>
        <v>0</v>
      </c>
      <c r="AD347" s="1">
        <f t="shared" si="155"/>
        <v>0</v>
      </c>
      <c r="AE347" s="1">
        <f t="shared" si="156"/>
        <v>1</v>
      </c>
      <c r="AF347" s="1">
        <f t="shared" si="157"/>
        <v>0</v>
      </c>
      <c r="AG347" s="1">
        <f t="shared" si="158"/>
        <v>1</v>
      </c>
      <c r="AH347" s="1">
        <f t="shared" si="159"/>
        <v>0</v>
      </c>
      <c r="AI347" s="1">
        <f t="shared" si="160"/>
        <v>1</v>
      </c>
    </row>
    <row r="348" spans="1:35" ht="14.25" customHeight="1" x14ac:dyDescent="0.25">
      <c r="A348" s="31">
        <v>0</v>
      </c>
      <c r="B348" s="31">
        <v>2</v>
      </c>
      <c r="C348" s="31">
        <v>2</v>
      </c>
      <c r="D348" s="32" t="s">
        <v>832</v>
      </c>
      <c r="E348" s="32" t="s">
        <v>537</v>
      </c>
      <c r="F348" s="32" t="s">
        <v>834</v>
      </c>
      <c r="G348" s="32" t="s">
        <v>219</v>
      </c>
      <c r="H348" s="32" t="s">
        <v>352</v>
      </c>
      <c r="I348" s="31" t="s">
        <v>835</v>
      </c>
      <c r="J348" s="31">
        <v>8</v>
      </c>
      <c r="K348" s="33" t="s">
        <v>704</v>
      </c>
      <c r="L348" s="33" t="s">
        <v>707</v>
      </c>
      <c r="M348" s="34" t="s">
        <v>1376</v>
      </c>
      <c r="N348" s="34" t="s">
        <v>1689</v>
      </c>
      <c r="O348" s="35">
        <v>1</v>
      </c>
      <c r="P348" s="35"/>
      <c r="Q348" s="32"/>
      <c r="S348" s="1">
        <f t="shared" si="145"/>
        <v>0</v>
      </c>
      <c r="T348" s="1">
        <f t="shared" si="146"/>
        <v>0</v>
      </c>
      <c r="U348" s="1">
        <f t="shared" si="147"/>
        <v>0</v>
      </c>
      <c r="V348" s="1">
        <f t="shared" si="148"/>
        <v>0</v>
      </c>
      <c r="W348" s="1">
        <f t="shared" si="149"/>
        <v>0</v>
      </c>
      <c r="X348" s="1">
        <f t="shared" si="150"/>
        <v>0</v>
      </c>
      <c r="Y348" s="1">
        <f t="shared" si="151"/>
        <v>0</v>
      </c>
      <c r="Z348" s="1">
        <f t="shared" si="152"/>
        <v>1</v>
      </c>
      <c r="AA348" s="1">
        <f t="shared" si="153"/>
        <v>0</v>
      </c>
      <c r="AB348" s="1">
        <f t="shared" si="154"/>
        <v>0</v>
      </c>
      <c r="AD348" s="1">
        <f t="shared" si="155"/>
        <v>0</v>
      </c>
      <c r="AE348" s="1">
        <f t="shared" si="156"/>
        <v>1</v>
      </c>
      <c r="AF348" s="1">
        <f t="shared" si="157"/>
        <v>0</v>
      </c>
      <c r="AG348" s="1">
        <f t="shared" si="158"/>
        <v>1</v>
      </c>
      <c r="AH348" s="1">
        <f t="shared" si="159"/>
        <v>0</v>
      </c>
      <c r="AI348" s="1">
        <f t="shared" si="160"/>
        <v>1</v>
      </c>
    </row>
    <row r="349" spans="1:35" ht="14.25" customHeight="1" x14ac:dyDescent="0.25">
      <c r="A349" s="31">
        <v>1</v>
      </c>
      <c r="B349" s="31">
        <v>2</v>
      </c>
      <c r="C349" s="31">
        <v>2</v>
      </c>
      <c r="D349" s="32" t="s">
        <v>832</v>
      </c>
      <c r="E349" s="32" t="s">
        <v>537</v>
      </c>
      <c r="F349" s="32" t="s">
        <v>1319</v>
      </c>
      <c r="G349" s="32" t="s">
        <v>193</v>
      </c>
      <c r="H349" s="32" t="s">
        <v>352</v>
      </c>
      <c r="I349" s="31" t="s">
        <v>833</v>
      </c>
      <c r="J349" s="31">
        <v>9</v>
      </c>
      <c r="K349" s="33" t="s">
        <v>704</v>
      </c>
      <c r="L349" s="33" t="s">
        <v>707</v>
      </c>
      <c r="M349" s="34" t="s">
        <v>1376</v>
      </c>
      <c r="N349" s="34" t="s">
        <v>1689</v>
      </c>
      <c r="O349" s="35">
        <v>1</v>
      </c>
      <c r="P349" s="35"/>
      <c r="Q349" s="32"/>
      <c r="S349" s="1">
        <f t="shared" si="145"/>
        <v>0</v>
      </c>
      <c r="T349" s="1">
        <f t="shared" si="146"/>
        <v>0</v>
      </c>
      <c r="U349" s="1">
        <f t="shared" si="147"/>
        <v>0</v>
      </c>
      <c r="V349" s="1">
        <f t="shared" si="148"/>
        <v>0</v>
      </c>
      <c r="W349" s="1">
        <f t="shared" si="149"/>
        <v>0</v>
      </c>
      <c r="X349" s="1">
        <f t="shared" si="150"/>
        <v>0</v>
      </c>
      <c r="Y349" s="1">
        <f t="shared" si="151"/>
        <v>0</v>
      </c>
      <c r="Z349" s="1">
        <f t="shared" si="152"/>
        <v>0</v>
      </c>
      <c r="AA349" s="1">
        <f t="shared" si="153"/>
        <v>1</v>
      </c>
      <c r="AB349" s="1">
        <f t="shared" si="154"/>
        <v>0</v>
      </c>
      <c r="AD349" s="1">
        <f t="shared" si="155"/>
        <v>0</v>
      </c>
      <c r="AE349" s="1">
        <f t="shared" si="156"/>
        <v>1</v>
      </c>
      <c r="AF349" s="1">
        <f t="shared" si="157"/>
        <v>0</v>
      </c>
      <c r="AG349" s="1">
        <f t="shared" si="158"/>
        <v>0</v>
      </c>
      <c r="AH349" s="1">
        <f t="shared" si="159"/>
        <v>0</v>
      </c>
      <c r="AI349" s="1">
        <f t="shared" si="160"/>
        <v>0</v>
      </c>
    </row>
    <row r="350" spans="1:35" ht="14.25" customHeight="1" x14ac:dyDescent="0.25">
      <c r="A350" s="31">
        <v>0</v>
      </c>
      <c r="B350" s="31">
        <v>2</v>
      </c>
      <c r="C350" s="31">
        <v>2</v>
      </c>
      <c r="D350" s="32" t="s">
        <v>896</v>
      </c>
      <c r="E350" s="32" t="s">
        <v>766</v>
      </c>
      <c r="F350" s="32" t="s">
        <v>767</v>
      </c>
      <c r="G350" s="32" t="s">
        <v>229</v>
      </c>
      <c r="H350" s="32" t="s">
        <v>352</v>
      </c>
      <c r="I350" s="31" t="s">
        <v>769</v>
      </c>
      <c r="J350" s="31">
        <v>7</v>
      </c>
      <c r="K350" s="33" t="s">
        <v>703</v>
      </c>
      <c r="L350" s="33">
        <v>15</v>
      </c>
      <c r="M350" s="34" t="s">
        <v>39</v>
      </c>
      <c r="N350" s="34" t="s">
        <v>1689</v>
      </c>
      <c r="O350" s="35">
        <v>1</v>
      </c>
      <c r="P350" s="35"/>
      <c r="Q350" s="32"/>
      <c r="S350" s="1">
        <f t="shared" si="145"/>
        <v>0</v>
      </c>
      <c r="T350" s="1">
        <f t="shared" si="146"/>
        <v>0</v>
      </c>
      <c r="U350" s="1">
        <f t="shared" si="147"/>
        <v>0</v>
      </c>
      <c r="V350" s="1">
        <f t="shared" si="148"/>
        <v>0</v>
      </c>
      <c r="W350" s="1">
        <f t="shared" si="149"/>
        <v>0</v>
      </c>
      <c r="X350" s="1">
        <f t="shared" si="150"/>
        <v>0</v>
      </c>
      <c r="Y350" s="1">
        <f t="shared" si="151"/>
        <v>1</v>
      </c>
      <c r="Z350" s="1">
        <f t="shared" si="152"/>
        <v>0</v>
      </c>
      <c r="AA350" s="1">
        <f t="shared" si="153"/>
        <v>0</v>
      </c>
      <c r="AB350" s="1">
        <f t="shared" si="154"/>
        <v>0</v>
      </c>
      <c r="AD350" s="1">
        <f t="shared" si="155"/>
        <v>0</v>
      </c>
      <c r="AE350" s="1">
        <f t="shared" si="156"/>
        <v>1</v>
      </c>
      <c r="AF350" s="1">
        <f t="shared" si="157"/>
        <v>0</v>
      </c>
      <c r="AG350" s="1">
        <f t="shared" si="158"/>
        <v>1</v>
      </c>
      <c r="AH350" s="1">
        <f t="shared" si="159"/>
        <v>0</v>
      </c>
      <c r="AI350" s="1">
        <f t="shared" si="160"/>
        <v>1</v>
      </c>
    </row>
    <row r="351" spans="1:35" ht="14.25" customHeight="1" x14ac:dyDescent="0.25">
      <c r="A351" s="31">
        <v>0</v>
      </c>
      <c r="B351" s="31">
        <v>2</v>
      </c>
      <c r="C351" s="31">
        <v>2</v>
      </c>
      <c r="D351" s="32" t="s">
        <v>83</v>
      </c>
      <c r="E351" s="32" t="s">
        <v>156</v>
      </c>
      <c r="F351" s="32" t="s">
        <v>1813</v>
      </c>
      <c r="G351" s="32" t="s">
        <v>208</v>
      </c>
      <c r="H351" s="32" t="s">
        <v>352</v>
      </c>
      <c r="I351" s="31" t="s">
        <v>430</v>
      </c>
      <c r="J351" s="31">
        <v>99</v>
      </c>
      <c r="K351" s="33" t="s">
        <v>930</v>
      </c>
      <c r="L351" s="33" t="s">
        <v>695</v>
      </c>
      <c r="M351" s="34" t="s">
        <v>710</v>
      </c>
      <c r="N351" s="34" t="s">
        <v>1689</v>
      </c>
      <c r="O351" s="35">
        <v>1</v>
      </c>
      <c r="P351" s="35"/>
      <c r="Q351" s="32"/>
      <c r="S351" s="1">
        <f t="shared" si="145"/>
        <v>0</v>
      </c>
      <c r="T351" s="1">
        <f t="shared" si="146"/>
        <v>0</v>
      </c>
      <c r="U351" s="1">
        <f t="shared" si="147"/>
        <v>0</v>
      </c>
      <c r="V351" s="1">
        <f t="shared" si="148"/>
        <v>0</v>
      </c>
      <c r="W351" s="1">
        <f t="shared" si="149"/>
        <v>0</v>
      </c>
      <c r="X351" s="1">
        <f t="shared" si="150"/>
        <v>0</v>
      </c>
      <c r="Y351" s="1">
        <f t="shared" si="151"/>
        <v>0</v>
      </c>
      <c r="Z351" s="1">
        <f t="shared" si="152"/>
        <v>0</v>
      </c>
      <c r="AA351" s="1">
        <f t="shared" si="153"/>
        <v>0</v>
      </c>
      <c r="AB351" s="1">
        <f t="shared" si="154"/>
        <v>0</v>
      </c>
      <c r="AD351" s="1">
        <f t="shared" si="155"/>
        <v>0</v>
      </c>
      <c r="AE351" s="1">
        <f t="shared" si="156"/>
        <v>1</v>
      </c>
      <c r="AF351" s="1">
        <f t="shared" si="157"/>
        <v>0</v>
      </c>
      <c r="AG351" s="1">
        <f t="shared" si="158"/>
        <v>1</v>
      </c>
      <c r="AH351" s="1">
        <f t="shared" si="159"/>
        <v>0</v>
      </c>
      <c r="AI351" s="1">
        <f t="shared" si="160"/>
        <v>1</v>
      </c>
    </row>
    <row r="352" spans="1:35" ht="14.25" customHeight="1" x14ac:dyDescent="0.25">
      <c r="A352" s="31">
        <v>0</v>
      </c>
      <c r="B352" s="31">
        <v>2</v>
      </c>
      <c r="C352" s="31">
        <v>2</v>
      </c>
      <c r="D352" s="32" t="s">
        <v>1520</v>
      </c>
      <c r="E352" s="32" t="s">
        <v>1301</v>
      </c>
      <c r="F352" s="32" t="s">
        <v>1521</v>
      </c>
      <c r="G352" s="32" t="s">
        <v>1137</v>
      </c>
      <c r="H352" s="32" t="s">
        <v>352</v>
      </c>
      <c r="I352" s="31" t="s">
        <v>1522</v>
      </c>
      <c r="J352" s="31">
        <v>1</v>
      </c>
      <c r="K352" s="33" t="s">
        <v>704</v>
      </c>
      <c r="L352" s="33" t="s">
        <v>39</v>
      </c>
      <c r="M352" s="34" t="s">
        <v>39</v>
      </c>
      <c r="N352" s="34" t="s">
        <v>1681</v>
      </c>
      <c r="O352" s="35">
        <v>1</v>
      </c>
      <c r="P352" s="35">
        <v>1</v>
      </c>
      <c r="Q352" s="32"/>
      <c r="S352" s="1">
        <f t="shared" si="145"/>
        <v>1</v>
      </c>
      <c r="T352" s="1">
        <f t="shared" si="146"/>
        <v>0</v>
      </c>
      <c r="U352" s="1">
        <f t="shared" si="147"/>
        <v>0</v>
      </c>
      <c r="V352" s="1">
        <f t="shared" si="148"/>
        <v>0</v>
      </c>
      <c r="W352" s="1">
        <f t="shared" si="149"/>
        <v>0</v>
      </c>
      <c r="X352" s="1">
        <f t="shared" si="150"/>
        <v>0</v>
      </c>
      <c r="Y352" s="1">
        <f t="shared" si="151"/>
        <v>0</v>
      </c>
      <c r="Z352" s="1">
        <f t="shared" si="152"/>
        <v>0</v>
      </c>
      <c r="AA352" s="1">
        <f t="shared" si="153"/>
        <v>0</v>
      </c>
      <c r="AB352" s="1">
        <f t="shared" si="154"/>
        <v>0</v>
      </c>
      <c r="AD352" s="1">
        <f t="shared" si="155"/>
        <v>1</v>
      </c>
      <c r="AE352" s="1">
        <f t="shared" si="156"/>
        <v>0</v>
      </c>
      <c r="AF352" s="1">
        <f t="shared" si="157"/>
        <v>1</v>
      </c>
      <c r="AG352" s="1">
        <f t="shared" si="158"/>
        <v>0</v>
      </c>
      <c r="AH352" s="1">
        <f t="shared" si="159"/>
        <v>1</v>
      </c>
      <c r="AI352" s="1">
        <f t="shared" si="160"/>
        <v>0</v>
      </c>
    </row>
    <row r="353" spans="1:35" ht="14.25" customHeight="1" x14ac:dyDescent="0.25">
      <c r="A353" s="31">
        <v>0</v>
      </c>
      <c r="B353" s="31">
        <v>2</v>
      </c>
      <c r="C353" s="31">
        <v>2</v>
      </c>
      <c r="D353" s="32" t="s">
        <v>1690</v>
      </c>
      <c r="E353" s="32" t="s">
        <v>27</v>
      </c>
      <c r="F353" s="32" t="s">
        <v>1020</v>
      </c>
      <c r="G353" s="32" t="s">
        <v>219</v>
      </c>
      <c r="H353" s="32" t="s">
        <v>352</v>
      </c>
      <c r="I353" s="31" t="s">
        <v>1021</v>
      </c>
      <c r="J353" s="31">
        <v>8</v>
      </c>
      <c r="K353" s="33" t="s">
        <v>704</v>
      </c>
      <c r="L353" s="33">
        <v>25</v>
      </c>
      <c r="M353" s="34" t="s">
        <v>1691</v>
      </c>
      <c r="N353" s="34" t="s">
        <v>1681</v>
      </c>
      <c r="O353" s="35">
        <v>1</v>
      </c>
      <c r="P353" s="35">
        <v>1</v>
      </c>
      <c r="Q353" s="32"/>
      <c r="S353" s="1">
        <f t="shared" si="145"/>
        <v>0</v>
      </c>
      <c r="T353" s="1">
        <f t="shared" si="146"/>
        <v>0</v>
      </c>
      <c r="U353" s="1">
        <f t="shared" si="147"/>
        <v>0</v>
      </c>
      <c r="V353" s="1">
        <f t="shared" si="148"/>
        <v>0</v>
      </c>
      <c r="W353" s="1">
        <f t="shared" si="149"/>
        <v>0</v>
      </c>
      <c r="X353" s="1">
        <f t="shared" si="150"/>
        <v>0</v>
      </c>
      <c r="Y353" s="1">
        <f t="shared" si="151"/>
        <v>0</v>
      </c>
      <c r="Z353" s="1">
        <f t="shared" si="152"/>
        <v>1</v>
      </c>
      <c r="AA353" s="1">
        <f t="shared" si="153"/>
        <v>0</v>
      </c>
      <c r="AB353" s="1">
        <f t="shared" si="154"/>
        <v>0</v>
      </c>
      <c r="AD353" s="1">
        <f t="shared" si="155"/>
        <v>1</v>
      </c>
      <c r="AE353" s="1">
        <f t="shared" si="156"/>
        <v>0</v>
      </c>
      <c r="AF353" s="1">
        <f t="shared" si="157"/>
        <v>1</v>
      </c>
      <c r="AG353" s="1">
        <f t="shared" si="158"/>
        <v>0</v>
      </c>
      <c r="AH353" s="1">
        <f t="shared" si="159"/>
        <v>1</v>
      </c>
      <c r="AI353" s="1">
        <f t="shared" si="160"/>
        <v>0</v>
      </c>
    </row>
    <row r="354" spans="1:35" ht="14.25" customHeight="1" x14ac:dyDescent="0.25">
      <c r="A354" s="31">
        <v>0</v>
      </c>
      <c r="B354" s="31">
        <v>2</v>
      </c>
      <c r="C354" s="31">
        <v>2</v>
      </c>
      <c r="D354" s="32" t="s">
        <v>45</v>
      </c>
      <c r="E354" s="32" t="s">
        <v>44</v>
      </c>
      <c r="F354" s="32" t="s">
        <v>661</v>
      </c>
      <c r="G354" s="32" t="s">
        <v>179</v>
      </c>
      <c r="H354" s="32" t="s">
        <v>352</v>
      </c>
      <c r="I354" s="31" t="s">
        <v>926</v>
      </c>
      <c r="J354" s="31">
        <v>10</v>
      </c>
      <c r="K354" s="33" t="s">
        <v>704</v>
      </c>
      <c r="L354" s="33" t="s">
        <v>711</v>
      </c>
      <c r="M354" s="34" t="s">
        <v>712</v>
      </c>
      <c r="N354" s="34" t="s">
        <v>1681</v>
      </c>
      <c r="O354" s="35">
        <v>1</v>
      </c>
      <c r="P354" s="35">
        <v>1</v>
      </c>
      <c r="Q354" s="32"/>
      <c r="S354" s="1">
        <f t="shared" si="145"/>
        <v>0</v>
      </c>
      <c r="T354" s="1">
        <f t="shared" si="146"/>
        <v>0</v>
      </c>
      <c r="U354" s="1">
        <f t="shared" si="147"/>
        <v>0</v>
      </c>
      <c r="V354" s="1">
        <f t="shared" si="148"/>
        <v>0</v>
      </c>
      <c r="W354" s="1">
        <f t="shared" si="149"/>
        <v>0</v>
      </c>
      <c r="X354" s="1">
        <f t="shared" si="150"/>
        <v>0</v>
      </c>
      <c r="Y354" s="1">
        <f t="shared" si="151"/>
        <v>0</v>
      </c>
      <c r="Z354" s="1">
        <f t="shared" si="152"/>
        <v>0</v>
      </c>
      <c r="AA354" s="1">
        <f t="shared" si="153"/>
        <v>0</v>
      </c>
      <c r="AB354" s="1">
        <f t="shared" si="154"/>
        <v>1</v>
      </c>
      <c r="AD354" s="1">
        <f t="shared" si="155"/>
        <v>1</v>
      </c>
      <c r="AE354" s="1">
        <f t="shared" si="156"/>
        <v>0</v>
      </c>
      <c r="AF354" s="1">
        <f t="shared" si="157"/>
        <v>1</v>
      </c>
      <c r="AG354" s="1">
        <f t="shared" si="158"/>
        <v>0</v>
      </c>
      <c r="AH354" s="1">
        <f t="shared" si="159"/>
        <v>1</v>
      </c>
      <c r="AI354" s="1">
        <f t="shared" si="160"/>
        <v>0</v>
      </c>
    </row>
    <row r="355" spans="1:35" ht="14.25" customHeight="1" x14ac:dyDescent="0.25">
      <c r="A355" s="31">
        <v>0</v>
      </c>
      <c r="B355" s="31">
        <v>2</v>
      </c>
      <c r="C355" s="31">
        <v>2</v>
      </c>
      <c r="D355" s="32" t="s">
        <v>1410</v>
      </c>
      <c r="E355" s="32" t="s">
        <v>1609</v>
      </c>
      <c r="F355" s="32" t="s">
        <v>1624</v>
      </c>
      <c r="G355" s="32" t="s">
        <v>229</v>
      </c>
      <c r="H355" s="32" t="s">
        <v>352</v>
      </c>
      <c r="I355" s="31" t="s">
        <v>1411</v>
      </c>
      <c r="J355" s="31">
        <v>99</v>
      </c>
      <c r="K355" s="33" t="s">
        <v>931</v>
      </c>
      <c r="L355" s="33">
        <v>20</v>
      </c>
      <c r="M355" s="34" t="s">
        <v>39</v>
      </c>
      <c r="N355" s="34" t="s">
        <v>1681</v>
      </c>
      <c r="O355" s="35">
        <v>1</v>
      </c>
      <c r="P355" s="35">
        <v>1</v>
      </c>
      <c r="Q355" s="32"/>
      <c r="S355" s="1">
        <f t="shared" si="145"/>
        <v>0</v>
      </c>
      <c r="T355" s="1">
        <f t="shared" si="146"/>
        <v>0</v>
      </c>
      <c r="U355" s="1">
        <f t="shared" si="147"/>
        <v>0</v>
      </c>
      <c r="V355" s="1">
        <f t="shared" si="148"/>
        <v>0</v>
      </c>
      <c r="W355" s="1">
        <f t="shared" si="149"/>
        <v>0</v>
      </c>
      <c r="X355" s="1">
        <f t="shared" si="150"/>
        <v>0</v>
      </c>
      <c r="Y355" s="1">
        <f t="shared" si="151"/>
        <v>0</v>
      </c>
      <c r="Z355" s="1">
        <f t="shared" si="152"/>
        <v>0</v>
      </c>
      <c r="AA355" s="1">
        <f t="shared" si="153"/>
        <v>0</v>
      </c>
      <c r="AB355" s="1">
        <f t="shared" si="154"/>
        <v>0</v>
      </c>
      <c r="AD355" s="1">
        <f t="shared" si="155"/>
        <v>1</v>
      </c>
      <c r="AE355" s="1">
        <f t="shared" si="156"/>
        <v>0</v>
      </c>
      <c r="AF355" s="1">
        <f t="shared" si="157"/>
        <v>1</v>
      </c>
      <c r="AG355" s="1">
        <f t="shared" si="158"/>
        <v>0</v>
      </c>
      <c r="AH355" s="1">
        <f t="shared" si="159"/>
        <v>1</v>
      </c>
      <c r="AI355" s="1">
        <f t="shared" si="160"/>
        <v>0</v>
      </c>
    </row>
    <row r="356" spans="1:35" ht="14.25" customHeight="1" x14ac:dyDescent="0.25">
      <c r="A356" s="53">
        <v>0</v>
      </c>
      <c r="B356" s="53">
        <v>2</v>
      </c>
      <c r="C356" s="53">
        <v>2</v>
      </c>
      <c r="D356" s="44" t="s">
        <v>1928</v>
      </c>
      <c r="E356" s="44" t="s">
        <v>2139</v>
      </c>
      <c r="F356" s="44" t="s">
        <v>1929</v>
      </c>
      <c r="G356" s="44" t="s">
        <v>178</v>
      </c>
      <c r="H356" s="44" t="s">
        <v>352</v>
      </c>
      <c r="I356" s="53" t="s">
        <v>1930</v>
      </c>
      <c r="J356" s="53"/>
      <c r="K356" s="53" t="s">
        <v>694</v>
      </c>
      <c r="L356" s="53"/>
      <c r="M356" s="44"/>
      <c r="N356" s="44"/>
      <c r="O356" s="54"/>
      <c r="P356" s="54">
        <v>1</v>
      </c>
      <c r="Q356" s="44"/>
      <c r="S356" s="1">
        <f t="shared" si="145"/>
        <v>0</v>
      </c>
      <c r="T356" s="1">
        <f t="shared" si="146"/>
        <v>0</v>
      </c>
      <c r="U356" s="1">
        <f t="shared" si="147"/>
        <v>0</v>
      </c>
      <c r="V356" s="1">
        <f t="shared" si="148"/>
        <v>0</v>
      </c>
      <c r="W356" s="1">
        <f t="shared" si="149"/>
        <v>0</v>
      </c>
      <c r="X356" s="1">
        <f t="shared" si="150"/>
        <v>0</v>
      </c>
      <c r="Y356" s="1">
        <f t="shared" si="151"/>
        <v>0</v>
      </c>
      <c r="Z356" s="1">
        <f t="shared" si="152"/>
        <v>0</v>
      </c>
      <c r="AA356" s="1">
        <f t="shared" si="153"/>
        <v>0</v>
      </c>
      <c r="AB356" s="1">
        <f t="shared" si="154"/>
        <v>0</v>
      </c>
      <c r="AD356" s="1">
        <f t="shared" si="155"/>
        <v>0</v>
      </c>
      <c r="AE356" s="1">
        <f t="shared" si="156"/>
        <v>0</v>
      </c>
      <c r="AF356" s="1">
        <f t="shared" si="157"/>
        <v>0</v>
      </c>
      <c r="AG356" s="1">
        <f t="shared" si="158"/>
        <v>0</v>
      </c>
      <c r="AH356" s="1">
        <f t="shared" si="159"/>
        <v>1</v>
      </c>
      <c r="AI356" s="1">
        <f t="shared" si="160"/>
        <v>0</v>
      </c>
    </row>
    <row r="357" spans="1:35" ht="14.25" customHeight="1" x14ac:dyDescent="0.25">
      <c r="A357" s="31">
        <v>0</v>
      </c>
      <c r="B357" s="31">
        <v>2</v>
      </c>
      <c r="C357" s="31">
        <v>2</v>
      </c>
      <c r="D357" s="32" t="s">
        <v>598</v>
      </c>
      <c r="E357" s="32" t="s">
        <v>599</v>
      </c>
      <c r="F357" s="32" t="s">
        <v>600</v>
      </c>
      <c r="G357" s="32" t="s">
        <v>256</v>
      </c>
      <c r="H357" s="32" t="s">
        <v>352</v>
      </c>
      <c r="I357" s="31" t="s">
        <v>601</v>
      </c>
      <c r="J357" s="31">
        <v>99</v>
      </c>
      <c r="K357" s="33" t="s">
        <v>931</v>
      </c>
      <c r="L357" s="33" t="s">
        <v>695</v>
      </c>
      <c r="M357" s="34" t="s">
        <v>1377</v>
      </c>
      <c r="N357" s="34" t="s">
        <v>1689</v>
      </c>
      <c r="O357" s="35">
        <v>1</v>
      </c>
      <c r="P357" s="35"/>
      <c r="Q357" s="32"/>
      <c r="S357" s="1">
        <f t="shared" si="145"/>
        <v>0</v>
      </c>
      <c r="T357" s="1">
        <f t="shared" si="146"/>
        <v>0</v>
      </c>
      <c r="U357" s="1">
        <f t="shared" si="147"/>
        <v>0</v>
      </c>
      <c r="V357" s="1">
        <f t="shared" si="148"/>
        <v>0</v>
      </c>
      <c r="W357" s="1">
        <f t="shared" si="149"/>
        <v>0</v>
      </c>
      <c r="X357" s="1">
        <f t="shared" si="150"/>
        <v>0</v>
      </c>
      <c r="Y357" s="1">
        <f t="shared" si="151"/>
        <v>0</v>
      </c>
      <c r="Z357" s="1">
        <f t="shared" si="152"/>
        <v>0</v>
      </c>
      <c r="AA357" s="1">
        <f t="shared" si="153"/>
        <v>0</v>
      </c>
      <c r="AB357" s="1">
        <f t="shared" si="154"/>
        <v>0</v>
      </c>
      <c r="AD357" s="1">
        <f t="shared" si="155"/>
        <v>0</v>
      </c>
      <c r="AE357" s="1">
        <f t="shared" si="156"/>
        <v>1</v>
      </c>
      <c r="AF357" s="1">
        <f t="shared" si="157"/>
        <v>0</v>
      </c>
      <c r="AG357" s="1">
        <f t="shared" si="158"/>
        <v>1</v>
      </c>
      <c r="AH357" s="1">
        <f t="shared" si="159"/>
        <v>0</v>
      </c>
      <c r="AI357" s="1">
        <f t="shared" si="160"/>
        <v>1</v>
      </c>
    </row>
    <row r="358" spans="1:35" ht="14.25" customHeight="1" x14ac:dyDescent="0.25">
      <c r="A358" s="31">
        <v>0</v>
      </c>
      <c r="B358" s="31">
        <v>2</v>
      </c>
      <c r="C358" s="31">
        <v>2</v>
      </c>
      <c r="D358" s="32" t="s">
        <v>1865</v>
      </c>
      <c r="E358" s="32" t="s">
        <v>1866</v>
      </c>
      <c r="F358" s="32" t="s">
        <v>1867</v>
      </c>
      <c r="G358" s="32" t="s">
        <v>183</v>
      </c>
      <c r="H358" s="32" t="s">
        <v>352</v>
      </c>
      <c r="I358" s="31" t="s">
        <v>1869</v>
      </c>
      <c r="J358" s="31">
        <v>99</v>
      </c>
      <c r="K358" s="33" t="s">
        <v>694</v>
      </c>
      <c r="L358" s="33"/>
      <c r="M358" s="34"/>
      <c r="N358" s="34" t="s">
        <v>1681</v>
      </c>
      <c r="O358" s="35">
        <v>1</v>
      </c>
      <c r="P358" s="35">
        <v>1</v>
      </c>
      <c r="Q358" s="32" t="s">
        <v>1868</v>
      </c>
      <c r="S358" s="1">
        <f t="shared" si="145"/>
        <v>0</v>
      </c>
      <c r="T358" s="1">
        <f t="shared" si="146"/>
        <v>0</v>
      </c>
      <c r="U358" s="1">
        <f t="shared" si="147"/>
        <v>0</v>
      </c>
      <c r="V358" s="1">
        <f t="shared" si="148"/>
        <v>0</v>
      </c>
      <c r="W358" s="1">
        <f t="shared" si="149"/>
        <v>0</v>
      </c>
      <c r="X358" s="1">
        <f t="shared" si="150"/>
        <v>0</v>
      </c>
      <c r="Y358" s="1">
        <f t="shared" si="151"/>
        <v>0</v>
      </c>
      <c r="Z358" s="1">
        <f t="shared" si="152"/>
        <v>0</v>
      </c>
      <c r="AA358" s="1">
        <f t="shared" si="153"/>
        <v>0</v>
      </c>
      <c r="AB358" s="1">
        <f t="shared" si="154"/>
        <v>0</v>
      </c>
      <c r="AD358" s="1">
        <f t="shared" si="155"/>
        <v>1</v>
      </c>
      <c r="AE358" s="1">
        <f t="shared" si="156"/>
        <v>0</v>
      </c>
      <c r="AF358" s="1">
        <f t="shared" si="157"/>
        <v>1</v>
      </c>
      <c r="AG358" s="1">
        <f t="shared" si="158"/>
        <v>0</v>
      </c>
      <c r="AH358" s="1">
        <f t="shared" si="159"/>
        <v>1</v>
      </c>
      <c r="AI358" s="1">
        <f t="shared" si="160"/>
        <v>0</v>
      </c>
    </row>
    <row r="359" spans="1:35" ht="14.25" customHeight="1" x14ac:dyDescent="0.25">
      <c r="A359" s="31">
        <v>0</v>
      </c>
      <c r="B359" s="31">
        <v>2</v>
      </c>
      <c r="C359" s="31">
        <v>2</v>
      </c>
      <c r="D359" s="32" t="s">
        <v>1599</v>
      </c>
      <c r="E359" s="32" t="s">
        <v>1139</v>
      </c>
      <c r="F359" s="32" t="s">
        <v>1630</v>
      </c>
      <c r="G359" s="32" t="s">
        <v>179</v>
      </c>
      <c r="H359" s="32" t="s">
        <v>352</v>
      </c>
      <c r="I359" s="31" t="s">
        <v>1456</v>
      </c>
      <c r="J359" s="31">
        <v>10</v>
      </c>
      <c r="K359" s="33" t="s">
        <v>703</v>
      </c>
      <c r="L359" s="33">
        <v>15</v>
      </c>
      <c r="M359" s="34" t="s">
        <v>39</v>
      </c>
      <c r="N359" s="34" t="s">
        <v>1733</v>
      </c>
      <c r="O359" s="35">
        <v>1</v>
      </c>
      <c r="P359" s="35"/>
      <c r="Q359" s="32"/>
      <c r="S359" s="1">
        <f t="shared" si="145"/>
        <v>0</v>
      </c>
      <c r="T359" s="1">
        <f t="shared" si="146"/>
        <v>0</v>
      </c>
      <c r="U359" s="1">
        <f t="shared" si="147"/>
        <v>0</v>
      </c>
      <c r="V359" s="1">
        <f t="shared" si="148"/>
        <v>0</v>
      </c>
      <c r="W359" s="1">
        <f t="shared" si="149"/>
        <v>0</v>
      </c>
      <c r="X359" s="1">
        <f t="shared" si="150"/>
        <v>0</v>
      </c>
      <c r="Y359" s="1">
        <f t="shared" si="151"/>
        <v>0</v>
      </c>
      <c r="Z359" s="1">
        <f t="shared" si="152"/>
        <v>0</v>
      </c>
      <c r="AA359" s="1">
        <f t="shared" si="153"/>
        <v>0</v>
      </c>
      <c r="AB359" s="1">
        <f t="shared" si="154"/>
        <v>1</v>
      </c>
      <c r="AD359" s="1">
        <f t="shared" si="155"/>
        <v>0</v>
      </c>
      <c r="AE359" s="1">
        <f t="shared" si="156"/>
        <v>1</v>
      </c>
      <c r="AF359" s="1">
        <f t="shared" si="157"/>
        <v>0</v>
      </c>
      <c r="AG359" s="1">
        <f t="shared" si="158"/>
        <v>1</v>
      </c>
      <c r="AH359" s="1">
        <f t="shared" si="159"/>
        <v>0</v>
      </c>
      <c r="AI359" s="1">
        <f t="shared" si="160"/>
        <v>1</v>
      </c>
    </row>
    <row r="360" spans="1:35" ht="14.25" customHeight="1" x14ac:dyDescent="0.25">
      <c r="A360" s="31">
        <v>0</v>
      </c>
      <c r="B360" s="31">
        <v>2</v>
      </c>
      <c r="C360" s="31">
        <v>2</v>
      </c>
      <c r="D360" s="32" t="s">
        <v>1727</v>
      </c>
      <c r="E360" s="36" t="s">
        <v>1301</v>
      </c>
      <c r="F360" s="32" t="s">
        <v>1728</v>
      </c>
      <c r="G360" s="32" t="s">
        <v>1729</v>
      </c>
      <c r="H360" s="32" t="s">
        <v>352</v>
      </c>
      <c r="I360" s="31"/>
      <c r="J360" s="31">
        <v>1</v>
      </c>
      <c r="K360" s="33" t="s">
        <v>694</v>
      </c>
      <c r="L360" s="33"/>
      <c r="M360" s="34"/>
      <c r="N360" s="34" t="s">
        <v>1689</v>
      </c>
      <c r="O360" s="35">
        <v>1</v>
      </c>
      <c r="P360" s="35"/>
      <c r="Q360" s="32" t="s">
        <v>1849</v>
      </c>
      <c r="S360" s="1">
        <f t="shared" si="145"/>
        <v>1</v>
      </c>
      <c r="T360" s="1">
        <f t="shared" si="146"/>
        <v>0</v>
      </c>
      <c r="U360" s="1">
        <f t="shared" si="147"/>
        <v>0</v>
      </c>
      <c r="V360" s="1">
        <f t="shared" si="148"/>
        <v>0</v>
      </c>
      <c r="W360" s="1">
        <f t="shared" si="149"/>
        <v>0</v>
      </c>
      <c r="X360" s="1">
        <f t="shared" si="150"/>
        <v>0</v>
      </c>
      <c r="Y360" s="1">
        <f t="shared" si="151"/>
        <v>0</v>
      </c>
      <c r="Z360" s="1">
        <f t="shared" si="152"/>
        <v>0</v>
      </c>
      <c r="AA360" s="1">
        <f t="shared" si="153"/>
        <v>0</v>
      </c>
      <c r="AB360" s="1">
        <f t="shared" si="154"/>
        <v>0</v>
      </c>
      <c r="AD360" s="1">
        <f t="shared" si="155"/>
        <v>0</v>
      </c>
      <c r="AE360" s="1">
        <f t="shared" si="156"/>
        <v>1</v>
      </c>
      <c r="AF360" s="1">
        <f t="shared" si="157"/>
        <v>0</v>
      </c>
      <c r="AG360" s="1">
        <f t="shared" si="158"/>
        <v>1</v>
      </c>
      <c r="AH360" s="1">
        <f t="shared" si="159"/>
        <v>0</v>
      </c>
      <c r="AI360" s="1">
        <f t="shared" si="160"/>
        <v>1</v>
      </c>
    </row>
    <row r="361" spans="1:35" ht="14.25" customHeight="1" x14ac:dyDescent="0.25">
      <c r="A361" s="31">
        <v>0</v>
      </c>
      <c r="B361" s="31">
        <v>2</v>
      </c>
      <c r="C361" s="31">
        <v>2</v>
      </c>
      <c r="D361" s="32" t="s">
        <v>842</v>
      </c>
      <c r="E361" s="32" t="s">
        <v>540</v>
      </c>
      <c r="F361" s="32" t="s">
        <v>843</v>
      </c>
      <c r="G361" s="32" t="s">
        <v>312</v>
      </c>
      <c r="H361" s="32" t="s">
        <v>352</v>
      </c>
      <c r="I361" s="31" t="s">
        <v>844</v>
      </c>
      <c r="J361" s="31">
        <v>1</v>
      </c>
      <c r="K361" s="33" t="s">
        <v>703</v>
      </c>
      <c r="L361" s="33">
        <v>25</v>
      </c>
      <c r="M361" s="34" t="s">
        <v>39</v>
      </c>
      <c r="N361" s="34" t="s">
        <v>1689</v>
      </c>
      <c r="O361" s="35">
        <v>1</v>
      </c>
      <c r="P361" s="35"/>
      <c r="Q361" s="32"/>
      <c r="S361" s="1">
        <f t="shared" si="145"/>
        <v>1</v>
      </c>
      <c r="T361" s="1">
        <f t="shared" si="146"/>
        <v>0</v>
      </c>
      <c r="U361" s="1">
        <f t="shared" si="147"/>
        <v>0</v>
      </c>
      <c r="V361" s="1">
        <f t="shared" si="148"/>
        <v>0</v>
      </c>
      <c r="W361" s="1">
        <f t="shared" si="149"/>
        <v>0</v>
      </c>
      <c r="X361" s="1">
        <f t="shared" si="150"/>
        <v>0</v>
      </c>
      <c r="Y361" s="1">
        <f t="shared" si="151"/>
        <v>0</v>
      </c>
      <c r="Z361" s="1">
        <f t="shared" si="152"/>
        <v>0</v>
      </c>
      <c r="AA361" s="1">
        <f t="shared" si="153"/>
        <v>0</v>
      </c>
      <c r="AB361" s="1">
        <f t="shared" si="154"/>
        <v>0</v>
      </c>
      <c r="AD361" s="1">
        <f t="shared" si="155"/>
        <v>0</v>
      </c>
      <c r="AE361" s="1">
        <f t="shared" si="156"/>
        <v>1</v>
      </c>
      <c r="AF361" s="1">
        <f t="shared" si="157"/>
        <v>0</v>
      </c>
      <c r="AG361" s="1">
        <f t="shared" si="158"/>
        <v>1</v>
      </c>
      <c r="AH361" s="1">
        <f t="shared" si="159"/>
        <v>0</v>
      </c>
      <c r="AI361" s="1">
        <f t="shared" si="160"/>
        <v>1</v>
      </c>
    </row>
    <row r="362" spans="1:35" ht="14.25" customHeight="1" x14ac:dyDescent="0.25">
      <c r="A362" s="31">
        <v>0</v>
      </c>
      <c r="B362" s="31">
        <v>2</v>
      </c>
      <c r="C362" s="31">
        <v>3</v>
      </c>
      <c r="D362" s="32" t="s">
        <v>562</v>
      </c>
      <c r="E362" s="32" t="s">
        <v>38</v>
      </c>
      <c r="F362" s="32" t="s">
        <v>236</v>
      </c>
      <c r="G362" s="32" t="s">
        <v>535</v>
      </c>
      <c r="H362" s="32" t="s">
        <v>352</v>
      </c>
      <c r="I362" s="31" t="s">
        <v>401</v>
      </c>
      <c r="J362" s="31">
        <v>1</v>
      </c>
      <c r="K362" s="33" t="s">
        <v>703</v>
      </c>
      <c r="L362" s="33" t="s">
        <v>715</v>
      </c>
      <c r="M362" s="34" t="s">
        <v>716</v>
      </c>
      <c r="N362" s="34" t="s">
        <v>1681</v>
      </c>
      <c r="O362" s="35">
        <v>1</v>
      </c>
      <c r="P362" s="35">
        <v>1</v>
      </c>
      <c r="Q362" s="32"/>
      <c r="S362" s="1">
        <f t="shared" si="145"/>
        <v>1</v>
      </c>
      <c r="T362" s="1">
        <f t="shared" si="146"/>
        <v>0</v>
      </c>
      <c r="U362" s="1">
        <f t="shared" si="147"/>
        <v>0</v>
      </c>
      <c r="V362" s="1">
        <f t="shared" si="148"/>
        <v>0</v>
      </c>
      <c r="W362" s="1">
        <f t="shared" si="149"/>
        <v>0</v>
      </c>
      <c r="X362" s="1">
        <f t="shared" si="150"/>
        <v>0</v>
      </c>
      <c r="Y362" s="1">
        <f t="shared" si="151"/>
        <v>0</v>
      </c>
      <c r="Z362" s="1">
        <f t="shared" si="152"/>
        <v>0</v>
      </c>
      <c r="AA362" s="1">
        <f t="shared" si="153"/>
        <v>0</v>
      </c>
      <c r="AB362" s="1">
        <f t="shared" si="154"/>
        <v>0</v>
      </c>
      <c r="AD362" s="1">
        <f t="shared" si="155"/>
        <v>1</v>
      </c>
      <c r="AE362" s="1">
        <f t="shared" si="156"/>
        <v>0</v>
      </c>
      <c r="AF362" s="1">
        <f t="shared" si="157"/>
        <v>1</v>
      </c>
      <c r="AG362" s="1">
        <f t="shared" si="158"/>
        <v>0</v>
      </c>
      <c r="AH362" s="1">
        <f t="shared" si="159"/>
        <v>1</v>
      </c>
      <c r="AI362" s="1">
        <f t="shared" si="160"/>
        <v>0</v>
      </c>
    </row>
    <row r="363" spans="1:35" ht="14.25" customHeight="1" x14ac:dyDescent="0.25">
      <c r="A363" s="31">
        <v>0</v>
      </c>
      <c r="B363" s="31">
        <v>2</v>
      </c>
      <c r="C363" s="31">
        <v>3</v>
      </c>
      <c r="D363" s="32" t="s">
        <v>830</v>
      </c>
      <c r="E363" s="32" t="s">
        <v>34</v>
      </c>
      <c r="F363" s="32" t="s">
        <v>904</v>
      </c>
      <c r="G363" s="32" t="s">
        <v>630</v>
      </c>
      <c r="H363" s="32" t="s">
        <v>352</v>
      </c>
      <c r="I363" s="31" t="s">
        <v>831</v>
      </c>
      <c r="J363" s="31">
        <v>1</v>
      </c>
      <c r="K363" s="33" t="s">
        <v>930</v>
      </c>
      <c r="L363" s="33" t="s">
        <v>720</v>
      </c>
      <c r="M363" s="34" t="s">
        <v>714</v>
      </c>
      <c r="N363" s="34" t="s">
        <v>1689</v>
      </c>
      <c r="O363" s="35">
        <v>1</v>
      </c>
      <c r="P363" s="35"/>
      <c r="Q363" s="32"/>
      <c r="S363" s="1">
        <f t="shared" si="145"/>
        <v>1</v>
      </c>
      <c r="T363" s="1">
        <f t="shared" si="146"/>
        <v>0</v>
      </c>
      <c r="U363" s="1">
        <f t="shared" si="147"/>
        <v>0</v>
      </c>
      <c r="V363" s="1">
        <f t="shared" si="148"/>
        <v>0</v>
      </c>
      <c r="W363" s="1">
        <f t="shared" si="149"/>
        <v>0</v>
      </c>
      <c r="X363" s="1">
        <f t="shared" si="150"/>
        <v>0</v>
      </c>
      <c r="Y363" s="1">
        <f t="shared" si="151"/>
        <v>0</v>
      </c>
      <c r="Z363" s="1">
        <f t="shared" si="152"/>
        <v>0</v>
      </c>
      <c r="AA363" s="1">
        <f t="shared" si="153"/>
        <v>0</v>
      </c>
      <c r="AB363" s="1">
        <f t="shared" si="154"/>
        <v>0</v>
      </c>
      <c r="AD363" s="1">
        <f t="shared" si="155"/>
        <v>0</v>
      </c>
      <c r="AE363" s="1">
        <f t="shared" si="156"/>
        <v>1</v>
      </c>
      <c r="AF363" s="1">
        <f t="shared" si="157"/>
        <v>0</v>
      </c>
      <c r="AG363" s="1">
        <f t="shared" si="158"/>
        <v>1</v>
      </c>
      <c r="AH363" s="1">
        <f t="shared" si="159"/>
        <v>0</v>
      </c>
      <c r="AI363" s="1">
        <f t="shared" si="160"/>
        <v>1</v>
      </c>
    </row>
    <row r="364" spans="1:35" ht="14.25" customHeight="1" x14ac:dyDescent="0.25">
      <c r="A364" s="31">
        <v>0</v>
      </c>
      <c r="B364" s="31">
        <v>2</v>
      </c>
      <c r="C364" s="31">
        <v>3</v>
      </c>
      <c r="D364" s="32" t="s">
        <v>56</v>
      </c>
      <c r="E364" s="32" t="s">
        <v>160</v>
      </c>
      <c r="F364" s="32" t="s">
        <v>218</v>
      </c>
      <c r="G364" s="32" t="s">
        <v>195</v>
      </c>
      <c r="H364" s="32" t="s">
        <v>352</v>
      </c>
      <c r="I364" s="31" t="s">
        <v>547</v>
      </c>
      <c r="J364" s="31">
        <v>99</v>
      </c>
      <c r="K364" s="33" t="s">
        <v>704</v>
      </c>
      <c r="L364" s="33" t="s">
        <v>713</v>
      </c>
      <c r="M364" s="34" t="s">
        <v>714</v>
      </c>
      <c r="N364" s="34" t="s">
        <v>1766</v>
      </c>
      <c r="O364" s="35">
        <v>1</v>
      </c>
      <c r="P364" s="35"/>
      <c r="Q364" s="32"/>
      <c r="S364" s="1">
        <f t="shared" si="145"/>
        <v>0</v>
      </c>
      <c r="T364" s="1">
        <f t="shared" si="146"/>
        <v>0</v>
      </c>
      <c r="U364" s="1">
        <f t="shared" si="147"/>
        <v>0</v>
      </c>
      <c r="V364" s="1">
        <f t="shared" si="148"/>
        <v>0</v>
      </c>
      <c r="W364" s="1">
        <f t="shared" si="149"/>
        <v>0</v>
      </c>
      <c r="X364" s="1">
        <f t="shared" si="150"/>
        <v>0</v>
      </c>
      <c r="Y364" s="1">
        <f t="shared" si="151"/>
        <v>0</v>
      </c>
      <c r="Z364" s="1">
        <f t="shared" si="152"/>
        <v>0</v>
      </c>
      <c r="AA364" s="1">
        <f t="shared" si="153"/>
        <v>0</v>
      </c>
      <c r="AB364" s="1">
        <f t="shared" si="154"/>
        <v>0</v>
      </c>
      <c r="AD364" s="1">
        <f t="shared" si="155"/>
        <v>0</v>
      </c>
      <c r="AE364" s="1">
        <f t="shared" si="156"/>
        <v>1</v>
      </c>
      <c r="AF364" s="1">
        <f t="shared" si="157"/>
        <v>0</v>
      </c>
      <c r="AG364" s="1">
        <f t="shared" si="158"/>
        <v>1</v>
      </c>
      <c r="AH364" s="1">
        <f t="shared" si="159"/>
        <v>0</v>
      </c>
      <c r="AI364" s="1">
        <f t="shared" si="160"/>
        <v>1</v>
      </c>
    </row>
    <row r="365" spans="1:35" ht="14.25" customHeight="1" x14ac:dyDescent="0.25">
      <c r="A365" s="31">
        <v>0</v>
      </c>
      <c r="B365" s="31">
        <v>2</v>
      </c>
      <c r="C365" s="31">
        <v>3</v>
      </c>
      <c r="D365" s="32" t="s">
        <v>1146</v>
      </c>
      <c r="E365" s="32" t="s">
        <v>1302</v>
      </c>
      <c r="F365" s="32" t="s">
        <v>1147</v>
      </c>
      <c r="G365" s="32" t="s">
        <v>300</v>
      </c>
      <c r="H365" s="32" t="s">
        <v>352</v>
      </c>
      <c r="I365" s="31" t="s">
        <v>1148</v>
      </c>
      <c r="J365" s="31">
        <v>1</v>
      </c>
      <c r="K365" s="33" t="s">
        <v>931</v>
      </c>
      <c r="L365" s="33" t="s">
        <v>684</v>
      </c>
      <c r="M365" s="34" t="s">
        <v>1378</v>
      </c>
      <c r="N365" s="34" t="s">
        <v>1689</v>
      </c>
      <c r="O365" s="35">
        <v>1</v>
      </c>
      <c r="P365" s="35"/>
      <c r="Q365" s="32"/>
      <c r="S365" s="1">
        <f t="shared" si="145"/>
        <v>1</v>
      </c>
      <c r="T365" s="1">
        <f t="shared" si="146"/>
        <v>0</v>
      </c>
      <c r="U365" s="1">
        <f t="shared" si="147"/>
        <v>0</v>
      </c>
      <c r="V365" s="1">
        <f t="shared" si="148"/>
        <v>0</v>
      </c>
      <c r="W365" s="1">
        <f t="shared" si="149"/>
        <v>0</v>
      </c>
      <c r="X365" s="1">
        <f t="shared" si="150"/>
        <v>0</v>
      </c>
      <c r="Y365" s="1">
        <f t="shared" si="151"/>
        <v>0</v>
      </c>
      <c r="Z365" s="1">
        <f t="shared" si="152"/>
        <v>0</v>
      </c>
      <c r="AA365" s="1">
        <f t="shared" si="153"/>
        <v>0</v>
      </c>
      <c r="AB365" s="1">
        <f t="shared" si="154"/>
        <v>0</v>
      </c>
      <c r="AD365" s="1">
        <f t="shared" si="155"/>
        <v>0</v>
      </c>
      <c r="AE365" s="1">
        <f t="shared" si="156"/>
        <v>1</v>
      </c>
      <c r="AF365" s="1">
        <f t="shared" si="157"/>
        <v>0</v>
      </c>
      <c r="AG365" s="1">
        <f t="shared" si="158"/>
        <v>1</v>
      </c>
      <c r="AH365" s="1">
        <f t="shared" si="159"/>
        <v>0</v>
      </c>
      <c r="AI365" s="1">
        <f t="shared" si="160"/>
        <v>1</v>
      </c>
    </row>
    <row r="366" spans="1:35" ht="14.25" customHeight="1" x14ac:dyDescent="0.25">
      <c r="A366" s="31">
        <v>0</v>
      </c>
      <c r="B366" s="31">
        <v>2</v>
      </c>
      <c r="C366" s="31">
        <v>3</v>
      </c>
      <c r="D366" s="32" t="s">
        <v>1143</v>
      </c>
      <c r="E366" s="32" t="s">
        <v>1302</v>
      </c>
      <c r="F366" s="32" t="s">
        <v>1144</v>
      </c>
      <c r="G366" s="32" t="s">
        <v>1032</v>
      </c>
      <c r="H366" s="32" t="s">
        <v>352</v>
      </c>
      <c r="I366" s="31" t="s">
        <v>1145</v>
      </c>
      <c r="J366" s="31">
        <v>1</v>
      </c>
      <c r="K366" s="33" t="s">
        <v>704</v>
      </c>
      <c r="L366" s="33" t="s">
        <v>684</v>
      </c>
      <c r="M366" s="34" t="s">
        <v>1378</v>
      </c>
      <c r="N366" s="34" t="s">
        <v>1689</v>
      </c>
      <c r="O366" s="35">
        <v>1</v>
      </c>
      <c r="P366" s="35"/>
      <c r="Q366" s="32"/>
      <c r="S366" s="1">
        <f t="shared" si="145"/>
        <v>1</v>
      </c>
      <c r="T366" s="1">
        <f t="shared" si="146"/>
        <v>0</v>
      </c>
      <c r="U366" s="1">
        <f t="shared" si="147"/>
        <v>0</v>
      </c>
      <c r="V366" s="1">
        <f t="shared" si="148"/>
        <v>0</v>
      </c>
      <c r="W366" s="1">
        <f t="shared" si="149"/>
        <v>0</v>
      </c>
      <c r="X366" s="1">
        <f t="shared" si="150"/>
        <v>0</v>
      </c>
      <c r="Y366" s="1">
        <f t="shared" si="151"/>
        <v>0</v>
      </c>
      <c r="Z366" s="1">
        <f t="shared" si="152"/>
        <v>0</v>
      </c>
      <c r="AA366" s="1">
        <f t="shared" si="153"/>
        <v>0</v>
      </c>
      <c r="AB366" s="1">
        <f t="shared" si="154"/>
        <v>0</v>
      </c>
      <c r="AD366" s="1">
        <f t="shared" si="155"/>
        <v>0</v>
      </c>
      <c r="AE366" s="1">
        <f t="shared" si="156"/>
        <v>1</v>
      </c>
      <c r="AF366" s="1">
        <f t="shared" si="157"/>
        <v>0</v>
      </c>
      <c r="AG366" s="1">
        <f t="shared" si="158"/>
        <v>1</v>
      </c>
      <c r="AH366" s="1">
        <f t="shared" si="159"/>
        <v>0</v>
      </c>
      <c r="AI366" s="1">
        <f t="shared" si="160"/>
        <v>1</v>
      </c>
    </row>
    <row r="367" spans="1:35" ht="14.25" customHeight="1" x14ac:dyDescent="0.25">
      <c r="A367" s="31">
        <v>0</v>
      </c>
      <c r="B367" s="31">
        <v>2</v>
      </c>
      <c r="C367" s="31">
        <v>3</v>
      </c>
      <c r="D367" s="32" t="s">
        <v>1261</v>
      </c>
      <c r="E367" s="32" t="s">
        <v>32</v>
      </c>
      <c r="F367" s="32" t="s">
        <v>1262</v>
      </c>
      <c r="G367" s="32" t="s">
        <v>221</v>
      </c>
      <c r="H367" s="32" t="s">
        <v>352</v>
      </c>
      <c r="I367" s="31" t="s">
        <v>1644</v>
      </c>
      <c r="J367" s="31">
        <v>99</v>
      </c>
      <c r="K367" s="33" t="s">
        <v>704</v>
      </c>
      <c r="L367" s="33" t="s">
        <v>707</v>
      </c>
      <c r="M367" s="34" t="s">
        <v>1263</v>
      </c>
      <c r="N367" s="34" t="s">
        <v>1681</v>
      </c>
      <c r="O367" s="35">
        <v>1</v>
      </c>
      <c r="P367" s="35">
        <v>1</v>
      </c>
      <c r="Q367" s="32"/>
      <c r="S367" s="1">
        <f t="shared" si="145"/>
        <v>0</v>
      </c>
      <c r="T367" s="1">
        <f t="shared" si="146"/>
        <v>0</v>
      </c>
      <c r="U367" s="1">
        <f t="shared" si="147"/>
        <v>0</v>
      </c>
      <c r="V367" s="1">
        <f t="shared" si="148"/>
        <v>0</v>
      </c>
      <c r="W367" s="1">
        <f t="shared" si="149"/>
        <v>0</v>
      </c>
      <c r="X367" s="1">
        <f t="shared" si="150"/>
        <v>0</v>
      </c>
      <c r="Y367" s="1">
        <f t="shared" si="151"/>
        <v>0</v>
      </c>
      <c r="Z367" s="1">
        <f t="shared" si="152"/>
        <v>0</v>
      </c>
      <c r="AA367" s="1">
        <f t="shared" si="153"/>
        <v>0</v>
      </c>
      <c r="AB367" s="1">
        <f t="shared" si="154"/>
        <v>0</v>
      </c>
      <c r="AD367" s="1">
        <f t="shared" si="155"/>
        <v>1</v>
      </c>
      <c r="AE367" s="1">
        <f t="shared" si="156"/>
        <v>0</v>
      </c>
      <c r="AF367" s="1">
        <f t="shared" si="157"/>
        <v>1</v>
      </c>
      <c r="AG367" s="1">
        <f t="shared" si="158"/>
        <v>0</v>
      </c>
      <c r="AH367" s="1">
        <f t="shared" si="159"/>
        <v>1</v>
      </c>
      <c r="AI367" s="1">
        <f t="shared" si="160"/>
        <v>0</v>
      </c>
    </row>
    <row r="368" spans="1:35" ht="14.25" customHeight="1" x14ac:dyDescent="0.25">
      <c r="A368" s="31">
        <v>0</v>
      </c>
      <c r="B368" s="31">
        <v>2</v>
      </c>
      <c r="C368" s="31">
        <v>3</v>
      </c>
      <c r="D368" s="32" t="s">
        <v>742</v>
      </c>
      <c r="E368" s="32" t="s">
        <v>891</v>
      </c>
      <c r="F368" s="32" t="s">
        <v>743</v>
      </c>
      <c r="G368" s="32" t="s">
        <v>219</v>
      </c>
      <c r="H368" s="32" t="s">
        <v>352</v>
      </c>
      <c r="I368" s="31" t="s">
        <v>744</v>
      </c>
      <c r="J368" s="31">
        <v>8</v>
      </c>
      <c r="K368" s="33" t="s">
        <v>931</v>
      </c>
      <c r="L368" s="33" t="s">
        <v>720</v>
      </c>
      <c r="M368" s="34" t="s">
        <v>714</v>
      </c>
      <c r="N368" s="34" t="s">
        <v>1693</v>
      </c>
      <c r="O368" s="35">
        <v>1</v>
      </c>
      <c r="P368" s="35"/>
      <c r="Q368" s="32"/>
      <c r="S368" s="1">
        <f t="shared" si="145"/>
        <v>0</v>
      </c>
      <c r="T368" s="1">
        <f t="shared" si="146"/>
        <v>0</v>
      </c>
      <c r="U368" s="1">
        <f t="shared" si="147"/>
        <v>0</v>
      </c>
      <c r="V368" s="1">
        <f t="shared" si="148"/>
        <v>0</v>
      </c>
      <c r="W368" s="1">
        <f t="shared" si="149"/>
        <v>0</v>
      </c>
      <c r="X368" s="1">
        <f t="shared" si="150"/>
        <v>0</v>
      </c>
      <c r="Y368" s="1">
        <f t="shared" si="151"/>
        <v>0</v>
      </c>
      <c r="Z368" s="1">
        <f t="shared" si="152"/>
        <v>1</v>
      </c>
      <c r="AA368" s="1">
        <f t="shared" si="153"/>
        <v>0</v>
      </c>
      <c r="AB368" s="1">
        <f t="shared" si="154"/>
        <v>0</v>
      </c>
      <c r="AD368" s="1">
        <f t="shared" si="155"/>
        <v>0</v>
      </c>
      <c r="AE368" s="1">
        <f t="shared" si="156"/>
        <v>1</v>
      </c>
      <c r="AF368" s="1">
        <f t="shared" si="157"/>
        <v>0</v>
      </c>
      <c r="AG368" s="1">
        <f t="shared" si="158"/>
        <v>1</v>
      </c>
      <c r="AH368" s="1">
        <f t="shared" si="159"/>
        <v>0</v>
      </c>
      <c r="AI368" s="1">
        <f t="shared" si="160"/>
        <v>1</v>
      </c>
    </row>
    <row r="369" spans="1:35" ht="14.25" customHeight="1" x14ac:dyDescent="0.25">
      <c r="A369" s="31">
        <v>0</v>
      </c>
      <c r="B369" s="31">
        <v>2</v>
      </c>
      <c r="C369" s="31">
        <v>3</v>
      </c>
      <c r="D369" s="36" t="s">
        <v>2157</v>
      </c>
      <c r="E369" s="32" t="s">
        <v>32</v>
      </c>
      <c r="F369" s="32" t="s">
        <v>774</v>
      </c>
      <c r="G369" s="32" t="s">
        <v>250</v>
      </c>
      <c r="H369" s="32" t="s">
        <v>352</v>
      </c>
      <c r="I369" s="31" t="s">
        <v>775</v>
      </c>
      <c r="J369" s="31">
        <v>99</v>
      </c>
      <c r="K369" s="33" t="s">
        <v>704</v>
      </c>
      <c r="L369" s="33" t="s">
        <v>713</v>
      </c>
      <c r="M369" s="34" t="s">
        <v>714</v>
      </c>
      <c r="N369" s="34" t="s">
        <v>1790</v>
      </c>
      <c r="O369" s="35">
        <v>1</v>
      </c>
      <c r="P369" s="35"/>
      <c r="Q369" s="32"/>
      <c r="S369" s="1">
        <f t="shared" si="145"/>
        <v>0</v>
      </c>
      <c r="T369" s="1">
        <f t="shared" si="146"/>
        <v>0</v>
      </c>
      <c r="U369" s="1">
        <f t="shared" si="147"/>
        <v>0</v>
      </c>
      <c r="V369" s="1">
        <f t="shared" si="148"/>
        <v>0</v>
      </c>
      <c r="W369" s="1">
        <f t="shared" si="149"/>
        <v>0</v>
      </c>
      <c r="X369" s="1">
        <f t="shared" si="150"/>
        <v>0</v>
      </c>
      <c r="Y369" s="1">
        <f t="shared" si="151"/>
        <v>0</v>
      </c>
      <c r="Z369" s="1">
        <f t="shared" si="152"/>
        <v>0</v>
      </c>
      <c r="AA369" s="1">
        <f t="shared" si="153"/>
        <v>0</v>
      </c>
      <c r="AB369" s="1">
        <f t="shared" si="154"/>
        <v>0</v>
      </c>
      <c r="AD369" s="1">
        <f t="shared" si="155"/>
        <v>0</v>
      </c>
      <c r="AE369" s="1">
        <f t="shared" si="156"/>
        <v>1</v>
      </c>
      <c r="AF369" s="1">
        <f t="shared" si="157"/>
        <v>0</v>
      </c>
      <c r="AG369" s="1">
        <f t="shared" si="158"/>
        <v>1</v>
      </c>
      <c r="AH369" s="1">
        <f t="shared" si="159"/>
        <v>0</v>
      </c>
      <c r="AI369" s="1">
        <f t="shared" si="160"/>
        <v>1</v>
      </c>
    </row>
    <row r="370" spans="1:35" ht="14.25" customHeight="1" x14ac:dyDescent="0.25">
      <c r="A370" s="31">
        <v>0</v>
      </c>
      <c r="B370" s="31">
        <v>2</v>
      </c>
      <c r="C370" s="31">
        <v>3</v>
      </c>
      <c r="D370" s="32" t="s">
        <v>1509</v>
      </c>
      <c r="E370" s="32" t="s">
        <v>1510</v>
      </c>
      <c r="F370" s="32" t="s">
        <v>1511</v>
      </c>
      <c r="G370" s="32" t="s">
        <v>1512</v>
      </c>
      <c r="H370" s="32" t="s">
        <v>352</v>
      </c>
      <c r="I370" s="31" t="s">
        <v>1513</v>
      </c>
      <c r="J370" s="31">
        <v>7</v>
      </c>
      <c r="K370" s="33" t="s">
        <v>931</v>
      </c>
      <c r="L370" s="33">
        <v>10</v>
      </c>
      <c r="M370" s="34" t="s">
        <v>39</v>
      </c>
      <c r="N370" s="34" t="s">
        <v>1689</v>
      </c>
      <c r="O370" s="35">
        <v>1</v>
      </c>
      <c r="P370" s="35"/>
      <c r="Q370" s="32"/>
      <c r="S370" s="1">
        <f t="shared" si="145"/>
        <v>0</v>
      </c>
      <c r="T370" s="1">
        <f t="shared" si="146"/>
        <v>0</v>
      </c>
      <c r="U370" s="1">
        <f t="shared" si="147"/>
        <v>0</v>
      </c>
      <c r="V370" s="1">
        <f t="shared" si="148"/>
        <v>0</v>
      </c>
      <c r="W370" s="1">
        <f t="shared" si="149"/>
        <v>0</v>
      </c>
      <c r="X370" s="1">
        <f t="shared" si="150"/>
        <v>0</v>
      </c>
      <c r="Y370" s="1">
        <f t="shared" si="151"/>
        <v>1</v>
      </c>
      <c r="Z370" s="1">
        <f t="shared" si="152"/>
        <v>0</v>
      </c>
      <c r="AA370" s="1">
        <f t="shared" si="153"/>
        <v>0</v>
      </c>
      <c r="AB370" s="1">
        <f t="shared" si="154"/>
        <v>0</v>
      </c>
      <c r="AD370" s="1">
        <f t="shared" si="155"/>
        <v>0</v>
      </c>
      <c r="AE370" s="1">
        <f t="shared" si="156"/>
        <v>1</v>
      </c>
      <c r="AF370" s="1">
        <f t="shared" si="157"/>
        <v>0</v>
      </c>
      <c r="AG370" s="1">
        <f t="shared" si="158"/>
        <v>1</v>
      </c>
      <c r="AH370" s="1">
        <f t="shared" si="159"/>
        <v>0</v>
      </c>
      <c r="AI370" s="1">
        <f t="shared" si="160"/>
        <v>1</v>
      </c>
    </row>
    <row r="371" spans="1:35" ht="14.25" customHeight="1" x14ac:dyDescent="0.25">
      <c r="A371" s="31">
        <v>0</v>
      </c>
      <c r="B371" s="31">
        <v>2</v>
      </c>
      <c r="C371" s="31">
        <v>3</v>
      </c>
      <c r="D371" s="32" t="s">
        <v>821</v>
      </c>
      <c r="E371" s="32" t="s">
        <v>32</v>
      </c>
      <c r="F371" s="32" t="s">
        <v>823</v>
      </c>
      <c r="G371" s="32" t="s">
        <v>39</v>
      </c>
      <c r="H371" s="32" t="s">
        <v>352</v>
      </c>
      <c r="I371" s="31" t="s">
        <v>822</v>
      </c>
      <c r="J371" s="31">
        <v>1</v>
      </c>
      <c r="K371" s="33" t="s">
        <v>704</v>
      </c>
      <c r="L371" s="33" t="s">
        <v>685</v>
      </c>
      <c r="M371" s="34" t="s">
        <v>1378</v>
      </c>
      <c r="N371" s="34" t="s">
        <v>1689</v>
      </c>
      <c r="O371" s="35">
        <v>1</v>
      </c>
      <c r="P371" s="35"/>
      <c r="Q371" s="32"/>
      <c r="S371" s="1">
        <f t="shared" si="145"/>
        <v>1</v>
      </c>
      <c r="T371" s="1">
        <f t="shared" si="146"/>
        <v>0</v>
      </c>
      <c r="U371" s="1">
        <f t="shared" si="147"/>
        <v>0</v>
      </c>
      <c r="V371" s="1">
        <f t="shared" si="148"/>
        <v>0</v>
      </c>
      <c r="W371" s="1">
        <f t="shared" si="149"/>
        <v>0</v>
      </c>
      <c r="X371" s="1">
        <f t="shared" si="150"/>
        <v>0</v>
      </c>
      <c r="Y371" s="1">
        <f t="shared" si="151"/>
        <v>0</v>
      </c>
      <c r="Z371" s="1">
        <f t="shared" si="152"/>
        <v>0</v>
      </c>
      <c r="AA371" s="1">
        <f t="shared" si="153"/>
        <v>0</v>
      </c>
      <c r="AB371" s="1">
        <f t="shared" si="154"/>
        <v>0</v>
      </c>
      <c r="AD371" s="1">
        <f t="shared" si="155"/>
        <v>0</v>
      </c>
      <c r="AE371" s="1">
        <f t="shared" si="156"/>
        <v>1</v>
      </c>
      <c r="AF371" s="1">
        <f t="shared" si="157"/>
        <v>0</v>
      </c>
      <c r="AG371" s="1">
        <f t="shared" si="158"/>
        <v>1</v>
      </c>
      <c r="AH371" s="1">
        <f t="shared" si="159"/>
        <v>0</v>
      </c>
      <c r="AI371" s="1">
        <f t="shared" si="160"/>
        <v>1</v>
      </c>
    </row>
    <row r="372" spans="1:35" ht="14.25" customHeight="1" x14ac:dyDescent="0.25">
      <c r="A372" s="15">
        <v>0</v>
      </c>
      <c r="B372" s="15">
        <v>2</v>
      </c>
      <c r="C372" s="15">
        <v>4</v>
      </c>
      <c r="D372" s="16" t="s">
        <v>745</v>
      </c>
      <c r="E372" s="16" t="s">
        <v>746</v>
      </c>
      <c r="F372" s="16" t="s">
        <v>747</v>
      </c>
      <c r="G372" s="16" t="s">
        <v>748</v>
      </c>
      <c r="H372" s="16" t="s">
        <v>352</v>
      </c>
      <c r="I372" s="15" t="s">
        <v>749</v>
      </c>
      <c r="J372" s="15">
        <v>99</v>
      </c>
      <c r="K372" s="10" t="s">
        <v>694</v>
      </c>
      <c r="L372" s="10">
        <v>15</v>
      </c>
      <c r="M372" s="19" t="s">
        <v>750</v>
      </c>
      <c r="N372" s="19"/>
      <c r="Q372" s="16"/>
      <c r="S372" s="1">
        <f t="shared" si="145"/>
        <v>0</v>
      </c>
      <c r="T372" s="1">
        <f t="shared" si="146"/>
        <v>0</v>
      </c>
      <c r="U372" s="1">
        <f t="shared" si="147"/>
        <v>0</v>
      </c>
      <c r="V372" s="1">
        <f t="shared" si="148"/>
        <v>0</v>
      </c>
      <c r="W372" s="1">
        <f t="shared" si="149"/>
        <v>0</v>
      </c>
      <c r="X372" s="1">
        <f t="shared" si="150"/>
        <v>0</v>
      </c>
      <c r="Y372" s="1">
        <f t="shared" si="151"/>
        <v>0</v>
      </c>
      <c r="Z372" s="1">
        <f t="shared" si="152"/>
        <v>0</v>
      </c>
      <c r="AA372" s="1">
        <f t="shared" si="153"/>
        <v>0</v>
      </c>
      <c r="AB372" s="1">
        <f t="shared" si="154"/>
        <v>0</v>
      </c>
      <c r="AD372" s="1">
        <f t="shared" si="155"/>
        <v>0</v>
      </c>
      <c r="AE372" s="1">
        <f t="shared" si="156"/>
        <v>0</v>
      </c>
      <c r="AF372" s="1">
        <f t="shared" si="157"/>
        <v>0</v>
      </c>
      <c r="AG372" s="1">
        <f t="shared" si="158"/>
        <v>0</v>
      </c>
      <c r="AH372" s="1">
        <f t="shared" si="159"/>
        <v>0</v>
      </c>
      <c r="AI372" s="1">
        <f t="shared" si="160"/>
        <v>1</v>
      </c>
    </row>
    <row r="373" spans="1:35" ht="14.25" customHeight="1" x14ac:dyDescent="0.25">
      <c r="A373" s="31">
        <v>0</v>
      </c>
      <c r="B373" s="31">
        <v>2</v>
      </c>
      <c r="C373" s="31">
        <v>4</v>
      </c>
      <c r="D373" s="32" t="s">
        <v>778</v>
      </c>
      <c r="E373" s="32" t="s">
        <v>886</v>
      </c>
      <c r="F373" s="32" t="s">
        <v>903</v>
      </c>
      <c r="G373" s="32" t="s">
        <v>207</v>
      </c>
      <c r="H373" s="32" t="s">
        <v>352</v>
      </c>
      <c r="I373" s="31" t="s">
        <v>1328</v>
      </c>
      <c r="J373" s="31">
        <v>3</v>
      </c>
      <c r="K373" s="33" t="s">
        <v>694</v>
      </c>
      <c r="L373" s="33">
        <v>20</v>
      </c>
      <c r="M373" s="34" t="s">
        <v>1380</v>
      </c>
      <c r="N373" s="34" t="s">
        <v>1766</v>
      </c>
      <c r="O373" s="35">
        <v>1</v>
      </c>
      <c r="P373" s="35"/>
      <c r="Q373" s="32"/>
      <c r="S373" s="1">
        <f t="shared" si="145"/>
        <v>0</v>
      </c>
      <c r="T373" s="1">
        <f t="shared" si="146"/>
        <v>0</v>
      </c>
      <c r="U373" s="1">
        <f t="shared" si="147"/>
        <v>1</v>
      </c>
      <c r="V373" s="1">
        <f t="shared" si="148"/>
        <v>0</v>
      </c>
      <c r="W373" s="1">
        <f t="shared" si="149"/>
        <v>0</v>
      </c>
      <c r="X373" s="1">
        <f t="shared" si="150"/>
        <v>0</v>
      </c>
      <c r="Y373" s="1">
        <f t="shared" si="151"/>
        <v>0</v>
      </c>
      <c r="Z373" s="1">
        <f t="shared" si="152"/>
        <v>0</v>
      </c>
      <c r="AA373" s="1">
        <f t="shared" si="153"/>
        <v>0</v>
      </c>
      <c r="AB373" s="1">
        <f t="shared" si="154"/>
        <v>0</v>
      </c>
      <c r="AD373" s="1">
        <f t="shared" si="155"/>
        <v>0</v>
      </c>
      <c r="AE373" s="1">
        <f t="shared" si="156"/>
        <v>1</v>
      </c>
      <c r="AF373" s="1">
        <f t="shared" si="157"/>
        <v>0</v>
      </c>
      <c r="AG373" s="1">
        <f t="shared" si="158"/>
        <v>1</v>
      </c>
      <c r="AH373" s="1">
        <f t="shared" si="159"/>
        <v>0</v>
      </c>
      <c r="AI373" s="1">
        <f t="shared" si="160"/>
        <v>1</v>
      </c>
    </row>
    <row r="374" spans="1:35" ht="14.25" customHeight="1" x14ac:dyDescent="0.25">
      <c r="A374" s="46">
        <v>0</v>
      </c>
      <c r="B374" s="46">
        <v>2</v>
      </c>
      <c r="C374" s="46">
        <v>4</v>
      </c>
      <c r="D374" s="47" t="s">
        <v>561</v>
      </c>
      <c r="E374" s="47" t="s">
        <v>37</v>
      </c>
      <c r="F374" s="47" t="s">
        <v>204</v>
      </c>
      <c r="G374" s="47" t="s">
        <v>39</v>
      </c>
      <c r="H374" s="47" t="s">
        <v>352</v>
      </c>
      <c r="I374" s="46" t="s">
        <v>387</v>
      </c>
      <c r="J374" s="46">
        <v>6</v>
      </c>
      <c r="K374" s="48" t="s">
        <v>694</v>
      </c>
      <c r="L374" s="48" t="s">
        <v>39</v>
      </c>
      <c r="M374" s="49" t="s">
        <v>39</v>
      </c>
      <c r="N374" s="50"/>
      <c r="O374" s="51"/>
      <c r="P374" s="51"/>
      <c r="Q374" s="47"/>
      <c r="S374" s="1">
        <f t="shared" si="145"/>
        <v>0</v>
      </c>
      <c r="T374" s="1">
        <f t="shared" si="146"/>
        <v>0</v>
      </c>
      <c r="U374" s="1">
        <f t="shared" si="147"/>
        <v>0</v>
      </c>
      <c r="V374" s="1">
        <f t="shared" si="148"/>
        <v>0</v>
      </c>
      <c r="W374" s="1">
        <f t="shared" si="149"/>
        <v>0</v>
      </c>
      <c r="X374" s="1">
        <f t="shared" si="150"/>
        <v>1</v>
      </c>
      <c r="Y374" s="1">
        <f t="shared" si="151"/>
        <v>0</v>
      </c>
      <c r="Z374" s="1">
        <f t="shared" si="152"/>
        <v>0</v>
      </c>
      <c r="AA374" s="1">
        <f t="shared" si="153"/>
        <v>0</v>
      </c>
      <c r="AB374" s="1">
        <f t="shared" si="154"/>
        <v>0</v>
      </c>
      <c r="AD374" s="1">
        <f t="shared" si="155"/>
        <v>0</v>
      </c>
      <c r="AE374" s="1">
        <f t="shared" si="156"/>
        <v>0</v>
      </c>
      <c r="AF374" s="1">
        <f t="shared" si="157"/>
        <v>0</v>
      </c>
      <c r="AG374" s="1">
        <f t="shared" si="158"/>
        <v>0</v>
      </c>
      <c r="AH374" s="1">
        <f t="shared" si="159"/>
        <v>0</v>
      </c>
      <c r="AI374" s="1">
        <f t="shared" si="160"/>
        <v>1</v>
      </c>
    </row>
    <row r="375" spans="1:35" ht="14.25" customHeight="1" x14ac:dyDescent="0.25">
      <c r="A375" s="31">
        <v>0</v>
      </c>
      <c r="B375" s="31">
        <v>2</v>
      </c>
      <c r="C375" s="31">
        <v>4</v>
      </c>
      <c r="D375" s="32" t="s">
        <v>645</v>
      </c>
      <c r="E375" s="32" t="s">
        <v>888</v>
      </c>
      <c r="F375" s="32" t="s">
        <v>616</v>
      </c>
      <c r="G375" s="32" t="s">
        <v>339</v>
      </c>
      <c r="H375" s="32" t="s">
        <v>352</v>
      </c>
      <c r="I375" s="31" t="s">
        <v>617</v>
      </c>
      <c r="J375" s="31">
        <v>10</v>
      </c>
      <c r="K375" s="33" t="s">
        <v>930</v>
      </c>
      <c r="L375" s="33" t="s">
        <v>695</v>
      </c>
      <c r="M375" s="34" t="s">
        <v>1381</v>
      </c>
      <c r="N375" s="34" t="s">
        <v>1694</v>
      </c>
      <c r="O375" s="35">
        <v>1</v>
      </c>
      <c r="P375" s="35"/>
      <c r="Q375" s="32"/>
      <c r="S375" s="1">
        <f t="shared" si="145"/>
        <v>0</v>
      </c>
      <c r="T375" s="1">
        <f t="shared" si="146"/>
        <v>0</v>
      </c>
      <c r="U375" s="1">
        <f t="shared" si="147"/>
        <v>0</v>
      </c>
      <c r="V375" s="1">
        <f t="shared" si="148"/>
        <v>0</v>
      </c>
      <c r="W375" s="1">
        <f t="shared" si="149"/>
        <v>0</v>
      </c>
      <c r="X375" s="1">
        <f t="shared" si="150"/>
        <v>0</v>
      </c>
      <c r="Y375" s="1">
        <f t="shared" si="151"/>
        <v>0</v>
      </c>
      <c r="Z375" s="1">
        <f t="shared" si="152"/>
        <v>0</v>
      </c>
      <c r="AA375" s="1">
        <f t="shared" si="153"/>
        <v>0</v>
      </c>
      <c r="AB375" s="1">
        <f t="shared" si="154"/>
        <v>1</v>
      </c>
      <c r="AD375" s="1">
        <f t="shared" si="155"/>
        <v>0</v>
      </c>
      <c r="AE375" s="1">
        <f t="shared" si="156"/>
        <v>1</v>
      </c>
      <c r="AF375" s="1">
        <f t="shared" si="157"/>
        <v>0</v>
      </c>
      <c r="AG375" s="1">
        <f t="shared" si="158"/>
        <v>1</v>
      </c>
      <c r="AH375" s="1">
        <f t="shared" si="159"/>
        <v>0</v>
      </c>
      <c r="AI375" s="1">
        <f t="shared" si="160"/>
        <v>1</v>
      </c>
    </row>
    <row r="376" spans="1:35" ht="14.25" customHeight="1" x14ac:dyDescent="0.25">
      <c r="A376" s="31">
        <v>0</v>
      </c>
      <c r="B376" s="31">
        <v>2</v>
      </c>
      <c r="C376" s="31">
        <v>4</v>
      </c>
      <c r="D376" s="32" t="s">
        <v>75</v>
      </c>
      <c r="E376" s="32" t="s">
        <v>35</v>
      </c>
      <c r="F376" s="32" t="s">
        <v>265</v>
      </c>
      <c r="G376" s="32" t="s">
        <v>212</v>
      </c>
      <c r="H376" s="32" t="s">
        <v>352</v>
      </c>
      <c r="I376" s="31" t="s">
        <v>922</v>
      </c>
      <c r="J376" s="31">
        <v>1</v>
      </c>
      <c r="K376" s="33" t="s">
        <v>704</v>
      </c>
      <c r="L376" s="33" t="s">
        <v>695</v>
      </c>
      <c r="M376" s="34" t="s">
        <v>1382</v>
      </c>
      <c r="N376" s="34" t="s">
        <v>1689</v>
      </c>
      <c r="O376" s="35">
        <v>1</v>
      </c>
      <c r="P376" s="35"/>
      <c r="Q376" s="32"/>
      <c r="S376" s="1">
        <f t="shared" si="145"/>
        <v>1</v>
      </c>
      <c r="T376" s="1">
        <f t="shared" si="146"/>
        <v>0</v>
      </c>
      <c r="U376" s="1">
        <f t="shared" si="147"/>
        <v>0</v>
      </c>
      <c r="V376" s="1">
        <f t="shared" si="148"/>
        <v>0</v>
      </c>
      <c r="W376" s="1">
        <f t="shared" si="149"/>
        <v>0</v>
      </c>
      <c r="X376" s="1">
        <f t="shared" si="150"/>
        <v>0</v>
      </c>
      <c r="Y376" s="1">
        <f t="shared" si="151"/>
        <v>0</v>
      </c>
      <c r="Z376" s="1">
        <f t="shared" si="152"/>
        <v>0</v>
      </c>
      <c r="AA376" s="1">
        <f t="shared" si="153"/>
        <v>0</v>
      </c>
      <c r="AB376" s="1">
        <f t="shared" si="154"/>
        <v>0</v>
      </c>
      <c r="AD376" s="1">
        <f t="shared" si="155"/>
        <v>0</v>
      </c>
      <c r="AE376" s="1">
        <f t="shared" si="156"/>
        <v>1</v>
      </c>
      <c r="AF376" s="1">
        <f t="shared" si="157"/>
        <v>0</v>
      </c>
      <c r="AG376" s="1">
        <f t="shared" si="158"/>
        <v>1</v>
      </c>
      <c r="AH376" s="1">
        <f t="shared" si="159"/>
        <v>0</v>
      </c>
      <c r="AI376" s="1">
        <f t="shared" si="160"/>
        <v>1</v>
      </c>
    </row>
    <row r="377" spans="1:35" ht="14.25" customHeight="1" x14ac:dyDescent="0.25">
      <c r="A377" s="31">
        <v>0</v>
      </c>
      <c r="B377" s="31">
        <v>2</v>
      </c>
      <c r="C377" s="31">
        <v>4</v>
      </c>
      <c r="D377" s="32" t="s">
        <v>897</v>
      </c>
      <c r="E377" s="32" t="s">
        <v>890</v>
      </c>
      <c r="F377" s="32" t="s">
        <v>763</v>
      </c>
      <c r="G377" s="32" t="s">
        <v>283</v>
      </c>
      <c r="H377" s="32" t="s">
        <v>352</v>
      </c>
      <c r="I377" s="31" t="s">
        <v>923</v>
      </c>
      <c r="J377" s="31">
        <v>4</v>
      </c>
      <c r="K377" s="33" t="s">
        <v>704</v>
      </c>
      <c r="L377" s="33" t="s">
        <v>687</v>
      </c>
      <c r="M377" s="34" t="s">
        <v>1383</v>
      </c>
      <c r="N377" s="34" t="s">
        <v>1694</v>
      </c>
      <c r="O377" s="35">
        <v>1</v>
      </c>
      <c r="P377" s="35"/>
      <c r="Q377" s="32"/>
      <c r="S377" s="1">
        <f t="shared" si="145"/>
        <v>0</v>
      </c>
      <c r="T377" s="1">
        <f t="shared" si="146"/>
        <v>0</v>
      </c>
      <c r="U377" s="1">
        <f t="shared" si="147"/>
        <v>0</v>
      </c>
      <c r="V377" s="1">
        <f t="shared" si="148"/>
        <v>1</v>
      </c>
      <c r="W377" s="1">
        <f t="shared" si="149"/>
        <v>0</v>
      </c>
      <c r="X377" s="1">
        <f t="shared" si="150"/>
        <v>0</v>
      </c>
      <c r="Y377" s="1">
        <f t="shared" si="151"/>
        <v>0</v>
      </c>
      <c r="Z377" s="1">
        <f t="shared" si="152"/>
        <v>0</v>
      </c>
      <c r="AA377" s="1">
        <f t="shared" si="153"/>
        <v>0</v>
      </c>
      <c r="AB377" s="1">
        <f t="shared" si="154"/>
        <v>0</v>
      </c>
      <c r="AD377" s="1">
        <f t="shared" si="155"/>
        <v>0</v>
      </c>
      <c r="AE377" s="1">
        <f t="shared" si="156"/>
        <v>1</v>
      </c>
      <c r="AF377" s="1">
        <f t="shared" si="157"/>
        <v>0</v>
      </c>
      <c r="AG377" s="1">
        <f t="shared" si="158"/>
        <v>1</v>
      </c>
      <c r="AH377" s="1">
        <f t="shared" si="159"/>
        <v>0</v>
      </c>
      <c r="AI377" s="1">
        <f t="shared" si="160"/>
        <v>1</v>
      </c>
    </row>
    <row r="378" spans="1:35" ht="14.25" customHeight="1" x14ac:dyDescent="0.25">
      <c r="A378" s="31">
        <v>0</v>
      </c>
      <c r="B378" s="31">
        <v>2</v>
      </c>
      <c r="C378" s="31">
        <v>4</v>
      </c>
      <c r="D378" s="32" t="s">
        <v>621</v>
      </c>
      <c r="E378" s="32" t="s">
        <v>676</v>
      </c>
      <c r="F378" s="32" t="s">
        <v>662</v>
      </c>
      <c r="G378" s="32" t="s">
        <v>620</v>
      </c>
      <c r="H378" s="32" t="s">
        <v>352</v>
      </c>
      <c r="I378" s="31" t="s">
        <v>622</v>
      </c>
      <c r="J378" s="31">
        <v>99</v>
      </c>
      <c r="K378" s="33" t="s">
        <v>931</v>
      </c>
      <c r="L378" s="33" t="s">
        <v>39</v>
      </c>
      <c r="M378" s="34" t="s">
        <v>39</v>
      </c>
      <c r="N378" s="34" t="s">
        <v>1687</v>
      </c>
      <c r="O378" s="35">
        <v>1</v>
      </c>
      <c r="P378" s="35">
        <v>1</v>
      </c>
      <c r="Q378" s="32" t="s">
        <v>1837</v>
      </c>
      <c r="S378" s="1">
        <f t="shared" si="145"/>
        <v>0</v>
      </c>
      <c r="T378" s="1">
        <f t="shared" si="146"/>
        <v>0</v>
      </c>
      <c r="U378" s="1">
        <f t="shared" si="147"/>
        <v>0</v>
      </c>
      <c r="V378" s="1">
        <f t="shared" si="148"/>
        <v>0</v>
      </c>
      <c r="W378" s="1">
        <f t="shared" si="149"/>
        <v>0</v>
      </c>
      <c r="X378" s="1">
        <f t="shared" si="150"/>
        <v>0</v>
      </c>
      <c r="Y378" s="1">
        <f t="shared" si="151"/>
        <v>0</v>
      </c>
      <c r="Z378" s="1">
        <f t="shared" si="152"/>
        <v>0</v>
      </c>
      <c r="AA378" s="1">
        <f t="shared" si="153"/>
        <v>0</v>
      </c>
      <c r="AB378" s="1">
        <f t="shared" si="154"/>
        <v>0</v>
      </c>
      <c r="AD378" s="1">
        <f t="shared" si="155"/>
        <v>1</v>
      </c>
      <c r="AE378" s="1">
        <f t="shared" si="156"/>
        <v>0</v>
      </c>
      <c r="AF378" s="1">
        <f t="shared" si="157"/>
        <v>1</v>
      </c>
      <c r="AG378" s="1">
        <f t="shared" si="158"/>
        <v>0</v>
      </c>
      <c r="AH378" s="1">
        <f t="shared" si="159"/>
        <v>1</v>
      </c>
      <c r="AI378" s="1">
        <f t="shared" si="160"/>
        <v>0</v>
      </c>
    </row>
    <row r="379" spans="1:35" ht="14.25" customHeight="1" x14ac:dyDescent="0.25">
      <c r="A379" s="31">
        <v>0</v>
      </c>
      <c r="B379" s="31">
        <v>2</v>
      </c>
      <c r="C379" s="31">
        <v>4</v>
      </c>
      <c r="D379" s="32" t="s">
        <v>84</v>
      </c>
      <c r="E379" s="32" t="s">
        <v>35</v>
      </c>
      <c r="F379" s="32" t="s">
        <v>276</v>
      </c>
      <c r="G379" s="32" t="s">
        <v>223</v>
      </c>
      <c r="H379" s="32" t="s">
        <v>352</v>
      </c>
      <c r="I379" s="31" t="s">
        <v>431</v>
      </c>
      <c r="J379" s="31">
        <v>99</v>
      </c>
      <c r="K379" s="33" t="s">
        <v>930</v>
      </c>
      <c r="L379" s="33" t="s">
        <v>695</v>
      </c>
      <c r="M379" s="34" t="s">
        <v>717</v>
      </c>
      <c r="N379" s="34" t="s">
        <v>1706</v>
      </c>
      <c r="O379" s="35">
        <v>1</v>
      </c>
      <c r="P379" s="35"/>
      <c r="Q379" s="32"/>
      <c r="S379" s="1">
        <f t="shared" si="145"/>
        <v>0</v>
      </c>
      <c r="T379" s="1">
        <f t="shared" si="146"/>
        <v>0</v>
      </c>
      <c r="U379" s="1">
        <f t="shared" si="147"/>
        <v>0</v>
      </c>
      <c r="V379" s="1">
        <f t="shared" si="148"/>
        <v>0</v>
      </c>
      <c r="W379" s="1">
        <f t="shared" si="149"/>
        <v>0</v>
      </c>
      <c r="X379" s="1">
        <f t="shared" si="150"/>
        <v>0</v>
      </c>
      <c r="Y379" s="1">
        <f t="shared" si="151"/>
        <v>0</v>
      </c>
      <c r="Z379" s="1">
        <f t="shared" si="152"/>
        <v>0</v>
      </c>
      <c r="AA379" s="1">
        <f t="shared" si="153"/>
        <v>0</v>
      </c>
      <c r="AB379" s="1">
        <f t="shared" si="154"/>
        <v>0</v>
      </c>
      <c r="AD379" s="1">
        <f t="shared" si="155"/>
        <v>0</v>
      </c>
      <c r="AE379" s="1">
        <f t="shared" si="156"/>
        <v>1</v>
      </c>
      <c r="AF379" s="1">
        <f t="shared" si="157"/>
        <v>0</v>
      </c>
      <c r="AG379" s="1">
        <f t="shared" si="158"/>
        <v>1</v>
      </c>
      <c r="AH379" s="1">
        <f t="shared" si="159"/>
        <v>0</v>
      </c>
      <c r="AI379" s="1">
        <f t="shared" si="160"/>
        <v>1</v>
      </c>
    </row>
    <row r="380" spans="1:35" ht="14.25" customHeight="1" x14ac:dyDescent="0.25">
      <c r="A380" s="31">
        <v>0</v>
      </c>
      <c r="B380" s="31">
        <v>2</v>
      </c>
      <c r="C380" s="31">
        <v>4</v>
      </c>
      <c r="D380" s="32" t="s">
        <v>859</v>
      </c>
      <c r="E380" s="32" t="s">
        <v>753</v>
      </c>
      <c r="F380" s="32" t="s">
        <v>857</v>
      </c>
      <c r="G380" s="32" t="s">
        <v>278</v>
      </c>
      <c r="H380" s="32" t="s">
        <v>352</v>
      </c>
      <c r="I380" s="31" t="s">
        <v>858</v>
      </c>
      <c r="J380" s="31">
        <v>99</v>
      </c>
      <c r="K380" s="33" t="s">
        <v>694</v>
      </c>
      <c r="L380" s="33">
        <v>25</v>
      </c>
      <c r="M380" s="34" t="s">
        <v>1384</v>
      </c>
      <c r="N380" s="34" t="s">
        <v>1790</v>
      </c>
      <c r="O380" s="35">
        <v>1</v>
      </c>
      <c r="P380" s="35"/>
      <c r="Q380" s="32"/>
      <c r="S380" s="1">
        <f t="shared" si="145"/>
        <v>0</v>
      </c>
      <c r="T380" s="1">
        <f t="shared" si="146"/>
        <v>0</v>
      </c>
      <c r="U380" s="1">
        <f t="shared" si="147"/>
        <v>0</v>
      </c>
      <c r="V380" s="1">
        <f t="shared" si="148"/>
        <v>0</v>
      </c>
      <c r="W380" s="1">
        <f t="shared" si="149"/>
        <v>0</v>
      </c>
      <c r="X380" s="1">
        <f t="shared" si="150"/>
        <v>0</v>
      </c>
      <c r="Y380" s="1">
        <f t="shared" si="151"/>
        <v>0</v>
      </c>
      <c r="Z380" s="1">
        <f t="shared" si="152"/>
        <v>0</v>
      </c>
      <c r="AA380" s="1">
        <f t="shared" si="153"/>
        <v>0</v>
      </c>
      <c r="AB380" s="1">
        <f t="shared" si="154"/>
        <v>0</v>
      </c>
      <c r="AD380" s="1">
        <f t="shared" si="155"/>
        <v>0</v>
      </c>
      <c r="AE380" s="1">
        <f t="shared" si="156"/>
        <v>1</v>
      </c>
      <c r="AF380" s="1">
        <f t="shared" si="157"/>
        <v>0</v>
      </c>
      <c r="AG380" s="1">
        <f t="shared" si="158"/>
        <v>1</v>
      </c>
      <c r="AH380" s="1">
        <f t="shared" si="159"/>
        <v>0</v>
      </c>
      <c r="AI380" s="1">
        <f t="shared" si="160"/>
        <v>1</v>
      </c>
    </row>
    <row r="381" spans="1:35" ht="14.25" customHeight="1" x14ac:dyDescent="0.25">
      <c r="A381" s="31">
        <v>0</v>
      </c>
      <c r="B381" s="31">
        <v>2</v>
      </c>
      <c r="C381" s="31">
        <v>4</v>
      </c>
      <c r="D381" s="32" t="s">
        <v>900</v>
      </c>
      <c r="E381" s="32" t="s">
        <v>753</v>
      </c>
      <c r="F381" s="32" t="s">
        <v>824</v>
      </c>
      <c r="G381" s="32" t="s">
        <v>208</v>
      </c>
      <c r="H381" s="32" t="s">
        <v>352</v>
      </c>
      <c r="I381" s="31" t="s">
        <v>825</v>
      </c>
      <c r="J381" s="31">
        <v>99</v>
      </c>
      <c r="K381" s="33" t="s">
        <v>703</v>
      </c>
      <c r="L381" s="33" t="s">
        <v>695</v>
      </c>
      <c r="M381" s="34" t="s">
        <v>717</v>
      </c>
      <c r="N381" s="34" t="s">
        <v>1701</v>
      </c>
      <c r="O381" s="35">
        <v>1</v>
      </c>
      <c r="P381" s="35"/>
      <c r="Q381" s="32"/>
      <c r="S381" s="1">
        <f t="shared" si="145"/>
        <v>0</v>
      </c>
      <c r="T381" s="1">
        <f t="shared" si="146"/>
        <v>0</v>
      </c>
      <c r="U381" s="1">
        <f t="shared" si="147"/>
        <v>0</v>
      </c>
      <c r="V381" s="1">
        <f t="shared" si="148"/>
        <v>0</v>
      </c>
      <c r="W381" s="1">
        <f t="shared" si="149"/>
        <v>0</v>
      </c>
      <c r="X381" s="1">
        <f t="shared" si="150"/>
        <v>0</v>
      </c>
      <c r="Y381" s="1">
        <f t="shared" si="151"/>
        <v>0</v>
      </c>
      <c r="Z381" s="1">
        <f t="shared" si="152"/>
        <v>0</v>
      </c>
      <c r="AA381" s="1">
        <f t="shared" si="153"/>
        <v>0</v>
      </c>
      <c r="AB381" s="1">
        <f t="shared" si="154"/>
        <v>0</v>
      </c>
      <c r="AD381" s="1">
        <f t="shared" si="155"/>
        <v>0</v>
      </c>
      <c r="AE381" s="1">
        <f t="shared" si="156"/>
        <v>1</v>
      </c>
      <c r="AF381" s="1">
        <f t="shared" si="157"/>
        <v>0</v>
      </c>
      <c r="AG381" s="1">
        <f t="shared" si="158"/>
        <v>1</v>
      </c>
      <c r="AH381" s="1">
        <f t="shared" si="159"/>
        <v>0</v>
      </c>
      <c r="AI381" s="1">
        <f t="shared" si="160"/>
        <v>1</v>
      </c>
    </row>
    <row r="382" spans="1:35" ht="14.25" customHeight="1" x14ac:dyDescent="0.25">
      <c r="A382" s="31">
        <v>0</v>
      </c>
      <c r="B382" s="31">
        <v>2</v>
      </c>
      <c r="C382" s="31">
        <v>4</v>
      </c>
      <c r="D382" s="32" t="s">
        <v>1962</v>
      </c>
      <c r="E382" s="32" t="s">
        <v>35</v>
      </c>
      <c r="F382" s="32" t="s">
        <v>1963</v>
      </c>
      <c r="G382" s="32" t="s">
        <v>208</v>
      </c>
      <c r="H382" s="32" t="s">
        <v>352</v>
      </c>
      <c r="I382" s="31" t="s">
        <v>1964</v>
      </c>
      <c r="J382" s="31">
        <v>99</v>
      </c>
      <c r="K382" s="33" t="s">
        <v>694</v>
      </c>
      <c r="L382" s="33">
        <v>25</v>
      </c>
      <c r="M382" s="34" t="s">
        <v>1966</v>
      </c>
      <c r="N382" s="34" t="s">
        <v>1790</v>
      </c>
      <c r="O382" s="35">
        <v>1</v>
      </c>
      <c r="P382" s="35"/>
      <c r="Q382" s="32" t="s">
        <v>1965</v>
      </c>
      <c r="S382" s="1">
        <f t="shared" si="145"/>
        <v>0</v>
      </c>
      <c r="T382" s="1">
        <f t="shared" si="146"/>
        <v>0</v>
      </c>
      <c r="U382" s="1">
        <f t="shared" si="147"/>
        <v>0</v>
      </c>
      <c r="V382" s="1">
        <f t="shared" si="148"/>
        <v>0</v>
      </c>
      <c r="W382" s="1">
        <f t="shared" si="149"/>
        <v>0</v>
      </c>
      <c r="X382" s="1">
        <f t="shared" si="150"/>
        <v>0</v>
      </c>
      <c r="Y382" s="1">
        <f t="shared" si="151"/>
        <v>0</v>
      </c>
      <c r="Z382" s="1">
        <f t="shared" si="152"/>
        <v>0</v>
      </c>
      <c r="AA382" s="1">
        <f t="shared" si="153"/>
        <v>0</v>
      </c>
      <c r="AB382" s="1">
        <f t="shared" si="154"/>
        <v>0</v>
      </c>
      <c r="AD382" s="1">
        <f t="shared" si="155"/>
        <v>0</v>
      </c>
      <c r="AE382" s="1">
        <f t="shared" si="156"/>
        <v>1</v>
      </c>
      <c r="AF382" s="1">
        <f t="shared" si="157"/>
        <v>0</v>
      </c>
      <c r="AG382" s="1">
        <f t="shared" si="158"/>
        <v>1</v>
      </c>
      <c r="AH382" s="1">
        <f t="shared" si="159"/>
        <v>0</v>
      </c>
      <c r="AI382" s="1">
        <f t="shared" si="160"/>
        <v>1</v>
      </c>
    </row>
    <row r="383" spans="1:35" ht="14.25" customHeight="1" x14ac:dyDescent="0.25">
      <c r="A383" s="31">
        <v>0</v>
      </c>
      <c r="B383" s="31">
        <v>2</v>
      </c>
      <c r="C383" s="31">
        <v>4</v>
      </c>
      <c r="D383" s="32" t="s">
        <v>1191</v>
      </c>
      <c r="E383" s="32" t="s">
        <v>1190</v>
      </c>
      <c r="F383" s="32" t="s">
        <v>1192</v>
      </c>
      <c r="G383" s="32" t="s">
        <v>531</v>
      </c>
      <c r="H383" s="32" t="s">
        <v>352</v>
      </c>
      <c r="I383" s="31" t="s">
        <v>1193</v>
      </c>
      <c r="J383" s="31">
        <v>99</v>
      </c>
      <c r="K383" s="33" t="s">
        <v>704</v>
      </c>
      <c r="L383" s="33" t="s">
        <v>685</v>
      </c>
      <c r="M383" s="34" t="s">
        <v>1385</v>
      </c>
      <c r="N383" s="34" t="s">
        <v>1681</v>
      </c>
      <c r="O383" s="35">
        <v>1</v>
      </c>
      <c r="P383" s="35">
        <v>1</v>
      </c>
      <c r="Q383" s="32"/>
      <c r="S383" s="1">
        <f t="shared" si="145"/>
        <v>0</v>
      </c>
      <c r="T383" s="1">
        <f t="shared" si="146"/>
        <v>0</v>
      </c>
      <c r="U383" s="1">
        <f t="shared" si="147"/>
        <v>0</v>
      </c>
      <c r="V383" s="1">
        <f t="shared" si="148"/>
        <v>0</v>
      </c>
      <c r="W383" s="1">
        <f t="shared" si="149"/>
        <v>0</v>
      </c>
      <c r="X383" s="1">
        <f t="shared" si="150"/>
        <v>0</v>
      </c>
      <c r="Y383" s="1">
        <f t="shared" si="151"/>
        <v>0</v>
      </c>
      <c r="Z383" s="1">
        <f t="shared" si="152"/>
        <v>0</v>
      </c>
      <c r="AA383" s="1">
        <f t="shared" si="153"/>
        <v>0</v>
      </c>
      <c r="AB383" s="1">
        <f t="shared" si="154"/>
        <v>0</v>
      </c>
      <c r="AD383" s="1">
        <f t="shared" si="155"/>
        <v>1</v>
      </c>
      <c r="AE383" s="1">
        <f t="shared" si="156"/>
        <v>0</v>
      </c>
      <c r="AF383" s="1">
        <f t="shared" si="157"/>
        <v>1</v>
      </c>
      <c r="AG383" s="1">
        <f t="shared" si="158"/>
        <v>0</v>
      </c>
      <c r="AH383" s="1">
        <f t="shared" si="159"/>
        <v>1</v>
      </c>
      <c r="AI383" s="1">
        <f t="shared" si="160"/>
        <v>0</v>
      </c>
    </row>
    <row r="384" spans="1:35" ht="14.25" customHeight="1" x14ac:dyDescent="0.25">
      <c r="A384" s="31">
        <v>0</v>
      </c>
      <c r="B384" s="31">
        <v>2</v>
      </c>
      <c r="C384" s="31">
        <v>4</v>
      </c>
      <c r="D384" s="32" t="s">
        <v>803</v>
      </c>
      <c r="E384" s="32" t="s">
        <v>582</v>
      </c>
      <c r="F384" s="32" t="s">
        <v>804</v>
      </c>
      <c r="G384" s="32" t="s">
        <v>914</v>
      </c>
      <c r="H384" s="32" t="s">
        <v>352</v>
      </c>
      <c r="I384" s="31" t="s">
        <v>927</v>
      </c>
      <c r="J384" s="31">
        <v>7</v>
      </c>
      <c r="K384" s="33" t="s">
        <v>703</v>
      </c>
      <c r="L384" s="33" t="s">
        <v>39</v>
      </c>
      <c r="M384" s="34" t="s">
        <v>39</v>
      </c>
      <c r="N384" s="34" t="s">
        <v>1681</v>
      </c>
      <c r="O384" s="35">
        <v>1</v>
      </c>
      <c r="P384" s="35">
        <v>1</v>
      </c>
      <c r="Q384" s="32"/>
      <c r="S384" s="1">
        <f t="shared" si="145"/>
        <v>0</v>
      </c>
      <c r="T384" s="1">
        <f t="shared" si="146"/>
        <v>0</v>
      </c>
      <c r="U384" s="1">
        <f t="shared" si="147"/>
        <v>0</v>
      </c>
      <c r="V384" s="1">
        <f t="shared" si="148"/>
        <v>0</v>
      </c>
      <c r="W384" s="1">
        <f t="shared" si="149"/>
        <v>0</v>
      </c>
      <c r="X384" s="1">
        <f t="shared" si="150"/>
        <v>0</v>
      </c>
      <c r="Y384" s="1">
        <f t="shared" si="151"/>
        <v>1</v>
      </c>
      <c r="Z384" s="1">
        <f t="shared" si="152"/>
        <v>0</v>
      </c>
      <c r="AA384" s="1">
        <f t="shared" si="153"/>
        <v>0</v>
      </c>
      <c r="AB384" s="1">
        <f t="shared" si="154"/>
        <v>0</v>
      </c>
      <c r="AD384" s="1">
        <f t="shared" si="155"/>
        <v>1</v>
      </c>
      <c r="AE384" s="1">
        <f t="shared" si="156"/>
        <v>0</v>
      </c>
      <c r="AF384" s="1">
        <f t="shared" si="157"/>
        <v>1</v>
      </c>
      <c r="AG384" s="1">
        <f t="shared" si="158"/>
        <v>0</v>
      </c>
      <c r="AH384" s="1">
        <f t="shared" si="159"/>
        <v>1</v>
      </c>
      <c r="AI384" s="1">
        <f t="shared" si="160"/>
        <v>0</v>
      </c>
    </row>
    <row r="385" spans="1:35" ht="14.25" customHeight="1" x14ac:dyDescent="0.25">
      <c r="A385" s="31">
        <v>0</v>
      </c>
      <c r="B385" s="31">
        <v>2</v>
      </c>
      <c r="C385" s="31">
        <v>4</v>
      </c>
      <c r="D385" s="32" t="s">
        <v>1561</v>
      </c>
      <c r="E385" s="32" t="s">
        <v>1611</v>
      </c>
      <c r="F385" s="32" t="s">
        <v>1562</v>
      </c>
      <c r="G385" s="32" t="s">
        <v>331</v>
      </c>
      <c r="H385" s="32" t="s">
        <v>352</v>
      </c>
      <c r="I385" s="31" t="s">
        <v>30</v>
      </c>
      <c r="J385" s="31">
        <v>99</v>
      </c>
      <c r="K385" s="33" t="s">
        <v>704</v>
      </c>
      <c r="L385" s="33">
        <v>20</v>
      </c>
      <c r="M385" s="34" t="s">
        <v>39</v>
      </c>
      <c r="N385" s="34" t="s">
        <v>1700</v>
      </c>
      <c r="O385" s="35">
        <v>1</v>
      </c>
      <c r="P385" s="35"/>
      <c r="Q385" s="32"/>
      <c r="S385" s="1">
        <f t="shared" si="145"/>
        <v>0</v>
      </c>
      <c r="T385" s="1">
        <f t="shared" si="146"/>
        <v>0</v>
      </c>
      <c r="U385" s="1">
        <f t="shared" si="147"/>
        <v>0</v>
      </c>
      <c r="V385" s="1">
        <f t="shared" si="148"/>
        <v>0</v>
      </c>
      <c r="W385" s="1">
        <f t="shared" si="149"/>
        <v>0</v>
      </c>
      <c r="X385" s="1">
        <f t="shared" si="150"/>
        <v>0</v>
      </c>
      <c r="Y385" s="1">
        <f t="shared" si="151"/>
        <v>0</v>
      </c>
      <c r="Z385" s="1">
        <f t="shared" si="152"/>
        <v>0</v>
      </c>
      <c r="AA385" s="1">
        <f t="shared" si="153"/>
        <v>0</v>
      </c>
      <c r="AB385" s="1">
        <f t="shared" si="154"/>
        <v>0</v>
      </c>
      <c r="AD385" s="1">
        <f t="shared" si="155"/>
        <v>0</v>
      </c>
      <c r="AE385" s="1">
        <f t="shared" si="156"/>
        <v>1</v>
      </c>
      <c r="AF385" s="1">
        <f t="shared" si="157"/>
        <v>0</v>
      </c>
      <c r="AG385" s="1">
        <f t="shared" si="158"/>
        <v>1</v>
      </c>
      <c r="AH385" s="1">
        <f t="shared" si="159"/>
        <v>0</v>
      </c>
      <c r="AI385" s="1">
        <f t="shared" si="160"/>
        <v>1</v>
      </c>
    </row>
    <row r="386" spans="1:35" ht="14.25" customHeight="1" x14ac:dyDescent="0.25">
      <c r="A386" s="15">
        <v>0</v>
      </c>
      <c r="B386" s="15">
        <v>2</v>
      </c>
      <c r="C386" s="15">
        <v>4</v>
      </c>
      <c r="D386" s="16" t="s">
        <v>2125</v>
      </c>
      <c r="E386" s="16" t="s">
        <v>2126</v>
      </c>
      <c r="F386" s="16" t="s">
        <v>2127</v>
      </c>
      <c r="G386" s="16" t="s">
        <v>278</v>
      </c>
      <c r="H386" s="16" t="s">
        <v>352</v>
      </c>
      <c r="I386" s="21" t="s">
        <v>2128</v>
      </c>
      <c r="J386" s="15">
        <v>99</v>
      </c>
      <c r="K386" s="10" t="s">
        <v>694</v>
      </c>
      <c r="L386" s="10">
        <v>30</v>
      </c>
      <c r="M386" s="19" t="s">
        <v>2129</v>
      </c>
      <c r="N386" s="19"/>
      <c r="Q386" s="16" t="s">
        <v>2130</v>
      </c>
      <c r="S386" s="1">
        <f t="shared" si="145"/>
        <v>0</v>
      </c>
      <c r="T386" s="1">
        <f t="shared" si="146"/>
        <v>0</v>
      </c>
      <c r="U386" s="1">
        <f t="shared" si="147"/>
        <v>0</v>
      </c>
      <c r="V386" s="1">
        <f t="shared" si="148"/>
        <v>0</v>
      </c>
      <c r="W386" s="1">
        <f t="shared" si="149"/>
        <v>0</v>
      </c>
      <c r="X386" s="1">
        <f t="shared" si="150"/>
        <v>0</v>
      </c>
      <c r="Y386" s="1">
        <f t="shared" si="151"/>
        <v>0</v>
      </c>
      <c r="Z386" s="1">
        <f t="shared" si="152"/>
        <v>0</v>
      </c>
      <c r="AA386" s="1">
        <f t="shared" si="153"/>
        <v>0</v>
      </c>
      <c r="AB386" s="1">
        <f t="shared" si="154"/>
        <v>0</v>
      </c>
      <c r="AD386" s="1">
        <f t="shared" ref="AD386:AD389" si="161">+O386*P386</f>
        <v>0</v>
      </c>
      <c r="AE386" s="1">
        <f t="shared" ref="AE386:AE389" si="162">O386*(1-P386)</f>
        <v>0</v>
      </c>
      <c r="AF386" s="1">
        <f t="shared" ref="AF386:AF389" si="163">+O386*P386*(1-A386)</f>
        <v>0</v>
      </c>
      <c r="AG386" s="1">
        <f t="shared" ref="AG386:AG389" si="164">O386*(1-P386)*(1-A386)</f>
        <v>0</v>
      </c>
      <c r="AH386" s="1">
        <f t="shared" ref="AH386:AH389" si="165">+P386*(1-A386)</f>
        <v>0</v>
      </c>
      <c r="AI386" s="1">
        <f t="shared" ref="AI386:AI389" si="166">+(1-A386)*(1-P386)</f>
        <v>1</v>
      </c>
    </row>
    <row r="387" spans="1:35" ht="14.25" customHeight="1" x14ac:dyDescent="0.25">
      <c r="A387" s="31">
        <v>0</v>
      </c>
      <c r="B387" s="31">
        <v>2</v>
      </c>
      <c r="C387" s="31">
        <v>5</v>
      </c>
      <c r="D387" s="32" t="s">
        <v>58</v>
      </c>
      <c r="E387" s="32" t="s">
        <v>44</v>
      </c>
      <c r="F387" s="32" t="s">
        <v>663</v>
      </c>
      <c r="G387" s="32" t="s">
        <v>222</v>
      </c>
      <c r="H387" s="32" t="s">
        <v>352</v>
      </c>
      <c r="I387" s="31" t="s">
        <v>395</v>
      </c>
      <c r="J387" s="31">
        <v>8</v>
      </c>
      <c r="K387" s="33" t="s">
        <v>704</v>
      </c>
      <c r="L387" s="33" t="s">
        <v>707</v>
      </c>
      <c r="M387" s="34" t="s">
        <v>1386</v>
      </c>
      <c r="N387" s="34" t="s">
        <v>1693</v>
      </c>
      <c r="O387" s="35">
        <v>1</v>
      </c>
      <c r="P387" s="35"/>
      <c r="Q387" s="32"/>
      <c r="S387" s="1">
        <f t="shared" si="145"/>
        <v>0</v>
      </c>
      <c r="T387" s="1">
        <f t="shared" si="146"/>
        <v>0</v>
      </c>
      <c r="U387" s="1">
        <f t="shared" si="147"/>
        <v>0</v>
      </c>
      <c r="V387" s="1">
        <f t="shared" si="148"/>
        <v>0</v>
      </c>
      <c r="W387" s="1">
        <f t="shared" si="149"/>
        <v>0</v>
      </c>
      <c r="X387" s="1">
        <f t="shared" si="150"/>
        <v>0</v>
      </c>
      <c r="Y387" s="1">
        <f t="shared" si="151"/>
        <v>0</v>
      </c>
      <c r="Z387" s="1">
        <f t="shared" si="152"/>
        <v>1</v>
      </c>
      <c r="AA387" s="1">
        <f t="shared" si="153"/>
        <v>0</v>
      </c>
      <c r="AB387" s="1">
        <f t="shared" si="154"/>
        <v>0</v>
      </c>
      <c r="AD387" s="1">
        <f t="shared" si="161"/>
        <v>0</v>
      </c>
      <c r="AE387" s="1">
        <f t="shared" si="162"/>
        <v>1</v>
      </c>
      <c r="AF387" s="1">
        <f t="shared" si="163"/>
        <v>0</v>
      </c>
      <c r="AG387" s="1">
        <f t="shared" si="164"/>
        <v>1</v>
      </c>
      <c r="AH387" s="1">
        <f t="shared" si="165"/>
        <v>0</v>
      </c>
      <c r="AI387" s="1">
        <f t="shared" si="166"/>
        <v>1</v>
      </c>
    </row>
    <row r="388" spans="1:35" ht="14.25" customHeight="1" x14ac:dyDescent="0.25">
      <c r="A388" s="31">
        <v>0</v>
      </c>
      <c r="B388" s="31">
        <v>2</v>
      </c>
      <c r="C388" s="31">
        <v>5</v>
      </c>
      <c r="D388" s="32" t="s">
        <v>812</v>
      </c>
      <c r="E388" s="32" t="s">
        <v>811</v>
      </c>
      <c r="F388" s="32" t="s">
        <v>902</v>
      </c>
      <c r="G388" s="32" t="s">
        <v>212</v>
      </c>
      <c r="H388" s="32" t="s">
        <v>352</v>
      </c>
      <c r="I388" s="31" t="s">
        <v>813</v>
      </c>
      <c r="J388" s="31">
        <v>1</v>
      </c>
      <c r="K388" s="33" t="s">
        <v>703</v>
      </c>
      <c r="L388" s="33" t="s">
        <v>684</v>
      </c>
      <c r="M388" s="34" t="s">
        <v>1387</v>
      </c>
      <c r="N388" s="34" t="s">
        <v>1689</v>
      </c>
      <c r="O388" s="35">
        <v>1</v>
      </c>
      <c r="P388" s="35"/>
      <c r="Q388" s="32"/>
      <c r="S388" s="1">
        <f t="shared" si="145"/>
        <v>1</v>
      </c>
      <c r="T388" s="1">
        <f t="shared" si="146"/>
        <v>0</v>
      </c>
      <c r="U388" s="1">
        <f t="shared" si="147"/>
        <v>0</v>
      </c>
      <c r="V388" s="1">
        <f t="shared" si="148"/>
        <v>0</v>
      </c>
      <c r="W388" s="1">
        <f t="shared" si="149"/>
        <v>0</v>
      </c>
      <c r="X388" s="1">
        <f t="shared" si="150"/>
        <v>0</v>
      </c>
      <c r="Y388" s="1">
        <f t="shared" si="151"/>
        <v>0</v>
      </c>
      <c r="Z388" s="1">
        <f t="shared" si="152"/>
        <v>0</v>
      </c>
      <c r="AA388" s="1">
        <f t="shared" si="153"/>
        <v>0</v>
      </c>
      <c r="AB388" s="1">
        <f t="shared" si="154"/>
        <v>0</v>
      </c>
      <c r="AD388" s="1">
        <f t="shared" si="161"/>
        <v>0</v>
      </c>
      <c r="AE388" s="1">
        <f t="shared" si="162"/>
        <v>1</v>
      </c>
      <c r="AF388" s="1">
        <f t="shared" si="163"/>
        <v>0</v>
      </c>
      <c r="AG388" s="1">
        <f t="shared" si="164"/>
        <v>1</v>
      </c>
      <c r="AH388" s="1">
        <f t="shared" si="165"/>
        <v>0</v>
      </c>
      <c r="AI388" s="1">
        <f t="shared" si="166"/>
        <v>1</v>
      </c>
    </row>
    <row r="389" spans="1:35" ht="14.25" customHeight="1" x14ac:dyDescent="0.25">
      <c r="A389" s="31">
        <v>0</v>
      </c>
      <c r="B389" s="31">
        <v>2</v>
      </c>
      <c r="C389" s="31">
        <v>5</v>
      </c>
      <c r="D389" s="36" t="s">
        <v>1995</v>
      </c>
      <c r="E389" s="36" t="s">
        <v>169</v>
      </c>
      <c r="F389" s="36" t="s">
        <v>1996</v>
      </c>
      <c r="G389" s="36" t="s">
        <v>1490</v>
      </c>
      <c r="H389" s="36" t="s">
        <v>352</v>
      </c>
      <c r="I389" s="37" t="s">
        <v>1997</v>
      </c>
      <c r="J389" s="31">
        <v>5</v>
      </c>
      <c r="K389" s="33" t="s">
        <v>694</v>
      </c>
      <c r="L389" s="33"/>
      <c r="M389" s="34"/>
      <c r="N389" s="34" t="s">
        <v>1681</v>
      </c>
      <c r="O389" s="35">
        <v>1</v>
      </c>
      <c r="P389" s="35">
        <v>1</v>
      </c>
      <c r="Q389" s="36" t="s">
        <v>1998</v>
      </c>
      <c r="S389" s="1">
        <f t="shared" si="145"/>
        <v>0</v>
      </c>
      <c r="T389" s="1">
        <f t="shared" si="146"/>
        <v>0</v>
      </c>
      <c r="U389" s="1">
        <f t="shared" si="147"/>
        <v>0</v>
      </c>
      <c r="V389" s="1">
        <f t="shared" si="148"/>
        <v>0</v>
      </c>
      <c r="W389" s="1">
        <f t="shared" si="149"/>
        <v>1</v>
      </c>
      <c r="X389" s="1">
        <f t="shared" si="150"/>
        <v>0</v>
      </c>
      <c r="Y389" s="1">
        <f t="shared" si="151"/>
        <v>0</v>
      </c>
      <c r="Z389" s="1">
        <f t="shared" si="152"/>
        <v>0</v>
      </c>
      <c r="AA389" s="1">
        <f t="shared" si="153"/>
        <v>0</v>
      </c>
      <c r="AB389" s="1">
        <f t="shared" si="154"/>
        <v>0</v>
      </c>
      <c r="AD389" s="1">
        <f t="shared" si="161"/>
        <v>1</v>
      </c>
      <c r="AE389" s="1">
        <f t="shared" si="162"/>
        <v>0</v>
      </c>
      <c r="AF389" s="1">
        <f t="shared" si="163"/>
        <v>1</v>
      </c>
      <c r="AG389" s="1">
        <f t="shared" si="164"/>
        <v>0</v>
      </c>
      <c r="AH389" s="1">
        <f t="shared" si="165"/>
        <v>1</v>
      </c>
      <c r="AI389" s="1">
        <f t="shared" si="166"/>
        <v>0</v>
      </c>
    </row>
    <row r="390" spans="1:35" ht="14.25" customHeight="1" x14ac:dyDescent="0.25">
      <c r="A390" s="31">
        <v>0</v>
      </c>
      <c r="B390" s="31">
        <v>2</v>
      </c>
      <c r="C390" s="31">
        <v>5</v>
      </c>
      <c r="D390" s="32" t="s">
        <v>65</v>
      </c>
      <c r="E390" s="32" t="s">
        <v>163</v>
      </c>
      <c r="F390" s="32" t="s">
        <v>543</v>
      </c>
      <c r="G390" s="32" t="s">
        <v>193</v>
      </c>
      <c r="H390" s="32" t="s">
        <v>352</v>
      </c>
      <c r="I390" s="31" t="s">
        <v>548</v>
      </c>
      <c r="J390" s="31">
        <v>9</v>
      </c>
      <c r="K390" s="33" t="s">
        <v>704</v>
      </c>
      <c r="L390" s="33" t="s">
        <v>678</v>
      </c>
      <c r="M390" s="34" t="s">
        <v>1405</v>
      </c>
      <c r="N390" s="34" t="s">
        <v>1706</v>
      </c>
      <c r="O390" s="35">
        <v>1</v>
      </c>
      <c r="P390" s="35"/>
      <c r="Q390" s="32"/>
      <c r="S390" s="1">
        <f t="shared" si="145"/>
        <v>0</v>
      </c>
      <c r="T390" s="1">
        <f t="shared" si="146"/>
        <v>0</v>
      </c>
      <c r="U390" s="1">
        <f t="shared" si="147"/>
        <v>0</v>
      </c>
      <c r="V390" s="1">
        <f t="shared" si="148"/>
        <v>0</v>
      </c>
      <c r="W390" s="1">
        <f t="shared" si="149"/>
        <v>0</v>
      </c>
      <c r="X390" s="1">
        <f t="shared" si="150"/>
        <v>0</v>
      </c>
      <c r="Y390" s="1">
        <f t="shared" si="151"/>
        <v>0</v>
      </c>
      <c r="Z390" s="1">
        <f t="shared" si="152"/>
        <v>0</v>
      </c>
      <c r="AA390" s="1">
        <f t="shared" si="153"/>
        <v>1</v>
      </c>
      <c r="AB390" s="1">
        <f t="shared" si="154"/>
        <v>0</v>
      </c>
      <c r="AD390" s="1">
        <f t="shared" si="155"/>
        <v>0</v>
      </c>
      <c r="AE390" s="1">
        <f t="shared" si="156"/>
        <v>1</v>
      </c>
      <c r="AF390" s="1">
        <f t="shared" si="157"/>
        <v>0</v>
      </c>
      <c r="AG390" s="1">
        <f t="shared" si="158"/>
        <v>1</v>
      </c>
      <c r="AH390" s="1">
        <f t="shared" si="159"/>
        <v>0</v>
      </c>
      <c r="AI390" s="1">
        <f t="shared" si="160"/>
        <v>1</v>
      </c>
    </row>
    <row r="391" spans="1:35" ht="14.25" customHeight="1" x14ac:dyDescent="0.25">
      <c r="A391" s="31">
        <v>0</v>
      </c>
      <c r="B391" s="31">
        <v>2</v>
      </c>
      <c r="C391" s="31">
        <v>5</v>
      </c>
      <c r="D391" s="32" t="s">
        <v>1448</v>
      </c>
      <c r="E391" s="32" t="s">
        <v>35</v>
      </c>
      <c r="F391" s="32" t="s">
        <v>1814</v>
      </c>
      <c r="G391" s="32" t="s">
        <v>221</v>
      </c>
      <c r="H391" s="32" t="s">
        <v>352</v>
      </c>
      <c r="I391" s="31" t="s">
        <v>1641</v>
      </c>
      <c r="J391" s="31">
        <v>99</v>
      </c>
      <c r="K391" s="33" t="s">
        <v>704</v>
      </c>
      <c r="L391" s="33">
        <v>25</v>
      </c>
      <c r="M391" s="34" t="s">
        <v>39</v>
      </c>
      <c r="N391" s="34" t="s">
        <v>1701</v>
      </c>
      <c r="O391" s="35">
        <v>1</v>
      </c>
      <c r="P391" s="35"/>
      <c r="Q391" s="32"/>
      <c r="S391" s="1">
        <f t="shared" si="145"/>
        <v>0</v>
      </c>
      <c r="T391" s="1">
        <f t="shared" si="146"/>
        <v>0</v>
      </c>
      <c r="U391" s="1">
        <f t="shared" si="147"/>
        <v>0</v>
      </c>
      <c r="V391" s="1">
        <f t="shared" si="148"/>
        <v>0</v>
      </c>
      <c r="W391" s="1">
        <f t="shared" si="149"/>
        <v>0</v>
      </c>
      <c r="X391" s="1">
        <f t="shared" si="150"/>
        <v>0</v>
      </c>
      <c r="Y391" s="1">
        <f t="shared" si="151"/>
        <v>0</v>
      </c>
      <c r="Z391" s="1">
        <f t="shared" si="152"/>
        <v>0</v>
      </c>
      <c r="AA391" s="1">
        <f t="shared" si="153"/>
        <v>0</v>
      </c>
      <c r="AB391" s="1">
        <f t="shared" si="154"/>
        <v>0</v>
      </c>
      <c r="AD391" s="1">
        <f t="shared" si="155"/>
        <v>0</v>
      </c>
      <c r="AE391" s="1">
        <f t="shared" si="156"/>
        <v>1</v>
      </c>
      <c r="AF391" s="1">
        <f t="shared" si="157"/>
        <v>0</v>
      </c>
      <c r="AG391" s="1">
        <f t="shared" si="158"/>
        <v>1</v>
      </c>
      <c r="AH391" s="1">
        <f t="shared" si="159"/>
        <v>0</v>
      </c>
      <c r="AI391" s="1">
        <f t="shared" si="160"/>
        <v>1</v>
      </c>
    </row>
    <row r="392" spans="1:35" ht="14.25" customHeight="1" x14ac:dyDescent="0.25">
      <c r="A392" s="31">
        <v>0</v>
      </c>
      <c r="B392" s="31">
        <v>2</v>
      </c>
      <c r="C392" s="31">
        <v>5</v>
      </c>
      <c r="D392" s="32" t="s">
        <v>1760</v>
      </c>
      <c r="E392" s="32" t="s">
        <v>753</v>
      </c>
      <c r="F392" s="32" t="s">
        <v>1761</v>
      </c>
      <c r="G392" s="32" t="s">
        <v>223</v>
      </c>
      <c r="H392" s="32" t="s">
        <v>352</v>
      </c>
      <c r="I392" s="31" t="s">
        <v>1762</v>
      </c>
      <c r="J392" s="31">
        <v>99</v>
      </c>
      <c r="K392" s="33" t="s">
        <v>1763</v>
      </c>
      <c r="L392" s="33">
        <v>40</v>
      </c>
      <c r="M392" s="34" t="s">
        <v>1764</v>
      </c>
      <c r="N392" s="34" t="s">
        <v>1790</v>
      </c>
      <c r="O392" s="35">
        <v>1</v>
      </c>
      <c r="P392" s="35"/>
      <c r="Q392" s="32"/>
      <c r="S392" s="1">
        <f t="shared" si="145"/>
        <v>0</v>
      </c>
      <c r="T392" s="1">
        <f t="shared" si="146"/>
        <v>0</v>
      </c>
      <c r="U392" s="1">
        <f t="shared" si="147"/>
        <v>0</v>
      </c>
      <c r="V392" s="1">
        <f t="shared" si="148"/>
        <v>0</v>
      </c>
      <c r="W392" s="1">
        <f t="shared" si="149"/>
        <v>0</v>
      </c>
      <c r="X392" s="1">
        <f t="shared" si="150"/>
        <v>0</v>
      </c>
      <c r="Y392" s="1">
        <f t="shared" si="151"/>
        <v>0</v>
      </c>
      <c r="Z392" s="1">
        <f t="shared" si="152"/>
        <v>0</v>
      </c>
      <c r="AA392" s="1">
        <f t="shared" si="153"/>
        <v>0</v>
      </c>
      <c r="AB392" s="1">
        <f t="shared" si="154"/>
        <v>0</v>
      </c>
      <c r="AD392" s="1">
        <f t="shared" si="155"/>
        <v>0</v>
      </c>
      <c r="AE392" s="1">
        <f t="shared" si="156"/>
        <v>1</v>
      </c>
      <c r="AF392" s="1">
        <f t="shared" si="157"/>
        <v>0</v>
      </c>
      <c r="AG392" s="1">
        <f t="shared" si="158"/>
        <v>1</v>
      </c>
      <c r="AH392" s="1">
        <f t="shared" si="159"/>
        <v>0</v>
      </c>
      <c r="AI392" s="1">
        <f t="shared" si="160"/>
        <v>1</v>
      </c>
    </row>
    <row r="393" spans="1:35" ht="14.25" customHeight="1" x14ac:dyDescent="0.25">
      <c r="A393" s="31">
        <v>0</v>
      </c>
      <c r="B393" s="31">
        <v>2</v>
      </c>
      <c r="C393" s="31">
        <v>5</v>
      </c>
      <c r="D393" s="32" t="s">
        <v>608</v>
      </c>
      <c r="E393" s="32" t="s">
        <v>677</v>
      </c>
      <c r="F393" s="32" t="s">
        <v>609</v>
      </c>
      <c r="G393" s="32" t="s">
        <v>285</v>
      </c>
      <c r="H393" s="32" t="s">
        <v>352</v>
      </c>
      <c r="I393" s="31" t="s">
        <v>610</v>
      </c>
      <c r="J393" s="31">
        <v>99</v>
      </c>
      <c r="K393" s="33" t="s">
        <v>703</v>
      </c>
      <c r="L393" s="33" t="s">
        <v>695</v>
      </c>
      <c r="M393" s="34" t="s">
        <v>1388</v>
      </c>
      <c r="N393" s="34" t="s">
        <v>1689</v>
      </c>
      <c r="O393" s="35">
        <v>1</v>
      </c>
      <c r="P393" s="35"/>
      <c r="Q393" s="32"/>
      <c r="S393" s="1">
        <f t="shared" si="145"/>
        <v>0</v>
      </c>
      <c r="T393" s="1">
        <f t="shared" si="146"/>
        <v>0</v>
      </c>
      <c r="U393" s="1">
        <f t="shared" si="147"/>
        <v>0</v>
      </c>
      <c r="V393" s="1">
        <f t="shared" si="148"/>
        <v>0</v>
      </c>
      <c r="W393" s="1">
        <f t="shared" si="149"/>
        <v>0</v>
      </c>
      <c r="X393" s="1">
        <f t="shared" si="150"/>
        <v>0</v>
      </c>
      <c r="Y393" s="1">
        <f t="shared" si="151"/>
        <v>0</v>
      </c>
      <c r="Z393" s="1">
        <f t="shared" si="152"/>
        <v>0</v>
      </c>
      <c r="AA393" s="1">
        <f t="shared" si="153"/>
        <v>0</v>
      </c>
      <c r="AB393" s="1">
        <f t="shared" si="154"/>
        <v>0</v>
      </c>
      <c r="AD393" s="1">
        <f t="shared" si="155"/>
        <v>0</v>
      </c>
      <c r="AE393" s="1">
        <f t="shared" si="156"/>
        <v>1</v>
      </c>
      <c r="AF393" s="1">
        <f t="shared" si="157"/>
        <v>0</v>
      </c>
      <c r="AG393" s="1">
        <f t="shared" si="158"/>
        <v>1</v>
      </c>
      <c r="AH393" s="1">
        <f t="shared" si="159"/>
        <v>0</v>
      </c>
      <c r="AI393" s="1">
        <f t="shared" si="160"/>
        <v>1</v>
      </c>
    </row>
    <row r="394" spans="1:35" ht="14.25" customHeight="1" x14ac:dyDescent="0.25">
      <c r="A394" s="31">
        <v>0</v>
      </c>
      <c r="B394" s="31">
        <v>2</v>
      </c>
      <c r="C394" s="31">
        <v>5</v>
      </c>
      <c r="D394" s="32" t="s">
        <v>1450</v>
      </c>
      <c r="E394" s="32" t="s">
        <v>753</v>
      </c>
      <c r="F394" s="32" t="s">
        <v>1451</v>
      </c>
      <c r="G394" s="32" t="s">
        <v>195</v>
      </c>
      <c r="H394" s="32" t="s">
        <v>352</v>
      </c>
      <c r="I394" s="31" t="s">
        <v>1452</v>
      </c>
      <c r="J394" s="31">
        <v>99</v>
      </c>
      <c r="K394" s="33" t="s">
        <v>930</v>
      </c>
      <c r="L394" s="33" t="s">
        <v>684</v>
      </c>
      <c r="M394" s="34" t="s">
        <v>1379</v>
      </c>
      <c r="N394" s="34" t="s">
        <v>1689</v>
      </c>
      <c r="O394" s="35">
        <v>1</v>
      </c>
      <c r="P394" s="35"/>
      <c r="Q394" s="32"/>
      <c r="S394" s="1">
        <f t="shared" si="145"/>
        <v>0</v>
      </c>
      <c r="T394" s="1">
        <f t="shared" si="146"/>
        <v>0</v>
      </c>
      <c r="U394" s="1">
        <f t="shared" si="147"/>
        <v>0</v>
      </c>
      <c r="V394" s="1">
        <f t="shared" si="148"/>
        <v>0</v>
      </c>
      <c r="W394" s="1">
        <f t="shared" si="149"/>
        <v>0</v>
      </c>
      <c r="X394" s="1">
        <f t="shared" si="150"/>
        <v>0</v>
      </c>
      <c r="Y394" s="1">
        <f t="shared" si="151"/>
        <v>0</v>
      </c>
      <c r="Z394" s="1">
        <f t="shared" si="152"/>
        <v>0</v>
      </c>
      <c r="AA394" s="1">
        <f t="shared" si="153"/>
        <v>0</v>
      </c>
      <c r="AB394" s="1">
        <f t="shared" si="154"/>
        <v>0</v>
      </c>
      <c r="AD394" s="1">
        <f t="shared" si="155"/>
        <v>0</v>
      </c>
      <c r="AE394" s="1">
        <f t="shared" si="156"/>
        <v>1</v>
      </c>
      <c r="AF394" s="1">
        <f t="shared" si="157"/>
        <v>0</v>
      </c>
      <c r="AG394" s="1">
        <f t="shared" si="158"/>
        <v>1</v>
      </c>
      <c r="AH394" s="1">
        <f t="shared" si="159"/>
        <v>0</v>
      </c>
      <c r="AI394" s="1">
        <f t="shared" si="160"/>
        <v>1</v>
      </c>
    </row>
    <row r="395" spans="1:35" ht="14.25" customHeight="1" x14ac:dyDescent="0.25">
      <c r="A395" s="31">
        <v>0</v>
      </c>
      <c r="B395" s="31">
        <v>2</v>
      </c>
      <c r="C395" s="31">
        <v>5</v>
      </c>
      <c r="D395" s="32" t="s">
        <v>756</v>
      </c>
      <c r="E395" s="32" t="s">
        <v>753</v>
      </c>
      <c r="F395" s="32" t="s">
        <v>758</v>
      </c>
      <c r="G395" s="32" t="s">
        <v>206</v>
      </c>
      <c r="H395" s="32" t="s">
        <v>352</v>
      </c>
      <c r="I395" s="31" t="s">
        <v>757</v>
      </c>
      <c r="J395" s="31">
        <v>99</v>
      </c>
      <c r="K395" s="33" t="s">
        <v>703</v>
      </c>
      <c r="L395" s="33" t="s">
        <v>685</v>
      </c>
      <c r="M395" s="34" t="s">
        <v>1389</v>
      </c>
      <c r="N395" s="34" t="s">
        <v>1689</v>
      </c>
      <c r="O395" s="35">
        <v>1</v>
      </c>
      <c r="P395" s="35"/>
      <c r="Q395" s="32"/>
      <c r="S395" s="1">
        <f t="shared" si="145"/>
        <v>0</v>
      </c>
      <c r="T395" s="1">
        <f t="shared" si="146"/>
        <v>0</v>
      </c>
      <c r="U395" s="1">
        <f t="shared" si="147"/>
        <v>0</v>
      </c>
      <c r="V395" s="1">
        <f t="shared" si="148"/>
        <v>0</v>
      </c>
      <c r="W395" s="1">
        <f t="shared" si="149"/>
        <v>0</v>
      </c>
      <c r="X395" s="1">
        <f t="shared" si="150"/>
        <v>0</v>
      </c>
      <c r="Y395" s="1">
        <f t="shared" si="151"/>
        <v>0</v>
      </c>
      <c r="Z395" s="1">
        <f t="shared" si="152"/>
        <v>0</v>
      </c>
      <c r="AA395" s="1">
        <f t="shared" si="153"/>
        <v>0</v>
      </c>
      <c r="AB395" s="1">
        <f t="shared" si="154"/>
        <v>0</v>
      </c>
      <c r="AD395" s="1">
        <f t="shared" si="155"/>
        <v>0</v>
      </c>
      <c r="AE395" s="1">
        <f t="shared" si="156"/>
        <v>1</v>
      </c>
      <c r="AF395" s="1">
        <f t="shared" si="157"/>
        <v>0</v>
      </c>
      <c r="AG395" s="1">
        <f t="shared" si="158"/>
        <v>1</v>
      </c>
      <c r="AH395" s="1">
        <f t="shared" si="159"/>
        <v>0</v>
      </c>
      <c r="AI395" s="1">
        <f t="shared" si="160"/>
        <v>1</v>
      </c>
    </row>
    <row r="396" spans="1:35" ht="14.25" customHeight="1" x14ac:dyDescent="0.25">
      <c r="A396" s="31">
        <v>1</v>
      </c>
      <c r="B396" s="31">
        <v>2</v>
      </c>
      <c r="C396" s="31">
        <v>5</v>
      </c>
      <c r="D396" s="32" t="s">
        <v>756</v>
      </c>
      <c r="E396" s="32" t="s">
        <v>753</v>
      </c>
      <c r="F396" s="32" t="s">
        <v>982</v>
      </c>
      <c r="G396" s="32" t="s">
        <v>189</v>
      </c>
      <c r="H396" s="32" t="s">
        <v>352</v>
      </c>
      <c r="I396" s="31" t="s">
        <v>983</v>
      </c>
      <c r="J396" s="31">
        <v>99</v>
      </c>
      <c r="K396" s="33" t="s">
        <v>703</v>
      </c>
      <c r="L396" s="33" t="s">
        <v>685</v>
      </c>
      <c r="M396" s="34" t="s">
        <v>1389</v>
      </c>
      <c r="N396" s="34" t="s">
        <v>1689</v>
      </c>
      <c r="O396" s="35">
        <v>1</v>
      </c>
      <c r="P396" s="35"/>
      <c r="Q396" s="32"/>
      <c r="S396" s="1">
        <f t="shared" si="145"/>
        <v>0</v>
      </c>
      <c r="T396" s="1">
        <f t="shared" si="146"/>
        <v>0</v>
      </c>
      <c r="U396" s="1">
        <f t="shared" si="147"/>
        <v>0</v>
      </c>
      <c r="V396" s="1">
        <f t="shared" si="148"/>
        <v>0</v>
      </c>
      <c r="W396" s="1">
        <f t="shared" si="149"/>
        <v>0</v>
      </c>
      <c r="X396" s="1">
        <f t="shared" si="150"/>
        <v>0</v>
      </c>
      <c r="Y396" s="1">
        <f t="shared" si="151"/>
        <v>0</v>
      </c>
      <c r="Z396" s="1">
        <f t="shared" si="152"/>
        <v>0</v>
      </c>
      <c r="AA396" s="1">
        <f t="shared" si="153"/>
        <v>0</v>
      </c>
      <c r="AB396" s="1">
        <f t="shared" si="154"/>
        <v>0</v>
      </c>
      <c r="AD396" s="1">
        <f t="shared" si="155"/>
        <v>0</v>
      </c>
      <c r="AE396" s="1">
        <f t="shared" si="156"/>
        <v>1</v>
      </c>
      <c r="AF396" s="1">
        <f t="shared" si="157"/>
        <v>0</v>
      </c>
      <c r="AG396" s="1">
        <f t="shared" si="158"/>
        <v>0</v>
      </c>
      <c r="AH396" s="1">
        <f t="shared" si="159"/>
        <v>0</v>
      </c>
      <c r="AI396" s="1">
        <f t="shared" si="160"/>
        <v>0</v>
      </c>
    </row>
    <row r="397" spans="1:35" ht="14.25" customHeight="1" x14ac:dyDescent="0.25">
      <c r="A397" s="15">
        <v>0</v>
      </c>
      <c r="B397" s="15">
        <v>2</v>
      </c>
      <c r="C397" s="15">
        <v>5</v>
      </c>
      <c r="D397" s="16" t="s">
        <v>894</v>
      </c>
      <c r="E397" s="16" t="s">
        <v>889</v>
      </c>
      <c r="F397" s="16" t="s">
        <v>907</v>
      </c>
      <c r="G397" s="16" t="s">
        <v>1316</v>
      </c>
      <c r="H397" s="16" t="s">
        <v>352</v>
      </c>
      <c r="I397" s="15" t="s">
        <v>751</v>
      </c>
      <c r="J397" s="15">
        <v>99</v>
      </c>
      <c r="K397" s="10" t="s">
        <v>694</v>
      </c>
      <c r="L397" s="10">
        <v>20</v>
      </c>
      <c r="M397" s="19" t="s">
        <v>1390</v>
      </c>
      <c r="N397" s="19"/>
      <c r="Q397" s="16"/>
      <c r="S397" s="1">
        <f t="shared" si="145"/>
        <v>0</v>
      </c>
      <c r="T397" s="1">
        <f t="shared" si="146"/>
        <v>0</v>
      </c>
      <c r="U397" s="1">
        <f t="shared" si="147"/>
        <v>0</v>
      </c>
      <c r="V397" s="1">
        <f t="shared" si="148"/>
        <v>0</v>
      </c>
      <c r="W397" s="1">
        <f t="shared" si="149"/>
        <v>0</v>
      </c>
      <c r="X397" s="1">
        <f t="shared" si="150"/>
        <v>0</v>
      </c>
      <c r="Y397" s="1">
        <f t="shared" si="151"/>
        <v>0</v>
      </c>
      <c r="Z397" s="1">
        <f t="shared" si="152"/>
        <v>0</v>
      </c>
      <c r="AA397" s="1">
        <f t="shared" si="153"/>
        <v>0</v>
      </c>
      <c r="AB397" s="1">
        <f t="shared" si="154"/>
        <v>0</v>
      </c>
      <c r="AD397" s="1">
        <f t="shared" si="155"/>
        <v>0</v>
      </c>
      <c r="AE397" s="1">
        <f t="shared" si="156"/>
        <v>0</v>
      </c>
      <c r="AF397" s="1">
        <f t="shared" si="157"/>
        <v>0</v>
      </c>
      <c r="AG397" s="1">
        <f t="shared" si="158"/>
        <v>0</v>
      </c>
      <c r="AH397" s="1">
        <f t="shared" si="159"/>
        <v>0</v>
      </c>
      <c r="AI397" s="1">
        <f t="shared" si="160"/>
        <v>1</v>
      </c>
    </row>
    <row r="398" spans="1:35" ht="14.25" customHeight="1" x14ac:dyDescent="0.25">
      <c r="A398" s="31">
        <v>0</v>
      </c>
      <c r="B398" s="31">
        <v>2</v>
      </c>
      <c r="C398" s="31">
        <v>5</v>
      </c>
      <c r="D398" s="32" t="s">
        <v>1861</v>
      </c>
      <c r="E398" s="32"/>
      <c r="F398" s="32" t="s">
        <v>1862</v>
      </c>
      <c r="G398" s="32" t="s">
        <v>207</v>
      </c>
      <c r="H398" s="32" t="s">
        <v>352</v>
      </c>
      <c r="I398" s="31" t="s">
        <v>1863</v>
      </c>
      <c r="J398" s="31">
        <v>3</v>
      </c>
      <c r="K398" s="33" t="s">
        <v>694</v>
      </c>
      <c r="L398" s="33"/>
      <c r="M398" s="34"/>
      <c r="N398" s="34" t="s">
        <v>1681</v>
      </c>
      <c r="O398" s="35">
        <v>1</v>
      </c>
      <c r="P398" s="35">
        <v>1</v>
      </c>
      <c r="Q398" s="32" t="s">
        <v>1864</v>
      </c>
      <c r="S398" s="1">
        <f t="shared" si="145"/>
        <v>0</v>
      </c>
      <c r="T398" s="1">
        <f t="shared" si="146"/>
        <v>0</v>
      </c>
      <c r="U398" s="1">
        <f t="shared" si="147"/>
        <v>1</v>
      </c>
      <c r="V398" s="1">
        <f t="shared" si="148"/>
        <v>0</v>
      </c>
      <c r="W398" s="1">
        <f t="shared" si="149"/>
        <v>0</v>
      </c>
      <c r="X398" s="1">
        <f t="shared" si="150"/>
        <v>0</v>
      </c>
      <c r="Y398" s="1">
        <f t="shared" si="151"/>
        <v>0</v>
      </c>
      <c r="Z398" s="1">
        <f t="shared" si="152"/>
        <v>0</v>
      </c>
      <c r="AA398" s="1">
        <f t="shared" si="153"/>
        <v>0</v>
      </c>
      <c r="AB398" s="1">
        <f t="shared" si="154"/>
        <v>0</v>
      </c>
      <c r="AD398" s="1">
        <f t="shared" si="155"/>
        <v>1</v>
      </c>
      <c r="AE398" s="1">
        <f t="shared" si="156"/>
        <v>0</v>
      </c>
      <c r="AF398" s="1">
        <f t="shared" si="157"/>
        <v>1</v>
      </c>
      <c r="AG398" s="1">
        <f t="shared" si="158"/>
        <v>0</v>
      </c>
      <c r="AH398" s="1">
        <f t="shared" si="159"/>
        <v>1</v>
      </c>
      <c r="AI398" s="1">
        <f t="shared" si="160"/>
        <v>0</v>
      </c>
    </row>
    <row r="399" spans="1:35" ht="14.25" customHeight="1" x14ac:dyDescent="0.25">
      <c r="A399" s="31">
        <v>0</v>
      </c>
      <c r="B399" s="31">
        <v>2</v>
      </c>
      <c r="C399" s="31">
        <v>5</v>
      </c>
      <c r="D399" s="32" t="s">
        <v>1237</v>
      </c>
      <c r="E399" s="32" t="s">
        <v>1238</v>
      </c>
      <c r="F399" s="32" t="s">
        <v>1239</v>
      </c>
      <c r="G399" s="32" t="s">
        <v>219</v>
      </c>
      <c r="H399" s="32" t="s">
        <v>352</v>
      </c>
      <c r="I399" s="31" t="s">
        <v>1677</v>
      </c>
      <c r="J399" s="31">
        <v>8</v>
      </c>
      <c r="K399" s="33" t="s">
        <v>704</v>
      </c>
      <c r="L399" s="33" t="s">
        <v>39</v>
      </c>
      <c r="M399" s="34" t="s">
        <v>39</v>
      </c>
      <c r="N399" s="34" t="s">
        <v>1681</v>
      </c>
      <c r="O399" s="35">
        <v>1</v>
      </c>
      <c r="P399" s="35">
        <v>1</v>
      </c>
      <c r="Q399" s="32"/>
      <c r="S399" s="1">
        <f t="shared" si="145"/>
        <v>0</v>
      </c>
      <c r="T399" s="1">
        <f t="shared" si="146"/>
        <v>0</v>
      </c>
      <c r="U399" s="1">
        <f t="shared" si="147"/>
        <v>0</v>
      </c>
      <c r="V399" s="1">
        <f t="shared" si="148"/>
        <v>0</v>
      </c>
      <c r="W399" s="1">
        <f t="shared" si="149"/>
        <v>0</v>
      </c>
      <c r="X399" s="1">
        <f t="shared" si="150"/>
        <v>0</v>
      </c>
      <c r="Y399" s="1">
        <f t="shared" si="151"/>
        <v>0</v>
      </c>
      <c r="Z399" s="1">
        <f t="shared" si="152"/>
        <v>1</v>
      </c>
      <c r="AA399" s="1">
        <f t="shared" si="153"/>
        <v>0</v>
      </c>
      <c r="AB399" s="1">
        <f t="shared" si="154"/>
        <v>0</v>
      </c>
      <c r="AD399" s="1">
        <f t="shared" si="155"/>
        <v>1</v>
      </c>
      <c r="AE399" s="1">
        <f t="shared" si="156"/>
        <v>0</v>
      </c>
      <c r="AF399" s="1">
        <f t="shared" si="157"/>
        <v>1</v>
      </c>
      <c r="AG399" s="1">
        <f t="shared" si="158"/>
        <v>0</v>
      </c>
      <c r="AH399" s="1">
        <f t="shared" si="159"/>
        <v>1</v>
      </c>
      <c r="AI399" s="1">
        <f t="shared" si="160"/>
        <v>0</v>
      </c>
    </row>
    <row r="400" spans="1:35" ht="14.25" customHeight="1" x14ac:dyDescent="0.25">
      <c r="A400" s="31">
        <v>0</v>
      </c>
      <c r="B400" s="31">
        <v>2</v>
      </c>
      <c r="C400" s="31">
        <v>5</v>
      </c>
      <c r="D400" s="32" t="s">
        <v>1058</v>
      </c>
      <c r="E400" s="32" t="s">
        <v>154</v>
      </c>
      <c r="F400" s="32" t="s">
        <v>1042</v>
      </c>
      <c r="G400" s="32" t="s">
        <v>319</v>
      </c>
      <c r="H400" s="32" t="s">
        <v>352</v>
      </c>
      <c r="I400" s="31" t="s">
        <v>1043</v>
      </c>
      <c r="J400" s="31">
        <v>99</v>
      </c>
      <c r="K400" s="33" t="s">
        <v>704</v>
      </c>
      <c r="L400" s="33" t="s">
        <v>685</v>
      </c>
      <c r="M400" s="34" t="s">
        <v>1391</v>
      </c>
      <c r="N400" s="34" t="s">
        <v>1701</v>
      </c>
      <c r="O400" s="35">
        <v>1</v>
      </c>
      <c r="P400" s="35"/>
      <c r="Q400" s="32"/>
      <c r="S400" s="1">
        <f t="shared" si="145"/>
        <v>0</v>
      </c>
      <c r="T400" s="1">
        <f t="shared" si="146"/>
        <v>0</v>
      </c>
      <c r="U400" s="1">
        <f t="shared" si="147"/>
        <v>0</v>
      </c>
      <c r="V400" s="1">
        <f t="shared" si="148"/>
        <v>0</v>
      </c>
      <c r="W400" s="1">
        <f t="shared" si="149"/>
        <v>0</v>
      </c>
      <c r="X400" s="1">
        <f t="shared" si="150"/>
        <v>0</v>
      </c>
      <c r="Y400" s="1">
        <f t="shared" si="151"/>
        <v>0</v>
      </c>
      <c r="Z400" s="1">
        <f t="shared" si="152"/>
        <v>0</v>
      </c>
      <c r="AA400" s="1">
        <f t="shared" si="153"/>
        <v>0</v>
      </c>
      <c r="AB400" s="1">
        <f t="shared" si="154"/>
        <v>0</v>
      </c>
      <c r="AD400" s="1">
        <f t="shared" si="155"/>
        <v>0</v>
      </c>
      <c r="AE400" s="1">
        <f t="shared" si="156"/>
        <v>1</v>
      </c>
      <c r="AF400" s="1">
        <f t="shared" si="157"/>
        <v>0</v>
      </c>
      <c r="AG400" s="1">
        <f t="shared" si="158"/>
        <v>1</v>
      </c>
      <c r="AH400" s="1">
        <f t="shared" si="159"/>
        <v>0</v>
      </c>
      <c r="AI400" s="1">
        <f t="shared" si="160"/>
        <v>1</v>
      </c>
    </row>
    <row r="401" spans="1:35" ht="14.25" customHeight="1" x14ac:dyDescent="0.25">
      <c r="A401" s="31">
        <v>0</v>
      </c>
      <c r="B401" s="31">
        <v>2</v>
      </c>
      <c r="C401" s="31">
        <v>5</v>
      </c>
      <c r="D401" s="32" t="s">
        <v>776</v>
      </c>
      <c r="E401" s="32" t="s">
        <v>753</v>
      </c>
      <c r="F401" s="32" t="s">
        <v>910</v>
      </c>
      <c r="G401" s="32" t="s">
        <v>219</v>
      </c>
      <c r="H401" s="32" t="s">
        <v>352</v>
      </c>
      <c r="I401" s="31" t="s">
        <v>777</v>
      </c>
      <c r="J401" s="31">
        <v>8</v>
      </c>
      <c r="K401" s="33" t="s">
        <v>694</v>
      </c>
      <c r="L401" s="33">
        <v>20</v>
      </c>
      <c r="M401" s="34" t="s">
        <v>1382</v>
      </c>
      <c r="N401" s="34" t="s">
        <v>1766</v>
      </c>
      <c r="O401" s="35">
        <v>1</v>
      </c>
      <c r="P401" s="35"/>
      <c r="Q401" s="32"/>
      <c r="S401" s="1">
        <f t="shared" si="145"/>
        <v>0</v>
      </c>
      <c r="T401" s="1">
        <f t="shared" si="146"/>
        <v>0</v>
      </c>
      <c r="U401" s="1">
        <f t="shared" si="147"/>
        <v>0</v>
      </c>
      <c r="V401" s="1">
        <f t="shared" si="148"/>
        <v>0</v>
      </c>
      <c r="W401" s="1">
        <f t="shared" si="149"/>
        <v>0</v>
      </c>
      <c r="X401" s="1">
        <f t="shared" si="150"/>
        <v>0</v>
      </c>
      <c r="Y401" s="1">
        <f t="shared" si="151"/>
        <v>0</v>
      </c>
      <c r="Z401" s="1">
        <f t="shared" si="152"/>
        <v>1</v>
      </c>
      <c r="AA401" s="1">
        <f t="shared" si="153"/>
        <v>0</v>
      </c>
      <c r="AB401" s="1">
        <f t="shared" si="154"/>
        <v>0</v>
      </c>
      <c r="AD401" s="1">
        <f t="shared" si="155"/>
        <v>0</v>
      </c>
      <c r="AE401" s="1">
        <f t="shared" si="156"/>
        <v>1</v>
      </c>
      <c r="AF401" s="1">
        <f t="shared" si="157"/>
        <v>0</v>
      </c>
      <c r="AG401" s="1">
        <f t="shared" si="158"/>
        <v>1</v>
      </c>
      <c r="AH401" s="1">
        <f t="shared" si="159"/>
        <v>0</v>
      </c>
      <c r="AI401" s="1">
        <f t="shared" si="160"/>
        <v>1</v>
      </c>
    </row>
    <row r="402" spans="1:35" ht="14.25" customHeight="1" x14ac:dyDescent="0.25">
      <c r="A402" s="31">
        <v>0</v>
      </c>
      <c r="B402" s="31">
        <v>2</v>
      </c>
      <c r="C402" s="31">
        <v>5</v>
      </c>
      <c r="D402" s="32" t="s">
        <v>79</v>
      </c>
      <c r="E402" s="32" t="s">
        <v>158</v>
      </c>
      <c r="F402" s="32" t="s">
        <v>267</v>
      </c>
      <c r="G402" s="32" t="s">
        <v>212</v>
      </c>
      <c r="H402" s="32" t="s">
        <v>352</v>
      </c>
      <c r="I402" s="31" t="s">
        <v>423</v>
      </c>
      <c r="J402" s="31">
        <v>1</v>
      </c>
      <c r="K402" s="33" t="s">
        <v>931</v>
      </c>
      <c r="L402" s="33" t="s">
        <v>695</v>
      </c>
      <c r="M402" s="34" t="s">
        <v>718</v>
      </c>
      <c r="N402" s="34" t="s">
        <v>1689</v>
      </c>
      <c r="O402" s="35">
        <v>1</v>
      </c>
      <c r="P402" s="35"/>
      <c r="Q402" s="32"/>
      <c r="S402" s="1">
        <f t="shared" si="145"/>
        <v>1</v>
      </c>
      <c r="T402" s="1">
        <f t="shared" si="146"/>
        <v>0</v>
      </c>
      <c r="U402" s="1">
        <f t="shared" si="147"/>
        <v>0</v>
      </c>
      <c r="V402" s="1">
        <f t="shared" si="148"/>
        <v>0</v>
      </c>
      <c r="W402" s="1">
        <f t="shared" si="149"/>
        <v>0</v>
      </c>
      <c r="X402" s="1">
        <f t="shared" si="150"/>
        <v>0</v>
      </c>
      <c r="Y402" s="1">
        <f t="shared" si="151"/>
        <v>0</v>
      </c>
      <c r="Z402" s="1">
        <f t="shared" si="152"/>
        <v>0</v>
      </c>
      <c r="AA402" s="1">
        <f t="shared" si="153"/>
        <v>0</v>
      </c>
      <c r="AB402" s="1">
        <f t="shared" si="154"/>
        <v>0</v>
      </c>
      <c r="AD402" s="1">
        <f t="shared" si="155"/>
        <v>0</v>
      </c>
      <c r="AE402" s="1">
        <f t="shared" si="156"/>
        <v>1</v>
      </c>
      <c r="AF402" s="1">
        <f t="shared" si="157"/>
        <v>0</v>
      </c>
      <c r="AG402" s="1">
        <f t="shared" si="158"/>
        <v>1</v>
      </c>
      <c r="AH402" s="1">
        <f t="shared" si="159"/>
        <v>0</v>
      </c>
      <c r="AI402" s="1">
        <f t="shared" si="160"/>
        <v>1</v>
      </c>
    </row>
    <row r="403" spans="1:35" ht="14.25" customHeight="1" x14ac:dyDescent="0.25">
      <c r="A403" s="31">
        <v>0</v>
      </c>
      <c r="B403" s="31">
        <v>2</v>
      </c>
      <c r="C403" s="31">
        <v>5</v>
      </c>
      <c r="D403" s="36" t="s">
        <v>2083</v>
      </c>
      <c r="E403" s="36" t="s">
        <v>811</v>
      </c>
      <c r="F403" s="36" t="s">
        <v>2084</v>
      </c>
      <c r="G403" s="36" t="s">
        <v>202</v>
      </c>
      <c r="H403" s="36" t="s">
        <v>352</v>
      </c>
      <c r="I403" s="37" t="s">
        <v>2085</v>
      </c>
      <c r="J403" s="31">
        <v>99</v>
      </c>
      <c r="K403" s="33" t="s">
        <v>694</v>
      </c>
      <c r="L403" s="33"/>
      <c r="M403" s="34"/>
      <c r="N403" s="34" t="s">
        <v>1681</v>
      </c>
      <c r="O403" s="35">
        <v>1</v>
      </c>
      <c r="P403" s="35">
        <v>1</v>
      </c>
      <c r="Q403" s="32"/>
      <c r="S403" s="1">
        <f t="shared" si="145"/>
        <v>0</v>
      </c>
      <c r="T403" s="1">
        <f t="shared" si="146"/>
        <v>0</v>
      </c>
      <c r="U403" s="1">
        <f t="shared" si="147"/>
        <v>0</v>
      </c>
      <c r="V403" s="1">
        <f t="shared" si="148"/>
        <v>0</v>
      </c>
      <c r="W403" s="1">
        <f t="shared" si="149"/>
        <v>0</v>
      </c>
      <c r="X403" s="1">
        <f t="shared" si="150"/>
        <v>0</v>
      </c>
      <c r="Y403" s="1">
        <f t="shared" si="151"/>
        <v>0</v>
      </c>
      <c r="Z403" s="1">
        <f t="shared" si="152"/>
        <v>0</v>
      </c>
      <c r="AA403" s="1">
        <f t="shared" si="153"/>
        <v>0</v>
      </c>
      <c r="AB403" s="1">
        <f t="shared" si="154"/>
        <v>0</v>
      </c>
      <c r="AD403" s="1">
        <f t="shared" si="155"/>
        <v>1</v>
      </c>
      <c r="AE403" s="1">
        <f t="shared" si="156"/>
        <v>0</v>
      </c>
      <c r="AF403" s="1">
        <f t="shared" si="157"/>
        <v>1</v>
      </c>
      <c r="AG403" s="1">
        <f t="shared" si="158"/>
        <v>0</v>
      </c>
      <c r="AH403" s="1">
        <f t="shared" si="159"/>
        <v>1</v>
      </c>
      <c r="AI403" s="1">
        <f t="shared" si="160"/>
        <v>0</v>
      </c>
    </row>
    <row r="404" spans="1:35" ht="14.25" customHeight="1" x14ac:dyDescent="0.25">
      <c r="A404" s="31">
        <v>0</v>
      </c>
      <c r="B404" s="31">
        <v>2</v>
      </c>
      <c r="C404" s="31">
        <v>5</v>
      </c>
      <c r="D404" s="32" t="s">
        <v>2019</v>
      </c>
      <c r="E404" s="32" t="s">
        <v>171</v>
      </c>
      <c r="F404" s="32" t="s">
        <v>2020</v>
      </c>
      <c r="G404" s="32" t="s">
        <v>206</v>
      </c>
      <c r="H404" s="32" t="s">
        <v>352</v>
      </c>
      <c r="I404" s="31" t="s">
        <v>2021</v>
      </c>
      <c r="J404" s="31">
        <v>99</v>
      </c>
      <c r="K404" s="33" t="s">
        <v>694</v>
      </c>
      <c r="L404" s="33">
        <v>30</v>
      </c>
      <c r="M404" s="34" t="s">
        <v>946</v>
      </c>
      <c r="N404" s="34" t="s">
        <v>1689</v>
      </c>
      <c r="O404" s="35">
        <v>1</v>
      </c>
      <c r="P404" s="35"/>
      <c r="Q404" s="32" t="s">
        <v>2022</v>
      </c>
      <c r="S404" s="1">
        <f t="shared" si="145"/>
        <v>0</v>
      </c>
      <c r="T404" s="1">
        <f t="shared" si="146"/>
        <v>0</v>
      </c>
      <c r="U404" s="1">
        <f t="shared" si="147"/>
        <v>0</v>
      </c>
      <c r="V404" s="1">
        <f t="shared" si="148"/>
        <v>0</v>
      </c>
      <c r="W404" s="1">
        <f t="shared" si="149"/>
        <v>0</v>
      </c>
      <c r="X404" s="1">
        <f t="shared" si="150"/>
        <v>0</v>
      </c>
      <c r="Y404" s="1">
        <f t="shared" si="151"/>
        <v>0</v>
      </c>
      <c r="Z404" s="1">
        <f t="shared" si="152"/>
        <v>0</v>
      </c>
      <c r="AA404" s="1">
        <f t="shared" si="153"/>
        <v>0</v>
      </c>
      <c r="AB404" s="1">
        <f t="shared" si="154"/>
        <v>0</v>
      </c>
      <c r="AD404" s="1">
        <f t="shared" si="155"/>
        <v>0</v>
      </c>
      <c r="AE404" s="1">
        <f t="shared" si="156"/>
        <v>1</v>
      </c>
      <c r="AF404" s="1">
        <f t="shared" si="157"/>
        <v>0</v>
      </c>
      <c r="AG404" s="1">
        <f t="shared" si="158"/>
        <v>1</v>
      </c>
      <c r="AH404" s="1">
        <f t="shared" si="159"/>
        <v>0</v>
      </c>
      <c r="AI404" s="1">
        <f t="shared" si="160"/>
        <v>1</v>
      </c>
    </row>
    <row r="405" spans="1:35" ht="14.25" customHeight="1" x14ac:dyDescent="0.25">
      <c r="A405" s="31">
        <v>0</v>
      </c>
      <c r="B405" s="31">
        <v>2</v>
      </c>
      <c r="C405" s="31">
        <v>5</v>
      </c>
      <c r="D405" s="32" t="s">
        <v>1598</v>
      </c>
      <c r="E405" s="32" t="s">
        <v>1610</v>
      </c>
      <c r="F405" s="32" t="s">
        <v>1507</v>
      </c>
      <c r="G405" s="32" t="s">
        <v>261</v>
      </c>
      <c r="H405" s="32" t="s">
        <v>352</v>
      </c>
      <c r="I405" s="31" t="s">
        <v>1508</v>
      </c>
      <c r="J405" s="31">
        <v>99</v>
      </c>
      <c r="K405" s="33" t="s">
        <v>931</v>
      </c>
      <c r="L405" s="33">
        <v>40</v>
      </c>
      <c r="M405" s="34" t="s">
        <v>39</v>
      </c>
      <c r="N405" s="34" t="s">
        <v>1766</v>
      </c>
      <c r="O405" s="35">
        <v>1</v>
      </c>
      <c r="P405" s="35"/>
      <c r="Q405" s="32"/>
      <c r="S405" s="1">
        <f t="shared" si="145"/>
        <v>0</v>
      </c>
      <c r="T405" s="1">
        <f t="shared" si="146"/>
        <v>0</v>
      </c>
      <c r="U405" s="1">
        <f t="shared" si="147"/>
        <v>0</v>
      </c>
      <c r="V405" s="1">
        <f t="shared" si="148"/>
        <v>0</v>
      </c>
      <c r="W405" s="1">
        <f t="shared" si="149"/>
        <v>0</v>
      </c>
      <c r="X405" s="1">
        <f t="shared" si="150"/>
        <v>0</v>
      </c>
      <c r="Y405" s="1">
        <f t="shared" si="151"/>
        <v>0</v>
      </c>
      <c r="Z405" s="1">
        <f t="shared" si="152"/>
        <v>0</v>
      </c>
      <c r="AA405" s="1">
        <f t="shared" si="153"/>
        <v>0</v>
      </c>
      <c r="AB405" s="1">
        <f t="shared" si="154"/>
        <v>0</v>
      </c>
      <c r="AD405" s="1">
        <f t="shared" si="155"/>
        <v>0</v>
      </c>
      <c r="AE405" s="1">
        <f t="shared" si="156"/>
        <v>1</v>
      </c>
      <c r="AF405" s="1">
        <f t="shared" si="157"/>
        <v>0</v>
      </c>
      <c r="AG405" s="1">
        <f t="shared" si="158"/>
        <v>1</v>
      </c>
      <c r="AH405" s="1">
        <f t="shared" si="159"/>
        <v>0</v>
      </c>
      <c r="AI405" s="1">
        <f t="shared" si="160"/>
        <v>1</v>
      </c>
    </row>
    <row r="406" spans="1:35" ht="14.25" customHeight="1" x14ac:dyDescent="0.25">
      <c r="A406" s="31">
        <v>0</v>
      </c>
      <c r="B406" s="31">
        <v>2</v>
      </c>
      <c r="C406" s="31">
        <v>5</v>
      </c>
      <c r="D406" s="32" t="s">
        <v>1264</v>
      </c>
      <c r="E406" s="32" t="s">
        <v>27</v>
      </c>
      <c r="F406" s="32" t="s">
        <v>1265</v>
      </c>
      <c r="G406" s="32" t="s">
        <v>1266</v>
      </c>
      <c r="H406" s="32" t="s">
        <v>352</v>
      </c>
      <c r="I406" s="31" t="s">
        <v>1267</v>
      </c>
      <c r="J406" s="31">
        <v>99</v>
      </c>
      <c r="K406" s="33" t="s">
        <v>931</v>
      </c>
      <c r="L406" s="33" t="s">
        <v>39</v>
      </c>
      <c r="M406" s="34" t="s">
        <v>39</v>
      </c>
      <c r="N406" s="34" t="s">
        <v>1681</v>
      </c>
      <c r="O406" s="35">
        <v>1</v>
      </c>
      <c r="P406" s="35">
        <v>1</v>
      </c>
      <c r="Q406" s="36"/>
      <c r="S406" s="1">
        <f t="shared" si="145"/>
        <v>0</v>
      </c>
      <c r="T406" s="1">
        <f t="shared" si="146"/>
        <v>0</v>
      </c>
      <c r="U406" s="1">
        <f t="shared" si="147"/>
        <v>0</v>
      </c>
      <c r="V406" s="1">
        <f t="shared" si="148"/>
        <v>0</v>
      </c>
      <c r="W406" s="1">
        <f t="shared" si="149"/>
        <v>0</v>
      </c>
      <c r="X406" s="1">
        <f t="shared" si="150"/>
        <v>0</v>
      </c>
      <c r="Y406" s="1">
        <f t="shared" si="151"/>
        <v>0</v>
      </c>
      <c r="Z406" s="1">
        <f t="shared" si="152"/>
        <v>0</v>
      </c>
      <c r="AA406" s="1">
        <f t="shared" si="153"/>
        <v>0</v>
      </c>
      <c r="AB406" s="1">
        <f t="shared" si="154"/>
        <v>0</v>
      </c>
      <c r="AD406" s="1">
        <f t="shared" si="155"/>
        <v>1</v>
      </c>
      <c r="AE406" s="1">
        <f t="shared" si="156"/>
        <v>0</v>
      </c>
      <c r="AF406" s="1">
        <f t="shared" si="157"/>
        <v>1</v>
      </c>
      <c r="AG406" s="1">
        <f t="shared" si="158"/>
        <v>0</v>
      </c>
      <c r="AH406" s="1">
        <f t="shared" si="159"/>
        <v>1</v>
      </c>
      <c r="AI406" s="1">
        <f t="shared" si="160"/>
        <v>0</v>
      </c>
    </row>
    <row r="407" spans="1:35" ht="14.25" customHeight="1" x14ac:dyDescent="0.25">
      <c r="A407" s="15">
        <v>0</v>
      </c>
      <c r="B407" s="15">
        <v>2</v>
      </c>
      <c r="C407" s="15">
        <v>5</v>
      </c>
      <c r="D407" s="16" t="s">
        <v>1559</v>
      </c>
      <c r="E407" s="16" t="s">
        <v>158</v>
      </c>
      <c r="F407" s="16" t="s">
        <v>2082</v>
      </c>
      <c r="G407" s="16" t="s">
        <v>1430</v>
      </c>
      <c r="H407" s="16" t="s">
        <v>352</v>
      </c>
      <c r="I407" s="15" t="s">
        <v>1431</v>
      </c>
      <c r="J407" s="15">
        <v>99</v>
      </c>
      <c r="K407" s="10" t="s">
        <v>704</v>
      </c>
      <c r="L407" s="10" t="s">
        <v>687</v>
      </c>
      <c r="M407" s="19" t="s">
        <v>1432</v>
      </c>
      <c r="N407" s="19"/>
      <c r="Q407" s="16"/>
      <c r="S407" s="1">
        <f t="shared" si="145"/>
        <v>0</v>
      </c>
      <c r="T407" s="1">
        <f t="shared" si="146"/>
        <v>0</v>
      </c>
      <c r="U407" s="1">
        <f t="shared" si="147"/>
        <v>0</v>
      </c>
      <c r="V407" s="1">
        <f t="shared" si="148"/>
        <v>0</v>
      </c>
      <c r="W407" s="1">
        <f t="shared" si="149"/>
        <v>0</v>
      </c>
      <c r="X407" s="1">
        <f t="shared" si="150"/>
        <v>0</v>
      </c>
      <c r="Y407" s="1">
        <f t="shared" si="151"/>
        <v>0</v>
      </c>
      <c r="Z407" s="1">
        <f t="shared" si="152"/>
        <v>0</v>
      </c>
      <c r="AA407" s="1">
        <f t="shared" si="153"/>
        <v>0</v>
      </c>
      <c r="AB407" s="1">
        <f t="shared" si="154"/>
        <v>0</v>
      </c>
      <c r="AD407" s="1">
        <f t="shared" si="155"/>
        <v>0</v>
      </c>
      <c r="AE407" s="1">
        <f t="shared" si="156"/>
        <v>0</v>
      </c>
      <c r="AF407" s="1">
        <f t="shared" si="157"/>
        <v>0</v>
      </c>
      <c r="AG407" s="1">
        <f t="shared" si="158"/>
        <v>0</v>
      </c>
      <c r="AH407" s="1">
        <f t="shared" si="159"/>
        <v>0</v>
      </c>
      <c r="AI407" s="1">
        <f t="shared" si="160"/>
        <v>1</v>
      </c>
    </row>
    <row r="408" spans="1:35" ht="14.25" customHeight="1" x14ac:dyDescent="0.25">
      <c r="A408" s="31">
        <v>0</v>
      </c>
      <c r="B408" s="31">
        <v>2</v>
      </c>
      <c r="C408" s="31">
        <v>5</v>
      </c>
      <c r="D408" s="32" t="s">
        <v>1979</v>
      </c>
      <c r="E408" s="32" t="s">
        <v>1980</v>
      </c>
      <c r="F408" s="32" t="s">
        <v>1981</v>
      </c>
      <c r="G408" s="32" t="s">
        <v>1984</v>
      </c>
      <c r="H408" s="32" t="s">
        <v>352</v>
      </c>
      <c r="I408" s="31" t="s">
        <v>1982</v>
      </c>
      <c r="J408" s="31"/>
      <c r="K408" s="33" t="s">
        <v>1763</v>
      </c>
      <c r="L408" s="33"/>
      <c r="M408" s="34"/>
      <c r="N408" s="34" t="s">
        <v>1681</v>
      </c>
      <c r="O408" s="35">
        <v>1</v>
      </c>
      <c r="P408" s="35">
        <v>1</v>
      </c>
      <c r="Q408" s="32" t="s">
        <v>1983</v>
      </c>
      <c r="S408" s="1">
        <f t="shared" ref="S408:S471" si="167">IF(J408=$S$7,1,0)</f>
        <v>0</v>
      </c>
      <c r="T408" s="1">
        <f t="shared" ref="T408:T471" si="168">IF(J408=$T$7,1,0)</f>
        <v>0</v>
      </c>
      <c r="U408" s="1">
        <f t="shared" ref="U408:U471" si="169">IF(J408=$U$7,1,0)</f>
        <v>0</v>
      </c>
      <c r="V408" s="1">
        <f t="shared" ref="V408:V471" si="170">IF(J408=$V$7,1,0)</f>
        <v>0</v>
      </c>
      <c r="W408" s="1">
        <f t="shared" ref="W408:W471" si="171">IF(J408=$W$7,1,0)</f>
        <v>0</v>
      </c>
      <c r="X408" s="1">
        <f t="shared" ref="X408:X471" si="172">IF(J408=$X$7,1,0)</f>
        <v>0</v>
      </c>
      <c r="Y408" s="1">
        <f t="shared" ref="Y408:Y471" si="173">IF(J408=$Y$7,1,0)</f>
        <v>0</v>
      </c>
      <c r="Z408" s="1">
        <f t="shared" ref="Z408:Z471" si="174">IF(J408=$Z$7,1,0)</f>
        <v>0</v>
      </c>
      <c r="AA408" s="1">
        <f t="shared" ref="AA408:AA471" si="175">IF(J408=$AA$7,1,0)</f>
        <v>0</v>
      </c>
      <c r="AB408" s="1">
        <f t="shared" ref="AB408:AB471" si="176">IF(J408=$AB$7,1,0)</f>
        <v>0</v>
      </c>
      <c r="AD408" s="1">
        <f t="shared" ref="AD408:AD471" si="177">+O408*P408</f>
        <v>1</v>
      </c>
      <c r="AE408" s="1">
        <f t="shared" ref="AE408:AE471" si="178">O408*(1-P408)</f>
        <v>0</v>
      </c>
      <c r="AF408" s="1">
        <f t="shared" si="157"/>
        <v>1</v>
      </c>
      <c r="AG408" s="1">
        <f t="shared" si="158"/>
        <v>0</v>
      </c>
      <c r="AH408" s="1">
        <f t="shared" si="159"/>
        <v>1</v>
      </c>
      <c r="AI408" s="1">
        <f t="shared" si="160"/>
        <v>0</v>
      </c>
    </row>
    <row r="409" spans="1:35" ht="14.25" customHeight="1" x14ac:dyDescent="0.25">
      <c r="A409" s="31">
        <v>0</v>
      </c>
      <c r="B409" s="31">
        <v>2</v>
      </c>
      <c r="C409" s="31">
        <v>5</v>
      </c>
      <c r="D409" s="32" t="s">
        <v>1723</v>
      </c>
      <c r="E409" s="32" t="s">
        <v>154</v>
      </c>
      <c r="F409" s="32" t="s">
        <v>1724</v>
      </c>
      <c r="G409" s="32" t="s">
        <v>648</v>
      </c>
      <c r="H409" s="32" t="s">
        <v>352</v>
      </c>
      <c r="I409" s="31" t="s">
        <v>1725</v>
      </c>
      <c r="J409" s="31"/>
      <c r="K409" s="33" t="s">
        <v>694</v>
      </c>
      <c r="L409" s="33">
        <v>40</v>
      </c>
      <c r="M409" s="34" t="s">
        <v>1726</v>
      </c>
      <c r="N409" s="34" t="s">
        <v>1689</v>
      </c>
      <c r="O409" s="35">
        <v>1</v>
      </c>
      <c r="P409" s="35"/>
      <c r="Q409" s="32"/>
      <c r="S409" s="1">
        <f t="shared" si="167"/>
        <v>0</v>
      </c>
      <c r="T409" s="1">
        <f t="shared" si="168"/>
        <v>0</v>
      </c>
      <c r="U409" s="1">
        <f t="shared" si="169"/>
        <v>0</v>
      </c>
      <c r="V409" s="1">
        <f t="shared" si="170"/>
        <v>0</v>
      </c>
      <c r="W409" s="1">
        <f t="shared" si="171"/>
        <v>0</v>
      </c>
      <c r="X409" s="1">
        <f t="shared" si="172"/>
        <v>0</v>
      </c>
      <c r="Y409" s="1">
        <f t="shared" si="173"/>
        <v>0</v>
      </c>
      <c r="Z409" s="1">
        <f t="shared" si="174"/>
        <v>0</v>
      </c>
      <c r="AA409" s="1">
        <f t="shared" si="175"/>
        <v>0</v>
      </c>
      <c r="AB409" s="1">
        <f t="shared" si="176"/>
        <v>0</v>
      </c>
      <c r="AD409" s="1">
        <f t="shared" si="177"/>
        <v>0</v>
      </c>
      <c r="AE409" s="1">
        <f t="shared" si="178"/>
        <v>1</v>
      </c>
      <c r="AF409" s="1">
        <f t="shared" ref="AF409:AF472" si="179">+O409*P409*(1-A409)</f>
        <v>0</v>
      </c>
      <c r="AG409" s="1">
        <f t="shared" ref="AG409:AG472" si="180">O409*(1-P409)*(1-A409)</f>
        <v>1</v>
      </c>
      <c r="AH409" s="1">
        <f t="shared" ref="AH409:AH472" si="181">+P409*(1-A409)</f>
        <v>0</v>
      </c>
      <c r="AI409" s="1">
        <f t="shared" ref="AI409:AI472" si="182">+(1-A409)*(1-P409)</f>
        <v>1</v>
      </c>
    </row>
    <row r="410" spans="1:35" ht="14.25" customHeight="1" x14ac:dyDescent="0.25">
      <c r="A410" s="31">
        <v>0</v>
      </c>
      <c r="B410" s="31">
        <v>2</v>
      </c>
      <c r="C410" s="31">
        <v>5</v>
      </c>
      <c r="D410" s="32" t="s">
        <v>817</v>
      </c>
      <c r="E410" s="32" t="s">
        <v>811</v>
      </c>
      <c r="F410" s="32" t="s">
        <v>918</v>
      </c>
      <c r="G410" s="32" t="s">
        <v>179</v>
      </c>
      <c r="H410" s="32" t="s">
        <v>352</v>
      </c>
      <c r="I410" s="31" t="s">
        <v>1085</v>
      </c>
      <c r="J410" s="31">
        <v>10</v>
      </c>
      <c r="K410" s="33" t="s">
        <v>703</v>
      </c>
      <c r="L410" s="33" t="s">
        <v>684</v>
      </c>
      <c r="M410" s="34" t="s">
        <v>1392</v>
      </c>
      <c r="N410" s="34" t="s">
        <v>1700</v>
      </c>
      <c r="O410" s="35">
        <v>1</v>
      </c>
      <c r="P410" s="35"/>
      <c r="Q410" s="32"/>
      <c r="S410" s="1">
        <f t="shared" si="167"/>
        <v>0</v>
      </c>
      <c r="T410" s="1">
        <f t="shared" si="168"/>
        <v>0</v>
      </c>
      <c r="U410" s="1">
        <f t="shared" si="169"/>
        <v>0</v>
      </c>
      <c r="V410" s="1">
        <f t="shared" si="170"/>
        <v>0</v>
      </c>
      <c r="W410" s="1">
        <f t="shared" si="171"/>
        <v>0</v>
      </c>
      <c r="X410" s="1">
        <f t="shared" si="172"/>
        <v>0</v>
      </c>
      <c r="Y410" s="1">
        <f t="shared" si="173"/>
        <v>0</v>
      </c>
      <c r="Z410" s="1">
        <f t="shared" si="174"/>
        <v>0</v>
      </c>
      <c r="AA410" s="1">
        <f t="shared" si="175"/>
        <v>0</v>
      </c>
      <c r="AB410" s="1">
        <f t="shared" si="176"/>
        <v>1</v>
      </c>
      <c r="AD410" s="1">
        <f t="shared" si="177"/>
        <v>0</v>
      </c>
      <c r="AE410" s="1">
        <f t="shared" si="178"/>
        <v>1</v>
      </c>
      <c r="AF410" s="1">
        <f t="shared" si="179"/>
        <v>0</v>
      </c>
      <c r="AG410" s="1">
        <f t="shared" si="180"/>
        <v>1</v>
      </c>
      <c r="AH410" s="1">
        <f t="shared" si="181"/>
        <v>0</v>
      </c>
      <c r="AI410" s="1">
        <f t="shared" si="182"/>
        <v>1</v>
      </c>
    </row>
    <row r="411" spans="1:35" ht="14.25" customHeight="1" x14ac:dyDescent="0.25">
      <c r="A411" s="46">
        <v>0</v>
      </c>
      <c r="B411" s="46">
        <v>2</v>
      </c>
      <c r="C411" s="46">
        <v>6</v>
      </c>
      <c r="D411" s="47" t="s">
        <v>1499</v>
      </c>
      <c r="E411" s="47" t="s">
        <v>27</v>
      </c>
      <c r="F411" s="47" t="s">
        <v>1501</v>
      </c>
      <c r="G411" s="47" t="s">
        <v>1490</v>
      </c>
      <c r="H411" s="47" t="s">
        <v>352</v>
      </c>
      <c r="I411" s="46" t="s">
        <v>1500</v>
      </c>
      <c r="J411" s="46">
        <v>5</v>
      </c>
      <c r="K411" s="48" t="s">
        <v>931</v>
      </c>
      <c r="L411" s="48" t="s">
        <v>39</v>
      </c>
      <c r="M411" s="49" t="s">
        <v>39</v>
      </c>
      <c r="N411" s="50"/>
      <c r="O411" s="51"/>
      <c r="P411" s="51"/>
      <c r="Q411" s="52" t="s">
        <v>1840</v>
      </c>
      <c r="S411" s="1">
        <f t="shared" si="167"/>
        <v>0</v>
      </c>
      <c r="T411" s="1">
        <f t="shared" si="168"/>
        <v>0</v>
      </c>
      <c r="U411" s="1">
        <f t="shared" si="169"/>
        <v>0</v>
      </c>
      <c r="V411" s="1">
        <f t="shared" si="170"/>
        <v>0</v>
      </c>
      <c r="W411" s="1">
        <f t="shared" si="171"/>
        <v>1</v>
      </c>
      <c r="X411" s="1">
        <f t="shared" si="172"/>
        <v>0</v>
      </c>
      <c r="Y411" s="1">
        <f t="shared" si="173"/>
        <v>0</v>
      </c>
      <c r="Z411" s="1">
        <f t="shared" si="174"/>
        <v>0</v>
      </c>
      <c r="AA411" s="1">
        <f t="shared" si="175"/>
        <v>0</v>
      </c>
      <c r="AB411" s="1">
        <f t="shared" si="176"/>
        <v>0</v>
      </c>
      <c r="AD411" s="1">
        <f t="shared" si="177"/>
        <v>0</v>
      </c>
      <c r="AE411" s="1">
        <f t="shared" si="178"/>
        <v>0</v>
      </c>
      <c r="AF411" s="1">
        <f t="shared" si="179"/>
        <v>0</v>
      </c>
      <c r="AG411" s="1">
        <f t="shared" si="180"/>
        <v>0</v>
      </c>
      <c r="AH411" s="1">
        <f t="shared" si="181"/>
        <v>0</v>
      </c>
      <c r="AI411" s="1">
        <f t="shared" si="182"/>
        <v>1</v>
      </c>
    </row>
    <row r="412" spans="1:35" ht="14.25" customHeight="1" x14ac:dyDescent="0.25">
      <c r="A412" s="31">
        <v>0</v>
      </c>
      <c r="B412" s="31">
        <v>2</v>
      </c>
      <c r="C412" s="31">
        <v>6</v>
      </c>
      <c r="D412" s="32" t="s">
        <v>515</v>
      </c>
      <c r="E412" s="32" t="s">
        <v>31</v>
      </c>
      <c r="F412" s="32" t="s">
        <v>664</v>
      </c>
      <c r="G412" s="32" t="s">
        <v>199</v>
      </c>
      <c r="H412" s="32" t="s">
        <v>352</v>
      </c>
      <c r="I412" s="31" t="s">
        <v>516</v>
      </c>
      <c r="J412" s="31">
        <v>2</v>
      </c>
      <c r="K412" s="33" t="s">
        <v>930</v>
      </c>
      <c r="L412" s="33" t="s">
        <v>685</v>
      </c>
      <c r="M412" s="34" t="s">
        <v>1393</v>
      </c>
      <c r="N412" s="34" t="s">
        <v>1689</v>
      </c>
      <c r="O412" s="35">
        <v>1</v>
      </c>
      <c r="P412" s="35"/>
      <c r="Q412" s="32"/>
      <c r="S412" s="1">
        <f t="shared" si="167"/>
        <v>0</v>
      </c>
      <c r="T412" s="1">
        <f t="shared" si="168"/>
        <v>1</v>
      </c>
      <c r="U412" s="1">
        <f t="shared" si="169"/>
        <v>0</v>
      </c>
      <c r="V412" s="1">
        <f t="shared" si="170"/>
        <v>0</v>
      </c>
      <c r="W412" s="1">
        <f t="shared" si="171"/>
        <v>0</v>
      </c>
      <c r="X412" s="1">
        <f t="shared" si="172"/>
        <v>0</v>
      </c>
      <c r="Y412" s="1">
        <f t="shared" si="173"/>
        <v>0</v>
      </c>
      <c r="Z412" s="1">
        <f t="shared" si="174"/>
        <v>0</v>
      </c>
      <c r="AA412" s="1">
        <f t="shared" si="175"/>
        <v>0</v>
      </c>
      <c r="AB412" s="1">
        <f t="shared" si="176"/>
        <v>0</v>
      </c>
      <c r="AD412" s="1">
        <f t="shared" si="177"/>
        <v>0</v>
      </c>
      <c r="AE412" s="1">
        <f t="shared" si="178"/>
        <v>1</v>
      </c>
      <c r="AF412" s="1">
        <f t="shared" si="179"/>
        <v>0</v>
      </c>
      <c r="AG412" s="1">
        <f t="shared" si="180"/>
        <v>1</v>
      </c>
      <c r="AH412" s="1">
        <f t="shared" si="181"/>
        <v>0</v>
      </c>
      <c r="AI412" s="1">
        <f t="shared" si="182"/>
        <v>1</v>
      </c>
    </row>
    <row r="413" spans="1:35" ht="14.25" customHeight="1" x14ac:dyDescent="0.25">
      <c r="A413" s="31">
        <v>0</v>
      </c>
      <c r="B413" s="31">
        <v>2</v>
      </c>
      <c r="C413" s="31">
        <v>6</v>
      </c>
      <c r="D413" s="32" t="s">
        <v>53</v>
      </c>
      <c r="E413" s="32" t="s">
        <v>31</v>
      </c>
      <c r="F413" s="32" t="s">
        <v>209</v>
      </c>
      <c r="G413" s="32" t="s">
        <v>210</v>
      </c>
      <c r="H413" s="32" t="s">
        <v>352</v>
      </c>
      <c r="I413" s="31" t="s">
        <v>390</v>
      </c>
      <c r="J413" s="31">
        <v>1</v>
      </c>
      <c r="K413" s="33" t="s">
        <v>703</v>
      </c>
      <c r="L413" s="33" t="s">
        <v>695</v>
      </c>
      <c r="M413" s="34" t="s">
        <v>719</v>
      </c>
      <c r="N413" s="34" t="s">
        <v>1689</v>
      </c>
      <c r="O413" s="35">
        <v>1</v>
      </c>
      <c r="P413" s="35"/>
      <c r="Q413" s="32"/>
      <c r="S413" s="1">
        <f t="shared" si="167"/>
        <v>1</v>
      </c>
      <c r="T413" s="1">
        <f t="shared" si="168"/>
        <v>0</v>
      </c>
      <c r="U413" s="1">
        <f t="shared" si="169"/>
        <v>0</v>
      </c>
      <c r="V413" s="1">
        <f t="shared" si="170"/>
        <v>0</v>
      </c>
      <c r="W413" s="1">
        <f t="shared" si="171"/>
        <v>0</v>
      </c>
      <c r="X413" s="1">
        <f t="shared" si="172"/>
        <v>0</v>
      </c>
      <c r="Y413" s="1">
        <f t="shared" si="173"/>
        <v>0</v>
      </c>
      <c r="Z413" s="1">
        <f t="shared" si="174"/>
        <v>0</v>
      </c>
      <c r="AA413" s="1">
        <f t="shared" si="175"/>
        <v>0</v>
      </c>
      <c r="AB413" s="1">
        <f t="shared" si="176"/>
        <v>0</v>
      </c>
      <c r="AD413" s="1">
        <f t="shared" si="177"/>
        <v>0</v>
      </c>
      <c r="AE413" s="1">
        <f t="shared" si="178"/>
        <v>1</v>
      </c>
      <c r="AF413" s="1">
        <f t="shared" si="179"/>
        <v>0</v>
      </c>
      <c r="AG413" s="1">
        <f t="shared" si="180"/>
        <v>1</v>
      </c>
      <c r="AH413" s="1">
        <f t="shared" si="181"/>
        <v>0</v>
      </c>
      <c r="AI413" s="1">
        <f t="shared" si="182"/>
        <v>1</v>
      </c>
    </row>
    <row r="414" spans="1:35" ht="14.25" customHeight="1" x14ac:dyDescent="0.25">
      <c r="A414" s="31">
        <v>0</v>
      </c>
      <c r="B414" s="31">
        <v>2</v>
      </c>
      <c r="C414" s="31">
        <v>6</v>
      </c>
      <c r="D414" s="32" t="s">
        <v>1803</v>
      </c>
      <c r="E414" s="32" t="s">
        <v>1804</v>
      </c>
      <c r="F414" s="32" t="s">
        <v>1805</v>
      </c>
      <c r="G414" s="32"/>
      <c r="H414" s="32" t="s">
        <v>352</v>
      </c>
      <c r="I414" s="31" t="s">
        <v>1806</v>
      </c>
      <c r="J414" s="31">
        <v>99</v>
      </c>
      <c r="K414" s="33" t="s">
        <v>694</v>
      </c>
      <c r="L414" s="33">
        <v>25</v>
      </c>
      <c r="M414" s="34" t="s">
        <v>1807</v>
      </c>
      <c r="N414" s="34" t="s">
        <v>1689</v>
      </c>
      <c r="O414" s="35">
        <v>1</v>
      </c>
      <c r="P414" s="35"/>
      <c r="Q414" s="32" t="s">
        <v>1985</v>
      </c>
      <c r="S414" s="1">
        <f t="shared" si="167"/>
        <v>0</v>
      </c>
      <c r="T414" s="1">
        <f t="shared" si="168"/>
        <v>0</v>
      </c>
      <c r="U414" s="1">
        <f t="shared" si="169"/>
        <v>0</v>
      </c>
      <c r="V414" s="1">
        <f t="shared" si="170"/>
        <v>0</v>
      </c>
      <c r="W414" s="1">
        <f t="shared" si="171"/>
        <v>0</v>
      </c>
      <c r="X414" s="1">
        <f t="shared" si="172"/>
        <v>0</v>
      </c>
      <c r="Y414" s="1">
        <f t="shared" si="173"/>
        <v>0</v>
      </c>
      <c r="Z414" s="1">
        <f t="shared" si="174"/>
        <v>0</v>
      </c>
      <c r="AA414" s="1">
        <f t="shared" si="175"/>
        <v>0</v>
      </c>
      <c r="AB414" s="1">
        <f t="shared" si="176"/>
        <v>0</v>
      </c>
      <c r="AD414" s="1">
        <f t="shared" si="177"/>
        <v>0</v>
      </c>
      <c r="AE414" s="1">
        <f t="shared" si="178"/>
        <v>1</v>
      </c>
      <c r="AF414" s="1">
        <f t="shared" si="179"/>
        <v>0</v>
      </c>
      <c r="AG414" s="1">
        <f t="shared" si="180"/>
        <v>1</v>
      </c>
      <c r="AH414" s="1">
        <f t="shared" si="181"/>
        <v>0</v>
      </c>
      <c r="AI414" s="1">
        <f t="shared" si="182"/>
        <v>1</v>
      </c>
    </row>
    <row r="415" spans="1:35" ht="14.25" customHeight="1" x14ac:dyDescent="0.25">
      <c r="A415" s="31">
        <v>0</v>
      </c>
      <c r="B415" s="31">
        <v>2</v>
      </c>
      <c r="C415" s="31">
        <v>6</v>
      </c>
      <c r="D415" s="32" t="s">
        <v>80</v>
      </c>
      <c r="E415" s="32" t="s">
        <v>31</v>
      </c>
      <c r="F415" s="32" t="s">
        <v>269</v>
      </c>
      <c r="G415" s="32" t="s">
        <v>223</v>
      </c>
      <c r="H415" s="32" t="s">
        <v>352</v>
      </c>
      <c r="I415" s="31" t="s">
        <v>670</v>
      </c>
      <c r="J415" s="31">
        <v>99</v>
      </c>
      <c r="K415" s="33" t="s">
        <v>931</v>
      </c>
      <c r="L415" s="33" t="s">
        <v>685</v>
      </c>
      <c r="M415" s="34" t="s">
        <v>1394</v>
      </c>
      <c r="N415" s="34" t="s">
        <v>1790</v>
      </c>
      <c r="O415" s="35">
        <v>1</v>
      </c>
      <c r="P415" s="35"/>
      <c r="Q415" s="32"/>
      <c r="S415" s="1">
        <f t="shared" si="167"/>
        <v>0</v>
      </c>
      <c r="T415" s="1">
        <f t="shared" si="168"/>
        <v>0</v>
      </c>
      <c r="U415" s="1">
        <f t="shared" si="169"/>
        <v>0</v>
      </c>
      <c r="V415" s="1">
        <f t="shared" si="170"/>
        <v>0</v>
      </c>
      <c r="W415" s="1">
        <f t="shared" si="171"/>
        <v>0</v>
      </c>
      <c r="X415" s="1">
        <f t="shared" si="172"/>
        <v>0</v>
      </c>
      <c r="Y415" s="1">
        <f t="shared" si="173"/>
        <v>0</v>
      </c>
      <c r="Z415" s="1">
        <f t="shared" si="174"/>
        <v>0</v>
      </c>
      <c r="AA415" s="1">
        <f t="shared" si="175"/>
        <v>0</v>
      </c>
      <c r="AB415" s="1">
        <f t="shared" si="176"/>
        <v>0</v>
      </c>
      <c r="AD415" s="1">
        <f t="shared" si="177"/>
        <v>0</v>
      </c>
      <c r="AE415" s="1">
        <f t="shared" si="178"/>
        <v>1</v>
      </c>
      <c r="AF415" s="1">
        <f t="shared" si="179"/>
        <v>0</v>
      </c>
      <c r="AG415" s="1">
        <f t="shared" si="180"/>
        <v>1</v>
      </c>
      <c r="AH415" s="1">
        <f t="shared" si="181"/>
        <v>0</v>
      </c>
      <c r="AI415" s="1">
        <f t="shared" si="182"/>
        <v>1</v>
      </c>
    </row>
    <row r="416" spans="1:35" ht="14.25" customHeight="1" x14ac:dyDescent="0.25">
      <c r="A416" s="31">
        <v>0</v>
      </c>
      <c r="B416" s="31">
        <v>2</v>
      </c>
      <c r="C416" s="31">
        <v>6</v>
      </c>
      <c r="D416" s="32" t="s">
        <v>631</v>
      </c>
      <c r="E416" s="32" t="s">
        <v>31</v>
      </c>
      <c r="F416" s="32" t="s">
        <v>632</v>
      </c>
      <c r="G416" s="32" t="s">
        <v>239</v>
      </c>
      <c r="H416" s="32" t="s">
        <v>352</v>
      </c>
      <c r="I416" s="31" t="s">
        <v>633</v>
      </c>
      <c r="J416" s="31">
        <v>1</v>
      </c>
      <c r="K416" s="33" t="s">
        <v>704</v>
      </c>
      <c r="L416" s="33" t="s">
        <v>685</v>
      </c>
      <c r="M416" s="34" t="s">
        <v>1395</v>
      </c>
      <c r="N416" s="34" t="s">
        <v>1689</v>
      </c>
      <c r="O416" s="35">
        <v>1</v>
      </c>
      <c r="P416" s="35"/>
      <c r="Q416" s="32"/>
      <c r="S416" s="1">
        <f t="shared" si="167"/>
        <v>1</v>
      </c>
      <c r="T416" s="1">
        <f t="shared" si="168"/>
        <v>0</v>
      </c>
      <c r="U416" s="1">
        <f t="shared" si="169"/>
        <v>0</v>
      </c>
      <c r="V416" s="1">
        <f t="shared" si="170"/>
        <v>0</v>
      </c>
      <c r="W416" s="1">
        <f t="shared" si="171"/>
        <v>0</v>
      </c>
      <c r="X416" s="1">
        <f t="shared" si="172"/>
        <v>0</v>
      </c>
      <c r="Y416" s="1">
        <f t="shared" si="173"/>
        <v>0</v>
      </c>
      <c r="Z416" s="1">
        <f t="shared" si="174"/>
        <v>0</v>
      </c>
      <c r="AA416" s="1">
        <f t="shared" si="175"/>
        <v>0</v>
      </c>
      <c r="AB416" s="1">
        <f t="shared" si="176"/>
        <v>0</v>
      </c>
      <c r="AD416" s="1">
        <f t="shared" si="177"/>
        <v>0</v>
      </c>
      <c r="AE416" s="1">
        <f t="shared" si="178"/>
        <v>1</v>
      </c>
      <c r="AF416" s="1">
        <f t="shared" si="179"/>
        <v>0</v>
      </c>
      <c r="AG416" s="1">
        <f t="shared" si="180"/>
        <v>1</v>
      </c>
      <c r="AH416" s="1">
        <f t="shared" si="181"/>
        <v>0</v>
      </c>
      <c r="AI416" s="1">
        <f t="shared" si="182"/>
        <v>1</v>
      </c>
    </row>
    <row r="417" spans="1:35" ht="14.25" customHeight="1" x14ac:dyDescent="0.25">
      <c r="A417" s="31">
        <v>0</v>
      </c>
      <c r="B417" s="31">
        <v>2</v>
      </c>
      <c r="C417" s="31">
        <v>6</v>
      </c>
      <c r="D417" s="32" t="s">
        <v>1059</v>
      </c>
      <c r="E417" s="32" t="s">
        <v>158</v>
      </c>
      <c r="F417" s="32" t="s">
        <v>197</v>
      </c>
      <c r="G417" s="32" t="s">
        <v>198</v>
      </c>
      <c r="H417" s="32" t="s">
        <v>352</v>
      </c>
      <c r="I417" s="31" t="s">
        <v>386</v>
      </c>
      <c r="J417" s="31">
        <v>99</v>
      </c>
      <c r="K417" s="33" t="s">
        <v>703</v>
      </c>
      <c r="L417" s="33" t="s">
        <v>707</v>
      </c>
      <c r="M417" s="34" t="s">
        <v>721</v>
      </c>
      <c r="N417" s="34" t="s">
        <v>1694</v>
      </c>
      <c r="O417" s="35">
        <v>1</v>
      </c>
      <c r="P417" s="35"/>
      <c r="Q417" s="32"/>
      <c r="S417" s="1">
        <f t="shared" si="167"/>
        <v>0</v>
      </c>
      <c r="T417" s="1">
        <f t="shared" si="168"/>
        <v>0</v>
      </c>
      <c r="U417" s="1">
        <f t="shared" si="169"/>
        <v>0</v>
      </c>
      <c r="V417" s="1">
        <f t="shared" si="170"/>
        <v>0</v>
      </c>
      <c r="W417" s="1">
        <f t="shared" si="171"/>
        <v>0</v>
      </c>
      <c r="X417" s="1">
        <f t="shared" si="172"/>
        <v>0</v>
      </c>
      <c r="Y417" s="1">
        <f t="shared" si="173"/>
        <v>0</v>
      </c>
      <c r="Z417" s="1">
        <f t="shared" si="174"/>
        <v>0</v>
      </c>
      <c r="AA417" s="1">
        <f t="shared" si="175"/>
        <v>0</v>
      </c>
      <c r="AB417" s="1">
        <f t="shared" si="176"/>
        <v>0</v>
      </c>
      <c r="AD417" s="1">
        <f t="shared" si="177"/>
        <v>0</v>
      </c>
      <c r="AE417" s="1">
        <f t="shared" si="178"/>
        <v>1</v>
      </c>
      <c r="AF417" s="1">
        <f t="shared" si="179"/>
        <v>0</v>
      </c>
      <c r="AG417" s="1">
        <f t="shared" si="180"/>
        <v>1</v>
      </c>
      <c r="AH417" s="1">
        <f t="shared" si="181"/>
        <v>0</v>
      </c>
      <c r="AI417" s="1">
        <f t="shared" si="182"/>
        <v>1</v>
      </c>
    </row>
    <row r="418" spans="1:35" ht="14.25" customHeight="1" x14ac:dyDescent="0.25">
      <c r="A418" s="31">
        <v>0</v>
      </c>
      <c r="B418" s="31">
        <v>2</v>
      </c>
      <c r="C418" s="31">
        <v>7</v>
      </c>
      <c r="D418" s="32" t="s">
        <v>505</v>
      </c>
      <c r="E418" s="32" t="s">
        <v>155</v>
      </c>
      <c r="F418" s="32" t="s">
        <v>506</v>
      </c>
      <c r="G418" s="32" t="s">
        <v>39</v>
      </c>
      <c r="H418" s="32" t="s">
        <v>352</v>
      </c>
      <c r="I418" s="31" t="s">
        <v>919</v>
      </c>
      <c r="J418" s="31">
        <v>7</v>
      </c>
      <c r="K418" s="33" t="s">
        <v>931</v>
      </c>
      <c r="L418" s="33" t="s">
        <v>39</v>
      </c>
      <c r="M418" s="34" t="s">
        <v>39</v>
      </c>
      <c r="N418" s="34" t="s">
        <v>1681</v>
      </c>
      <c r="O418" s="35">
        <v>1</v>
      </c>
      <c r="P418" s="35">
        <v>1</v>
      </c>
      <c r="Q418" s="32"/>
      <c r="S418" s="1">
        <f t="shared" si="167"/>
        <v>0</v>
      </c>
      <c r="T418" s="1">
        <f t="shared" si="168"/>
        <v>0</v>
      </c>
      <c r="U418" s="1">
        <f t="shared" si="169"/>
        <v>0</v>
      </c>
      <c r="V418" s="1">
        <f t="shared" si="170"/>
        <v>0</v>
      </c>
      <c r="W418" s="1">
        <f t="shared" si="171"/>
        <v>0</v>
      </c>
      <c r="X418" s="1">
        <f t="shared" si="172"/>
        <v>0</v>
      </c>
      <c r="Y418" s="1">
        <f t="shared" si="173"/>
        <v>1</v>
      </c>
      <c r="Z418" s="1">
        <f t="shared" si="174"/>
        <v>0</v>
      </c>
      <c r="AA418" s="1">
        <f t="shared" si="175"/>
        <v>0</v>
      </c>
      <c r="AB418" s="1">
        <f t="shared" si="176"/>
        <v>0</v>
      </c>
      <c r="AD418" s="1">
        <f t="shared" si="177"/>
        <v>1</v>
      </c>
      <c r="AE418" s="1">
        <f t="shared" si="178"/>
        <v>0</v>
      </c>
      <c r="AF418" s="1">
        <f t="shared" si="179"/>
        <v>1</v>
      </c>
      <c r="AG418" s="1">
        <f t="shared" si="180"/>
        <v>0</v>
      </c>
      <c r="AH418" s="1">
        <f t="shared" si="181"/>
        <v>1</v>
      </c>
      <c r="AI418" s="1">
        <f t="shared" si="182"/>
        <v>0</v>
      </c>
    </row>
    <row r="419" spans="1:35" ht="14.25" customHeight="1" x14ac:dyDescent="0.25">
      <c r="A419" s="31">
        <v>0</v>
      </c>
      <c r="B419" s="31">
        <v>2</v>
      </c>
      <c r="C419" s="31">
        <v>7</v>
      </c>
      <c r="D419" s="32" t="s">
        <v>70</v>
      </c>
      <c r="E419" s="32" t="s">
        <v>28</v>
      </c>
      <c r="F419" s="32" t="s">
        <v>665</v>
      </c>
      <c r="G419" s="32" t="s">
        <v>257</v>
      </c>
      <c r="H419" s="32" t="s">
        <v>352</v>
      </c>
      <c r="I419" s="31" t="s">
        <v>415</v>
      </c>
      <c r="J419" s="31">
        <v>8</v>
      </c>
      <c r="K419" s="33" t="s">
        <v>704</v>
      </c>
      <c r="L419" s="33" t="s">
        <v>704</v>
      </c>
      <c r="M419" s="34" t="s">
        <v>722</v>
      </c>
      <c r="N419" s="34" t="s">
        <v>1689</v>
      </c>
      <c r="O419" s="35">
        <v>1</v>
      </c>
      <c r="P419" s="35"/>
      <c r="Q419" s="32"/>
      <c r="S419" s="1">
        <f t="shared" si="167"/>
        <v>0</v>
      </c>
      <c r="T419" s="1">
        <f t="shared" si="168"/>
        <v>0</v>
      </c>
      <c r="U419" s="1">
        <f t="shared" si="169"/>
        <v>0</v>
      </c>
      <c r="V419" s="1">
        <f t="shared" si="170"/>
        <v>0</v>
      </c>
      <c r="W419" s="1">
        <f t="shared" si="171"/>
        <v>0</v>
      </c>
      <c r="X419" s="1">
        <f t="shared" si="172"/>
        <v>0</v>
      </c>
      <c r="Y419" s="1">
        <f t="shared" si="173"/>
        <v>0</v>
      </c>
      <c r="Z419" s="1">
        <f t="shared" si="174"/>
        <v>1</v>
      </c>
      <c r="AA419" s="1">
        <f t="shared" si="175"/>
        <v>0</v>
      </c>
      <c r="AB419" s="1">
        <f t="shared" si="176"/>
        <v>0</v>
      </c>
      <c r="AD419" s="1">
        <f t="shared" si="177"/>
        <v>0</v>
      </c>
      <c r="AE419" s="1">
        <f t="shared" si="178"/>
        <v>1</v>
      </c>
      <c r="AF419" s="1">
        <f t="shared" si="179"/>
        <v>0</v>
      </c>
      <c r="AG419" s="1">
        <f t="shared" si="180"/>
        <v>1</v>
      </c>
      <c r="AH419" s="1">
        <f t="shared" si="181"/>
        <v>0</v>
      </c>
      <c r="AI419" s="1">
        <f t="shared" si="182"/>
        <v>1</v>
      </c>
    </row>
    <row r="420" spans="1:35" ht="14.25" customHeight="1" x14ac:dyDescent="0.25">
      <c r="A420" s="31">
        <v>0</v>
      </c>
      <c r="B420" s="31">
        <v>2</v>
      </c>
      <c r="C420" s="31">
        <v>7</v>
      </c>
      <c r="D420" s="32" t="s">
        <v>646</v>
      </c>
      <c r="E420" s="32" t="s">
        <v>155</v>
      </c>
      <c r="F420" s="32" t="s">
        <v>577</v>
      </c>
      <c r="G420" s="32" t="s">
        <v>248</v>
      </c>
      <c r="H420" s="32" t="s">
        <v>352</v>
      </c>
      <c r="I420" s="31" t="s">
        <v>671</v>
      </c>
      <c r="J420" s="31">
        <v>7</v>
      </c>
      <c r="K420" s="33" t="s">
        <v>931</v>
      </c>
      <c r="L420" s="33" t="s">
        <v>39</v>
      </c>
      <c r="M420" s="34" t="s">
        <v>39</v>
      </c>
      <c r="N420" s="34" t="s">
        <v>1681</v>
      </c>
      <c r="O420" s="35">
        <v>1</v>
      </c>
      <c r="P420" s="35">
        <v>1</v>
      </c>
      <c r="Q420" s="32"/>
      <c r="S420" s="1">
        <f t="shared" si="167"/>
        <v>0</v>
      </c>
      <c r="T420" s="1">
        <f t="shared" si="168"/>
        <v>0</v>
      </c>
      <c r="U420" s="1">
        <f t="shared" si="169"/>
        <v>0</v>
      </c>
      <c r="V420" s="1">
        <f t="shared" si="170"/>
        <v>0</v>
      </c>
      <c r="W420" s="1">
        <f t="shared" si="171"/>
        <v>0</v>
      </c>
      <c r="X420" s="1">
        <f t="shared" si="172"/>
        <v>0</v>
      </c>
      <c r="Y420" s="1">
        <f t="shared" si="173"/>
        <v>1</v>
      </c>
      <c r="Z420" s="1">
        <f t="shared" si="174"/>
        <v>0</v>
      </c>
      <c r="AA420" s="1">
        <f t="shared" si="175"/>
        <v>0</v>
      </c>
      <c r="AB420" s="1">
        <f t="shared" si="176"/>
        <v>0</v>
      </c>
      <c r="AD420" s="1">
        <f t="shared" si="177"/>
        <v>1</v>
      </c>
      <c r="AE420" s="1">
        <f t="shared" si="178"/>
        <v>0</v>
      </c>
      <c r="AF420" s="1">
        <f t="shared" si="179"/>
        <v>1</v>
      </c>
      <c r="AG420" s="1">
        <f t="shared" si="180"/>
        <v>0</v>
      </c>
      <c r="AH420" s="1">
        <f t="shared" si="181"/>
        <v>1</v>
      </c>
      <c r="AI420" s="1">
        <f t="shared" si="182"/>
        <v>0</v>
      </c>
    </row>
    <row r="421" spans="1:35" ht="14.25" customHeight="1" x14ac:dyDescent="0.25">
      <c r="A421" s="31">
        <v>0</v>
      </c>
      <c r="B421" s="31">
        <v>2</v>
      </c>
      <c r="C421" s="31">
        <v>7</v>
      </c>
      <c r="D421" s="32" t="s">
        <v>1590</v>
      </c>
      <c r="E421" s="32" t="s">
        <v>155</v>
      </c>
      <c r="F421" s="32" t="s">
        <v>1613</v>
      </c>
      <c r="G421" s="32" t="s">
        <v>212</v>
      </c>
      <c r="H421" s="32" t="s">
        <v>352</v>
      </c>
      <c r="I421" s="31" t="s">
        <v>586</v>
      </c>
      <c r="J421" s="31">
        <v>1</v>
      </c>
      <c r="K421" s="33" t="s">
        <v>703</v>
      </c>
      <c r="L421" s="33" t="s">
        <v>713</v>
      </c>
      <c r="M421" s="34" t="s">
        <v>1396</v>
      </c>
      <c r="N421" s="34" t="s">
        <v>1689</v>
      </c>
      <c r="O421" s="35">
        <v>1</v>
      </c>
      <c r="P421" s="35"/>
      <c r="Q421" s="32"/>
      <c r="S421" s="1">
        <f t="shared" si="167"/>
        <v>1</v>
      </c>
      <c r="T421" s="1">
        <f t="shared" si="168"/>
        <v>0</v>
      </c>
      <c r="U421" s="1">
        <f t="shared" si="169"/>
        <v>0</v>
      </c>
      <c r="V421" s="1">
        <f t="shared" si="170"/>
        <v>0</v>
      </c>
      <c r="W421" s="1">
        <f t="shared" si="171"/>
        <v>0</v>
      </c>
      <c r="X421" s="1">
        <f t="shared" si="172"/>
        <v>0</v>
      </c>
      <c r="Y421" s="1">
        <f t="shared" si="173"/>
        <v>0</v>
      </c>
      <c r="Z421" s="1">
        <f t="shared" si="174"/>
        <v>0</v>
      </c>
      <c r="AA421" s="1">
        <f t="shared" si="175"/>
        <v>0</v>
      </c>
      <c r="AB421" s="1">
        <f t="shared" si="176"/>
        <v>0</v>
      </c>
      <c r="AD421" s="1">
        <f t="shared" si="177"/>
        <v>0</v>
      </c>
      <c r="AE421" s="1">
        <f t="shared" si="178"/>
        <v>1</v>
      </c>
      <c r="AF421" s="1">
        <f t="shared" si="179"/>
        <v>0</v>
      </c>
      <c r="AG421" s="1">
        <f t="shared" si="180"/>
        <v>1</v>
      </c>
      <c r="AH421" s="1">
        <f t="shared" si="181"/>
        <v>0</v>
      </c>
      <c r="AI421" s="1">
        <f t="shared" si="182"/>
        <v>1</v>
      </c>
    </row>
    <row r="422" spans="1:35" ht="14.25" customHeight="1" x14ac:dyDescent="0.25">
      <c r="A422" s="31">
        <v>0</v>
      </c>
      <c r="B422" s="31">
        <v>2</v>
      </c>
      <c r="C422" s="31">
        <v>7</v>
      </c>
      <c r="D422" s="32" t="s">
        <v>1046</v>
      </c>
      <c r="E422" s="32" t="s">
        <v>1022</v>
      </c>
      <c r="F422" s="32" t="s">
        <v>1047</v>
      </c>
      <c r="G422" s="32" t="s">
        <v>212</v>
      </c>
      <c r="H422" s="32" t="s">
        <v>352</v>
      </c>
      <c r="I422" s="31" t="s">
        <v>1048</v>
      </c>
      <c r="J422" s="31">
        <v>1</v>
      </c>
      <c r="K422" s="33" t="s">
        <v>931</v>
      </c>
      <c r="L422" s="33" t="s">
        <v>713</v>
      </c>
      <c r="M422" s="34" t="s">
        <v>1397</v>
      </c>
      <c r="N422" s="34" t="s">
        <v>1689</v>
      </c>
      <c r="O422" s="35">
        <v>1</v>
      </c>
      <c r="P422" s="35"/>
      <c r="Q422" s="32" t="s">
        <v>1858</v>
      </c>
      <c r="S422" s="1">
        <f t="shared" si="167"/>
        <v>1</v>
      </c>
      <c r="T422" s="1">
        <f t="shared" si="168"/>
        <v>0</v>
      </c>
      <c r="U422" s="1">
        <f t="shared" si="169"/>
        <v>0</v>
      </c>
      <c r="V422" s="1">
        <f t="shared" si="170"/>
        <v>0</v>
      </c>
      <c r="W422" s="1">
        <f t="shared" si="171"/>
        <v>0</v>
      </c>
      <c r="X422" s="1">
        <f t="shared" si="172"/>
        <v>0</v>
      </c>
      <c r="Y422" s="1">
        <f t="shared" si="173"/>
        <v>0</v>
      </c>
      <c r="Z422" s="1">
        <f t="shared" si="174"/>
        <v>0</v>
      </c>
      <c r="AA422" s="1">
        <f t="shared" si="175"/>
        <v>0</v>
      </c>
      <c r="AB422" s="1">
        <f t="shared" si="176"/>
        <v>0</v>
      </c>
      <c r="AD422" s="1">
        <f t="shared" si="177"/>
        <v>0</v>
      </c>
      <c r="AE422" s="1">
        <f t="shared" si="178"/>
        <v>1</v>
      </c>
      <c r="AF422" s="1">
        <f t="shared" si="179"/>
        <v>0</v>
      </c>
      <c r="AG422" s="1">
        <f t="shared" si="180"/>
        <v>1</v>
      </c>
      <c r="AH422" s="1">
        <f t="shared" si="181"/>
        <v>0</v>
      </c>
      <c r="AI422" s="1">
        <f t="shared" si="182"/>
        <v>1</v>
      </c>
    </row>
    <row r="423" spans="1:35" ht="14.25" customHeight="1" x14ac:dyDescent="0.25">
      <c r="A423" s="31">
        <v>0</v>
      </c>
      <c r="B423" s="31">
        <v>2</v>
      </c>
      <c r="C423" s="31">
        <v>7</v>
      </c>
      <c r="D423" s="32" t="s">
        <v>993</v>
      </c>
      <c r="E423" s="32" t="s">
        <v>155</v>
      </c>
      <c r="F423" s="32" t="s">
        <v>1064</v>
      </c>
      <c r="G423" s="32" t="s">
        <v>1074</v>
      </c>
      <c r="H423" s="32" t="s">
        <v>352</v>
      </c>
      <c r="I423" s="31" t="s">
        <v>994</v>
      </c>
      <c r="J423" s="31">
        <v>99</v>
      </c>
      <c r="K423" s="33" t="s">
        <v>704</v>
      </c>
      <c r="L423" s="33" t="s">
        <v>713</v>
      </c>
      <c r="M423" s="34" t="s">
        <v>1397</v>
      </c>
      <c r="N423" s="34" t="s">
        <v>1693</v>
      </c>
      <c r="O423" s="35">
        <v>1</v>
      </c>
      <c r="P423" s="35"/>
      <c r="Q423" s="32"/>
      <c r="S423" s="1">
        <f t="shared" si="167"/>
        <v>0</v>
      </c>
      <c r="T423" s="1">
        <f t="shared" si="168"/>
        <v>0</v>
      </c>
      <c r="U423" s="1">
        <f t="shared" si="169"/>
        <v>0</v>
      </c>
      <c r="V423" s="1">
        <f t="shared" si="170"/>
        <v>0</v>
      </c>
      <c r="W423" s="1">
        <f t="shared" si="171"/>
        <v>0</v>
      </c>
      <c r="X423" s="1">
        <f t="shared" si="172"/>
        <v>0</v>
      </c>
      <c r="Y423" s="1">
        <f t="shared" si="173"/>
        <v>0</v>
      </c>
      <c r="Z423" s="1">
        <f t="shared" si="174"/>
        <v>0</v>
      </c>
      <c r="AA423" s="1">
        <f t="shared" si="175"/>
        <v>0</v>
      </c>
      <c r="AB423" s="1">
        <f t="shared" si="176"/>
        <v>0</v>
      </c>
      <c r="AD423" s="1">
        <f t="shared" si="177"/>
        <v>0</v>
      </c>
      <c r="AE423" s="1">
        <f t="shared" si="178"/>
        <v>1</v>
      </c>
      <c r="AF423" s="1">
        <f t="shared" si="179"/>
        <v>0</v>
      </c>
      <c r="AG423" s="1">
        <f t="shared" si="180"/>
        <v>1</v>
      </c>
      <c r="AH423" s="1">
        <f t="shared" si="181"/>
        <v>0</v>
      </c>
      <c r="AI423" s="1">
        <f t="shared" si="182"/>
        <v>1</v>
      </c>
    </row>
    <row r="424" spans="1:35" ht="14.25" customHeight="1" x14ac:dyDescent="0.25">
      <c r="A424" s="31">
        <v>0</v>
      </c>
      <c r="B424" s="31">
        <v>2</v>
      </c>
      <c r="C424" s="31">
        <v>7</v>
      </c>
      <c r="D424" s="32" t="s">
        <v>1173</v>
      </c>
      <c r="E424" s="32" t="s">
        <v>1299</v>
      </c>
      <c r="F424" s="32" t="s">
        <v>1174</v>
      </c>
      <c r="G424" s="32" t="s">
        <v>39</v>
      </c>
      <c r="H424" s="32" t="s">
        <v>352</v>
      </c>
      <c r="I424" s="31" t="s">
        <v>1640</v>
      </c>
      <c r="J424" s="31">
        <v>99</v>
      </c>
      <c r="K424" s="33" t="s">
        <v>931</v>
      </c>
      <c r="L424" s="33" t="s">
        <v>720</v>
      </c>
      <c r="M424" s="34" t="s">
        <v>1398</v>
      </c>
      <c r="N424" s="34" t="s">
        <v>1693</v>
      </c>
      <c r="O424" s="35">
        <v>1</v>
      </c>
      <c r="P424" s="35"/>
      <c r="Q424" s="32"/>
      <c r="S424" s="1">
        <f t="shared" si="167"/>
        <v>0</v>
      </c>
      <c r="T424" s="1">
        <f t="shared" si="168"/>
        <v>0</v>
      </c>
      <c r="U424" s="1">
        <f t="shared" si="169"/>
        <v>0</v>
      </c>
      <c r="V424" s="1">
        <f t="shared" si="170"/>
        <v>0</v>
      </c>
      <c r="W424" s="1">
        <f t="shared" si="171"/>
        <v>0</v>
      </c>
      <c r="X424" s="1">
        <f t="shared" si="172"/>
        <v>0</v>
      </c>
      <c r="Y424" s="1">
        <f t="shared" si="173"/>
        <v>0</v>
      </c>
      <c r="Z424" s="1">
        <f t="shared" si="174"/>
        <v>0</v>
      </c>
      <c r="AA424" s="1">
        <f t="shared" si="175"/>
        <v>0</v>
      </c>
      <c r="AB424" s="1">
        <f t="shared" si="176"/>
        <v>0</v>
      </c>
      <c r="AD424" s="1">
        <f t="shared" si="177"/>
        <v>0</v>
      </c>
      <c r="AE424" s="1">
        <f t="shared" si="178"/>
        <v>1</v>
      </c>
      <c r="AF424" s="1">
        <f t="shared" si="179"/>
        <v>0</v>
      </c>
      <c r="AG424" s="1">
        <f t="shared" si="180"/>
        <v>1</v>
      </c>
      <c r="AH424" s="1">
        <f t="shared" si="181"/>
        <v>0</v>
      </c>
      <c r="AI424" s="1">
        <f t="shared" si="182"/>
        <v>1</v>
      </c>
    </row>
    <row r="425" spans="1:35" ht="14.25" customHeight="1" x14ac:dyDescent="0.25">
      <c r="A425" s="31">
        <v>0</v>
      </c>
      <c r="B425" s="31">
        <v>2</v>
      </c>
      <c r="C425" s="31">
        <v>7</v>
      </c>
      <c r="D425" s="32" t="s">
        <v>55</v>
      </c>
      <c r="E425" s="32" t="s">
        <v>28</v>
      </c>
      <c r="F425" s="32" t="s">
        <v>636</v>
      </c>
      <c r="G425" s="32" t="s">
        <v>531</v>
      </c>
      <c r="H425" s="32" t="s">
        <v>352</v>
      </c>
      <c r="I425" s="31" t="s">
        <v>392</v>
      </c>
      <c r="J425" s="31">
        <v>6</v>
      </c>
      <c r="K425" s="33" t="s">
        <v>703</v>
      </c>
      <c r="L425" s="33" t="s">
        <v>704</v>
      </c>
      <c r="M425" s="34" t="s">
        <v>722</v>
      </c>
      <c r="N425" s="34" t="s">
        <v>1706</v>
      </c>
      <c r="O425" s="35">
        <v>1</v>
      </c>
      <c r="P425" s="35"/>
      <c r="Q425" s="32"/>
      <c r="S425" s="1">
        <f t="shared" si="167"/>
        <v>0</v>
      </c>
      <c r="T425" s="1">
        <f t="shared" si="168"/>
        <v>0</v>
      </c>
      <c r="U425" s="1">
        <f t="shared" si="169"/>
        <v>0</v>
      </c>
      <c r="V425" s="1">
        <f t="shared" si="170"/>
        <v>0</v>
      </c>
      <c r="W425" s="1">
        <f t="shared" si="171"/>
        <v>0</v>
      </c>
      <c r="X425" s="1">
        <f t="shared" si="172"/>
        <v>1</v>
      </c>
      <c r="Y425" s="1">
        <f t="shared" si="173"/>
        <v>0</v>
      </c>
      <c r="Z425" s="1">
        <f t="shared" si="174"/>
        <v>0</v>
      </c>
      <c r="AA425" s="1">
        <f t="shared" si="175"/>
        <v>0</v>
      </c>
      <c r="AB425" s="1">
        <f t="shared" si="176"/>
        <v>0</v>
      </c>
      <c r="AD425" s="1">
        <f t="shared" si="177"/>
        <v>0</v>
      </c>
      <c r="AE425" s="1">
        <f t="shared" si="178"/>
        <v>1</v>
      </c>
      <c r="AF425" s="1">
        <f t="shared" si="179"/>
        <v>0</v>
      </c>
      <c r="AG425" s="1">
        <f t="shared" si="180"/>
        <v>1</v>
      </c>
      <c r="AH425" s="1">
        <f t="shared" si="181"/>
        <v>0</v>
      </c>
      <c r="AI425" s="1">
        <f t="shared" si="182"/>
        <v>1</v>
      </c>
    </row>
    <row r="426" spans="1:35" ht="14.25" customHeight="1" x14ac:dyDescent="0.25">
      <c r="A426" s="31">
        <v>1</v>
      </c>
      <c r="B426" s="31">
        <v>2</v>
      </c>
      <c r="C426" s="31">
        <v>7</v>
      </c>
      <c r="D426" s="32" t="s">
        <v>55</v>
      </c>
      <c r="E426" s="32" t="s">
        <v>28</v>
      </c>
      <c r="F426" s="32" t="s">
        <v>215</v>
      </c>
      <c r="G426" s="32" t="s">
        <v>39</v>
      </c>
      <c r="H426" s="32" t="s">
        <v>352</v>
      </c>
      <c r="I426" s="31" t="s">
        <v>30</v>
      </c>
      <c r="J426" s="31">
        <v>99</v>
      </c>
      <c r="K426" s="33" t="s">
        <v>703</v>
      </c>
      <c r="L426" s="33" t="s">
        <v>704</v>
      </c>
      <c r="M426" s="34" t="s">
        <v>722</v>
      </c>
      <c r="N426" s="34" t="s">
        <v>1706</v>
      </c>
      <c r="O426" s="35">
        <v>1</v>
      </c>
      <c r="P426" s="35"/>
      <c r="Q426" s="32"/>
      <c r="S426" s="1">
        <f t="shared" si="167"/>
        <v>0</v>
      </c>
      <c r="T426" s="1">
        <f t="shared" si="168"/>
        <v>0</v>
      </c>
      <c r="U426" s="1">
        <f t="shared" si="169"/>
        <v>0</v>
      </c>
      <c r="V426" s="1">
        <f t="shared" si="170"/>
        <v>0</v>
      </c>
      <c r="W426" s="1">
        <f t="shared" si="171"/>
        <v>0</v>
      </c>
      <c r="X426" s="1">
        <f t="shared" si="172"/>
        <v>0</v>
      </c>
      <c r="Y426" s="1">
        <f t="shared" si="173"/>
        <v>0</v>
      </c>
      <c r="Z426" s="1">
        <f t="shared" si="174"/>
        <v>0</v>
      </c>
      <c r="AA426" s="1">
        <f t="shared" si="175"/>
        <v>0</v>
      </c>
      <c r="AB426" s="1">
        <f t="shared" si="176"/>
        <v>0</v>
      </c>
      <c r="AD426" s="1">
        <f t="shared" si="177"/>
        <v>0</v>
      </c>
      <c r="AE426" s="1">
        <f t="shared" si="178"/>
        <v>1</v>
      </c>
      <c r="AF426" s="1">
        <f t="shared" si="179"/>
        <v>0</v>
      </c>
      <c r="AG426" s="1">
        <f t="shared" si="180"/>
        <v>0</v>
      </c>
      <c r="AH426" s="1">
        <f t="shared" si="181"/>
        <v>0</v>
      </c>
      <c r="AI426" s="1">
        <f t="shared" si="182"/>
        <v>0</v>
      </c>
    </row>
    <row r="427" spans="1:35" ht="14.25" customHeight="1" x14ac:dyDescent="0.25">
      <c r="A427" s="31">
        <v>1</v>
      </c>
      <c r="B427" s="31">
        <v>2</v>
      </c>
      <c r="C427" s="31">
        <v>7</v>
      </c>
      <c r="D427" s="32" t="s">
        <v>55</v>
      </c>
      <c r="E427" s="32" t="s">
        <v>28</v>
      </c>
      <c r="F427" s="32" t="s">
        <v>214</v>
      </c>
      <c r="G427" s="32" t="s">
        <v>39</v>
      </c>
      <c r="H427" s="32" t="s">
        <v>352</v>
      </c>
      <c r="I427" s="31" t="s">
        <v>392</v>
      </c>
      <c r="J427" s="31">
        <v>99</v>
      </c>
      <c r="K427" s="33" t="s">
        <v>703</v>
      </c>
      <c r="L427" s="33" t="s">
        <v>704</v>
      </c>
      <c r="M427" s="34" t="s">
        <v>722</v>
      </c>
      <c r="N427" s="34" t="s">
        <v>1706</v>
      </c>
      <c r="O427" s="35">
        <v>1</v>
      </c>
      <c r="P427" s="35"/>
      <c r="Q427" s="32"/>
      <c r="S427" s="1">
        <f t="shared" si="167"/>
        <v>0</v>
      </c>
      <c r="T427" s="1">
        <f t="shared" si="168"/>
        <v>0</v>
      </c>
      <c r="U427" s="1">
        <f t="shared" si="169"/>
        <v>0</v>
      </c>
      <c r="V427" s="1">
        <f t="shared" si="170"/>
        <v>0</v>
      </c>
      <c r="W427" s="1">
        <f t="shared" si="171"/>
        <v>0</v>
      </c>
      <c r="X427" s="1">
        <f t="shared" si="172"/>
        <v>0</v>
      </c>
      <c r="Y427" s="1">
        <f t="shared" si="173"/>
        <v>0</v>
      </c>
      <c r="Z427" s="1">
        <f t="shared" si="174"/>
        <v>0</v>
      </c>
      <c r="AA427" s="1">
        <f t="shared" si="175"/>
        <v>0</v>
      </c>
      <c r="AB427" s="1">
        <f t="shared" si="176"/>
        <v>0</v>
      </c>
      <c r="AD427" s="1">
        <f t="shared" si="177"/>
        <v>0</v>
      </c>
      <c r="AE427" s="1">
        <f t="shared" si="178"/>
        <v>1</v>
      </c>
      <c r="AF427" s="1">
        <f t="shared" si="179"/>
        <v>0</v>
      </c>
      <c r="AG427" s="1">
        <f t="shared" si="180"/>
        <v>0</v>
      </c>
      <c r="AH427" s="1">
        <f t="shared" si="181"/>
        <v>0</v>
      </c>
      <c r="AI427" s="1">
        <f t="shared" si="182"/>
        <v>0</v>
      </c>
    </row>
    <row r="428" spans="1:35" ht="14.25" customHeight="1" x14ac:dyDescent="0.25">
      <c r="A428" s="31">
        <v>1</v>
      </c>
      <c r="B428" s="31">
        <v>2</v>
      </c>
      <c r="C428" s="31">
        <v>7</v>
      </c>
      <c r="D428" s="32" t="s">
        <v>55</v>
      </c>
      <c r="E428" s="32" t="s">
        <v>28</v>
      </c>
      <c r="F428" s="32" t="s">
        <v>216</v>
      </c>
      <c r="G428" s="32" t="s">
        <v>217</v>
      </c>
      <c r="H428" s="32" t="s">
        <v>352</v>
      </c>
      <c r="I428" s="31" t="s">
        <v>393</v>
      </c>
      <c r="J428" s="31">
        <v>99</v>
      </c>
      <c r="K428" s="33" t="s">
        <v>703</v>
      </c>
      <c r="L428" s="33" t="s">
        <v>704</v>
      </c>
      <c r="M428" s="34" t="s">
        <v>722</v>
      </c>
      <c r="N428" s="34" t="s">
        <v>1706</v>
      </c>
      <c r="O428" s="35">
        <v>1</v>
      </c>
      <c r="P428" s="35"/>
      <c r="Q428" s="32"/>
      <c r="S428" s="1">
        <f t="shared" si="167"/>
        <v>0</v>
      </c>
      <c r="T428" s="1">
        <f t="shared" si="168"/>
        <v>0</v>
      </c>
      <c r="U428" s="1">
        <f t="shared" si="169"/>
        <v>0</v>
      </c>
      <c r="V428" s="1">
        <f t="shared" si="170"/>
        <v>0</v>
      </c>
      <c r="W428" s="1">
        <f t="shared" si="171"/>
        <v>0</v>
      </c>
      <c r="X428" s="1">
        <f t="shared" si="172"/>
        <v>0</v>
      </c>
      <c r="Y428" s="1">
        <f t="shared" si="173"/>
        <v>0</v>
      </c>
      <c r="Z428" s="1">
        <f t="shared" si="174"/>
        <v>0</v>
      </c>
      <c r="AA428" s="1">
        <f t="shared" si="175"/>
        <v>0</v>
      </c>
      <c r="AB428" s="1">
        <f t="shared" si="176"/>
        <v>0</v>
      </c>
      <c r="AD428" s="1">
        <f t="shared" si="177"/>
        <v>0</v>
      </c>
      <c r="AE428" s="1">
        <f t="shared" si="178"/>
        <v>1</v>
      </c>
      <c r="AF428" s="1">
        <f t="shared" si="179"/>
        <v>0</v>
      </c>
      <c r="AG428" s="1">
        <f t="shared" si="180"/>
        <v>0</v>
      </c>
      <c r="AH428" s="1">
        <f t="shared" si="181"/>
        <v>0</v>
      </c>
      <c r="AI428" s="1">
        <f t="shared" si="182"/>
        <v>0</v>
      </c>
    </row>
    <row r="429" spans="1:35" ht="14.25" customHeight="1" x14ac:dyDescent="0.25">
      <c r="A429" s="31">
        <v>0</v>
      </c>
      <c r="B429" s="31">
        <v>2</v>
      </c>
      <c r="C429" s="31">
        <v>7</v>
      </c>
      <c r="D429" s="36" t="s">
        <v>1987</v>
      </c>
      <c r="E429" s="36" t="s">
        <v>155</v>
      </c>
      <c r="F429" s="36" t="s">
        <v>1988</v>
      </c>
      <c r="G429" s="36" t="s">
        <v>219</v>
      </c>
      <c r="H429" s="36" t="s">
        <v>352</v>
      </c>
      <c r="I429" s="37" t="s">
        <v>1989</v>
      </c>
      <c r="J429" s="31">
        <v>99</v>
      </c>
      <c r="K429" s="33" t="s">
        <v>694</v>
      </c>
      <c r="L429" s="33">
        <v>10</v>
      </c>
      <c r="M429" s="34" t="s">
        <v>1990</v>
      </c>
      <c r="N429" s="34" t="s">
        <v>1693</v>
      </c>
      <c r="O429" s="35">
        <v>1</v>
      </c>
      <c r="P429" s="35"/>
      <c r="Q429" s="32"/>
      <c r="S429" s="1">
        <f t="shared" si="167"/>
        <v>0</v>
      </c>
      <c r="T429" s="1">
        <f t="shared" si="168"/>
        <v>0</v>
      </c>
      <c r="U429" s="1">
        <f t="shared" si="169"/>
        <v>0</v>
      </c>
      <c r="V429" s="1">
        <f t="shared" si="170"/>
        <v>0</v>
      </c>
      <c r="W429" s="1">
        <f t="shared" si="171"/>
        <v>0</v>
      </c>
      <c r="X429" s="1">
        <f t="shared" si="172"/>
        <v>0</v>
      </c>
      <c r="Y429" s="1">
        <f t="shared" si="173"/>
        <v>0</v>
      </c>
      <c r="Z429" s="1">
        <f t="shared" si="174"/>
        <v>0</v>
      </c>
      <c r="AA429" s="1">
        <f t="shared" si="175"/>
        <v>0</v>
      </c>
      <c r="AB429" s="1">
        <f t="shared" si="176"/>
        <v>0</v>
      </c>
      <c r="AD429" s="1">
        <f t="shared" si="177"/>
        <v>0</v>
      </c>
      <c r="AE429" s="1">
        <f t="shared" si="178"/>
        <v>1</v>
      </c>
      <c r="AF429" s="1">
        <f t="shared" si="179"/>
        <v>0</v>
      </c>
      <c r="AG429" s="1">
        <f t="shared" si="180"/>
        <v>1</v>
      </c>
      <c r="AH429" s="1">
        <f t="shared" si="181"/>
        <v>0</v>
      </c>
      <c r="AI429" s="1">
        <f t="shared" si="182"/>
        <v>1</v>
      </c>
    </row>
    <row r="430" spans="1:35" ht="14.25" customHeight="1" x14ac:dyDescent="0.25">
      <c r="A430" s="31">
        <v>0</v>
      </c>
      <c r="B430" s="31">
        <v>2</v>
      </c>
      <c r="C430" s="31">
        <v>7</v>
      </c>
      <c r="D430" s="36" t="s">
        <v>68</v>
      </c>
      <c r="E430" s="36" t="s">
        <v>28</v>
      </c>
      <c r="F430" s="36" t="s">
        <v>252</v>
      </c>
      <c r="G430" s="36" t="s">
        <v>253</v>
      </c>
      <c r="H430" s="36" t="s">
        <v>352</v>
      </c>
      <c r="I430" s="37" t="s">
        <v>412</v>
      </c>
      <c r="J430" s="31">
        <v>99</v>
      </c>
      <c r="K430" s="33" t="s">
        <v>704</v>
      </c>
      <c r="L430" s="33" t="s">
        <v>704</v>
      </c>
      <c r="M430" s="34" t="s">
        <v>722</v>
      </c>
      <c r="N430" s="34" t="s">
        <v>1766</v>
      </c>
      <c r="O430" s="35">
        <v>1</v>
      </c>
      <c r="P430" s="35"/>
      <c r="Q430" s="32"/>
      <c r="S430" s="1">
        <f t="shared" si="167"/>
        <v>0</v>
      </c>
      <c r="T430" s="1">
        <f t="shared" si="168"/>
        <v>0</v>
      </c>
      <c r="U430" s="1">
        <f t="shared" si="169"/>
        <v>0</v>
      </c>
      <c r="V430" s="1">
        <f t="shared" si="170"/>
        <v>0</v>
      </c>
      <c r="W430" s="1">
        <f t="shared" si="171"/>
        <v>0</v>
      </c>
      <c r="X430" s="1">
        <f t="shared" si="172"/>
        <v>0</v>
      </c>
      <c r="Y430" s="1">
        <f t="shared" si="173"/>
        <v>0</v>
      </c>
      <c r="Z430" s="1">
        <f t="shared" si="174"/>
        <v>0</v>
      </c>
      <c r="AA430" s="1">
        <f t="shared" si="175"/>
        <v>0</v>
      </c>
      <c r="AB430" s="1">
        <f t="shared" si="176"/>
        <v>0</v>
      </c>
      <c r="AD430" s="1">
        <f t="shared" si="177"/>
        <v>0</v>
      </c>
      <c r="AE430" s="1">
        <f t="shared" si="178"/>
        <v>1</v>
      </c>
      <c r="AF430" s="1">
        <f t="shared" si="179"/>
        <v>0</v>
      </c>
      <c r="AG430" s="1">
        <f t="shared" si="180"/>
        <v>1</v>
      </c>
      <c r="AH430" s="1">
        <f t="shared" si="181"/>
        <v>0</v>
      </c>
      <c r="AI430" s="1">
        <f t="shared" si="182"/>
        <v>1</v>
      </c>
    </row>
    <row r="431" spans="1:35" ht="14.25" customHeight="1" x14ac:dyDescent="0.25">
      <c r="A431" s="31">
        <v>0</v>
      </c>
      <c r="B431" s="31">
        <v>2</v>
      </c>
      <c r="C431" s="31">
        <v>7</v>
      </c>
      <c r="D431" s="32" t="s">
        <v>1951</v>
      </c>
      <c r="E431" s="32" t="s">
        <v>28</v>
      </c>
      <c r="F431" s="32" t="s">
        <v>1953</v>
      </c>
      <c r="G431" s="32" t="s">
        <v>1080</v>
      </c>
      <c r="H431" s="32" t="s">
        <v>352</v>
      </c>
      <c r="I431" s="31" t="s">
        <v>1954</v>
      </c>
      <c r="J431" s="31">
        <v>1</v>
      </c>
      <c r="K431" s="33" t="s">
        <v>694</v>
      </c>
      <c r="L431" s="33"/>
      <c r="M431" s="34"/>
      <c r="N431" s="34" t="s">
        <v>1681</v>
      </c>
      <c r="O431" s="35">
        <v>1</v>
      </c>
      <c r="P431" s="35">
        <v>1</v>
      </c>
      <c r="Q431" s="32" t="s">
        <v>1956</v>
      </c>
      <c r="S431" s="1">
        <f t="shared" si="167"/>
        <v>1</v>
      </c>
      <c r="T431" s="1">
        <f t="shared" si="168"/>
        <v>0</v>
      </c>
      <c r="U431" s="1">
        <f t="shared" si="169"/>
        <v>0</v>
      </c>
      <c r="V431" s="1">
        <f t="shared" si="170"/>
        <v>0</v>
      </c>
      <c r="W431" s="1">
        <f t="shared" si="171"/>
        <v>0</v>
      </c>
      <c r="X431" s="1">
        <f t="shared" si="172"/>
        <v>0</v>
      </c>
      <c r="Y431" s="1">
        <f t="shared" si="173"/>
        <v>0</v>
      </c>
      <c r="Z431" s="1">
        <f t="shared" si="174"/>
        <v>0</v>
      </c>
      <c r="AA431" s="1">
        <f t="shared" si="175"/>
        <v>0</v>
      </c>
      <c r="AB431" s="1">
        <f t="shared" si="176"/>
        <v>0</v>
      </c>
      <c r="AD431" s="1">
        <f t="shared" si="177"/>
        <v>1</v>
      </c>
      <c r="AE431" s="1">
        <f t="shared" si="178"/>
        <v>0</v>
      </c>
      <c r="AF431" s="1">
        <f t="shared" si="179"/>
        <v>1</v>
      </c>
      <c r="AG431" s="1">
        <f t="shared" si="180"/>
        <v>0</v>
      </c>
      <c r="AH431" s="1">
        <f t="shared" si="181"/>
        <v>1</v>
      </c>
      <c r="AI431" s="1">
        <f t="shared" si="182"/>
        <v>0</v>
      </c>
    </row>
    <row r="432" spans="1:35" ht="14.25" customHeight="1" x14ac:dyDescent="0.25">
      <c r="A432" s="31">
        <v>1</v>
      </c>
      <c r="B432" s="31">
        <v>2</v>
      </c>
      <c r="C432" s="31">
        <v>7</v>
      </c>
      <c r="D432" s="32" t="s">
        <v>1951</v>
      </c>
      <c r="E432" s="32" t="s">
        <v>28</v>
      </c>
      <c r="F432" s="32" t="s">
        <v>1952</v>
      </c>
      <c r="G432" s="36" t="s">
        <v>1958</v>
      </c>
      <c r="H432" s="32" t="s">
        <v>352</v>
      </c>
      <c r="I432" s="31" t="s">
        <v>1955</v>
      </c>
      <c r="J432" s="31">
        <v>8</v>
      </c>
      <c r="K432" s="33" t="s">
        <v>694</v>
      </c>
      <c r="L432" s="33"/>
      <c r="M432" s="34"/>
      <c r="N432" s="34" t="s">
        <v>1681</v>
      </c>
      <c r="O432" s="35">
        <v>1</v>
      </c>
      <c r="P432" s="35">
        <v>1</v>
      </c>
      <c r="Q432" s="32" t="s">
        <v>1957</v>
      </c>
      <c r="S432" s="1">
        <f t="shared" si="167"/>
        <v>0</v>
      </c>
      <c r="T432" s="1">
        <f t="shared" si="168"/>
        <v>0</v>
      </c>
      <c r="U432" s="1">
        <f t="shared" si="169"/>
        <v>0</v>
      </c>
      <c r="V432" s="1">
        <f t="shared" si="170"/>
        <v>0</v>
      </c>
      <c r="W432" s="1">
        <f t="shared" si="171"/>
        <v>0</v>
      </c>
      <c r="X432" s="1">
        <f t="shared" si="172"/>
        <v>0</v>
      </c>
      <c r="Y432" s="1">
        <f t="shared" si="173"/>
        <v>0</v>
      </c>
      <c r="Z432" s="1">
        <f t="shared" si="174"/>
        <v>1</v>
      </c>
      <c r="AA432" s="1">
        <f t="shared" si="175"/>
        <v>0</v>
      </c>
      <c r="AB432" s="1">
        <f t="shared" si="176"/>
        <v>0</v>
      </c>
      <c r="AD432" s="1">
        <f t="shared" si="177"/>
        <v>1</v>
      </c>
      <c r="AE432" s="1">
        <f t="shared" si="178"/>
        <v>0</v>
      </c>
      <c r="AF432" s="1">
        <f t="shared" si="179"/>
        <v>0</v>
      </c>
      <c r="AG432" s="1">
        <f t="shared" si="180"/>
        <v>0</v>
      </c>
      <c r="AH432" s="1">
        <f t="shared" si="181"/>
        <v>0</v>
      </c>
      <c r="AI432" s="1">
        <f t="shared" si="182"/>
        <v>0</v>
      </c>
    </row>
    <row r="433" spans="1:35" ht="14.25" customHeight="1" x14ac:dyDescent="0.25">
      <c r="A433" s="31">
        <v>0</v>
      </c>
      <c r="B433" s="31">
        <v>2</v>
      </c>
      <c r="C433" s="31">
        <v>7</v>
      </c>
      <c r="D433" s="32" t="s">
        <v>69</v>
      </c>
      <c r="E433" s="32" t="s">
        <v>28</v>
      </c>
      <c r="F433" s="32" t="s">
        <v>254</v>
      </c>
      <c r="G433" s="36" t="s">
        <v>206</v>
      </c>
      <c r="H433" s="32" t="s">
        <v>352</v>
      </c>
      <c r="I433" s="31" t="s">
        <v>413</v>
      </c>
      <c r="J433" s="31">
        <v>99</v>
      </c>
      <c r="K433" s="33" t="s">
        <v>931</v>
      </c>
      <c r="L433" s="33" t="s">
        <v>704</v>
      </c>
      <c r="M433" s="34" t="s">
        <v>722</v>
      </c>
      <c r="N433" s="34" t="s">
        <v>1687</v>
      </c>
      <c r="O433" s="35">
        <v>1</v>
      </c>
      <c r="P433" s="35">
        <v>1</v>
      </c>
      <c r="Q433" s="32"/>
      <c r="S433" s="1">
        <f t="shared" si="167"/>
        <v>0</v>
      </c>
      <c r="T433" s="1">
        <f t="shared" si="168"/>
        <v>0</v>
      </c>
      <c r="U433" s="1">
        <f t="shared" si="169"/>
        <v>0</v>
      </c>
      <c r="V433" s="1">
        <f t="shared" si="170"/>
        <v>0</v>
      </c>
      <c r="W433" s="1">
        <f t="shared" si="171"/>
        <v>0</v>
      </c>
      <c r="X433" s="1">
        <f t="shared" si="172"/>
        <v>0</v>
      </c>
      <c r="Y433" s="1">
        <f t="shared" si="173"/>
        <v>0</v>
      </c>
      <c r="Z433" s="1">
        <f t="shared" si="174"/>
        <v>0</v>
      </c>
      <c r="AA433" s="1">
        <f t="shared" si="175"/>
        <v>0</v>
      </c>
      <c r="AB433" s="1">
        <f t="shared" si="176"/>
        <v>0</v>
      </c>
      <c r="AD433" s="1">
        <f t="shared" si="177"/>
        <v>1</v>
      </c>
      <c r="AE433" s="1">
        <f t="shared" si="178"/>
        <v>0</v>
      </c>
      <c r="AF433" s="1">
        <f t="shared" si="179"/>
        <v>1</v>
      </c>
      <c r="AG433" s="1">
        <f t="shared" si="180"/>
        <v>0</v>
      </c>
      <c r="AH433" s="1">
        <f t="shared" si="181"/>
        <v>1</v>
      </c>
      <c r="AI433" s="1">
        <f t="shared" si="182"/>
        <v>0</v>
      </c>
    </row>
    <row r="434" spans="1:35" ht="14.25" customHeight="1" x14ac:dyDescent="0.25">
      <c r="A434" s="31">
        <v>1</v>
      </c>
      <c r="B434" s="31">
        <v>2</v>
      </c>
      <c r="C434" s="31">
        <v>7</v>
      </c>
      <c r="D434" s="32" t="s">
        <v>69</v>
      </c>
      <c r="E434" s="32" t="s">
        <v>28</v>
      </c>
      <c r="F434" s="32" t="s">
        <v>1815</v>
      </c>
      <c r="G434" s="36" t="s">
        <v>255</v>
      </c>
      <c r="H434" s="32" t="s">
        <v>352</v>
      </c>
      <c r="I434" s="31" t="s">
        <v>414</v>
      </c>
      <c r="J434" s="31">
        <v>99</v>
      </c>
      <c r="K434" s="33" t="s">
        <v>931</v>
      </c>
      <c r="L434" s="33" t="s">
        <v>704</v>
      </c>
      <c r="M434" s="34" t="s">
        <v>722</v>
      </c>
      <c r="N434" s="34" t="s">
        <v>1687</v>
      </c>
      <c r="O434" s="35">
        <v>1</v>
      </c>
      <c r="P434" s="35">
        <v>1</v>
      </c>
      <c r="Q434" s="32"/>
      <c r="S434" s="1">
        <f t="shared" si="167"/>
        <v>0</v>
      </c>
      <c r="T434" s="1">
        <f t="shared" si="168"/>
        <v>0</v>
      </c>
      <c r="U434" s="1">
        <f t="shared" si="169"/>
        <v>0</v>
      </c>
      <c r="V434" s="1">
        <f t="shared" si="170"/>
        <v>0</v>
      </c>
      <c r="W434" s="1">
        <f t="shared" si="171"/>
        <v>0</v>
      </c>
      <c r="X434" s="1">
        <f t="shared" si="172"/>
        <v>0</v>
      </c>
      <c r="Y434" s="1">
        <f t="shared" si="173"/>
        <v>0</v>
      </c>
      <c r="Z434" s="1">
        <f t="shared" si="174"/>
        <v>0</v>
      </c>
      <c r="AA434" s="1">
        <f t="shared" si="175"/>
        <v>0</v>
      </c>
      <c r="AB434" s="1">
        <f t="shared" si="176"/>
        <v>0</v>
      </c>
      <c r="AD434" s="1">
        <f t="shared" si="177"/>
        <v>1</v>
      </c>
      <c r="AE434" s="1">
        <f t="shared" si="178"/>
        <v>0</v>
      </c>
      <c r="AF434" s="1">
        <f t="shared" si="179"/>
        <v>0</v>
      </c>
      <c r="AG434" s="1">
        <f t="shared" si="180"/>
        <v>0</v>
      </c>
      <c r="AH434" s="1">
        <f t="shared" si="181"/>
        <v>0</v>
      </c>
      <c r="AI434" s="1">
        <f t="shared" si="182"/>
        <v>0</v>
      </c>
    </row>
    <row r="435" spans="1:35" ht="14.25" customHeight="1" x14ac:dyDescent="0.25">
      <c r="A435" s="31">
        <v>1</v>
      </c>
      <c r="B435" s="31">
        <v>2</v>
      </c>
      <c r="C435" s="31">
        <v>7</v>
      </c>
      <c r="D435" s="32" t="s">
        <v>69</v>
      </c>
      <c r="E435" s="32" t="s">
        <v>28</v>
      </c>
      <c r="F435" s="32" t="s">
        <v>563</v>
      </c>
      <c r="G435" s="36" t="s">
        <v>564</v>
      </c>
      <c r="H435" s="32" t="s">
        <v>352</v>
      </c>
      <c r="I435" s="31" t="s">
        <v>572</v>
      </c>
      <c r="J435" s="31">
        <v>99</v>
      </c>
      <c r="K435" s="33" t="s">
        <v>931</v>
      </c>
      <c r="L435" s="33" t="s">
        <v>704</v>
      </c>
      <c r="M435" s="34" t="s">
        <v>722</v>
      </c>
      <c r="N435" s="34" t="s">
        <v>1687</v>
      </c>
      <c r="O435" s="35">
        <v>1</v>
      </c>
      <c r="P435" s="35">
        <v>1</v>
      </c>
      <c r="Q435" s="32"/>
      <c r="S435" s="1">
        <f t="shared" si="167"/>
        <v>0</v>
      </c>
      <c r="T435" s="1">
        <f t="shared" si="168"/>
        <v>0</v>
      </c>
      <c r="U435" s="1">
        <f t="shared" si="169"/>
        <v>0</v>
      </c>
      <c r="V435" s="1">
        <f t="shared" si="170"/>
        <v>0</v>
      </c>
      <c r="W435" s="1">
        <f t="shared" si="171"/>
        <v>0</v>
      </c>
      <c r="X435" s="1">
        <f t="shared" si="172"/>
        <v>0</v>
      </c>
      <c r="Y435" s="1">
        <f t="shared" si="173"/>
        <v>0</v>
      </c>
      <c r="Z435" s="1">
        <f t="shared" si="174"/>
        <v>0</v>
      </c>
      <c r="AA435" s="1">
        <f t="shared" si="175"/>
        <v>0</v>
      </c>
      <c r="AB435" s="1">
        <f t="shared" si="176"/>
        <v>0</v>
      </c>
      <c r="AD435" s="1">
        <f t="shared" si="177"/>
        <v>1</v>
      </c>
      <c r="AE435" s="1">
        <f t="shared" si="178"/>
        <v>0</v>
      </c>
      <c r="AF435" s="1">
        <f t="shared" si="179"/>
        <v>0</v>
      </c>
      <c r="AG435" s="1">
        <f t="shared" si="180"/>
        <v>0</v>
      </c>
      <c r="AH435" s="1">
        <f t="shared" si="181"/>
        <v>0</v>
      </c>
      <c r="AI435" s="1">
        <f t="shared" si="182"/>
        <v>0</v>
      </c>
    </row>
    <row r="436" spans="1:35" ht="14.25" customHeight="1" x14ac:dyDescent="0.25">
      <c r="A436" s="31">
        <v>0</v>
      </c>
      <c r="B436" s="31">
        <v>2</v>
      </c>
      <c r="C436" s="31">
        <v>7</v>
      </c>
      <c r="D436" s="32" t="s">
        <v>71</v>
      </c>
      <c r="E436" s="32" t="s">
        <v>28</v>
      </c>
      <c r="F436" s="32" t="s">
        <v>1315</v>
      </c>
      <c r="G436" s="36" t="s">
        <v>258</v>
      </c>
      <c r="H436" s="32" t="s">
        <v>352</v>
      </c>
      <c r="I436" s="31" t="s">
        <v>416</v>
      </c>
      <c r="J436" s="31">
        <v>99</v>
      </c>
      <c r="K436" s="33" t="s">
        <v>704</v>
      </c>
      <c r="L436" s="33" t="s">
        <v>704</v>
      </c>
      <c r="M436" s="34" t="s">
        <v>722</v>
      </c>
      <c r="N436" s="34" t="s">
        <v>1766</v>
      </c>
      <c r="O436" s="35">
        <v>1</v>
      </c>
      <c r="P436" s="35"/>
      <c r="Q436" s="32"/>
      <c r="S436" s="1">
        <f t="shared" si="167"/>
        <v>0</v>
      </c>
      <c r="T436" s="1">
        <f t="shared" si="168"/>
        <v>0</v>
      </c>
      <c r="U436" s="1">
        <f t="shared" si="169"/>
        <v>0</v>
      </c>
      <c r="V436" s="1">
        <f t="shared" si="170"/>
        <v>0</v>
      </c>
      <c r="W436" s="1">
        <f t="shared" si="171"/>
        <v>0</v>
      </c>
      <c r="X436" s="1">
        <f t="shared" si="172"/>
        <v>0</v>
      </c>
      <c r="Y436" s="1">
        <f t="shared" si="173"/>
        <v>0</v>
      </c>
      <c r="Z436" s="1">
        <f t="shared" si="174"/>
        <v>0</v>
      </c>
      <c r="AA436" s="1">
        <f t="shared" si="175"/>
        <v>0</v>
      </c>
      <c r="AB436" s="1">
        <f t="shared" si="176"/>
        <v>0</v>
      </c>
      <c r="AD436" s="1">
        <f t="shared" si="177"/>
        <v>0</v>
      </c>
      <c r="AE436" s="1">
        <f t="shared" si="178"/>
        <v>1</v>
      </c>
      <c r="AF436" s="1">
        <f t="shared" si="179"/>
        <v>0</v>
      </c>
      <c r="AG436" s="1">
        <f t="shared" si="180"/>
        <v>1</v>
      </c>
      <c r="AH436" s="1">
        <f t="shared" si="181"/>
        <v>0</v>
      </c>
      <c r="AI436" s="1">
        <f t="shared" si="182"/>
        <v>1</v>
      </c>
    </row>
    <row r="437" spans="1:35" ht="14.25" customHeight="1" x14ac:dyDescent="0.25">
      <c r="A437" s="31">
        <v>0</v>
      </c>
      <c r="B437" s="31">
        <v>2</v>
      </c>
      <c r="C437" s="31">
        <v>7</v>
      </c>
      <c r="D437" s="32" t="s">
        <v>1038</v>
      </c>
      <c r="E437" s="32" t="s">
        <v>28</v>
      </c>
      <c r="F437" s="32" t="s">
        <v>1039</v>
      </c>
      <c r="G437" s="36" t="s">
        <v>1040</v>
      </c>
      <c r="H437" s="32" t="s">
        <v>352</v>
      </c>
      <c r="I437" s="31" t="s">
        <v>1041</v>
      </c>
      <c r="J437" s="31">
        <v>99</v>
      </c>
      <c r="K437" s="33" t="s">
        <v>704</v>
      </c>
      <c r="L437" s="33" t="s">
        <v>704</v>
      </c>
      <c r="M437" s="34" t="s">
        <v>722</v>
      </c>
      <c r="N437" s="34" t="s">
        <v>1766</v>
      </c>
      <c r="O437" s="35">
        <v>1</v>
      </c>
      <c r="P437" s="35"/>
      <c r="Q437" s="32"/>
      <c r="S437" s="1">
        <f t="shared" si="167"/>
        <v>0</v>
      </c>
      <c r="T437" s="1">
        <f t="shared" si="168"/>
        <v>0</v>
      </c>
      <c r="U437" s="1">
        <f t="shared" si="169"/>
        <v>0</v>
      </c>
      <c r="V437" s="1">
        <f t="shared" si="170"/>
        <v>0</v>
      </c>
      <c r="W437" s="1">
        <f t="shared" si="171"/>
        <v>0</v>
      </c>
      <c r="X437" s="1">
        <f t="shared" si="172"/>
        <v>0</v>
      </c>
      <c r="Y437" s="1">
        <f t="shared" si="173"/>
        <v>0</v>
      </c>
      <c r="Z437" s="1">
        <f t="shared" si="174"/>
        <v>0</v>
      </c>
      <c r="AA437" s="1">
        <f t="shared" si="175"/>
        <v>0</v>
      </c>
      <c r="AB437" s="1">
        <f t="shared" si="176"/>
        <v>0</v>
      </c>
      <c r="AD437" s="1">
        <f t="shared" si="177"/>
        <v>0</v>
      </c>
      <c r="AE437" s="1">
        <f t="shared" si="178"/>
        <v>1</v>
      </c>
      <c r="AF437" s="1">
        <f t="shared" si="179"/>
        <v>0</v>
      </c>
      <c r="AG437" s="1">
        <f t="shared" si="180"/>
        <v>1</v>
      </c>
      <c r="AH437" s="1">
        <f t="shared" si="181"/>
        <v>0</v>
      </c>
      <c r="AI437" s="1">
        <f t="shared" si="182"/>
        <v>1</v>
      </c>
    </row>
    <row r="438" spans="1:35" ht="14.25" customHeight="1" x14ac:dyDescent="0.25">
      <c r="A438" s="31">
        <v>0</v>
      </c>
      <c r="B438" s="31">
        <v>2</v>
      </c>
      <c r="C438" s="31">
        <v>7</v>
      </c>
      <c r="D438" s="32" t="s">
        <v>1748</v>
      </c>
      <c r="E438" s="32" t="s">
        <v>155</v>
      </c>
      <c r="F438" s="32" t="s">
        <v>1749</v>
      </c>
      <c r="G438" s="32"/>
      <c r="H438" s="32" t="s">
        <v>352</v>
      </c>
      <c r="I438" s="31" t="s">
        <v>1750</v>
      </c>
      <c r="J438" s="31">
        <v>99</v>
      </c>
      <c r="K438" s="33" t="s">
        <v>694</v>
      </c>
      <c r="L438" s="33"/>
      <c r="M438" s="34"/>
      <c r="N438" s="34" t="s">
        <v>1681</v>
      </c>
      <c r="O438" s="35">
        <v>1</v>
      </c>
      <c r="P438" s="35">
        <v>1</v>
      </c>
      <c r="Q438" s="32"/>
      <c r="S438" s="1">
        <f t="shared" si="167"/>
        <v>0</v>
      </c>
      <c r="T438" s="1">
        <f t="shared" si="168"/>
        <v>0</v>
      </c>
      <c r="U438" s="1">
        <f t="shared" si="169"/>
        <v>0</v>
      </c>
      <c r="V438" s="1">
        <f t="shared" si="170"/>
        <v>0</v>
      </c>
      <c r="W438" s="1">
        <f t="shared" si="171"/>
        <v>0</v>
      </c>
      <c r="X438" s="1">
        <f t="shared" si="172"/>
        <v>0</v>
      </c>
      <c r="Y438" s="1">
        <f t="shared" si="173"/>
        <v>0</v>
      </c>
      <c r="Z438" s="1">
        <f t="shared" si="174"/>
        <v>0</v>
      </c>
      <c r="AA438" s="1">
        <f t="shared" si="175"/>
        <v>0</v>
      </c>
      <c r="AB438" s="1">
        <f t="shared" si="176"/>
        <v>0</v>
      </c>
      <c r="AD438" s="1">
        <f t="shared" si="177"/>
        <v>1</v>
      </c>
      <c r="AE438" s="1">
        <f t="shared" si="178"/>
        <v>0</v>
      </c>
      <c r="AF438" s="1">
        <f t="shared" si="179"/>
        <v>1</v>
      </c>
      <c r="AG438" s="1">
        <f t="shared" si="180"/>
        <v>0</v>
      </c>
      <c r="AH438" s="1">
        <f t="shared" si="181"/>
        <v>1</v>
      </c>
      <c r="AI438" s="1">
        <f t="shared" si="182"/>
        <v>0</v>
      </c>
    </row>
    <row r="439" spans="1:35" ht="14.25" customHeight="1" x14ac:dyDescent="0.25">
      <c r="A439" s="31">
        <v>0</v>
      </c>
      <c r="B439" s="31">
        <v>2</v>
      </c>
      <c r="C439" s="31">
        <v>7</v>
      </c>
      <c r="D439" s="32" t="s">
        <v>1149</v>
      </c>
      <c r="E439" s="32" t="s">
        <v>155</v>
      </c>
      <c r="F439" s="32" t="s">
        <v>1150</v>
      </c>
      <c r="G439" s="32" t="s">
        <v>291</v>
      </c>
      <c r="H439" s="32" t="s">
        <v>352</v>
      </c>
      <c r="I439" s="31" t="s">
        <v>1151</v>
      </c>
      <c r="J439" s="31">
        <v>99</v>
      </c>
      <c r="K439" s="33" t="s">
        <v>704</v>
      </c>
      <c r="L439" s="33" t="s">
        <v>713</v>
      </c>
      <c r="M439" s="34" t="s">
        <v>1397</v>
      </c>
      <c r="N439" s="34" t="s">
        <v>1693</v>
      </c>
      <c r="O439" s="35">
        <v>1</v>
      </c>
      <c r="P439" s="35"/>
      <c r="Q439" s="32"/>
      <c r="S439" s="1">
        <f t="shared" si="167"/>
        <v>0</v>
      </c>
      <c r="T439" s="1">
        <f t="shared" si="168"/>
        <v>0</v>
      </c>
      <c r="U439" s="1">
        <f t="shared" si="169"/>
        <v>0</v>
      </c>
      <c r="V439" s="1">
        <f t="shared" si="170"/>
        <v>0</v>
      </c>
      <c r="W439" s="1">
        <f t="shared" si="171"/>
        <v>0</v>
      </c>
      <c r="X439" s="1">
        <f t="shared" si="172"/>
        <v>0</v>
      </c>
      <c r="Y439" s="1">
        <f t="shared" si="173"/>
        <v>0</v>
      </c>
      <c r="Z439" s="1">
        <f t="shared" si="174"/>
        <v>0</v>
      </c>
      <c r="AA439" s="1">
        <f t="shared" si="175"/>
        <v>0</v>
      </c>
      <c r="AB439" s="1">
        <f t="shared" si="176"/>
        <v>0</v>
      </c>
      <c r="AD439" s="1">
        <f t="shared" si="177"/>
        <v>0</v>
      </c>
      <c r="AE439" s="1">
        <f t="shared" si="178"/>
        <v>1</v>
      </c>
      <c r="AF439" s="1">
        <f t="shared" si="179"/>
        <v>0</v>
      </c>
      <c r="AG439" s="1">
        <f t="shared" si="180"/>
        <v>1</v>
      </c>
      <c r="AH439" s="1">
        <f t="shared" si="181"/>
        <v>0</v>
      </c>
      <c r="AI439" s="1">
        <f t="shared" si="182"/>
        <v>1</v>
      </c>
    </row>
    <row r="440" spans="1:35" ht="14.25" customHeight="1" x14ac:dyDescent="0.25">
      <c r="A440" s="31">
        <v>0</v>
      </c>
      <c r="B440" s="31">
        <v>2</v>
      </c>
      <c r="C440" s="31">
        <v>7</v>
      </c>
      <c r="D440" s="36" t="s">
        <v>2114</v>
      </c>
      <c r="E440" s="32" t="s">
        <v>155</v>
      </c>
      <c r="F440" s="32" t="s">
        <v>1941</v>
      </c>
      <c r="G440" s="32" t="s">
        <v>281</v>
      </c>
      <c r="H440" s="32" t="s">
        <v>352</v>
      </c>
      <c r="I440" s="31" t="s">
        <v>1942</v>
      </c>
      <c r="J440" s="31">
        <v>99</v>
      </c>
      <c r="K440" s="33" t="s">
        <v>694</v>
      </c>
      <c r="L440" s="33" t="s">
        <v>713</v>
      </c>
      <c r="M440" s="34" t="s">
        <v>723</v>
      </c>
      <c r="N440" s="34" t="s">
        <v>1681</v>
      </c>
      <c r="O440" s="35">
        <v>1</v>
      </c>
      <c r="P440" s="35">
        <v>1</v>
      </c>
      <c r="Q440" s="32"/>
      <c r="S440" s="1">
        <f t="shared" si="167"/>
        <v>0</v>
      </c>
      <c r="T440" s="1">
        <f t="shared" si="168"/>
        <v>0</v>
      </c>
      <c r="U440" s="1">
        <f t="shared" si="169"/>
        <v>0</v>
      </c>
      <c r="V440" s="1">
        <f t="shared" si="170"/>
        <v>0</v>
      </c>
      <c r="W440" s="1">
        <f t="shared" si="171"/>
        <v>0</v>
      </c>
      <c r="X440" s="1">
        <f t="shared" si="172"/>
        <v>0</v>
      </c>
      <c r="Y440" s="1">
        <f t="shared" si="173"/>
        <v>0</v>
      </c>
      <c r="Z440" s="1">
        <f t="shared" si="174"/>
        <v>0</v>
      </c>
      <c r="AA440" s="1">
        <f t="shared" si="175"/>
        <v>0</v>
      </c>
      <c r="AB440" s="1">
        <f t="shared" si="176"/>
        <v>0</v>
      </c>
      <c r="AD440" s="1">
        <f t="shared" si="177"/>
        <v>1</v>
      </c>
      <c r="AE440" s="1">
        <f t="shared" si="178"/>
        <v>0</v>
      </c>
      <c r="AF440" s="1">
        <f t="shared" si="179"/>
        <v>1</v>
      </c>
      <c r="AG440" s="1">
        <f t="shared" si="180"/>
        <v>0</v>
      </c>
      <c r="AH440" s="1">
        <f t="shared" si="181"/>
        <v>1</v>
      </c>
      <c r="AI440" s="1">
        <f t="shared" si="182"/>
        <v>0</v>
      </c>
    </row>
    <row r="441" spans="1:35" ht="14.25" customHeight="1" x14ac:dyDescent="0.25">
      <c r="A441" s="31">
        <v>1</v>
      </c>
      <c r="B441" s="31">
        <v>2</v>
      </c>
      <c r="C441" s="31">
        <v>7</v>
      </c>
      <c r="D441" s="36" t="s">
        <v>2114</v>
      </c>
      <c r="E441" s="32" t="s">
        <v>155</v>
      </c>
      <c r="F441" s="32" t="s">
        <v>1943</v>
      </c>
      <c r="G441" s="32" t="s">
        <v>1944</v>
      </c>
      <c r="H441" s="32" t="s">
        <v>352</v>
      </c>
      <c r="I441" s="31" t="s">
        <v>1945</v>
      </c>
      <c r="J441" s="31">
        <v>99</v>
      </c>
      <c r="K441" s="33" t="s">
        <v>694</v>
      </c>
      <c r="L441" s="33" t="s">
        <v>713</v>
      </c>
      <c r="M441" s="34" t="s">
        <v>723</v>
      </c>
      <c r="N441" s="34" t="s">
        <v>1681</v>
      </c>
      <c r="O441" s="35">
        <v>1</v>
      </c>
      <c r="P441" s="35">
        <v>1</v>
      </c>
      <c r="Q441" s="32"/>
      <c r="S441" s="1">
        <f t="shared" si="167"/>
        <v>0</v>
      </c>
      <c r="T441" s="1">
        <f t="shared" si="168"/>
        <v>0</v>
      </c>
      <c r="U441" s="1">
        <f t="shared" si="169"/>
        <v>0</v>
      </c>
      <c r="V441" s="1">
        <f t="shared" si="170"/>
        <v>0</v>
      </c>
      <c r="W441" s="1">
        <f t="shared" si="171"/>
        <v>0</v>
      </c>
      <c r="X441" s="1">
        <f t="shared" si="172"/>
        <v>0</v>
      </c>
      <c r="Y441" s="1">
        <f t="shared" si="173"/>
        <v>0</v>
      </c>
      <c r="Z441" s="1">
        <f t="shared" si="174"/>
        <v>0</v>
      </c>
      <c r="AA441" s="1">
        <f t="shared" si="175"/>
        <v>0</v>
      </c>
      <c r="AB441" s="1">
        <f t="shared" si="176"/>
        <v>0</v>
      </c>
      <c r="AD441" s="1">
        <f t="shared" si="177"/>
        <v>1</v>
      </c>
      <c r="AE441" s="1">
        <f t="shared" si="178"/>
        <v>0</v>
      </c>
      <c r="AF441" s="1">
        <f t="shared" si="179"/>
        <v>0</v>
      </c>
      <c r="AG441" s="1">
        <f t="shared" si="180"/>
        <v>0</v>
      </c>
      <c r="AH441" s="1">
        <f t="shared" si="181"/>
        <v>0</v>
      </c>
      <c r="AI441" s="1">
        <f t="shared" si="182"/>
        <v>0</v>
      </c>
    </row>
    <row r="442" spans="1:35" ht="14.25" customHeight="1" x14ac:dyDescent="0.25">
      <c r="A442" s="31">
        <v>0</v>
      </c>
      <c r="B442" s="31">
        <v>2</v>
      </c>
      <c r="C442" s="31">
        <v>7</v>
      </c>
      <c r="D442" s="32" t="s">
        <v>1124</v>
      </c>
      <c r="E442" s="32" t="s">
        <v>1125</v>
      </c>
      <c r="F442" s="36" t="s">
        <v>1818</v>
      </c>
      <c r="G442" s="32" t="s">
        <v>620</v>
      </c>
      <c r="H442" s="32" t="s">
        <v>352</v>
      </c>
      <c r="I442" s="31" t="s">
        <v>1126</v>
      </c>
      <c r="J442" s="31">
        <v>99</v>
      </c>
      <c r="K442" s="33" t="s">
        <v>704</v>
      </c>
      <c r="L442" s="33" t="s">
        <v>704</v>
      </c>
      <c r="M442" s="34" t="s">
        <v>722</v>
      </c>
      <c r="N442" s="34" t="s">
        <v>1689</v>
      </c>
      <c r="O442" s="35">
        <v>1</v>
      </c>
      <c r="P442" s="35"/>
      <c r="Q442" s="36" t="s">
        <v>1838</v>
      </c>
      <c r="S442" s="1">
        <f t="shared" si="167"/>
        <v>0</v>
      </c>
      <c r="T442" s="1">
        <f t="shared" si="168"/>
        <v>0</v>
      </c>
      <c r="U442" s="1">
        <f t="shared" si="169"/>
        <v>0</v>
      </c>
      <c r="V442" s="1">
        <f t="shared" si="170"/>
        <v>0</v>
      </c>
      <c r="W442" s="1">
        <f t="shared" si="171"/>
        <v>0</v>
      </c>
      <c r="X442" s="1">
        <f t="shared" si="172"/>
        <v>0</v>
      </c>
      <c r="Y442" s="1">
        <f t="shared" si="173"/>
        <v>0</v>
      </c>
      <c r="Z442" s="1">
        <f t="shared" si="174"/>
        <v>0</v>
      </c>
      <c r="AA442" s="1">
        <f t="shared" si="175"/>
        <v>0</v>
      </c>
      <c r="AB442" s="1">
        <f t="shared" si="176"/>
        <v>0</v>
      </c>
      <c r="AD442" s="1">
        <f t="shared" si="177"/>
        <v>0</v>
      </c>
      <c r="AE442" s="1">
        <f t="shared" si="178"/>
        <v>1</v>
      </c>
      <c r="AF442" s="1">
        <f t="shared" si="179"/>
        <v>0</v>
      </c>
      <c r="AG442" s="1">
        <f t="shared" si="180"/>
        <v>1</v>
      </c>
      <c r="AH442" s="1">
        <f t="shared" si="181"/>
        <v>0</v>
      </c>
      <c r="AI442" s="1">
        <f t="shared" si="182"/>
        <v>1</v>
      </c>
    </row>
    <row r="443" spans="1:35" ht="14.25" customHeight="1" x14ac:dyDescent="0.25">
      <c r="A443" s="31">
        <v>0</v>
      </c>
      <c r="B443" s="31">
        <v>2</v>
      </c>
      <c r="C443" s="31">
        <v>7</v>
      </c>
      <c r="D443" s="32" t="s">
        <v>538</v>
      </c>
      <c r="E443" s="32" t="s">
        <v>157</v>
      </c>
      <c r="F443" s="32" t="s">
        <v>194</v>
      </c>
      <c r="G443" s="32" t="s">
        <v>195</v>
      </c>
      <c r="H443" s="32" t="s">
        <v>352</v>
      </c>
      <c r="I443" s="31" t="s">
        <v>546</v>
      </c>
      <c r="J443" s="31">
        <v>99</v>
      </c>
      <c r="K443" s="33" t="s">
        <v>931</v>
      </c>
      <c r="L443" s="33" t="s">
        <v>687</v>
      </c>
      <c r="M443" s="34" t="s">
        <v>1399</v>
      </c>
      <c r="N443" s="34" t="s">
        <v>1693</v>
      </c>
      <c r="O443" s="35">
        <v>1</v>
      </c>
      <c r="P443" s="35"/>
      <c r="Q443" s="32"/>
      <c r="S443" s="1">
        <f t="shared" si="167"/>
        <v>0</v>
      </c>
      <c r="T443" s="1">
        <f t="shared" si="168"/>
        <v>0</v>
      </c>
      <c r="U443" s="1">
        <f t="shared" si="169"/>
        <v>0</v>
      </c>
      <c r="V443" s="1">
        <f t="shared" si="170"/>
        <v>0</v>
      </c>
      <c r="W443" s="1">
        <f t="shared" si="171"/>
        <v>0</v>
      </c>
      <c r="X443" s="1">
        <f t="shared" si="172"/>
        <v>0</v>
      </c>
      <c r="Y443" s="1">
        <f t="shared" si="173"/>
        <v>0</v>
      </c>
      <c r="Z443" s="1">
        <f t="shared" si="174"/>
        <v>0</v>
      </c>
      <c r="AA443" s="1">
        <f t="shared" si="175"/>
        <v>0</v>
      </c>
      <c r="AB443" s="1">
        <f t="shared" si="176"/>
        <v>0</v>
      </c>
      <c r="AD443" s="1">
        <f t="shared" si="177"/>
        <v>0</v>
      </c>
      <c r="AE443" s="1">
        <f t="shared" si="178"/>
        <v>1</v>
      </c>
      <c r="AF443" s="1">
        <f t="shared" si="179"/>
        <v>0</v>
      </c>
      <c r="AG443" s="1">
        <f t="shared" si="180"/>
        <v>1</v>
      </c>
      <c r="AH443" s="1">
        <f t="shared" si="181"/>
        <v>0</v>
      </c>
      <c r="AI443" s="1">
        <f t="shared" si="182"/>
        <v>1</v>
      </c>
    </row>
    <row r="444" spans="1:35" ht="14.25" customHeight="1" x14ac:dyDescent="0.25">
      <c r="A444" s="31">
        <v>0</v>
      </c>
      <c r="B444" s="31">
        <v>2</v>
      </c>
      <c r="C444" s="31">
        <v>7</v>
      </c>
      <c r="D444" s="32" t="s">
        <v>46</v>
      </c>
      <c r="E444" s="32" t="s">
        <v>155</v>
      </c>
      <c r="F444" s="32" t="s">
        <v>182</v>
      </c>
      <c r="G444" s="32" t="s">
        <v>178</v>
      </c>
      <c r="H444" s="32" t="s">
        <v>352</v>
      </c>
      <c r="I444" s="31" t="s">
        <v>380</v>
      </c>
      <c r="J444" s="31">
        <v>10</v>
      </c>
      <c r="K444" s="33" t="s">
        <v>931</v>
      </c>
      <c r="L444" s="33" t="s">
        <v>713</v>
      </c>
      <c r="M444" s="34" t="s">
        <v>1397</v>
      </c>
      <c r="N444" s="34" t="s">
        <v>1790</v>
      </c>
      <c r="O444" s="35">
        <v>1</v>
      </c>
      <c r="P444" s="35"/>
      <c r="Q444" s="32"/>
      <c r="S444" s="1">
        <f t="shared" si="167"/>
        <v>0</v>
      </c>
      <c r="T444" s="1">
        <f t="shared" si="168"/>
        <v>0</v>
      </c>
      <c r="U444" s="1">
        <f t="shared" si="169"/>
        <v>0</v>
      </c>
      <c r="V444" s="1">
        <f t="shared" si="170"/>
        <v>0</v>
      </c>
      <c r="W444" s="1">
        <f t="shared" si="171"/>
        <v>0</v>
      </c>
      <c r="X444" s="1">
        <f t="shared" si="172"/>
        <v>0</v>
      </c>
      <c r="Y444" s="1">
        <f t="shared" si="173"/>
        <v>0</v>
      </c>
      <c r="Z444" s="1">
        <f t="shared" si="174"/>
        <v>0</v>
      </c>
      <c r="AA444" s="1">
        <f t="shared" si="175"/>
        <v>0</v>
      </c>
      <c r="AB444" s="1">
        <f t="shared" si="176"/>
        <v>1</v>
      </c>
      <c r="AD444" s="1">
        <f t="shared" si="177"/>
        <v>0</v>
      </c>
      <c r="AE444" s="1">
        <f t="shared" si="178"/>
        <v>1</v>
      </c>
      <c r="AF444" s="1">
        <f t="shared" si="179"/>
        <v>0</v>
      </c>
      <c r="AG444" s="1">
        <f t="shared" si="180"/>
        <v>1</v>
      </c>
      <c r="AH444" s="1">
        <f t="shared" si="181"/>
        <v>0</v>
      </c>
      <c r="AI444" s="1">
        <f t="shared" si="182"/>
        <v>1</v>
      </c>
    </row>
    <row r="445" spans="1:35" ht="14.25" customHeight="1" x14ac:dyDescent="0.25">
      <c r="A445" s="31">
        <v>0</v>
      </c>
      <c r="B445" s="31">
        <v>2</v>
      </c>
      <c r="C445" s="31">
        <v>7</v>
      </c>
      <c r="D445" s="32" t="s">
        <v>67</v>
      </c>
      <c r="E445" s="32" t="s">
        <v>28</v>
      </c>
      <c r="F445" s="32" t="s">
        <v>247</v>
      </c>
      <c r="G445" s="32" t="s">
        <v>248</v>
      </c>
      <c r="H445" s="32" t="s">
        <v>352</v>
      </c>
      <c r="I445" s="31" t="s">
        <v>409</v>
      </c>
      <c r="J445" s="31">
        <v>7</v>
      </c>
      <c r="K445" s="33" t="s">
        <v>704</v>
      </c>
      <c r="L445" s="33" t="s">
        <v>704</v>
      </c>
      <c r="M445" s="34" t="s">
        <v>722</v>
      </c>
      <c r="N445" s="34" t="s">
        <v>1694</v>
      </c>
      <c r="O445" s="35">
        <v>1</v>
      </c>
      <c r="P445" s="35"/>
      <c r="Q445" s="32"/>
      <c r="S445" s="1">
        <f t="shared" si="167"/>
        <v>0</v>
      </c>
      <c r="T445" s="1">
        <f t="shared" si="168"/>
        <v>0</v>
      </c>
      <c r="U445" s="1">
        <f t="shared" si="169"/>
        <v>0</v>
      </c>
      <c r="V445" s="1">
        <f t="shared" si="170"/>
        <v>0</v>
      </c>
      <c r="W445" s="1">
        <f t="shared" si="171"/>
        <v>0</v>
      </c>
      <c r="X445" s="1">
        <f t="shared" si="172"/>
        <v>0</v>
      </c>
      <c r="Y445" s="1">
        <f t="shared" si="173"/>
        <v>1</v>
      </c>
      <c r="Z445" s="1">
        <f t="shared" si="174"/>
        <v>0</v>
      </c>
      <c r="AA445" s="1">
        <f t="shared" si="175"/>
        <v>0</v>
      </c>
      <c r="AB445" s="1">
        <f t="shared" si="176"/>
        <v>0</v>
      </c>
      <c r="AD445" s="1">
        <f t="shared" si="177"/>
        <v>0</v>
      </c>
      <c r="AE445" s="1">
        <f t="shared" si="178"/>
        <v>1</v>
      </c>
      <c r="AF445" s="1">
        <f t="shared" si="179"/>
        <v>0</v>
      </c>
      <c r="AG445" s="1">
        <f t="shared" si="180"/>
        <v>1</v>
      </c>
      <c r="AH445" s="1">
        <f t="shared" si="181"/>
        <v>0</v>
      </c>
      <c r="AI445" s="1">
        <f t="shared" si="182"/>
        <v>1</v>
      </c>
    </row>
    <row r="446" spans="1:35" ht="14.25" customHeight="1" x14ac:dyDescent="0.25">
      <c r="A446" s="31">
        <v>1</v>
      </c>
      <c r="B446" s="31">
        <v>2</v>
      </c>
      <c r="C446" s="31">
        <v>7</v>
      </c>
      <c r="D446" s="32" t="s">
        <v>67</v>
      </c>
      <c r="E446" s="32" t="s">
        <v>28</v>
      </c>
      <c r="F446" s="32" t="s">
        <v>1015</v>
      </c>
      <c r="G446" s="32" t="s">
        <v>535</v>
      </c>
      <c r="H446" s="32" t="s">
        <v>352</v>
      </c>
      <c r="I446" s="31" t="s">
        <v>30</v>
      </c>
      <c r="J446" s="31">
        <v>1</v>
      </c>
      <c r="K446" s="33" t="s">
        <v>704</v>
      </c>
      <c r="L446" s="33" t="s">
        <v>704</v>
      </c>
      <c r="M446" s="34" t="s">
        <v>722</v>
      </c>
      <c r="N446" s="34" t="s">
        <v>1694</v>
      </c>
      <c r="O446" s="35">
        <v>1</v>
      </c>
      <c r="P446" s="35"/>
      <c r="Q446" s="32"/>
      <c r="S446" s="1">
        <f t="shared" si="167"/>
        <v>1</v>
      </c>
      <c r="T446" s="1">
        <f t="shared" si="168"/>
        <v>0</v>
      </c>
      <c r="U446" s="1">
        <f t="shared" si="169"/>
        <v>0</v>
      </c>
      <c r="V446" s="1">
        <f t="shared" si="170"/>
        <v>0</v>
      </c>
      <c r="W446" s="1">
        <f t="shared" si="171"/>
        <v>0</v>
      </c>
      <c r="X446" s="1">
        <f t="shared" si="172"/>
        <v>0</v>
      </c>
      <c r="Y446" s="1">
        <f t="shared" si="173"/>
        <v>0</v>
      </c>
      <c r="Z446" s="1">
        <f t="shared" si="174"/>
        <v>0</v>
      </c>
      <c r="AA446" s="1">
        <f t="shared" si="175"/>
        <v>0</v>
      </c>
      <c r="AB446" s="1">
        <f t="shared" si="176"/>
        <v>0</v>
      </c>
      <c r="AD446" s="1">
        <f t="shared" si="177"/>
        <v>0</v>
      </c>
      <c r="AE446" s="1">
        <f t="shared" si="178"/>
        <v>1</v>
      </c>
      <c r="AF446" s="1">
        <f t="shared" si="179"/>
        <v>0</v>
      </c>
      <c r="AG446" s="1">
        <f t="shared" si="180"/>
        <v>0</v>
      </c>
      <c r="AH446" s="1">
        <f t="shared" si="181"/>
        <v>0</v>
      </c>
      <c r="AI446" s="1">
        <f t="shared" si="182"/>
        <v>0</v>
      </c>
    </row>
    <row r="447" spans="1:35" ht="14.25" customHeight="1" x14ac:dyDescent="0.25">
      <c r="A447" s="31">
        <v>1</v>
      </c>
      <c r="B447" s="31">
        <v>2</v>
      </c>
      <c r="C447" s="31">
        <v>7</v>
      </c>
      <c r="D447" s="32" t="s">
        <v>67</v>
      </c>
      <c r="E447" s="32" t="s">
        <v>28</v>
      </c>
      <c r="F447" s="32" t="s">
        <v>249</v>
      </c>
      <c r="G447" s="32" t="s">
        <v>199</v>
      </c>
      <c r="H447" s="32" t="s">
        <v>352</v>
      </c>
      <c r="I447" s="31" t="s">
        <v>410</v>
      </c>
      <c r="J447" s="31">
        <v>2</v>
      </c>
      <c r="K447" s="33" t="s">
        <v>704</v>
      </c>
      <c r="L447" s="33" t="s">
        <v>704</v>
      </c>
      <c r="M447" s="34" t="s">
        <v>722</v>
      </c>
      <c r="N447" s="34" t="s">
        <v>1694</v>
      </c>
      <c r="O447" s="35">
        <v>1</v>
      </c>
      <c r="P447" s="35"/>
      <c r="Q447" s="32"/>
      <c r="S447" s="1">
        <f t="shared" si="167"/>
        <v>0</v>
      </c>
      <c r="T447" s="1">
        <f t="shared" si="168"/>
        <v>1</v>
      </c>
      <c r="U447" s="1">
        <f t="shared" si="169"/>
        <v>0</v>
      </c>
      <c r="V447" s="1">
        <f t="shared" si="170"/>
        <v>0</v>
      </c>
      <c r="W447" s="1">
        <f t="shared" si="171"/>
        <v>0</v>
      </c>
      <c r="X447" s="1">
        <f t="shared" si="172"/>
        <v>0</v>
      </c>
      <c r="Y447" s="1">
        <f t="shared" si="173"/>
        <v>0</v>
      </c>
      <c r="Z447" s="1">
        <f t="shared" si="174"/>
        <v>0</v>
      </c>
      <c r="AA447" s="1">
        <f t="shared" si="175"/>
        <v>0</v>
      </c>
      <c r="AB447" s="1">
        <f t="shared" si="176"/>
        <v>0</v>
      </c>
      <c r="AD447" s="1">
        <f t="shared" si="177"/>
        <v>0</v>
      </c>
      <c r="AE447" s="1">
        <f t="shared" si="178"/>
        <v>1</v>
      </c>
      <c r="AF447" s="1">
        <f t="shared" si="179"/>
        <v>0</v>
      </c>
      <c r="AG447" s="1">
        <f t="shared" si="180"/>
        <v>0</v>
      </c>
      <c r="AH447" s="1">
        <f t="shared" si="181"/>
        <v>0</v>
      </c>
      <c r="AI447" s="1">
        <f t="shared" si="182"/>
        <v>0</v>
      </c>
    </row>
    <row r="448" spans="1:35" ht="14.25" customHeight="1" x14ac:dyDescent="0.25">
      <c r="A448" s="31">
        <v>1</v>
      </c>
      <c r="B448" s="31">
        <v>2</v>
      </c>
      <c r="C448" s="31">
        <v>7</v>
      </c>
      <c r="D448" s="32" t="s">
        <v>67</v>
      </c>
      <c r="E448" s="32" t="s">
        <v>28</v>
      </c>
      <c r="F448" s="32" t="s">
        <v>246</v>
      </c>
      <c r="G448" s="32" t="s">
        <v>1317</v>
      </c>
      <c r="H448" s="32" t="s">
        <v>352</v>
      </c>
      <c r="I448" s="31" t="s">
        <v>30</v>
      </c>
      <c r="J448" s="31">
        <v>1</v>
      </c>
      <c r="K448" s="33" t="s">
        <v>704</v>
      </c>
      <c r="L448" s="33" t="s">
        <v>704</v>
      </c>
      <c r="M448" s="34" t="s">
        <v>722</v>
      </c>
      <c r="N448" s="34" t="s">
        <v>1694</v>
      </c>
      <c r="O448" s="35">
        <v>1</v>
      </c>
      <c r="P448" s="35"/>
      <c r="Q448" s="32" t="s">
        <v>1857</v>
      </c>
      <c r="S448" s="1">
        <f t="shared" si="167"/>
        <v>1</v>
      </c>
      <c r="T448" s="1">
        <f t="shared" si="168"/>
        <v>0</v>
      </c>
      <c r="U448" s="1">
        <f t="shared" si="169"/>
        <v>0</v>
      </c>
      <c r="V448" s="1">
        <f t="shared" si="170"/>
        <v>0</v>
      </c>
      <c r="W448" s="1">
        <f t="shared" si="171"/>
        <v>0</v>
      </c>
      <c r="X448" s="1">
        <f t="shared" si="172"/>
        <v>0</v>
      </c>
      <c r="Y448" s="1">
        <f t="shared" si="173"/>
        <v>0</v>
      </c>
      <c r="Z448" s="1">
        <f t="shared" si="174"/>
        <v>0</v>
      </c>
      <c r="AA448" s="1">
        <f t="shared" si="175"/>
        <v>0</v>
      </c>
      <c r="AB448" s="1">
        <f t="shared" si="176"/>
        <v>0</v>
      </c>
      <c r="AD448" s="1">
        <f t="shared" si="177"/>
        <v>0</v>
      </c>
      <c r="AE448" s="1">
        <f t="shared" si="178"/>
        <v>1</v>
      </c>
      <c r="AF448" s="1">
        <f t="shared" si="179"/>
        <v>0</v>
      </c>
      <c r="AG448" s="1">
        <f t="shared" si="180"/>
        <v>0</v>
      </c>
      <c r="AH448" s="1">
        <f t="shared" si="181"/>
        <v>0</v>
      </c>
      <c r="AI448" s="1">
        <f t="shared" si="182"/>
        <v>0</v>
      </c>
    </row>
    <row r="449" spans="1:35" ht="14.25" customHeight="1" x14ac:dyDescent="0.25">
      <c r="A449" s="31">
        <v>1</v>
      </c>
      <c r="B449" s="31">
        <v>2</v>
      </c>
      <c r="C449" s="31">
        <v>7</v>
      </c>
      <c r="D449" s="32" t="s">
        <v>67</v>
      </c>
      <c r="E449" s="32" t="s">
        <v>28</v>
      </c>
      <c r="F449" s="32" t="s">
        <v>251</v>
      </c>
      <c r="G449" s="32" t="s">
        <v>193</v>
      </c>
      <c r="H449" s="32" t="s">
        <v>352</v>
      </c>
      <c r="I449" s="31" t="s">
        <v>411</v>
      </c>
      <c r="J449" s="31">
        <v>9</v>
      </c>
      <c r="K449" s="33" t="s">
        <v>704</v>
      </c>
      <c r="L449" s="33" t="s">
        <v>704</v>
      </c>
      <c r="M449" s="34" t="s">
        <v>722</v>
      </c>
      <c r="N449" s="34" t="s">
        <v>1694</v>
      </c>
      <c r="O449" s="35">
        <v>1</v>
      </c>
      <c r="P449" s="35"/>
      <c r="Q449" s="32"/>
      <c r="S449" s="1">
        <f t="shared" si="167"/>
        <v>0</v>
      </c>
      <c r="T449" s="1">
        <f t="shared" si="168"/>
        <v>0</v>
      </c>
      <c r="U449" s="1">
        <f t="shared" si="169"/>
        <v>0</v>
      </c>
      <c r="V449" s="1">
        <f t="shared" si="170"/>
        <v>0</v>
      </c>
      <c r="W449" s="1">
        <f t="shared" si="171"/>
        <v>0</v>
      </c>
      <c r="X449" s="1">
        <f t="shared" si="172"/>
        <v>0</v>
      </c>
      <c r="Y449" s="1">
        <f t="shared" si="173"/>
        <v>0</v>
      </c>
      <c r="Z449" s="1">
        <f t="shared" si="174"/>
        <v>0</v>
      </c>
      <c r="AA449" s="1">
        <f t="shared" si="175"/>
        <v>1</v>
      </c>
      <c r="AB449" s="1">
        <f t="shared" si="176"/>
        <v>0</v>
      </c>
      <c r="AD449" s="1">
        <f t="shared" si="177"/>
        <v>0</v>
      </c>
      <c r="AE449" s="1">
        <f t="shared" si="178"/>
        <v>1</v>
      </c>
      <c r="AF449" s="1">
        <f t="shared" si="179"/>
        <v>0</v>
      </c>
      <c r="AG449" s="1">
        <f t="shared" si="180"/>
        <v>0</v>
      </c>
      <c r="AH449" s="1">
        <f t="shared" si="181"/>
        <v>0</v>
      </c>
      <c r="AI449" s="1">
        <f t="shared" si="182"/>
        <v>0</v>
      </c>
    </row>
    <row r="450" spans="1:35" ht="14.25" customHeight="1" x14ac:dyDescent="0.25">
      <c r="A450" s="31">
        <v>0</v>
      </c>
      <c r="B450" s="31">
        <v>2</v>
      </c>
      <c r="C450" s="31">
        <v>7</v>
      </c>
      <c r="D450" s="32" t="s">
        <v>999</v>
      </c>
      <c r="E450" s="32" t="s">
        <v>28</v>
      </c>
      <c r="F450" s="32" t="s">
        <v>1000</v>
      </c>
      <c r="G450" s="32" t="s">
        <v>193</v>
      </c>
      <c r="H450" s="32" t="s">
        <v>352</v>
      </c>
      <c r="I450" s="31" t="s">
        <v>1001</v>
      </c>
      <c r="J450" s="31">
        <v>9</v>
      </c>
      <c r="K450" s="33" t="s">
        <v>703</v>
      </c>
      <c r="L450" s="33" t="s">
        <v>704</v>
      </c>
      <c r="M450" s="34" t="s">
        <v>722</v>
      </c>
      <c r="N450" s="34" t="s">
        <v>1689</v>
      </c>
      <c r="O450" s="35">
        <v>1</v>
      </c>
      <c r="P450" s="35"/>
      <c r="Q450" s="32"/>
      <c r="S450" s="1">
        <f t="shared" si="167"/>
        <v>0</v>
      </c>
      <c r="T450" s="1">
        <f t="shared" si="168"/>
        <v>0</v>
      </c>
      <c r="U450" s="1">
        <f t="shared" si="169"/>
        <v>0</v>
      </c>
      <c r="V450" s="1">
        <f t="shared" si="170"/>
        <v>0</v>
      </c>
      <c r="W450" s="1">
        <f t="shared" si="171"/>
        <v>0</v>
      </c>
      <c r="X450" s="1">
        <f t="shared" si="172"/>
        <v>0</v>
      </c>
      <c r="Y450" s="1">
        <f t="shared" si="173"/>
        <v>0</v>
      </c>
      <c r="Z450" s="1">
        <f t="shared" si="174"/>
        <v>0</v>
      </c>
      <c r="AA450" s="1">
        <f t="shared" si="175"/>
        <v>1</v>
      </c>
      <c r="AB450" s="1">
        <f t="shared" si="176"/>
        <v>0</v>
      </c>
      <c r="AD450" s="1">
        <f t="shared" si="177"/>
        <v>0</v>
      </c>
      <c r="AE450" s="1">
        <f t="shared" si="178"/>
        <v>1</v>
      </c>
      <c r="AF450" s="1">
        <f t="shared" si="179"/>
        <v>0</v>
      </c>
      <c r="AG450" s="1">
        <f t="shared" si="180"/>
        <v>1</v>
      </c>
      <c r="AH450" s="1">
        <f t="shared" si="181"/>
        <v>0</v>
      </c>
      <c r="AI450" s="1">
        <f t="shared" si="182"/>
        <v>1</v>
      </c>
    </row>
    <row r="451" spans="1:35" ht="14.25" customHeight="1" x14ac:dyDescent="0.25">
      <c r="A451" s="31">
        <v>0</v>
      </c>
      <c r="B451" s="31">
        <v>2</v>
      </c>
      <c r="C451" s="31">
        <v>7</v>
      </c>
      <c r="D451" s="32" t="s">
        <v>1774</v>
      </c>
      <c r="E451" s="32" t="s">
        <v>1775</v>
      </c>
      <c r="F451" s="32" t="s">
        <v>1776</v>
      </c>
      <c r="G451" s="32" t="s">
        <v>206</v>
      </c>
      <c r="H451" s="32" t="s">
        <v>352</v>
      </c>
      <c r="I451" s="31" t="s">
        <v>30</v>
      </c>
      <c r="J451" s="31"/>
      <c r="K451" s="33" t="s">
        <v>694</v>
      </c>
      <c r="L451" s="33">
        <v>20</v>
      </c>
      <c r="M451" s="34" t="s">
        <v>1777</v>
      </c>
      <c r="N451" s="34" t="s">
        <v>1689</v>
      </c>
      <c r="O451" s="35">
        <v>1</v>
      </c>
      <c r="P451" s="35"/>
      <c r="Q451" s="32"/>
      <c r="S451" s="1">
        <f t="shared" si="167"/>
        <v>0</v>
      </c>
      <c r="T451" s="1">
        <f t="shared" si="168"/>
        <v>0</v>
      </c>
      <c r="U451" s="1">
        <f t="shared" si="169"/>
        <v>0</v>
      </c>
      <c r="V451" s="1">
        <f t="shared" si="170"/>
        <v>0</v>
      </c>
      <c r="W451" s="1">
        <f t="shared" si="171"/>
        <v>0</v>
      </c>
      <c r="X451" s="1">
        <f t="shared" si="172"/>
        <v>0</v>
      </c>
      <c r="Y451" s="1">
        <f t="shared" si="173"/>
        <v>0</v>
      </c>
      <c r="Z451" s="1">
        <f t="shared" si="174"/>
        <v>0</v>
      </c>
      <c r="AA451" s="1">
        <f t="shared" si="175"/>
        <v>0</v>
      </c>
      <c r="AB451" s="1">
        <f t="shared" si="176"/>
        <v>0</v>
      </c>
      <c r="AD451" s="1">
        <f t="shared" si="177"/>
        <v>0</v>
      </c>
      <c r="AE451" s="1">
        <f t="shared" si="178"/>
        <v>1</v>
      </c>
      <c r="AF451" s="1">
        <f t="shared" si="179"/>
        <v>0</v>
      </c>
      <c r="AG451" s="1">
        <f t="shared" si="180"/>
        <v>1</v>
      </c>
      <c r="AH451" s="1">
        <f t="shared" si="181"/>
        <v>0</v>
      </c>
      <c r="AI451" s="1">
        <f t="shared" si="182"/>
        <v>1</v>
      </c>
    </row>
    <row r="452" spans="1:35" ht="14.25" customHeight="1" x14ac:dyDescent="0.25">
      <c r="A452" s="31">
        <v>0</v>
      </c>
      <c r="B452" s="31">
        <v>2</v>
      </c>
      <c r="C452" s="31">
        <v>7</v>
      </c>
      <c r="D452" s="32" t="s">
        <v>1055</v>
      </c>
      <c r="E452" s="32" t="s">
        <v>540</v>
      </c>
      <c r="F452" s="32" t="s">
        <v>1036</v>
      </c>
      <c r="G452" s="32" t="s">
        <v>237</v>
      </c>
      <c r="H452" s="32" t="s">
        <v>352</v>
      </c>
      <c r="I452" s="31" t="s">
        <v>1037</v>
      </c>
      <c r="J452" s="31">
        <v>99</v>
      </c>
      <c r="K452" s="33" t="s">
        <v>931</v>
      </c>
      <c r="L452" s="33" t="s">
        <v>713</v>
      </c>
      <c r="M452" s="34" t="s">
        <v>1400</v>
      </c>
      <c r="N452" s="34" t="s">
        <v>1689</v>
      </c>
      <c r="O452" s="35">
        <v>1</v>
      </c>
      <c r="P452" s="35"/>
      <c r="Q452" s="32"/>
      <c r="S452" s="1">
        <f t="shared" si="167"/>
        <v>0</v>
      </c>
      <c r="T452" s="1">
        <f t="shared" si="168"/>
        <v>0</v>
      </c>
      <c r="U452" s="1">
        <f t="shared" si="169"/>
        <v>0</v>
      </c>
      <c r="V452" s="1">
        <f t="shared" si="170"/>
        <v>0</v>
      </c>
      <c r="W452" s="1">
        <f t="shared" si="171"/>
        <v>0</v>
      </c>
      <c r="X452" s="1">
        <f t="shared" si="172"/>
        <v>0</v>
      </c>
      <c r="Y452" s="1">
        <f t="shared" si="173"/>
        <v>0</v>
      </c>
      <c r="Z452" s="1">
        <f t="shared" si="174"/>
        <v>0</v>
      </c>
      <c r="AA452" s="1">
        <f t="shared" si="175"/>
        <v>0</v>
      </c>
      <c r="AB452" s="1">
        <f t="shared" si="176"/>
        <v>0</v>
      </c>
      <c r="AD452" s="1">
        <f t="shared" si="177"/>
        <v>0</v>
      </c>
      <c r="AE452" s="1">
        <f t="shared" si="178"/>
        <v>1</v>
      </c>
      <c r="AF452" s="1">
        <f t="shared" si="179"/>
        <v>0</v>
      </c>
      <c r="AG452" s="1">
        <f t="shared" si="180"/>
        <v>1</v>
      </c>
      <c r="AH452" s="1">
        <f t="shared" si="181"/>
        <v>0</v>
      </c>
      <c r="AI452" s="1">
        <f t="shared" si="182"/>
        <v>1</v>
      </c>
    </row>
    <row r="453" spans="1:35" ht="14.25" customHeight="1" x14ac:dyDescent="0.25">
      <c r="A453" s="31">
        <v>0</v>
      </c>
      <c r="B453" s="31">
        <v>2</v>
      </c>
      <c r="C453" s="31">
        <v>7</v>
      </c>
      <c r="D453" s="32" t="s">
        <v>1194</v>
      </c>
      <c r="E453" s="32" t="s">
        <v>155</v>
      </c>
      <c r="F453" s="32" t="s">
        <v>1195</v>
      </c>
      <c r="G453" s="32" t="s">
        <v>250</v>
      </c>
      <c r="H453" s="32" t="s">
        <v>352</v>
      </c>
      <c r="I453" s="31" t="s">
        <v>1196</v>
      </c>
      <c r="J453" s="31">
        <v>99</v>
      </c>
      <c r="K453" s="33" t="s">
        <v>704</v>
      </c>
      <c r="L453" s="33">
        <v>10</v>
      </c>
      <c r="M453" s="34" t="s">
        <v>1692</v>
      </c>
      <c r="N453" s="34" t="s">
        <v>1681</v>
      </c>
      <c r="O453" s="35">
        <v>1</v>
      </c>
      <c r="P453" s="35">
        <v>1</v>
      </c>
      <c r="Q453" s="32"/>
      <c r="S453" s="1">
        <f t="shared" si="167"/>
        <v>0</v>
      </c>
      <c r="T453" s="1">
        <f t="shared" si="168"/>
        <v>0</v>
      </c>
      <c r="U453" s="1">
        <f t="shared" si="169"/>
        <v>0</v>
      </c>
      <c r="V453" s="1">
        <f t="shared" si="170"/>
        <v>0</v>
      </c>
      <c r="W453" s="1">
        <f t="shared" si="171"/>
        <v>0</v>
      </c>
      <c r="X453" s="1">
        <f t="shared" si="172"/>
        <v>0</v>
      </c>
      <c r="Y453" s="1">
        <f t="shared" si="173"/>
        <v>0</v>
      </c>
      <c r="Z453" s="1">
        <f t="shared" si="174"/>
        <v>0</v>
      </c>
      <c r="AA453" s="1">
        <f t="shared" si="175"/>
        <v>0</v>
      </c>
      <c r="AB453" s="1">
        <f t="shared" si="176"/>
        <v>0</v>
      </c>
      <c r="AD453" s="1">
        <f t="shared" si="177"/>
        <v>1</v>
      </c>
      <c r="AE453" s="1">
        <f t="shared" si="178"/>
        <v>0</v>
      </c>
      <c r="AF453" s="1">
        <f t="shared" si="179"/>
        <v>1</v>
      </c>
      <c r="AG453" s="1">
        <f t="shared" si="180"/>
        <v>0</v>
      </c>
      <c r="AH453" s="1">
        <f t="shared" si="181"/>
        <v>1</v>
      </c>
      <c r="AI453" s="1">
        <f t="shared" si="182"/>
        <v>0</v>
      </c>
    </row>
    <row r="454" spans="1:35" ht="14.25" customHeight="1" x14ac:dyDescent="0.25">
      <c r="A454" s="31">
        <v>0</v>
      </c>
      <c r="B454" s="31">
        <v>2</v>
      </c>
      <c r="C454" s="31">
        <v>7</v>
      </c>
      <c r="D454" s="36" t="s">
        <v>1745</v>
      </c>
      <c r="E454" s="36" t="s">
        <v>28</v>
      </c>
      <c r="F454" s="36" t="s">
        <v>1746</v>
      </c>
      <c r="G454" s="36" t="s">
        <v>179</v>
      </c>
      <c r="H454" s="36" t="s">
        <v>352</v>
      </c>
      <c r="I454" s="37" t="s">
        <v>1747</v>
      </c>
      <c r="J454" s="31">
        <v>10</v>
      </c>
      <c r="K454" s="33" t="s">
        <v>694</v>
      </c>
      <c r="L454" s="33">
        <v>10</v>
      </c>
      <c r="M454" s="34"/>
      <c r="N454" s="34" t="s">
        <v>1681</v>
      </c>
      <c r="O454" s="35">
        <v>1</v>
      </c>
      <c r="P454" s="35">
        <v>1</v>
      </c>
      <c r="Q454" s="36"/>
      <c r="S454" s="1">
        <f t="shared" si="167"/>
        <v>0</v>
      </c>
      <c r="T454" s="1">
        <f t="shared" si="168"/>
        <v>0</v>
      </c>
      <c r="U454" s="1">
        <f t="shared" si="169"/>
        <v>0</v>
      </c>
      <c r="V454" s="1">
        <f t="shared" si="170"/>
        <v>0</v>
      </c>
      <c r="W454" s="1">
        <f t="shared" si="171"/>
        <v>0</v>
      </c>
      <c r="X454" s="1">
        <f t="shared" si="172"/>
        <v>0</v>
      </c>
      <c r="Y454" s="1">
        <f t="shared" si="173"/>
        <v>0</v>
      </c>
      <c r="Z454" s="1">
        <f t="shared" si="174"/>
        <v>0</v>
      </c>
      <c r="AA454" s="1">
        <f t="shared" si="175"/>
        <v>0</v>
      </c>
      <c r="AB454" s="1">
        <f t="shared" si="176"/>
        <v>1</v>
      </c>
      <c r="AD454" s="1">
        <f t="shared" si="177"/>
        <v>1</v>
      </c>
      <c r="AE454" s="1">
        <f t="shared" si="178"/>
        <v>0</v>
      </c>
      <c r="AF454" s="1">
        <f t="shared" si="179"/>
        <v>1</v>
      </c>
      <c r="AG454" s="1">
        <f t="shared" si="180"/>
        <v>0</v>
      </c>
      <c r="AH454" s="1">
        <f t="shared" si="181"/>
        <v>1</v>
      </c>
      <c r="AI454" s="1">
        <f t="shared" si="182"/>
        <v>0</v>
      </c>
    </row>
    <row r="455" spans="1:35" ht="14.25" customHeight="1" x14ac:dyDescent="0.25">
      <c r="A455" s="37">
        <v>0</v>
      </c>
      <c r="B455" s="37">
        <v>2</v>
      </c>
      <c r="C455" s="37">
        <v>7</v>
      </c>
      <c r="D455" s="36" t="s">
        <v>1541</v>
      </c>
      <c r="E455" s="36" t="s">
        <v>1607</v>
      </c>
      <c r="F455" s="36" t="s">
        <v>1542</v>
      </c>
      <c r="G455" s="36" t="s">
        <v>648</v>
      </c>
      <c r="H455" s="36" t="s">
        <v>352</v>
      </c>
      <c r="I455" s="37" t="s">
        <v>1543</v>
      </c>
      <c r="J455" s="37">
        <v>99</v>
      </c>
      <c r="K455" s="33" t="s">
        <v>704</v>
      </c>
      <c r="L455" s="33" t="s">
        <v>39</v>
      </c>
      <c r="M455" s="34" t="s">
        <v>39</v>
      </c>
      <c r="N455" s="34" t="s">
        <v>1681</v>
      </c>
      <c r="O455" s="35">
        <v>1</v>
      </c>
      <c r="P455" s="35">
        <v>1</v>
      </c>
      <c r="Q455" s="36"/>
      <c r="S455" s="1">
        <f t="shared" si="167"/>
        <v>0</v>
      </c>
      <c r="T455" s="1">
        <f t="shared" si="168"/>
        <v>0</v>
      </c>
      <c r="U455" s="1">
        <f t="shared" si="169"/>
        <v>0</v>
      </c>
      <c r="V455" s="1">
        <f t="shared" si="170"/>
        <v>0</v>
      </c>
      <c r="W455" s="1">
        <f t="shared" si="171"/>
        <v>0</v>
      </c>
      <c r="X455" s="1">
        <f t="shared" si="172"/>
        <v>0</v>
      </c>
      <c r="Y455" s="1">
        <f t="shared" si="173"/>
        <v>0</v>
      </c>
      <c r="Z455" s="1">
        <f t="shared" si="174"/>
        <v>0</v>
      </c>
      <c r="AA455" s="1">
        <f t="shared" si="175"/>
        <v>0</v>
      </c>
      <c r="AB455" s="1">
        <f t="shared" si="176"/>
        <v>0</v>
      </c>
      <c r="AD455" s="1">
        <f t="shared" si="177"/>
        <v>1</v>
      </c>
      <c r="AE455" s="1">
        <f t="shared" si="178"/>
        <v>0</v>
      </c>
      <c r="AF455" s="1">
        <f t="shared" si="179"/>
        <v>1</v>
      </c>
      <c r="AG455" s="1">
        <f t="shared" si="180"/>
        <v>0</v>
      </c>
      <c r="AH455" s="1">
        <f t="shared" si="181"/>
        <v>1</v>
      </c>
      <c r="AI455" s="1">
        <f t="shared" si="182"/>
        <v>0</v>
      </c>
    </row>
    <row r="456" spans="1:35" ht="14.25" customHeight="1" x14ac:dyDescent="0.25">
      <c r="A456" s="37">
        <v>0</v>
      </c>
      <c r="B456" s="37">
        <v>2</v>
      </c>
      <c r="C456" s="37">
        <v>7</v>
      </c>
      <c r="D456" s="36" t="s">
        <v>2119</v>
      </c>
      <c r="E456" s="36" t="s">
        <v>2120</v>
      </c>
      <c r="F456" s="36" t="s">
        <v>2122</v>
      </c>
      <c r="G456" s="36" t="s">
        <v>2123</v>
      </c>
      <c r="H456" s="36" t="s">
        <v>352</v>
      </c>
      <c r="I456" s="37" t="s">
        <v>2121</v>
      </c>
      <c r="J456" s="37">
        <v>99</v>
      </c>
      <c r="K456" s="33" t="s">
        <v>694</v>
      </c>
      <c r="L456" s="33" t="s">
        <v>704</v>
      </c>
      <c r="M456" s="34" t="s">
        <v>722</v>
      </c>
      <c r="N456" s="34" t="s">
        <v>1687</v>
      </c>
      <c r="O456" s="35">
        <v>1</v>
      </c>
      <c r="P456" s="35">
        <v>1</v>
      </c>
      <c r="Q456" s="36" t="s">
        <v>2124</v>
      </c>
      <c r="S456" s="1">
        <f t="shared" si="167"/>
        <v>0</v>
      </c>
      <c r="T456" s="1">
        <f t="shared" si="168"/>
        <v>0</v>
      </c>
      <c r="U456" s="1">
        <f t="shared" si="169"/>
        <v>0</v>
      </c>
      <c r="V456" s="1">
        <f t="shared" si="170"/>
        <v>0</v>
      </c>
      <c r="W456" s="1">
        <f t="shared" si="171"/>
        <v>0</v>
      </c>
      <c r="X456" s="1">
        <f t="shared" si="172"/>
        <v>0</v>
      </c>
      <c r="Y456" s="1">
        <f t="shared" si="173"/>
        <v>0</v>
      </c>
      <c r="Z456" s="1">
        <f t="shared" si="174"/>
        <v>0</v>
      </c>
      <c r="AA456" s="1">
        <f t="shared" si="175"/>
        <v>0</v>
      </c>
      <c r="AB456" s="1">
        <f t="shared" si="176"/>
        <v>0</v>
      </c>
      <c r="AD456" s="1">
        <f t="shared" ref="AD456:AD458" si="183">+O456*P456</f>
        <v>1</v>
      </c>
      <c r="AE456" s="1">
        <f t="shared" ref="AE456:AE458" si="184">O456*(1-P456)</f>
        <v>0</v>
      </c>
      <c r="AF456" s="1">
        <f t="shared" ref="AF456:AF458" si="185">+O456*P456*(1-A456)</f>
        <v>1</v>
      </c>
      <c r="AG456" s="1">
        <f t="shared" ref="AG456:AG458" si="186">O456*(1-P456)*(1-A456)</f>
        <v>0</v>
      </c>
      <c r="AH456" s="1">
        <f t="shared" ref="AH456:AH458" si="187">+P456*(1-A456)</f>
        <v>1</v>
      </c>
      <c r="AI456" s="1">
        <f t="shared" ref="AI456:AI458" si="188">+(1-A456)*(1-P456)</f>
        <v>0</v>
      </c>
    </row>
    <row r="457" spans="1:35" ht="14.25" customHeight="1" x14ac:dyDescent="0.25">
      <c r="A457" s="31">
        <v>0</v>
      </c>
      <c r="B457" s="31">
        <v>2</v>
      </c>
      <c r="C457" s="31">
        <v>7</v>
      </c>
      <c r="D457" s="32" t="s">
        <v>1493</v>
      </c>
      <c r="E457" s="32" t="s">
        <v>28</v>
      </c>
      <c r="F457" s="32" t="s">
        <v>1618</v>
      </c>
      <c r="G457" s="32" t="s">
        <v>285</v>
      </c>
      <c r="H457" s="32" t="s">
        <v>352</v>
      </c>
      <c r="I457" s="31" t="s">
        <v>1643</v>
      </c>
      <c r="J457" s="31">
        <v>99</v>
      </c>
      <c r="K457" s="33" t="s">
        <v>704</v>
      </c>
      <c r="L457" s="33" t="s">
        <v>704</v>
      </c>
      <c r="M457" s="34" t="s">
        <v>722</v>
      </c>
      <c r="N457" s="34" t="s">
        <v>1689</v>
      </c>
      <c r="O457" s="35">
        <v>1</v>
      </c>
      <c r="P457" s="35"/>
      <c r="Q457" s="32"/>
      <c r="S457" s="1">
        <f t="shared" si="167"/>
        <v>0</v>
      </c>
      <c r="T457" s="1">
        <f t="shared" si="168"/>
        <v>0</v>
      </c>
      <c r="U457" s="1">
        <f t="shared" si="169"/>
        <v>0</v>
      </c>
      <c r="V457" s="1">
        <f t="shared" si="170"/>
        <v>0</v>
      </c>
      <c r="W457" s="1">
        <f t="shared" si="171"/>
        <v>0</v>
      </c>
      <c r="X457" s="1">
        <f t="shared" si="172"/>
        <v>0</v>
      </c>
      <c r="Y457" s="1">
        <f t="shared" si="173"/>
        <v>0</v>
      </c>
      <c r="Z457" s="1">
        <f t="shared" si="174"/>
        <v>0</v>
      </c>
      <c r="AA457" s="1">
        <f t="shared" si="175"/>
        <v>0</v>
      </c>
      <c r="AB457" s="1">
        <f t="shared" si="176"/>
        <v>0</v>
      </c>
      <c r="AD457" s="1">
        <f t="shared" si="183"/>
        <v>0</v>
      </c>
      <c r="AE457" s="1">
        <f t="shared" si="184"/>
        <v>1</v>
      </c>
      <c r="AF457" s="1">
        <f t="shared" si="185"/>
        <v>0</v>
      </c>
      <c r="AG457" s="1">
        <f t="shared" si="186"/>
        <v>1</v>
      </c>
      <c r="AH457" s="1">
        <f t="shared" si="187"/>
        <v>0</v>
      </c>
      <c r="AI457" s="1">
        <f t="shared" si="188"/>
        <v>1</v>
      </c>
    </row>
    <row r="458" spans="1:35" ht="14.25" customHeight="1" x14ac:dyDescent="0.25">
      <c r="A458" s="31">
        <v>0</v>
      </c>
      <c r="B458" s="31">
        <v>2</v>
      </c>
      <c r="C458" s="31">
        <v>7</v>
      </c>
      <c r="D458" s="32" t="s">
        <v>1295</v>
      </c>
      <c r="E458" s="32" t="s">
        <v>28</v>
      </c>
      <c r="F458" s="32" t="s">
        <v>565</v>
      </c>
      <c r="G458" s="32" t="s">
        <v>180</v>
      </c>
      <c r="H458" s="32" t="s">
        <v>352</v>
      </c>
      <c r="I458" s="31" t="s">
        <v>428</v>
      </c>
      <c r="J458" s="31">
        <v>7</v>
      </c>
      <c r="K458" s="33" t="s">
        <v>703</v>
      </c>
      <c r="L458" s="33" t="s">
        <v>704</v>
      </c>
      <c r="M458" s="34" t="s">
        <v>722</v>
      </c>
      <c r="N458" s="34" t="s">
        <v>1689</v>
      </c>
      <c r="O458" s="35">
        <v>1</v>
      </c>
      <c r="P458" s="35"/>
      <c r="Q458" s="32"/>
      <c r="S458" s="1">
        <f t="shared" si="167"/>
        <v>0</v>
      </c>
      <c r="T458" s="1">
        <f t="shared" si="168"/>
        <v>0</v>
      </c>
      <c r="U458" s="1">
        <f t="shared" si="169"/>
        <v>0</v>
      </c>
      <c r="V458" s="1">
        <f t="shared" si="170"/>
        <v>0</v>
      </c>
      <c r="W458" s="1">
        <f t="shared" si="171"/>
        <v>0</v>
      </c>
      <c r="X458" s="1">
        <f t="shared" si="172"/>
        <v>0</v>
      </c>
      <c r="Y458" s="1">
        <f t="shared" si="173"/>
        <v>1</v>
      </c>
      <c r="Z458" s="1">
        <f t="shared" si="174"/>
        <v>0</v>
      </c>
      <c r="AA458" s="1">
        <f t="shared" si="175"/>
        <v>0</v>
      </c>
      <c r="AB458" s="1">
        <f t="shared" si="176"/>
        <v>0</v>
      </c>
      <c r="AD458" s="1">
        <f t="shared" si="183"/>
        <v>0</v>
      </c>
      <c r="AE458" s="1">
        <f t="shared" si="184"/>
        <v>1</v>
      </c>
      <c r="AF458" s="1">
        <f t="shared" si="185"/>
        <v>0</v>
      </c>
      <c r="AG458" s="1">
        <f t="shared" si="186"/>
        <v>1</v>
      </c>
      <c r="AH458" s="1">
        <f t="shared" si="187"/>
        <v>0</v>
      </c>
      <c r="AI458" s="1">
        <f t="shared" si="188"/>
        <v>1</v>
      </c>
    </row>
    <row r="459" spans="1:35" ht="14.25" customHeight="1" x14ac:dyDescent="0.25">
      <c r="A459" s="31">
        <v>0</v>
      </c>
      <c r="B459" s="31">
        <v>2</v>
      </c>
      <c r="C459" s="31">
        <v>7</v>
      </c>
      <c r="D459" s="32" t="s">
        <v>72</v>
      </c>
      <c r="E459" s="32" t="s">
        <v>28</v>
      </c>
      <c r="F459" s="32" t="s">
        <v>260</v>
      </c>
      <c r="G459" s="32" t="s">
        <v>219</v>
      </c>
      <c r="H459" s="32" t="s">
        <v>352</v>
      </c>
      <c r="I459" s="31" t="s">
        <v>418</v>
      </c>
      <c r="J459" s="31">
        <v>8</v>
      </c>
      <c r="K459" s="33" t="s">
        <v>704</v>
      </c>
      <c r="L459" s="33" t="s">
        <v>704</v>
      </c>
      <c r="M459" s="34" t="s">
        <v>722</v>
      </c>
      <c r="N459" s="34" t="s">
        <v>1689</v>
      </c>
      <c r="O459" s="35">
        <v>1</v>
      </c>
      <c r="P459" s="35"/>
      <c r="Q459" s="32"/>
      <c r="S459" s="1">
        <f t="shared" si="167"/>
        <v>0</v>
      </c>
      <c r="T459" s="1">
        <f t="shared" si="168"/>
        <v>0</v>
      </c>
      <c r="U459" s="1">
        <f t="shared" si="169"/>
        <v>0</v>
      </c>
      <c r="V459" s="1">
        <f t="shared" si="170"/>
        <v>0</v>
      </c>
      <c r="W459" s="1">
        <f t="shared" si="171"/>
        <v>0</v>
      </c>
      <c r="X459" s="1">
        <f t="shared" si="172"/>
        <v>0</v>
      </c>
      <c r="Y459" s="1">
        <f t="shared" si="173"/>
        <v>0</v>
      </c>
      <c r="Z459" s="1">
        <f t="shared" si="174"/>
        <v>1</v>
      </c>
      <c r="AA459" s="1">
        <f t="shared" si="175"/>
        <v>0</v>
      </c>
      <c r="AB459" s="1">
        <f t="shared" si="176"/>
        <v>0</v>
      </c>
      <c r="AD459" s="1">
        <f t="shared" si="177"/>
        <v>0</v>
      </c>
      <c r="AE459" s="1">
        <f t="shared" si="178"/>
        <v>1</v>
      </c>
      <c r="AF459" s="1">
        <f t="shared" si="179"/>
        <v>0</v>
      </c>
      <c r="AG459" s="1">
        <f t="shared" si="180"/>
        <v>1</v>
      </c>
      <c r="AH459" s="1">
        <f t="shared" si="181"/>
        <v>0</v>
      </c>
      <c r="AI459" s="1">
        <f t="shared" si="182"/>
        <v>1</v>
      </c>
    </row>
    <row r="460" spans="1:35" ht="14.25" customHeight="1" x14ac:dyDescent="0.25">
      <c r="A460" s="31">
        <v>1</v>
      </c>
      <c r="B460" s="31">
        <v>2</v>
      </c>
      <c r="C460" s="31">
        <v>7</v>
      </c>
      <c r="D460" s="32" t="s">
        <v>72</v>
      </c>
      <c r="E460" s="32" t="s">
        <v>28</v>
      </c>
      <c r="F460" s="32" t="s">
        <v>259</v>
      </c>
      <c r="G460" s="32" t="s">
        <v>177</v>
      </c>
      <c r="H460" s="32" t="s">
        <v>352</v>
      </c>
      <c r="I460" s="31" t="s">
        <v>417</v>
      </c>
      <c r="J460" s="31">
        <v>1</v>
      </c>
      <c r="K460" s="33" t="s">
        <v>704</v>
      </c>
      <c r="L460" s="33" t="s">
        <v>704</v>
      </c>
      <c r="M460" s="34" t="s">
        <v>722</v>
      </c>
      <c r="N460" s="34" t="s">
        <v>1689</v>
      </c>
      <c r="O460" s="35">
        <v>1</v>
      </c>
      <c r="P460" s="35"/>
      <c r="Q460" s="32"/>
      <c r="S460" s="1">
        <f t="shared" si="167"/>
        <v>1</v>
      </c>
      <c r="T460" s="1">
        <f t="shared" si="168"/>
        <v>0</v>
      </c>
      <c r="U460" s="1">
        <f t="shared" si="169"/>
        <v>0</v>
      </c>
      <c r="V460" s="1">
        <f t="shared" si="170"/>
        <v>0</v>
      </c>
      <c r="W460" s="1">
        <f t="shared" si="171"/>
        <v>0</v>
      </c>
      <c r="X460" s="1">
        <f t="shared" si="172"/>
        <v>0</v>
      </c>
      <c r="Y460" s="1">
        <f t="shared" si="173"/>
        <v>0</v>
      </c>
      <c r="Z460" s="1">
        <f t="shared" si="174"/>
        <v>0</v>
      </c>
      <c r="AA460" s="1">
        <f t="shared" si="175"/>
        <v>0</v>
      </c>
      <c r="AB460" s="1">
        <f t="shared" si="176"/>
        <v>0</v>
      </c>
      <c r="AD460" s="1">
        <f t="shared" si="177"/>
        <v>0</v>
      </c>
      <c r="AE460" s="1">
        <f t="shared" si="178"/>
        <v>1</v>
      </c>
      <c r="AF460" s="1">
        <f t="shared" si="179"/>
        <v>0</v>
      </c>
      <c r="AG460" s="1">
        <f t="shared" si="180"/>
        <v>0</v>
      </c>
      <c r="AH460" s="1">
        <f t="shared" si="181"/>
        <v>0</v>
      </c>
      <c r="AI460" s="1">
        <f t="shared" si="182"/>
        <v>0</v>
      </c>
    </row>
    <row r="461" spans="1:35" ht="14.25" customHeight="1" x14ac:dyDescent="0.25">
      <c r="A461" s="31">
        <v>0</v>
      </c>
      <c r="B461" s="31">
        <v>2</v>
      </c>
      <c r="C461" s="31">
        <v>7</v>
      </c>
      <c r="D461" s="32" t="s">
        <v>759</v>
      </c>
      <c r="E461" s="32" t="s">
        <v>28</v>
      </c>
      <c r="F461" s="32" t="s">
        <v>760</v>
      </c>
      <c r="G461" s="32" t="s">
        <v>278</v>
      </c>
      <c r="H461" s="32" t="s">
        <v>352</v>
      </c>
      <c r="I461" s="31" t="s">
        <v>761</v>
      </c>
      <c r="J461" s="31">
        <v>99</v>
      </c>
      <c r="K461" s="33" t="s">
        <v>704</v>
      </c>
      <c r="L461" s="33" t="s">
        <v>704</v>
      </c>
      <c r="M461" s="34" t="s">
        <v>722</v>
      </c>
      <c r="N461" s="34" t="s">
        <v>1689</v>
      </c>
      <c r="O461" s="35">
        <v>1</v>
      </c>
      <c r="P461" s="35"/>
      <c r="Q461" s="32"/>
      <c r="S461" s="1">
        <f t="shared" si="167"/>
        <v>0</v>
      </c>
      <c r="T461" s="1">
        <f t="shared" si="168"/>
        <v>0</v>
      </c>
      <c r="U461" s="1">
        <f t="shared" si="169"/>
        <v>0</v>
      </c>
      <c r="V461" s="1">
        <f t="shared" si="170"/>
        <v>0</v>
      </c>
      <c r="W461" s="1">
        <f t="shared" si="171"/>
        <v>0</v>
      </c>
      <c r="X461" s="1">
        <f t="shared" si="172"/>
        <v>0</v>
      </c>
      <c r="Y461" s="1">
        <f t="shared" si="173"/>
        <v>0</v>
      </c>
      <c r="Z461" s="1">
        <f t="shared" si="174"/>
        <v>0</v>
      </c>
      <c r="AA461" s="1">
        <f t="shared" si="175"/>
        <v>0</v>
      </c>
      <c r="AB461" s="1">
        <f t="shared" si="176"/>
        <v>0</v>
      </c>
      <c r="AD461" s="1">
        <f t="shared" si="177"/>
        <v>0</v>
      </c>
      <c r="AE461" s="1">
        <f t="shared" si="178"/>
        <v>1</v>
      </c>
      <c r="AF461" s="1">
        <f t="shared" si="179"/>
        <v>0</v>
      </c>
      <c r="AG461" s="1">
        <f t="shared" si="180"/>
        <v>1</v>
      </c>
      <c r="AH461" s="1">
        <f t="shared" si="181"/>
        <v>0</v>
      </c>
      <c r="AI461" s="1">
        <f t="shared" si="182"/>
        <v>1</v>
      </c>
    </row>
    <row r="462" spans="1:35" ht="14.25" customHeight="1" x14ac:dyDescent="0.25">
      <c r="A462" s="31">
        <v>0</v>
      </c>
      <c r="B462" s="31">
        <v>2</v>
      </c>
      <c r="C462" s="31">
        <v>7</v>
      </c>
      <c r="D462" s="32" t="s">
        <v>85</v>
      </c>
      <c r="E462" s="32" t="s">
        <v>28</v>
      </c>
      <c r="F462" s="32" t="s">
        <v>277</v>
      </c>
      <c r="G462" s="32" t="s">
        <v>278</v>
      </c>
      <c r="H462" s="32" t="s">
        <v>352</v>
      </c>
      <c r="I462" s="31" t="s">
        <v>432</v>
      </c>
      <c r="J462" s="31">
        <v>99</v>
      </c>
      <c r="K462" s="33" t="s">
        <v>704</v>
      </c>
      <c r="L462" s="33" t="s">
        <v>704</v>
      </c>
      <c r="M462" s="34" t="s">
        <v>722</v>
      </c>
      <c r="N462" s="34" t="s">
        <v>1689</v>
      </c>
      <c r="O462" s="35">
        <v>1</v>
      </c>
      <c r="P462" s="35"/>
      <c r="Q462" s="32"/>
      <c r="S462" s="1">
        <f t="shared" si="167"/>
        <v>0</v>
      </c>
      <c r="T462" s="1">
        <f t="shared" si="168"/>
        <v>0</v>
      </c>
      <c r="U462" s="1">
        <f t="shared" si="169"/>
        <v>0</v>
      </c>
      <c r="V462" s="1">
        <f t="shared" si="170"/>
        <v>0</v>
      </c>
      <c r="W462" s="1">
        <f t="shared" si="171"/>
        <v>0</v>
      </c>
      <c r="X462" s="1">
        <f t="shared" si="172"/>
        <v>0</v>
      </c>
      <c r="Y462" s="1">
        <f t="shared" si="173"/>
        <v>0</v>
      </c>
      <c r="Z462" s="1">
        <f t="shared" si="174"/>
        <v>0</v>
      </c>
      <c r="AA462" s="1">
        <f t="shared" si="175"/>
        <v>0</v>
      </c>
      <c r="AB462" s="1">
        <f t="shared" si="176"/>
        <v>0</v>
      </c>
      <c r="AD462" s="1">
        <f t="shared" si="177"/>
        <v>0</v>
      </c>
      <c r="AE462" s="1">
        <f t="shared" si="178"/>
        <v>1</v>
      </c>
      <c r="AF462" s="1">
        <f t="shared" si="179"/>
        <v>0</v>
      </c>
      <c r="AG462" s="1">
        <f t="shared" si="180"/>
        <v>1</v>
      </c>
      <c r="AH462" s="1">
        <f t="shared" si="181"/>
        <v>0</v>
      </c>
      <c r="AI462" s="1">
        <f t="shared" si="182"/>
        <v>1</v>
      </c>
    </row>
    <row r="463" spans="1:35" ht="14.25" customHeight="1" x14ac:dyDescent="0.25">
      <c r="A463" s="37">
        <v>0</v>
      </c>
      <c r="B463" s="37">
        <v>2</v>
      </c>
      <c r="C463" s="37">
        <v>7</v>
      </c>
      <c r="D463" s="36" t="s">
        <v>1877</v>
      </c>
      <c r="E463" s="36" t="s">
        <v>28</v>
      </c>
      <c r="F463" s="36" t="s">
        <v>1878</v>
      </c>
      <c r="G463" s="36" t="s">
        <v>184</v>
      </c>
      <c r="H463" s="36" t="s">
        <v>352</v>
      </c>
      <c r="I463" s="37" t="s">
        <v>1879</v>
      </c>
      <c r="J463" s="37">
        <v>99</v>
      </c>
      <c r="K463" s="33" t="s">
        <v>694</v>
      </c>
      <c r="L463" s="33">
        <v>4</v>
      </c>
      <c r="M463" s="34" t="s">
        <v>722</v>
      </c>
      <c r="N463" s="34" t="s">
        <v>1689</v>
      </c>
      <c r="O463" s="35">
        <v>1</v>
      </c>
      <c r="P463" s="35"/>
      <c r="Q463" s="36" t="s">
        <v>1880</v>
      </c>
      <c r="S463" s="1">
        <f t="shared" si="167"/>
        <v>0</v>
      </c>
      <c r="T463" s="1">
        <f t="shared" si="168"/>
        <v>0</v>
      </c>
      <c r="U463" s="1">
        <f t="shared" si="169"/>
        <v>0</v>
      </c>
      <c r="V463" s="1">
        <f t="shared" si="170"/>
        <v>0</v>
      </c>
      <c r="W463" s="1">
        <f t="shared" si="171"/>
        <v>0</v>
      </c>
      <c r="X463" s="1">
        <f t="shared" si="172"/>
        <v>0</v>
      </c>
      <c r="Y463" s="1">
        <f t="shared" si="173"/>
        <v>0</v>
      </c>
      <c r="Z463" s="1">
        <f t="shared" si="174"/>
        <v>0</v>
      </c>
      <c r="AA463" s="1">
        <f t="shared" si="175"/>
        <v>0</v>
      </c>
      <c r="AB463" s="1">
        <f t="shared" si="176"/>
        <v>0</v>
      </c>
      <c r="AD463" s="1">
        <f t="shared" si="177"/>
        <v>0</v>
      </c>
      <c r="AE463" s="1">
        <f t="shared" si="178"/>
        <v>1</v>
      </c>
      <c r="AF463" s="1">
        <f t="shared" si="179"/>
        <v>0</v>
      </c>
      <c r="AG463" s="1">
        <f t="shared" si="180"/>
        <v>1</v>
      </c>
      <c r="AH463" s="1">
        <f t="shared" si="181"/>
        <v>0</v>
      </c>
      <c r="AI463" s="1">
        <f t="shared" si="182"/>
        <v>1</v>
      </c>
    </row>
    <row r="464" spans="1:35" ht="14.25" customHeight="1" x14ac:dyDescent="0.25">
      <c r="A464" s="37">
        <v>0</v>
      </c>
      <c r="B464" s="37">
        <v>2</v>
      </c>
      <c r="C464" s="37">
        <v>7</v>
      </c>
      <c r="D464" s="36" t="s">
        <v>549</v>
      </c>
      <c r="E464" s="36" t="s">
        <v>28</v>
      </c>
      <c r="F464" s="36" t="s">
        <v>1816</v>
      </c>
      <c r="G464" s="36" t="s">
        <v>552</v>
      </c>
      <c r="H464" s="36" t="s">
        <v>352</v>
      </c>
      <c r="I464" s="37" t="s">
        <v>553</v>
      </c>
      <c r="J464" s="37">
        <v>99</v>
      </c>
      <c r="K464" s="33" t="s">
        <v>704</v>
      </c>
      <c r="L464" s="33" t="s">
        <v>704</v>
      </c>
      <c r="M464" s="34" t="s">
        <v>722</v>
      </c>
      <c r="N464" s="34" t="s">
        <v>1766</v>
      </c>
      <c r="O464" s="35">
        <v>1</v>
      </c>
      <c r="P464" s="35"/>
      <c r="Q464" s="36"/>
      <c r="S464" s="1">
        <f t="shared" si="167"/>
        <v>0</v>
      </c>
      <c r="T464" s="1">
        <f t="shared" si="168"/>
        <v>0</v>
      </c>
      <c r="U464" s="1">
        <f t="shared" si="169"/>
        <v>0</v>
      </c>
      <c r="V464" s="1">
        <f t="shared" si="170"/>
        <v>0</v>
      </c>
      <c r="W464" s="1">
        <f t="shared" si="171"/>
        <v>0</v>
      </c>
      <c r="X464" s="1">
        <f t="shared" si="172"/>
        <v>0</v>
      </c>
      <c r="Y464" s="1">
        <f t="shared" si="173"/>
        <v>0</v>
      </c>
      <c r="Z464" s="1">
        <f t="shared" si="174"/>
        <v>0</v>
      </c>
      <c r="AA464" s="1">
        <f t="shared" si="175"/>
        <v>0</v>
      </c>
      <c r="AB464" s="1">
        <f t="shared" si="176"/>
        <v>0</v>
      </c>
      <c r="AD464" s="1">
        <f t="shared" si="177"/>
        <v>0</v>
      </c>
      <c r="AE464" s="1">
        <f t="shared" si="178"/>
        <v>1</v>
      </c>
      <c r="AF464" s="1">
        <f t="shared" si="179"/>
        <v>0</v>
      </c>
      <c r="AG464" s="1">
        <f t="shared" si="180"/>
        <v>1</v>
      </c>
      <c r="AH464" s="1">
        <f t="shared" si="181"/>
        <v>0</v>
      </c>
      <c r="AI464" s="1">
        <f t="shared" si="182"/>
        <v>1</v>
      </c>
    </row>
    <row r="465" spans="1:35" ht="14.25" customHeight="1" x14ac:dyDescent="0.25">
      <c r="A465" s="37">
        <v>1</v>
      </c>
      <c r="B465" s="37">
        <v>2</v>
      </c>
      <c r="C465" s="37">
        <v>7</v>
      </c>
      <c r="D465" s="36" t="s">
        <v>549</v>
      </c>
      <c r="E465" s="36" t="s">
        <v>28</v>
      </c>
      <c r="F465" s="36" t="s">
        <v>1817</v>
      </c>
      <c r="G465" s="36" t="s">
        <v>550</v>
      </c>
      <c r="H465" s="36" t="s">
        <v>352</v>
      </c>
      <c r="I465" s="37" t="s">
        <v>551</v>
      </c>
      <c r="J465" s="37">
        <v>99</v>
      </c>
      <c r="K465" s="33" t="s">
        <v>704</v>
      </c>
      <c r="L465" s="33" t="s">
        <v>704</v>
      </c>
      <c r="M465" s="34" t="s">
        <v>722</v>
      </c>
      <c r="N465" s="34" t="s">
        <v>1766</v>
      </c>
      <c r="O465" s="35">
        <v>1</v>
      </c>
      <c r="P465" s="35"/>
      <c r="Q465" s="36"/>
      <c r="S465" s="1">
        <f t="shared" si="167"/>
        <v>0</v>
      </c>
      <c r="T465" s="1">
        <f t="shared" si="168"/>
        <v>0</v>
      </c>
      <c r="U465" s="1">
        <f t="shared" si="169"/>
        <v>0</v>
      </c>
      <c r="V465" s="1">
        <f t="shared" si="170"/>
        <v>0</v>
      </c>
      <c r="W465" s="1">
        <f t="shared" si="171"/>
        <v>0</v>
      </c>
      <c r="X465" s="1">
        <f t="shared" si="172"/>
        <v>0</v>
      </c>
      <c r="Y465" s="1">
        <f t="shared" si="173"/>
        <v>0</v>
      </c>
      <c r="Z465" s="1">
        <f t="shared" si="174"/>
        <v>0</v>
      </c>
      <c r="AA465" s="1">
        <f t="shared" si="175"/>
        <v>0</v>
      </c>
      <c r="AB465" s="1">
        <f t="shared" si="176"/>
        <v>0</v>
      </c>
      <c r="AD465" s="1">
        <f t="shared" si="177"/>
        <v>0</v>
      </c>
      <c r="AE465" s="1">
        <f t="shared" si="178"/>
        <v>1</v>
      </c>
      <c r="AF465" s="1">
        <f t="shared" si="179"/>
        <v>0</v>
      </c>
      <c r="AG465" s="1">
        <f t="shared" si="180"/>
        <v>0</v>
      </c>
      <c r="AH465" s="1">
        <f t="shared" si="181"/>
        <v>0</v>
      </c>
      <c r="AI465" s="1">
        <f t="shared" si="182"/>
        <v>0</v>
      </c>
    </row>
    <row r="466" spans="1:35" ht="14.25" customHeight="1" x14ac:dyDescent="0.25">
      <c r="A466" s="31">
        <v>0</v>
      </c>
      <c r="B466" s="31">
        <v>2</v>
      </c>
      <c r="C466" s="31">
        <v>7</v>
      </c>
      <c r="D466" s="32" t="s">
        <v>1153</v>
      </c>
      <c r="E466" s="32" t="s">
        <v>28</v>
      </c>
      <c r="F466" s="32" t="s">
        <v>1633</v>
      </c>
      <c r="G466" s="32" t="s">
        <v>234</v>
      </c>
      <c r="H466" s="32" t="s">
        <v>352</v>
      </c>
      <c r="I466" s="31" t="s">
        <v>1331</v>
      </c>
      <c r="J466" s="31">
        <v>99</v>
      </c>
      <c r="K466" s="33" t="s">
        <v>703</v>
      </c>
      <c r="L466" s="33" t="s">
        <v>704</v>
      </c>
      <c r="M466" s="34" t="s">
        <v>722</v>
      </c>
      <c r="N466" s="34" t="s">
        <v>1689</v>
      </c>
      <c r="O466" s="35">
        <v>1</v>
      </c>
      <c r="P466" s="35"/>
      <c r="Q466" s="32"/>
      <c r="S466" s="1">
        <f t="shared" si="167"/>
        <v>0</v>
      </c>
      <c r="T466" s="1">
        <f t="shared" si="168"/>
        <v>0</v>
      </c>
      <c r="U466" s="1">
        <f t="shared" si="169"/>
        <v>0</v>
      </c>
      <c r="V466" s="1">
        <f t="shared" si="170"/>
        <v>0</v>
      </c>
      <c r="W466" s="1">
        <f t="shared" si="171"/>
        <v>0</v>
      </c>
      <c r="X466" s="1">
        <f t="shared" si="172"/>
        <v>0</v>
      </c>
      <c r="Y466" s="1">
        <f t="shared" si="173"/>
        <v>0</v>
      </c>
      <c r="Z466" s="1">
        <f t="shared" si="174"/>
        <v>0</v>
      </c>
      <c r="AA466" s="1">
        <f t="shared" si="175"/>
        <v>0</v>
      </c>
      <c r="AB466" s="1">
        <f t="shared" si="176"/>
        <v>0</v>
      </c>
      <c r="AD466" s="1">
        <f t="shared" si="177"/>
        <v>0</v>
      </c>
      <c r="AE466" s="1">
        <f t="shared" si="178"/>
        <v>1</v>
      </c>
      <c r="AF466" s="1">
        <f t="shared" si="179"/>
        <v>0</v>
      </c>
      <c r="AG466" s="1">
        <f t="shared" si="180"/>
        <v>1</v>
      </c>
      <c r="AH466" s="1">
        <f t="shared" si="181"/>
        <v>0</v>
      </c>
      <c r="AI466" s="1">
        <f t="shared" si="182"/>
        <v>1</v>
      </c>
    </row>
    <row r="467" spans="1:35" ht="14.25" customHeight="1" x14ac:dyDescent="0.25">
      <c r="A467" s="31">
        <v>1</v>
      </c>
      <c r="B467" s="31">
        <v>2</v>
      </c>
      <c r="C467" s="31">
        <v>7</v>
      </c>
      <c r="D467" s="32" t="s">
        <v>1153</v>
      </c>
      <c r="E467" s="32" t="s">
        <v>28</v>
      </c>
      <c r="F467" s="32" t="s">
        <v>1634</v>
      </c>
      <c r="G467" s="32" t="s">
        <v>1318</v>
      </c>
      <c r="H467" s="32" t="s">
        <v>352</v>
      </c>
      <c r="I467" s="31" t="s">
        <v>1332</v>
      </c>
      <c r="J467" s="31">
        <v>99</v>
      </c>
      <c r="K467" s="33" t="s">
        <v>703</v>
      </c>
      <c r="L467" s="33" t="s">
        <v>704</v>
      </c>
      <c r="M467" s="34" t="s">
        <v>722</v>
      </c>
      <c r="N467" s="34" t="s">
        <v>1689</v>
      </c>
      <c r="O467" s="35">
        <v>1</v>
      </c>
      <c r="P467" s="35"/>
      <c r="Q467" s="32"/>
      <c r="S467" s="1">
        <f t="shared" si="167"/>
        <v>0</v>
      </c>
      <c r="T467" s="1">
        <f t="shared" si="168"/>
        <v>0</v>
      </c>
      <c r="U467" s="1">
        <f t="shared" si="169"/>
        <v>0</v>
      </c>
      <c r="V467" s="1">
        <f t="shared" si="170"/>
        <v>0</v>
      </c>
      <c r="W467" s="1">
        <f t="shared" si="171"/>
        <v>0</v>
      </c>
      <c r="X467" s="1">
        <f t="shared" si="172"/>
        <v>0</v>
      </c>
      <c r="Y467" s="1">
        <f t="shared" si="173"/>
        <v>0</v>
      </c>
      <c r="Z467" s="1">
        <f t="shared" si="174"/>
        <v>0</v>
      </c>
      <c r="AA467" s="1">
        <f t="shared" si="175"/>
        <v>0</v>
      </c>
      <c r="AB467" s="1">
        <f t="shared" si="176"/>
        <v>0</v>
      </c>
      <c r="AD467" s="1">
        <f t="shared" si="177"/>
        <v>0</v>
      </c>
      <c r="AE467" s="1">
        <f t="shared" si="178"/>
        <v>1</v>
      </c>
      <c r="AF467" s="1">
        <f t="shared" si="179"/>
        <v>0</v>
      </c>
      <c r="AG467" s="1">
        <f t="shared" si="180"/>
        <v>0</v>
      </c>
      <c r="AH467" s="1">
        <f t="shared" si="181"/>
        <v>0</v>
      </c>
      <c r="AI467" s="1">
        <f t="shared" si="182"/>
        <v>0</v>
      </c>
    </row>
    <row r="468" spans="1:35" ht="14.25" customHeight="1" x14ac:dyDescent="0.25">
      <c r="A468" s="31">
        <v>0</v>
      </c>
      <c r="B468" s="31">
        <v>2</v>
      </c>
      <c r="C468" s="31">
        <v>7</v>
      </c>
      <c r="D468" s="32" t="s">
        <v>1221</v>
      </c>
      <c r="E468" s="32" t="s">
        <v>28</v>
      </c>
      <c r="F468" s="32" t="s">
        <v>1220</v>
      </c>
      <c r="G468" s="32" t="s">
        <v>1205</v>
      </c>
      <c r="H468" s="32" t="s">
        <v>352</v>
      </c>
      <c r="I468" s="31" t="s">
        <v>1222</v>
      </c>
      <c r="J468" s="31">
        <v>99</v>
      </c>
      <c r="K468" s="33" t="s">
        <v>694</v>
      </c>
      <c r="L468" s="33" t="s">
        <v>704</v>
      </c>
      <c r="M468" s="34" t="s">
        <v>722</v>
      </c>
      <c r="N468" s="34" t="s">
        <v>1689</v>
      </c>
      <c r="O468" s="35">
        <v>1</v>
      </c>
      <c r="P468" s="35"/>
      <c r="Q468" s="32"/>
      <c r="S468" s="1">
        <f t="shared" si="167"/>
        <v>0</v>
      </c>
      <c r="T468" s="1">
        <f t="shared" si="168"/>
        <v>0</v>
      </c>
      <c r="U468" s="1">
        <f t="shared" si="169"/>
        <v>0</v>
      </c>
      <c r="V468" s="1">
        <f t="shared" si="170"/>
        <v>0</v>
      </c>
      <c r="W468" s="1">
        <f t="shared" si="171"/>
        <v>0</v>
      </c>
      <c r="X468" s="1">
        <f t="shared" si="172"/>
        <v>0</v>
      </c>
      <c r="Y468" s="1">
        <f t="shared" si="173"/>
        <v>0</v>
      </c>
      <c r="Z468" s="1">
        <f t="shared" si="174"/>
        <v>0</v>
      </c>
      <c r="AA468" s="1">
        <f t="shared" si="175"/>
        <v>0</v>
      </c>
      <c r="AB468" s="1">
        <f t="shared" si="176"/>
        <v>0</v>
      </c>
      <c r="AD468" s="1">
        <f t="shared" si="177"/>
        <v>0</v>
      </c>
      <c r="AE468" s="1">
        <f t="shared" si="178"/>
        <v>1</v>
      </c>
      <c r="AF468" s="1">
        <f t="shared" si="179"/>
        <v>0</v>
      </c>
      <c r="AG468" s="1">
        <f t="shared" si="180"/>
        <v>1</v>
      </c>
      <c r="AH468" s="1">
        <f t="shared" si="181"/>
        <v>0</v>
      </c>
      <c r="AI468" s="1">
        <f t="shared" si="182"/>
        <v>1</v>
      </c>
    </row>
    <row r="469" spans="1:35" ht="14.25" customHeight="1" x14ac:dyDescent="0.25">
      <c r="A469" s="31">
        <v>1</v>
      </c>
      <c r="B469" s="31">
        <v>2</v>
      </c>
      <c r="C469" s="31">
        <v>7</v>
      </c>
      <c r="D469" s="32" t="s">
        <v>1221</v>
      </c>
      <c r="E469" s="32" t="s">
        <v>28</v>
      </c>
      <c r="F469" s="32" t="s">
        <v>1219</v>
      </c>
      <c r="G469" s="32" t="s">
        <v>39</v>
      </c>
      <c r="H469" s="32" t="s">
        <v>352</v>
      </c>
      <c r="I469" s="31" t="s">
        <v>1223</v>
      </c>
      <c r="J469" s="31">
        <v>9</v>
      </c>
      <c r="K469" s="33" t="s">
        <v>694</v>
      </c>
      <c r="L469" s="33" t="s">
        <v>704</v>
      </c>
      <c r="M469" s="34" t="s">
        <v>722</v>
      </c>
      <c r="N469" s="34" t="s">
        <v>1689</v>
      </c>
      <c r="O469" s="35">
        <v>1</v>
      </c>
      <c r="P469" s="35"/>
      <c r="Q469" s="32"/>
      <c r="S469" s="1">
        <f t="shared" si="167"/>
        <v>0</v>
      </c>
      <c r="T469" s="1">
        <f t="shared" si="168"/>
        <v>0</v>
      </c>
      <c r="U469" s="1">
        <f t="shared" si="169"/>
        <v>0</v>
      </c>
      <c r="V469" s="1">
        <f t="shared" si="170"/>
        <v>0</v>
      </c>
      <c r="W469" s="1">
        <f t="shared" si="171"/>
        <v>0</v>
      </c>
      <c r="X469" s="1">
        <f t="shared" si="172"/>
        <v>0</v>
      </c>
      <c r="Y469" s="1">
        <f t="shared" si="173"/>
        <v>0</v>
      </c>
      <c r="Z469" s="1">
        <f t="shared" si="174"/>
        <v>0</v>
      </c>
      <c r="AA469" s="1">
        <f t="shared" si="175"/>
        <v>1</v>
      </c>
      <c r="AB469" s="1">
        <f t="shared" si="176"/>
        <v>0</v>
      </c>
      <c r="AD469" s="1">
        <f t="shared" si="177"/>
        <v>0</v>
      </c>
      <c r="AE469" s="1">
        <f t="shared" si="178"/>
        <v>1</v>
      </c>
      <c r="AF469" s="1">
        <f t="shared" si="179"/>
        <v>0</v>
      </c>
      <c r="AG469" s="1">
        <f t="shared" si="180"/>
        <v>0</v>
      </c>
      <c r="AH469" s="1">
        <f t="shared" si="181"/>
        <v>0</v>
      </c>
      <c r="AI469" s="1">
        <f t="shared" si="182"/>
        <v>0</v>
      </c>
    </row>
    <row r="470" spans="1:35" ht="14.25" customHeight="1" x14ac:dyDescent="0.25">
      <c r="A470" s="31">
        <v>1</v>
      </c>
      <c r="B470" s="31">
        <v>2</v>
      </c>
      <c r="C470" s="31">
        <v>7</v>
      </c>
      <c r="D470" s="32" t="s">
        <v>1221</v>
      </c>
      <c r="E470" s="32" t="s">
        <v>28</v>
      </c>
      <c r="F470" s="36" t="s">
        <v>1765</v>
      </c>
      <c r="G470" s="36" t="s">
        <v>257</v>
      </c>
      <c r="H470" s="32" t="s">
        <v>352</v>
      </c>
      <c r="I470" s="37" t="s">
        <v>30</v>
      </c>
      <c r="J470" s="31">
        <v>8</v>
      </c>
      <c r="K470" s="33" t="s">
        <v>694</v>
      </c>
      <c r="L470" s="33" t="s">
        <v>704</v>
      </c>
      <c r="M470" s="34" t="s">
        <v>722</v>
      </c>
      <c r="N470" s="34" t="s">
        <v>1689</v>
      </c>
      <c r="O470" s="35">
        <v>1</v>
      </c>
      <c r="P470" s="35"/>
      <c r="Q470" s="32"/>
      <c r="S470" s="1">
        <f t="shared" si="167"/>
        <v>0</v>
      </c>
      <c r="T470" s="1">
        <f t="shared" si="168"/>
        <v>0</v>
      </c>
      <c r="U470" s="1">
        <f t="shared" si="169"/>
        <v>0</v>
      </c>
      <c r="V470" s="1">
        <f t="shared" si="170"/>
        <v>0</v>
      </c>
      <c r="W470" s="1">
        <f t="shared" si="171"/>
        <v>0</v>
      </c>
      <c r="X470" s="1">
        <f t="shared" si="172"/>
        <v>0</v>
      </c>
      <c r="Y470" s="1">
        <f t="shared" si="173"/>
        <v>0</v>
      </c>
      <c r="Z470" s="1">
        <f t="shared" si="174"/>
        <v>1</v>
      </c>
      <c r="AA470" s="1">
        <f t="shared" si="175"/>
        <v>0</v>
      </c>
      <c r="AB470" s="1">
        <f t="shared" si="176"/>
        <v>0</v>
      </c>
      <c r="AD470" s="1">
        <f t="shared" si="177"/>
        <v>0</v>
      </c>
      <c r="AE470" s="1">
        <f t="shared" si="178"/>
        <v>1</v>
      </c>
      <c r="AF470" s="1">
        <f t="shared" si="179"/>
        <v>0</v>
      </c>
      <c r="AG470" s="1">
        <f t="shared" si="180"/>
        <v>0</v>
      </c>
      <c r="AH470" s="1">
        <f t="shared" si="181"/>
        <v>0</v>
      </c>
      <c r="AI470" s="1">
        <f t="shared" si="182"/>
        <v>0</v>
      </c>
    </row>
    <row r="471" spans="1:35" ht="14.25" customHeight="1" x14ac:dyDescent="0.25">
      <c r="A471" s="31">
        <v>0</v>
      </c>
      <c r="B471" s="31">
        <v>2</v>
      </c>
      <c r="C471" s="31">
        <v>7</v>
      </c>
      <c r="D471" s="32" t="s">
        <v>51</v>
      </c>
      <c r="E471" s="32" t="s">
        <v>28</v>
      </c>
      <c r="F471" s="32" t="s">
        <v>666</v>
      </c>
      <c r="G471" s="32" t="s">
        <v>184</v>
      </c>
      <c r="H471" s="32" t="s">
        <v>352</v>
      </c>
      <c r="I471" s="31" t="s">
        <v>388</v>
      </c>
      <c r="J471" s="31">
        <v>99</v>
      </c>
      <c r="K471" s="33" t="s">
        <v>703</v>
      </c>
      <c r="L471" s="33" t="s">
        <v>704</v>
      </c>
      <c r="M471" s="34" t="s">
        <v>722</v>
      </c>
      <c r="N471" s="34" t="s">
        <v>1694</v>
      </c>
      <c r="O471" s="35">
        <v>1</v>
      </c>
      <c r="P471" s="35"/>
      <c r="Q471" s="32"/>
      <c r="S471" s="1">
        <f t="shared" si="167"/>
        <v>0</v>
      </c>
      <c r="T471" s="1">
        <f t="shared" si="168"/>
        <v>0</v>
      </c>
      <c r="U471" s="1">
        <f t="shared" si="169"/>
        <v>0</v>
      </c>
      <c r="V471" s="1">
        <f t="shared" si="170"/>
        <v>0</v>
      </c>
      <c r="W471" s="1">
        <f t="shared" si="171"/>
        <v>0</v>
      </c>
      <c r="X471" s="1">
        <f t="shared" si="172"/>
        <v>0</v>
      </c>
      <c r="Y471" s="1">
        <f t="shared" si="173"/>
        <v>0</v>
      </c>
      <c r="Z471" s="1">
        <f t="shared" si="174"/>
        <v>0</v>
      </c>
      <c r="AA471" s="1">
        <f t="shared" si="175"/>
        <v>0</v>
      </c>
      <c r="AB471" s="1">
        <f t="shared" si="176"/>
        <v>0</v>
      </c>
      <c r="AD471" s="1">
        <f t="shared" si="177"/>
        <v>0</v>
      </c>
      <c r="AE471" s="1">
        <f t="shared" si="178"/>
        <v>1</v>
      </c>
      <c r="AF471" s="1">
        <f t="shared" si="179"/>
        <v>0</v>
      </c>
      <c r="AG471" s="1">
        <f t="shared" si="180"/>
        <v>1</v>
      </c>
      <c r="AH471" s="1">
        <f t="shared" si="181"/>
        <v>0</v>
      </c>
      <c r="AI471" s="1">
        <f t="shared" si="182"/>
        <v>1</v>
      </c>
    </row>
    <row r="472" spans="1:35" ht="14.25" customHeight="1" x14ac:dyDescent="0.25">
      <c r="A472" s="31">
        <v>0</v>
      </c>
      <c r="B472" s="31">
        <v>2</v>
      </c>
      <c r="C472" s="31">
        <v>7</v>
      </c>
      <c r="D472" s="32" t="s">
        <v>1057</v>
      </c>
      <c r="E472" s="32" t="s">
        <v>28</v>
      </c>
      <c r="F472" s="32" t="s">
        <v>974</v>
      </c>
      <c r="G472" s="32" t="s">
        <v>239</v>
      </c>
      <c r="H472" s="32" t="s">
        <v>352</v>
      </c>
      <c r="I472" s="31" t="s">
        <v>1082</v>
      </c>
      <c r="J472" s="31">
        <v>1</v>
      </c>
      <c r="K472" s="33" t="s">
        <v>703</v>
      </c>
      <c r="L472" s="33" t="s">
        <v>704</v>
      </c>
      <c r="M472" s="34" t="s">
        <v>722</v>
      </c>
      <c r="N472" s="34" t="s">
        <v>1689</v>
      </c>
      <c r="O472" s="35">
        <v>1</v>
      </c>
      <c r="P472" s="35"/>
      <c r="Q472" s="32"/>
      <c r="S472" s="1">
        <f t="shared" ref="S472:S515" si="189">IF(J472=$S$7,1,0)</f>
        <v>1</v>
      </c>
      <c r="T472" s="1">
        <f t="shared" ref="T472:T515" si="190">IF(J472=$T$7,1,0)</f>
        <v>0</v>
      </c>
      <c r="U472" s="1">
        <f t="shared" ref="U472:U515" si="191">IF(J472=$U$7,1,0)</f>
        <v>0</v>
      </c>
      <c r="V472" s="1">
        <f t="shared" ref="V472:V515" si="192">IF(J472=$V$7,1,0)</f>
        <v>0</v>
      </c>
      <c r="W472" s="1">
        <f t="shared" ref="W472:W515" si="193">IF(J472=$W$7,1,0)</f>
        <v>0</v>
      </c>
      <c r="X472" s="1">
        <f t="shared" ref="X472:X515" si="194">IF(J472=$X$7,1,0)</f>
        <v>0</v>
      </c>
      <c r="Y472" s="1">
        <f t="shared" ref="Y472:Y515" si="195">IF(J472=$Y$7,1,0)</f>
        <v>0</v>
      </c>
      <c r="Z472" s="1">
        <f t="shared" ref="Z472:Z515" si="196">IF(J472=$Z$7,1,0)</f>
        <v>0</v>
      </c>
      <c r="AA472" s="1">
        <f t="shared" ref="AA472:AA515" si="197">IF(J472=$AA$7,1,0)</f>
        <v>0</v>
      </c>
      <c r="AB472" s="1">
        <f t="shared" ref="AB472:AB515" si="198">IF(J472=$AB$7,1,0)</f>
        <v>0</v>
      </c>
      <c r="AD472" s="1">
        <f t="shared" ref="AD472:AD515" si="199">+O472*P472</f>
        <v>0</v>
      </c>
      <c r="AE472" s="1">
        <f t="shared" ref="AE472:AE515" si="200">O472*(1-P472)</f>
        <v>1</v>
      </c>
      <c r="AF472" s="1">
        <f t="shared" si="179"/>
        <v>0</v>
      </c>
      <c r="AG472" s="1">
        <f t="shared" si="180"/>
        <v>1</v>
      </c>
      <c r="AH472" s="1">
        <f t="shared" si="181"/>
        <v>0</v>
      </c>
      <c r="AI472" s="1">
        <f t="shared" si="182"/>
        <v>1</v>
      </c>
    </row>
    <row r="473" spans="1:35" ht="14.25" customHeight="1" x14ac:dyDescent="0.25">
      <c r="A473" s="31">
        <v>1</v>
      </c>
      <c r="B473" s="31">
        <v>2</v>
      </c>
      <c r="C473" s="31">
        <v>7</v>
      </c>
      <c r="D473" s="32" t="s">
        <v>1057</v>
      </c>
      <c r="E473" s="32" t="s">
        <v>28</v>
      </c>
      <c r="F473" s="32" t="s">
        <v>975</v>
      </c>
      <c r="G473" s="32" t="s">
        <v>1075</v>
      </c>
      <c r="H473" s="32" t="s">
        <v>352</v>
      </c>
      <c r="I473" s="31" t="s">
        <v>1083</v>
      </c>
      <c r="J473" s="31">
        <v>1</v>
      </c>
      <c r="K473" s="33" t="s">
        <v>703</v>
      </c>
      <c r="L473" s="33" t="s">
        <v>704</v>
      </c>
      <c r="M473" s="34" t="s">
        <v>722</v>
      </c>
      <c r="N473" s="34" t="s">
        <v>1689</v>
      </c>
      <c r="O473" s="35">
        <v>1</v>
      </c>
      <c r="P473" s="35"/>
      <c r="Q473" s="32"/>
      <c r="S473" s="1">
        <f t="shared" si="189"/>
        <v>1</v>
      </c>
      <c r="T473" s="1">
        <f t="shared" si="190"/>
        <v>0</v>
      </c>
      <c r="U473" s="1">
        <f t="shared" si="191"/>
        <v>0</v>
      </c>
      <c r="V473" s="1">
        <f t="shared" si="192"/>
        <v>0</v>
      </c>
      <c r="W473" s="1">
        <f t="shared" si="193"/>
        <v>0</v>
      </c>
      <c r="X473" s="1">
        <f t="shared" si="194"/>
        <v>0</v>
      </c>
      <c r="Y473" s="1">
        <f t="shared" si="195"/>
        <v>0</v>
      </c>
      <c r="Z473" s="1">
        <f t="shared" si="196"/>
        <v>0</v>
      </c>
      <c r="AA473" s="1">
        <f t="shared" si="197"/>
        <v>0</v>
      </c>
      <c r="AB473" s="1">
        <f t="shared" si="198"/>
        <v>0</v>
      </c>
      <c r="AD473" s="1">
        <f t="shared" si="199"/>
        <v>0</v>
      </c>
      <c r="AE473" s="1">
        <f t="shared" si="200"/>
        <v>1</v>
      </c>
      <c r="AF473" s="1">
        <f t="shared" ref="AF473:AF515" si="201">+O473*P473*(1-A473)</f>
        <v>0</v>
      </c>
      <c r="AG473" s="1">
        <f t="shared" ref="AG473:AG515" si="202">O473*(1-P473)*(1-A473)</f>
        <v>0</v>
      </c>
      <c r="AH473" s="1">
        <f t="shared" ref="AH473:AH515" si="203">+P473*(1-A473)</f>
        <v>0</v>
      </c>
      <c r="AI473" s="1">
        <f t="shared" ref="AI473:AI515" si="204">+(1-A473)*(1-P473)</f>
        <v>0</v>
      </c>
    </row>
    <row r="474" spans="1:35" ht="14.25" customHeight="1" x14ac:dyDescent="0.25">
      <c r="A474" s="31">
        <v>0</v>
      </c>
      <c r="B474" s="31">
        <v>2</v>
      </c>
      <c r="C474" s="31">
        <v>7</v>
      </c>
      <c r="D474" s="32" t="s">
        <v>1594</v>
      </c>
      <c r="E474" s="32" t="s">
        <v>155</v>
      </c>
      <c r="F474" s="32" t="s">
        <v>1453</v>
      </c>
      <c r="G474" s="32" t="s">
        <v>1454</v>
      </c>
      <c r="H474" s="32" t="s">
        <v>352</v>
      </c>
      <c r="I474" s="31" t="s">
        <v>1455</v>
      </c>
      <c r="J474" s="31">
        <v>99</v>
      </c>
      <c r="K474" s="33" t="s">
        <v>931</v>
      </c>
      <c r="L474" s="33" t="s">
        <v>713</v>
      </c>
      <c r="M474" s="34" t="s">
        <v>723</v>
      </c>
      <c r="N474" s="34" t="s">
        <v>1693</v>
      </c>
      <c r="O474" s="35">
        <v>1</v>
      </c>
      <c r="P474" s="35"/>
      <c r="Q474" s="32"/>
      <c r="S474" s="1">
        <f t="shared" si="189"/>
        <v>0</v>
      </c>
      <c r="T474" s="1">
        <f t="shared" si="190"/>
        <v>0</v>
      </c>
      <c r="U474" s="1">
        <f t="shared" si="191"/>
        <v>0</v>
      </c>
      <c r="V474" s="1">
        <f t="shared" si="192"/>
        <v>0</v>
      </c>
      <c r="W474" s="1">
        <f t="shared" si="193"/>
        <v>0</v>
      </c>
      <c r="X474" s="1">
        <f t="shared" si="194"/>
        <v>0</v>
      </c>
      <c r="Y474" s="1">
        <f t="shared" si="195"/>
        <v>0</v>
      </c>
      <c r="Z474" s="1">
        <f t="shared" si="196"/>
        <v>0</v>
      </c>
      <c r="AA474" s="1">
        <f t="shared" si="197"/>
        <v>0</v>
      </c>
      <c r="AB474" s="1">
        <f t="shared" si="198"/>
        <v>0</v>
      </c>
      <c r="AD474" s="1">
        <f t="shared" si="199"/>
        <v>0</v>
      </c>
      <c r="AE474" s="1">
        <f t="shared" si="200"/>
        <v>1</v>
      </c>
      <c r="AF474" s="1">
        <f t="shared" si="201"/>
        <v>0</v>
      </c>
      <c r="AG474" s="1">
        <f t="shared" si="202"/>
        <v>1</v>
      </c>
      <c r="AH474" s="1">
        <f t="shared" si="203"/>
        <v>0</v>
      </c>
      <c r="AI474" s="1">
        <f t="shared" si="204"/>
        <v>1</v>
      </c>
    </row>
    <row r="475" spans="1:35" ht="14.25" customHeight="1" x14ac:dyDescent="0.25">
      <c r="A475" s="31">
        <v>0</v>
      </c>
      <c r="B475" s="31">
        <v>2</v>
      </c>
      <c r="C475" s="31">
        <v>7</v>
      </c>
      <c r="D475" s="32" t="s">
        <v>82</v>
      </c>
      <c r="E475" s="32" t="s">
        <v>28</v>
      </c>
      <c r="F475" s="32" t="s">
        <v>273</v>
      </c>
      <c r="G475" s="32" t="s">
        <v>274</v>
      </c>
      <c r="H475" s="32" t="s">
        <v>352</v>
      </c>
      <c r="I475" s="31" t="s">
        <v>427</v>
      </c>
      <c r="J475" s="31">
        <v>7</v>
      </c>
      <c r="K475" s="33" t="s">
        <v>931</v>
      </c>
      <c r="L475" s="33" t="s">
        <v>930</v>
      </c>
      <c r="M475" s="34" t="s">
        <v>944</v>
      </c>
      <c r="N475" s="34" t="s">
        <v>1790</v>
      </c>
      <c r="O475" s="35">
        <v>1</v>
      </c>
      <c r="P475" s="35"/>
      <c r="Q475" s="32"/>
      <c r="S475" s="1">
        <f t="shared" si="189"/>
        <v>0</v>
      </c>
      <c r="T475" s="1">
        <f t="shared" si="190"/>
        <v>0</v>
      </c>
      <c r="U475" s="1">
        <f t="shared" si="191"/>
        <v>0</v>
      </c>
      <c r="V475" s="1">
        <f t="shared" si="192"/>
        <v>0</v>
      </c>
      <c r="W475" s="1">
        <f t="shared" si="193"/>
        <v>0</v>
      </c>
      <c r="X475" s="1">
        <f t="shared" si="194"/>
        <v>0</v>
      </c>
      <c r="Y475" s="1">
        <f t="shared" si="195"/>
        <v>1</v>
      </c>
      <c r="Z475" s="1">
        <f t="shared" si="196"/>
        <v>0</v>
      </c>
      <c r="AA475" s="1">
        <f t="shared" si="197"/>
        <v>0</v>
      </c>
      <c r="AB475" s="1">
        <f t="shared" si="198"/>
        <v>0</v>
      </c>
      <c r="AD475" s="1">
        <f t="shared" si="199"/>
        <v>0</v>
      </c>
      <c r="AE475" s="1">
        <f t="shared" si="200"/>
        <v>1</v>
      </c>
      <c r="AF475" s="1">
        <f t="shared" si="201"/>
        <v>0</v>
      </c>
      <c r="AG475" s="1">
        <f t="shared" si="202"/>
        <v>1</v>
      </c>
      <c r="AH475" s="1">
        <f t="shared" si="203"/>
        <v>0</v>
      </c>
      <c r="AI475" s="1">
        <f t="shared" si="204"/>
        <v>1</v>
      </c>
    </row>
    <row r="476" spans="1:35" ht="14.25" customHeight="1" x14ac:dyDescent="0.25">
      <c r="A476" s="31">
        <v>0</v>
      </c>
      <c r="B476" s="31">
        <v>2</v>
      </c>
      <c r="C476" s="31">
        <v>7</v>
      </c>
      <c r="D476" s="32" t="s">
        <v>76</v>
      </c>
      <c r="E476" s="32" t="s">
        <v>28</v>
      </c>
      <c r="F476" s="32" t="s">
        <v>1636</v>
      </c>
      <c r="G476" s="32" t="s">
        <v>189</v>
      </c>
      <c r="H476" s="32" t="s">
        <v>352</v>
      </c>
      <c r="I476" s="31" t="s">
        <v>421</v>
      </c>
      <c r="J476" s="31">
        <v>99</v>
      </c>
      <c r="K476" s="33" t="s">
        <v>930</v>
      </c>
      <c r="L476" s="33" t="s">
        <v>704</v>
      </c>
      <c r="M476" s="34" t="s">
        <v>722</v>
      </c>
      <c r="N476" s="34" t="s">
        <v>1689</v>
      </c>
      <c r="O476" s="35">
        <v>1</v>
      </c>
      <c r="P476" s="35"/>
      <c r="Q476" s="32"/>
      <c r="S476" s="1">
        <f t="shared" si="189"/>
        <v>0</v>
      </c>
      <c r="T476" s="1">
        <f t="shared" si="190"/>
        <v>0</v>
      </c>
      <c r="U476" s="1">
        <f t="shared" si="191"/>
        <v>0</v>
      </c>
      <c r="V476" s="1">
        <f t="shared" si="192"/>
        <v>0</v>
      </c>
      <c r="W476" s="1">
        <f t="shared" si="193"/>
        <v>0</v>
      </c>
      <c r="X476" s="1">
        <f t="shared" si="194"/>
        <v>0</v>
      </c>
      <c r="Y476" s="1">
        <f t="shared" si="195"/>
        <v>0</v>
      </c>
      <c r="Z476" s="1">
        <f t="shared" si="196"/>
        <v>0</v>
      </c>
      <c r="AA476" s="1">
        <f t="shared" si="197"/>
        <v>0</v>
      </c>
      <c r="AB476" s="1">
        <f t="shared" si="198"/>
        <v>0</v>
      </c>
      <c r="AD476" s="1">
        <f t="shared" si="199"/>
        <v>0</v>
      </c>
      <c r="AE476" s="1">
        <f t="shared" si="200"/>
        <v>1</v>
      </c>
      <c r="AF476" s="1">
        <f t="shared" si="201"/>
        <v>0</v>
      </c>
      <c r="AG476" s="1">
        <f t="shared" si="202"/>
        <v>1</v>
      </c>
      <c r="AH476" s="1">
        <f t="shared" si="203"/>
        <v>0</v>
      </c>
      <c r="AI476" s="1">
        <f t="shared" si="204"/>
        <v>1</v>
      </c>
    </row>
    <row r="477" spans="1:35" ht="14.25" customHeight="1" x14ac:dyDescent="0.25">
      <c r="A477" s="31">
        <v>0</v>
      </c>
      <c r="B477" s="31">
        <v>2</v>
      </c>
      <c r="C477" s="31">
        <v>7</v>
      </c>
      <c r="D477" s="36" t="s">
        <v>1967</v>
      </c>
      <c r="E477" s="32" t="s">
        <v>1971</v>
      </c>
      <c r="F477" s="36" t="s">
        <v>1968</v>
      </c>
      <c r="G477" s="36" t="s">
        <v>1969</v>
      </c>
      <c r="H477" s="36" t="s">
        <v>352</v>
      </c>
      <c r="I477" s="37" t="s">
        <v>1970</v>
      </c>
      <c r="J477" s="31">
        <v>99</v>
      </c>
      <c r="K477" s="33" t="s">
        <v>694</v>
      </c>
      <c r="L477" s="33">
        <v>20</v>
      </c>
      <c r="M477" s="34" t="s">
        <v>1973</v>
      </c>
      <c r="N477" s="34" t="s">
        <v>1693</v>
      </c>
      <c r="O477" s="35">
        <v>1</v>
      </c>
      <c r="P477" s="35"/>
      <c r="Q477" s="36" t="s">
        <v>1972</v>
      </c>
      <c r="S477" s="1">
        <f t="shared" si="189"/>
        <v>0</v>
      </c>
      <c r="T477" s="1">
        <f t="shared" si="190"/>
        <v>0</v>
      </c>
      <c r="U477" s="1">
        <f t="shared" si="191"/>
        <v>0</v>
      </c>
      <c r="V477" s="1">
        <f t="shared" si="192"/>
        <v>0</v>
      </c>
      <c r="W477" s="1">
        <f t="shared" si="193"/>
        <v>0</v>
      </c>
      <c r="X477" s="1">
        <f t="shared" si="194"/>
        <v>0</v>
      </c>
      <c r="Y477" s="1">
        <f t="shared" si="195"/>
        <v>0</v>
      </c>
      <c r="Z477" s="1">
        <f t="shared" si="196"/>
        <v>0</v>
      </c>
      <c r="AA477" s="1">
        <f t="shared" si="197"/>
        <v>0</v>
      </c>
      <c r="AB477" s="1">
        <f t="shared" si="198"/>
        <v>0</v>
      </c>
      <c r="AD477" s="1">
        <f t="shared" si="199"/>
        <v>0</v>
      </c>
      <c r="AE477" s="1">
        <f t="shared" si="200"/>
        <v>1</v>
      </c>
      <c r="AF477" s="1">
        <f t="shared" si="201"/>
        <v>0</v>
      </c>
      <c r="AG477" s="1">
        <f t="shared" si="202"/>
        <v>1</v>
      </c>
      <c r="AH477" s="1">
        <f t="shared" si="203"/>
        <v>0</v>
      </c>
      <c r="AI477" s="1">
        <f t="shared" si="204"/>
        <v>1</v>
      </c>
    </row>
    <row r="478" spans="1:35" ht="14.25" customHeight="1" x14ac:dyDescent="0.25">
      <c r="A478" s="31">
        <v>0</v>
      </c>
      <c r="B478" s="31">
        <v>2</v>
      </c>
      <c r="C478" s="31">
        <v>7</v>
      </c>
      <c r="D478" s="32" t="s">
        <v>1596</v>
      </c>
      <c r="E478" s="32" t="s">
        <v>162</v>
      </c>
      <c r="F478" s="32" t="s">
        <v>243</v>
      </c>
      <c r="G478" s="32" t="s">
        <v>217</v>
      </c>
      <c r="H478" s="32" t="s">
        <v>352</v>
      </c>
      <c r="I478" s="31" t="s">
        <v>406</v>
      </c>
      <c r="J478" s="31">
        <v>99</v>
      </c>
      <c r="K478" s="33" t="s">
        <v>704</v>
      </c>
      <c r="L478" s="33" t="s">
        <v>713</v>
      </c>
      <c r="M478" s="34" t="s">
        <v>723</v>
      </c>
      <c r="N478" s="34" t="s">
        <v>1681</v>
      </c>
      <c r="O478" s="35">
        <v>1</v>
      </c>
      <c r="P478" s="35">
        <v>1</v>
      </c>
      <c r="Q478" s="32"/>
      <c r="S478" s="1">
        <f t="shared" si="189"/>
        <v>0</v>
      </c>
      <c r="T478" s="1">
        <f t="shared" si="190"/>
        <v>0</v>
      </c>
      <c r="U478" s="1">
        <f t="shared" si="191"/>
        <v>0</v>
      </c>
      <c r="V478" s="1">
        <f t="shared" si="192"/>
        <v>0</v>
      </c>
      <c r="W478" s="1">
        <f t="shared" si="193"/>
        <v>0</v>
      </c>
      <c r="X478" s="1">
        <f t="shared" si="194"/>
        <v>0</v>
      </c>
      <c r="Y478" s="1">
        <f t="shared" si="195"/>
        <v>0</v>
      </c>
      <c r="Z478" s="1">
        <f t="shared" si="196"/>
        <v>0</v>
      </c>
      <c r="AA478" s="1">
        <f t="shared" si="197"/>
        <v>0</v>
      </c>
      <c r="AB478" s="1">
        <f t="shared" si="198"/>
        <v>0</v>
      </c>
      <c r="AD478" s="1">
        <f t="shared" si="199"/>
        <v>1</v>
      </c>
      <c r="AE478" s="1">
        <f t="shared" si="200"/>
        <v>0</v>
      </c>
      <c r="AF478" s="1">
        <f t="shared" si="201"/>
        <v>1</v>
      </c>
      <c r="AG478" s="1">
        <f t="shared" si="202"/>
        <v>0</v>
      </c>
      <c r="AH478" s="1">
        <f t="shared" si="203"/>
        <v>1</v>
      </c>
      <c r="AI478" s="1">
        <f t="shared" si="204"/>
        <v>0</v>
      </c>
    </row>
    <row r="479" spans="1:35" ht="14.25" customHeight="1" x14ac:dyDescent="0.25">
      <c r="A479" s="31">
        <v>0</v>
      </c>
      <c r="B479" s="31">
        <v>2</v>
      </c>
      <c r="C479" s="31">
        <v>7</v>
      </c>
      <c r="D479" s="32" t="s">
        <v>1494</v>
      </c>
      <c r="E479" s="32" t="s">
        <v>155</v>
      </c>
      <c r="F479" s="32" t="s">
        <v>1495</v>
      </c>
      <c r="G479" s="32" t="s">
        <v>39</v>
      </c>
      <c r="H479" s="32" t="s">
        <v>352</v>
      </c>
      <c r="I479" s="31" t="s">
        <v>1496</v>
      </c>
      <c r="J479" s="31">
        <v>99</v>
      </c>
      <c r="K479" s="33" t="s">
        <v>704</v>
      </c>
      <c r="L479" s="33" t="s">
        <v>713</v>
      </c>
      <c r="M479" s="34" t="s">
        <v>723</v>
      </c>
      <c r="N479" s="34" t="s">
        <v>1693</v>
      </c>
      <c r="O479" s="35">
        <v>1</v>
      </c>
      <c r="P479" s="35"/>
      <c r="Q479" s="32"/>
      <c r="S479" s="1">
        <f t="shared" si="189"/>
        <v>0</v>
      </c>
      <c r="T479" s="1">
        <f t="shared" si="190"/>
        <v>0</v>
      </c>
      <c r="U479" s="1">
        <f t="shared" si="191"/>
        <v>0</v>
      </c>
      <c r="V479" s="1">
        <f t="shared" si="192"/>
        <v>0</v>
      </c>
      <c r="W479" s="1">
        <f t="shared" si="193"/>
        <v>0</v>
      </c>
      <c r="X479" s="1">
        <f t="shared" si="194"/>
        <v>0</v>
      </c>
      <c r="Y479" s="1">
        <f t="shared" si="195"/>
        <v>0</v>
      </c>
      <c r="Z479" s="1">
        <f t="shared" si="196"/>
        <v>0</v>
      </c>
      <c r="AA479" s="1">
        <f t="shared" si="197"/>
        <v>0</v>
      </c>
      <c r="AB479" s="1">
        <f t="shared" si="198"/>
        <v>0</v>
      </c>
      <c r="AD479" s="1">
        <f t="shared" si="199"/>
        <v>0</v>
      </c>
      <c r="AE479" s="1">
        <f t="shared" si="200"/>
        <v>1</v>
      </c>
      <c r="AF479" s="1">
        <f t="shared" si="201"/>
        <v>0</v>
      </c>
      <c r="AG479" s="1">
        <f t="shared" si="202"/>
        <v>1</v>
      </c>
      <c r="AH479" s="1">
        <f t="shared" si="203"/>
        <v>0</v>
      </c>
      <c r="AI479" s="1">
        <f t="shared" si="204"/>
        <v>1</v>
      </c>
    </row>
    <row r="480" spans="1:35" ht="14.25" customHeight="1" x14ac:dyDescent="0.25">
      <c r="A480" s="31">
        <v>0</v>
      </c>
      <c r="B480" s="31">
        <v>2</v>
      </c>
      <c r="C480" s="31">
        <v>7</v>
      </c>
      <c r="D480" s="32" t="s">
        <v>66</v>
      </c>
      <c r="E480" s="32" t="s">
        <v>28</v>
      </c>
      <c r="F480" s="32" t="s">
        <v>950</v>
      </c>
      <c r="G480" s="32" t="s">
        <v>1077</v>
      </c>
      <c r="H480" s="32" t="s">
        <v>352</v>
      </c>
      <c r="I480" s="31" t="s">
        <v>1084</v>
      </c>
      <c r="J480" s="31">
        <v>99</v>
      </c>
      <c r="K480" s="33" t="s">
        <v>704</v>
      </c>
      <c r="L480" s="33" t="s">
        <v>704</v>
      </c>
      <c r="M480" s="34" t="s">
        <v>722</v>
      </c>
      <c r="N480" s="34" t="s">
        <v>1689</v>
      </c>
      <c r="O480" s="35">
        <v>1</v>
      </c>
      <c r="P480" s="35"/>
      <c r="Q480" s="32"/>
      <c r="S480" s="1">
        <f t="shared" si="189"/>
        <v>0</v>
      </c>
      <c r="T480" s="1">
        <f t="shared" si="190"/>
        <v>0</v>
      </c>
      <c r="U480" s="1">
        <f t="shared" si="191"/>
        <v>0</v>
      </c>
      <c r="V480" s="1">
        <f t="shared" si="192"/>
        <v>0</v>
      </c>
      <c r="W480" s="1">
        <f t="shared" si="193"/>
        <v>0</v>
      </c>
      <c r="X480" s="1">
        <f t="shared" si="194"/>
        <v>0</v>
      </c>
      <c r="Y480" s="1">
        <f t="shared" si="195"/>
        <v>0</v>
      </c>
      <c r="Z480" s="1">
        <f t="shared" si="196"/>
        <v>0</v>
      </c>
      <c r="AA480" s="1">
        <f t="shared" si="197"/>
        <v>0</v>
      </c>
      <c r="AB480" s="1">
        <f t="shared" si="198"/>
        <v>0</v>
      </c>
      <c r="AD480" s="1">
        <f t="shared" si="199"/>
        <v>0</v>
      </c>
      <c r="AE480" s="1">
        <f t="shared" si="200"/>
        <v>1</v>
      </c>
      <c r="AF480" s="1">
        <f t="shared" si="201"/>
        <v>0</v>
      </c>
      <c r="AG480" s="1">
        <f t="shared" si="202"/>
        <v>1</v>
      </c>
      <c r="AH480" s="1">
        <f t="shared" si="203"/>
        <v>0</v>
      </c>
      <c r="AI480" s="1">
        <f t="shared" si="204"/>
        <v>1</v>
      </c>
    </row>
    <row r="481" spans="1:35" ht="14.25" customHeight="1" x14ac:dyDescent="0.25">
      <c r="A481" s="31">
        <v>1</v>
      </c>
      <c r="B481" s="31">
        <v>2</v>
      </c>
      <c r="C481" s="31">
        <v>7</v>
      </c>
      <c r="D481" s="32" t="s">
        <v>66</v>
      </c>
      <c r="E481" s="32" t="s">
        <v>28</v>
      </c>
      <c r="F481" s="32" t="s">
        <v>244</v>
      </c>
      <c r="G481" s="32" t="s">
        <v>223</v>
      </c>
      <c r="H481" s="32" t="s">
        <v>352</v>
      </c>
      <c r="I481" s="31" t="s">
        <v>407</v>
      </c>
      <c r="J481" s="31">
        <v>99</v>
      </c>
      <c r="K481" s="33" t="s">
        <v>704</v>
      </c>
      <c r="L481" s="33" t="s">
        <v>704</v>
      </c>
      <c r="M481" s="34" t="s">
        <v>722</v>
      </c>
      <c r="N481" s="34" t="s">
        <v>1689</v>
      </c>
      <c r="O481" s="35">
        <v>1</v>
      </c>
      <c r="P481" s="35"/>
      <c r="Q481" s="32"/>
      <c r="S481" s="1">
        <f t="shared" si="189"/>
        <v>0</v>
      </c>
      <c r="T481" s="1">
        <f t="shared" si="190"/>
        <v>0</v>
      </c>
      <c r="U481" s="1">
        <f t="shared" si="191"/>
        <v>0</v>
      </c>
      <c r="V481" s="1">
        <f t="shared" si="192"/>
        <v>0</v>
      </c>
      <c r="W481" s="1">
        <f t="shared" si="193"/>
        <v>0</v>
      </c>
      <c r="X481" s="1">
        <f t="shared" si="194"/>
        <v>0</v>
      </c>
      <c r="Y481" s="1">
        <f t="shared" si="195"/>
        <v>0</v>
      </c>
      <c r="Z481" s="1">
        <f t="shared" si="196"/>
        <v>0</v>
      </c>
      <c r="AA481" s="1">
        <f t="shared" si="197"/>
        <v>0</v>
      </c>
      <c r="AB481" s="1">
        <f t="shared" si="198"/>
        <v>0</v>
      </c>
      <c r="AD481" s="1">
        <f t="shared" si="199"/>
        <v>0</v>
      </c>
      <c r="AE481" s="1">
        <f t="shared" si="200"/>
        <v>1</v>
      </c>
      <c r="AF481" s="1">
        <f t="shared" si="201"/>
        <v>0</v>
      </c>
      <c r="AG481" s="1">
        <f t="shared" si="202"/>
        <v>0</v>
      </c>
      <c r="AH481" s="1">
        <f t="shared" si="203"/>
        <v>0</v>
      </c>
      <c r="AI481" s="1">
        <f t="shared" si="204"/>
        <v>0</v>
      </c>
    </row>
    <row r="482" spans="1:35" ht="14.25" customHeight="1" x14ac:dyDescent="0.25">
      <c r="A482" s="31">
        <v>1</v>
      </c>
      <c r="B482" s="31">
        <v>2</v>
      </c>
      <c r="C482" s="31">
        <v>7</v>
      </c>
      <c r="D482" s="32" t="s">
        <v>66</v>
      </c>
      <c r="E482" s="32" t="s">
        <v>28</v>
      </c>
      <c r="F482" s="32" t="s">
        <v>245</v>
      </c>
      <c r="G482" s="32" t="s">
        <v>219</v>
      </c>
      <c r="H482" s="32" t="s">
        <v>352</v>
      </c>
      <c r="I482" s="31" t="s">
        <v>408</v>
      </c>
      <c r="J482" s="31">
        <v>8</v>
      </c>
      <c r="K482" s="33" t="s">
        <v>704</v>
      </c>
      <c r="L482" s="33" t="s">
        <v>704</v>
      </c>
      <c r="M482" s="34" t="s">
        <v>722</v>
      </c>
      <c r="N482" s="34" t="s">
        <v>1689</v>
      </c>
      <c r="O482" s="35">
        <v>1</v>
      </c>
      <c r="P482" s="35"/>
      <c r="Q482" s="32" t="s">
        <v>1950</v>
      </c>
      <c r="S482" s="1">
        <f t="shared" si="189"/>
        <v>0</v>
      </c>
      <c r="T482" s="1">
        <f t="shared" si="190"/>
        <v>0</v>
      </c>
      <c r="U482" s="1">
        <f t="shared" si="191"/>
        <v>0</v>
      </c>
      <c r="V482" s="1">
        <f t="shared" si="192"/>
        <v>0</v>
      </c>
      <c r="W482" s="1">
        <f t="shared" si="193"/>
        <v>0</v>
      </c>
      <c r="X482" s="1">
        <f t="shared" si="194"/>
        <v>0</v>
      </c>
      <c r="Y482" s="1">
        <f t="shared" si="195"/>
        <v>0</v>
      </c>
      <c r="Z482" s="1">
        <f t="shared" si="196"/>
        <v>1</v>
      </c>
      <c r="AA482" s="1">
        <f t="shared" si="197"/>
        <v>0</v>
      </c>
      <c r="AB482" s="1">
        <f t="shared" si="198"/>
        <v>0</v>
      </c>
      <c r="AD482" s="1">
        <f t="shared" si="199"/>
        <v>0</v>
      </c>
      <c r="AE482" s="1">
        <f t="shared" si="200"/>
        <v>1</v>
      </c>
      <c r="AF482" s="1">
        <f t="shared" si="201"/>
        <v>0</v>
      </c>
      <c r="AG482" s="1">
        <f t="shared" si="202"/>
        <v>0</v>
      </c>
      <c r="AH482" s="1">
        <f t="shared" si="203"/>
        <v>0</v>
      </c>
      <c r="AI482" s="1">
        <f t="shared" si="204"/>
        <v>0</v>
      </c>
    </row>
    <row r="483" spans="1:35" ht="14.25" customHeight="1" x14ac:dyDescent="0.25">
      <c r="A483" s="31">
        <v>1</v>
      </c>
      <c r="B483" s="31">
        <v>2</v>
      </c>
      <c r="C483" s="31">
        <v>7</v>
      </c>
      <c r="D483" s="32" t="s">
        <v>66</v>
      </c>
      <c r="E483" s="32" t="s">
        <v>28</v>
      </c>
      <c r="F483" s="32" t="s">
        <v>1010</v>
      </c>
      <c r="G483" s="32" t="s">
        <v>39</v>
      </c>
      <c r="H483" s="32" t="s">
        <v>352</v>
      </c>
      <c r="I483" s="31" t="s">
        <v>1011</v>
      </c>
      <c r="J483" s="31">
        <v>1</v>
      </c>
      <c r="K483" s="33" t="s">
        <v>704</v>
      </c>
      <c r="L483" s="33" t="s">
        <v>704</v>
      </c>
      <c r="M483" s="34" t="s">
        <v>722</v>
      </c>
      <c r="N483" s="34" t="s">
        <v>1689</v>
      </c>
      <c r="O483" s="35">
        <v>1</v>
      </c>
      <c r="P483" s="35"/>
      <c r="Q483" s="32"/>
      <c r="S483" s="1">
        <f t="shared" si="189"/>
        <v>1</v>
      </c>
      <c r="T483" s="1">
        <f t="shared" si="190"/>
        <v>0</v>
      </c>
      <c r="U483" s="1">
        <f t="shared" si="191"/>
        <v>0</v>
      </c>
      <c r="V483" s="1">
        <f t="shared" si="192"/>
        <v>0</v>
      </c>
      <c r="W483" s="1">
        <f t="shared" si="193"/>
        <v>0</v>
      </c>
      <c r="X483" s="1">
        <f t="shared" si="194"/>
        <v>0</v>
      </c>
      <c r="Y483" s="1">
        <f t="shared" si="195"/>
        <v>0</v>
      </c>
      <c r="Z483" s="1">
        <f t="shared" si="196"/>
        <v>0</v>
      </c>
      <c r="AA483" s="1">
        <f t="shared" si="197"/>
        <v>0</v>
      </c>
      <c r="AB483" s="1">
        <f t="shared" si="198"/>
        <v>0</v>
      </c>
      <c r="AD483" s="1">
        <f t="shared" si="199"/>
        <v>0</v>
      </c>
      <c r="AE483" s="1">
        <f t="shared" si="200"/>
        <v>1</v>
      </c>
      <c r="AF483" s="1">
        <f t="shared" si="201"/>
        <v>0</v>
      </c>
      <c r="AG483" s="1">
        <f t="shared" si="202"/>
        <v>0</v>
      </c>
      <c r="AH483" s="1">
        <f t="shared" si="203"/>
        <v>0</v>
      </c>
      <c r="AI483" s="1">
        <f t="shared" si="204"/>
        <v>0</v>
      </c>
    </row>
    <row r="484" spans="1:35" ht="14.25" customHeight="1" x14ac:dyDescent="0.25">
      <c r="A484" s="31">
        <v>1</v>
      </c>
      <c r="B484" s="31">
        <v>2</v>
      </c>
      <c r="C484" s="31">
        <v>7</v>
      </c>
      <c r="D484" s="32" t="s">
        <v>66</v>
      </c>
      <c r="E484" s="32" t="s">
        <v>28</v>
      </c>
      <c r="F484" s="32" t="s">
        <v>1012</v>
      </c>
      <c r="G484" s="32" t="s">
        <v>300</v>
      </c>
      <c r="H484" s="32" t="s">
        <v>352</v>
      </c>
      <c r="I484" s="31" t="s">
        <v>1013</v>
      </c>
      <c r="J484" s="31">
        <v>1</v>
      </c>
      <c r="K484" s="33" t="s">
        <v>704</v>
      </c>
      <c r="L484" s="33" t="s">
        <v>704</v>
      </c>
      <c r="M484" s="34" t="s">
        <v>722</v>
      </c>
      <c r="N484" s="34" t="s">
        <v>1689</v>
      </c>
      <c r="O484" s="35">
        <v>1</v>
      </c>
      <c r="P484" s="35"/>
      <c r="Q484" s="32"/>
      <c r="S484" s="1">
        <f t="shared" si="189"/>
        <v>1</v>
      </c>
      <c r="T484" s="1">
        <f t="shared" si="190"/>
        <v>0</v>
      </c>
      <c r="U484" s="1">
        <f t="shared" si="191"/>
        <v>0</v>
      </c>
      <c r="V484" s="1">
        <f t="shared" si="192"/>
        <v>0</v>
      </c>
      <c r="W484" s="1">
        <f t="shared" si="193"/>
        <v>0</v>
      </c>
      <c r="X484" s="1">
        <f t="shared" si="194"/>
        <v>0</v>
      </c>
      <c r="Y484" s="1">
        <f t="shared" si="195"/>
        <v>0</v>
      </c>
      <c r="Z484" s="1">
        <f t="shared" si="196"/>
        <v>0</v>
      </c>
      <c r="AA484" s="1">
        <f t="shared" si="197"/>
        <v>0</v>
      </c>
      <c r="AB484" s="1">
        <f t="shared" si="198"/>
        <v>0</v>
      </c>
      <c r="AD484" s="1">
        <f t="shared" si="199"/>
        <v>0</v>
      </c>
      <c r="AE484" s="1">
        <f t="shared" si="200"/>
        <v>1</v>
      </c>
      <c r="AF484" s="1">
        <f t="shared" si="201"/>
        <v>0</v>
      </c>
      <c r="AG484" s="1">
        <f t="shared" si="202"/>
        <v>0</v>
      </c>
      <c r="AH484" s="1">
        <f t="shared" si="203"/>
        <v>0</v>
      </c>
      <c r="AI484" s="1">
        <f t="shared" si="204"/>
        <v>0</v>
      </c>
    </row>
    <row r="485" spans="1:35" ht="14.25" customHeight="1" x14ac:dyDescent="0.25">
      <c r="A485" s="31">
        <v>0</v>
      </c>
      <c r="B485" s="31">
        <v>2</v>
      </c>
      <c r="C485" s="31">
        <v>7</v>
      </c>
      <c r="D485" s="32" t="s">
        <v>1529</v>
      </c>
      <c r="E485" s="32" t="s">
        <v>155</v>
      </c>
      <c r="F485" s="32" t="s">
        <v>1530</v>
      </c>
      <c r="G485" s="32" t="s">
        <v>206</v>
      </c>
      <c r="H485" s="32" t="s">
        <v>352</v>
      </c>
      <c r="I485" s="31" t="s">
        <v>1531</v>
      </c>
      <c r="J485" s="31">
        <v>99</v>
      </c>
      <c r="K485" s="33" t="s">
        <v>703</v>
      </c>
      <c r="L485" s="33" t="s">
        <v>713</v>
      </c>
      <c r="M485" s="34" t="s">
        <v>723</v>
      </c>
      <c r="N485" s="34" t="s">
        <v>1701</v>
      </c>
      <c r="O485" s="35">
        <v>1</v>
      </c>
      <c r="P485" s="35"/>
      <c r="Q485" s="32"/>
      <c r="S485" s="1">
        <f t="shared" si="189"/>
        <v>0</v>
      </c>
      <c r="T485" s="1">
        <f t="shared" si="190"/>
        <v>0</v>
      </c>
      <c r="U485" s="1">
        <f t="shared" si="191"/>
        <v>0</v>
      </c>
      <c r="V485" s="1">
        <f t="shared" si="192"/>
        <v>0</v>
      </c>
      <c r="W485" s="1">
        <f t="shared" si="193"/>
        <v>0</v>
      </c>
      <c r="X485" s="1">
        <f t="shared" si="194"/>
        <v>0</v>
      </c>
      <c r="Y485" s="1">
        <f t="shared" si="195"/>
        <v>0</v>
      </c>
      <c r="Z485" s="1">
        <f t="shared" si="196"/>
        <v>0</v>
      </c>
      <c r="AA485" s="1">
        <f t="shared" si="197"/>
        <v>0</v>
      </c>
      <c r="AB485" s="1">
        <f t="shared" si="198"/>
        <v>0</v>
      </c>
      <c r="AD485" s="1">
        <f t="shared" si="199"/>
        <v>0</v>
      </c>
      <c r="AE485" s="1">
        <f t="shared" si="200"/>
        <v>1</v>
      </c>
      <c r="AF485" s="1">
        <f t="shared" si="201"/>
        <v>0</v>
      </c>
      <c r="AG485" s="1">
        <f t="shared" si="202"/>
        <v>1</v>
      </c>
      <c r="AH485" s="1">
        <f t="shared" si="203"/>
        <v>0</v>
      </c>
      <c r="AI485" s="1">
        <f t="shared" si="204"/>
        <v>1</v>
      </c>
    </row>
    <row r="486" spans="1:35" ht="14.25" customHeight="1" x14ac:dyDescent="0.25">
      <c r="A486" s="31">
        <v>0</v>
      </c>
      <c r="B486" s="31">
        <v>2</v>
      </c>
      <c r="C486" s="31">
        <v>7</v>
      </c>
      <c r="D486" s="32" t="s">
        <v>73</v>
      </c>
      <c r="E486" s="32" t="s">
        <v>28</v>
      </c>
      <c r="F486" s="32" t="s">
        <v>263</v>
      </c>
      <c r="G486" s="32" t="s">
        <v>193</v>
      </c>
      <c r="H486" s="32" t="s">
        <v>352</v>
      </c>
      <c r="I486" s="31" t="s">
        <v>419</v>
      </c>
      <c r="J486" s="31">
        <v>9</v>
      </c>
      <c r="K486" s="33" t="s">
        <v>703</v>
      </c>
      <c r="L486" s="33" t="s">
        <v>704</v>
      </c>
      <c r="M486" s="34" t="s">
        <v>722</v>
      </c>
      <c r="N486" s="34" t="s">
        <v>1689</v>
      </c>
      <c r="O486" s="35">
        <v>1</v>
      </c>
      <c r="P486" s="35"/>
      <c r="Q486" s="32"/>
      <c r="S486" s="1">
        <f t="shared" si="189"/>
        <v>0</v>
      </c>
      <c r="T486" s="1">
        <f t="shared" si="190"/>
        <v>0</v>
      </c>
      <c r="U486" s="1">
        <f t="shared" si="191"/>
        <v>0</v>
      </c>
      <c r="V486" s="1">
        <f t="shared" si="192"/>
        <v>0</v>
      </c>
      <c r="W486" s="1">
        <f t="shared" si="193"/>
        <v>0</v>
      </c>
      <c r="X486" s="1">
        <f t="shared" si="194"/>
        <v>0</v>
      </c>
      <c r="Y486" s="1">
        <f t="shared" si="195"/>
        <v>0</v>
      </c>
      <c r="Z486" s="1">
        <f t="shared" si="196"/>
        <v>0</v>
      </c>
      <c r="AA486" s="1">
        <f t="shared" si="197"/>
        <v>1</v>
      </c>
      <c r="AB486" s="1">
        <f t="shared" si="198"/>
        <v>0</v>
      </c>
      <c r="AD486" s="1">
        <f t="shared" si="199"/>
        <v>0</v>
      </c>
      <c r="AE486" s="1">
        <f t="shared" si="200"/>
        <v>1</v>
      </c>
      <c r="AF486" s="1">
        <f t="shared" si="201"/>
        <v>0</v>
      </c>
      <c r="AG486" s="1">
        <f t="shared" si="202"/>
        <v>1</v>
      </c>
      <c r="AH486" s="1">
        <f t="shared" si="203"/>
        <v>0</v>
      </c>
      <c r="AI486" s="1">
        <f t="shared" si="204"/>
        <v>1</v>
      </c>
    </row>
    <row r="487" spans="1:35" ht="14.25" customHeight="1" x14ac:dyDescent="0.25">
      <c r="A487" s="31">
        <v>0</v>
      </c>
      <c r="B487" s="31">
        <v>2</v>
      </c>
      <c r="C487" s="31">
        <v>7</v>
      </c>
      <c r="D487" s="32" t="s">
        <v>59</v>
      </c>
      <c r="E487" s="32" t="s">
        <v>162</v>
      </c>
      <c r="F487" s="32" t="s">
        <v>224</v>
      </c>
      <c r="G487" s="32" t="s">
        <v>225</v>
      </c>
      <c r="H487" s="32" t="s">
        <v>352</v>
      </c>
      <c r="I487" s="31" t="s">
        <v>396</v>
      </c>
      <c r="J487" s="31">
        <v>99</v>
      </c>
      <c r="K487" s="33" t="s">
        <v>704</v>
      </c>
      <c r="L487" s="33" t="s">
        <v>713</v>
      </c>
      <c r="M487" s="34" t="s">
        <v>723</v>
      </c>
      <c r="N487" s="34" t="s">
        <v>1695</v>
      </c>
      <c r="O487" s="35">
        <v>1</v>
      </c>
      <c r="P487" s="35"/>
      <c r="Q487" s="32"/>
      <c r="S487" s="1">
        <f t="shared" si="189"/>
        <v>0</v>
      </c>
      <c r="T487" s="1">
        <f t="shared" si="190"/>
        <v>0</v>
      </c>
      <c r="U487" s="1">
        <f t="shared" si="191"/>
        <v>0</v>
      </c>
      <c r="V487" s="1">
        <f t="shared" si="192"/>
        <v>0</v>
      </c>
      <c r="W487" s="1">
        <f t="shared" si="193"/>
        <v>0</v>
      </c>
      <c r="X487" s="1">
        <f t="shared" si="194"/>
        <v>0</v>
      </c>
      <c r="Y487" s="1">
        <f t="shared" si="195"/>
        <v>0</v>
      </c>
      <c r="Z487" s="1">
        <f t="shared" si="196"/>
        <v>0</v>
      </c>
      <c r="AA487" s="1">
        <f t="shared" si="197"/>
        <v>0</v>
      </c>
      <c r="AB487" s="1">
        <f t="shared" si="198"/>
        <v>0</v>
      </c>
      <c r="AD487" s="1">
        <f t="shared" si="199"/>
        <v>0</v>
      </c>
      <c r="AE487" s="1">
        <f t="shared" si="200"/>
        <v>1</v>
      </c>
      <c r="AF487" s="1">
        <f t="shared" si="201"/>
        <v>0</v>
      </c>
      <c r="AG487" s="1">
        <f t="shared" si="202"/>
        <v>1</v>
      </c>
      <c r="AH487" s="1">
        <f t="shared" si="203"/>
        <v>0</v>
      </c>
      <c r="AI487" s="1">
        <f t="shared" si="204"/>
        <v>1</v>
      </c>
    </row>
    <row r="488" spans="1:35" ht="14.25" customHeight="1" x14ac:dyDescent="0.25">
      <c r="A488" s="31">
        <v>0</v>
      </c>
      <c r="B488" s="31">
        <v>2</v>
      </c>
      <c r="C488" s="31">
        <v>7</v>
      </c>
      <c r="D488" s="32" t="s">
        <v>1051</v>
      </c>
      <c r="E488" s="32" t="s">
        <v>155</v>
      </c>
      <c r="F488" s="32" t="s">
        <v>1052</v>
      </c>
      <c r="G488" s="32" t="s">
        <v>219</v>
      </c>
      <c r="H488" s="32" t="s">
        <v>352</v>
      </c>
      <c r="I488" s="31" t="s">
        <v>1053</v>
      </c>
      <c r="J488" s="31">
        <v>8</v>
      </c>
      <c r="K488" s="33" t="s">
        <v>703</v>
      </c>
      <c r="L488" s="33" t="s">
        <v>713</v>
      </c>
      <c r="M488" s="34" t="s">
        <v>723</v>
      </c>
      <c r="N488" s="34" t="s">
        <v>1693</v>
      </c>
      <c r="O488" s="35">
        <v>1</v>
      </c>
      <c r="P488" s="35"/>
      <c r="Q488" s="32"/>
      <c r="S488" s="1">
        <f t="shared" si="189"/>
        <v>0</v>
      </c>
      <c r="T488" s="1">
        <f t="shared" si="190"/>
        <v>0</v>
      </c>
      <c r="U488" s="1">
        <f t="shared" si="191"/>
        <v>0</v>
      </c>
      <c r="V488" s="1">
        <f t="shared" si="192"/>
        <v>0</v>
      </c>
      <c r="W488" s="1">
        <f t="shared" si="193"/>
        <v>0</v>
      </c>
      <c r="X488" s="1">
        <f t="shared" si="194"/>
        <v>0</v>
      </c>
      <c r="Y488" s="1">
        <f t="shared" si="195"/>
        <v>0</v>
      </c>
      <c r="Z488" s="1">
        <f t="shared" si="196"/>
        <v>1</v>
      </c>
      <c r="AA488" s="1">
        <f t="shared" si="197"/>
        <v>0</v>
      </c>
      <c r="AB488" s="1">
        <f t="shared" si="198"/>
        <v>0</v>
      </c>
      <c r="AD488" s="1">
        <f t="shared" si="199"/>
        <v>0</v>
      </c>
      <c r="AE488" s="1">
        <f t="shared" si="200"/>
        <v>1</v>
      </c>
      <c r="AF488" s="1">
        <f t="shared" si="201"/>
        <v>0</v>
      </c>
      <c r="AG488" s="1">
        <f t="shared" si="202"/>
        <v>1</v>
      </c>
      <c r="AH488" s="1">
        <f t="shared" si="203"/>
        <v>0</v>
      </c>
      <c r="AI488" s="1">
        <f t="shared" si="204"/>
        <v>1</v>
      </c>
    </row>
    <row r="489" spans="1:35" ht="14.25" customHeight="1" x14ac:dyDescent="0.25">
      <c r="A489" s="31">
        <v>0</v>
      </c>
      <c r="B489" s="31">
        <v>2</v>
      </c>
      <c r="C489" s="31">
        <v>7</v>
      </c>
      <c r="D489" s="32" t="s">
        <v>81</v>
      </c>
      <c r="E489" s="32" t="s">
        <v>155</v>
      </c>
      <c r="F489" s="32" t="s">
        <v>272</v>
      </c>
      <c r="G489" s="32" t="s">
        <v>253</v>
      </c>
      <c r="H489" s="32" t="s">
        <v>352</v>
      </c>
      <c r="I489" s="31" t="s">
        <v>426</v>
      </c>
      <c r="J489" s="31">
        <v>99</v>
      </c>
      <c r="K489" s="33" t="s">
        <v>704</v>
      </c>
      <c r="L489" s="33" t="s">
        <v>724</v>
      </c>
      <c r="M489" s="34" t="s">
        <v>725</v>
      </c>
      <c r="N489" s="34" t="s">
        <v>1701</v>
      </c>
      <c r="O489" s="35">
        <v>1</v>
      </c>
      <c r="P489" s="35"/>
      <c r="Q489" s="32"/>
      <c r="S489" s="1">
        <f t="shared" si="189"/>
        <v>0</v>
      </c>
      <c r="T489" s="1">
        <f t="shared" si="190"/>
        <v>0</v>
      </c>
      <c r="U489" s="1">
        <f t="shared" si="191"/>
        <v>0</v>
      </c>
      <c r="V489" s="1">
        <f t="shared" si="192"/>
        <v>0</v>
      </c>
      <c r="W489" s="1">
        <f t="shared" si="193"/>
        <v>0</v>
      </c>
      <c r="X489" s="1">
        <f t="shared" si="194"/>
        <v>0</v>
      </c>
      <c r="Y489" s="1">
        <f t="shared" si="195"/>
        <v>0</v>
      </c>
      <c r="Z489" s="1">
        <f t="shared" si="196"/>
        <v>0</v>
      </c>
      <c r="AA489" s="1">
        <f t="shared" si="197"/>
        <v>0</v>
      </c>
      <c r="AB489" s="1">
        <f t="shared" si="198"/>
        <v>0</v>
      </c>
      <c r="AD489" s="1">
        <f t="shared" si="199"/>
        <v>0</v>
      </c>
      <c r="AE489" s="1">
        <f t="shared" si="200"/>
        <v>1</v>
      </c>
      <c r="AF489" s="1">
        <f t="shared" si="201"/>
        <v>0</v>
      </c>
      <c r="AG489" s="1">
        <f t="shared" si="202"/>
        <v>1</v>
      </c>
      <c r="AH489" s="1">
        <f t="shared" si="203"/>
        <v>0</v>
      </c>
      <c r="AI489" s="1">
        <f t="shared" si="204"/>
        <v>1</v>
      </c>
    </row>
    <row r="490" spans="1:35" ht="14.25" customHeight="1" x14ac:dyDescent="0.25">
      <c r="A490" s="37">
        <v>0</v>
      </c>
      <c r="B490" s="37">
        <v>2</v>
      </c>
      <c r="C490" s="37">
        <v>7</v>
      </c>
      <c r="D490" s="36" t="s">
        <v>1720</v>
      </c>
      <c r="E490" s="36" t="s">
        <v>1721</v>
      </c>
      <c r="F490" s="36" t="s">
        <v>1722</v>
      </c>
      <c r="G490" s="36" t="s">
        <v>189</v>
      </c>
      <c r="H490" s="36" t="s">
        <v>352</v>
      </c>
      <c r="I490" s="37"/>
      <c r="J490" s="37"/>
      <c r="K490" s="33" t="s">
        <v>694</v>
      </c>
      <c r="L490" s="33"/>
      <c r="M490" s="34"/>
      <c r="N490" s="34" t="s">
        <v>1681</v>
      </c>
      <c r="O490" s="35">
        <v>1</v>
      </c>
      <c r="P490" s="35">
        <v>1</v>
      </c>
      <c r="Q490" s="36"/>
      <c r="S490" s="1">
        <f t="shared" si="189"/>
        <v>0</v>
      </c>
      <c r="T490" s="1">
        <f t="shared" si="190"/>
        <v>0</v>
      </c>
      <c r="U490" s="1">
        <f t="shared" si="191"/>
        <v>0</v>
      </c>
      <c r="V490" s="1">
        <f t="shared" si="192"/>
        <v>0</v>
      </c>
      <c r="W490" s="1">
        <f t="shared" si="193"/>
        <v>0</v>
      </c>
      <c r="X490" s="1">
        <f t="shared" si="194"/>
        <v>0</v>
      </c>
      <c r="Y490" s="1">
        <f t="shared" si="195"/>
        <v>0</v>
      </c>
      <c r="Z490" s="1">
        <f t="shared" si="196"/>
        <v>0</v>
      </c>
      <c r="AA490" s="1">
        <f t="shared" si="197"/>
        <v>0</v>
      </c>
      <c r="AB490" s="1">
        <f t="shared" si="198"/>
        <v>0</v>
      </c>
      <c r="AD490" s="1">
        <f t="shared" si="199"/>
        <v>1</v>
      </c>
      <c r="AE490" s="1">
        <f t="shared" si="200"/>
        <v>0</v>
      </c>
      <c r="AF490" s="1">
        <f t="shared" si="201"/>
        <v>1</v>
      </c>
      <c r="AG490" s="1">
        <f t="shared" si="202"/>
        <v>0</v>
      </c>
      <c r="AH490" s="1">
        <f t="shared" si="203"/>
        <v>1</v>
      </c>
      <c r="AI490" s="1">
        <f t="shared" si="204"/>
        <v>0</v>
      </c>
    </row>
    <row r="491" spans="1:35" ht="14.25" customHeight="1" x14ac:dyDescent="0.25">
      <c r="A491" s="37">
        <v>0</v>
      </c>
      <c r="B491" s="37">
        <v>2</v>
      </c>
      <c r="C491" s="37">
        <v>7</v>
      </c>
      <c r="D491" s="36" t="s">
        <v>510</v>
      </c>
      <c r="E491" s="36" t="s">
        <v>155</v>
      </c>
      <c r="F491" s="36" t="s">
        <v>567</v>
      </c>
      <c r="G491" s="36" t="s">
        <v>319</v>
      </c>
      <c r="H491" s="36" t="s">
        <v>352</v>
      </c>
      <c r="I491" s="37" t="s">
        <v>573</v>
      </c>
      <c r="J491" s="37">
        <v>99</v>
      </c>
      <c r="K491" s="33" t="s">
        <v>930</v>
      </c>
      <c r="L491" s="33" t="s">
        <v>713</v>
      </c>
      <c r="M491" s="34" t="s">
        <v>723</v>
      </c>
      <c r="N491" s="34" t="s">
        <v>1706</v>
      </c>
      <c r="O491" s="35">
        <v>1</v>
      </c>
      <c r="P491" s="35"/>
      <c r="Q491" s="36"/>
      <c r="S491" s="1">
        <f t="shared" si="189"/>
        <v>0</v>
      </c>
      <c r="T491" s="1">
        <f t="shared" si="190"/>
        <v>0</v>
      </c>
      <c r="U491" s="1">
        <f t="shared" si="191"/>
        <v>0</v>
      </c>
      <c r="V491" s="1">
        <f t="shared" si="192"/>
        <v>0</v>
      </c>
      <c r="W491" s="1">
        <f t="shared" si="193"/>
        <v>0</v>
      </c>
      <c r="X491" s="1">
        <f t="shared" si="194"/>
        <v>0</v>
      </c>
      <c r="Y491" s="1">
        <f t="shared" si="195"/>
        <v>0</v>
      </c>
      <c r="Z491" s="1">
        <f t="shared" si="196"/>
        <v>0</v>
      </c>
      <c r="AA491" s="1">
        <f t="shared" si="197"/>
        <v>0</v>
      </c>
      <c r="AB491" s="1">
        <f t="shared" si="198"/>
        <v>0</v>
      </c>
      <c r="AD491" s="1">
        <f t="shared" si="199"/>
        <v>0</v>
      </c>
      <c r="AE491" s="1">
        <f t="shared" si="200"/>
        <v>1</v>
      </c>
      <c r="AF491" s="1">
        <f t="shared" si="201"/>
        <v>0</v>
      </c>
      <c r="AG491" s="1">
        <f t="shared" si="202"/>
        <v>1</v>
      </c>
      <c r="AH491" s="1">
        <f t="shared" si="203"/>
        <v>0</v>
      </c>
      <c r="AI491" s="1">
        <f t="shared" si="204"/>
        <v>1</v>
      </c>
    </row>
    <row r="492" spans="1:35" ht="14.25" customHeight="1" x14ac:dyDescent="0.25">
      <c r="A492" s="31">
        <v>0</v>
      </c>
      <c r="B492" s="31">
        <v>2</v>
      </c>
      <c r="C492" s="31">
        <v>7</v>
      </c>
      <c r="D492" s="32" t="s">
        <v>74</v>
      </c>
      <c r="E492" s="32" t="s">
        <v>155</v>
      </c>
      <c r="F492" s="32" t="s">
        <v>667</v>
      </c>
      <c r="G492" s="32" t="s">
        <v>264</v>
      </c>
      <c r="H492" s="32" t="s">
        <v>352</v>
      </c>
      <c r="I492" s="31" t="s">
        <v>420</v>
      </c>
      <c r="J492" s="31">
        <v>99</v>
      </c>
      <c r="K492" s="33" t="s">
        <v>703</v>
      </c>
      <c r="L492" s="33" t="s">
        <v>720</v>
      </c>
      <c r="M492" s="34" t="s">
        <v>723</v>
      </c>
      <c r="N492" s="34" t="s">
        <v>1689</v>
      </c>
      <c r="O492" s="35">
        <v>1</v>
      </c>
      <c r="P492" s="35"/>
      <c r="Q492" s="32"/>
      <c r="S492" s="1">
        <f t="shared" si="189"/>
        <v>0</v>
      </c>
      <c r="T492" s="1">
        <f t="shared" si="190"/>
        <v>0</v>
      </c>
      <c r="U492" s="1">
        <f t="shared" si="191"/>
        <v>0</v>
      </c>
      <c r="V492" s="1">
        <f t="shared" si="192"/>
        <v>0</v>
      </c>
      <c r="W492" s="1">
        <f t="shared" si="193"/>
        <v>0</v>
      </c>
      <c r="X492" s="1">
        <f t="shared" si="194"/>
        <v>0</v>
      </c>
      <c r="Y492" s="1">
        <f t="shared" si="195"/>
        <v>0</v>
      </c>
      <c r="Z492" s="1">
        <f t="shared" si="196"/>
        <v>0</v>
      </c>
      <c r="AA492" s="1">
        <f t="shared" si="197"/>
        <v>0</v>
      </c>
      <c r="AB492" s="1">
        <f t="shared" si="198"/>
        <v>0</v>
      </c>
      <c r="AD492" s="1">
        <f t="shared" si="199"/>
        <v>0</v>
      </c>
      <c r="AE492" s="1">
        <f t="shared" si="200"/>
        <v>1</v>
      </c>
      <c r="AF492" s="1">
        <f t="shared" si="201"/>
        <v>0</v>
      </c>
      <c r="AG492" s="1">
        <f t="shared" si="202"/>
        <v>1</v>
      </c>
      <c r="AH492" s="1">
        <f t="shared" si="203"/>
        <v>0</v>
      </c>
      <c r="AI492" s="1">
        <f t="shared" si="204"/>
        <v>1</v>
      </c>
    </row>
    <row r="493" spans="1:35" ht="14.25" customHeight="1" x14ac:dyDescent="0.25">
      <c r="A493" s="31">
        <v>0</v>
      </c>
      <c r="B493" s="31">
        <v>2</v>
      </c>
      <c r="C493" s="31">
        <v>7</v>
      </c>
      <c r="D493" s="32" t="s">
        <v>1799</v>
      </c>
      <c r="E493" s="32" t="s">
        <v>155</v>
      </c>
      <c r="F493" s="32" t="s">
        <v>1800</v>
      </c>
      <c r="G493" s="32" t="s">
        <v>281</v>
      </c>
      <c r="H493" s="32" t="s">
        <v>352</v>
      </c>
      <c r="I493" s="31" t="s">
        <v>1801</v>
      </c>
      <c r="J493" s="31">
        <v>99</v>
      </c>
      <c r="K493" s="33" t="s">
        <v>694</v>
      </c>
      <c r="L493" s="33" t="s">
        <v>713</v>
      </c>
      <c r="M493" s="34" t="s">
        <v>723</v>
      </c>
      <c r="N493" s="34" t="s">
        <v>1701</v>
      </c>
      <c r="O493" s="35">
        <v>1</v>
      </c>
      <c r="P493" s="35"/>
      <c r="Q493" s="32"/>
      <c r="S493" s="1">
        <f t="shared" si="189"/>
        <v>0</v>
      </c>
      <c r="T493" s="1">
        <f t="shared" si="190"/>
        <v>0</v>
      </c>
      <c r="U493" s="1">
        <f t="shared" si="191"/>
        <v>0</v>
      </c>
      <c r="V493" s="1">
        <f t="shared" si="192"/>
        <v>0</v>
      </c>
      <c r="W493" s="1">
        <f t="shared" si="193"/>
        <v>0</v>
      </c>
      <c r="X493" s="1">
        <f t="shared" si="194"/>
        <v>0</v>
      </c>
      <c r="Y493" s="1">
        <f t="shared" si="195"/>
        <v>0</v>
      </c>
      <c r="Z493" s="1">
        <f t="shared" si="196"/>
        <v>0</v>
      </c>
      <c r="AA493" s="1">
        <f t="shared" si="197"/>
        <v>0</v>
      </c>
      <c r="AB493" s="1">
        <f t="shared" si="198"/>
        <v>0</v>
      </c>
      <c r="AD493" s="1">
        <f t="shared" si="199"/>
        <v>0</v>
      </c>
      <c r="AE493" s="1">
        <f t="shared" si="200"/>
        <v>1</v>
      </c>
      <c r="AF493" s="1">
        <f t="shared" si="201"/>
        <v>0</v>
      </c>
      <c r="AG493" s="1">
        <f t="shared" si="202"/>
        <v>1</v>
      </c>
      <c r="AH493" s="1">
        <f t="shared" si="203"/>
        <v>0</v>
      </c>
      <c r="AI493" s="1">
        <f t="shared" si="204"/>
        <v>1</v>
      </c>
    </row>
    <row r="494" spans="1:35" ht="14.25" customHeight="1" x14ac:dyDescent="0.25">
      <c r="A494" s="31">
        <v>0</v>
      </c>
      <c r="B494" s="31">
        <v>2</v>
      </c>
      <c r="C494" s="31">
        <v>7</v>
      </c>
      <c r="D494" s="32" t="s">
        <v>60</v>
      </c>
      <c r="E494" s="32" t="s">
        <v>162</v>
      </c>
      <c r="F494" s="32" t="s">
        <v>226</v>
      </c>
      <c r="G494" s="32" t="s">
        <v>189</v>
      </c>
      <c r="H494" s="32" t="s">
        <v>352</v>
      </c>
      <c r="I494" s="31" t="s">
        <v>397</v>
      </c>
      <c r="J494" s="31">
        <v>99</v>
      </c>
      <c r="K494" s="33" t="s">
        <v>704</v>
      </c>
      <c r="L494" s="33" t="s">
        <v>713</v>
      </c>
      <c r="M494" s="34" t="s">
        <v>723</v>
      </c>
      <c r="N494" s="34" t="s">
        <v>1693</v>
      </c>
      <c r="O494" s="35">
        <v>1</v>
      </c>
      <c r="P494" s="35"/>
      <c r="Q494" s="32"/>
      <c r="S494" s="1">
        <f t="shared" si="189"/>
        <v>0</v>
      </c>
      <c r="T494" s="1">
        <f t="shared" si="190"/>
        <v>0</v>
      </c>
      <c r="U494" s="1">
        <f t="shared" si="191"/>
        <v>0</v>
      </c>
      <c r="V494" s="1">
        <f t="shared" si="192"/>
        <v>0</v>
      </c>
      <c r="W494" s="1">
        <f t="shared" si="193"/>
        <v>0</v>
      </c>
      <c r="X494" s="1">
        <f t="shared" si="194"/>
        <v>0</v>
      </c>
      <c r="Y494" s="1">
        <f t="shared" si="195"/>
        <v>0</v>
      </c>
      <c r="Z494" s="1">
        <f t="shared" si="196"/>
        <v>0</v>
      </c>
      <c r="AA494" s="1">
        <f t="shared" si="197"/>
        <v>0</v>
      </c>
      <c r="AB494" s="1">
        <f t="shared" si="198"/>
        <v>0</v>
      </c>
      <c r="AD494" s="1">
        <f t="shared" si="199"/>
        <v>0</v>
      </c>
      <c r="AE494" s="1">
        <f t="shared" si="200"/>
        <v>1</v>
      </c>
      <c r="AF494" s="1">
        <f t="shared" si="201"/>
        <v>0</v>
      </c>
      <c r="AG494" s="1">
        <f t="shared" si="202"/>
        <v>1</v>
      </c>
      <c r="AH494" s="1">
        <f t="shared" si="203"/>
        <v>0</v>
      </c>
      <c r="AI494" s="1">
        <f t="shared" si="204"/>
        <v>1</v>
      </c>
    </row>
    <row r="495" spans="1:35" ht="14.25" customHeight="1" x14ac:dyDescent="0.25">
      <c r="A495" s="31">
        <v>0</v>
      </c>
      <c r="B495" s="31">
        <v>2</v>
      </c>
      <c r="C495" s="31">
        <v>7</v>
      </c>
      <c r="D495" s="32" t="s">
        <v>1296</v>
      </c>
      <c r="E495" s="32" t="s">
        <v>155</v>
      </c>
      <c r="F495" s="32" t="s">
        <v>1114</v>
      </c>
      <c r="G495" s="32" t="s">
        <v>191</v>
      </c>
      <c r="H495" s="32" t="s">
        <v>352</v>
      </c>
      <c r="I495" s="31" t="s">
        <v>1333</v>
      </c>
      <c r="J495" s="31">
        <v>99</v>
      </c>
      <c r="K495" s="33" t="s">
        <v>703</v>
      </c>
      <c r="L495" s="33" t="s">
        <v>39</v>
      </c>
      <c r="M495" s="34" t="s">
        <v>39</v>
      </c>
      <c r="N495" s="34" t="s">
        <v>1681</v>
      </c>
      <c r="O495" s="35">
        <v>1</v>
      </c>
      <c r="P495" s="35">
        <v>1</v>
      </c>
      <c r="Q495" s="32"/>
      <c r="S495" s="1">
        <f t="shared" si="189"/>
        <v>0</v>
      </c>
      <c r="T495" s="1">
        <f t="shared" si="190"/>
        <v>0</v>
      </c>
      <c r="U495" s="1">
        <f t="shared" si="191"/>
        <v>0</v>
      </c>
      <c r="V495" s="1">
        <f t="shared" si="192"/>
        <v>0</v>
      </c>
      <c r="W495" s="1">
        <f t="shared" si="193"/>
        <v>0</v>
      </c>
      <c r="X495" s="1">
        <f t="shared" si="194"/>
        <v>0</v>
      </c>
      <c r="Y495" s="1">
        <f t="shared" si="195"/>
        <v>0</v>
      </c>
      <c r="Z495" s="1">
        <f t="shared" si="196"/>
        <v>0</v>
      </c>
      <c r="AA495" s="1">
        <f t="shared" si="197"/>
        <v>0</v>
      </c>
      <c r="AB495" s="1">
        <f t="shared" si="198"/>
        <v>0</v>
      </c>
      <c r="AD495" s="1">
        <f t="shared" si="199"/>
        <v>1</v>
      </c>
      <c r="AE495" s="1">
        <f t="shared" si="200"/>
        <v>0</v>
      </c>
      <c r="AF495" s="1">
        <f t="shared" si="201"/>
        <v>1</v>
      </c>
      <c r="AG495" s="1">
        <f t="shared" si="202"/>
        <v>0</v>
      </c>
      <c r="AH495" s="1">
        <f t="shared" si="203"/>
        <v>1</v>
      </c>
      <c r="AI495" s="1">
        <f t="shared" si="204"/>
        <v>0</v>
      </c>
    </row>
    <row r="496" spans="1:35" ht="14.25" customHeight="1" x14ac:dyDescent="0.25">
      <c r="A496" s="31">
        <v>0</v>
      </c>
      <c r="B496" s="31">
        <v>2</v>
      </c>
      <c r="C496" s="31">
        <v>7</v>
      </c>
      <c r="D496" s="32" t="s">
        <v>581</v>
      </c>
      <c r="E496" s="32" t="s">
        <v>1304</v>
      </c>
      <c r="F496" s="32" t="s">
        <v>668</v>
      </c>
      <c r="G496" s="32" t="s">
        <v>239</v>
      </c>
      <c r="H496" s="32" t="s">
        <v>352</v>
      </c>
      <c r="I496" s="31" t="s">
        <v>403</v>
      </c>
      <c r="J496" s="31">
        <v>1</v>
      </c>
      <c r="K496" s="33" t="s">
        <v>704</v>
      </c>
      <c r="L496" s="33" t="s">
        <v>1665</v>
      </c>
      <c r="M496" s="34" t="s">
        <v>1401</v>
      </c>
      <c r="N496" s="34" t="s">
        <v>1693</v>
      </c>
      <c r="O496" s="35">
        <v>1</v>
      </c>
      <c r="P496" s="35"/>
      <c r="Q496" s="32"/>
      <c r="S496" s="1">
        <f t="shared" si="189"/>
        <v>1</v>
      </c>
      <c r="T496" s="1">
        <f t="shared" si="190"/>
        <v>0</v>
      </c>
      <c r="U496" s="1">
        <f t="shared" si="191"/>
        <v>0</v>
      </c>
      <c r="V496" s="1">
        <f t="shared" si="192"/>
        <v>0</v>
      </c>
      <c r="W496" s="1">
        <f t="shared" si="193"/>
        <v>0</v>
      </c>
      <c r="X496" s="1">
        <f t="shared" si="194"/>
        <v>0</v>
      </c>
      <c r="Y496" s="1">
        <f t="shared" si="195"/>
        <v>0</v>
      </c>
      <c r="Z496" s="1">
        <f t="shared" si="196"/>
        <v>0</v>
      </c>
      <c r="AA496" s="1">
        <f t="shared" si="197"/>
        <v>0</v>
      </c>
      <c r="AB496" s="1">
        <f t="shared" si="198"/>
        <v>0</v>
      </c>
      <c r="AD496" s="1">
        <f t="shared" si="199"/>
        <v>0</v>
      </c>
      <c r="AE496" s="1">
        <f t="shared" si="200"/>
        <v>1</v>
      </c>
      <c r="AF496" s="1">
        <f t="shared" si="201"/>
        <v>0</v>
      </c>
      <c r="AG496" s="1">
        <f t="shared" si="202"/>
        <v>1</v>
      </c>
      <c r="AH496" s="1">
        <f t="shared" si="203"/>
        <v>0</v>
      </c>
      <c r="AI496" s="1">
        <f t="shared" si="204"/>
        <v>1</v>
      </c>
    </row>
    <row r="497" spans="1:35" ht="14.25" customHeight="1" x14ac:dyDescent="0.25">
      <c r="A497" s="31">
        <v>1</v>
      </c>
      <c r="B497" s="31">
        <v>2</v>
      </c>
      <c r="C497" s="31">
        <v>7</v>
      </c>
      <c r="D497" s="32" t="s">
        <v>581</v>
      </c>
      <c r="E497" s="32" t="s">
        <v>1304</v>
      </c>
      <c r="F497" s="32" t="s">
        <v>238</v>
      </c>
      <c r="G497" s="32" t="s">
        <v>177</v>
      </c>
      <c r="H497" s="32" t="s">
        <v>352</v>
      </c>
      <c r="I497" s="31" t="s">
        <v>402</v>
      </c>
      <c r="J497" s="31">
        <v>1</v>
      </c>
      <c r="K497" s="33" t="s">
        <v>704</v>
      </c>
      <c r="L497" s="33" t="s">
        <v>1665</v>
      </c>
      <c r="M497" s="34" t="s">
        <v>1401</v>
      </c>
      <c r="N497" s="34" t="s">
        <v>1693</v>
      </c>
      <c r="O497" s="35">
        <v>1</v>
      </c>
      <c r="P497" s="35"/>
      <c r="Q497" s="36" t="s">
        <v>1851</v>
      </c>
      <c r="S497" s="1">
        <f t="shared" si="189"/>
        <v>1</v>
      </c>
      <c r="T497" s="1">
        <f t="shared" si="190"/>
        <v>0</v>
      </c>
      <c r="U497" s="1">
        <f t="shared" si="191"/>
        <v>0</v>
      </c>
      <c r="V497" s="1">
        <f t="shared" si="192"/>
        <v>0</v>
      </c>
      <c r="W497" s="1">
        <f t="shared" si="193"/>
        <v>0</v>
      </c>
      <c r="X497" s="1">
        <f t="shared" si="194"/>
        <v>0</v>
      </c>
      <c r="Y497" s="1">
        <f t="shared" si="195"/>
        <v>0</v>
      </c>
      <c r="Z497" s="1">
        <f t="shared" si="196"/>
        <v>0</v>
      </c>
      <c r="AA497" s="1">
        <f t="shared" si="197"/>
        <v>0</v>
      </c>
      <c r="AB497" s="1">
        <f t="shared" si="198"/>
        <v>0</v>
      </c>
      <c r="AD497" s="1">
        <f t="shared" si="199"/>
        <v>0</v>
      </c>
      <c r="AE497" s="1">
        <f t="shared" si="200"/>
        <v>1</v>
      </c>
      <c r="AF497" s="1">
        <f t="shared" si="201"/>
        <v>0</v>
      </c>
      <c r="AG497" s="1">
        <f t="shared" si="202"/>
        <v>0</v>
      </c>
      <c r="AH497" s="1">
        <f t="shared" si="203"/>
        <v>0</v>
      </c>
      <c r="AI497" s="1">
        <f t="shared" si="204"/>
        <v>0</v>
      </c>
    </row>
    <row r="498" spans="1:35" ht="14.25" customHeight="1" x14ac:dyDescent="0.25">
      <c r="A498" s="31">
        <v>0</v>
      </c>
      <c r="B498" s="31">
        <v>2</v>
      </c>
      <c r="C498" s="31">
        <v>7</v>
      </c>
      <c r="D498" s="32" t="s">
        <v>1297</v>
      </c>
      <c r="E498" s="32" t="s">
        <v>155</v>
      </c>
      <c r="F498" s="32" t="s">
        <v>1321</v>
      </c>
      <c r="G498" s="32" t="s">
        <v>257</v>
      </c>
      <c r="H498" s="32" t="s">
        <v>352</v>
      </c>
      <c r="I498" s="31" t="s">
        <v>1207</v>
      </c>
      <c r="J498" s="31">
        <v>8</v>
      </c>
      <c r="K498" s="33" t="s">
        <v>931</v>
      </c>
      <c r="L498" s="33" t="s">
        <v>713</v>
      </c>
      <c r="M498" s="34" t="s">
        <v>723</v>
      </c>
      <c r="N498" s="34" t="s">
        <v>1693</v>
      </c>
      <c r="O498" s="35">
        <v>1</v>
      </c>
      <c r="P498" s="35"/>
      <c r="Q498" s="32"/>
      <c r="S498" s="1">
        <f t="shared" si="189"/>
        <v>0</v>
      </c>
      <c r="T498" s="1">
        <f t="shared" si="190"/>
        <v>0</v>
      </c>
      <c r="U498" s="1">
        <f t="shared" si="191"/>
        <v>0</v>
      </c>
      <c r="V498" s="1">
        <f t="shared" si="192"/>
        <v>0</v>
      </c>
      <c r="W498" s="1">
        <f t="shared" si="193"/>
        <v>0</v>
      </c>
      <c r="X498" s="1">
        <f t="shared" si="194"/>
        <v>0</v>
      </c>
      <c r="Y498" s="1">
        <f t="shared" si="195"/>
        <v>0</v>
      </c>
      <c r="Z498" s="1">
        <f t="shared" si="196"/>
        <v>1</v>
      </c>
      <c r="AA498" s="1">
        <f t="shared" si="197"/>
        <v>0</v>
      </c>
      <c r="AB498" s="1">
        <f t="shared" si="198"/>
        <v>0</v>
      </c>
      <c r="AD498" s="1">
        <f t="shared" si="199"/>
        <v>0</v>
      </c>
      <c r="AE498" s="1">
        <f t="shared" si="200"/>
        <v>1</v>
      </c>
      <c r="AF498" s="1">
        <f t="shared" si="201"/>
        <v>0</v>
      </c>
      <c r="AG498" s="1">
        <f t="shared" si="202"/>
        <v>1</v>
      </c>
      <c r="AH498" s="1">
        <f t="shared" si="203"/>
        <v>0</v>
      </c>
      <c r="AI498" s="1">
        <f t="shared" si="204"/>
        <v>1</v>
      </c>
    </row>
    <row r="499" spans="1:35" ht="14.25" customHeight="1" x14ac:dyDescent="0.25">
      <c r="A499" s="31">
        <v>1</v>
      </c>
      <c r="B499" s="31">
        <v>2</v>
      </c>
      <c r="C499" s="31">
        <v>7</v>
      </c>
      <c r="D499" s="32" t="s">
        <v>1297</v>
      </c>
      <c r="E499" s="32" t="s">
        <v>155</v>
      </c>
      <c r="F499" s="32" t="s">
        <v>1186</v>
      </c>
      <c r="G499" s="32" t="s">
        <v>217</v>
      </c>
      <c r="H499" s="32" t="s">
        <v>352</v>
      </c>
      <c r="I499" s="31" t="s">
        <v>1207</v>
      </c>
      <c r="J499" s="31">
        <v>99</v>
      </c>
      <c r="K499" s="33" t="s">
        <v>931</v>
      </c>
      <c r="L499" s="33" t="s">
        <v>713</v>
      </c>
      <c r="M499" s="34" t="s">
        <v>723</v>
      </c>
      <c r="N499" s="34" t="s">
        <v>1693</v>
      </c>
      <c r="O499" s="35">
        <v>1</v>
      </c>
      <c r="P499" s="35"/>
      <c r="Q499" s="32"/>
      <c r="S499" s="1">
        <f t="shared" si="189"/>
        <v>0</v>
      </c>
      <c r="T499" s="1">
        <f t="shared" si="190"/>
        <v>0</v>
      </c>
      <c r="U499" s="1">
        <f t="shared" si="191"/>
        <v>0</v>
      </c>
      <c r="V499" s="1">
        <f t="shared" si="192"/>
        <v>0</v>
      </c>
      <c r="W499" s="1">
        <f t="shared" si="193"/>
        <v>0</v>
      </c>
      <c r="X499" s="1">
        <f t="shared" si="194"/>
        <v>0</v>
      </c>
      <c r="Y499" s="1">
        <f t="shared" si="195"/>
        <v>0</v>
      </c>
      <c r="Z499" s="1">
        <f t="shared" si="196"/>
        <v>0</v>
      </c>
      <c r="AA499" s="1">
        <f t="shared" si="197"/>
        <v>0</v>
      </c>
      <c r="AB499" s="1">
        <f t="shared" si="198"/>
        <v>0</v>
      </c>
      <c r="AD499" s="1">
        <f t="shared" si="199"/>
        <v>0</v>
      </c>
      <c r="AE499" s="1">
        <f t="shared" si="200"/>
        <v>1</v>
      </c>
      <c r="AF499" s="1">
        <f t="shared" si="201"/>
        <v>0</v>
      </c>
      <c r="AG499" s="1">
        <f t="shared" si="202"/>
        <v>0</v>
      </c>
      <c r="AH499" s="1">
        <f t="shared" si="203"/>
        <v>0</v>
      </c>
      <c r="AI499" s="1">
        <f t="shared" si="204"/>
        <v>0</v>
      </c>
    </row>
    <row r="500" spans="1:35" ht="14.25" customHeight="1" x14ac:dyDescent="0.25">
      <c r="A500" s="31">
        <v>0</v>
      </c>
      <c r="B500" s="31">
        <v>2</v>
      </c>
      <c r="C500" s="31">
        <v>7</v>
      </c>
      <c r="D500" s="32" t="s">
        <v>1216</v>
      </c>
      <c r="E500" s="32" t="s">
        <v>155</v>
      </c>
      <c r="F500" s="32" t="s">
        <v>1218</v>
      </c>
      <c r="G500" s="32" t="s">
        <v>219</v>
      </c>
      <c r="H500" s="32" t="s">
        <v>352</v>
      </c>
      <c r="I500" s="31" t="s">
        <v>1334</v>
      </c>
      <c r="J500" s="31">
        <v>8</v>
      </c>
      <c r="K500" s="33" t="s">
        <v>930</v>
      </c>
      <c r="L500" s="33" t="s">
        <v>713</v>
      </c>
      <c r="M500" s="34" t="s">
        <v>723</v>
      </c>
      <c r="N500" s="34" t="s">
        <v>1689</v>
      </c>
      <c r="O500" s="35">
        <v>1</v>
      </c>
      <c r="P500" s="35"/>
      <c r="Q500" s="32"/>
      <c r="S500" s="1">
        <f t="shared" si="189"/>
        <v>0</v>
      </c>
      <c r="T500" s="1">
        <f t="shared" si="190"/>
        <v>0</v>
      </c>
      <c r="U500" s="1">
        <f t="shared" si="191"/>
        <v>0</v>
      </c>
      <c r="V500" s="1">
        <f t="shared" si="192"/>
        <v>0</v>
      </c>
      <c r="W500" s="1">
        <f t="shared" si="193"/>
        <v>0</v>
      </c>
      <c r="X500" s="1">
        <f t="shared" si="194"/>
        <v>0</v>
      </c>
      <c r="Y500" s="1">
        <f t="shared" si="195"/>
        <v>0</v>
      </c>
      <c r="Z500" s="1">
        <f t="shared" si="196"/>
        <v>1</v>
      </c>
      <c r="AA500" s="1">
        <f t="shared" si="197"/>
        <v>0</v>
      </c>
      <c r="AB500" s="1">
        <f t="shared" si="198"/>
        <v>0</v>
      </c>
      <c r="AD500" s="1">
        <f t="shared" si="199"/>
        <v>0</v>
      </c>
      <c r="AE500" s="1">
        <f t="shared" si="200"/>
        <v>1</v>
      </c>
      <c r="AF500" s="1">
        <f t="shared" si="201"/>
        <v>0</v>
      </c>
      <c r="AG500" s="1">
        <f t="shared" si="202"/>
        <v>1</v>
      </c>
      <c r="AH500" s="1">
        <f t="shared" si="203"/>
        <v>0</v>
      </c>
      <c r="AI500" s="1">
        <f t="shared" si="204"/>
        <v>1</v>
      </c>
    </row>
    <row r="501" spans="1:35" ht="14.25" customHeight="1" x14ac:dyDescent="0.25">
      <c r="A501" s="31">
        <v>1</v>
      </c>
      <c r="B501" s="31">
        <v>2</v>
      </c>
      <c r="C501" s="31">
        <v>7</v>
      </c>
      <c r="D501" s="32" t="s">
        <v>1216</v>
      </c>
      <c r="E501" s="32" t="s">
        <v>155</v>
      </c>
      <c r="F501" s="32" t="s">
        <v>1322</v>
      </c>
      <c r="G501" s="32" t="s">
        <v>39</v>
      </c>
      <c r="H501" s="32" t="s">
        <v>353</v>
      </c>
      <c r="I501" s="31" t="s">
        <v>1217</v>
      </c>
      <c r="J501" s="31">
        <v>99</v>
      </c>
      <c r="K501" s="33" t="s">
        <v>930</v>
      </c>
      <c r="L501" s="33" t="s">
        <v>713</v>
      </c>
      <c r="M501" s="34" t="s">
        <v>723</v>
      </c>
      <c r="N501" s="34" t="s">
        <v>1689</v>
      </c>
      <c r="O501" s="35">
        <v>1</v>
      </c>
      <c r="P501" s="35"/>
      <c r="Q501" s="32" t="s">
        <v>1844</v>
      </c>
      <c r="S501" s="1">
        <f t="shared" si="189"/>
        <v>0</v>
      </c>
      <c r="T501" s="1">
        <f t="shared" si="190"/>
        <v>0</v>
      </c>
      <c r="U501" s="1">
        <f t="shared" si="191"/>
        <v>0</v>
      </c>
      <c r="V501" s="1">
        <f t="shared" si="192"/>
        <v>0</v>
      </c>
      <c r="W501" s="1">
        <f t="shared" si="193"/>
        <v>0</v>
      </c>
      <c r="X501" s="1">
        <f t="shared" si="194"/>
        <v>0</v>
      </c>
      <c r="Y501" s="1">
        <f t="shared" si="195"/>
        <v>0</v>
      </c>
      <c r="Z501" s="1">
        <f t="shared" si="196"/>
        <v>0</v>
      </c>
      <c r="AA501" s="1">
        <f t="shared" si="197"/>
        <v>0</v>
      </c>
      <c r="AB501" s="1">
        <f t="shared" si="198"/>
        <v>0</v>
      </c>
      <c r="AD501" s="1">
        <f t="shared" si="199"/>
        <v>0</v>
      </c>
      <c r="AE501" s="1">
        <f t="shared" si="200"/>
        <v>1</v>
      </c>
      <c r="AF501" s="1">
        <f t="shared" si="201"/>
        <v>0</v>
      </c>
      <c r="AG501" s="1">
        <f t="shared" si="202"/>
        <v>0</v>
      </c>
      <c r="AH501" s="1">
        <f t="shared" si="203"/>
        <v>0</v>
      </c>
      <c r="AI501" s="1">
        <f t="shared" si="204"/>
        <v>0</v>
      </c>
    </row>
    <row r="502" spans="1:35" ht="14.25" customHeight="1" x14ac:dyDescent="0.25">
      <c r="A502" s="31">
        <v>1</v>
      </c>
      <c r="B502" s="31">
        <v>2</v>
      </c>
      <c r="C502" s="31">
        <v>7</v>
      </c>
      <c r="D502" s="32" t="s">
        <v>1216</v>
      </c>
      <c r="E502" s="32" t="s">
        <v>155</v>
      </c>
      <c r="F502" s="32" t="s">
        <v>1480</v>
      </c>
      <c r="G502" s="32" t="s">
        <v>234</v>
      </c>
      <c r="H502" s="32" t="s">
        <v>352</v>
      </c>
      <c r="I502" s="31" t="s">
        <v>1645</v>
      </c>
      <c r="J502" s="31">
        <v>99</v>
      </c>
      <c r="K502" s="33" t="s">
        <v>930</v>
      </c>
      <c r="L502" s="33" t="s">
        <v>713</v>
      </c>
      <c r="M502" s="34" t="s">
        <v>723</v>
      </c>
      <c r="N502" s="34" t="s">
        <v>1689</v>
      </c>
      <c r="O502" s="35">
        <v>1</v>
      </c>
      <c r="P502" s="35"/>
      <c r="Q502" s="32"/>
      <c r="S502" s="1">
        <f t="shared" si="189"/>
        <v>0</v>
      </c>
      <c r="T502" s="1">
        <f t="shared" si="190"/>
        <v>0</v>
      </c>
      <c r="U502" s="1">
        <f t="shared" si="191"/>
        <v>0</v>
      </c>
      <c r="V502" s="1">
        <f t="shared" si="192"/>
        <v>0</v>
      </c>
      <c r="W502" s="1">
        <f t="shared" si="193"/>
        <v>0</v>
      </c>
      <c r="X502" s="1">
        <f t="shared" si="194"/>
        <v>0</v>
      </c>
      <c r="Y502" s="1">
        <f t="shared" si="195"/>
        <v>0</v>
      </c>
      <c r="Z502" s="1">
        <f t="shared" si="196"/>
        <v>0</v>
      </c>
      <c r="AA502" s="1">
        <f t="shared" si="197"/>
        <v>0</v>
      </c>
      <c r="AB502" s="1">
        <f t="shared" si="198"/>
        <v>0</v>
      </c>
      <c r="AD502" s="1">
        <f t="shared" si="199"/>
        <v>0</v>
      </c>
      <c r="AE502" s="1">
        <f t="shared" si="200"/>
        <v>1</v>
      </c>
      <c r="AF502" s="1">
        <f t="shared" si="201"/>
        <v>0</v>
      </c>
      <c r="AG502" s="1">
        <f t="shared" si="202"/>
        <v>0</v>
      </c>
      <c r="AH502" s="1">
        <f t="shared" si="203"/>
        <v>0</v>
      </c>
      <c r="AI502" s="1">
        <f t="shared" si="204"/>
        <v>0</v>
      </c>
    </row>
    <row r="503" spans="1:35" ht="14.25" customHeight="1" x14ac:dyDescent="0.25">
      <c r="A503" s="31">
        <v>0</v>
      </c>
      <c r="B503" s="31">
        <v>2</v>
      </c>
      <c r="C503" s="31">
        <v>7</v>
      </c>
      <c r="D503" s="32" t="s">
        <v>1791</v>
      </c>
      <c r="E503" s="32" t="s">
        <v>1792</v>
      </c>
      <c r="F503" s="32" t="s">
        <v>1793</v>
      </c>
      <c r="G503" s="32" t="s">
        <v>264</v>
      </c>
      <c r="H503" s="32" t="s">
        <v>352</v>
      </c>
      <c r="I503" s="31" t="s">
        <v>1794</v>
      </c>
      <c r="J503" s="31">
        <v>99</v>
      </c>
      <c r="K503" s="33" t="s">
        <v>694</v>
      </c>
      <c r="L503" s="33"/>
      <c r="M503" s="34"/>
      <c r="N503" s="34" t="s">
        <v>1681</v>
      </c>
      <c r="O503" s="35">
        <v>1</v>
      </c>
      <c r="P503" s="35">
        <v>1</v>
      </c>
      <c r="Q503" s="32"/>
      <c r="S503" s="1">
        <f t="shared" si="189"/>
        <v>0</v>
      </c>
      <c r="T503" s="1">
        <f t="shared" si="190"/>
        <v>0</v>
      </c>
      <c r="U503" s="1">
        <f t="shared" si="191"/>
        <v>0</v>
      </c>
      <c r="V503" s="1">
        <f t="shared" si="192"/>
        <v>0</v>
      </c>
      <c r="W503" s="1">
        <f t="shared" si="193"/>
        <v>0</v>
      </c>
      <c r="X503" s="1">
        <f t="shared" si="194"/>
        <v>0</v>
      </c>
      <c r="Y503" s="1">
        <f t="shared" si="195"/>
        <v>0</v>
      </c>
      <c r="Z503" s="1">
        <f t="shared" si="196"/>
        <v>0</v>
      </c>
      <c r="AA503" s="1">
        <f t="shared" si="197"/>
        <v>0</v>
      </c>
      <c r="AB503" s="1">
        <f t="shared" si="198"/>
        <v>0</v>
      </c>
      <c r="AD503" s="1">
        <f t="shared" si="199"/>
        <v>1</v>
      </c>
      <c r="AE503" s="1">
        <f t="shared" si="200"/>
        <v>0</v>
      </c>
      <c r="AF503" s="1">
        <f t="shared" si="201"/>
        <v>1</v>
      </c>
      <c r="AG503" s="1">
        <f t="shared" si="202"/>
        <v>0</v>
      </c>
      <c r="AH503" s="1">
        <f t="shared" si="203"/>
        <v>1</v>
      </c>
      <c r="AI503" s="1">
        <f t="shared" si="204"/>
        <v>0</v>
      </c>
    </row>
    <row r="504" spans="1:35" ht="14.25" customHeight="1" x14ac:dyDescent="0.25">
      <c r="A504" s="31">
        <v>0</v>
      </c>
      <c r="B504" s="31">
        <v>2</v>
      </c>
      <c r="C504" s="31">
        <v>7</v>
      </c>
      <c r="D504" s="32" t="s">
        <v>1211</v>
      </c>
      <c r="E504" s="32" t="s">
        <v>28</v>
      </c>
      <c r="F504" s="32" t="s">
        <v>1204</v>
      </c>
      <c r="G504" s="32" t="s">
        <v>1205</v>
      </c>
      <c r="H504" s="32" t="s">
        <v>352</v>
      </c>
      <c r="I504" s="31" t="s">
        <v>1206</v>
      </c>
      <c r="J504" s="31">
        <v>99</v>
      </c>
      <c r="K504" s="33" t="s">
        <v>703</v>
      </c>
      <c r="L504" s="33" t="s">
        <v>704</v>
      </c>
      <c r="M504" s="34" t="s">
        <v>722</v>
      </c>
      <c r="N504" s="34" t="s">
        <v>1689</v>
      </c>
      <c r="O504" s="35">
        <v>1</v>
      </c>
      <c r="P504" s="35"/>
      <c r="Q504" s="32"/>
      <c r="S504" s="1">
        <f t="shared" si="189"/>
        <v>0</v>
      </c>
      <c r="T504" s="1">
        <f t="shared" si="190"/>
        <v>0</v>
      </c>
      <c r="U504" s="1">
        <f t="shared" si="191"/>
        <v>0</v>
      </c>
      <c r="V504" s="1">
        <f t="shared" si="192"/>
        <v>0</v>
      </c>
      <c r="W504" s="1">
        <f t="shared" si="193"/>
        <v>0</v>
      </c>
      <c r="X504" s="1">
        <f t="shared" si="194"/>
        <v>0</v>
      </c>
      <c r="Y504" s="1">
        <f t="shared" si="195"/>
        <v>0</v>
      </c>
      <c r="Z504" s="1">
        <f t="shared" si="196"/>
        <v>0</v>
      </c>
      <c r="AA504" s="1">
        <f t="shared" si="197"/>
        <v>0</v>
      </c>
      <c r="AB504" s="1">
        <f t="shared" si="198"/>
        <v>0</v>
      </c>
      <c r="AD504" s="1">
        <f t="shared" si="199"/>
        <v>0</v>
      </c>
      <c r="AE504" s="1">
        <f t="shared" si="200"/>
        <v>1</v>
      </c>
      <c r="AF504" s="1">
        <f t="shared" si="201"/>
        <v>0</v>
      </c>
      <c r="AG504" s="1">
        <f t="shared" si="202"/>
        <v>1</v>
      </c>
      <c r="AH504" s="1">
        <f t="shared" si="203"/>
        <v>0</v>
      </c>
      <c r="AI504" s="1">
        <f t="shared" si="204"/>
        <v>1</v>
      </c>
    </row>
    <row r="505" spans="1:35" ht="14.25" customHeight="1" x14ac:dyDescent="0.25">
      <c r="A505" s="31">
        <v>1</v>
      </c>
      <c r="B505" s="31">
        <v>2</v>
      </c>
      <c r="C505" s="31">
        <v>7</v>
      </c>
      <c r="D505" s="32" t="s">
        <v>1208</v>
      </c>
      <c r="E505" s="32" t="s">
        <v>28</v>
      </c>
      <c r="F505" s="32" t="s">
        <v>1209</v>
      </c>
      <c r="G505" s="32" t="s">
        <v>519</v>
      </c>
      <c r="H505" s="32" t="s">
        <v>352</v>
      </c>
      <c r="I505" s="31" t="s">
        <v>1210</v>
      </c>
      <c r="J505" s="31">
        <v>99</v>
      </c>
      <c r="K505" s="33" t="s">
        <v>703</v>
      </c>
      <c r="L505" s="33" t="s">
        <v>704</v>
      </c>
      <c r="M505" s="34" t="s">
        <v>722</v>
      </c>
      <c r="N505" s="34" t="s">
        <v>1689</v>
      </c>
      <c r="O505" s="35">
        <v>1</v>
      </c>
      <c r="P505" s="35"/>
      <c r="Q505" s="32"/>
      <c r="S505" s="1">
        <f t="shared" si="189"/>
        <v>0</v>
      </c>
      <c r="T505" s="1">
        <f t="shared" si="190"/>
        <v>0</v>
      </c>
      <c r="U505" s="1">
        <f t="shared" si="191"/>
        <v>0</v>
      </c>
      <c r="V505" s="1">
        <f t="shared" si="192"/>
        <v>0</v>
      </c>
      <c r="W505" s="1">
        <f t="shared" si="193"/>
        <v>0</v>
      </c>
      <c r="X505" s="1">
        <f t="shared" si="194"/>
        <v>0</v>
      </c>
      <c r="Y505" s="1">
        <f t="shared" si="195"/>
        <v>0</v>
      </c>
      <c r="Z505" s="1">
        <f t="shared" si="196"/>
        <v>0</v>
      </c>
      <c r="AA505" s="1">
        <f t="shared" si="197"/>
        <v>0</v>
      </c>
      <c r="AB505" s="1">
        <f t="shared" si="198"/>
        <v>0</v>
      </c>
      <c r="AD505" s="1">
        <f t="shared" si="199"/>
        <v>0</v>
      </c>
      <c r="AE505" s="1">
        <f t="shared" si="200"/>
        <v>1</v>
      </c>
      <c r="AF505" s="1">
        <f t="shared" si="201"/>
        <v>0</v>
      </c>
      <c r="AG505" s="1">
        <f t="shared" si="202"/>
        <v>0</v>
      </c>
      <c r="AH505" s="1">
        <f t="shared" si="203"/>
        <v>0</v>
      </c>
      <c r="AI505" s="1">
        <f t="shared" si="204"/>
        <v>0</v>
      </c>
    </row>
    <row r="506" spans="1:35" ht="14.25" customHeight="1" x14ac:dyDescent="0.25">
      <c r="A506" s="31">
        <v>0</v>
      </c>
      <c r="B506" s="31">
        <v>2</v>
      </c>
      <c r="C506" s="31">
        <v>7</v>
      </c>
      <c r="D506" s="32" t="s">
        <v>1787</v>
      </c>
      <c r="E506" s="32" t="s">
        <v>1139</v>
      </c>
      <c r="F506" s="32" t="s">
        <v>1788</v>
      </c>
      <c r="G506" s="32"/>
      <c r="H506" s="32" t="s">
        <v>352</v>
      </c>
      <c r="I506" s="31" t="s">
        <v>1789</v>
      </c>
      <c r="J506" s="31">
        <v>6</v>
      </c>
      <c r="K506" s="33" t="s">
        <v>694</v>
      </c>
      <c r="L506" s="33"/>
      <c r="M506" s="34"/>
      <c r="N506" s="34" t="s">
        <v>1693</v>
      </c>
      <c r="O506" s="35">
        <v>1</v>
      </c>
      <c r="P506" s="35"/>
      <c r="Q506" s="32"/>
      <c r="S506" s="1">
        <f t="shared" si="189"/>
        <v>0</v>
      </c>
      <c r="T506" s="1">
        <f t="shared" si="190"/>
        <v>0</v>
      </c>
      <c r="U506" s="1">
        <f t="shared" si="191"/>
        <v>0</v>
      </c>
      <c r="V506" s="1">
        <f t="shared" si="192"/>
        <v>0</v>
      </c>
      <c r="W506" s="1">
        <f t="shared" si="193"/>
        <v>0</v>
      </c>
      <c r="X506" s="1">
        <f t="shared" si="194"/>
        <v>1</v>
      </c>
      <c r="Y506" s="1">
        <f t="shared" si="195"/>
        <v>0</v>
      </c>
      <c r="Z506" s="1">
        <f t="shared" si="196"/>
        <v>0</v>
      </c>
      <c r="AA506" s="1">
        <f t="shared" si="197"/>
        <v>0</v>
      </c>
      <c r="AB506" s="1">
        <f t="shared" si="198"/>
        <v>0</v>
      </c>
      <c r="AD506" s="1">
        <f t="shared" si="199"/>
        <v>0</v>
      </c>
      <c r="AE506" s="1">
        <f t="shared" si="200"/>
        <v>1</v>
      </c>
      <c r="AF506" s="1">
        <f t="shared" si="201"/>
        <v>0</v>
      </c>
      <c r="AG506" s="1">
        <f t="shared" si="202"/>
        <v>1</v>
      </c>
      <c r="AH506" s="1">
        <f t="shared" si="203"/>
        <v>0</v>
      </c>
      <c r="AI506" s="1">
        <f t="shared" si="204"/>
        <v>1</v>
      </c>
    </row>
    <row r="507" spans="1:35" ht="14.25" customHeight="1" x14ac:dyDescent="0.25">
      <c r="A507" s="31">
        <v>0</v>
      </c>
      <c r="B507" s="31">
        <v>2</v>
      </c>
      <c r="C507" s="31">
        <v>7</v>
      </c>
      <c r="D507" s="32" t="s">
        <v>1420</v>
      </c>
      <c r="E507" s="32" t="s">
        <v>28</v>
      </c>
      <c r="F507" s="32" t="s">
        <v>1421</v>
      </c>
      <c r="G507" s="32" t="s">
        <v>1422</v>
      </c>
      <c r="H507" s="32" t="s">
        <v>352</v>
      </c>
      <c r="I507" s="31" t="s">
        <v>1423</v>
      </c>
      <c r="J507" s="31">
        <v>99</v>
      </c>
      <c r="K507" s="33" t="s">
        <v>703</v>
      </c>
      <c r="L507" s="33" t="s">
        <v>704</v>
      </c>
      <c r="M507" s="34" t="s">
        <v>722</v>
      </c>
      <c r="N507" s="34" t="s">
        <v>1689</v>
      </c>
      <c r="O507" s="35">
        <v>1</v>
      </c>
      <c r="P507" s="35"/>
      <c r="Q507" s="32" t="s">
        <v>1871</v>
      </c>
      <c r="S507" s="1">
        <f t="shared" si="189"/>
        <v>0</v>
      </c>
      <c r="T507" s="1">
        <f t="shared" si="190"/>
        <v>0</v>
      </c>
      <c r="U507" s="1">
        <f t="shared" si="191"/>
        <v>0</v>
      </c>
      <c r="V507" s="1">
        <f t="shared" si="192"/>
        <v>0</v>
      </c>
      <c r="W507" s="1">
        <f t="shared" si="193"/>
        <v>0</v>
      </c>
      <c r="X507" s="1">
        <f t="shared" si="194"/>
        <v>0</v>
      </c>
      <c r="Y507" s="1">
        <f t="shared" si="195"/>
        <v>0</v>
      </c>
      <c r="Z507" s="1">
        <f t="shared" si="196"/>
        <v>0</v>
      </c>
      <c r="AA507" s="1">
        <f t="shared" si="197"/>
        <v>0</v>
      </c>
      <c r="AB507" s="1">
        <f t="shared" si="198"/>
        <v>0</v>
      </c>
      <c r="AD507" s="1">
        <f t="shared" si="199"/>
        <v>0</v>
      </c>
      <c r="AE507" s="1">
        <f t="shared" si="200"/>
        <v>1</v>
      </c>
      <c r="AF507" s="1">
        <f t="shared" si="201"/>
        <v>0</v>
      </c>
      <c r="AG507" s="1">
        <f t="shared" si="202"/>
        <v>1</v>
      </c>
      <c r="AH507" s="1">
        <f t="shared" si="203"/>
        <v>0</v>
      </c>
      <c r="AI507" s="1">
        <f t="shared" si="204"/>
        <v>1</v>
      </c>
    </row>
    <row r="508" spans="1:35" ht="14.25" customHeight="1" x14ac:dyDescent="0.25">
      <c r="A508" s="31">
        <v>0</v>
      </c>
      <c r="B508" s="31">
        <v>2</v>
      </c>
      <c r="C508" s="31">
        <v>7</v>
      </c>
      <c r="D508" s="32" t="s">
        <v>2070</v>
      </c>
      <c r="E508" s="32" t="s">
        <v>155</v>
      </c>
      <c r="F508" s="32" t="s">
        <v>2071</v>
      </c>
      <c r="G508" s="32" t="s">
        <v>552</v>
      </c>
      <c r="H508" s="32" t="s">
        <v>352</v>
      </c>
      <c r="I508" s="31" t="s">
        <v>2072</v>
      </c>
      <c r="J508" s="31">
        <v>99</v>
      </c>
      <c r="K508" s="33" t="s">
        <v>694</v>
      </c>
      <c r="L508" s="33">
        <v>7</v>
      </c>
      <c r="M508" s="34" t="s">
        <v>723</v>
      </c>
      <c r="N508" s="34" t="s">
        <v>1693</v>
      </c>
      <c r="O508" s="35">
        <v>1</v>
      </c>
      <c r="P508" s="35"/>
      <c r="Q508" s="32"/>
      <c r="S508" s="1">
        <f t="shared" si="189"/>
        <v>0</v>
      </c>
      <c r="T508" s="1">
        <f t="shared" si="190"/>
        <v>0</v>
      </c>
      <c r="U508" s="1">
        <f t="shared" si="191"/>
        <v>0</v>
      </c>
      <c r="V508" s="1">
        <f t="shared" si="192"/>
        <v>0</v>
      </c>
      <c r="W508" s="1">
        <f t="shared" si="193"/>
        <v>0</v>
      </c>
      <c r="X508" s="1">
        <f t="shared" si="194"/>
        <v>0</v>
      </c>
      <c r="Y508" s="1">
        <f t="shared" si="195"/>
        <v>0</v>
      </c>
      <c r="Z508" s="1">
        <f t="shared" si="196"/>
        <v>0</v>
      </c>
      <c r="AA508" s="1">
        <f t="shared" si="197"/>
        <v>0</v>
      </c>
      <c r="AB508" s="1">
        <f t="shared" si="198"/>
        <v>0</v>
      </c>
      <c r="AD508" s="1">
        <f t="shared" si="199"/>
        <v>0</v>
      </c>
      <c r="AE508" s="1">
        <f t="shared" si="200"/>
        <v>1</v>
      </c>
      <c r="AF508" s="1">
        <f t="shared" si="201"/>
        <v>0</v>
      </c>
      <c r="AG508" s="1">
        <f t="shared" si="202"/>
        <v>1</v>
      </c>
      <c r="AH508" s="1">
        <f t="shared" si="203"/>
        <v>0</v>
      </c>
      <c r="AI508" s="1">
        <f t="shared" si="204"/>
        <v>1</v>
      </c>
    </row>
    <row r="509" spans="1:35" ht="14.25" customHeight="1" x14ac:dyDescent="0.25">
      <c r="A509" s="31">
        <v>1</v>
      </c>
      <c r="B509" s="31">
        <v>2</v>
      </c>
      <c r="C509" s="31">
        <v>7</v>
      </c>
      <c r="D509" s="32" t="s">
        <v>2070</v>
      </c>
      <c r="E509" s="32" t="s">
        <v>155</v>
      </c>
      <c r="F509" s="32" t="s">
        <v>2073</v>
      </c>
      <c r="G509" s="32" t="s">
        <v>203</v>
      </c>
      <c r="H509" s="32" t="s">
        <v>352</v>
      </c>
      <c r="I509" s="31" t="s">
        <v>2072</v>
      </c>
      <c r="J509" s="31">
        <v>7</v>
      </c>
      <c r="K509" s="33" t="s">
        <v>694</v>
      </c>
      <c r="L509" s="33">
        <v>7</v>
      </c>
      <c r="M509" s="34" t="s">
        <v>723</v>
      </c>
      <c r="N509" s="34" t="s">
        <v>1693</v>
      </c>
      <c r="O509" s="35">
        <v>1</v>
      </c>
      <c r="P509" s="35"/>
      <c r="Q509" s="32"/>
      <c r="S509" s="1">
        <f t="shared" si="189"/>
        <v>0</v>
      </c>
      <c r="T509" s="1">
        <f t="shared" si="190"/>
        <v>0</v>
      </c>
      <c r="U509" s="1">
        <f t="shared" si="191"/>
        <v>0</v>
      </c>
      <c r="V509" s="1">
        <f t="shared" si="192"/>
        <v>0</v>
      </c>
      <c r="W509" s="1">
        <f t="shared" si="193"/>
        <v>0</v>
      </c>
      <c r="X509" s="1">
        <f t="shared" si="194"/>
        <v>0</v>
      </c>
      <c r="Y509" s="1">
        <f t="shared" si="195"/>
        <v>1</v>
      </c>
      <c r="Z509" s="1">
        <f t="shared" si="196"/>
        <v>0</v>
      </c>
      <c r="AA509" s="1">
        <f t="shared" si="197"/>
        <v>0</v>
      </c>
      <c r="AB509" s="1">
        <f t="shared" si="198"/>
        <v>0</v>
      </c>
      <c r="AD509" s="1">
        <f t="shared" si="199"/>
        <v>0</v>
      </c>
      <c r="AE509" s="1">
        <f t="shared" si="200"/>
        <v>1</v>
      </c>
      <c r="AF509" s="1">
        <f t="shared" si="201"/>
        <v>0</v>
      </c>
      <c r="AG509" s="1">
        <f t="shared" si="202"/>
        <v>0</v>
      </c>
      <c r="AH509" s="1">
        <f t="shared" si="203"/>
        <v>0</v>
      </c>
      <c r="AI509" s="1">
        <f t="shared" si="204"/>
        <v>0</v>
      </c>
    </row>
    <row r="510" spans="1:35" ht="14.25" customHeight="1" x14ac:dyDescent="0.25">
      <c r="A510" s="31">
        <v>0</v>
      </c>
      <c r="B510" s="31">
        <v>2</v>
      </c>
      <c r="C510" s="31">
        <v>7</v>
      </c>
      <c r="D510" s="32" t="s">
        <v>43</v>
      </c>
      <c r="E510" s="32" t="s">
        <v>537</v>
      </c>
      <c r="F510" s="32" t="s">
        <v>568</v>
      </c>
      <c r="G510" s="32" t="s">
        <v>234</v>
      </c>
      <c r="H510" s="32" t="s">
        <v>352</v>
      </c>
      <c r="I510" s="31" t="s">
        <v>574</v>
      </c>
      <c r="J510" s="31">
        <v>99</v>
      </c>
      <c r="K510" s="33" t="s">
        <v>703</v>
      </c>
      <c r="L510" s="33" t="s">
        <v>720</v>
      </c>
      <c r="M510" s="34" t="s">
        <v>1402</v>
      </c>
      <c r="N510" s="34" t="s">
        <v>1693</v>
      </c>
      <c r="O510" s="35">
        <v>1</v>
      </c>
      <c r="P510" s="35"/>
      <c r="Q510" s="32"/>
      <c r="S510" s="1">
        <f t="shared" si="189"/>
        <v>0</v>
      </c>
      <c r="T510" s="1">
        <f t="shared" si="190"/>
        <v>0</v>
      </c>
      <c r="U510" s="1">
        <f t="shared" si="191"/>
        <v>0</v>
      </c>
      <c r="V510" s="1">
        <f t="shared" si="192"/>
        <v>0</v>
      </c>
      <c r="W510" s="1">
        <f t="shared" si="193"/>
        <v>0</v>
      </c>
      <c r="X510" s="1">
        <f t="shared" si="194"/>
        <v>0</v>
      </c>
      <c r="Y510" s="1">
        <f t="shared" si="195"/>
        <v>0</v>
      </c>
      <c r="Z510" s="1">
        <f t="shared" si="196"/>
        <v>0</v>
      </c>
      <c r="AA510" s="1">
        <f t="shared" si="197"/>
        <v>0</v>
      </c>
      <c r="AB510" s="1">
        <f t="shared" si="198"/>
        <v>0</v>
      </c>
      <c r="AD510" s="1">
        <f t="shared" si="199"/>
        <v>0</v>
      </c>
      <c r="AE510" s="1">
        <f t="shared" si="200"/>
        <v>1</v>
      </c>
      <c r="AF510" s="1">
        <f t="shared" si="201"/>
        <v>0</v>
      </c>
      <c r="AG510" s="1">
        <f t="shared" si="202"/>
        <v>1</v>
      </c>
      <c r="AH510" s="1">
        <f t="shared" si="203"/>
        <v>0</v>
      </c>
      <c r="AI510" s="1">
        <f t="shared" si="204"/>
        <v>1</v>
      </c>
    </row>
    <row r="511" spans="1:35" ht="14.25" customHeight="1" x14ac:dyDescent="0.25">
      <c r="A511" s="31">
        <v>1</v>
      </c>
      <c r="B511" s="31">
        <v>2</v>
      </c>
      <c r="C511" s="31">
        <v>7</v>
      </c>
      <c r="D511" s="32" t="s">
        <v>43</v>
      </c>
      <c r="E511" s="32" t="s">
        <v>537</v>
      </c>
      <c r="F511" s="32" t="s">
        <v>270</v>
      </c>
      <c r="G511" s="32" t="s">
        <v>179</v>
      </c>
      <c r="H511" s="32" t="s">
        <v>352</v>
      </c>
      <c r="I511" s="31" t="s">
        <v>424</v>
      </c>
      <c r="J511" s="31">
        <v>10</v>
      </c>
      <c r="K511" s="33" t="s">
        <v>703</v>
      </c>
      <c r="L511" s="33" t="s">
        <v>720</v>
      </c>
      <c r="M511" s="34" t="s">
        <v>1402</v>
      </c>
      <c r="N511" s="34" t="s">
        <v>1693</v>
      </c>
      <c r="O511" s="35">
        <v>1</v>
      </c>
      <c r="P511" s="35"/>
      <c r="Q511" s="32"/>
      <c r="S511" s="1">
        <f t="shared" si="189"/>
        <v>0</v>
      </c>
      <c r="T511" s="1">
        <f t="shared" si="190"/>
        <v>0</v>
      </c>
      <c r="U511" s="1">
        <f t="shared" si="191"/>
        <v>0</v>
      </c>
      <c r="V511" s="1">
        <f t="shared" si="192"/>
        <v>0</v>
      </c>
      <c r="W511" s="1">
        <f t="shared" si="193"/>
        <v>0</v>
      </c>
      <c r="X511" s="1">
        <f t="shared" si="194"/>
        <v>0</v>
      </c>
      <c r="Y511" s="1">
        <f t="shared" si="195"/>
        <v>0</v>
      </c>
      <c r="Z511" s="1">
        <f t="shared" si="196"/>
        <v>0</v>
      </c>
      <c r="AA511" s="1">
        <f t="shared" si="197"/>
        <v>0</v>
      </c>
      <c r="AB511" s="1">
        <f t="shared" si="198"/>
        <v>1</v>
      </c>
      <c r="AD511" s="1">
        <f t="shared" si="199"/>
        <v>0</v>
      </c>
      <c r="AE511" s="1">
        <f t="shared" si="200"/>
        <v>1</v>
      </c>
      <c r="AF511" s="1">
        <f t="shared" si="201"/>
        <v>0</v>
      </c>
      <c r="AG511" s="1">
        <f t="shared" si="202"/>
        <v>0</v>
      </c>
      <c r="AH511" s="1">
        <f t="shared" si="203"/>
        <v>0</v>
      </c>
      <c r="AI511" s="1">
        <f t="shared" si="204"/>
        <v>0</v>
      </c>
    </row>
    <row r="512" spans="1:35" ht="14.25" customHeight="1" x14ac:dyDescent="0.25">
      <c r="A512" s="31">
        <v>1</v>
      </c>
      <c r="B512" s="31">
        <v>2</v>
      </c>
      <c r="C512" s="31">
        <v>7</v>
      </c>
      <c r="D512" s="32" t="s">
        <v>43</v>
      </c>
      <c r="E512" s="32" t="s">
        <v>537</v>
      </c>
      <c r="F512" s="32" t="s">
        <v>271</v>
      </c>
      <c r="G512" s="32" t="s">
        <v>39</v>
      </c>
      <c r="H512" s="32" t="s">
        <v>352</v>
      </c>
      <c r="I512" s="31" t="s">
        <v>425</v>
      </c>
      <c r="J512" s="31">
        <v>5</v>
      </c>
      <c r="K512" s="33" t="s">
        <v>703</v>
      </c>
      <c r="L512" s="33" t="s">
        <v>720</v>
      </c>
      <c r="M512" s="34" t="s">
        <v>1402</v>
      </c>
      <c r="N512" s="34" t="s">
        <v>1693</v>
      </c>
      <c r="O512" s="35">
        <v>1</v>
      </c>
      <c r="P512" s="35"/>
      <c r="Q512" s="32"/>
      <c r="S512" s="1">
        <f t="shared" si="189"/>
        <v>0</v>
      </c>
      <c r="T512" s="1">
        <f t="shared" si="190"/>
        <v>0</v>
      </c>
      <c r="U512" s="1">
        <f t="shared" si="191"/>
        <v>0</v>
      </c>
      <c r="V512" s="1">
        <f t="shared" si="192"/>
        <v>0</v>
      </c>
      <c r="W512" s="1">
        <f t="shared" si="193"/>
        <v>1</v>
      </c>
      <c r="X512" s="1">
        <f t="shared" si="194"/>
        <v>0</v>
      </c>
      <c r="Y512" s="1">
        <f t="shared" si="195"/>
        <v>0</v>
      </c>
      <c r="Z512" s="1">
        <f t="shared" si="196"/>
        <v>0</v>
      </c>
      <c r="AA512" s="1">
        <f t="shared" si="197"/>
        <v>0</v>
      </c>
      <c r="AB512" s="1">
        <f t="shared" si="198"/>
        <v>0</v>
      </c>
      <c r="AD512" s="1">
        <f t="shared" si="199"/>
        <v>0</v>
      </c>
      <c r="AE512" s="1">
        <f t="shared" si="200"/>
        <v>1</v>
      </c>
      <c r="AF512" s="1">
        <f t="shared" si="201"/>
        <v>0</v>
      </c>
      <c r="AG512" s="1">
        <f t="shared" si="202"/>
        <v>0</v>
      </c>
      <c r="AH512" s="1">
        <f t="shared" si="203"/>
        <v>0</v>
      </c>
      <c r="AI512" s="1">
        <f t="shared" si="204"/>
        <v>0</v>
      </c>
    </row>
    <row r="513" spans="1:35" ht="14.25" customHeight="1" x14ac:dyDescent="0.25">
      <c r="A513" s="31">
        <v>1</v>
      </c>
      <c r="B513" s="31">
        <v>2</v>
      </c>
      <c r="C513" s="31">
        <v>7</v>
      </c>
      <c r="D513" s="32" t="s">
        <v>43</v>
      </c>
      <c r="E513" s="32" t="s">
        <v>537</v>
      </c>
      <c r="F513" s="32" t="s">
        <v>275</v>
      </c>
      <c r="G513" s="32" t="s">
        <v>193</v>
      </c>
      <c r="H513" s="32" t="s">
        <v>352</v>
      </c>
      <c r="I513" s="31" t="s">
        <v>429</v>
      </c>
      <c r="J513" s="31">
        <v>9</v>
      </c>
      <c r="K513" s="33" t="s">
        <v>703</v>
      </c>
      <c r="L513" s="33" t="s">
        <v>720</v>
      </c>
      <c r="M513" s="34" t="s">
        <v>1402</v>
      </c>
      <c r="N513" s="34" t="s">
        <v>1693</v>
      </c>
      <c r="O513" s="35">
        <v>1</v>
      </c>
      <c r="P513" s="35"/>
      <c r="Q513" s="32"/>
      <c r="S513" s="1">
        <f t="shared" si="189"/>
        <v>0</v>
      </c>
      <c r="T513" s="1">
        <f t="shared" si="190"/>
        <v>0</v>
      </c>
      <c r="U513" s="1">
        <f t="shared" si="191"/>
        <v>0</v>
      </c>
      <c r="V513" s="1">
        <f t="shared" si="192"/>
        <v>0</v>
      </c>
      <c r="W513" s="1">
        <f t="shared" si="193"/>
        <v>0</v>
      </c>
      <c r="X513" s="1">
        <f t="shared" si="194"/>
        <v>0</v>
      </c>
      <c r="Y513" s="1">
        <f t="shared" si="195"/>
        <v>0</v>
      </c>
      <c r="Z513" s="1">
        <f t="shared" si="196"/>
        <v>0</v>
      </c>
      <c r="AA513" s="1">
        <f t="shared" si="197"/>
        <v>1</v>
      </c>
      <c r="AB513" s="1">
        <f t="shared" si="198"/>
        <v>0</v>
      </c>
      <c r="AD513" s="1">
        <f t="shared" si="199"/>
        <v>0</v>
      </c>
      <c r="AE513" s="1">
        <f t="shared" si="200"/>
        <v>1</v>
      </c>
      <c r="AF513" s="1">
        <f t="shared" si="201"/>
        <v>0</v>
      </c>
      <c r="AG513" s="1">
        <f t="shared" si="202"/>
        <v>0</v>
      </c>
      <c r="AH513" s="1">
        <f t="shared" si="203"/>
        <v>0</v>
      </c>
      <c r="AI513" s="1">
        <f t="shared" si="204"/>
        <v>0</v>
      </c>
    </row>
    <row r="514" spans="1:35" ht="14.25" customHeight="1" x14ac:dyDescent="0.25">
      <c r="A514" s="31">
        <v>0</v>
      </c>
      <c r="B514" s="31">
        <v>2</v>
      </c>
      <c r="C514" s="31">
        <v>7</v>
      </c>
      <c r="D514" s="32" t="s">
        <v>1517</v>
      </c>
      <c r="E514" s="32" t="s">
        <v>28</v>
      </c>
      <c r="F514" s="32" t="s">
        <v>1518</v>
      </c>
      <c r="G514" s="32" t="s">
        <v>237</v>
      </c>
      <c r="H514" s="32" t="s">
        <v>352</v>
      </c>
      <c r="I514" s="31" t="s">
        <v>1649</v>
      </c>
      <c r="J514" s="31">
        <v>4</v>
      </c>
      <c r="K514" s="33" t="s">
        <v>704</v>
      </c>
      <c r="L514" s="33" t="s">
        <v>704</v>
      </c>
      <c r="M514" s="34" t="s">
        <v>722</v>
      </c>
      <c r="N514" s="34" t="s">
        <v>1689</v>
      </c>
      <c r="O514" s="35">
        <v>1</v>
      </c>
      <c r="P514" s="35"/>
      <c r="Q514" s="32"/>
      <c r="S514" s="1">
        <f t="shared" si="189"/>
        <v>0</v>
      </c>
      <c r="T514" s="1">
        <f t="shared" si="190"/>
        <v>0</v>
      </c>
      <c r="U514" s="1">
        <f t="shared" si="191"/>
        <v>0</v>
      </c>
      <c r="V514" s="1">
        <f t="shared" si="192"/>
        <v>1</v>
      </c>
      <c r="W514" s="1">
        <f t="shared" si="193"/>
        <v>0</v>
      </c>
      <c r="X514" s="1">
        <f t="shared" si="194"/>
        <v>0</v>
      </c>
      <c r="Y514" s="1">
        <f t="shared" si="195"/>
        <v>0</v>
      </c>
      <c r="Z514" s="1">
        <f t="shared" si="196"/>
        <v>0</v>
      </c>
      <c r="AA514" s="1">
        <f t="shared" si="197"/>
        <v>0</v>
      </c>
      <c r="AB514" s="1">
        <f t="shared" si="198"/>
        <v>0</v>
      </c>
      <c r="AD514" s="1">
        <f t="shared" si="199"/>
        <v>0</v>
      </c>
      <c r="AE514" s="1">
        <f t="shared" si="200"/>
        <v>1</v>
      </c>
      <c r="AF514" s="1">
        <f t="shared" si="201"/>
        <v>0</v>
      </c>
      <c r="AG514" s="1">
        <f t="shared" si="202"/>
        <v>1</v>
      </c>
      <c r="AH514" s="1">
        <f t="shared" si="203"/>
        <v>0</v>
      </c>
      <c r="AI514" s="1">
        <f t="shared" si="204"/>
        <v>1</v>
      </c>
    </row>
    <row r="515" spans="1:35" ht="14.25" customHeight="1" x14ac:dyDescent="0.25">
      <c r="A515" s="31">
        <v>0</v>
      </c>
      <c r="B515" s="31">
        <v>2</v>
      </c>
      <c r="C515" s="31">
        <v>7</v>
      </c>
      <c r="D515" s="32" t="s">
        <v>63</v>
      </c>
      <c r="E515" s="32" t="s">
        <v>44</v>
      </c>
      <c r="F515" s="32" t="s">
        <v>235</v>
      </c>
      <c r="G515" s="32" t="s">
        <v>199</v>
      </c>
      <c r="H515" s="32" t="s">
        <v>352</v>
      </c>
      <c r="I515" s="31" t="s">
        <v>400</v>
      </c>
      <c r="J515" s="31">
        <v>2</v>
      </c>
      <c r="K515" s="33" t="s">
        <v>704</v>
      </c>
      <c r="L515" s="33" t="s">
        <v>713</v>
      </c>
      <c r="M515" s="34" t="s">
        <v>726</v>
      </c>
      <c r="N515" s="34" t="s">
        <v>1689</v>
      </c>
      <c r="O515" s="35">
        <v>1</v>
      </c>
      <c r="P515" s="35"/>
      <c r="Q515" s="32"/>
      <c r="S515" s="1">
        <f t="shared" si="189"/>
        <v>0</v>
      </c>
      <c r="T515" s="1">
        <f t="shared" si="190"/>
        <v>1</v>
      </c>
      <c r="U515" s="1">
        <f t="shared" si="191"/>
        <v>0</v>
      </c>
      <c r="V515" s="1">
        <f t="shared" si="192"/>
        <v>0</v>
      </c>
      <c r="W515" s="1">
        <f t="shared" si="193"/>
        <v>0</v>
      </c>
      <c r="X515" s="1">
        <f t="shared" si="194"/>
        <v>0</v>
      </c>
      <c r="Y515" s="1">
        <f t="shared" si="195"/>
        <v>0</v>
      </c>
      <c r="Z515" s="1">
        <f t="shared" si="196"/>
        <v>0</v>
      </c>
      <c r="AA515" s="1">
        <f t="shared" si="197"/>
        <v>0</v>
      </c>
      <c r="AB515" s="1">
        <f t="shared" si="198"/>
        <v>0</v>
      </c>
      <c r="AD515" s="1">
        <f t="shared" si="199"/>
        <v>0</v>
      </c>
      <c r="AE515" s="1">
        <f t="shared" si="200"/>
        <v>1</v>
      </c>
      <c r="AF515" s="1">
        <f t="shared" si="201"/>
        <v>0</v>
      </c>
      <c r="AG515" s="1">
        <f t="shared" si="202"/>
        <v>1</v>
      </c>
      <c r="AH515" s="1">
        <f t="shared" si="203"/>
        <v>0</v>
      </c>
      <c r="AI515" s="1">
        <f t="shared" si="204"/>
        <v>1</v>
      </c>
    </row>
    <row r="516" spans="1:35" ht="14.25" customHeight="1" x14ac:dyDescent="0.25">
      <c r="A516" s="15"/>
      <c r="B516" s="15"/>
      <c r="C516" s="15"/>
      <c r="D516" s="20"/>
      <c r="E516" s="20"/>
      <c r="F516" s="20"/>
      <c r="G516" s="20"/>
      <c r="H516" s="20"/>
      <c r="I516" s="21"/>
      <c r="J516" s="15"/>
      <c r="K516" s="21"/>
      <c r="M516" s="19"/>
      <c r="N516" s="17"/>
      <c r="Q516" s="20"/>
    </row>
    <row r="517" spans="1:35" ht="14.25" customHeight="1" x14ac:dyDescent="0.25">
      <c r="A517" s="15"/>
      <c r="B517" s="15"/>
      <c r="C517" s="15"/>
      <c r="D517" s="20"/>
      <c r="E517" s="20"/>
      <c r="F517" s="20"/>
      <c r="G517" s="20"/>
      <c r="H517" s="20"/>
      <c r="I517" s="21"/>
      <c r="J517" s="15"/>
      <c r="K517" s="21"/>
      <c r="M517" s="19"/>
      <c r="N517" s="17"/>
      <c r="Q517" s="20"/>
    </row>
    <row r="518" spans="1:35" ht="14.25" customHeight="1" x14ac:dyDescent="0.25">
      <c r="A518" s="15"/>
      <c r="B518" s="15"/>
      <c r="C518" s="15"/>
      <c r="D518" s="20"/>
      <c r="E518" s="20"/>
      <c r="F518" s="20"/>
      <c r="G518" s="20"/>
      <c r="H518" s="20"/>
      <c r="I518" s="21"/>
      <c r="J518" s="15"/>
      <c r="K518" s="21"/>
      <c r="M518" s="19"/>
      <c r="N518" s="17"/>
      <c r="Q518" s="20"/>
    </row>
    <row r="519" spans="1:35" ht="14.25" customHeight="1" x14ac:dyDescent="0.25">
      <c r="A519" s="15"/>
      <c r="B519" s="15"/>
      <c r="C519" s="15"/>
      <c r="D519" s="20"/>
      <c r="E519" s="20"/>
      <c r="F519" s="20"/>
      <c r="G519" s="20"/>
      <c r="H519" s="20"/>
      <c r="I519" s="21"/>
      <c r="J519" s="15"/>
      <c r="K519" s="21"/>
      <c r="M519" s="19"/>
      <c r="N519" s="17"/>
      <c r="Q519" s="20"/>
    </row>
    <row r="520" spans="1:35" ht="14.25" customHeight="1" x14ac:dyDescent="0.25">
      <c r="A520" s="15"/>
      <c r="B520" s="15"/>
      <c r="C520" s="15"/>
      <c r="D520" s="20"/>
      <c r="E520" s="20"/>
      <c r="F520" s="20"/>
      <c r="G520" s="20"/>
      <c r="H520" s="20"/>
      <c r="I520" s="21"/>
      <c r="J520" s="15"/>
      <c r="K520" s="21"/>
      <c r="M520" s="19"/>
      <c r="N520" s="17"/>
      <c r="Q520" s="20"/>
    </row>
    <row r="521" spans="1:35" ht="14.25" customHeight="1" x14ac:dyDescent="0.25">
      <c r="A521" s="15"/>
      <c r="B521" s="15"/>
      <c r="C521" s="15"/>
      <c r="D521" s="20"/>
      <c r="E521" s="20"/>
      <c r="F521" s="20"/>
      <c r="G521" s="20"/>
      <c r="H521" s="20"/>
      <c r="I521" s="21"/>
      <c r="J521" s="15"/>
      <c r="K521" s="21"/>
      <c r="M521" s="19"/>
      <c r="N521" s="17"/>
      <c r="Q521" s="20"/>
    </row>
    <row r="522" spans="1:35" ht="14.25" customHeight="1" x14ac:dyDescent="0.25">
      <c r="A522" s="15"/>
      <c r="B522" s="15"/>
      <c r="C522" s="15"/>
      <c r="D522" s="20"/>
      <c r="E522" s="20"/>
      <c r="F522" s="20"/>
      <c r="G522" s="20"/>
      <c r="H522" s="20"/>
      <c r="I522" s="21"/>
      <c r="J522" s="15"/>
      <c r="K522" s="21"/>
      <c r="M522" s="19"/>
      <c r="N522" s="17"/>
      <c r="Q522" s="20"/>
    </row>
    <row r="523" spans="1:35" ht="14.25" customHeight="1" x14ac:dyDescent="0.25">
      <c r="A523" s="15"/>
      <c r="B523" s="15"/>
      <c r="C523" s="15"/>
      <c r="D523" s="20"/>
      <c r="E523" s="20"/>
      <c r="F523" s="20"/>
      <c r="G523" s="20"/>
      <c r="H523" s="20"/>
      <c r="I523" s="21"/>
      <c r="J523" s="15"/>
      <c r="K523" s="21"/>
      <c r="M523" s="19"/>
      <c r="N523" s="17"/>
      <c r="Q523" s="20"/>
    </row>
    <row r="524" spans="1:35" ht="14.25" customHeight="1" x14ac:dyDescent="0.25">
      <c r="A524" s="15"/>
      <c r="B524" s="15"/>
      <c r="C524" s="15"/>
      <c r="D524" s="20"/>
      <c r="E524" s="20"/>
      <c r="F524" s="20"/>
      <c r="G524" s="20"/>
      <c r="H524" s="20"/>
      <c r="I524" s="21"/>
      <c r="J524" s="15"/>
      <c r="K524" s="21"/>
      <c r="M524" s="19"/>
      <c r="N524" s="17"/>
      <c r="Q524" s="20"/>
    </row>
    <row r="525" spans="1:35" ht="14.25" customHeight="1" x14ac:dyDescent="0.25">
      <c r="A525" s="15"/>
      <c r="B525" s="15"/>
      <c r="C525" s="15"/>
      <c r="D525" s="20"/>
      <c r="E525" s="20"/>
      <c r="F525" s="20"/>
      <c r="G525" s="20"/>
      <c r="H525" s="20"/>
      <c r="I525" s="21"/>
      <c r="J525" s="15"/>
      <c r="K525" s="21"/>
      <c r="M525" s="19"/>
      <c r="N525" s="17"/>
      <c r="Q525" s="20"/>
    </row>
    <row r="526" spans="1:35" ht="14.25" customHeight="1" x14ac:dyDescent="0.25">
      <c r="A526" s="15"/>
      <c r="B526" s="15"/>
      <c r="C526" s="15"/>
      <c r="D526" s="20"/>
      <c r="E526" s="20"/>
      <c r="F526" s="20"/>
      <c r="G526" s="20"/>
      <c r="H526" s="20"/>
      <c r="I526" s="21"/>
      <c r="J526" s="15"/>
      <c r="K526" s="21"/>
      <c r="M526" s="19"/>
      <c r="N526" s="17"/>
      <c r="Q526" s="20"/>
    </row>
    <row r="527" spans="1:35" ht="14.25" customHeight="1" x14ac:dyDescent="0.25">
      <c r="A527" s="15"/>
      <c r="B527" s="15"/>
      <c r="C527" s="15"/>
      <c r="D527" s="20"/>
      <c r="E527" s="20"/>
      <c r="F527" s="20"/>
      <c r="G527" s="20"/>
      <c r="H527" s="20"/>
      <c r="I527" s="21"/>
      <c r="J527" s="15"/>
      <c r="K527" s="21"/>
      <c r="M527" s="19"/>
      <c r="N527" s="17"/>
      <c r="Q527" s="20"/>
    </row>
    <row r="528" spans="1:35" ht="14.25" customHeight="1" x14ac:dyDescent="0.25">
      <c r="A528" s="15"/>
      <c r="B528" s="15"/>
      <c r="C528" s="15"/>
      <c r="D528" s="20"/>
      <c r="E528" s="20"/>
      <c r="F528" s="20"/>
      <c r="G528" s="20"/>
      <c r="H528" s="20"/>
      <c r="I528" s="21"/>
      <c r="J528" s="15"/>
      <c r="K528" s="21"/>
      <c r="M528" s="19"/>
      <c r="N528" s="17"/>
      <c r="Q528" s="20"/>
    </row>
    <row r="529" spans="1:17" ht="14.25" customHeight="1" x14ac:dyDescent="0.25">
      <c r="A529" s="15"/>
      <c r="B529" s="15"/>
      <c r="C529" s="15"/>
      <c r="D529" s="20"/>
      <c r="E529" s="20"/>
      <c r="F529" s="20"/>
      <c r="G529" s="20"/>
      <c r="H529" s="20"/>
      <c r="I529" s="21"/>
      <c r="J529" s="15"/>
      <c r="K529" s="21"/>
      <c r="M529" s="19"/>
      <c r="N529" s="17"/>
      <c r="Q529" s="20"/>
    </row>
    <row r="530" spans="1:17" ht="14.25" customHeight="1" x14ac:dyDescent="0.25">
      <c r="A530" s="15"/>
      <c r="B530" s="15"/>
      <c r="C530" s="15"/>
      <c r="D530" s="20"/>
      <c r="E530" s="20"/>
      <c r="F530" s="20"/>
      <c r="G530" s="20"/>
      <c r="H530" s="20"/>
      <c r="I530" s="21"/>
      <c r="J530" s="15"/>
      <c r="K530" s="21"/>
      <c r="M530" s="19"/>
      <c r="N530" s="17"/>
      <c r="Q530" s="20"/>
    </row>
    <row r="531" spans="1:17" ht="14.25" customHeight="1" x14ac:dyDescent="0.25">
      <c r="A531" s="15"/>
      <c r="B531" s="15"/>
      <c r="C531" s="15"/>
      <c r="D531" s="20"/>
      <c r="E531" s="20"/>
      <c r="F531" s="20"/>
      <c r="G531" s="20"/>
      <c r="H531" s="20"/>
      <c r="I531" s="21"/>
      <c r="J531" s="15"/>
      <c r="K531" s="21"/>
      <c r="M531" s="19"/>
      <c r="N531" s="17"/>
      <c r="Q531" s="20"/>
    </row>
    <row r="532" spans="1:17" ht="14.25" customHeight="1" x14ac:dyDescent="0.25">
      <c r="A532" s="15"/>
      <c r="B532" s="15"/>
      <c r="C532" s="15"/>
      <c r="D532" s="20"/>
      <c r="E532" s="20"/>
      <c r="F532" s="20"/>
      <c r="G532" s="20"/>
      <c r="H532" s="20"/>
      <c r="I532" s="21"/>
      <c r="J532" s="15"/>
      <c r="K532" s="21"/>
      <c r="M532" s="19"/>
      <c r="N532" s="17"/>
      <c r="Q532" s="20"/>
    </row>
    <row r="533" spans="1:17" ht="14.25" customHeight="1" x14ac:dyDescent="0.25">
      <c r="A533" s="15"/>
      <c r="B533" s="15"/>
      <c r="C533" s="15"/>
      <c r="D533" s="20"/>
      <c r="E533" s="20"/>
      <c r="F533" s="20"/>
      <c r="G533" s="20"/>
      <c r="H533" s="20"/>
      <c r="I533" s="21"/>
      <c r="J533" s="15"/>
      <c r="K533" s="21"/>
      <c r="M533" s="19"/>
      <c r="N533" s="17"/>
      <c r="Q533" s="20"/>
    </row>
    <row r="534" spans="1:17" ht="14.25" customHeight="1" x14ac:dyDescent="0.25">
      <c r="A534" s="15"/>
      <c r="B534" s="15"/>
      <c r="C534" s="15"/>
      <c r="D534" s="20"/>
      <c r="E534" s="20"/>
      <c r="F534" s="20"/>
      <c r="G534" s="20"/>
      <c r="H534" s="20"/>
      <c r="I534" s="21"/>
      <c r="J534" s="15"/>
      <c r="K534" s="21"/>
      <c r="M534" s="19"/>
      <c r="N534" s="17"/>
      <c r="Q534" s="20"/>
    </row>
    <row r="535" spans="1:17" ht="14.25" customHeight="1" x14ac:dyDescent="0.25">
      <c r="A535" s="15"/>
      <c r="B535" s="15"/>
      <c r="C535" s="15"/>
      <c r="D535" s="20"/>
      <c r="E535" s="20"/>
      <c r="F535" s="20"/>
      <c r="G535" s="20"/>
      <c r="H535" s="20"/>
      <c r="I535" s="21"/>
      <c r="J535" s="15"/>
      <c r="K535" s="21"/>
      <c r="M535" s="19"/>
      <c r="N535" s="17"/>
      <c r="Q535" s="20"/>
    </row>
    <row r="536" spans="1:17" ht="14.25" customHeight="1" x14ac:dyDescent="0.25">
      <c r="A536" s="15"/>
      <c r="B536" s="15"/>
      <c r="C536" s="15"/>
      <c r="D536" s="20"/>
      <c r="E536" s="20"/>
      <c r="F536" s="20"/>
      <c r="G536" s="20"/>
      <c r="H536" s="20"/>
      <c r="I536" s="21"/>
      <c r="J536" s="15"/>
      <c r="K536" s="21"/>
      <c r="M536" s="19"/>
      <c r="N536" s="17"/>
      <c r="Q536" s="20"/>
    </row>
    <row r="537" spans="1:17" ht="14.25" customHeight="1" x14ac:dyDescent="0.25">
      <c r="A537" s="15"/>
      <c r="B537" s="15"/>
      <c r="C537" s="15"/>
      <c r="D537" s="20"/>
      <c r="E537" s="20"/>
      <c r="F537" s="20"/>
      <c r="G537" s="20"/>
      <c r="H537" s="20"/>
      <c r="I537" s="21"/>
      <c r="J537" s="15"/>
      <c r="K537" s="21"/>
      <c r="M537" s="19"/>
      <c r="N537" s="17"/>
      <c r="Q537" s="20"/>
    </row>
    <row r="538" spans="1:17" ht="14.25" customHeight="1" x14ac:dyDescent="0.25">
      <c r="A538" s="15"/>
      <c r="B538" s="15"/>
      <c r="C538" s="15"/>
      <c r="D538" s="20"/>
      <c r="E538" s="20"/>
      <c r="F538" s="20"/>
      <c r="G538" s="20"/>
      <c r="H538" s="20"/>
      <c r="I538" s="21"/>
      <c r="J538" s="15"/>
      <c r="K538" s="21"/>
      <c r="M538" s="19"/>
      <c r="N538" s="17"/>
      <c r="Q538" s="20"/>
    </row>
    <row r="539" spans="1:17" ht="14.25" customHeight="1" x14ac:dyDescent="0.25">
      <c r="A539" s="15"/>
      <c r="B539" s="15"/>
      <c r="C539" s="15"/>
      <c r="D539" s="20"/>
      <c r="E539" s="20"/>
      <c r="F539" s="20"/>
      <c r="G539" s="20"/>
      <c r="H539" s="20"/>
      <c r="I539" s="21"/>
      <c r="J539" s="15"/>
      <c r="K539" s="21"/>
      <c r="M539" s="19"/>
      <c r="N539" s="17"/>
      <c r="Q539" s="20"/>
    </row>
    <row r="540" spans="1:17" ht="14.25" customHeight="1" x14ac:dyDescent="0.25">
      <c r="A540" s="15"/>
      <c r="B540" s="15"/>
      <c r="C540" s="15"/>
      <c r="D540" s="20"/>
      <c r="E540" s="20"/>
      <c r="F540" s="20"/>
      <c r="G540" s="20"/>
      <c r="H540" s="20"/>
      <c r="I540" s="21"/>
      <c r="J540" s="15"/>
      <c r="K540" s="21"/>
      <c r="M540" s="19"/>
      <c r="N540" s="17"/>
      <c r="Q540" s="20"/>
    </row>
    <row r="541" spans="1:17" ht="14.25" customHeight="1" x14ac:dyDescent="0.25">
      <c r="A541" s="15"/>
      <c r="B541" s="15"/>
      <c r="C541" s="15"/>
      <c r="D541" s="20"/>
      <c r="E541" s="20"/>
      <c r="F541" s="20"/>
      <c r="G541" s="20"/>
      <c r="H541" s="20"/>
      <c r="I541" s="21"/>
      <c r="J541" s="15"/>
      <c r="K541" s="21"/>
      <c r="M541" s="19"/>
      <c r="N541" s="17"/>
      <c r="Q541" s="20"/>
    </row>
    <row r="542" spans="1:17" ht="14.25" customHeight="1" x14ac:dyDescent="0.25">
      <c r="A542" s="15"/>
      <c r="B542" s="15"/>
      <c r="C542" s="15"/>
      <c r="D542" s="20"/>
      <c r="E542" s="20"/>
      <c r="F542" s="20"/>
      <c r="G542" s="20"/>
      <c r="H542" s="20"/>
      <c r="I542" s="21"/>
      <c r="J542" s="15"/>
      <c r="K542" s="21"/>
      <c r="M542" s="19"/>
      <c r="N542" s="17"/>
      <c r="Q542" s="20"/>
    </row>
    <row r="543" spans="1:17" ht="14.25" customHeight="1" x14ac:dyDescent="0.25">
      <c r="A543" s="15"/>
      <c r="B543" s="15"/>
      <c r="C543" s="15"/>
      <c r="D543" s="20"/>
      <c r="E543" s="20"/>
      <c r="F543" s="20"/>
      <c r="G543" s="20"/>
      <c r="H543" s="20"/>
      <c r="I543" s="21"/>
      <c r="J543" s="15"/>
      <c r="K543" s="21"/>
      <c r="M543" s="19"/>
      <c r="N543" s="17"/>
      <c r="Q543" s="20"/>
    </row>
    <row r="544" spans="1:17" ht="14.25" customHeight="1" x14ac:dyDescent="0.25">
      <c r="A544" s="15"/>
      <c r="B544" s="15"/>
      <c r="C544" s="15"/>
      <c r="D544" s="20"/>
      <c r="E544" s="20"/>
      <c r="F544" s="20"/>
      <c r="G544" s="20"/>
      <c r="H544" s="20"/>
      <c r="I544" s="21"/>
      <c r="J544" s="15"/>
      <c r="K544" s="21"/>
      <c r="M544" s="19"/>
      <c r="N544" s="17"/>
      <c r="Q544" s="20"/>
    </row>
    <row r="545" spans="1:17" ht="14.25" customHeight="1" x14ac:dyDescent="0.25">
      <c r="A545" s="15"/>
      <c r="B545" s="15"/>
      <c r="C545" s="15"/>
      <c r="D545" s="20"/>
      <c r="E545" s="20"/>
      <c r="F545" s="20"/>
      <c r="G545" s="20"/>
      <c r="H545" s="20"/>
      <c r="I545" s="21"/>
      <c r="J545" s="15"/>
      <c r="K545" s="21"/>
      <c r="M545" s="19"/>
      <c r="N545" s="17"/>
      <c r="Q545" s="20"/>
    </row>
    <row r="546" spans="1:17" ht="14.25" customHeight="1" x14ac:dyDescent="0.25">
      <c r="A546" s="15"/>
      <c r="B546" s="15"/>
      <c r="C546" s="15"/>
      <c r="D546" s="20"/>
      <c r="E546" s="20"/>
      <c r="F546" s="20"/>
      <c r="G546" s="20"/>
      <c r="H546" s="20"/>
      <c r="I546" s="21"/>
      <c r="J546" s="15"/>
      <c r="K546" s="21"/>
      <c r="M546" s="19"/>
      <c r="N546" s="17"/>
      <c r="Q546" s="20"/>
    </row>
    <row r="547" spans="1:17" ht="14.25" customHeight="1" x14ac:dyDescent="0.25">
      <c r="A547" s="15"/>
      <c r="B547" s="15"/>
      <c r="C547" s="15"/>
      <c r="D547" s="20"/>
      <c r="E547" s="20"/>
      <c r="F547" s="20"/>
      <c r="G547" s="20"/>
      <c r="H547" s="20"/>
      <c r="I547" s="21"/>
      <c r="J547" s="15"/>
      <c r="K547" s="21"/>
      <c r="M547" s="19"/>
      <c r="N547" s="17"/>
      <c r="Q547" s="20"/>
    </row>
    <row r="548" spans="1:17" ht="14.25" customHeight="1" x14ac:dyDescent="0.25">
      <c r="A548" s="15"/>
      <c r="B548" s="15"/>
      <c r="C548" s="15"/>
      <c r="D548" s="20"/>
      <c r="E548" s="20"/>
      <c r="F548" s="20"/>
      <c r="G548" s="20"/>
      <c r="H548" s="20"/>
      <c r="I548" s="21"/>
      <c r="J548" s="15"/>
      <c r="K548" s="21"/>
      <c r="M548" s="19"/>
      <c r="N548" s="17"/>
      <c r="Q548" s="20"/>
    </row>
    <row r="549" spans="1:17" ht="14.25" customHeight="1" x14ac:dyDescent="0.25">
      <c r="A549" s="15"/>
      <c r="B549" s="15"/>
      <c r="C549" s="15"/>
      <c r="D549" s="20"/>
      <c r="E549" s="20"/>
      <c r="F549" s="20"/>
      <c r="G549" s="20"/>
      <c r="H549" s="20"/>
      <c r="I549" s="21"/>
      <c r="J549" s="15"/>
      <c r="K549" s="21"/>
      <c r="M549" s="19"/>
      <c r="N549" s="17"/>
      <c r="Q549" s="20"/>
    </row>
    <row r="550" spans="1:17" ht="14.25" customHeight="1" x14ac:dyDescent="0.25">
      <c r="A550" s="15"/>
      <c r="B550" s="15"/>
      <c r="C550" s="15"/>
      <c r="D550" s="20"/>
      <c r="E550" s="20"/>
      <c r="F550" s="20"/>
      <c r="G550" s="20"/>
      <c r="H550" s="20"/>
      <c r="I550" s="21"/>
      <c r="J550" s="15"/>
      <c r="K550" s="21"/>
      <c r="M550" s="19"/>
      <c r="N550" s="17"/>
      <c r="Q550" s="20"/>
    </row>
    <row r="551" spans="1:17" ht="14.25" customHeight="1" x14ac:dyDescent="0.25">
      <c r="A551" s="15"/>
      <c r="B551" s="15"/>
      <c r="C551" s="15"/>
      <c r="D551" s="20"/>
      <c r="E551" s="20"/>
      <c r="F551" s="20"/>
      <c r="G551" s="20"/>
      <c r="H551" s="20"/>
      <c r="I551" s="21"/>
      <c r="J551" s="15"/>
      <c r="K551" s="21"/>
      <c r="M551" s="19"/>
      <c r="N551" s="17"/>
      <c r="Q551" s="20"/>
    </row>
    <row r="552" spans="1:17" ht="14.25" customHeight="1" x14ac:dyDescent="0.25">
      <c r="A552" s="15"/>
      <c r="B552" s="15"/>
      <c r="C552" s="15"/>
      <c r="D552" s="20"/>
      <c r="E552" s="20"/>
      <c r="F552" s="20"/>
      <c r="G552" s="20"/>
      <c r="H552" s="20"/>
      <c r="I552" s="21"/>
      <c r="J552" s="15"/>
      <c r="K552" s="21"/>
      <c r="M552" s="19"/>
      <c r="N552" s="17"/>
      <c r="Q552" s="20"/>
    </row>
    <row r="553" spans="1:17" ht="14.25" customHeight="1" x14ac:dyDescent="0.25">
      <c r="A553" s="15"/>
      <c r="B553" s="15"/>
      <c r="C553" s="15"/>
      <c r="D553" s="20"/>
      <c r="E553" s="20"/>
      <c r="F553" s="20"/>
      <c r="G553" s="20"/>
      <c r="H553" s="20"/>
      <c r="I553" s="21"/>
      <c r="J553" s="15"/>
      <c r="K553" s="21"/>
      <c r="M553" s="19"/>
      <c r="N553" s="17"/>
      <c r="Q553" s="20"/>
    </row>
    <row r="554" spans="1:17" ht="14.25" customHeight="1" x14ac:dyDescent="0.25">
      <c r="A554" s="15"/>
      <c r="B554" s="15"/>
      <c r="C554" s="15"/>
      <c r="D554" s="20"/>
      <c r="E554" s="20"/>
      <c r="F554" s="20"/>
      <c r="G554" s="20"/>
      <c r="H554" s="20"/>
      <c r="I554" s="21"/>
      <c r="J554" s="15"/>
      <c r="K554" s="21"/>
      <c r="M554" s="19"/>
      <c r="N554" s="17"/>
      <c r="Q554" s="20"/>
    </row>
    <row r="555" spans="1:17" ht="14.25" customHeight="1" x14ac:dyDescent="0.25">
      <c r="A555" s="15"/>
      <c r="B555" s="15"/>
      <c r="C555" s="15"/>
      <c r="D555" s="20"/>
      <c r="E555" s="20"/>
      <c r="F555" s="20"/>
      <c r="G555" s="20"/>
      <c r="H555" s="20"/>
      <c r="I555" s="21"/>
      <c r="J555" s="15"/>
      <c r="K555" s="21"/>
      <c r="M555" s="19"/>
      <c r="N555" s="17"/>
      <c r="Q555" s="20"/>
    </row>
    <row r="556" spans="1:17" ht="14.25" customHeight="1" x14ac:dyDescent="0.25">
      <c r="A556" s="15"/>
      <c r="B556" s="15"/>
      <c r="C556" s="15"/>
      <c r="D556" s="20"/>
      <c r="E556" s="20"/>
      <c r="F556" s="20"/>
      <c r="G556" s="20"/>
      <c r="H556" s="20"/>
      <c r="I556" s="21"/>
      <c r="J556" s="15"/>
      <c r="K556" s="21"/>
      <c r="M556" s="19"/>
      <c r="N556" s="17"/>
      <c r="Q556" s="20"/>
    </row>
    <row r="557" spans="1:17" ht="14.25" customHeight="1" x14ac:dyDescent="0.25">
      <c r="A557" s="15"/>
      <c r="B557" s="15"/>
      <c r="C557" s="15"/>
      <c r="D557" s="20"/>
      <c r="E557" s="20"/>
      <c r="F557" s="20"/>
      <c r="G557" s="20"/>
      <c r="H557" s="20"/>
      <c r="I557" s="21"/>
      <c r="J557" s="15"/>
      <c r="K557" s="21"/>
      <c r="M557" s="19"/>
      <c r="N557" s="17"/>
      <c r="Q557" s="20"/>
    </row>
    <row r="558" spans="1:17" ht="14.25" customHeight="1" x14ac:dyDescent="0.25">
      <c r="A558" s="15"/>
      <c r="B558" s="15"/>
      <c r="C558" s="15"/>
      <c r="D558" s="20"/>
      <c r="E558" s="20"/>
      <c r="F558" s="20"/>
      <c r="G558" s="20"/>
      <c r="H558" s="20"/>
      <c r="I558" s="21"/>
      <c r="J558" s="15"/>
      <c r="K558" s="21"/>
      <c r="M558" s="19"/>
      <c r="N558" s="17"/>
      <c r="Q558" s="20"/>
    </row>
    <row r="559" spans="1:17" ht="14.25" customHeight="1" x14ac:dyDescent="0.25">
      <c r="A559" s="15"/>
      <c r="B559" s="15"/>
      <c r="C559" s="15"/>
      <c r="D559" s="20"/>
      <c r="E559" s="20"/>
      <c r="F559" s="20"/>
      <c r="G559" s="20"/>
      <c r="H559" s="20"/>
      <c r="I559" s="21"/>
      <c r="J559" s="15"/>
      <c r="K559" s="21"/>
      <c r="M559" s="19"/>
      <c r="N559" s="17"/>
      <c r="Q559" s="20"/>
    </row>
    <row r="560" spans="1:17" ht="14.25" customHeight="1" x14ac:dyDescent="0.25">
      <c r="A560" s="15"/>
      <c r="B560" s="15"/>
      <c r="C560" s="15"/>
      <c r="D560" s="20"/>
      <c r="E560" s="20"/>
      <c r="F560" s="20"/>
      <c r="G560" s="20"/>
      <c r="H560" s="20"/>
      <c r="I560" s="21"/>
      <c r="J560" s="15"/>
      <c r="K560" s="21"/>
      <c r="M560" s="19"/>
      <c r="N560" s="17"/>
      <c r="Q560" s="20"/>
    </row>
    <row r="561" spans="1:17" ht="14.25" customHeight="1" x14ac:dyDescent="0.25">
      <c r="A561" s="15"/>
      <c r="B561" s="15"/>
      <c r="C561" s="15"/>
      <c r="D561" s="20"/>
      <c r="E561" s="20"/>
      <c r="F561" s="20"/>
      <c r="G561" s="20"/>
      <c r="H561" s="20"/>
      <c r="I561" s="21"/>
      <c r="J561" s="15"/>
      <c r="K561" s="21"/>
      <c r="M561" s="19"/>
      <c r="N561" s="17"/>
      <c r="Q561" s="20"/>
    </row>
    <row r="562" spans="1:17" ht="14.25" customHeight="1" x14ac:dyDescent="0.25">
      <c r="A562" s="15"/>
      <c r="B562" s="15"/>
      <c r="C562" s="15"/>
      <c r="D562" s="20"/>
      <c r="E562" s="20"/>
      <c r="F562" s="20"/>
      <c r="G562" s="20"/>
      <c r="H562" s="20"/>
      <c r="I562" s="21"/>
      <c r="J562" s="15"/>
      <c r="K562" s="21"/>
      <c r="M562" s="19"/>
      <c r="N562" s="17"/>
      <c r="Q562" s="20"/>
    </row>
    <row r="563" spans="1:17" ht="14.25" customHeight="1" x14ac:dyDescent="0.25">
      <c r="A563" s="15"/>
      <c r="B563" s="15"/>
      <c r="C563" s="15"/>
      <c r="D563" s="20"/>
      <c r="E563" s="20"/>
      <c r="F563" s="20"/>
      <c r="G563" s="20"/>
      <c r="H563" s="20"/>
      <c r="I563" s="21"/>
      <c r="J563" s="15"/>
      <c r="K563" s="21"/>
      <c r="M563" s="19"/>
      <c r="N563" s="17"/>
      <c r="Q563" s="20"/>
    </row>
    <row r="564" spans="1:17" ht="14.25" customHeight="1" x14ac:dyDescent="0.25">
      <c r="A564" s="15"/>
      <c r="B564" s="15"/>
      <c r="C564" s="15"/>
      <c r="D564" s="20"/>
      <c r="E564" s="20"/>
      <c r="F564" s="20"/>
      <c r="G564" s="20"/>
      <c r="H564" s="20"/>
      <c r="I564" s="21"/>
      <c r="J564" s="15"/>
      <c r="K564" s="21"/>
      <c r="M564" s="19"/>
      <c r="N564" s="17"/>
      <c r="Q564" s="20"/>
    </row>
    <row r="565" spans="1:17" ht="14.25" customHeight="1" x14ac:dyDescent="0.25">
      <c r="A565" s="15"/>
      <c r="B565" s="15"/>
      <c r="C565" s="15"/>
      <c r="D565" s="20"/>
      <c r="E565" s="20"/>
      <c r="F565" s="20"/>
      <c r="G565" s="20"/>
      <c r="H565" s="20"/>
      <c r="I565" s="21"/>
      <c r="J565" s="15"/>
      <c r="K565" s="21"/>
      <c r="M565" s="19"/>
      <c r="N565" s="17"/>
      <c r="Q565" s="20"/>
    </row>
    <row r="566" spans="1:17" ht="14.25" customHeight="1" x14ac:dyDescent="0.25">
      <c r="A566" s="15"/>
      <c r="B566" s="15"/>
      <c r="C566" s="15"/>
      <c r="D566" s="20"/>
      <c r="E566" s="20"/>
      <c r="F566" s="20"/>
      <c r="G566" s="20"/>
      <c r="H566" s="20"/>
      <c r="I566" s="21"/>
      <c r="J566" s="15"/>
      <c r="K566" s="21"/>
      <c r="M566" s="19"/>
      <c r="N566" s="17"/>
      <c r="Q566" s="20"/>
    </row>
    <row r="567" spans="1:17" ht="14.25" customHeight="1" x14ac:dyDescent="0.25">
      <c r="A567" s="15"/>
      <c r="B567" s="15"/>
      <c r="C567" s="15"/>
      <c r="D567" s="20"/>
      <c r="E567" s="20"/>
      <c r="F567" s="20"/>
      <c r="G567" s="20"/>
      <c r="H567" s="20"/>
      <c r="I567" s="21"/>
      <c r="J567" s="15"/>
      <c r="K567" s="21"/>
      <c r="M567" s="19"/>
      <c r="N567" s="17"/>
      <c r="Q567" s="20"/>
    </row>
    <row r="568" spans="1:17" ht="14.25" customHeight="1" x14ac:dyDescent="0.25">
      <c r="A568" s="15"/>
      <c r="B568" s="15"/>
      <c r="C568" s="15"/>
      <c r="D568" s="20"/>
      <c r="E568" s="20"/>
      <c r="F568" s="20"/>
      <c r="G568" s="20"/>
      <c r="H568" s="20"/>
      <c r="I568" s="21"/>
      <c r="J568" s="15"/>
      <c r="K568" s="21"/>
      <c r="M568" s="19"/>
      <c r="N568" s="17"/>
      <c r="Q568" s="20"/>
    </row>
    <row r="569" spans="1:17" ht="14.25" customHeight="1" x14ac:dyDescent="0.25">
      <c r="A569" s="15"/>
      <c r="B569" s="15"/>
      <c r="C569" s="15"/>
      <c r="D569" s="20"/>
      <c r="E569" s="20"/>
      <c r="F569" s="20"/>
      <c r="G569" s="20"/>
      <c r="H569" s="20"/>
      <c r="I569" s="21"/>
      <c r="J569" s="15"/>
      <c r="K569" s="21"/>
      <c r="M569" s="19"/>
      <c r="N569" s="17"/>
      <c r="Q569" s="20"/>
    </row>
    <row r="570" spans="1:17" ht="14.25" customHeight="1" x14ac:dyDescent="0.25">
      <c r="A570" s="15"/>
      <c r="B570" s="15"/>
      <c r="C570" s="15"/>
      <c r="D570" s="20"/>
      <c r="E570" s="20"/>
      <c r="F570" s="20"/>
      <c r="G570" s="20"/>
      <c r="H570" s="20"/>
      <c r="I570" s="21"/>
      <c r="J570" s="15"/>
      <c r="K570" s="21"/>
      <c r="M570" s="19"/>
      <c r="N570" s="17"/>
      <c r="Q570" s="20"/>
    </row>
    <row r="571" spans="1:17" ht="14.25" customHeight="1" x14ac:dyDescent="0.25">
      <c r="A571" s="15"/>
      <c r="B571" s="15"/>
      <c r="C571" s="15"/>
      <c r="D571" s="20"/>
      <c r="E571" s="20"/>
      <c r="F571" s="20"/>
      <c r="G571" s="20"/>
      <c r="H571" s="20"/>
      <c r="I571" s="21"/>
      <c r="J571" s="15"/>
      <c r="K571" s="21"/>
      <c r="M571" s="19"/>
      <c r="N571" s="17"/>
      <c r="Q571" s="20"/>
    </row>
    <row r="572" spans="1:17" ht="14.25" customHeight="1" x14ac:dyDescent="0.25">
      <c r="A572" s="15"/>
      <c r="B572" s="15"/>
      <c r="C572" s="15"/>
      <c r="D572" s="20"/>
      <c r="E572" s="20"/>
      <c r="F572" s="20"/>
      <c r="G572" s="20"/>
      <c r="H572" s="20"/>
      <c r="I572" s="21"/>
      <c r="J572" s="15"/>
      <c r="K572" s="21"/>
      <c r="M572" s="19"/>
      <c r="N572" s="17"/>
      <c r="Q572" s="20"/>
    </row>
    <row r="573" spans="1:17" ht="14.25" customHeight="1" x14ac:dyDescent="0.25">
      <c r="A573" s="15"/>
      <c r="B573" s="15"/>
      <c r="C573" s="15"/>
      <c r="D573" s="20"/>
      <c r="E573" s="20"/>
      <c r="F573" s="20"/>
      <c r="G573" s="20"/>
      <c r="H573" s="20"/>
      <c r="I573" s="21"/>
      <c r="J573" s="15"/>
      <c r="K573" s="21"/>
      <c r="M573" s="19"/>
      <c r="N573" s="17"/>
      <c r="Q573" s="20"/>
    </row>
    <row r="574" spans="1:17" ht="14.25" customHeight="1" x14ac:dyDescent="0.25">
      <c r="A574" s="15"/>
      <c r="B574" s="15"/>
      <c r="C574" s="15"/>
      <c r="D574" s="20"/>
      <c r="E574" s="20"/>
      <c r="F574" s="20"/>
      <c r="G574" s="20"/>
      <c r="H574" s="20"/>
      <c r="I574" s="21"/>
      <c r="J574" s="15"/>
      <c r="K574" s="21"/>
      <c r="M574" s="19"/>
      <c r="N574" s="17"/>
      <c r="Q574" s="20"/>
    </row>
    <row r="575" spans="1:17" ht="14.25" customHeight="1" x14ac:dyDescent="0.25">
      <c r="A575" s="15"/>
      <c r="B575" s="15"/>
      <c r="C575" s="15"/>
      <c r="D575" s="20"/>
      <c r="E575" s="20"/>
      <c r="F575" s="20"/>
      <c r="G575" s="20"/>
      <c r="H575" s="20"/>
      <c r="I575" s="21"/>
      <c r="J575" s="15"/>
      <c r="K575" s="21"/>
      <c r="M575" s="19"/>
      <c r="N575" s="17"/>
      <c r="Q575" s="20"/>
    </row>
    <row r="576" spans="1:17" ht="14.25" customHeight="1" x14ac:dyDescent="0.25">
      <c r="A576" s="15"/>
      <c r="B576" s="15"/>
      <c r="C576" s="15"/>
      <c r="D576" s="20"/>
      <c r="E576" s="20"/>
      <c r="F576" s="20"/>
      <c r="G576" s="20"/>
      <c r="H576" s="20"/>
      <c r="I576" s="21"/>
      <c r="J576" s="15"/>
      <c r="K576" s="21"/>
      <c r="M576" s="19"/>
      <c r="N576" s="17"/>
      <c r="Q576" s="20"/>
    </row>
    <row r="577" spans="1:17" ht="14.25" customHeight="1" x14ac:dyDescent="0.25">
      <c r="A577" s="15"/>
      <c r="B577" s="15"/>
      <c r="C577" s="15"/>
      <c r="D577" s="20"/>
      <c r="E577" s="20"/>
      <c r="F577" s="20"/>
      <c r="G577" s="20"/>
      <c r="H577" s="20"/>
      <c r="I577" s="21"/>
      <c r="J577" s="15"/>
      <c r="K577" s="21"/>
      <c r="M577" s="19"/>
      <c r="N577" s="17"/>
      <c r="Q577" s="20"/>
    </row>
    <row r="578" spans="1:17" ht="14.25" customHeight="1" x14ac:dyDescent="0.25">
      <c r="A578" s="15"/>
      <c r="B578" s="15"/>
      <c r="C578" s="15"/>
      <c r="D578" s="20"/>
      <c r="E578" s="20"/>
      <c r="F578" s="20"/>
      <c r="G578" s="20"/>
      <c r="H578" s="20"/>
      <c r="I578" s="21"/>
      <c r="J578" s="15"/>
      <c r="K578" s="21"/>
      <c r="M578" s="19"/>
      <c r="N578" s="17"/>
      <c r="Q578" s="20"/>
    </row>
    <row r="579" spans="1:17" ht="14.25" customHeight="1" x14ac:dyDescent="0.25">
      <c r="A579" s="15"/>
      <c r="B579" s="15"/>
      <c r="C579" s="15"/>
      <c r="D579" s="20"/>
      <c r="E579" s="20"/>
      <c r="F579" s="20"/>
      <c r="G579" s="20"/>
      <c r="H579" s="20"/>
      <c r="I579" s="21"/>
      <c r="J579" s="15"/>
      <c r="K579" s="21"/>
      <c r="M579" s="19"/>
      <c r="N579" s="17"/>
      <c r="Q579" s="20"/>
    </row>
    <row r="580" spans="1:17" ht="14.25" customHeight="1" x14ac:dyDescent="0.25">
      <c r="A580" s="15"/>
      <c r="B580" s="15"/>
      <c r="C580" s="15"/>
      <c r="D580" s="20"/>
      <c r="E580" s="20"/>
      <c r="F580" s="20"/>
      <c r="G580" s="20"/>
      <c r="H580" s="20"/>
      <c r="I580" s="21"/>
      <c r="J580" s="15"/>
      <c r="K580" s="21"/>
      <c r="M580" s="19"/>
      <c r="N580" s="17"/>
      <c r="Q580" s="20"/>
    </row>
    <row r="581" spans="1:17" ht="14.25" customHeight="1" x14ac:dyDescent="0.25">
      <c r="A581" s="15"/>
      <c r="B581" s="15"/>
      <c r="C581" s="15"/>
      <c r="D581" s="20"/>
      <c r="E581" s="20"/>
      <c r="F581" s="20"/>
      <c r="G581" s="20"/>
      <c r="H581" s="20"/>
      <c r="I581" s="21"/>
      <c r="J581" s="15"/>
      <c r="K581" s="21"/>
      <c r="M581" s="19"/>
      <c r="N581" s="17"/>
      <c r="Q581" s="20"/>
    </row>
    <row r="582" spans="1:17" ht="14.25" customHeight="1" x14ac:dyDescent="0.25">
      <c r="A582" s="15"/>
      <c r="B582" s="15"/>
      <c r="C582" s="15"/>
      <c r="D582" s="20"/>
      <c r="E582" s="20"/>
      <c r="F582" s="20"/>
      <c r="G582" s="20"/>
      <c r="H582" s="20"/>
      <c r="I582" s="21"/>
      <c r="J582" s="15"/>
      <c r="K582" s="21"/>
      <c r="M582" s="19"/>
      <c r="N582" s="17"/>
      <c r="Q582" s="20"/>
    </row>
    <row r="583" spans="1:17" ht="14.25" customHeight="1" x14ac:dyDescent="0.25">
      <c r="A583" s="15"/>
      <c r="B583" s="15"/>
      <c r="C583" s="15"/>
      <c r="D583" s="20"/>
      <c r="E583" s="20"/>
      <c r="F583" s="20"/>
      <c r="G583" s="20"/>
      <c r="H583" s="20"/>
      <c r="I583" s="21"/>
      <c r="J583" s="15"/>
      <c r="K583" s="21"/>
      <c r="M583" s="19"/>
      <c r="N583" s="17"/>
      <c r="Q583" s="20"/>
    </row>
    <row r="584" spans="1:17" ht="14.25" customHeight="1" x14ac:dyDescent="0.25">
      <c r="A584" s="15"/>
      <c r="B584" s="15"/>
      <c r="C584" s="15"/>
      <c r="D584" s="20"/>
      <c r="E584" s="20"/>
      <c r="F584" s="20"/>
      <c r="G584" s="20"/>
      <c r="H584" s="20"/>
      <c r="I584" s="21"/>
      <c r="J584" s="15"/>
      <c r="K584" s="21"/>
      <c r="M584" s="19"/>
      <c r="N584" s="17"/>
      <c r="Q584" s="20"/>
    </row>
    <row r="585" spans="1:17" ht="14.25" customHeight="1" x14ac:dyDescent="0.25">
      <c r="A585" s="15"/>
      <c r="B585" s="15"/>
      <c r="C585" s="15"/>
      <c r="D585" s="20"/>
      <c r="E585" s="20"/>
      <c r="F585" s="20"/>
      <c r="G585" s="20"/>
      <c r="H585" s="20"/>
      <c r="I585" s="21"/>
      <c r="J585" s="15"/>
      <c r="K585" s="21"/>
      <c r="M585" s="19"/>
      <c r="N585" s="17"/>
      <c r="Q585" s="20"/>
    </row>
    <row r="586" spans="1:17" ht="14.25" customHeight="1" x14ac:dyDescent="0.25">
      <c r="A586" s="15"/>
      <c r="B586" s="15"/>
      <c r="C586" s="15"/>
      <c r="D586" s="20"/>
      <c r="E586" s="20"/>
      <c r="F586" s="20"/>
      <c r="G586" s="20"/>
      <c r="H586" s="20"/>
      <c r="I586" s="21"/>
      <c r="J586" s="15"/>
      <c r="K586" s="21"/>
      <c r="M586" s="19"/>
      <c r="N586" s="17"/>
      <c r="Q586" s="20"/>
    </row>
    <row r="587" spans="1:17" ht="14.25" customHeight="1" x14ac:dyDescent="0.25">
      <c r="A587" s="15"/>
      <c r="B587" s="15"/>
      <c r="C587" s="15"/>
      <c r="D587" s="20"/>
      <c r="E587" s="20"/>
      <c r="F587" s="20"/>
      <c r="G587" s="20"/>
      <c r="H587" s="20"/>
      <c r="I587" s="21"/>
      <c r="J587" s="15"/>
      <c r="K587" s="21"/>
      <c r="M587" s="19"/>
      <c r="N587" s="17"/>
      <c r="Q587" s="20"/>
    </row>
    <row r="588" spans="1:17" ht="14.25" customHeight="1" x14ac:dyDescent="0.25">
      <c r="A588" s="15"/>
      <c r="B588" s="15"/>
      <c r="C588" s="15"/>
      <c r="D588" s="20"/>
      <c r="E588" s="20"/>
      <c r="F588" s="20"/>
      <c r="G588" s="20"/>
      <c r="H588" s="20"/>
      <c r="I588" s="21"/>
      <c r="J588" s="15"/>
      <c r="K588" s="21"/>
      <c r="M588" s="19"/>
      <c r="N588" s="17"/>
      <c r="Q588" s="20"/>
    </row>
    <row r="589" spans="1:17" ht="14.25" customHeight="1" x14ac:dyDescent="0.25">
      <c r="A589" s="15"/>
      <c r="B589" s="15"/>
      <c r="C589" s="15"/>
      <c r="D589" s="20"/>
      <c r="E589" s="20"/>
      <c r="F589" s="20"/>
      <c r="G589" s="20"/>
      <c r="H589" s="20"/>
      <c r="I589" s="21"/>
      <c r="J589" s="15"/>
      <c r="K589" s="21"/>
      <c r="M589" s="19"/>
      <c r="N589" s="17"/>
      <c r="Q589" s="20"/>
    </row>
    <row r="590" spans="1:17" ht="14.25" customHeight="1" x14ac:dyDescent="0.25">
      <c r="A590" s="15"/>
      <c r="B590" s="15"/>
      <c r="C590" s="15"/>
      <c r="D590" s="20"/>
      <c r="E590" s="20"/>
      <c r="F590" s="20"/>
      <c r="G590" s="20"/>
      <c r="H590" s="20"/>
      <c r="I590" s="21"/>
      <c r="J590" s="15"/>
      <c r="K590" s="21"/>
      <c r="M590" s="19"/>
      <c r="N590" s="17"/>
      <c r="Q590" s="20"/>
    </row>
    <row r="591" spans="1:17" ht="14.25" customHeight="1" x14ac:dyDescent="0.25">
      <c r="A591" s="15"/>
      <c r="B591" s="15"/>
      <c r="C591" s="15"/>
      <c r="D591" s="20"/>
      <c r="E591" s="20"/>
      <c r="F591" s="20"/>
      <c r="G591" s="20"/>
      <c r="H591" s="20"/>
      <c r="I591" s="21"/>
      <c r="J591" s="15"/>
      <c r="K591" s="21"/>
      <c r="M591" s="19"/>
      <c r="N591" s="17"/>
      <c r="Q591" s="20"/>
    </row>
    <row r="592" spans="1:17" ht="14.25" customHeight="1" x14ac:dyDescent="0.25">
      <c r="A592" s="15"/>
      <c r="B592" s="15"/>
      <c r="C592" s="15"/>
      <c r="D592" s="20"/>
      <c r="E592" s="20"/>
      <c r="F592" s="20"/>
      <c r="G592" s="20"/>
      <c r="H592" s="20"/>
      <c r="I592" s="21"/>
      <c r="J592" s="15"/>
      <c r="K592" s="21"/>
      <c r="M592" s="19"/>
      <c r="N592" s="17"/>
      <c r="Q592" s="20"/>
    </row>
    <row r="593" spans="1:17" ht="14.25" customHeight="1" x14ac:dyDescent="0.25">
      <c r="A593" s="15"/>
      <c r="B593" s="15"/>
      <c r="C593" s="15"/>
      <c r="D593" s="20"/>
      <c r="E593" s="20"/>
      <c r="F593" s="20"/>
      <c r="G593" s="20"/>
      <c r="H593" s="20"/>
      <c r="I593" s="21"/>
      <c r="J593" s="15"/>
      <c r="K593" s="21"/>
      <c r="M593" s="19"/>
      <c r="N593" s="17"/>
      <c r="Q593" s="20"/>
    </row>
    <row r="594" spans="1:17" ht="14.25" customHeight="1" x14ac:dyDescent="0.25">
      <c r="A594" s="15"/>
      <c r="B594" s="15"/>
      <c r="C594" s="15"/>
      <c r="D594" s="20"/>
      <c r="E594" s="20"/>
      <c r="F594" s="20"/>
      <c r="G594" s="20"/>
      <c r="H594" s="20"/>
      <c r="I594" s="21"/>
      <c r="J594" s="15"/>
      <c r="K594" s="21"/>
      <c r="M594" s="19"/>
      <c r="N594" s="17"/>
      <c r="Q594" s="20"/>
    </row>
    <row r="595" spans="1:17" ht="14.25" customHeight="1" x14ac:dyDescent="0.25">
      <c r="A595" s="15"/>
      <c r="B595" s="15"/>
      <c r="C595" s="15"/>
      <c r="D595" s="20"/>
      <c r="E595" s="20"/>
      <c r="F595" s="20"/>
      <c r="G595" s="20"/>
      <c r="H595" s="20"/>
      <c r="I595" s="21"/>
      <c r="J595" s="15"/>
      <c r="K595" s="21"/>
      <c r="M595" s="19"/>
      <c r="N595" s="17"/>
      <c r="Q595" s="20"/>
    </row>
    <row r="596" spans="1:17" ht="14.25" customHeight="1" x14ac:dyDescent="0.25">
      <c r="A596" s="15"/>
      <c r="B596" s="15"/>
      <c r="C596" s="15"/>
      <c r="D596" s="20"/>
      <c r="E596" s="20"/>
      <c r="F596" s="20"/>
      <c r="G596" s="20"/>
      <c r="H596" s="20"/>
      <c r="I596" s="21"/>
      <c r="J596" s="15"/>
      <c r="K596" s="21"/>
      <c r="M596" s="19"/>
      <c r="N596" s="17"/>
      <c r="Q596" s="20"/>
    </row>
    <row r="597" spans="1:17" ht="14.25" customHeight="1" x14ac:dyDescent="0.25">
      <c r="A597" s="15"/>
      <c r="B597" s="15"/>
      <c r="C597" s="15"/>
      <c r="D597" s="20"/>
      <c r="E597" s="20"/>
      <c r="F597" s="20"/>
      <c r="G597" s="20"/>
      <c r="H597" s="20"/>
      <c r="I597" s="21"/>
      <c r="J597" s="15"/>
      <c r="K597" s="21"/>
      <c r="M597" s="19"/>
      <c r="N597" s="17"/>
      <c r="Q597" s="20"/>
    </row>
    <row r="598" spans="1:17" ht="14.25" customHeight="1" x14ac:dyDescent="0.25">
      <c r="A598" s="15"/>
      <c r="B598" s="15"/>
      <c r="C598" s="15"/>
      <c r="D598" s="20"/>
      <c r="E598" s="20"/>
      <c r="F598" s="20"/>
      <c r="G598" s="20"/>
      <c r="H598" s="20"/>
      <c r="I598" s="21"/>
      <c r="J598" s="15"/>
      <c r="K598" s="21"/>
      <c r="M598" s="19"/>
      <c r="N598" s="17"/>
      <c r="Q598" s="20"/>
    </row>
    <row r="599" spans="1:17" ht="14.25" customHeight="1" x14ac:dyDescent="0.25">
      <c r="A599" s="15"/>
      <c r="B599" s="15"/>
      <c r="C599" s="15"/>
      <c r="D599" s="20"/>
      <c r="E599" s="20"/>
      <c r="F599" s="20"/>
      <c r="G599" s="20"/>
      <c r="H599" s="20"/>
      <c r="I599" s="21"/>
      <c r="J599" s="15"/>
      <c r="K599" s="21"/>
      <c r="M599" s="19"/>
      <c r="N599" s="17"/>
      <c r="Q599" s="20"/>
    </row>
    <row r="600" spans="1:17" ht="14.25" customHeight="1" x14ac:dyDescent="0.25">
      <c r="A600" s="15"/>
      <c r="B600" s="15"/>
      <c r="C600" s="15"/>
      <c r="D600" s="20"/>
      <c r="E600" s="20"/>
      <c r="F600" s="20"/>
      <c r="G600" s="20"/>
      <c r="H600" s="20"/>
      <c r="I600" s="21"/>
      <c r="J600" s="15"/>
      <c r="K600" s="21"/>
      <c r="M600" s="19"/>
      <c r="N600" s="17"/>
      <c r="Q600" s="20"/>
    </row>
    <row r="601" spans="1:17" ht="14.25" customHeight="1" x14ac:dyDescent="0.25">
      <c r="A601" s="15"/>
      <c r="B601" s="15"/>
      <c r="C601" s="15"/>
      <c r="D601" s="20"/>
      <c r="E601" s="20"/>
      <c r="F601" s="20"/>
      <c r="G601" s="20"/>
      <c r="H601" s="20"/>
      <c r="I601" s="21"/>
      <c r="J601" s="15"/>
      <c r="K601" s="21"/>
      <c r="M601" s="19"/>
      <c r="N601" s="17"/>
      <c r="Q601" s="20"/>
    </row>
    <row r="602" spans="1:17" ht="14.25" customHeight="1" x14ac:dyDescent="0.25">
      <c r="A602" s="15"/>
      <c r="B602" s="15"/>
      <c r="C602" s="15"/>
      <c r="D602" s="20"/>
      <c r="E602" s="20"/>
      <c r="F602" s="20"/>
      <c r="G602" s="20"/>
      <c r="H602" s="20"/>
      <c r="I602" s="21"/>
      <c r="J602" s="15"/>
      <c r="K602" s="21"/>
      <c r="M602" s="19"/>
      <c r="N602" s="17"/>
      <c r="Q602" s="20"/>
    </row>
    <row r="603" spans="1:17" ht="14.25" customHeight="1" x14ac:dyDescent="0.25">
      <c r="A603" s="15"/>
      <c r="B603" s="15"/>
      <c r="C603" s="15"/>
      <c r="D603" s="20"/>
      <c r="E603" s="20"/>
      <c r="F603" s="20"/>
      <c r="G603" s="20"/>
      <c r="H603" s="20"/>
      <c r="I603" s="21"/>
      <c r="J603" s="15"/>
      <c r="K603" s="21"/>
      <c r="M603" s="19"/>
      <c r="N603" s="17"/>
      <c r="Q603" s="20"/>
    </row>
    <row r="604" spans="1:17" ht="14.25" customHeight="1" x14ac:dyDescent="0.25">
      <c r="A604" s="15"/>
      <c r="B604" s="15"/>
      <c r="C604" s="15"/>
      <c r="D604" s="20"/>
      <c r="E604" s="20"/>
      <c r="F604" s="20"/>
      <c r="G604" s="20"/>
      <c r="H604" s="20"/>
      <c r="I604" s="21"/>
      <c r="J604" s="15"/>
      <c r="K604" s="21"/>
      <c r="M604" s="19"/>
      <c r="N604" s="17"/>
      <c r="Q604" s="20"/>
    </row>
    <row r="605" spans="1:17" ht="14.25" customHeight="1" x14ac:dyDescent="0.25">
      <c r="A605" s="15"/>
      <c r="B605" s="15"/>
      <c r="C605" s="15"/>
      <c r="D605" s="20"/>
      <c r="E605" s="20"/>
      <c r="F605" s="20"/>
      <c r="G605" s="20"/>
      <c r="H605" s="20"/>
      <c r="I605" s="21"/>
      <c r="J605" s="15"/>
      <c r="K605" s="21"/>
      <c r="M605" s="19"/>
      <c r="N605" s="17"/>
      <c r="Q605" s="20"/>
    </row>
    <row r="606" spans="1:17" ht="14.25" customHeight="1" x14ac:dyDescent="0.25">
      <c r="A606" s="15"/>
      <c r="B606" s="15"/>
      <c r="C606" s="15"/>
      <c r="D606" s="20"/>
      <c r="E606" s="20"/>
      <c r="F606" s="20"/>
      <c r="G606" s="20"/>
      <c r="H606" s="20"/>
      <c r="I606" s="21"/>
      <c r="J606" s="15"/>
      <c r="K606" s="21"/>
      <c r="M606" s="19"/>
      <c r="N606" s="17"/>
      <c r="Q606" s="20"/>
    </row>
    <row r="607" spans="1:17" ht="14.25" customHeight="1" x14ac:dyDescent="0.25">
      <c r="A607" s="15"/>
      <c r="B607" s="15"/>
      <c r="C607" s="15"/>
      <c r="D607" s="20"/>
      <c r="E607" s="20"/>
      <c r="F607" s="20"/>
      <c r="G607" s="20"/>
      <c r="H607" s="20"/>
      <c r="I607" s="21"/>
      <c r="J607" s="15"/>
      <c r="K607" s="21"/>
      <c r="M607" s="19"/>
      <c r="N607" s="17"/>
      <c r="Q607" s="20"/>
    </row>
    <row r="608" spans="1:17" ht="14.25" customHeight="1" x14ac:dyDescent="0.25">
      <c r="A608" s="15"/>
      <c r="B608" s="15"/>
      <c r="C608" s="15"/>
      <c r="D608" s="20"/>
      <c r="E608" s="20"/>
      <c r="F608" s="20"/>
      <c r="G608" s="20"/>
      <c r="H608" s="20"/>
      <c r="I608" s="21"/>
      <c r="J608" s="15"/>
      <c r="K608" s="21"/>
      <c r="M608" s="19"/>
      <c r="N608" s="17"/>
      <c r="Q608" s="20"/>
    </row>
    <row r="609" spans="1:17" ht="14.25" customHeight="1" x14ac:dyDescent="0.25">
      <c r="A609" s="15"/>
      <c r="B609" s="15"/>
      <c r="C609" s="15"/>
      <c r="D609" s="20"/>
      <c r="E609" s="20"/>
      <c r="F609" s="20"/>
      <c r="G609" s="20"/>
      <c r="H609" s="20"/>
      <c r="I609" s="21"/>
      <c r="J609" s="15"/>
      <c r="K609" s="21"/>
      <c r="M609" s="19"/>
      <c r="N609" s="17"/>
      <c r="Q609" s="20"/>
    </row>
    <row r="610" spans="1:17" ht="14.25" customHeight="1" x14ac:dyDescent="0.25">
      <c r="A610" s="15"/>
      <c r="B610" s="15"/>
      <c r="C610" s="15"/>
      <c r="D610" s="20"/>
      <c r="E610" s="20"/>
      <c r="F610" s="20"/>
      <c r="G610" s="20"/>
      <c r="H610" s="20"/>
      <c r="I610" s="21"/>
      <c r="J610" s="15"/>
      <c r="K610" s="21"/>
      <c r="M610" s="19"/>
      <c r="N610" s="17"/>
      <c r="Q610" s="20"/>
    </row>
    <row r="611" spans="1:17" ht="14.25" customHeight="1" x14ac:dyDescent="0.25">
      <c r="A611" s="15"/>
      <c r="B611" s="15"/>
      <c r="C611" s="15"/>
      <c r="D611" s="20"/>
      <c r="E611" s="20"/>
      <c r="F611" s="20"/>
      <c r="G611" s="20"/>
      <c r="H611" s="20"/>
      <c r="I611" s="21"/>
      <c r="J611" s="15"/>
      <c r="K611" s="21"/>
      <c r="M611" s="19"/>
      <c r="N611" s="17"/>
      <c r="Q611" s="20"/>
    </row>
    <row r="612" spans="1:17" ht="14.25" customHeight="1" x14ac:dyDescent="0.25">
      <c r="A612" s="15"/>
      <c r="B612" s="15"/>
      <c r="C612" s="15"/>
      <c r="D612" s="20"/>
      <c r="E612" s="20"/>
      <c r="F612" s="20"/>
      <c r="G612" s="20"/>
      <c r="H612" s="20"/>
      <c r="I612" s="21"/>
      <c r="J612" s="15"/>
      <c r="K612" s="21"/>
      <c r="M612" s="19"/>
      <c r="N612" s="17"/>
      <c r="Q612" s="20"/>
    </row>
    <row r="613" spans="1:17" ht="14.25" customHeight="1" x14ac:dyDescent="0.25">
      <c r="A613" s="15"/>
      <c r="B613" s="15"/>
      <c r="C613" s="15"/>
      <c r="D613" s="20"/>
      <c r="E613" s="20"/>
      <c r="F613" s="20"/>
      <c r="G613" s="20"/>
      <c r="H613" s="20"/>
      <c r="I613" s="21"/>
      <c r="J613" s="15"/>
      <c r="K613" s="21"/>
      <c r="M613" s="19"/>
      <c r="N613" s="17"/>
      <c r="Q613" s="20"/>
    </row>
    <row r="614" spans="1:17" ht="14.25" customHeight="1" x14ac:dyDescent="0.25">
      <c r="A614" s="15"/>
      <c r="B614" s="15"/>
      <c r="C614" s="15"/>
      <c r="D614" s="20"/>
      <c r="E614" s="20"/>
      <c r="F614" s="20"/>
      <c r="G614" s="20"/>
      <c r="H614" s="20"/>
      <c r="I614" s="21"/>
      <c r="J614" s="15"/>
      <c r="K614" s="21"/>
      <c r="M614" s="19"/>
      <c r="N614" s="17"/>
      <c r="Q614" s="20"/>
    </row>
    <row r="615" spans="1:17" ht="14.25" customHeight="1" x14ac:dyDescent="0.25">
      <c r="A615" s="15"/>
      <c r="B615" s="15"/>
      <c r="C615" s="15"/>
      <c r="D615" s="20"/>
      <c r="E615" s="20"/>
      <c r="F615" s="20"/>
      <c r="G615" s="20"/>
      <c r="H615" s="20"/>
      <c r="I615" s="21"/>
      <c r="J615" s="15"/>
      <c r="K615" s="21"/>
      <c r="M615" s="19"/>
      <c r="N615" s="17"/>
      <c r="Q615" s="20"/>
    </row>
    <row r="616" spans="1:17" ht="14.25" customHeight="1" x14ac:dyDescent="0.25">
      <c r="A616" s="15"/>
      <c r="B616" s="15"/>
      <c r="C616" s="15"/>
      <c r="D616" s="20"/>
      <c r="E616" s="20"/>
      <c r="F616" s="20"/>
      <c r="G616" s="20"/>
      <c r="H616" s="20"/>
      <c r="I616" s="21"/>
      <c r="J616" s="15"/>
      <c r="K616" s="21"/>
      <c r="M616" s="19"/>
      <c r="N616" s="17"/>
      <c r="Q616" s="20"/>
    </row>
    <row r="617" spans="1:17" ht="14.25" customHeight="1" x14ac:dyDescent="0.25">
      <c r="A617" s="15"/>
      <c r="B617" s="15"/>
      <c r="C617" s="15"/>
      <c r="D617" s="20"/>
      <c r="E617" s="20"/>
      <c r="F617" s="20"/>
      <c r="G617" s="20"/>
      <c r="H617" s="20"/>
      <c r="I617" s="21"/>
      <c r="J617" s="15"/>
      <c r="K617" s="21"/>
      <c r="M617" s="19"/>
      <c r="N617" s="17"/>
      <c r="Q617" s="20"/>
    </row>
    <row r="618" spans="1:17" ht="14.25" customHeight="1" x14ac:dyDescent="0.25">
      <c r="A618" s="15"/>
      <c r="B618" s="15"/>
      <c r="C618" s="15"/>
      <c r="D618" s="20"/>
      <c r="E618" s="20"/>
      <c r="F618" s="20"/>
      <c r="G618" s="20"/>
      <c r="H618" s="20"/>
      <c r="I618" s="21"/>
      <c r="J618" s="15"/>
      <c r="K618" s="21"/>
      <c r="M618" s="19"/>
      <c r="N618" s="17"/>
      <c r="Q618" s="20"/>
    </row>
    <row r="619" spans="1:17" ht="14.25" customHeight="1" x14ac:dyDescent="0.25">
      <c r="A619" s="15"/>
      <c r="B619" s="15"/>
      <c r="C619" s="15"/>
      <c r="D619" s="20"/>
      <c r="E619" s="20"/>
      <c r="F619" s="20"/>
      <c r="G619" s="20"/>
      <c r="H619" s="20"/>
      <c r="I619" s="21"/>
      <c r="J619" s="15"/>
      <c r="K619" s="21"/>
      <c r="M619" s="19"/>
      <c r="N619" s="17"/>
      <c r="Q619" s="20"/>
    </row>
    <row r="620" spans="1:17" ht="14.25" customHeight="1" x14ac:dyDescent="0.25">
      <c r="A620" s="15"/>
      <c r="B620" s="15"/>
      <c r="C620" s="15"/>
      <c r="D620" s="20"/>
      <c r="E620" s="20"/>
      <c r="F620" s="20"/>
      <c r="G620" s="20"/>
      <c r="H620" s="20"/>
      <c r="I620" s="21"/>
      <c r="J620" s="15"/>
      <c r="K620" s="21"/>
      <c r="M620" s="19"/>
      <c r="N620" s="17"/>
      <c r="Q620" s="20"/>
    </row>
    <row r="621" spans="1:17" ht="14.25" customHeight="1" x14ac:dyDescent="0.25">
      <c r="A621" s="15"/>
      <c r="B621" s="15"/>
      <c r="C621" s="15"/>
      <c r="D621" s="20"/>
      <c r="E621" s="20"/>
      <c r="F621" s="20"/>
      <c r="G621" s="20"/>
      <c r="H621" s="20"/>
      <c r="I621" s="21"/>
      <c r="J621" s="15"/>
      <c r="K621" s="21"/>
      <c r="M621" s="19"/>
      <c r="N621" s="17"/>
      <c r="Q621" s="20"/>
    </row>
    <row r="622" spans="1:17" ht="14.25" customHeight="1" x14ac:dyDescent="0.25">
      <c r="A622" s="15"/>
      <c r="B622" s="15"/>
      <c r="C622" s="15"/>
      <c r="D622" s="20"/>
      <c r="E622" s="20"/>
      <c r="F622" s="20"/>
      <c r="G622" s="20"/>
      <c r="H622" s="20"/>
      <c r="I622" s="21"/>
      <c r="J622" s="15"/>
      <c r="K622" s="21"/>
      <c r="M622" s="19"/>
      <c r="N622" s="17"/>
      <c r="Q622" s="20"/>
    </row>
    <row r="623" spans="1:17" ht="14.25" customHeight="1" x14ac:dyDescent="0.25">
      <c r="A623" s="15"/>
      <c r="B623" s="15"/>
      <c r="C623" s="15"/>
      <c r="D623" s="20"/>
      <c r="E623" s="20"/>
      <c r="F623" s="20"/>
      <c r="G623" s="20"/>
      <c r="H623" s="20"/>
      <c r="I623" s="21"/>
      <c r="J623" s="15"/>
      <c r="K623" s="21"/>
      <c r="M623" s="19"/>
      <c r="N623" s="17"/>
      <c r="Q623" s="20"/>
    </row>
    <row r="624" spans="1:17" ht="14.25" customHeight="1" x14ac:dyDescent="0.25">
      <c r="A624" s="15"/>
      <c r="B624" s="15"/>
      <c r="C624" s="15"/>
      <c r="D624" s="20"/>
      <c r="E624" s="20"/>
      <c r="F624" s="20"/>
      <c r="G624" s="20"/>
      <c r="H624" s="20"/>
      <c r="I624" s="21"/>
      <c r="J624" s="15"/>
      <c r="K624" s="21"/>
      <c r="M624" s="19"/>
      <c r="N624" s="17"/>
      <c r="Q624" s="20"/>
    </row>
    <row r="625" spans="1:17" ht="14.25" customHeight="1" x14ac:dyDescent="0.25">
      <c r="A625" s="15"/>
      <c r="B625" s="15"/>
      <c r="C625" s="15"/>
      <c r="D625" s="20"/>
      <c r="E625" s="20"/>
      <c r="F625" s="20"/>
      <c r="G625" s="20"/>
      <c r="H625" s="20"/>
      <c r="I625" s="21"/>
      <c r="J625" s="15"/>
      <c r="K625" s="21"/>
      <c r="M625" s="19"/>
      <c r="N625" s="17"/>
      <c r="Q625" s="20"/>
    </row>
    <row r="626" spans="1:17" ht="14.25" customHeight="1" x14ac:dyDescent="0.25">
      <c r="A626" s="15"/>
      <c r="B626" s="15"/>
      <c r="C626" s="15"/>
      <c r="D626" s="20"/>
      <c r="E626" s="20"/>
      <c r="F626" s="20"/>
      <c r="G626" s="20"/>
      <c r="H626" s="20"/>
      <c r="I626" s="21"/>
      <c r="J626" s="15"/>
      <c r="K626" s="21"/>
      <c r="M626" s="19"/>
      <c r="N626" s="17"/>
      <c r="Q626" s="20"/>
    </row>
    <row r="627" spans="1:17" ht="14.25" customHeight="1" x14ac:dyDescent="0.25">
      <c r="A627" s="15"/>
      <c r="B627" s="15"/>
      <c r="C627" s="15"/>
      <c r="D627" s="20"/>
      <c r="E627" s="20"/>
      <c r="F627" s="20"/>
      <c r="G627" s="20"/>
      <c r="H627" s="20"/>
      <c r="I627" s="21"/>
      <c r="J627" s="15"/>
      <c r="K627" s="21"/>
      <c r="M627" s="19"/>
      <c r="N627" s="17"/>
      <c r="Q627" s="20"/>
    </row>
    <row r="628" spans="1:17" ht="14.25" customHeight="1" x14ac:dyDescent="0.25">
      <c r="A628" s="15"/>
      <c r="B628" s="15"/>
      <c r="C628" s="15"/>
      <c r="D628" s="20"/>
      <c r="E628" s="20"/>
      <c r="F628" s="20"/>
      <c r="G628" s="20"/>
      <c r="H628" s="20"/>
      <c r="I628" s="21"/>
      <c r="J628" s="15"/>
      <c r="K628" s="21"/>
      <c r="M628" s="19"/>
      <c r="N628" s="17"/>
      <c r="Q628" s="20"/>
    </row>
    <row r="629" spans="1:17" ht="14.25" customHeight="1" x14ac:dyDescent="0.25">
      <c r="A629" s="15"/>
      <c r="B629" s="15"/>
      <c r="C629" s="15"/>
      <c r="D629" s="20"/>
      <c r="E629" s="20"/>
      <c r="F629" s="20"/>
      <c r="G629" s="20"/>
      <c r="H629" s="20"/>
      <c r="I629" s="21"/>
      <c r="J629" s="15"/>
      <c r="K629" s="21"/>
      <c r="M629" s="19"/>
      <c r="N629" s="17"/>
      <c r="Q629" s="20"/>
    </row>
    <row r="630" spans="1:17" ht="14.25" customHeight="1" x14ac:dyDescent="0.25">
      <c r="A630" s="15"/>
      <c r="B630" s="15"/>
      <c r="C630" s="15"/>
      <c r="D630" s="20"/>
      <c r="E630" s="20"/>
      <c r="F630" s="20"/>
      <c r="G630" s="20"/>
      <c r="H630" s="20"/>
      <c r="I630" s="21"/>
      <c r="J630" s="15"/>
      <c r="K630" s="21"/>
      <c r="M630" s="19"/>
      <c r="N630" s="17"/>
      <c r="Q630" s="20"/>
    </row>
    <row r="631" spans="1:17" ht="14.25" customHeight="1" x14ac:dyDescent="0.25">
      <c r="A631" s="15"/>
      <c r="B631" s="15"/>
      <c r="C631" s="15"/>
      <c r="D631" s="20"/>
      <c r="E631" s="20"/>
      <c r="F631" s="20"/>
      <c r="G631" s="20"/>
      <c r="H631" s="20"/>
      <c r="I631" s="21"/>
      <c r="J631" s="15"/>
      <c r="K631" s="21"/>
      <c r="M631" s="19"/>
      <c r="N631" s="17"/>
      <c r="Q631" s="20"/>
    </row>
    <row r="632" spans="1:17" ht="14.25" customHeight="1" x14ac:dyDescent="0.25">
      <c r="A632" s="15"/>
      <c r="B632" s="15"/>
      <c r="C632" s="15"/>
      <c r="D632" s="20"/>
      <c r="E632" s="20"/>
      <c r="F632" s="20"/>
      <c r="G632" s="20"/>
      <c r="H632" s="20"/>
      <c r="I632" s="21"/>
      <c r="J632" s="15"/>
      <c r="K632" s="21"/>
      <c r="M632" s="19"/>
      <c r="N632" s="17"/>
      <c r="Q632" s="20"/>
    </row>
    <row r="633" spans="1:17" ht="14.25" customHeight="1" x14ac:dyDescent="0.25">
      <c r="A633" s="15"/>
      <c r="B633" s="15"/>
      <c r="C633" s="15"/>
      <c r="D633" s="20"/>
      <c r="E633" s="20"/>
      <c r="F633" s="20"/>
      <c r="G633" s="20"/>
      <c r="H633" s="20"/>
      <c r="I633" s="21"/>
      <c r="J633" s="15"/>
      <c r="K633" s="21"/>
      <c r="M633" s="19"/>
      <c r="N633" s="17"/>
      <c r="Q633" s="20"/>
    </row>
    <row r="634" spans="1:17" ht="14.25" customHeight="1" x14ac:dyDescent="0.25">
      <c r="A634" s="15"/>
      <c r="B634" s="15"/>
      <c r="C634" s="15"/>
      <c r="D634" s="20"/>
      <c r="E634" s="20"/>
      <c r="F634" s="20"/>
      <c r="G634" s="20"/>
      <c r="H634" s="20"/>
      <c r="I634" s="21"/>
      <c r="J634" s="15"/>
      <c r="K634" s="21"/>
      <c r="M634" s="19"/>
      <c r="N634" s="17"/>
      <c r="Q634" s="20"/>
    </row>
    <row r="635" spans="1:17" ht="14.25" customHeight="1" x14ac:dyDescent="0.25">
      <c r="A635" s="15"/>
      <c r="B635" s="15"/>
      <c r="C635" s="15"/>
      <c r="D635" s="20"/>
      <c r="E635" s="20"/>
      <c r="F635" s="20"/>
      <c r="G635" s="20"/>
      <c r="H635" s="20"/>
      <c r="I635" s="21"/>
      <c r="J635" s="15"/>
      <c r="K635" s="21"/>
      <c r="M635" s="19"/>
      <c r="N635" s="17"/>
      <c r="Q635" s="20"/>
    </row>
    <row r="636" spans="1:17" ht="14.25" customHeight="1" x14ac:dyDescent="0.25">
      <c r="A636" s="15"/>
      <c r="B636" s="15"/>
      <c r="C636" s="15"/>
      <c r="D636" s="20"/>
      <c r="E636" s="20"/>
      <c r="F636" s="20"/>
      <c r="G636" s="20"/>
      <c r="H636" s="20"/>
      <c r="I636" s="21"/>
      <c r="J636" s="15"/>
      <c r="K636" s="21"/>
      <c r="M636" s="19"/>
      <c r="N636" s="17"/>
      <c r="Q636" s="20"/>
    </row>
    <row r="637" spans="1:17" ht="14.25" customHeight="1" x14ac:dyDescent="0.25">
      <c r="A637" s="15"/>
      <c r="B637" s="15"/>
      <c r="C637" s="15"/>
      <c r="D637" s="20"/>
      <c r="E637" s="20"/>
      <c r="F637" s="20"/>
      <c r="G637" s="20"/>
      <c r="H637" s="20"/>
      <c r="I637" s="21"/>
      <c r="J637" s="15"/>
      <c r="K637" s="21"/>
      <c r="M637" s="19"/>
      <c r="N637" s="17"/>
      <c r="Q637" s="20"/>
    </row>
    <row r="638" spans="1:17" ht="14.25" customHeight="1" x14ac:dyDescent="0.25">
      <c r="A638" s="15"/>
      <c r="B638" s="15"/>
      <c r="C638" s="15"/>
      <c r="D638" s="20"/>
      <c r="E638" s="20"/>
      <c r="F638" s="20"/>
      <c r="G638" s="20"/>
      <c r="H638" s="20"/>
      <c r="I638" s="21"/>
      <c r="J638" s="15"/>
      <c r="K638" s="21"/>
      <c r="M638" s="19"/>
      <c r="N638" s="17"/>
      <c r="Q638" s="20"/>
    </row>
    <row r="639" spans="1:17" ht="14.25" customHeight="1" x14ac:dyDescent="0.25">
      <c r="A639" s="15"/>
      <c r="B639" s="15"/>
      <c r="C639" s="15"/>
      <c r="D639" s="20"/>
      <c r="E639" s="20"/>
      <c r="F639" s="20"/>
      <c r="G639" s="20"/>
      <c r="H639" s="20"/>
      <c r="I639" s="21"/>
      <c r="J639" s="15"/>
      <c r="K639" s="21"/>
      <c r="M639" s="19"/>
      <c r="N639" s="17"/>
      <c r="Q639" s="20"/>
    </row>
    <row r="640" spans="1:17" ht="14.25" customHeight="1" x14ac:dyDescent="0.25">
      <c r="A640" s="15"/>
      <c r="B640" s="15"/>
      <c r="C640" s="15"/>
      <c r="D640" s="20"/>
      <c r="E640" s="20"/>
      <c r="F640" s="20"/>
      <c r="G640" s="20"/>
      <c r="H640" s="20"/>
      <c r="I640" s="21"/>
      <c r="J640" s="15"/>
      <c r="K640" s="21"/>
      <c r="M640" s="19"/>
      <c r="N640" s="17"/>
      <c r="Q640" s="20"/>
    </row>
    <row r="641" spans="1:17" ht="14.25" customHeight="1" x14ac:dyDescent="0.25">
      <c r="A641" s="15"/>
      <c r="B641" s="15"/>
      <c r="C641" s="15"/>
      <c r="D641" s="20"/>
      <c r="E641" s="20"/>
      <c r="F641" s="20"/>
      <c r="G641" s="20"/>
      <c r="H641" s="20"/>
      <c r="I641" s="21"/>
      <c r="J641" s="15"/>
      <c r="K641" s="21"/>
      <c r="M641" s="19"/>
      <c r="N641" s="17"/>
      <c r="Q641" s="20"/>
    </row>
    <row r="642" spans="1:17" ht="14.25" customHeight="1" x14ac:dyDescent="0.25">
      <c r="A642" s="15"/>
      <c r="B642" s="15"/>
      <c r="C642" s="15"/>
      <c r="D642" s="20"/>
      <c r="E642" s="20"/>
      <c r="F642" s="20"/>
      <c r="G642" s="20"/>
      <c r="H642" s="20"/>
      <c r="I642" s="21"/>
      <c r="J642" s="15"/>
      <c r="K642" s="21"/>
      <c r="M642" s="19"/>
      <c r="N642" s="17"/>
      <c r="Q642" s="20"/>
    </row>
    <row r="643" spans="1:17" ht="14.25" customHeight="1" x14ac:dyDescent="0.25">
      <c r="A643" s="15"/>
      <c r="B643" s="15"/>
      <c r="C643" s="15"/>
      <c r="D643" s="20"/>
      <c r="E643" s="20"/>
      <c r="F643" s="20"/>
      <c r="G643" s="20"/>
      <c r="H643" s="20"/>
      <c r="I643" s="21"/>
      <c r="J643" s="15"/>
      <c r="K643" s="21"/>
      <c r="M643" s="19"/>
      <c r="N643" s="17"/>
      <c r="Q643" s="20"/>
    </row>
    <row r="644" spans="1:17" ht="14.25" customHeight="1" x14ac:dyDescent="0.25">
      <c r="A644" s="15"/>
      <c r="B644" s="15"/>
      <c r="C644" s="15"/>
      <c r="D644" s="20"/>
      <c r="E644" s="20"/>
      <c r="F644" s="20"/>
      <c r="G644" s="20"/>
      <c r="H644" s="20"/>
      <c r="I644" s="21"/>
      <c r="J644" s="15"/>
      <c r="K644" s="21"/>
      <c r="M644" s="19"/>
      <c r="N644" s="17"/>
      <c r="Q644" s="20"/>
    </row>
    <row r="645" spans="1:17" ht="14.25" customHeight="1" x14ac:dyDescent="0.25">
      <c r="A645" s="15"/>
      <c r="B645" s="15"/>
      <c r="C645" s="15"/>
      <c r="D645" s="20"/>
      <c r="E645" s="20"/>
      <c r="F645" s="20"/>
      <c r="G645" s="20"/>
      <c r="H645" s="20"/>
      <c r="I645" s="21"/>
      <c r="J645" s="15"/>
      <c r="K645" s="21"/>
      <c r="M645" s="19"/>
      <c r="N645" s="17"/>
      <c r="Q645" s="20"/>
    </row>
    <row r="646" spans="1:17" ht="14.25" customHeight="1" x14ac:dyDescent="0.25">
      <c r="A646" s="15"/>
      <c r="B646" s="15"/>
      <c r="C646" s="15"/>
      <c r="D646" s="20"/>
      <c r="E646" s="20"/>
      <c r="F646" s="20"/>
      <c r="G646" s="20"/>
      <c r="H646" s="20"/>
      <c r="I646" s="21"/>
      <c r="J646" s="15"/>
      <c r="K646" s="21"/>
      <c r="M646" s="19"/>
      <c r="N646" s="17"/>
      <c r="Q646" s="20"/>
    </row>
    <row r="647" spans="1:17" ht="14.25" customHeight="1" x14ac:dyDescent="0.25">
      <c r="A647" s="15"/>
      <c r="B647" s="15"/>
      <c r="C647" s="15"/>
      <c r="D647" s="20"/>
      <c r="E647" s="20"/>
      <c r="F647" s="20"/>
      <c r="G647" s="20"/>
      <c r="H647" s="20"/>
      <c r="I647" s="21"/>
      <c r="J647" s="15"/>
      <c r="K647" s="21"/>
      <c r="M647" s="19"/>
      <c r="N647" s="17"/>
      <c r="Q647" s="20"/>
    </row>
    <row r="648" spans="1:17" ht="14.25" customHeight="1" x14ac:dyDescent="0.25">
      <c r="A648" s="15"/>
      <c r="B648" s="15"/>
      <c r="C648" s="15"/>
      <c r="D648" s="20"/>
      <c r="E648" s="20"/>
      <c r="F648" s="20"/>
      <c r="G648" s="20"/>
      <c r="H648" s="20"/>
      <c r="I648" s="21"/>
      <c r="J648" s="15"/>
      <c r="K648" s="21"/>
      <c r="M648" s="19"/>
      <c r="N648" s="17"/>
      <c r="Q648" s="20"/>
    </row>
    <row r="649" spans="1:17" ht="14.25" customHeight="1" x14ac:dyDescent="0.25">
      <c r="A649" s="15"/>
      <c r="B649" s="15"/>
      <c r="C649" s="15"/>
      <c r="D649" s="20"/>
      <c r="E649" s="20"/>
      <c r="F649" s="20"/>
      <c r="G649" s="20"/>
      <c r="H649" s="20"/>
      <c r="I649" s="21"/>
      <c r="J649" s="15"/>
      <c r="K649" s="21"/>
      <c r="M649" s="19"/>
      <c r="N649" s="17"/>
      <c r="Q649" s="20"/>
    </row>
    <row r="650" spans="1:17" ht="14.25" customHeight="1" x14ac:dyDescent="0.25">
      <c r="A650" s="15"/>
      <c r="B650" s="15"/>
      <c r="C650" s="15"/>
      <c r="D650" s="20"/>
      <c r="E650" s="20"/>
      <c r="F650" s="20"/>
      <c r="G650" s="20"/>
      <c r="H650" s="20"/>
      <c r="I650" s="21"/>
      <c r="J650" s="15"/>
      <c r="K650" s="21"/>
      <c r="M650" s="19"/>
      <c r="N650" s="17"/>
      <c r="Q650" s="20"/>
    </row>
    <row r="651" spans="1:17" ht="14.25" customHeight="1" x14ac:dyDescent="0.25">
      <c r="A651" s="15"/>
      <c r="B651" s="15"/>
      <c r="C651" s="15"/>
      <c r="D651" s="20"/>
      <c r="E651" s="20"/>
      <c r="F651" s="20"/>
      <c r="G651" s="20"/>
      <c r="H651" s="20"/>
      <c r="I651" s="21"/>
      <c r="J651" s="15"/>
      <c r="K651" s="21"/>
      <c r="M651" s="19"/>
      <c r="N651" s="17"/>
      <c r="Q651" s="20"/>
    </row>
    <row r="652" spans="1:17" ht="14.25" customHeight="1" x14ac:dyDescent="0.25">
      <c r="A652" s="15"/>
      <c r="B652" s="15"/>
      <c r="C652" s="15"/>
      <c r="D652" s="20"/>
      <c r="E652" s="20"/>
      <c r="F652" s="20"/>
      <c r="G652" s="20"/>
      <c r="H652" s="20"/>
      <c r="I652" s="21"/>
      <c r="J652" s="15"/>
      <c r="K652" s="21"/>
      <c r="M652" s="19"/>
      <c r="N652" s="17"/>
      <c r="Q652" s="20"/>
    </row>
    <row r="653" spans="1:17" ht="14.25" customHeight="1" x14ac:dyDescent="0.25">
      <c r="A653" s="15"/>
      <c r="B653" s="15"/>
      <c r="C653" s="15"/>
      <c r="D653" s="20"/>
      <c r="E653" s="20"/>
      <c r="F653" s="20"/>
      <c r="G653" s="20"/>
      <c r="H653" s="20"/>
      <c r="I653" s="21"/>
      <c r="J653" s="15"/>
      <c r="K653" s="21"/>
      <c r="M653" s="19"/>
      <c r="N653" s="17"/>
      <c r="Q653" s="20"/>
    </row>
    <row r="654" spans="1:17" ht="14.25" customHeight="1" x14ac:dyDescent="0.25">
      <c r="A654" s="15"/>
      <c r="B654" s="15"/>
      <c r="C654" s="15"/>
      <c r="D654" s="20"/>
      <c r="E654" s="20"/>
      <c r="F654" s="20"/>
      <c r="G654" s="20"/>
      <c r="H654" s="20"/>
      <c r="I654" s="21"/>
      <c r="J654" s="15"/>
      <c r="K654" s="21"/>
      <c r="M654" s="19"/>
      <c r="N654" s="17"/>
      <c r="Q654" s="20"/>
    </row>
    <row r="655" spans="1:17" ht="14.25" customHeight="1" x14ac:dyDescent="0.25">
      <c r="A655" s="15"/>
      <c r="B655" s="15"/>
      <c r="C655" s="15"/>
      <c r="D655" s="20"/>
      <c r="E655" s="20"/>
      <c r="F655" s="20"/>
      <c r="G655" s="20"/>
      <c r="H655" s="20"/>
      <c r="I655" s="21"/>
      <c r="J655" s="15"/>
      <c r="K655" s="21"/>
      <c r="M655" s="19"/>
      <c r="N655" s="17"/>
      <c r="Q655" s="20"/>
    </row>
    <row r="656" spans="1:17" ht="14.25" customHeight="1" x14ac:dyDescent="0.25">
      <c r="A656" s="15"/>
      <c r="B656" s="15"/>
      <c r="C656" s="15"/>
      <c r="D656" s="20"/>
      <c r="E656" s="20"/>
      <c r="F656" s="20"/>
      <c r="G656" s="20"/>
      <c r="H656" s="20"/>
      <c r="I656" s="21"/>
      <c r="J656" s="15"/>
      <c r="K656" s="21"/>
      <c r="M656" s="19"/>
      <c r="N656" s="17"/>
      <c r="Q656" s="20"/>
    </row>
    <row r="657" spans="1:17" ht="14.25" customHeight="1" x14ac:dyDescent="0.25">
      <c r="A657" s="15"/>
      <c r="B657" s="15"/>
      <c r="C657" s="15"/>
      <c r="D657" s="20"/>
      <c r="E657" s="20"/>
      <c r="F657" s="20"/>
      <c r="G657" s="20"/>
      <c r="H657" s="20"/>
      <c r="I657" s="21"/>
      <c r="J657" s="15"/>
      <c r="K657" s="21"/>
      <c r="M657" s="19"/>
      <c r="N657" s="17"/>
      <c r="Q657" s="20"/>
    </row>
    <row r="658" spans="1:17" ht="14.25" customHeight="1" x14ac:dyDescent="0.25">
      <c r="A658" s="15"/>
      <c r="B658" s="15"/>
      <c r="C658" s="15"/>
      <c r="D658" s="20"/>
      <c r="E658" s="20"/>
      <c r="F658" s="20"/>
      <c r="G658" s="20"/>
      <c r="H658" s="20"/>
      <c r="I658" s="21"/>
      <c r="J658" s="15"/>
      <c r="K658" s="21"/>
      <c r="M658" s="19"/>
      <c r="N658" s="17"/>
      <c r="Q658" s="20"/>
    </row>
    <row r="659" spans="1:17" ht="14.25" customHeight="1" x14ac:dyDescent="0.25">
      <c r="A659" s="15"/>
      <c r="B659" s="15"/>
      <c r="C659" s="15"/>
      <c r="D659" s="20"/>
      <c r="E659" s="20"/>
      <c r="F659" s="20"/>
      <c r="G659" s="20"/>
      <c r="H659" s="20"/>
      <c r="I659" s="21"/>
      <c r="J659" s="15"/>
      <c r="K659" s="21"/>
      <c r="M659" s="19"/>
      <c r="N659" s="17"/>
      <c r="Q659" s="20"/>
    </row>
    <row r="660" spans="1:17" ht="14.25" customHeight="1" x14ac:dyDescent="0.25">
      <c r="A660" s="15"/>
      <c r="B660" s="15"/>
      <c r="C660" s="15"/>
      <c r="D660" s="20"/>
      <c r="E660" s="20"/>
      <c r="F660" s="20"/>
      <c r="G660" s="20"/>
      <c r="H660" s="20"/>
      <c r="I660" s="21"/>
      <c r="J660" s="15"/>
      <c r="K660" s="21"/>
      <c r="M660" s="19"/>
      <c r="N660" s="17"/>
      <c r="Q660" s="20"/>
    </row>
    <row r="661" spans="1:17" ht="14.25" customHeight="1" x14ac:dyDescent="0.25">
      <c r="A661" s="15"/>
      <c r="B661" s="15"/>
      <c r="C661" s="15"/>
      <c r="D661" s="20"/>
      <c r="E661" s="20"/>
      <c r="F661" s="20"/>
      <c r="G661" s="20"/>
      <c r="H661" s="20"/>
      <c r="I661" s="21"/>
      <c r="J661" s="15"/>
      <c r="K661" s="21"/>
      <c r="M661" s="19"/>
      <c r="N661" s="17"/>
      <c r="Q661" s="20"/>
    </row>
    <row r="662" spans="1:17" ht="14.25" customHeight="1" x14ac:dyDescent="0.25">
      <c r="A662" s="15"/>
      <c r="B662" s="15"/>
      <c r="C662" s="15"/>
      <c r="D662" s="20"/>
      <c r="E662" s="20"/>
      <c r="F662" s="20"/>
      <c r="G662" s="20"/>
      <c r="H662" s="20"/>
      <c r="I662" s="21"/>
      <c r="J662" s="15"/>
      <c r="K662" s="21"/>
      <c r="M662" s="19"/>
      <c r="N662" s="17"/>
      <c r="Q662" s="20"/>
    </row>
    <row r="663" spans="1:17" ht="14.25" customHeight="1" x14ac:dyDescent="0.25">
      <c r="A663" s="15"/>
      <c r="B663" s="15"/>
      <c r="C663" s="15"/>
      <c r="D663" s="20"/>
      <c r="E663" s="20"/>
      <c r="F663" s="20"/>
      <c r="G663" s="20"/>
      <c r="H663" s="20"/>
      <c r="I663" s="21"/>
      <c r="J663" s="15"/>
      <c r="K663" s="21"/>
      <c r="M663" s="19"/>
      <c r="N663" s="17"/>
      <c r="Q663" s="20"/>
    </row>
    <row r="664" spans="1:17" ht="14.25" customHeight="1" x14ac:dyDescent="0.25">
      <c r="A664" s="15"/>
      <c r="B664" s="15"/>
      <c r="C664" s="15"/>
      <c r="D664" s="20"/>
      <c r="E664" s="20"/>
      <c r="F664" s="20"/>
      <c r="G664" s="20"/>
      <c r="H664" s="20"/>
      <c r="I664" s="21"/>
      <c r="J664" s="15"/>
      <c r="K664" s="21"/>
      <c r="M664" s="19"/>
      <c r="N664" s="17"/>
      <c r="Q664" s="20"/>
    </row>
    <row r="665" spans="1:17" ht="14.25" customHeight="1" x14ac:dyDescent="0.25">
      <c r="A665" s="15"/>
      <c r="B665" s="15"/>
      <c r="C665" s="15"/>
      <c r="D665" s="20"/>
      <c r="E665" s="20"/>
      <c r="F665" s="20"/>
      <c r="G665" s="20"/>
      <c r="H665" s="20"/>
      <c r="I665" s="21"/>
      <c r="J665" s="15"/>
      <c r="K665" s="21"/>
      <c r="M665" s="19"/>
      <c r="N665" s="17"/>
      <c r="Q665" s="20"/>
    </row>
    <row r="666" spans="1:17" ht="14.25" customHeight="1" x14ac:dyDescent="0.25">
      <c r="A666" s="15"/>
      <c r="B666" s="15"/>
      <c r="C666" s="15"/>
      <c r="D666" s="20"/>
      <c r="E666" s="20"/>
      <c r="F666" s="20"/>
      <c r="G666" s="20"/>
      <c r="H666" s="20"/>
      <c r="I666" s="21"/>
      <c r="J666" s="15"/>
      <c r="K666" s="21"/>
      <c r="M666" s="19"/>
      <c r="N666" s="17"/>
      <c r="Q666" s="20"/>
    </row>
    <row r="667" spans="1:17" ht="14.25" customHeight="1" x14ac:dyDescent="0.25">
      <c r="A667" s="15"/>
      <c r="B667" s="15"/>
      <c r="C667" s="15"/>
      <c r="D667" s="20"/>
      <c r="E667" s="20"/>
      <c r="F667" s="20"/>
      <c r="G667" s="20"/>
      <c r="H667" s="20"/>
      <c r="I667" s="21"/>
      <c r="J667" s="15"/>
      <c r="K667" s="21"/>
      <c r="M667" s="19"/>
      <c r="N667" s="17"/>
      <c r="Q667" s="20"/>
    </row>
    <row r="668" spans="1:17" ht="14.25" customHeight="1" x14ac:dyDescent="0.25">
      <c r="A668" s="15"/>
      <c r="B668" s="15"/>
      <c r="C668" s="15"/>
      <c r="D668" s="20"/>
      <c r="E668" s="20"/>
      <c r="F668" s="20"/>
      <c r="G668" s="20"/>
      <c r="H668" s="20"/>
      <c r="I668" s="21"/>
      <c r="J668" s="15"/>
      <c r="K668" s="21"/>
      <c r="M668" s="19"/>
      <c r="N668" s="17"/>
      <c r="Q668" s="20"/>
    </row>
    <row r="669" spans="1:17" ht="14.25" customHeight="1" x14ac:dyDescent="0.25">
      <c r="A669" s="15"/>
      <c r="B669" s="15"/>
      <c r="C669" s="15"/>
      <c r="D669" s="20"/>
      <c r="E669" s="20"/>
      <c r="F669" s="20"/>
      <c r="G669" s="20"/>
      <c r="H669" s="20"/>
      <c r="I669" s="21"/>
      <c r="J669" s="15"/>
      <c r="K669" s="21"/>
      <c r="M669" s="19"/>
      <c r="N669" s="17"/>
      <c r="Q669" s="20"/>
    </row>
    <row r="670" spans="1:17" ht="14.25" customHeight="1" x14ac:dyDescent="0.25">
      <c r="A670" s="15"/>
      <c r="B670" s="15"/>
      <c r="C670" s="15"/>
      <c r="D670" s="20"/>
      <c r="E670" s="20"/>
      <c r="F670" s="20"/>
      <c r="G670" s="20"/>
      <c r="H670" s="20"/>
      <c r="I670" s="21"/>
      <c r="J670" s="15"/>
      <c r="K670" s="21"/>
      <c r="M670" s="19"/>
      <c r="N670" s="17"/>
      <c r="Q670" s="20"/>
    </row>
    <row r="671" spans="1:17" ht="14.25" customHeight="1" x14ac:dyDescent="0.25">
      <c r="A671" s="15"/>
      <c r="B671" s="15"/>
      <c r="C671" s="15"/>
      <c r="D671" s="20"/>
      <c r="E671" s="20"/>
      <c r="F671" s="20"/>
      <c r="G671" s="20"/>
      <c r="H671" s="20"/>
      <c r="I671" s="21"/>
      <c r="J671" s="15"/>
      <c r="K671" s="21"/>
      <c r="M671" s="19"/>
      <c r="N671" s="17"/>
      <c r="Q671" s="20"/>
    </row>
    <row r="672" spans="1:17" ht="14.25" customHeight="1" x14ac:dyDescent="0.25">
      <c r="A672" s="15"/>
      <c r="B672" s="15"/>
      <c r="C672" s="15"/>
      <c r="D672" s="20"/>
      <c r="E672" s="20"/>
      <c r="F672" s="20"/>
      <c r="G672" s="20"/>
      <c r="H672" s="20"/>
      <c r="I672" s="21"/>
      <c r="J672" s="15"/>
      <c r="K672" s="21"/>
      <c r="M672" s="19"/>
      <c r="N672" s="17"/>
      <c r="Q672" s="20"/>
    </row>
    <row r="673" spans="1:17" ht="14.25" customHeight="1" x14ac:dyDescent="0.25">
      <c r="A673" s="15"/>
      <c r="B673" s="15"/>
      <c r="C673" s="15"/>
      <c r="D673" s="20"/>
      <c r="E673" s="20"/>
      <c r="F673" s="20"/>
      <c r="G673" s="20"/>
      <c r="H673" s="20"/>
      <c r="I673" s="21"/>
      <c r="J673" s="15"/>
      <c r="K673" s="21"/>
      <c r="M673" s="19"/>
      <c r="N673" s="17"/>
      <c r="Q673" s="20"/>
    </row>
    <row r="674" spans="1:17" ht="14.25" customHeight="1" x14ac:dyDescent="0.25">
      <c r="A674" s="15"/>
      <c r="B674" s="15"/>
      <c r="C674" s="15"/>
      <c r="D674" s="20"/>
      <c r="E674" s="20"/>
      <c r="F674" s="20"/>
      <c r="G674" s="20"/>
      <c r="H674" s="20"/>
      <c r="I674" s="21"/>
      <c r="J674" s="15"/>
      <c r="K674" s="21"/>
      <c r="M674" s="19"/>
      <c r="N674" s="17"/>
      <c r="Q674" s="20"/>
    </row>
    <row r="675" spans="1:17" ht="14.25" customHeight="1" x14ac:dyDescent="0.25">
      <c r="A675" s="15"/>
      <c r="B675" s="15"/>
      <c r="C675" s="15"/>
      <c r="D675" s="20"/>
      <c r="E675" s="20"/>
      <c r="F675" s="20"/>
      <c r="G675" s="20"/>
      <c r="H675" s="20"/>
      <c r="I675" s="21"/>
      <c r="J675" s="15"/>
      <c r="K675" s="21"/>
      <c r="M675" s="19"/>
      <c r="N675" s="17"/>
      <c r="Q675" s="20"/>
    </row>
    <row r="676" spans="1:17" ht="14.25" customHeight="1" x14ac:dyDescent="0.25">
      <c r="A676" s="15"/>
      <c r="B676" s="15"/>
      <c r="C676" s="15"/>
      <c r="D676" s="20"/>
      <c r="E676" s="20"/>
      <c r="F676" s="20"/>
      <c r="G676" s="20"/>
      <c r="H676" s="20"/>
      <c r="I676" s="21"/>
      <c r="J676" s="15"/>
      <c r="K676" s="21"/>
      <c r="M676" s="19"/>
      <c r="N676" s="17"/>
      <c r="Q676" s="20"/>
    </row>
    <row r="677" spans="1:17" ht="14.25" customHeight="1" x14ac:dyDescent="0.25">
      <c r="A677" s="15"/>
      <c r="B677" s="15"/>
      <c r="C677" s="15"/>
      <c r="D677" s="20"/>
      <c r="E677" s="20"/>
      <c r="F677" s="20"/>
      <c r="G677" s="20"/>
      <c r="H677" s="20"/>
      <c r="I677" s="21"/>
      <c r="J677" s="15"/>
      <c r="K677" s="21"/>
      <c r="M677" s="19"/>
      <c r="N677" s="17"/>
      <c r="Q677" s="20"/>
    </row>
    <row r="678" spans="1:17" ht="14.25" customHeight="1" x14ac:dyDescent="0.25">
      <c r="A678" s="15"/>
      <c r="B678" s="15"/>
      <c r="C678" s="15"/>
      <c r="D678" s="20"/>
      <c r="E678" s="20"/>
      <c r="F678" s="20"/>
      <c r="G678" s="20"/>
      <c r="H678" s="20"/>
      <c r="I678" s="21"/>
      <c r="J678" s="15"/>
      <c r="K678" s="21"/>
      <c r="M678" s="19"/>
      <c r="N678" s="17"/>
      <c r="Q678" s="20"/>
    </row>
    <row r="679" spans="1:17" ht="14.25" customHeight="1" x14ac:dyDescent="0.25">
      <c r="A679" s="15"/>
      <c r="B679" s="15"/>
      <c r="C679" s="15"/>
      <c r="D679" s="20"/>
      <c r="E679" s="20"/>
      <c r="F679" s="20"/>
      <c r="G679" s="20"/>
      <c r="H679" s="20"/>
      <c r="I679" s="21"/>
      <c r="J679" s="15"/>
      <c r="K679" s="21"/>
      <c r="M679" s="19"/>
      <c r="N679" s="17"/>
      <c r="Q679" s="20"/>
    </row>
    <row r="680" spans="1:17" ht="14.25" customHeight="1" x14ac:dyDescent="0.25">
      <c r="A680" s="15"/>
      <c r="B680" s="15"/>
      <c r="C680" s="15"/>
      <c r="D680" s="20"/>
      <c r="E680" s="20"/>
      <c r="F680" s="20"/>
      <c r="G680" s="20"/>
      <c r="H680" s="20"/>
      <c r="I680" s="21"/>
      <c r="J680" s="15"/>
      <c r="K680" s="21"/>
      <c r="M680" s="19"/>
      <c r="N680" s="17"/>
      <c r="Q680" s="20"/>
    </row>
    <row r="681" spans="1:17" ht="14.25" customHeight="1" x14ac:dyDescent="0.25">
      <c r="A681" s="15"/>
      <c r="B681" s="15"/>
      <c r="C681" s="15"/>
      <c r="D681" s="20"/>
      <c r="E681" s="20"/>
      <c r="F681" s="20"/>
      <c r="G681" s="20"/>
      <c r="H681" s="20"/>
      <c r="I681" s="21"/>
      <c r="J681" s="15"/>
      <c r="K681" s="21"/>
      <c r="M681" s="19"/>
      <c r="N681" s="17"/>
      <c r="Q681" s="20"/>
    </row>
    <row r="682" spans="1:17" ht="14.25" customHeight="1" x14ac:dyDescent="0.25">
      <c r="A682" s="15"/>
      <c r="B682" s="15"/>
      <c r="C682" s="15"/>
      <c r="D682" s="20"/>
      <c r="E682" s="20"/>
      <c r="F682" s="20"/>
      <c r="G682" s="20"/>
      <c r="H682" s="20"/>
      <c r="I682" s="21"/>
      <c r="J682" s="15"/>
      <c r="K682" s="21"/>
      <c r="M682" s="19"/>
      <c r="N682" s="17"/>
      <c r="Q682" s="20"/>
    </row>
    <row r="683" spans="1:17" ht="14.25" customHeight="1" x14ac:dyDescent="0.25">
      <c r="A683" s="15"/>
      <c r="B683" s="15"/>
      <c r="C683" s="15"/>
      <c r="D683" s="20"/>
      <c r="E683" s="20"/>
      <c r="F683" s="20"/>
      <c r="G683" s="20"/>
      <c r="H683" s="20"/>
      <c r="I683" s="21"/>
      <c r="J683" s="15"/>
      <c r="K683" s="21"/>
      <c r="M683" s="19"/>
      <c r="N683" s="17"/>
      <c r="Q683" s="20"/>
    </row>
    <row r="684" spans="1:17" ht="14.25" customHeight="1" x14ac:dyDescent="0.25">
      <c r="A684" s="15"/>
      <c r="B684" s="15"/>
      <c r="C684" s="15"/>
      <c r="D684" s="20"/>
      <c r="E684" s="20"/>
      <c r="F684" s="20"/>
      <c r="G684" s="20"/>
      <c r="H684" s="20"/>
      <c r="I684" s="21"/>
      <c r="J684" s="15"/>
      <c r="K684" s="21"/>
      <c r="M684" s="19"/>
      <c r="N684" s="17"/>
      <c r="Q684" s="20"/>
    </row>
    <row r="685" spans="1:17" ht="14.25" customHeight="1" x14ac:dyDescent="0.25">
      <c r="A685" s="15"/>
      <c r="B685" s="15"/>
      <c r="C685" s="15"/>
      <c r="D685" s="20"/>
      <c r="E685" s="20"/>
      <c r="F685" s="20"/>
      <c r="G685" s="20"/>
      <c r="H685" s="20"/>
      <c r="I685" s="21"/>
      <c r="J685" s="15"/>
      <c r="K685" s="21"/>
      <c r="M685" s="19"/>
      <c r="N685" s="17"/>
      <c r="Q685" s="20"/>
    </row>
    <row r="686" spans="1:17" ht="14.25" customHeight="1" x14ac:dyDescent="0.25">
      <c r="A686" s="15"/>
      <c r="B686" s="15"/>
      <c r="C686" s="15"/>
      <c r="D686" s="20"/>
      <c r="E686" s="20"/>
      <c r="F686" s="20"/>
      <c r="G686" s="20"/>
      <c r="H686" s="20"/>
      <c r="I686" s="21"/>
      <c r="J686" s="15"/>
      <c r="K686" s="21"/>
      <c r="M686" s="19"/>
      <c r="N686" s="17"/>
      <c r="Q686" s="20"/>
    </row>
    <row r="687" spans="1:17" ht="14.25" customHeight="1" x14ac:dyDescent="0.25">
      <c r="A687" s="15"/>
      <c r="B687" s="15"/>
      <c r="C687" s="15"/>
      <c r="D687" s="20"/>
      <c r="E687" s="20"/>
      <c r="F687" s="20"/>
      <c r="G687" s="20"/>
      <c r="H687" s="20"/>
      <c r="I687" s="21"/>
      <c r="J687" s="15"/>
      <c r="K687" s="21"/>
      <c r="M687" s="19"/>
      <c r="N687" s="17"/>
      <c r="Q687" s="20"/>
    </row>
    <row r="688" spans="1:17" ht="14.25" customHeight="1" x14ac:dyDescent="0.25">
      <c r="A688" s="15"/>
      <c r="B688" s="15"/>
      <c r="C688" s="15"/>
      <c r="D688" s="20"/>
      <c r="E688" s="20"/>
      <c r="F688" s="20"/>
      <c r="G688" s="20"/>
      <c r="H688" s="20"/>
      <c r="I688" s="21"/>
      <c r="J688" s="15"/>
      <c r="K688" s="21"/>
      <c r="M688" s="19"/>
      <c r="N688" s="17"/>
      <c r="Q688" s="20"/>
    </row>
    <row r="689" spans="1:17" ht="14.25" customHeight="1" x14ac:dyDescent="0.25">
      <c r="A689" s="15"/>
      <c r="B689" s="15"/>
      <c r="C689" s="15"/>
      <c r="D689" s="20"/>
      <c r="E689" s="20"/>
      <c r="F689" s="20"/>
      <c r="G689" s="20"/>
      <c r="H689" s="20"/>
      <c r="I689" s="21"/>
      <c r="J689" s="15"/>
      <c r="K689" s="21"/>
      <c r="M689" s="19"/>
      <c r="N689" s="17"/>
      <c r="Q689" s="20"/>
    </row>
    <row r="690" spans="1:17" ht="14.25" customHeight="1" x14ac:dyDescent="0.25">
      <c r="A690" s="15"/>
      <c r="B690" s="15"/>
      <c r="C690" s="15"/>
      <c r="D690" s="20"/>
      <c r="E690" s="20"/>
      <c r="F690" s="20"/>
      <c r="G690" s="20"/>
      <c r="H690" s="20"/>
      <c r="I690" s="21"/>
      <c r="J690" s="15"/>
      <c r="K690" s="21"/>
      <c r="M690" s="19"/>
      <c r="N690" s="17"/>
      <c r="Q690" s="20"/>
    </row>
    <row r="691" spans="1:17" ht="14.25" customHeight="1" x14ac:dyDescent="0.25">
      <c r="A691" s="15"/>
      <c r="B691" s="15"/>
      <c r="C691" s="15"/>
      <c r="D691" s="20"/>
      <c r="E691" s="20"/>
      <c r="F691" s="20"/>
      <c r="G691" s="20"/>
      <c r="H691" s="20"/>
      <c r="I691" s="21"/>
      <c r="J691" s="15"/>
      <c r="K691" s="21"/>
      <c r="M691" s="19"/>
      <c r="N691" s="17"/>
      <c r="Q691" s="20"/>
    </row>
    <row r="692" spans="1:17" ht="14.25" customHeight="1" x14ac:dyDescent="0.25">
      <c r="A692" s="15"/>
      <c r="B692" s="15"/>
      <c r="C692" s="15"/>
      <c r="D692" s="20"/>
      <c r="E692" s="20"/>
      <c r="F692" s="20"/>
      <c r="G692" s="20"/>
      <c r="H692" s="20"/>
      <c r="I692" s="21"/>
      <c r="J692" s="15"/>
      <c r="K692" s="21"/>
      <c r="M692" s="19"/>
      <c r="N692" s="17"/>
      <c r="Q692" s="20"/>
    </row>
    <row r="693" spans="1:17" ht="14.25" customHeight="1" x14ac:dyDescent="0.25">
      <c r="A693" s="15"/>
      <c r="B693" s="15"/>
      <c r="C693" s="15"/>
      <c r="D693" s="20"/>
      <c r="E693" s="20"/>
      <c r="F693" s="20"/>
      <c r="G693" s="20"/>
      <c r="H693" s="20"/>
      <c r="I693" s="21"/>
      <c r="J693" s="15"/>
      <c r="K693" s="21"/>
      <c r="M693" s="19"/>
      <c r="N693" s="17"/>
      <c r="Q693" s="20"/>
    </row>
    <row r="694" spans="1:17" ht="14.25" customHeight="1" x14ac:dyDescent="0.25">
      <c r="A694" s="15"/>
      <c r="B694" s="15"/>
      <c r="C694" s="15"/>
      <c r="D694" s="20"/>
      <c r="E694" s="20"/>
      <c r="F694" s="20"/>
      <c r="G694" s="20"/>
      <c r="H694" s="20"/>
      <c r="I694" s="21"/>
      <c r="J694" s="15"/>
      <c r="K694" s="21"/>
      <c r="M694" s="19"/>
      <c r="N694" s="17"/>
      <c r="Q694" s="20"/>
    </row>
    <row r="695" spans="1:17" ht="14.25" customHeight="1" x14ac:dyDescent="0.25">
      <c r="A695" s="15"/>
      <c r="B695" s="15"/>
      <c r="C695" s="15"/>
      <c r="D695" s="20"/>
      <c r="E695" s="20"/>
      <c r="F695" s="20"/>
      <c r="G695" s="20"/>
      <c r="H695" s="20"/>
      <c r="I695" s="21"/>
      <c r="J695" s="15"/>
      <c r="K695" s="21"/>
      <c r="M695" s="19"/>
      <c r="N695" s="17"/>
      <c r="Q695" s="20"/>
    </row>
    <row r="696" spans="1:17" ht="14.25" customHeight="1" x14ac:dyDescent="0.25">
      <c r="A696" s="15"/>
      <c r="B696" s="15"/>
      <c r="C696" s="15"/>
      <c r="D696" s="20"/>
      <c r="E696" s="20"/>
      <c r="F696" s="20"/>
      <c r="G696" s="20"/>
      <c r="H696" s="20"/>
      <c r="I696" s="21"/>
      <c r="J696" s="15"/>
      <c r="K696" s="21"/>
      <c r="M696" s="19"/>
      <c r="N696" s="17"/>
      <c r="Q696" s="20"/>
    </row>
    <row r="697" spans="1:17" ht="14.25" customHeight="1" x14ac:dyDescent="0.25">
      <c r="A697" s="15"/>
      <c r="B697" s="15"/>
      <c r="C697" s="15"/>
      <c r="D697" s="20"/>
      <c r="E697" s="20"/>
      <c r="F697" s="20"/>
      <c r="G697" s="20"/>
      <c r="H697" s="20"/>
      <c r="I697" s="21"/>
      <c r="J697" s="15"/>
      <c r="K697" s="21"/>
      <c r="M697" s="19"/>
      <c r="N697" s="17"/>
      <c r="Q697" s="20"/>
    </row>
    <row r="698" spans="1:17" ht="14.25" customHeight="1" x14ac:dyDescent="0.25">
      <c r="A698" s="15"/>
      <c r="B698" s="15"/>
      <c r="C698" s="15"/>
      <c r="D698" s="20"/>
      <c r="E698" s="20"/>
      <c r="F698" s="20"/>
      <c r="G698" s="20"/>
      <c r="H698" s="20"/>
      <c r="I698" s="21"/>
      <c r="J698" s="15"/>
      <c r="K698" s="21"/>
      <c r="M698" s="19"/>
      <c r="N698" s="17"/>
      <c r="Q698" s="20"/>
    </row>
    <row r="699" spans="1:17" ht="14.25" customHeight="1" x14ac:dyDescent="0.25">
      <c r="A699" s="15"/>
      <c r="B699" s="15"/>
      <c r="C699" s="15"/>
      <c r="D699" s="20"/>
      <c r="E699" s="20"/>
      <c r="F699" s="20"/>
      <c r="G699" s="20"/>
      <c r="H699" s="20"/>
      <c r="I699" s="21"/>
      <c r="J699" s="15"/>
      <c r="K699" s="21"/>
      <c r="M699" s="19"/>
      <c r="N699" s="17"/>
      <c r="Q699" s="20"/>
    </row>
    <row r="700" spans="1:17" ht="14.25" customHeight="1" x14ac:dyDescent="0.25">
      <c r="A700" s="15"/>
      <c r="B700" s="15"/>
      <c r="C700" s="15"/>
      <c r="D700" s="20"/>
      <c r="E700" s="20"/>
      <c r="F700" s="20"/>
      <c r="G700" s="20"/>
      <c r="H700" s="20"/>
      <c r="I700" s="21"/>
      <c r="J700" s="15"/>
      <c r="K700" s="21"/>
      <c r="M700" s="19"/>
      <c r="N700" s="17"/>
      <c r="Q700" s="20"/>
    </row>
    <row r="701" spans="1:17" ht="14.25" customHeight="1" x14ac:dyDescent="0.25">
      <c r="A701" s="15"/>
      <c r="B701" s="15"/>
      <c r="C701" s="15"/>
      <c r="D701" s="20"/>
      <c r="E701" s="20"/>
      <c r="F701" s="20"/>
      <c r="G701" s="20"/>
      <c r="H701" s="20"/>
      <c r="I701" s="21"/>
      <c r="J701" s="15"/>
      <c r="K701" s="21"/>
      <c r="M701" s="19"/>
      <c r="N701" s="17"/>
      <c r="Q701" s="20"/>
    </row>
    <row r="702" spans="1:17" ht="14.25" customHeight="1" x14ac:dyDescent="0.25">
      <c r="A702" s="15"/>
      <c r="B702" s="15"/>
      <c r="C702" s="15"/>
      <c r="D702" s="20"/>
      <c r="E702" s="20"/>
      <c r="F702" s="20"/>
      <c r="G702" s="20"/>
      <c r="H702" s="20"/>
      <c r="I702" s="21"/>
      <c r="J702" s="15"/>
      <c r="K702" s="21"/>
      <c r="M702" s="19"/>
      <c r="N702" s="17"/>
      <c r="Q702" s="20"/>
    </row>
    <row r="703" spans="1:17" ht="14.25" customHeight="1" x14ac:dyDescent="0.25">
      <c r="A703" s="15"/>
      <c r="B703" s="15"/>
      <c r="C703" s="15"/>
      <c r="D703" s="20"/>
      <c r="E703" s="20"/>
      <c r="F703" s="20"/>
      <c r="G703" s="20"/>
      <c r="H703" s="20"/>
      <c r="I703" s="21"/>
      <c r="J703" s="15"/>
      <c r="K703" s="21"/>
      <c r="M703" s="19"/>
      <c r="N703" s="17"/>
      <c r="Q703" s="20"/>
    </row>
    <row r="704" spans="1:17" ht="14.25" customHeight="1" x14ac:dyDescent="0.25">
      <c r="A704" s="15"/>
      <c r="B704" s="15"/>
      <c r="C704" s="15"/>
      <c r="D704" s="20"/>
      <c r="E704" s="20"/>
      <c r="F704" s="20"/>
      <c r="G704" s="20"/>
      <c r="H704" s="20"/>
      <c r="I704" s="21"/>
      <c r="J704" s="15"/>
      <c r="K704" s="21"/>
      <c r="M704" s="19"/>
      <c r="N704" s="17"/>
      <c r="Q704" s="20"/>
    </row>
    <row r="705" spans="1:17" ht="14.25" customHeight="1" x14ac:dyDescent="0.25">
      <c r="A705" s="15"/>
      <c r="B705" s="15"/>
      <c r="C705" s="15"/>
      <c r="D705" s="20"/>
      <c r="E705" s="20"/>
      <c r="F705" s="20"/>
      <c r="G705" s="20"/>
      <c r="H705" s="20"/>
      <c r="I705" s="21"/>
      <c r="J705" s="15"/>
      <c r="K705" s="21"/>
      <c r="M705" s="19"/>
      <c r="N705" s="17"/>
      <c r="Q705" s="20"/>
    </row>
    <row r="706" spans="1:17" ht="14.25" customHeight="1" x14ac:dyDescent="0.25">
      <c r="A706" s="15"/>
      <c r="B706" s="15"/>
      <c r="C706" s="15"/>
      <c r="D706" s="20"/>
      <c r="E706" s="20"/>
      <c r="F706" s="20"/>
      <c r="G706" s="20"/>
      <c r="H706" s="20"/>
      <c r="I706" s="21"/>
      <c r="J706" s="15"/>
      <c r="K706" s="21"/>
      <c r="M706" s="19"/>
      <c r="N706" s="17"/>
      <c r="Q706" s="20"/>
    </row>
    <row r="707" spans="1:17" ht="14.25" customHeight="1" x14ac:dyDescent="0.25">
      <c r="A707" s="15"/>
      <c r="B707" s="15"/>
      <c r="C707" s="15"/>
      <c r="D707" s="20"/>
      <c r="E707" s="20"/>
      <c r="F707" s="20"/>
      <c r="G707" s="20"/>
      <c r="H707" s="20"/>
      <c r="I707" s="21"/>
      <c r="J707" s="15"/>
      <c r="K707" s="21"/>
      <c r="M707" s="19"/>
      <c r="N707" s="17"/>
      <c r="Q707" s="20"/>
    </row>
    <row r="708" spans="1:17" ht="14.25" customHeight="1" x14ac:dyDescent="0.25">
      <c r="A708" s="15"/>
      <c r="B708" s="15"/>
      <c r="C708" s="15"/>
      <c r="D708" s="20"/>
      <c r="E708" s="20"/>
      <c r="F708" s="20"/>
      <c r="G708" s="20"/>
      <c r="H708" s="20"/>
      <c r="I708" s="21"/>
      <c r="J708" s="15"/>
      <c r="K708" s="21"/>
      <c r="M708" s="19"/>
      <c r="N708" s="17"/>
      <c r="Q708" s="20"/>
    </row>
    <row r="709" spans="1:17" ht="14.25" customHeight="1" x14ac:dyDescent="0.25">
      <c r="A709" s="15"/>
      <c r="B709" s="15"/>
      <c r="C709" s="15"/>
      <c r="D709" s="20"/>
      <c r="E709" s="20"/>
      <c r="F709" s="20"/>
      <c r="G709" s="20"/>
      <c r="H709" s="20"/>
      <c r="I709" s="21"/>
      <c r="J709" s="15"/>
      <c r="K709" s="21"/>
      <c r="M709" s="19"/>
      <c r="N709" s="17"/>
      <c r="Q709" s="20"/>
    </row>
    <row r="710" spans="1:17" ht="14.25" customHeight="1" x14ac:dyDescent="0.25">
      <c r="A710" s="15"/>
      <c r="B710" s="15"/>
      <c r="C710" s="15"/>
      <c r="D710" s="20"/>
      <c r="E710" s="20"/>
      <c r="F710" s="20"/>
      <c r="G710" s="20"/>
      <c r="H710" s="20"/>
      <c r="I710" s="21"/>
      <c r="J710" s="15"/>
      <c r="K710" s="21"/>
      <c r="M710" s="19"/>
      <c r="N710" s="17"/>
      <c r="Q710" s="20"/>
    </row>
    <row r="711" spans="1:17" ht="14.25" customHeight="1" x14ac:dyDescent="0.25">
      <c r="A711" s="15"/>
      <c r="B711" s="15"/>
      <c r="C711" s="15"/>
      <c r="D711" s="20"/>
      <c r="E711" s="20"/>
      <c r="F711" s="20"/>
      <c r="G711" s="20"/>
      <c r="H711" s="20"/>
      <c r="I711" s="21"/>
      <c r="J711" s="15"/>
      <c r="K711" s="21"/>
      <c r="M711" s="19"/>
      <c r="N711" s="17"/>
      <c r="Q711" s="20"/>
    </row>
    <row r="712" spans="1:17" ht="14.25" customHeight="1" x14ac:dyDescent="0.25">
      <c r="A712" s="15"/>
      <c r="B712" s="15"/>
      <c r="C712" s="15"/>
      <c r="D712" s="20"/>
      <c r="E712" s="20"/>
      <c r="F712" s="20"/>
      <c r="G712" s="20"/>
      <c r="H712" s="20"/>
      <c r="I712" s="21"/>
      <c r="J712" s="15"/>
      <c r="K712" s="21"/>
      <c r="M712" s="19"/>
      <c r="N712" s="17"/>
      <c r="Q712" s="20"/>
    </row>
    <row r="713" spans="1:17" ht="14.25" customHeight="1" x14ac:dyDescent="0.25">
      <c r="A713" s="15"/>
      <c r="B713" s="15"/>
      <c r="C713" s="15"/>
      <c r="D713" s="20"/>
      <c r="E713" s="20"/>
      <c r="F713" s="20"/>
      <c r="G713" s="20"/>
      <c r="H713" s="20"/>
      <c r="I713" s="21"/>
      <c r="J713" s="15"/>
      <c r="K713" s="21"/>
      <c r="M713" s="19"/>
      <c r="N713" s="17"/>
      <c r="Q713" s="20"/>
    </row>
    <row r="714" spans="1:17" ht="14.25" customHeight="1" x14ac:dyDescent="0.25">
      <c r="A714" s="15"/>
      <c r="B714" s="15"/>
      <c r="C714" s="15"/>
      <c r="D714" s="20"/>
      <c r="E714" s="20"/>
      <c r="F714" s="20"/>
      <c r="G714" s="20"/>
      <c r="H714" s="20"/>
      <c r="I714" s="21"/>
      <c r="J714" s="15"/>
      <c r="K714" s="21"/>
      <c r="M714" s="19"/>
      <c r="N714" s="17"/>
      <c r="Q714" s="20"/>
    </row>
    <row r="715" spans="1:17" ht="14.25" customHeight="1" x14ac:dyDescent="0.25">
      <c r="A715" s="15"/>
      <c r="B715" s="15"/>
      <c r="C715" s="15"/>
      <c r="D715" s="20"/>
      <c r="E715" s="20"/>
      <c r="F715" s="20"/>
      <c r="G715" s="20"/>
      <c r="H715" s="20"/>
      <c r="I715" s="21"/>
      <c r="J715" s="15"/>
      <c r="K715" s="21"/>
      <c r="M715" s="19"/>
      <c r="N715" s="17"/>
      <c r="Q715" s="20"/>
    </row>
    <row r="716" spans="1:17" ht="14.25" customHeight="1" x14ac:dyDescent="0.25">
      <c r="A716" s="15"/>
      <c r="B716" s="15"/>
      <c r="C716" s="15"/>
      <c r="D716" s="20"/>
      <c r="E716" s="20"/>
      <c r="F716" s="20"/>
      <c r="G716" s="20"/>
      <c r="H716" s="20"/>
      <c r="I716" s="21"/>
      <c r="J716" s="15"/>
      <c r="K716" s="21"/>
      <c r="M716" s="19"/>
      <c r="N716" s="17"/>
      <c r="Q716" s="20"/>
    </row>
    <row r="717" spans="1:17" ht="14.25" customHeight="1" x14ac:dyDescent="0.25">
      <c r="A717" s="15"/>
      <c r="B717" s="15"/>
      <c r="C717" s="15"/>
      <c r="D717" s="20"/>
      <c r="E717" s="20"/>
      <c r="F717" s="20"/>
      <c r="G717" s="20"/>
      <c r="H717" s="20"/>
      <c r="I717" s="21"/>
      <c r="J717" s="15"/>
      <c r="K717" s="21"/>
      <c r="M717" s="19"/>
      <c r="N717" s="17"/>
      <c r="Q717" s="20"/>
    </row>
    <row r="718" spans="1:17" ht="14.25" customHeight="1" x14ac:dyDescent="0.25">
      <c r="A718" s="15"/>
      <c r="B718" s="15"/>
      <c r="C718" s="15"/>
      <c r="D718" s="20"/>
      <c r="E718" s="20"/>
      <c r="F718" s="20"/>
      <c r="G718" s="20"/>
      <c r="H718" s="20"/>
      <c r="I718" s="21"/>
      <c r="J718" s="15"/>
      <c r="K718" s="21"/>
      <c r="M718" s="19"/>
      <c r="N718" s="17"/>
      <c r="Q718" s="20"/>
    </row>
    <row r="719" spans="1:17" ht="14.25" customHeight="1" x14ac:dyDescent="0.25">
      <c r="A719" s="15"/>
      <c r="B719" s="15"/>
      <c r="C719" s="15"/>
      <c r="D719" s="20"/>
      <c r="E719" s="20"/>
      <c r="F719" s="20"/>
      <c r="G719" s="20"/>
      <c r="H719" s="20"/>
      <c r="I719" s="21"/>
      <c r="J719" s="15"/>
      <c r="K719" s="21"/>
      <c r="M719" s="19"/>
      <c r="N719" s="17"/>
      <c r="Q719" s="20"/>
    </row>
    <row r="720" spans="1:17" ht="14.25" customHeight="1" x14ac:dyDescent="0.25">
      <c r="A720" s="15"/>
      <c r="B720" s="15"/>
      <c r="C720" s="15"/>
      <c r="D720" s="20"/>
      <c r="E720" s="20"/>
      <c r="F720" s="20"/>
      <c r="G720" s="20"/>
      <c r="H720" s="20"/>
      <c r="I720" s="21"/>
      <c r="J720" s="15"/>
      <c r="K720" s="21"/>
      <c r="M720" s="19"/>
      <c r="N720" s="17"/>
      <c r="Q720" s="20"/>
    </row>
    <row r="721" spans="1:17" ht="14.25" customHeight="1" x14ac:dyDescent="0.25">
      <c r="A721" s="15"/>
      <c r="B721" s="15"/>
      <c r="C721" s="15"/>
      <c r="D721" s="20"/>
      <c r="E721" s="20"/>
      <c r="F721" s="20"/>
      <c r="G721" s="20"/>
      <c r="H721" s="20"/>
      <c r="I721" s="21"/>
      <c r="J721" s="15"/>
      <c r="K721" s="21"/>
      <c r="M721" s="19"/>
      <c r="N721" s="17"/>
      <c r="Q721" s="20"/>
    </row>
    <row r="722" spans="1:17" ht="14.25" customHeight="1" x14ac:dyDescent="0.25">
      <c r="A722" s="15"/>
      <c r="B722" s="15"/>
      <c r="C722" s="15"/>
      <c r="D722" s="20"/>
      <c r="E722" s="20"/>
      <c r="F722" s="20"/>
      <c r="G722" s="20"/>
      <c r="H722" s="20"/>
      <c r="I722" s="21"/>
      <c r="J722" s="15"/>
      <c r="K722" s="21"/>
      <c r="M722" s="19"/>
      <c r="N722" s="17"/>
      <c r="Q722" s="20"/>
    </row>
    <row r="723" spans="1:17" ht="14.25" customHeight="1" x14ac:dyDescent="0.25">
      <c r="A723" s="15"/>
      <c r="B723" s="15"/>
      <c r="C723" s="15"/>
      <c r="D723" s="20"/>
      <c r="E723" s="20"/>
      <c r="F723" s="20"/>
      <c r="G723" s="20"/>
      <c r="H723" s="20"/>
      <c r="I723" s="21"/>
      <c r="J723" s="15"/>
      <c r="K723" s="21"/>
      <c r="M723" s="19"/>
      <c r="N723" s="17"/>
      <c r="Q723" s="20"/>
    </row>
    <row r="724" spans="1:17" ht="14.25" customHeight="1" x14ac:dyDescent="0.25">
      <c r="A724" s="15"/>
      <c r="B724" s="15"/>
      <c r="C724" s="15"/>
      <c r="D724" s="20"/>
      <c r="E724" s="20"/>
      <c r="F724" s="20"/>
      <c r="G724" s="20"/>
      <c r="H724" s="20"/>
      <c r="I724" s="21"/>
      <c r="J724" s="15"/>
      <c r="K724" s="21"/>
      <c r="M724" s="19"/>
      <c r="N724" s="17"/>
      <c r="Q724" s="20"/>
    </row>
    <row r="725" spans="1:17" ht="14.25" customHeight="1" x14ac:dyDescent="0.25">
      <c r="A725" s="15"/>
      <c r="B725" s="15"/>
      <c r="C725" s="15"/>
      <c r="D725" s="20"/>
      <c r="E725" s="20"/>
      <c r="F725" s="20"/>
      <c r="G725" s="20"/>
      <c r="H725" s="20"/>
      <c r="I725" s="21"/>
      <c r="J725" s="15"/>
      <c r="K725" s="21"/>
      <c r="M725" s="19"/>
      <c r="N725" s="17"/>
      <c r="Q725" s="20"/>
    </row>
    <row r="726" spans="1:17" ht="14.25" customHeight="1" x14ac:dyDescent="0.25">
      <c r="A726" s="15"/>
      <c r="B726" s="15"/>
      <c r="C726" s="15"/>
      <c r="D726" s="20"/>
      <c r="E726" s="20"/>
      <c r="F726" s="20"/>
      <c r="G726" s="20"/>
      <c r="H726" s="20"/>
      <c r="I726" s="21"/>
      <c r="J726" s="15"/>
      <c r="K726" s="21"/>
      <c r="M726" s="19"/>
      <c r="N726" s="17"/>
      <c r="Q726" s="20"/>
    </row>
    <row r="727" spans="1:17" ht="14.25" customHeight="1" x14ac:dyDescent="0.25">
      <c r="A727" s="15"/>
      <c r="B727" s="15"/>
      <c r="C727" s="15"/>
      <c r="D727" s="20"/>
      <c r="E727" s="20"/>
      <c r="F727" s="20"/>
      <c r="G727" s="20"/>
      <c r="H727" s="20"/>
      <c r="I727" s="21"/>
      <c r="J727" s="15"/>
      <c r="K727" s="21"/>
      <c r="M727" s="19"/>
      <c r="N727" s="17"/>
      <c r="Q727" s="20"/>
    </row>
    <row r="728" spans="1:17" ht="14.25" customHeight="1" x14ac:dyDescent="0.25">
      <c r="A728" s="15"/>
      <c r="B728" s="15"/>
      <c r="C728" s="15"/>
      <c r="D728" s="20"/>
      <c r="E728" s="20"/>
      <c r="F728" s="20"/>
      <c r="G728" s="20"/>
      <c r="H728" s="20"/>
      <c r="I728" s="21"/>
      <c r="J728" s="15"/>
      <c r="K728" s="21"/>
      <c r="M728" s="19"/>
      <c r="N728" s="17"/>
      <c r="Q728" s="20"/>
    </row>
    <row r="729" spans="1:17" ht="14.25" customHeight="1" x14ac:dyDescent="0.25">
      <c r="A729" s="15"/>
      <c r="B729" s="15"/>
      <c r="C729" s="15"/>
      <c r="D729" s="20"/>
      <c r="E729" s="20"/>
      <c r="F729" s="20"/>
      <c r="G729" s="20"/>
      <c r="H729" s="20"/>
      <c r="I729" s="21"/>
      <c r="J729" s="15"/>
      <c r="K729" s="21"/>
      <c r="M729" s="19"/>
      <c r="N729" s="17"/>
      <c r="Q729" s="20"/>
    </row>
    <row r="730" spans="1:17" ht="14.25" customHeight="1" x14ac:dyDescent="0.25">
      <c r="A730" s="15"/>
      <c r="B730" s="15"/>
      <c r="C730" s="15"/>
      <c r="D730" s="20"/>
      <c r="E730" s="20"/>
      <c r="F730" s="20"/>
      <c r="G730" s="20"/>
      <c r="H730" s="20"/>
      <c r="I730" s="21"/>
      <c r="J730" s="15"/>
      <c r="K730" s="21"/>
      <c r="M730" s="19"/>
      <c r="N730" s="17"/>
      <c r="Q730" s="20"/>
    </row>
    <row r="731" spans="1:17" ht="14.25" customHeight="1" x14ac:dyDescent="0.25">
      <c r="A731" s="15"/>
      <c r="B731" s="15"/>
      <c r="C731" s="15"/>
      <c r="D731" s="20"/>
      <c r="E731" s="20"/>
      <c r="F731" s="20"/>
      <c r="G731" s="20"/>
      <c r="H731" s="20"/>
      <c r="I731" s="21"/>
      <c r="J731" s="15"/>
      <c r="K731" s="21"/>
      <c r="M731" s="19"/>
      <c r="N731" s="17"/>
      <c r="Q731" s="20"/>
    </row>
    <row r="732" spans="1:17" ht="14.25" customHeight="1" x14ac:dyDescent="0.25">
      <c r="A732" s="15"/>
      <c r="B732" s="15"/>
      <c r="C732" s="15"/>
      <c r="D732" s="20"/>
      <c r="E732" s="20"/>
      <c r="F732" s="20"/>
      <c r="G732" s="20"/>
      <c r="H732" s="20"/>
      <c r="I732" s="21"/>
      <c r="J732" s="15"/>
      <c r="K732" s="21"/>
      <c r="M732" s="19"/>
      <c r="N732" s="17"/>
      <c r="Q732" s="20"/>
    </row>
    <row r="733" spans="1:17" ht="14.25" customHeight="1" x14ac:dyDescent="0.25">
      <c r="A733" s="15"/>
      <c r="B733" s="15"/>
      <c r="C733" s="15"/>
      <c r="D733" s="20"/>
      <c r="E733" s="20"/>
      <c r="F733" s="20"/>
      <c r="G733" s="20"/>
      <c r="H733" s="20"/>
      <c r="I733" s="21"/>
      <c r="J733" s="15"/>
      <c r="K733" s="21"/>
      <c r="M733" s="19"/>
      <c r="N733" s="17"/>
      <c r="Q733" s="20"/>
    </row>
    <row r="734" spans="1:17" ht="14.25" customHeight="1" x14ac:dyDescent="0.25">
      <c r="A734" s="15"/>
      <c r="B734" s="15"/>
      <c r="C734" s="15"/>
      <c r="D734" s="20"/>
      <c r="E734" s="20"/>
      <c r="F734" s="20"/>
      <c r="G734" s="20"/>
      <c r="H734" s="20"/>
      <c r="I734" s="21"/>
      <c r="J734" s="15"/>
      <c r="K734" s="21"/>
      <c r="M734" s="19"/>
      <c r="N734" s="17"/>
      <c r="Q734" s="20"/>
    </row>
    <row r="735" spans="1:17" ht="14.25" customHeight="1" x14ac:dyDescent="0.25">
      <c r="A735" s="15"/>
      <c r="B735" s="15"/>
      <c r="C735" s="15"/>
      <c r="D735" s="20"/>
      <c r="E735" s="20"/>
      <c r="F735" s="20"/>
      <c r="G735" s="20"/>
      <c r="H735" s="20"/>
      <c r="I735" s="21"/>
      <c r="J735" s="15"/>
      <c r="K735" s="21"/>
      <c r="M735" s="19"/>
      <c r="N735" s="17"/>
      <c r="Q735" s="20"/>
    </row>
    <row r="736" spans="1:17" ht="14.25" customHeight="1" x14ac:dyDescent="0.25">
      <c r="A736" s="15"/>
      <c r="B736" s="15"/>
      <c r="C736" s="15"/>
      <c r="D736" s="20"/>
      <c r="E736" s="20"/>
      <c r="F736" s="20"/>
      <c r="G736" s="20"/>
      <c r="H736" s="20"/>
      <c r="I736" s="21"/>
      <c r="J736" s="15"/>
      <c r="K736" s="21"/>
      <c r="M736" s="19"/>
      <c r="N736" s="17"/>
      <c r="Q736" s="20"/>
    </row>
    <row r="737" spans="1:17" ht="14.25" customHeight="1" x14ac:dyDescent="0.25">
      <c r="A737" s="15"/>
      <c r="B737" s="15"/>
      <c r="C737" s="15"/>
      <c r="D737" s="20"/>
      <c r="E737" s="20"/>
      <c r="F737" s="20"/>
      <c r="G737" s="20"/>
      <c r="H737" s="20"/>
      <c r="I737" s="21"/>
      <c r="J737" s="15"/>
      <c r="K737" s="21"/>
      <c r="M737" s="19"/>
      <c r="N737" s="17"/>
      <c r="Q737" s="20"/>
    </row>
    <row r="738" spans="1:17" ht="14.25" customHeight="1" x14ac:dyDescent="0.25">
      <c r="A738" s="15"/>
      <c r="B738" s="15"/>
      <c r="C738" s="15"/>
      <c r="D738" s="20"/>
      <c r="E738" s="20"/>
      <c r="F738" s="20"/>
      <c r="G738" s="20"/>
      <c r="H738" s="20"/>
      <c r="I738" s="21"/>
      <c r="J738" s="15"/>
      <c r="K738" s="21"/>
      <c r="M738" s="19"/>
      <c r="N738" s="17"/>
      <c r="Q738" s="20"/>
    </row>
    <row r="739" spans="1:17" ht="14.25" customHeight="1" x14ac:dyDescent="0.25">
      <c r="A739" s="15"/>
      <c r="B739" s="15"/>
      <c r="C739" s="15"/>
      <c r="D739" s="20"/>
      <c r="E739" s="20"/>
      <c r="F739" s="20"/>
      <c r="G739" s="20"/>
      <c r="H739" s="20"/>
      <c r="I739" s="21"/>
      <c r="J739" s="15"/>
      <c r="K739" s="21"/>
      <c r="M739" s="19"/>
      <c r="N739" s="17"/>
      <c r="Q739" s="20"/>
    </row>
    <row r="740" spans="1:17" ht="14.25" customHeight="1" x14ac:dyDescent="0.25">
      <c r="A740" s="15"/>
      <c r="B740" s="15"/>
      <c r="C740" s="15"/>
      <c r="D740" s="20"/>
      <c r="E740" s="20"/>
      <c r="F740" s="20"/>
      <c r="G740" s="20"/>
      <c r="H740" s="20"/>
      <c r="I740" s="21"/>
      <c r="J740" s="15"/>
      <c r="K740" s="21"/>
      <c r="M740" s="19"/>
      <c r="N740" s="17"/>
      <c r="Q740" s="20"/>
    </row>
    <row r="741" spans="1:17" ht="14.25" customHeight="1" x14ac:dyDescent="0.25">
      <c r="A741" s="15"/>
      <c r="B741" s="15"/>
      <c r="C741" s="15"/>
      <c r="D741" s="20"/>
      <c r="E741" s="20"/>
      <c r="F741" s="20"/>
      <c r="G741" s="20"/>
      <c r="H741" s="20"/>
      <c r="I741" s="21"/>
      <c r="J741" s="15"/>
      <c r="K741" s="21"/>
      <c r="M741" s="19"/>
      <c r="N741" s="17"/>
      <c r="Q741" s="20"/>
    </row>
    <row r="742" spans="1:17" ht="14.25" customHeight="1" x14ac:dyDescent="0.25">
      <c r="A742" s="15"/>
      <c r="B742" s="15"/>
      <c r="C742" s="15"/>
      <c r="D742" s="20"/>
      <c r="E742" s="20"/>
      <c r="F742" s="20"/>
      <c r="G742" s="20"/>
      <c r="H742" s="20"/>
      <c r="I742" s="21"/>
      <c r="J742" s="15"/>
      <c r="K742" s="21"/>
      <c r="M742" s="19"/>
      <c r="N742" s="17"/>
      <c r="Q742" s="20"/>
    </row>
    <row r="743" spans="1:17" ht="14.25" customHeight="1" x14ac:dyDescent="0.25">
      <c r="A743" s="15"/>
      <c r="B743" s="15"/>
      <c r="C743" s="15"/>
      <c r="D743" s="20"/>
      <c r="E743" s="20"/>
      <c r="F743" s="20"/>
      <c r="G743" s="20"/>
      <c r="H743" s="20"/>
      <c r="I743" s="21"/>
      <c r="J743" s="15"/>
      <c r="K743" s="21"/>
      <c r="M743" s="19"/>
      <c r="N743" s="17"/>
      <c r="Q743" s="20"/>
    </row>
    <row r="744" spans="1:17" ht="14.25" customHeight="1" x14ac:dyDescent="0.25">
      <c r="A744" s="15"/>
      <c r="B744" s="15"/>
      <c r="C744" s="15"/>
      <c r="D744" s="20"/>
      <c r="E744" s="20"/>
      <c r="F744" s="20"/>
      <c r="G744" s="20"/>
      <c r="H744" s="20"/>
      <c r="I744" s="21"/>
      <c r="J744" s="15"/>
      <c r="K744" s="21"/>
      <c r="M744" s="19"/>
      <c r="N744" s="17"/>
      <c r="Q744" s="20"/>
    </row>
    <row r="745" spans="1:17" ht="14.25" customHeight="1" x14ac:dyDescent="0.25">
      <c r="A745" s="15"/>
      <c r="B745" s="15"/>
      <c r="C745" s="15"/>
      <c r="D745" s="20"/>
      <c r="E745" s="20"/>
      <c r="F745" s="20"/>
      <c r="G745" s="20"/>
      <c r="H745" s="20"/>
      <c r="I745" s="21"/>
      <c r="J745" s="15"/>
      <c r="K745" s="21"/>
      <c r="M745" s="19"/>
      <c r="N745" s="17"/>
      <c r="Q745" s="20"/>
    </row>
    <row r="746" spans="1:17" ht="14.25" customHeight="1" x14ac:dyDescent="0.25">
      <c r="A746" s="15"/>
      <c r="B746" s="15"/>
      <c r="C746" s="15"/>
      <c r="D746" s="20"/>
      <c r="E746" s="20"/>
      <c r="F746" s="20"/>
      <c r="G746" s="20"/>
      <c r="H746" s="20"/>
      <c r="I746" s="21"/>
      <c r="J746" s="15"/>
      <c r="K746" s="21"/>
      <c r="M746" s="19"/>
      <c r="N746" s="17"/>
      <c r="Q746" s="20"/>
    </row>
    <row r="747" spans="1:17" ht="14.25" customHeight="1" x14ac:dyDescent="0.25">
      <c r="A747" s="15"/>
      <c r="B747" s="15"/>
      <c r="C747" s="15"/>
      <c r="D747" s="20"/>
      <c r="E747" s="20"/>
      <c r="F747" s="20"/>
      <c r="G747" s="20"/>
      <c r="H747" s="20"/>
      <c r="I747" s="21"/>
      <c r="J747" s="15"/>
      <c r="K747" s="21"/>
      <c r="M747" s="19"/>
      <c r="N747" s="17"/>
      <c r="Q747" s="20"/>
    </row>
    <row r="748" spans="1:17" ht="14.25" customHeight="1" x14ac:dyDescent="0.25">
      <c r="A748" s="15"/>
      <c r="B748" s="15"/>
      <c r="C748" s="15"/>
      <c r="D748" s="20"/>
      <c r="E748" s="20"/>
      <c r="F748" s="20"/>
      <c r="G748" s="20"/>
      <c r="H748" s="20"/>
      <c r="I748" s="21"/>
      <c r="J748" s="15"/>
      <c r="K748" s="21"/>
      <c r="M748" s="19"/>
      <c r="N748" s="17"/>
      <c r="Q748" s="20"/>
    </row>
    <row r="749" spans="1:17" ht="14.25" customHeight="1" x14ac:dyDescent="0.25">
      <c r="A749" s="15"/>
      <c r="B749" s="15"/>
      <c r="C749" s="15"/>
      <c r="D749" s="20"/>
      <c r="E749" s="20"/>
      <c r="F749" s="20"/>
      <c r="G749" s="20"/>
      <c r="H749" s="20"/>
      <c r="I749" s="21"/>
      <c r="J749" s="15"/>
      <c r="K749" s="21"/>
      <c r="M749" s="19"/>
      <c r="N749" s="17"/>
      <c r="Q749" s="20"/>
    </row>
    <row r="750" spans="1:17" ht="14.25" customHeight="1" x14ac:dyDescent="0.25">
      <c r="A750" s="15"/>
      <c r="B750" s="15"/>
      <c r="C750" s="15"/>
      <c r="D750" s="20"/>
      <c r="E750" s="20"/>
      <c r="F750" s="20"/>
      <c r="G750" s="20"/>
      <c r="H750" s="20"/>
      <c r="I750" s="21"/>
      <c r="J750" s="15"/>
      <c r="K750" s="21"/>
      <c r="M750" s="19"/>
      <c r="N750" s="17"/>
      <c r="Q750" s="20"/>
    </row>
    <row r="751" spans="1:17" ht="14.25" customHeight="1" x14ac:dyDescent="0.25">
      <c r="A751" s="15"/>
      <c r="B751" s="15"/>
      <c r="C751" s="15"/>
      <c r="D751" s="20"/>
      <c r="E751" s="20"/>
      <c r="F751" s="20"/>
      <c r="G751" s="20"/>
      <c r="H751" s="20"/>
      <c r="I751" s="21"/>
      <c r="J751" s="15"/>
      <c r="K751" s="21"/>
      <c r="M751" s="19"/>
      <c r="N751" s="17"/>
      <c r="Q751" s="20"/>
    </row>
    <row r="752" spans="1:17" ht="14.25" customHeight="1" x14ac:dyDescent="0.25">
      <c r="A752" s="15"/>
      <c r="B752" s="15"/>
      <c r="C752" s="15"/>
      <c r="D752" s="20"/>
      <c r="E752" s="20"/>
      <c r="F752" s="20"/>
      <c r="G752" s="20"/>
      <c r="H752" s="20"/>
      <c r="I752" s="21"/>
      <c r="J752" s="15"/>
      <c r="K752" s="21"/>
      <c r="M752" s="19"/>
      <c r="N752" s="17"/>
      <c r="Q752" s="20"/>
    </row>
    <row r="753" spans="1:17" ht="14.25" customHeight="1" x14ac:dyDescent="0.25">
      <c r="A753" s="15"/>
      <c r="B753" s="15"/>
      <c r="C753" s="15"/>
      <c r="D753" s="20"/>
      <c r="E753" s="20"/>
      <c r="F753" s="20"/>
      <c r="G753" s="20"/>
      <c r="H753" s="20"/>
      <c r="I753" s="21"/>
      <c r="J753" s="15"/>
      <c r="K753" s="21"/>
      <c r="M753" s="19"/>
      <c r="N753" s="17"/>
      <c r="Q753" s="20"/>
    </row>
    <row r="754" spans="1:17" ht="14.25" customHeight="1" x14ac:dyDescent="0.25">
      <c r="A754" s="15"/>
      <c r="B754" s="15"/>
      <c r="C754" s="15"/>
      <c r="D754" s="20"/>
      <c r="E754" s="20"/>
      <c r="F754" s="20"/>
      <c r="G754" s="20"/>
      <c r="H754" s="20"/>
      <c r="I754" s="21"/>
      <c r="J754" s="15"/>
      <c r="K754" s="21"/>
      <c r="M754" s="19"/>
      <c r="N754" s="17"/>
      <c r="Q754" s="20"/>
    </row>
    <row r="755" spans="1:17" ht="14.25" customHeight="1" x14ac:dyDescent="0.25">
      <c r="A755" s="15"/>
      <c r="B755" s="15"/>
      <c r="C755" s="15"/>
      <c r="D755" s="20"/>
      <c r="E755" s="20"/>
      <c r="F755" s="20"/>
      <c r="G755" s="20"/>
      <c r="H755" s="20"/>
      <c r="I755" s="21"/>
      <c r="J755" s="15"/>
      <c r="K755" s="21"/>
      <c r="M755" s="19"/>
      <c r="N755" s="17"/>
      <c r="Q755" s="20"/>
    </row>
    <row r="756" spans="1:17" ht="14.25" customHeight="1" x14ac:dyDescent="0.25">
      <c r="A756" s="15"/>
      <c r="B756" s="15"/>
      <c r="C756" s="15"/>
      <c r="D756" s="20"/>
      <c r="E756" s="20"/>
      <c r="F756" s="20"/>
      <c r="G756" s="20"/>
      <c r="H756" s="20"/>
      <c r="I756" s="21"/>
      <c r="J756" s="15"/>
      <c r="K756" s="21"/>
      <c r="M756" s="19"/>
      <c r="N756" s="17"/>
      <c r="Q756" s="20"/>
    </row>
    <row r="757" spans="1:17" ht="14.25" customHeight="1" x14ac:dyDescent="0.25">
      <c r="A757" s="15"/>
      <c r="B757" s="15"/>
      <c r="C757" s="15"/>
      <c r="D757" s="20"/>
      <c r="E757" s="20"/>
      <c r="F757" s="20"/>
      <c r="G757" s="20"/>
      <c r="H757" s="20"/>
      <c r="I757" s="21"/>
      <c r="J757" s="15"/>
      <c r="K757" s="21"/>
      <c r="M757" s="19"/>
      <c r="N757" s="17"/>
      <c r="Q757" s="20"/>
    </row>
    <row r="758" spans="1:17" ht="14.25" customHeight="1" x14ac:dyDescent="0.25">
      <c r="A758" s="15"/>
      <c r="B758" s="15"/>
      <c r="C758" s="15"/>
      <c r="D758" s="20"/>
      <c r="E758" s="20"/>
      <c r="F758" s="20"/>
      <c r="G758" s="20"/>
      <c r="H758" s="20"/>
      <c r="I758" s="21"/>
      <c r="J758" s="15"/>
      <c r="K758" s="21"/>
      <c r="M758" s="19"/>
      <c r="N758" s="17"/>
      <c r="Q758" s="20"/>
    </row>
    <row r="759" spans="1:17" ht="14.25" customHeight="1" x14ac:dyDescent="0.25">
      <c r="A759" s="15"/>
      <c r="B759" s="15"/>
      <c r="C759" s="15"/>
      <c r="D759" s="20"/>
      <c r="E759" s="20"/>
      <c r="F759" s="20"/>
      <c r="G759" s="20"/>
      <c r="H759" s="20"/>
      <c r="I759" s="21"/>
      <c r="J759" s="15"/>
      <c r="K759" s="21"/>
      <c r="M759" s="19"/>
      <c r="N759" s="17"/>
      <c r="Q759" s="20"/>
    </row>
    <row r="760" spans="1:17" ht="14.25" customHeight="1" x14ac:dyDescent="0.25">
      <c r="A760" s="15"/>
      <c r="B760" s="15"/>
      <c r="C760" s="15"/>
      <c r="D760" s="20"/>
      <c r="E760" s="20"/>
      <c r="F760" s="20"/>
      <c r="G760" s="20"/>
      <c r="H760" s="20"/>
      <c r="I760" s="21"/>
      <c r="J760" s="15"/>
      <c r="K760" s="21"/>
      <c r="M760" s="19"/>
      <c r="N760" s="17"/>
      <c r="Q760" s="20"/>
    </row>
    <row r="761" spans="1:17" ht="14.25" customHeight="1" x14ac:dyDescent="0.25">
      <c r="A761" s="15"/>
      <c r="B761" s="15"/>
      <c r="C761" s="15"/>
      <c r="D761" s="20"/>
      <c r="E761" s="20"/>
      <c r="F761" s="20"/>
      <c r="G761" s="20"/>
      <c r="H761" s="20"/>
      <c r="I761" s="21"/>
      <c r="J761" s="15"/>
      <c r="K761" s="21"/>
      <c r="M761" s="19"/>
      <c r="N761" s="17"/>
      <c r="Q761" s="20"/>
    </row>
    <row r="762" spans="1:17" ht="14.25" customHeight="1" x14ac:dyDescent="0.25">
      <c r="A762" s="15"/>
      <c r="B762" s="15"/>
      <c r="C762" s="15"/>
      <c r="D762" s="20"/>
      <c r="E762" s="20"/>
      <c r="F762" s="20"/>
      <c r="G762" s="20"/>
      <c r="H762" s="20"/>
      <c r="I762" s="21"/>
      <c r="J762" s="15"/>
      <c r="K762" s="21"/>
      <c r="M762" s="19"/>
      <c r="N762" s="17"/>
      <c r="Q762" s="20"/>
    </row>
    <row r="763" spans="1:17" ht="14.25" customHeight="1" x14ac:dyDescent="0.25">
      <c r="A763" s="15"/>
      <c r="B763" s="15"/>
      <c r="C763" s="15"/>
      <c r="D763" s="20"/>
      <c r="E763" s="20"/>
      <c r="F763" s="20"/>
      <c r="G763" s="20"/>
      <c r="H763" s="20"/>
      <c r="I763" s="21"/>
      <c r="J763" s="15"/>
      <c r="K763" s="21"/>
      <c r="M763" s="19"/>
      <c r="N763" s="17"/>
      <c r="Q763" s="20"/>
    </row>
    <row r="764" spans="1:17" ht="14.25" customHeight="1" x14ac:dyDescent="0.25">
      <c r="A764" s="15"/>
      <c r="B764" s="15"/>
      <c r="C764" s="15"/>
      <c r="D764" s="20"/>
      <c r="E764" s="20"/>
      <c r="F764" s="20"/>
      <c r="G764" s="20"/>
      <c r="H764" s="20"/>
      <c r="I764" s="21"/>
      <c r="J764" s="15"/>
      <c r="K764" s="21"/>
      <c r="M764" s="19"/>
      <c r="N764" s="17"/>
      <c r="Q764" s="20"/>
    </row>
    <row r="765" spans="1:17" ht="14.25" customHeight="1" x14ac:dyDescent="0.25">
      <c r="A765" s="15"/>
      <c r="B765" s="15"/>
      <c r="C765" s="15"/>
      <c r="D765" s="20"/>
      <c r="E765" s="20"/>
      <c r="F765" s="20"/>
      <c r="G765" s="20"/>
      <c r="H765" s="20"/>
      <c r="I765" s="21"/>
      <c r="J765" s="15"/>
      <c r="K765" s="21"/>
      <c r="M765" s="19"/>
      <c r="N765" s="17"/>
      <c r="Q765" s="20"/>
    </row>
    <row r="766" spans="1:17" ht="14.25" customHeight="1" x14ac:dyDescent="0.25">
      <c r="A766" s="15"/>
      <c r="B766" s="15"/>
      <c r="C766" s="15"/>
      <c r="D766" s="20"/>
      <c r="E766" s="20"/>
      <c r="F766" s="20"/>
      <c r="G766" s="20"/>
      <c r="H766" s="20"/>
      <c r="I766" s="21"/>
      <c r="J766" s="15"/>
      <c r="K766" s="21"/>
      <c r="M766" s="19"/>
      <c r="N766" s="17"/>
      <c r="Q766" s="20"/>
    </row>
    <row r="767" spans="1:17" ht="14.25" customHeight="1" x14ac:dyDescent="0.25">
      <c r="A767" s="15"/>
      <c r="B767" s="15"/>
      <c r="C767" s="15"/>
      <c r="D767" s="20"/>
      <c r="E767" s="20"/>
      <c r="F767" s="20"/>
      <c r="G767" s="20"/>
      <c r="H767" s="20"/>
      <c r="I767" s="21"/>
      <c r="J767" s="15"/>
      <c r="K767" s="21"/>
      <c r="M767" s="19"/>
      <c r="N767" s="17"/>
      <c r="Q767" s="20"/>
    </row>
    <row r="768" spans="1:17" ht="14.25" customHeight="1" x14ac:dyDescent="0.25">
      <c r="A768" s="15"/>
      <c r="B768" s="15"/>
      <c r="C768" s="15"/>
      <c r="D768" s="20"/>
      <c r="E768" s="20"/>
      <c r="F768" s="20"/>
      <c r="G768" s="20"/>
      <c r="H768" s="20"/>
      <c r="I768" s="21"/>
      <c r="J768" s="15"/>
      <c r="K768" s="21"/>
      <c r="M768" s="19"/>
      <c r="N768" s="17"/>
      <c r="Q768" s="20"/>
    </row>
    <row r="769" spans="1:17" ht="14.25" customHeight="1" x14ac:dyDescent="0.25">
      <c r="A769" s="15"/>
      <c r="B769" s="15"/>
      <c r="C769" s="15"/>
      <c r="D769" s="20"/>
      <c r="E769" s="20"/>
      <c r="F769" s="20"/>
      <c r="G769" s="20"/>
      <c r="H769" s="20"/>
      <c r="I769" s="21"/>
      <c r="J769" s="15"/>
      <c r="K769" s="21"/>
      <c r="M769" s="19"/>
      <c r="N769" s="17"/>
      <c r="Q769" s="20"/>
    </row>
    <row r="770" spans="1:17" ht="14.25" customHeight="1" x14ac:dyDescent="0.25">
      <c r="A770" s="15"/>
      <c r="B770" s="15"/>
      <c r="C770" s="15"/>
      <c r="D770" s="20"/>
      <c r="E770" s="20"/>
      <c r="F770" s="20"/>
      <c r="G770" s="20"/>
      <c r="H770" s="20"/>
      <c r="I770" s="21"/>
      <c r="J770" s="15"/>
      <c r="K770" s="21"/>
      <c r="M770" s="19"/>
      <c r="N770" s="17"/>
      <c r="Q770" s="20"/>
    </row>
    <row r="771" spans="1:17" ht="14.25" customHeight="1" x14ac:dyDescent="0.25">
      <c r="A771" s="15"/>
      <c r="B771" s="15"/>
      <c r="C771" s="15"/>
      <c r="D771" s="20"/>
      <c r="E771" s="20"/>
      <c r="F771" s="20"/>
      <c r="G771" s="20"/>
      <c r="H771" s="20"/>
      <c r="I771" s="21"/>
      <c r="J771" s="15"/>
      <c r="K771" s="21"/>
      <c r="M771" s="19"/>
      <c r="N771" s="17"/>
      <c r="Q771" s="20"/>
    </row>
    <row r="772" spans="1:17" ht="14.25" customHeight="1" x14ac:dyDescent="0.25">
      <c r="A772" s="15"/>
      <c r="B772" s="15"/>
      <c r="C772" s="15"/>
      <c r="D772" s="20"/>
      <c r="E772" s="20"/>
      <c r="F772" s="20"/>
      <c r="G772" s="20"/>
      <c r="H772" s="20"/>
      <c r="I772" s="21"/>
      <c r="J772" s="15"/>
      <c r="K772" s="21"/>
      <c r="M772" s="19"/>
      <c r="N772" s="17"/>
      <c r="Q772" s="20"/>
    </row>
    <row r="773" spans="1:17" ht="14.25" customHeight="1" x14ac:dyDescent="0.25">
      <c r="A773" s="15"/>
      <c r="B773" s="15"/>
      <c r="C773" s="15"/>
      <c r="D773" s="20"/>
      <c r="E773" s="20"/>
      <c r="F773" s="20"/>
      <c r="G773" s="20"/>
      <c r="H773" s="20"/>
      <c r="I773" s="21"/>
      <c r="J773" s="15"/>
      <c r="K773" s="21"/>
      <c r="M773" s="19"/>
      <c r="N773" s="17"/>
      <c r="Q773" s="20"/>
    </row>
    <row r="774" spans="1:17" ht="14.25" customHeight="1" x14ac:dyDescent="0.25">
      <c r="A774" s="15"/>
      <c r="B774" s="15"/>
      <c r="C774" s="15"/>
      <c r="D774" s="20"/>
      <c r="E774" s="20"/>
      <c r="F774" s="20"/>
      <c r="G774" s="20"/>
      <c r="H774" s="20"/>
      <c r="I774" s="21"/>
      <c r="J774" s="15"/>
      <c r="K774" s="21"/>
      <c r="M774" s="19"/>
      <c r="N774" s="17"/>
      <c r="Q774" s="20"/>
    </row>
    <row r="775" spans="1:17" ht="14.25" customHeight="1" x14ac:dyDescent="0.25">
      <c r="A775" s="15"/>
      <c r="B775" s="15"/>
      <c r="C775" s="15"/>
      <c r="D775" s="20"/>
      <c r="E775" s="20"/>
      <c r="F775" s="20"/>
      <c r="G775" s="20"/>
      <c r="H775" s="20"/>
      <c r="I775" s="21"/>
      <c r="J775" s="15"/>
      <c r="K775" s="21"/>
      <c r="M775" s="19"/>
      <c r="N775" s="17"/>
      <c r="Q775" s="20"/>
    </row>
    <row r="776" spans="1:17" ht="14.25" customHeight="1" x14ac:dyDescent="0.25">
      <c r="A776" s="15"/>
      <c r="B776" s="15"/>
      <c r="C776" s="15"/>
      <c r="D776" s="20"/>
      <c r="E776" s="20"/>
      <c r="F776" s="20"/>
      <c r="G776" s="20"/>
      <c r="H776" s="20"/>
      <c r="I776" s="21"/>
      <c r="J776" s="15"/>
      <c r="K776" s="21"/>
      <c r="M776" s="19"/>
      <c r="N776" s="17"/>
      <c r="Q776" s="20"/>
    </row>
    <row r="777" spans="1:17" ht="14.25" customHeight="1" x14ac:dyDescent="0.25">
      <c r="A777" s="15"/>
      <c r="B777" s="15"/>
      <c r="C777" s="15"/>
      <c r="D777" s="20"/>
      <c r="E777" s="20"/>
      <c r="F777" s="20"/>
      <c r="G777" s="20"/>
      <c r="H777" s="20"/>
      <c r="I777" s="21"/>
      <c r="J777" s="15"/>
      <c r="K777" s="21"/>
      <c r="M777" s="19"/>
      <c r="N777" s="17"/>
      <c r="Q777" s="20"/>
    </row>
    <row r="778" spans="1:17" ht="14.25" customHeight="1" x14ac:dyDescent="0.25">
      <c r="A778" s="15"/>
      <c r="B778" s="15"/>
      <c r="C778" s="15"/>
      <c r="D778" s="20"/>
      <c r="E778" s="20"/>
      <c r="F778" s="20"/>
      <c r="G778" s="20"/>
      <c r="H778" s="20"/>
      <c r="I778" s="21"/>
      <c r="J778" s="15"/>
      <c r="K778" s="21"/>
      <c r="M778" s="19"/>
      <c r="N778" s="17"/>
      <c r="Q778" s="20"/>
    </row>
    <row r="779" spans="1:17" ht="14.25" customHeight="1" x14ac:dyDescent="0.25">
      <c r="A779" s="15"/>
      <c r="B779" s="15"/>
      <c r="C779" s="15"/>
      <c r="D779" s="20"/>
      <c r="E779" s="20"/>
      <c r="F779" s="20"/>
      <c r="G779" s="20"/>
      <c r="H779" s="20"/>
      <c r="I779" s="21"/>
      <c r="J779" s="15"/>
      <c r="K779" s="21"/>
      <c r="M779" s="19"/>
      <c r="N779" s="17"/>
      <c r="Q779" s="20"/>
    </row>
    <row r="780" spans="1:17" ht="14.25" customHeight="1" x14ac:dyDescent="0.25">
      <c r="A780" s="15"/>
      <c r="B780" s="15"/>
      <c r="C780" s="15"/>
      <c r="D780" s="20"/>
      <c r="E780" s="20"/>
      <c r="F780" s="20"/>
      <c r="G780" s="20"/>
      <c r="H780" s="20"/>
      <c r="I780" s="21"/>
      <c r="J780" s="15"/>
      <c r="K780" s="21"/>
      <c r="M780" s="19"/>
      <c r="N780" s="17"/>
      <c r="Q780" s="20"/>
    </row>
    <row r="781" spans="1:17" ht="14.25" customHeight="1" x14ac:dyDescent="0.25">
      <c r="A781" s="15"/>
      <c r="B781" s="15"/>
      <c r="C781" s="15"/>
      <c r="D781" s="20"/>
      <c r="E781" s="20"/>
      <c r="F781" s="20"/>
      <c r="G781" s="20"/>
      <c r="H781" s="20"/>
      <c r="I781" s="21"/>
      <c r="J781" s="15"/>
      <c r="K781" s="21"/>
      <c r="M781" s="19"/>
      <c r="N781" s="17"/>
      <c r="Q781" s="20"/>
    </row>
    <row r="782" spans="1:17" ht="14.25" customHeight="1" x14ac:dyDescent="0.25">
      <c r="A782" s="15"/>
      <c r="B782" s="15"/>
      <c r="C782" s="15"/>
      <c r="D782" s="20"/>
      <c r="E782" s="20"/>
      <c r="F782" s="20"/>
      <c r="G782" s="20"/>
      <c r="H782" s="20"/>
      <c r="I782" s="21"/>
      <c r="J782" s="15"/>
      <c r="K782" s="21"/>
      <c r="M782" s="19"/>
      <c r="N782" s="17"/>
      <c r="Q782" s="20"/>
    </row>
    <row r="783" spans="1:17" ht="14.25" customHeight="1" x14ac:dyDescent="0.25">
      <c r="A783" s="15"/>
      <c r="B783" s="15"/>
      <c r="C783" s="15"/>
      <c r="D783" s="20"/>
      <c r="E783" s="20"/>
      <c r="F783" s="20"/>
      <c r="G783" s="20"/>
      <c r="H783" s="20"/>
      <c r="I783" s="21"/>
      <c r="J783" s="15"/>
      <c r="K783" s="21"/>
      <c r="M783" s="19"/>
      <c r="N783" s="17"/>
      <c r="Q783" s="20"/>
    </row>
    <row r="784" spans="1:17" ht="14.25" customHeight="1" x14ac:dyDescent="0.25">
      <c r="A784" s="15"/>
      <c r="B784" s="15"/>
      <c r="C784" s="15"/>
      <c r="D784" s="20"/>
      <c r="E784" s="20"/>
      <c r="F784" s="20"/>
      <c r="G784" s="20"/>
      <c r="H784" s="20"/>
      <c r="I784" s="21"/>
      <c r="J784" s="15"/>
      <c r="K784" s="21"/>
      <c r="M784" s="19"/>
      <c r="N784" s="17"/>
      <c r="Q784" s="20"/>
    </row>
    <row r="785" spans="1:17" ht="14.25" customHeight="1" x14ac:dyDescent="0.25">
      <c r="A785" s="15"/>
      <c r="B785" s="15"/>
      <c r="C785" s="15"/>
      <c r="D785" s="20"/>
      <c r="E785" s="20"/>
      <c r="F785" s="20"/>
      <c r="G785" s="20"/>
      <c r="H785" s="20"/>
      <c r="I785" s="21"/>
      <c r="J785" s="15"/>
      <c r="K785" s="21"/>
      <c r="M785" s="19"/>
      <c r="N785" s="17"/>
      <c r="Q785" s="20"/>
    </row>
    <row r="786" spans="1:17" ht="14.25" customHeight="1" x14ac:dyDescent="0.25">
      <c r="A786" s="15"/>
      <c r="B786" s="15"/>
      <c r="C786" s="15"/>
      <c r="D786" s="20"/>
      <c r="E786" s="20"/>
      <c r="F786" s="20"/>
      <c r="G786" s="20"/>
      <c r="H786" s="20"/>
      <c r="I786" s="21"/>
      <c r="J786" s="15"/>
      <c r="K786" s="21"/>
      <c r="M786" s="19"/>
      <c r="N786" s="17"/>
      <c r="Q786" s="20"/>
    </row>
    <row r="787" spans="1:17" ht="14.25" customHeight="1" x14ac:dyDescent="0.25">
      <c r="A787" s="15"/>
      <c r="B787" s="15"/>
      <c r="C787" s="15"/>
      <c r="D787" s="20"/>
      <c r="E787" s="20"/>
      <c r="F787" s="20"/>
      <c r="G787" s="20"/>
      <c r="H787" s="20"/>
      <c r="I787" s="21"/>
      <c r="J787" s="15"/>
      <c r="K787" s="21"/>
      <c r="M787" s="19"/>
      <c r="N787" s="17"/>
      <c r="Q787" s="20"/>
    </row>
    <row r="788" spans="1:17" ht="14.25" customHeight="1" x14ac:dyDescent="0.25">
      <c r="A788" s="15"/>
      <c r="B788" s="15"/>
      <c r="C788" s="15"/>
      <c r="D788" s="20"/>
      <c r="E788" s="20"/>
      <c r="F788" s="20"/>
      <c r="G788" s="20"/>
      <c r="H788" s="20"/>
      <c r="I788" s="21"/>
      <c r="J788" s="15"/>
      <c r="K788" s="21"/>
      <c r="M788" s="19"/>
      <c r="N788" s="17"/>
      <c r="Q788" s="20"/>
    </row>
    <row r="789" spans="1:17" ht="14.25" customHeight="1" x14ac:dyDescent="0.25">
      <c r="A789" s="15"/>
      <c r="B789" s="15"/>
      <c r="C789" s="15"/>
      <c r="D789" s="20"/>
      <c r="E789" s="20"/>
      <c r="F789" s="20"/>
      <c r="G789" s="20"/>
      <c r="H789" s="20"/>
      <c r="I789" s="21"/>
      <c r="J789" s="15"/>
      <c r="K789" s="21"/>
      <c r="M789" s="19"/>
      <c r="N789" s="17"/>
      <c r="Q789" s="20"/>
    </row>
    <row r="790" spans="1:17" ht="14.25" customHeight="1" x14ac:dyDescent="0.25">
      <c r="A790" s="15"/>
      <c r="B790" s="15"/>
      <c r="C790" s="15"/>
      <c r="D790" s="20"/>
      <c r="E790" s="20"/>
      <c r="F790" s="20"/>
      <c r="G790" s="20"/>
      <c r="H790" s="20"/>
      <c r="I790" s="21"/>
      <c r="J790" s="15"/>
      <c r="K790" s="21"/>
      <c r="M790" s="19"/>
      <c r="N790" s="17"/>
      <c r="Q790" s="20"/>
    </row>
    <row r="791" spans="1:17" ht="14.25" customHeight="1" x14ac:dyDescent="0.25">
      <c r="A791" s="15"/>
      <c r="B791" s="15"/>
      <c r="C791" s="15"/>
      <c r="D791" s="20"/>
      <c r="E791" s="20"/>
      <c r="F791" s="20"/>
      <c r="G791" s="20"/>
      <c r="H791" s="20"/>
      <c r="I791" s="21"/>
      <c r="J791" s="15"/>
      <c r="K791" s="21"/>
      <c r="M791" s="19"/>
      <c r="N791" s="17"/>
      <c r="Q791" s="20"/>
    </row>
    <row r="792" spans="1:17" ht="14.25" customHeight="1" x14ac:dyDescent="0.25">
      <c r="A792" s="15"/>
      <c r="B792" s="15"/>
      <c r="C792" s="15"/>
      <c r="D792" s="20"/>
      <c r="E792" s="20"/>
      <c r="F792" s="20"/>
      <c r="G792" s="20"/>
      <c r="H792" s="20"/>
      <c r="I792" s="21"/>
      <c r="J792" s="15"/>
      <c r="K792" s="21"/>
      <c r="M792" s="19"/>
      <c r="N792" s="17"/>
      <c r="Q792" s="20"/>
    </row>
    <row r="793" spans="1:17" ht="14.25" customHeight="1" x14ac:dyDescent="0.25">
      <c r="A793" s="15"/>
      <c r="B793" s="15"/>
      <c r="C793" s="15"/>
      <c r="D793" s="20"/>
      <c r="E793" s="20"/>
      <c r="F793" s="20"/>
      <c r="G793" s="20"/>
      <c r="H793" s="20"/>
      <c r="I793" s="21"/>
      <c r="J793" s="15"/>
      <c r="K793" s="21"/>
      <c r="M793" s="19"/>
      <c r="N793" s="17"/>
      <c r="Q793" s="20"/>
    </row>
    <row r="794" spans="1:17" ht="14.25" customHeight="1" x14ac:dyDescent="0.25">
      <c r="A794" s="15"/>
      <c r="B794" s="15"/>
      <c r="C794" s="15"/>
      <c r="D794" s="20"/>
      <c r="E794" s="20"/>
      <c r="F794" s="20"/>
      <c r="G794" s="20"/>
      <c r="H794" s="20"/>
      <c r="I794" s="21"/>
      <c r="J794" s="15"/>
      <c r="K794" s="21"/>
      <c r="M794" s="19"/>
      <c r="N794" s="17"/>
      <c r="Q794" s="20"/>
    </row>
    <row r="795" spans="1:17" ht="14.25" customHeight="1" x14ac:dyDescent="0.25">
      <c r="A795" s="15"/>
      <c r="B795" s="15"/>
      <c r="C795" s="15"/>
      <c r="D795" s="20"/>
      <c r="E795" s="20"/>
      <c r="F795" s="20"/>
      <c r="G795" s="20"/>
      <c r="H795" s="20"/>
      <c r="I795" s="21"/>
      <c r="J795" s="15"/>
      <c r="K795" s="21"/>
      <c r="M795" s="19"/>
      <c r="N795" s="17"/>
      <c r="Q795" s="20"/>
    </row>
    <row r="796" spans="1:17" ht="14.25" customHeight="1" x14ac:dyDescent="0.25">
      <c r="A796" s="15"/>
      <c r="B796" s="15"/>
      <c r="C796" s="15"/>
      <c r="D796" s="20"/>
      <c r="E796" s="20"/>
      <c r="F796" s="20"/>
      <c r="G796" s="20"/>
      <c r="H796" s="20"/>
      <c r="I796" s="21"/>
      <c r="J796" s="15"/>
      <c r="K796" s="21"/>
      <c r="M796" s="19"/>
      <c r="N796" s="17"/>
      <c r="Q796" s="20"/>
    </row>
    <row r="797" spans="1:17" ht="14.25" customHeight="1" x14ac:dyDescent="0.25">
      <c r="A797" s="15"/>
      <c r="B797" s="15"/>
      <c r="C797" s="15"/>
      <c r="D797" s="20"/>
      <c r="E797" s="20"/>
      <c r="F797" s="20"/>
      <c r="G797" s="20"/>
      <c r="H797" s="20"/>
      <c r="I797" s="21"/>
      <c r="J797" s="15"/>
      <c r="K797" s="21"/>
      <c r="M797" s="19"/>
      <c r="N797" s="17"/>
      <c r="Q797" s="20"/>
    </row>
    <row r="798" spans="1:17" ht="14.25" customHeight="1" x14ac:dyDescent="0.25">
      <c r="A798" s="15"/>
      <c r="B798" s="15"/>
      <c r="C798" s="15"/>
      <c r="D798" s="20"/>
      <c r="E798" s="20"/>
      <c r="F798" s="20"/>
      <c r="G798" s="20"/>
      <c r="H798" s="20"/>
      <c r="I798" s="21"/>
      <c r="J798" s="15"/>
      <c r="K798" s="21"/>
      <c r="M798" s="19"/>
      <c r="N798" s="17"/>
      <c r="Q798" s="20"/>
    </row>
    <row r="799" spans="1:17" ht="14.25" customHeight="1" x14ac:dyDescent="0.25">
      <c r="A799" s="15"/>
      <c r="B799" s="15"/>
      <c r="C799" s="15"/>
      <c r="D799" s="20"/>
      <c r="E799" s="20"/>
      <c r="F799" s="20"/>
      <c r="G799" s="20"/>
      <c r="H799" s="20"/>
      <c r="I799" s="21"/>
      <c r="J799" s="15"/>
      <c r="K799" s="21"/>
      <c r="M799" s="19"/>
      <c r="N799" s="17"/>
      <c r="Q799" s="20"/>
    </row>
    <row r="800" spans="1:17" ht="14.25" customHeight="1" x14ac:dyDescent="0.25">
      <c r="A800" s="15"/>
      <c r="B800" s="15"/>
      <c r="C800" s="15"/>
      <c r="D800" s="20"/>
      <c r="E800" s="20"/>
      <c r="F800" s="20"/>
      <c r="G800" s="20"/>
      <c r="H800" s="20"/>
      <c r="I800" s="21"/>
      <c r="J800" s="15"/>
      <c r="K800" s="21"/>
      <c r="M800" s="19"/>
      <c r="N800" s="17"/>
      <c r="Q800" s="20"/>
    </row>
    <row r="801" spans="1:17" ht="14.25" customHeight="1" x14ac:dyDescent="0.25">
      <c r="A801" s="15"/>
      <c r="B801" s="15"/>
      <c r="C801" s="15"/>
      <c r="D801" s="20"/>
      <c r="E801" s="20"/>
      <c r="F801" s="20"/>
      <c r="G801" s="20"/>
      <c r="H801" s="20"/>
      <c r="I801" s="21"/>
      <c r="J801" s="15"/>
      <c r="K801" s="21"/>
      <c r="M801" s="19"/>
      <c r="N801" s="17"/>
      <c r="Q801" s="20"/>
    </row>
    <row r="802" spans="1:17" ht="14.25" customHeight="1" x14ac:dyDescent="0.25">
      <c r="A802" s="15"/>
      <c r="B802" s="15"/>
      <c r="C802" s="15"/>
      <c r="D802" s="20"/>
      <c r="E802" s="20"/>
      <c r="F802" s="20"/>
      <c r="G802" s="20"/>
      <c r="H802" s="20"/>
      <c r="I802" s="21"/>
      <c r="J802" s="15"/>
      <c r="K802" s="21"/>
      <c r="M802" s="19"/>
      <c r="N802" s="17"/>
      <c r="Q802" s="20"/>
    </row>
    <row r="803" spans="1:17" ht="14.25" customHeight="1" x14ac:dyDescent="0.25">
      <c r="A803" s="15"/>
      <c r="B803" s="15"/>
      <c r="C803" s="15"/>
      <c r="D803" s="20"/>
      <c r="E803" s="20"/>
      <c r="F803" s="20"/>
      <c r="G803" s="20"/>
      <c r="H803" s="20"/>
      <c r="I803" s="21"/>
      <c r="J803" s="15"/>
      <c r="K803" s="21"/>
      <c r="M803" s="19"/>
      <c r="N803" s="17"/>
      <c r="Q803" s="20"/>
    </row>
    <row r="804" spans="1:17" ht="14.25" customHeight="1" x14ac:dyDescent="0.25">
      <c r="A804" s="15"/>
      <c r="B804" s="15"/>
      <c r="C804" s="15"/>
      <c r="D804" s="20"/>
      <c r="E804" s="20"/>
      <c r="F804" s="20"/>
      <c r="G804" s="20"/>
      <c r="H804" s="20"/>
      <c r="I804" s="21"/>
      <c r="J804" s="15"/>
      <c r="K804" s="21"/>
      <c r="M804" s="19"/>
      <c r="N804" s="17"/>
      <c r="Q804" s="20"/>
    </row>
    <row r="805" spans="1:17" ht="14.25" customHeight="1" x14ac:dyDescent="0.25">
      <c r="A805" s="15"/>
      <c r="B805" s="15"/>
      <c r="C805" s="15"/>
      <c r="D805" s="20"/>
      <c r="E805" s="20"/>
      <c r="F805" s="20"/>
      <c r="G805" s="20"/>
      <c r="H805" s="20"/>
      <c r="I805" s="21"/>
      <c r="J805" s="15"/>
      <c r="K805" s="21"/>
      <c r="M805" s="19"/>
      <c r="N805" s="17"/>
      <c r="Q805" s="20"/>
    </row>
    <row r="806" spans="1:17" ht="14.25" customHeight="1" x14ac:dyDescent="0.25">
      <c r="A806" s="15"/>
      <c r="B806" s="15"/>
      <c r="C806" s="15"/>
      <c r="D806" s="20"/>
      <c r="E806" s="20"/>
      <c r="F806" s="20"/>
      <c r="G806" s="20"/>
      <c r="H806" s="20"/>
      <c r="I806" s="21"/>
      <c r="J806" s="15"/>
      <c r="K806" s="21"/>
      <c r="M806" s="19"/>
      <c r="N806" s="17"/>
      <c r="Q806" s="20"/>
    </row>
    <row r="807" spans="1:17" ht="14.25" customHeight="1" x14ac:dyDescent="0.25">
      <c r="A807" s="15"/>
      <c r="B807" s="15"/>
      <c r="C807" s="15"/>
      <c r="D807" s="16"/>
      <c r="E807" s="16"/>
      <c r="F807" s="16"/>
      <c r="G807" s="16"/>
      <c r="H807" s="16"/>
      <c r="I807" s="15"/>
      <c r="J807" s="15"/>
      <c r="K807" s="10"/>
      <c r="M807" s="19"/>
      <c r="N807" s="17"/>
      <c r="Q807" s="16"/>
    </row>
    <row r="808" spans="1:17" ht="14.25" customHeight="1" x14ac:dyDescent="0.25">
      <c r="A808" s="15"/>
      <c r="B808" s="15"/>
      <c r="C808" s="15"/>
      <c r="D808" s="16"/>
      <c r="E808" s="16"/>
      <c r="F808" s="16"/>
      <c r="G808" s="16"/>
      <c r="H808" s="16"/>
      <c r="I808" s="15"/>
      <c r="J808" s="15"/>
      <c r="K808" s="10"/>
      <c r="M808" s="19"/>
      <c r="N808" s="17"/>
      <c r="Q808" s="16"/>
    </row>
    <row r="809" spans="1:17" ht="14.25" customHeight="1" x14ac:dyDescent="0.25">
      <c r="A809" s="15"/>
      <c r="B809" s="15"/>
      <c r="C809" s="15"/>
      <c r="D809" s="16"/>
      <c r="E809" s="16"/>
      <c r="F809" s="16"/>
      <c r="G809" s="16"/>
      <c r="H809" s="16"/>
      <c r="I809" s="15"/>
      <c r="J809" s="15"/>
      <c r="K809" s="10"/>
      <c r="M809" s="19"/>
      <c r="N809" s="17"/>
      <c r="Q809" s="16"/>
    </row>
    <row r="810" spans="1:17" ht="14.25" customHeight="1" x14ac:dyDescent="0.25">
      <c r="A810" s="15"/>
      <c r="B810" s="15"/>
      <c r="C810" s="15"/>
      <c r="D810" s="16"/>
      <c r="E810" s="16"/>
      <c r="F810" s="16"/>
      <c r="G810" s="16"/>
      <c r="H810" s="16"/>
      <c r="I810" s="15"/>
      <c r="J810" s="15"/>
      <c r="K810" s="10"/>
      <c r="M810" s="19"/>
      <c r="N810" s="17"/>
      <c r="Q810" s="16"/>
    </row>
    <row r="811" spans="1:17" ht="14.25" customHeight="1" x14ac:dyDescent="0.25">
      <c r="A811" s="15"/>
      <c r="B811" s="15"/>
      <c r="C811" s="15"/>
      <c r="D811" s="16"/>
      <c r="E811" s="16"/>
      <c r="F811" s="16"/>
      <c r="G811" s="16"/>
      <c r="H811" s="16"/>
      <c r="I811" s="15"/>
      <c r="J811" s="15"/>
      <c r="K811" s="10"/>
      <c r="M811" s="17"/>
      <c r="N811" s="17"/>
      <c r="Q811" s="16"/>
    </row>
    <row r="812" spans="1:17" ht="14.25" customHeight="1" x14ac:dyDescent="0.25">
      <c r="A812" s="15"/>
      <c r="B812" s="15"/>
      <c r="C812" s="15"/>
      <c r="D812" s="16"/>
      <c r="E812" s="16"/>
      <c r="F812" s="16"/>
      <c r="G812" s="16"/>
      <c r="H812" s="16"/>
      <c r="I812" s="15"/>
      <c r="J812" s="15"/>
      <c r="K812" s="10"/>
      <c r="M812" s="17"/>
      <c r="N812" s="17"/>
      <c r="Q812" s="16"/>
    </row>
    <row r="813" spans="1:17" ht="14.25" customHeight="1" x14ac:dyDescent="0.25">
      <c r="A813" s="15"/>
      <c r="B813" s="15"/>
      <c r="C813" s="15"/>
      <c r="D813" s="16"/>
      <c r="E813" s="16"/>
      <c r="F813" s="16"/>
      <c r="G813" s="16"/>
      <c r="H813" s="16"/>
      <c r="I813" s="15"/>
      <c r="J813" s="15"/>
      <c r="K813" s="10"/>
      <c r="M813" s="17"/>
      <c r="N813" s="17"/>
      <c r="Q813" s="16"/>
    </row>
    <row r="814" spans="1:17" ht="14.25" customHeight="1" x14ac:dyDescent="0.25">
      <c r="A814" s="15"/>
      <c r="B814" s="15"/>
      <c r="C814" s="15"/>
      <c r="D814" s="16"/>
      <c r="E814" s="16"/>
      <c r="F814" s="16"/>
      <c r="G814" s="16"/>
      <c r="H814" s="16"/>
      <c r="I814" s="15"/>
      <c r="J814" s="15"/>
      <c r="K814" s="10"/>
      <c r="M814" s="17"/>
      <c r="N814" s="17"/>
      <c r="Q814" s="16"/>
    </row>
  </sheetData>
  <autoFilter ref="A7:Q515" xr:uid="{AEE30112-88BB-441D-AEFC-A7A733AB1798}">
    <sortState xmlns:xlrd2="http://schemas.microsoft.com/office/spreadsheetml/2017/richdata2" ref="A8:Q515">
      <sortCondition ref="B8:B515"/>
      <sortCondition ref="C8:C515"/>
      <sortCondition ref="D8:D515"/>
      <sortCondition ref="A8:A515"/>
    </sortState>
  </autoFilter>
  <sortState xmlns:xlrd2="http://schemas.microsoft.com/office/spreadsheetml/2017/richdata2" ref="A8:Q515">
    <sortCondition ref="B8:B515"/>
    <sortCondition ref="C8:C515"/>
    <sortCondition ref="D8:D515"/>
    <sortCondition ref="A8:A515"/>
  </sortState>
  <phoneticPr fontId="0" type="noConversion"/>
  <pageMargins left="0.35433070866141736" right="0.35433070866141736" top="0.15748031496062992" bottom="0.19685039370078741" header="0.51181102362204722" footer="0.19685039370078741"/>
  <pageSetup paperSize="9" scale="2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2023-07-30T07:09:54Z</cp:lastPrinted>
  <dcterms:created xsi:type="dcterms:W3CDTF">2003-01-08T15:13:21Z</dcterms:created>
  <dcterms:modified xsi:type="dcterms:W3CDTF">2026-10-13T20:15:48Z</dcterms:modified>
</cp:coreProperties>
</file>