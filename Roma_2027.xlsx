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0EF6BEEA-FD9B-4834-B721-9A449A64DC44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golose'!$A$7:$Q$478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6" l="1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3" i="6"/>
  <c r="AE183" i="6"/>
  <c r="AF18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S185" i="6"/>
  <c r="AG185" i="6"/>
  <c r="AH185" i="6"/>
  <c r="AI185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470" i="6"/>
  <c r="AH470" i="6"/>
  <c r="AG470" i="6"/>
  <c r="AF470" i="6"/>
  <c r="AE470" i="6"/>
  <c r="AD470" i="6"/>
  <c r="AI469" i="6"/>
  <c r="AH469" i="6"/>
  <c r="AG469" i="6"/>
  <c r="AF469" i="6"/>
  <c r="AE469" i="6"/>
  <c r="AD469" i="6"/>
  <c r="AI260" i="6"/>
  <c r="AH260" i="6"/>
  <c r="AG260" i="6"/>
  <c r="AF260" i="6"/>
  <c r="AE260" i="6"/>
  <c r="AD260" i="6"/>
  <c r="AI259" i="6"/>
  <c r="AH259" i="6"/>
  <c r="AG259" i="6"/>
  <c r="AF259" i="6"/>
  <c r="AE259" i="6"/>
  <c r="AD259" i="6"/>
  <c r="S476" i="6"/>
  <c r="S475" i="6"/>
  <c r="S474" i="6"/>
  <c r="S473" i="6"/>
  <c r="S472" i="6"/>
  <c r="S471" i="6"/>
  <c r="S470" i="6"/>
  <c r="S469" i="6"/>
  <c r="AD189" i="6"/>
  <c r="AE189" i="6"/>
  <c r="AF189" i="6"/>
  <c r="AD190" i="6"/>
  <c r="AE190" i="6"/>
  <c r="AF190" i="6"/>
  <c r="S190" i="6"/>
  <c r="AG190" i="6"/>
  <c r="AH190" i="6"/>
  <c r="AI190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1" i="6"/>
  <c r="AD321" i="6"/>
  <c r="AE321" i="6"/>
  <c r="AF321" i="6"/>
  <c r="AG321" i="6"/>
  <c r="AH321" i="6"/>
  <c r="AI321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7" i="6"/>
  <c r="AE457" i="6"/>
  <c r="AD458" i="6"/>
  <c r="AE458" i="6"/>
  <c r="AD459" i="6"/>
  <c r="AE459" i="6"/>
  <c r="AD460" i="6"/>
  <c r="AE460" i="6"/>
  <c r="S458" i="6"/>
  <c r="AF458" i="6"/>
  <c r="AG458" i="6"/>
  <c r="AH458" i="6"/>
  <c r="AI458" i="6"/>
  <c r="AD461" i="6"/>
  <c r="AE461" i="6"/>
  <c r="S461" i="6"/>
  <c r="AF461" i="6"/>
  <c r="AG461" i="6"/>
  <c r="AH461" i="6"/>
  <c r="AI461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G183" i="6"/>
  <c r="AH183" i="6"/>
  <c r="AI183" i="6"/>
  <c r="S184" i="6"/>
  <c r="AG184" i="6"/>
  <c r="AH184" i="6"/>
  <c r="AI184" i="6"/>
  <c r="S186" i="6"/>
  <c r="AG186" i="6"/>
  <c r="AH186" i="6"/>
  <c r="AI186" i="6"/>
  <c r="S187" i="6"/>
  <c r="AG187" i="6"/>
  <c r="AH187" i="6"/>
  <c r="AI187" i="6"/>
  <c r="S188" i="6"/>
  <c r="AD188" i="6"/>
  <c r="AE188" i="6"/>
  <c r="AF188" i="6"/>
  <c r="AG188" i="6"/>
  <c r="AH188" i="6"/>
  <c r="AI188" i="6"/>
  <c r="S189" i="6"/>
  <c r="AG189" i="6"/>
  <c r="AH189" i="6"/>
  <c r="AI189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S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F457" i="6"/>
  <c r="AG457" i="6"/>
  <c r="AH457" i="6"/>
  <c r="AI457" i="6"/>
  <c r="S459" i="6"/>
  <c r="AF459" i="6"/>
  <c r="AG459" i="6"/>
  <c r="AH459" i="6"/>
  <c r="AI459" i="6"/>
  <c r="S460" i="6"/>
  <c r="AF460" i="6"/>
  <c r="AG460" i="6"/>
  <c r="AH460" i="6"/>
  <c r="AI460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53" i="6" l="1"/>
  <c r="T52" i="6"/>
  <c r="T51" i="6"/>
  <c r="T185" i="6"/>
  <c r="T471" i="6"/>
  <c r="T476" i="6"/>
  <c r="T473" i="6"/>
  <c r="T475" i="6"/>
  <c r="T472" i="6"/>
  <c r="T474" i="6"/>
  <c r="T478" i="6"/>
  <c r="T477" i="6"/>
  <c r="T470" i="6"/>
  <c r="T469" i="6"/>
  <c r="T190" i="6"/>
  <c r="T420" i="6"/>
  <c r="T419" i="6"/>
  <c r="T418" i="6"/>
  <c r="T417" i="6"/>
  <c r="T416" i="6"/>
  <c r="T98" i="6"/>
  <c r="T97" i="6"/>
  <c r="T96" i="6"/>
  <c r="T321" i="6"/>
  <c r="T358" i="6"/>
  <c r="T32" i="6"/>
  <c r="T86" i="6"/>
  <c r="T333" i="6"/>
  <c r="T363" i="6"/>
  <c r="T295" i="6"/>
  <c r="T186" i="6"/>
  <c r="T184" i="6"/>
  <c r="T64" i="6"/>
  <c r="T374" i="6"/>
  <c r="T373" i="6"/>
  <c r="T372" i="6"/>
  <c r="T448" i="6"/>
  <c r="T267" i="6"/>
  <c r="T238" i="6"/>
  <c r="T268" i="6"/>
  <c r="T216" i="6"/>
  <c r="T215" i="6"/>
  <c r="T351" i="6"/>
  <c r="T337" i="6"/>
  <c r="T140" i="6"/>
  <c r="T163" i="6"/>
  <c r="T103" i="6"/>
  <c r="T141" i="6"/>
  <c r="T317" i="6"/>
  <c r="T102" i="6"/>
  <c r="T93" i="6"/>
  <c r="T92" i="6"/>
  <c r="T91" i="6"/>
  <c r="T292" i="6"/>
  <c r="T239" i="6"/>
  <c r="T367" i="6"/>
  <c r="T352" i="6"/>
  <c r="T316" i="6"/>
  <c r="T288" i="6"/>
  <c r="T265" i="6"/>
  <c r="T237" i="6"/>
  <c r="T214" i="6"/>
  <c r="T182" i="6"/>
  <c r="T70" i="6"/>
  <c r="T139" i="6"/>
  <c r="T99" i="6"/>
  <c r="T371" i="6"/>
  <c r="T339" i="6"/>
  <c r="T315" i="6"/>
  <c r="T287" i="6"/>
  <c r="T264" i="6"/>
  <c r="T236" i="6"/>
  <c r="T211" i="6"/>
  <c r="T181" i="6"/>
  <c r="T131" i="6"/>
  <c r="T65" i="6"/>
  <c r="T286" i="6"/>
  <c r="T180" i="6"/>
  <c r="T206" i="6"/>
  <c r="T388" i="6"/>
  <c r="T68" i="6"/>
  <c r="T204" i="6"/>
  <c r="T360" i="6"/>
  <c r="T396" i="6"/>
  <c r="T327" i="6"/>
  <c r="T304" i="6"/>
  <c r="T281" i="6"/>
  <c r="T79" i="6"/>
  <c r="T230" i="6"/>
  <c r="T203" i="6"/>
  <c r="T89" i="6"/>
  <c r="T155" i="6"/>
  <c r="T123" i="6"/>
  <c r="T88" i="6"/>
  <c r="T126" i="6"/>
  <c r="T232" i="6"/>
  <c r="T343" i="6"/>
  <c r="T364" i="6"/>
  <c r="T404" i="6"/>
  <c r="T251" i="6"/>
  <c r="T303" i="6"/>
  <c r="T280" i="6"/>
  <c r="T245" i="6"/>
  <c r="T227" i="6"/>
  <c r="T202" i="6"/>
  <c r="T168" i="6"/>
  <c r="T154" i="6"/>
  <c r="T122" i="6"/>
  <c r="T48" i="6"/>
  <c r="T325" i="6"/>
  <c r="T127" i="6"/>
  <c r="T260" i="6"/>
  <c r="T326" i="6"/>
  <c r="T256" i="6"/>
  <c r="T173" i="6"/>
  <c r="T392" i="6"/>
  <c r="T302" i="6"/>
  <c r="T246" i="6"/>
  <c r="T223" i="6"/>
  <c r="T200" i="6"/>
  <c r="T161" i="6"/>
  <c r="T152" i="6"/>
  <c r="T120" i="6"/>
  <c r="T47" i="6"/>
  <c r="T376" i="6"/>
  <c r="T263" i="6"/>
  <c r="T60" i="6"/>
  <c r="T234" i="6"/>
  <c r="T284" i="6"/>
  <c r="T171" i="6"/>
  <c r="T368" i="6"/>
  <c r="T328" i="6"/>
  <c r="T279" i="6"/>
  <c r="T249" i="6"/>
  <c r="T301" i="6"/>
  <c r="T276" i="6"/>
  <c r="T247" i="6"/>
  <c r="T222" i="6"/>
  <c r="T199" i="6"/>
  <c r="T169" i="6"/>
  <c r="T151" i="6"/>
  <c r="T119" i="6"/>
  <c r="T45" i="6"/>
  <c r="T313" i="6"/>
  <c r="T83" i="6"/>
  <c r="T380" i="6"/>
  <c r="T285" i="6"/>
  <c r="T67" i="6"/>
  <c r="T311" i="6"/>
  <c r="T125" i="6"/>
  <c r="T124" i="6"/>
  <c r="T334" i="6"/>
  <c r="T377" i="6"/>
  <c r="T335" i="6"/>
  <c r="T345" i="6"/>
  <c r="T300" i="6"/>
  <c r="T272" i="6"/>
  <c r="T170" i="6"/>
  <c r="T221" i="6"/>
  <c r="T191" i="6"/>
  <c r="T69" i="6"/>
  <c r="T150" i="6"/>
  <c r="T115" i="6"/>
  <c r="T44" i="6"/>
  <c r="T235" i="6"/>
  <c r="T342" i="6"/>
  <c r="T177" i="6"/>
  <c r="T205" i="6"/>
  <c r="T356" i="6"/>
  <c r="T308" i="6"/>
  <c r="T231" i="6"/>
  <c r="T165" i="6"/>
  <c r="T58" i="6"/>
  <c r="T322" i="6"/>
  <c r="T299" i="6"/>
  <c r="T162" i="6"/>
  <c r="T189" i="6"/>
  <c r="T147" i="6"/>
  <c r="T389" i="6"/>
  <c r="T254" i="6"/>
  <c r="T297" i="6"/>
  <c r="T270" i="6"/>
  <c r="T172" i="6"/>
  <c r="T219" i="6"/>
  <c r="T188" i="6"/>
  <c r="T90" i="6"/>
  <c r="T143" i="6"/>
  <c r="T106" i="6"/>
  <c r="T40" i="6"/>
  <c r="T207" i="6"/>
  <c r="T312" i="6"/>
  <c r="T84" i="6"/>
  <c r="T402" i="6"/>
  <c r="T157" i="6"/>
  <c r="T283" i="6"/>
  <c r="T156" i="6"/>
  <c r="T385" i="6"/>
  <c r="T253" i="6"/>
  <c r="T271" i="6"/>
  <c r="T220" i="6"/>
  <c r="T59" i="6"/>
  <c r="T111" i="6"/>
  <c r="T42" i="6"/>
  <c r="T393" i="6"/>
  <c r="T336" i="6"/>
  <c r="T255" i="6"/>
  <c r="T296" i="6"/>
  <c r="T269" i="6"/>
  <c r="T243" i="6"/>
  <c r="T218" i="6"/>
  <c r="T187" i="6"/>
  <c r="T73" i="6"/>
  <c r="T142" i="6"/>
  <c r="T104" i="6"/>
  <c r="T37" i="6"/>
  <c r="T61" i="6"/>
  <c r="T55" i="6"/>
  <c r="T138" i="6"/>
  <c r="T110" i="6"/>
  <c r="T78" i="6"/>
  <c r="T31" i="6"/>
  <c r="T198" i="6"/>
  <c r="T166" i="6"/>
  <c r="T159" i="6"/>
  <c r="T136" i="6"/>
  <c r="T109" i="6"/>
  <c r="T63" i="6"/>
  <c r="T30" i="6"/>
  <c r="T195" i="6"/>
  <c r="T167" i="6"/>
  <c r="T158" i="6"/>
  <c r="T135" i="6"/>
  <c r="T108" i="6"/>
  <c r="T54" i="6"/>
  <c r="T29" i="6"/>
  <c r="T134" i="6"/>
  <c r="T107" i="6"/>
  <c r="T49" i="6"/>
  <c r="T27" i="6"/>
  <c r="T26" i="6"/>
  <c r="T458" i="6"/>
  <c r="T25" i="6"/>
  <c r="T46" i="6"/>
  <c r="T17" i="6"/>
  <c r="T16" i="6"/>
  <c r="T15" i="6"/>
  <c r="T14" i="6"/>
  <c r="T41" i="6"/>
  <c r="T9" i="6"/>
  <c r="T11" i="6"/>
  <c r="T118" i="6"/>
  <c r="T81" i="6"/>
  <c r="T33" i="6"/>
  <c r="T22" i="6"/>
  <c r="T18" i="6"/>
  <c r="T13" i="6"/>
  <c r="U7" i="6"/>
  <c r="T428" i="6"/>
  <c r="T369" i="6"/>
  <c r="T461" i="6"/>
  <c r="T381" i="6"/>
  <c r="T384" i="6"/>
  <c r="T250" i="6"/>
  <c r="T344" i="6"/>
  <c r="T314" i="6"/>
  <c r="T298" i="6"/>
  <c r="T282" i="6"/>
  <c r="T266" i="6"/>
  <c r="T248" i="6"/>
  <c r="T233" i="6"/>
  <c r="T217" i="6"/>
  <c r="T201" i="6"/>
  <c r="T183" i="6"/>
  <c r="T82" i="6"/>
  <c r="T57" i="6"/>
  <c r="T153" i="6"/>
  <c r="T137" i="6"/>
  <c r="T121" i="6"/>
  <c r="T105" i="6"/>
  <c r="T94" i="6"/>
  <c r="T43" i="6"/>
  <c r="T28" i="6"/>
  <c r="T12" i="6"/>
  <c r="T467" i="6"/>
  <c r="T397" i="6"/>
  <c r="T400" i="6"/>
  <c r="T338" i="6"/>
  <c r="T329" i="6"/>
  <c r="T310" i="6"/>
  <c r="T294" i="6"/>
  <c r="T278" i="6"/>
  <c r="T262" i="6"/>
  <c r="T164" i="6"/>
  <c r="T229" i="6"/>
  <c r="T213" i="6"/>
  <c r="T197" i="6"/>
  <c r="T179" i="6"/>
  <c r="T95" i="6"/>
  <c r="T149" i="6"/>
  <c r="T133" i="6"/>
  <c r="T117" i="6"/>
  <c r="T101" i="6"/>
  <c r="T56" i="6"/>
  <c r="T39" i="6"/>
  <c r="T24" i="6"/>
  <c r="T10" i="6"/>
  <c r="T462" i="6"/>
  <c r="T401" i="6"/>
  <c r="T405" i="6"/>
  <c r="T323" i="6"/>
  <c r="T252" i="6"/>
  <c r="T309" i="6"/>
  <c r="T293" i="6"/>
  <c r="T277" i="6"/>
  <c r="T261" i="6"/>
  <c r="T244" i="6"/>
  <c r="T228" i="6"/>
  <c r="T212" i="6"/>
  <c r="T196" i="6"/>
  <c r="T178" i="6"/>
  <c r="T85" i="6"/>
  <c r="T80" i="6"/>
  <c r="T148" i="6"/>
  <c r="T132" i="6"/>
  <c r="T116" i="6"/>
  <c r="T100" i="6"/>
  <c r="T72" i="6"/>
  <c r="T38" i="6"/>
  <c r="T23" i="6"/>
  <c r="T349" i="6"/>
  <c r="T387" i="6"/>
  <c r="T433" i="6"/>
  <c r="AD6" i="6"/>
  <c r="F3" i="6" s="1"/>
  <c r="T408" i="6"/>
  <c r="T406" i="6"/>
  <c r="T348" i="6"/>
  <c r="T340" i="6"/>
  <c r="T320" i="6"/>
  <c r="T307" i="6"/>
  <c r="T291" i="6"/>
  <c r="T275" i="6"/>
  <c r="T259" i="6"/>
  <c r="T242" i="6"/>
  <c r="T226" i="6"/>
  <c r="T210" i="6"/>
  <c r="T194" i="6"/>
  <c r="T176" i="6"/>
  <c r="T66" i="6"/>
  <c r="T77" i="6"/>
  <c r="T146" i="6"/>
  <c r="T130" i="6"/>
  <c r="T114" i="6"/>
  <c r="T87" i="6"/>
  <c r="T36" i="6"/>
  <c r="T21" i="6"/>
  <c r="T444" i="6"/>
  <c r="T354" i="6"/>
  <c r="T331" i="6"/>
  <c r="T332" i="6"/>
  <c r="T324" i="6"/>
  <c r="T319" i="6"/>
  <c r="T306" i="6"/>
  <c r="T290" i="6"/>
  <c r="T274" i="6"/>
  <c r="T258" i="6"/>
  <c r="T241" i="6"/>
  <c r="T225" i="6"/>
  <c r="T209" i="6"/>
  <c r="T193" i="6"/>
  <c r="T175" i="6"/>
  <c r="T62" i="6"/>
  <c r="T145" i="6"/>
  <c r="T129" i="6"/>
  <c r="T113" i="6"/>
  <c r="T35" i="6"/>
  <c r="T20" i="6"/>
  <c r="T346" i="6"/>
  <c r="T355" i="6"/>
  <c r="T350" i="6"/>
  <c r="T341" i="6"/>
  <c r="T318" i="6"/>
  <c r="T305" i="6"/>
  <c r="T289" i="6"/>
  <c r="T273" i="6"/>
  <c r="T257" i="6"/>
  <c r="T240" i="6"/>
  <c r="T224" i="6"/>
  <c r="T208" i="6"/>
  <c r="T192" i="6"/>
  <c r="T174" i="6"/>
  <c r="T76" i="6"/>
  <c r="T160" i="6"/>
  <c r="T144" i="6"/>
  <c r="T128" i="6"/>
  <c r="T112" i="6"/>
  <c r="T71" i="6"/>
  <c r="T50" i="6"/>
  <c r="T34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5" i="6"/>
  <c r="T447" i="6"/>
  <c r="T431" i="6"/>
  <c r="T414" i="6"/>
  <c r="T391" i="6"/>
  <c r="T359" i="6"/>
  <c r="T454" i="6"/>
  <c r="T438" i="6"/>
  <c r="T422" i="6"/>
  <c r="T347" i="6"/>
  <c r="T463" i="6"/>
  <c r="T445" i="6"/>
  <c r="T429" i="6"/>
  <c r="T412" i="6"/>
  <c r="T395" i="6"/>
  <c r="T378" i="6"/>
  <c r="T362" i="6"/>
  <c r="T452" i="6"/>
  <c r="T436" i="6"/>
  <c r="T410" i="6"/>
  <c r="T460" i="6"/>
  <c r="T443" i="6"/>
  <c r="T427" i="6"/>
  <c r="T399" i="6"/>
  <c r="T382" i="6"/>
  <c r="T366" i="6"/>
  <c r="T468" i="6"/>
  <c r="T450" i="6"/>
  <c r="T434" i="6"/>
  <c r="T457" i="6"/>
  <c r="T441" i="6"/>
  <c r="T425" i="6"/>
  <c r="T386" i="6"/>
  <c r="T370" i="6"/>
  <c r="T353" i="6"/>
  <c r="T466" i="6"/>
  <c r="T449" i="6"/>
  <c r="T432" i="6"/>
  <c r="T415" i="6"/>
  <c r="T403" i="6"/>
  <c r="T455" i="6"/>
  <c r="T439" i="6"/>
  <c r="T423" i="6"/>
  <c r="T390" i="6"/>
  <c r="T375" i="6"/>
  <c r="T357" i="6"/>
  <c r="T464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30" i="6"/>
  <c r="T451" i="6"/>
  <c r="T435" i="6"/>
  <c r="T398" i="6"/>
  <c r="T383" i="6"/>
  <c r="T365" i="6"/>
  <c r="T459" i="6"/>
  <c r="T442" i="6"/>
  <c r="U185" i="6" l="1"/>
  <c r="U51" i="6"/>
  <c r="U52" i="6"/>
  <c r="U53" i="6"/>
  <c r="U471" i="6"/>
  <c r="U477" i="6"/>
  <c r="U478" i="6"/>
  <c r="U474" i="6"/>
  <c r="U472" i="6"/>
  <c r="U475" i="6"/>
  <c r="U473" i="6"/>
  <c r="U476" i="6"/>
  <c r="U190" i="6"/>
  <c r="U469" i="6"/>
  <c r="U470" i="6"/>
  <c r="U416" i="6"/>
  <c r="U417" i="6"/>
  <c r="U418" i="6"/>
  <c r="U419" i="6"/>
  <c r="U420" i="6"/>
  <c r="U321" i="6"/>
  <c r="U96" i="6"/>
  <c r="U97" i="6"/>
  <c r="U98" i="6"/>
  <c r="U13" i="6"/>
  <c r="U358" i="6"/>
  <c r="U332" i="6"/>
  <c r="U448" i="6"/>
  <c r="U372" i="6"/>
  <c r="U373" i="6"/>
  <c r="U374" i="6"/>
  <c r="U458" i="6"/>
  <c r="U91" i="6"/>
  <c r="U92" i="6"/>
  <c r="U93" i="6"/>
  <c r="U142" i="6"/>
  <c r="U107" i="6"/>
  <c r="U289" i="6"/>
  <c r="U180" i="6"/>
  <c r="U446" i="6"/>
  <c r="U410" i="6"/>
  <c r="U450" i="6"/>
  <c r="U290" i="6"/>
  <c r="U219" i="6"/>
  <c r="U229" i="6"/>
  <c r="U308" i="6"/>
  <c r="U171" i="6"/>
  <c r="U131" i="6"/>
  <c r="U272" i="6"/>
  <c r="U146" i="6"/>
  <c r="U275" i="6"/>
  <c r="U100" i="6"/>
  <c r="U330" i="6"/>
  <c r="U318" i="6"/>
  <c r="U76" i="6"/>
  <c r="U294" i="6"/>
  <c r="U161" i="6"/>
  <c r="U381" i="6"/>
  <c r="U108" i="6"/>
  <c r="U105" i="6"/>
  <c r="U329" i="6"/>
  <c r="U173" i="6"/>
  <c r="U205" i="6"/>
  <c r="U118" i="6"/>
  <c r="U323" i="6"/>
  <c r="U199" i="6"/>
  <c r="U292" i="6"/>
  <c r="U176" i="6"/>
  <c r="U156" i="6"/>
  <c r="U44" i="6"/>
  <c r="U22" i="6"/>
  <c r="U187" i="6"/>
  <c r="U35" i="6"/>
  <c r="U24" i="6"/>
  <c r="U296" i="6"/>
  <c r="U121" i="6"/>
  <c r="U226" i="6"/>
  <c r="U202" i="6"/>
  <c r="U463" i="6"/>
  <c r="U468" i="6"/>
  <c r="U453" i="6"/>
  <c r="U20" i="6"/>
  <c r="U438" i="6"/>
  <c r="U320" i="6"/>
  <c r="U70" i="6"/>
  <c r="U452" i="6"/>
  <c r="U444" i="6"/>
  <c r="U234" i="6"/>
  <c r="U151" i="6"/>
  <c r="U312" i="6"/>
  <c r="U154" i="6"/>
  <c r="U238" i="6"/>
  <c r="U228" i="6"/>
  <c r="U110" i="6"/>
  <c r="U198" i="6"/>
  <c r="U230" i="6"/>
  <c r="V7" i="6"/>
  <c r="U27" i="6"/>
  <c r="U455" i="6"/>
  <c r="U245" i="6"/>
  <c r="U436" i="6"/>
  <c r="U457" i="6"/>
  <c r="U21" i="6"/>
  <c r="U109" i="6"/>
  <c r="U19" i="6"/>
  <c r="U68" i="6"/>
  <c r="U407" i="6"/>
  <c r="U137" i="6"/>
  <c r="U340" i="6"/>
  <c r="U214" i="6"/>
  <c r="U348" i="6"/>
  <c r="U77" i="6"/>
  <c r="U264" i="6"/>
  <c r="U204" i="6"/>
  <c r="U280" i="6"/>
  <c r="U443" i="6"/>
  <c r="U454" i="6"/>
  <c r="U56" i="6"/>
  <c r="U34" i="6"/>
  <c r="U104" i="6"/>
  <c r="U72" i="6"/>
  <c r="U139" i="6"/>
  <c r="U130" i="6"/>
  <c r="U132" i="6"/>
  <c r="U331" i="6"/>
  <c r="U157" i="6"/>
  <c r="U174" i="6"/>
  <c r="U268" i="6"/>
  <c r="U433" i="6"/>
  <c r="U9" i="6"/>
  <c r="U67" i="6"/>
  <c r="U170" i="6"/>
  <c r="U150" i="6"/>
  <c r="U106" i="6"/>
  <c r="U11" i="6"/>
  <c r="U286" i="6"/>
  <c r="U349" i="6"/>
  <c r="U189" i="6"/>
  <c r="U431" i="6"/>
  <c r="U192" i="6"/>
  <c r="U75" i="6"/>
  <c r="U288" i="6"/>
  <c r="U424" i="6"/>
  <c r="U271" i="6"/>
  <c r="U178" i="6"/>
  <c r="U30" i="6"/>
  <c r="U437" i="6"/>
  <c r="U425" i="6"/>
  <c r="U464" i="6"/>
  <c r="U411" i="6"/>
  <c r="U141" i="6"/>
  <c r="U427" i="6"/>
  <c r="U10" i="6"/>
  <c r="U111" i="6"/>
  <c r="U23" i="6"/>
  <c r="U408" i="6"/>
  <c r="U155" i="6"/>
  <c r="U462" i="6"/>
  <c r="U102" i="6"/>
  <c r="U270" i="6"/>
  <c r="U74" i="6"/>
  <c r="U236" i="6"/>
  <c r="U158" i="6"/>
  <c r="U405" i="6"/>
  <c r="U83" i="6"/>
  <c r="U134" i="6"/>
  <c r="U415" i="6"/>
  <c r="U117" i="6"/>
  <c r="U148" i="6"/>
  <c r="U25" i="6"/>
  <c r="U302" i="6"/>
  <c r="U412" i="6"/>
  <c r="U206" i="6"/>
  <c r="U208" i="6"/>
  <c r="U307" i="6"/>
  <c r="U175" i="6"/>
  <c r="U310" i="6"/>
  <c r="U207" i="6"/>
  <c r="U58" i="6"/>
  <c r="U466" i="6"/>
  <c r="U123" i="6"/>
  <c r="U61" i="6"/>
  <c r="U8" i="6"/>
  <c r="U428" i="6"/>
  <c r="U350" i="6"/>
  <c r="U39" i="6"/>
  <c r="U220" i="6"/>
  <c r="U442" i="6"/>
  <c r="U86" i="6"/>
  <c r="U84" i="6"/>
  <c r="U460" i="6"/>
  <c r="U414" i="6"/>
  <c r="U459" i="6"/>
  <c r="U50" i="6"/>
  <c r="U88" i="6"/>
  <c r="U406" i="6"/>
  <c r="U101" i="6"/>
  <c r="U413" i="6"/>
  <c r="U252" i="6"/>
  <c r="U183" i="6"/>
  <c r="U167" i="6"/>
  <c r="U40" i="6"/>
  <c r="U163" i="6"/>
  <c r="U222" i="6"/>
  <c r="U447" i="6"/>
  <c r="U224" i="6"/>
  <c r="U254" i="6"/>
  <c r="U200" i="6"/>
  <c r="U364" i="6"/>
  <c r="U172" i="6"/>
  <c r="U403" i="6"/>
  <c r="U244" i="6"/>
  <c r="U80" i="6"/>
  <c r="U422" i="6"/>
  <c r="U441" i="6"/>
  <c r="U42" i="6"/>
  <c r="U37" i="6"/>
  <c r="U59" i="6"/>
  <c r="U54" i="6"/>
  <c r="U162" i="6"/>
  <c r="U467" i="6"/>
  <c r="U451" i="6"/>
  <c r="U126" i="6"/>
  <c r="U430" i="6"/>
  <c r="U217" i="6"/>
  <c r="U434" i="6"/>
  <c r="U186" i="6"/>
  <c r="U73" i="6"/>
  <c r="U465" i="6"/>
  <c r="U258" i="6"/>
  <c r="U394" i="6"/>
  <c r="U232" i="6"/>
  <c r="U273" i="6"/>
  <c r="U16" i="6"/>
  <c r="U209" i="6"/>
  <c r="U439" i="6"/>
  <c r="U29" i="6"/>
  <c r="U164" i="6"/>
  <c r="U426" i="6"/>
  <c r="U94" i="6"/>
  <c r="U435" i="6"/>
  <c r="U18" i="6"/>
  <c r="U432" i="6"/>
  <c r="U201" i="6"/>
  <c r="U133" i="6"/>
  <c r="U57" i="6"/>
  <c r="U429" i="6"/>
  <c r="U347" i="6"/>
  <c r="U248" i="6"/>
  <c r="U341" i="6"/>
  <c r="U227" i="6"/>
  <c r="U15" i="6"/>
  <c r="U421" i="6"/>
  <c r="U152" i="6"/>
  <c r="U423" i="6"/>
  <c r="U449" i="6"/>
  <c r="U127" i="6"/>
  <c r="U203" i="6"/>
  <c r="U89" i="6"/>
  <c r="U445" i="6"/>
  <c r="U274" i="6"/>
  <c r="U78" i="6"/>
  <c r="U269" i="6"/>
  <c r="U397" i="6"/>
  <c r="U179" i="6"/>
  <c r="U48" i="6"/>
  <c r="U87" i="6"/>
  <c r="U116" i="6"/>
  <c r="U293" i="6"/>
  <c r="U366" i="6"/>
  <c r="U119" i="6"/>
  <c r="U128" i="6"/>
  <c r="U291" i="6"/>
  <c r="U311" i="6"/>
  <c r="U383" i="6"/>
  <c r="U313" i="6"/>
  <c r="U188" i="6"/>
  <c r="U362" i="6"/>
  <c r="U309" i="6"/>
  <c r="U346" i="6"/>
  <c r="U409" i="6"/>
  <c r="U399" i="6"/>
  <c r="U279" i="6"/>
  <c r="U361" i="6"/>
  <c r="U242" i="6"/>
  <c r="U379" i="6"/>
  <c r="U253" i="6"/>
  <c r="U339" i="6"/>
  <c r="U440" i="6"/>
  <c r="U456" i="6"/>
  <c r="U299" i="6"/>
  <c r="U378" i="6"/>
  <c r="U395" i="6"/>
  <c r="U324" i="6"/>
  <c r="U365" i="6"/>
  <c r="U317" i="6"/>
  <c r="U43" i="6"/>
  <c r="U335" i="6"/>
  <c r="U380" i="6"/>
  <c r="U382" i="6"/>
  <c r="U344" i="6"/>
  <c r="U41" i="6"/>
  <c r="U322" i="6"/>
  <c r="U71" i="6"/>
  <c r="U363" i="6"/>
  <c r="U46" i="6"/>
  <c r="U14" i="6"/>
  <c r="U398" i="6"/>
  <c r="U354" i="6"/>
  <c r="U69" i="6"/>
  <c r="U12" i="6"/>
  <c r="U103" i="6"/>
  <c r="U396" i="6"/>
  <c r="U177" i="6"/>
  <c r="U47" i="6"/>
  <c r="U333" i="6"/>
  <c r="U370" i="6"/>
  <c r="U168" i="6"/>
  <c r="U45" i="6"/>
  <c r="U240" i="6"/>
  <c r="U79" i="6"/>
  <c r="U112" i="6"/>
  <c r="U387" i="6"/>
  <c r="U334" i="6"/>
  <c r="U33" i="6"/>
  <c r="U120" i="6"/>
  <c r="U210" i="6"/>
  <c r="U247" i="6"/>
  <c r="U283" i="6"/>
  <c r="U231" i="6"/>
  <c r="U352" i="6"/>
  <c r="U377" i="6"/>
  <c r="U250" i="6"/>
  <c r="U211" i="6"/>
  <c r="U239" i="6"/>
  <c r="U49" i="6"/>
  <c r="U160" i="6"/>
  <c r="U215" i="6"/>
  <c r="U257" i="6"/>
  <c r="U287" i="6"/>
  <c r="U243" i="6"/>
  <c r="U356" i="6"/>
  <c r="U386" i="6"/>
  <c r="U113" i="6"/>
  <c r="U389" i="6"/>
  <c r="U194" i="6"/>
  <c r="U95" i="6"/>
  <c r="U144" i="6"/>
  <c r="U461" i="6"/>
  <c r="U99" i="6"/>
  <c r="U165" i="6"/>
  <c r="U216" i="6"/>
  <c r="U259" i="6"/>
  <c r="U295" i="6"/>
  <c r="U255" i="6"/>
  <c r="U357" i="6"/>
  <c r="U388" i="6"/>
  <c r="U125" i="6"/>
  <c r="U261" i="6"/>
  <c r="U122" i="6"/>
  <c r="U81" i="6"/>
  <c r="U306" i="6"/>
  <c r="U90" i="6"/>
  <c r="U316" i="6"/>
  <c r="U246" i="6"/>
  <c r="U336" i="6"/>
  <c r="U38" i="6"/>
  <c r="U285" i="6"/>
  <c r="U55" i="6"/>
  <c r="U218" i="6"/>
  <c r="U297" i="6"/>
  <c r="U359" i="6"/>
  <c r="U277" i="6"/>
  <c r="U282" i="6"/>
  <c r="U212" i="6"/>
  <c r="U60" i="6"/>
  <c r="U114" i="6"/>
  <c r="U149" i="6"/>
  <c r="U221" i="6"/>
  <c r="U262" i="6"/>
  <c r="U298" i="6"/>
  <c r="U345" i="6"/>
  <c r="U390" i="6"/>
  <c r="U145" i="6"/>
  <c r="U351" i="6"/>
  <c r="U385" i="6"/>
  <c r="U62" i="6"/>
  <c r="U115" i="6"/>
  <c r="U181" i="6"/>
  <c r="U223" i="6"/>
  <c r="U263" i="6"/>
  <c r="U300" i="6"/>
  <c r="U319" i="6"/>
  <c r="U360" i="6"/>
  <c r="U391" i="6"/>
  <c r="U225" i="6"/>
  <c r="U328" i="6"/>
  <c r="U367" i="6"/>
  <c r="U135" i="6"/>
  <c r="U251" i="6"/>
  <c r="U36" i="6"/>
  <c r="U63" i="6"/>
  <c r="U124" i="6"/>
  <c r="U182" i="6"/>
  <c r="U265" i="6"/>
  <c r="U301" i="6"/>
  <c r="U392" i="6"/>
  <c r="U266" i="6"/>
  <c r="U368" i="6"/>
  <c r="U136" i="6"/>
  <c r="U64" i="6"/>
  <c r="U140" i="6"/>
  <c r="U184" i="6"/>
  <c r="U303" i="6"/>
  <c r="U393" i="6"/>
  <c r="U138" i="6"/>
  <c r="U402" i="6"/>
  <c r="U241" i="6"/>
  <c r="U355" i="6"/>
  <c r="U17" i="6"/>
  <c r="U65" i="6"/>
  <c r="U169" i="6"/>
  <c r="U191" i="6"/>
  <c r="U143" i="6"/>
  <c r="U267" i="6"/>
  <c r="U304" i="6"/>
  <c r="U327" i="6"/>
  <c r="U369" i="6"/>
  <c r="U400" i="6"/>
  <c r="U276" i="6"/>
  <c r="U305" i="6"/>
  <c r="U371" i="6"/>
  <c r="U401" i="6"/>
  <c r="U197" i="6"/>
  <c r="U384" i="6"/>
  <c r="U26" i="6"/>
  <c r="U66" i="6"/>
  <c r="U129" i="6"/>
  <c r="U193" i="6"/>
  <c r="U159" i="6"/>
  <c r="U343" i="6"/>
  <c r="U28" i="6"/>
  <c r="U326" i="6"/>
  <c r="U166" i="6"/>
  <c r="U338" i="6"/>
  <c r="U284" i="6"/>
  <c r="U31" i="6"/>
  <c r="U82" i="6"/>
  <c r="U153" i="6"/>
  <c r="U195" i="6"/>
  <c r="U233" i="6"/>
  <c r="U278" i="6"/>
  <c r="U314" i="6"/>
  <c r="U342" i="6"/>
  <c r="U404" i="6"/>
  <c r="U235" i="6"/>
  <c r="U256" i="6"/>
  <c r="U32" i="6"/>
  <c r="U85" i="6"/>
  <c r="U147" i="6"/>
  <c r="U196" i="6"/>
  <c r="U237" i="6"/>
  <c r="U281" i="6"/>
  <c r="U315" i="6"/>
  <c r="U325" i="6"/>
  <c r="U375" i="6"/>
  <c r="U337" i="6"/>
  <c r="U376" i="6"/>
  <c r="U353" i="6"/>
  <c r="U213" i="6"/>
  <c r="U249" i="6"/>
  <c r="U260" i="6"/>
  <c r="F5" i="6"/>
  <c r="G5" i="6"/>
  <c r="E5" i="6"/>
  <c r="H4" i="6"/>
  <c r="H3" i="6"/>
  <c r="T5" i="6"/>
  <c r="V309" i="6"/>
  <c r="V51" i="6" l="1"/>
  <c r="V52" i="6"/>
  <c r="V53" i="6"/>
  <c r="V139" i="6"/>
  <c r="V185" i="6"/>
  <c r="V461" i="6"/>
  <c r="V471" i="6"/>
  <c r="V477" i="6"/>
  <c r="V478" i="6"/>
  <c r="V474" i="6"/>
  <c r="V472" i="6"/>
  <c r="V475" i="6"/>
  <c r="V473" i="6"/>
  <c r="V476" i="6"/>
  <c r="V375" i="6"/>
  <c r="V187" i="6"/>
  <c r="V457" i="6"/>
  <c r="V351" i="6"/>
  <c r="V236" i="6"/>
  <c r="V190" i="6"/>
  <c r="V469" i="6"/>
  <c r="V470" i="6"/>
  <c r="V416" i="6"/>
  <c r="V417" i="6"/>
  <c r="V418" i="6"/>
  <c r="V419" i="6"/>
  <c r="V420" i="6"/>
  <c r="V96" i="6"/>
  <c r="V97" i="6"/>
  <c r="V98" i="6"/>
  <c r="V358" i="6"/>
  <c r="V321" i="6"/>
  <c r="V94" i="6"/>
  <c r="V306" i="6"/>
  <c r="V379" i="6"/>
  <c r="V37" i="6"/>
  <c r="V260" i="6"/>
  <c r="V127" i="6"/>
  <c r="V314" i="6"/>
  <c r="V387" i="6"/>
  <c r="V13" i="6"/>
  <c r="V67" i="6"/>
  <c r="V135" i="6"/>
  <c r="V348" i="6"/>
  <c r="V165" i="6"/>
  <c r="V280" i="6"/>
  <c r="V285" i="6"/>
  <c r="V225" i="6"/>
  <c r="V318" i="6"/>
  <c r="V28" i="6"/>
  <c r="V18" i="6"/>
  <c r="V231" i="6"/>
  <c r="V432" i="6"/>
  <c r="V180" i="6"/>
  <c r="V448" i="6"/>
  <c r="V372" i="6"/>
  <c r="V373" i="6"/>
  <c r="V374" i="6"/>
  <c r="V458" i="6"/>
  <c r="V91" i="6"/>
  <c r="V92" i="6"/>
  <c r="V93" i="6"/>
  <c r="V152" i="6"/>
  <c r="V412" i="6"/>
  <c r="V202" i="6"/>
  <c r="V463" i="6"/>
  <c r="V249" i="6"/>
  <c r="V72" i="6"/>
  <c r="V354" i="6"/>
  <c r="V103" i="6"/>
  <c r="V385" i="6"/>
  <c r="V133" i="6"/>
  <c r="V250" i="6"/>
  <c r="V199" i="6"/>
  <c r="V252" i="6"/>
  <c r="V55" i="6"/>
  <c r="V277" i="6"/>
  <c r="V12" i="6"/>
  <c r="V228" i="6"/>
  <c r="V341" i="6"/>
  <c r="V50" i="6"/>
  <c r="V274" i="6"/>
  <c r="V443" i="6"/>
  <c r="V193" i="6"/>
  <c r="V288" i="6"/>
  <c r="V33" i="6"/>
  <c r="V154" i="6"/>
  <c r="V247" i="6"/>
  <c r="V32" i="6"/>
  <c r="V388" i="6"/>
  <c r="V123" i="6"/>
  <c r="V434" i="6"/>
  <c r="V353" i="6"/>
  <c r="V64" i="6"/>
  <c r="V450" i="6"/>
  <c r="V344" i="6"/>
  <c r="V34" i="6"/>
  <c r="V368" i="6"/>
  <c r="V117" i="6"/>
  <c r="V232" i="6"/>
  <c r="V433" i="6"/>
  <c r="V181" i="6"/>
  <c r="V398" i="6"/>
  <c r="V146" i="6"/>
  <c r="V261" i="6"/>
  <c r="V464" i="6"/>
  <c r="V212" i="6"/>
  <c r="V322" i="6"/>
  <c r="V19" i="6"/>
  <c r="V258" i="6"/>
  <c r="V427" i="6"/>
  <c r="V175" i="6"/>
  <c r="V272" i="6"/>
  <c r="V390" i="6"/>
  <c r="V138" i="6"/>
  <c r="V237" i="6"/>
  <c r="V264" i="6"/>
  <c r="V445" i="6"/>
  <c r="V298" i="6"/>
  <c r="V468" i="6"/>
  <c r="V9" i="6"/>
  <c r="V245" i="6"/>
  <c r="V87" i="6"/>
  <c r="V422" i="6"/>
  <c r="V315" i="6"/>
  <c r="V65" i="6"/>
  <c r="V352" i="6"/>
  <c r="V101" i="6"/>
  <c r="V216" i="6"/>
  <c r="V169" i="6"/>
  <c r="V382" i="6"/>
  <c r="V130" i="6"/>
  <c r="V79" i="6"/>
  <c r="V446" i="6"/>
  <c r="V196" i="6"/>
  <c r="V307" i="6"/>
  <c r="V78" i="6"/>
  <c r="V242" i="6"/>
  <c r="W7" i="6"/>
  <c r="V90" i="6"/>
  <c r="V256" i="6"/>
  <c r="V122" i="6"/>
  <c r="V221" i="6"/>
  <c r="V467" i="6"/>
  <c r="V207" i="6"/>
  <c r="V438" i="6"/>
  <c r="V359" i="6"/>
  <c r="V166" i="6"/>
  <c r="V454" i="6"/>
  <c r="V406" i="6"/>
  <c r="V299" i="6"/>
  <c r="V66" i="6"/>
  <c r="V345" i="6"/>
  <c r="V31" i="6"/>
  <c r="V200" i="6"/>
  <c r="V334" i="6"/>
  <c r="V80" i="6"/>
  <c r="V365" i="6"/>
  <c r="V114" i="6"/>
  <c r="V229" i="6"/>
  <c r="V430" i="6"/>
  <c r="V178" i="6"/>
  <c r="V291" i="6"/>
  <c r="V39" i="6"/>
  <c r="V226" i="6"/>
  <c r="V409" i="6"/>
  <c r="V157" i="6"/>
  <c r="V240" i="6"/>
  <c r="V357" i="6"/>
  <c r="V106" i="6"/>
  <c r="V205" i="6"/>
  <c r="V441" i="6"/>
  <c r="V251" i="6"/>
  <c r="V401" i="6"/>
  <c r="V170" i="6"/>
  <c r="V362" i="6"/>
  <c r="V304" i="6"/>
  <c r="V402" i="6"/>
  <c r="V136" i="6"/>
  <c r="V10" i="6"/>
  <c r="V268" i="6"/>
  <c r="V42" i="6"/>
  <c r="V424" i="6"/>
  <c r="V316" i="6"/>
  <c r="V283" i="6"/>
  <c r="V24" i="6"/>
  <c r="V313" i="6"/>
  <c r="V84" i="6"/>
  <c r="V182" i="6"/>
  <c r="V399" i="6"/>
  <c r="V147" i="6"/>
  <c r="V339" i="6"/>
  <c r="V77" i="6"/>
  <c r="V213" i="6"/>
  <c r="V413" i="6"/>
  <c r="V89" i="6"/>
  <c r="V275" i="6"/>
  <c r="V462" i="6"/>
  <c r="V210" i="6"/>
  <c r="V393" i="6"/>
  <c r="V141" i="6"/>
  <c r="V224" i="6"/>
  <c r="V343" i="6"/>
  <c r="V40" i="6"/>
  <c r="V188" i="6"/>
  <c r="V75" i="6"/>
  <c r="V303" i="6"/>
  <c r="V440" i="6"/>
  <c r="V371" i="6"/>
  <c r="V184" i="6"/>
  <c r="V456" i="6"/>
  <c r="V408" i="6"/>
  <c r="V234" i="6"/>
  <c r="V267" i="6"/>
  <c r="V102" i="6"/>
  <c r="V297" i="6"/>
  <c r="V168" i="6"/>
  <c r="V383" i="6"/>
  <c r="V131" i="6"/>
  <c r="V330" i="6"/>
  <c r="V25" i="6"/>
  <c r="V197" i="6"/>
  <c r="V336" i="6"/>
  <c r="V160" i="6"/>
  <c r="V259" i="6"/>
  <c r="V444" i="6"/>
  <c r="V194" i="6"/>
  <c r="V377" i="6"/>
  <c r="V125" i="6"/>
  <c r="V208" i="6"/>
  <c r="V255" i="6"/>
  <c r="V95" i="6"/>
  <c r="V59" i="6"/>
  <c r="V74" i="6"/>
  <c r="V220" i="6"/>
  <c r="V350" i="6"/>
  <c r="V282" i="6"/>
  <c r="V107" i="6"/>
  <c r="V426" i="6"/>
  <c r="V328" i="6"/>
  <c r="V155" i="6"/>
  <c r="V164" i="6"/>
  <c r="V281" i="6"/>
  <c r="V20" i="6"/>
  <c r="V366" i="6"/>
  <c r="V115" i="6"/>
  <c r="V310" i="6"/>
  <c r="V58" i="6"/>
  <c r="V179" i="6"/>
  <c r="V396" i="6"/>
  <c r="V144" i="6"/>
  <c r="V243" i="6"/>
  <c r="V428" i="6"/>
  <c r="V176" i="6"/>
  <c r="V360" i="6"/>
  <c r="V109" i="6"/>
  <c r="V192" i="6"/>
  <c r="V302" i="6"/>
  <c r="V30" i="6"/>
  <c r="V70" i="6"/>
  <c r="V150" i="6"/>
  <c r="V386" i="6"/>
  <c r="V191" i="6"/>
  <c r="V459" i="6"/>
  <c r="V239" i="6"/>
  <c r="V69" i="6"/>
  <c r="V235" i="6"/>
  <c r="V60" i="6"/>
  <c r="V265" i="6"/>
  <c r="V400" i="6"/>
  <c r="V148" i="6"/>
  <c r="V323" i="6"/>
  <c r="V99" i="6"/>
  <c r="V294" i="6"/>
  <c r="V45" i="6"/>
  <c r="V162" i="6"/>
  <c r="V380" i="6"/>
  <c r="V128" i="6"/>
  <c r="V227" i="6"/>
  <c r="V332" i="6"/>
  <c r="V61" i="6"/>
  <c r="V253" i="6"/>
  <c r="V46" i="6"/>
  <c r="V174" i="6"/>
  <c r="V286" i="6"/>
  <c r="V405" i="6"/>
  <c r="V153" i="6"/>
  <c r="V26" i="6"/>
  <c r="V287" i="6"/>
  <c r="V120" i="6"/>
  <c r="V431" i="6"/>
  <c r="V326" i="6"/>
  <c r="V57" i="6"/>
  <c r="V411" i="6"/>
  <c r="V219" i="6"/>
  <c r="V54" i="6"/>
  <c r="V172" i="6"/>
  <c r="V384" i="6"/>
  <c r="V132" i="6"/>
  <c r="V346" i="6"/>
  <c r="V27" i="6"/>
  <c r="V278" i="6"/>
  <c r="V14" i="6"/>
  <c r="V161" i="6"/>
  <c r="V363" i="6"/>
  <c r="V112" i="6"/>
  <c r="V211" i="6"/>
  <c r="V337" i="6"/>
  <c r="V158" i="6"/>
  <c r="V319" i="6"/>
  <c r="V15" i="6"/>
  <c r="V73" i="6"/>
  <c r="V270" i="6"/>
  <c r="V389" i="6"/>
  <c r="V137" i="6"/>
  <c r="V442" i="6"/>
  <c r="V204" i="6"/>
  <c r="V465" i="6"/>
  <c r="V11" i="6"/>
  <c r="V248" i="6"/>
  <c r="V71" i="6"/>
  <c r="V453" i="6"/>
  <c r="V203" i="6"/>
  <c r="V22" i="6"/>
  <c r="V233" i="6"/>
  <c r="V367" i="6"/>
  <c r="V116" i="6"/>
  <c r="V311" i="6"/>
  <c r="V81" i="6"/>
  <c r="V262" i="6"/>
  <c r="V397" i="6"/>
  <c r="V145" i="6"/>
  <c r="V324" i="6"/>
  <c r="V195" i="6"/>
  <c r="V394" i="6"/>
  <c r="V142" i="6"/>
  <c r="V305" i="6"/>
  <c r="V63" i="6"/>
  <c r="V156" i="6"/>
  <c r="V246" i="6"/>
  <c r="V121" i="6"/>
  <c r="V284" i="6"/>
  <c r="V83" i="6"/>
  <c r="V149" i="6"/>
  <c r="V293" i="6"/>
  <c r="V111" i="6"/>
  <c r="V56" i="6"/>
  <c r="V414" i="6"/>
  <c r="V134" i="6"/>
  <c r="V436" i="6"/>
  <c r="V355" i="6"/>
  <c r="V452" i="6"/>
  <c r="V437" i="6"/>
  <c r="V186" i="6"/>
  <c r="V410" i="6"/>
  <c r="V217" i="6"/>
  <c r="V338" i="6"/>
  <c r="V100" i="6"/>
  <c r="V295" i="6"/>
  <c r="V47" i="6"/>
  <c r="V163" i="6"/>
  <c r="V381" i="6"/>
  <c r="V129" i="6"/>
  <c r="V331" i="6"/>
  <c r="V21" i="6"/>
  <c r="V177" i="6"/>
  <c r="V378" i="6"/>
  <c r="V126" i="6"/>
  <c r="V289" i="6"/>
  <c r="V35" i="6"/>
  <c r="V140" i="6"/>
  <c r="V238" i="6"/>
  <c r="V356" i="6"/>
  <c r="V105" i="6"/>
  <c r="V223" i="6"/>
  <c r="V429" i="6"/>
  <c r="V119" i="6"/>
  <c r="V415" i="6"/>
  <c r="V244" i="6"/>
  <c r="V460" i="6"/>
  <c r="V86" i="6"/>
  <c r="V447" i="6"/>
  <c r="V391" i="6"/>
  <c r="V349" i="6"/>
  <c r="V8" i="6"/>
  <c r="V266" i="6"/>
  <c r="V36" i="6"/>
  <c r="V423" i="6"/>
  <c r="V421" i="6"/>
  <c r="V167" i="6"/>
  <c r="V451" i="6"/>
  <c r="V201" i="6"/>
  <c r="V329" i="6"/>
  <c r="V29" i="6"/>
  <c r="V279" i="6"/>
  <c r="V16" i="6"/>
  <c r="V230" i="6"/>
  <c r="V364" i="6"/>
  <c r="V113" i="6"/>
  <c r="V308" i="6"/>
  <c r="V88" i="6"/>
  <c r="V82" i="6"/>
  <c r="V361" i="6"/>
  <c r="V110" i="6"/>
  <c r="V273" i="6"/>
  <c r="V392" i="6"/>
  <c r="V124" i="6"/>
  <c r="V222" i="6"/>
  <c r="V327" i="6"/>
  <c r="V38" i="6"/>
  <c r="V300" i="6"/>
  <c r="V439" i="6"/>
  <c r="V369" i="6"/>
  <c r="V173" i="6"/>
  <c r="V455" i="6"/>
  <c r="V407" i="6"/>
  <c r="V333" i="6"/>
  <c r="V435" i="6"/>
  <c r="V183" i="6"/>
  <c r="V312" i="6"/>
  <c r="V68" i="6"/>
  <c r="V263" i="6"/>
  <c r="V466" i="6"/>
  <c r="V214" i="6"/>
  <c r="V340" i="6"/>
  <c r="V62" i="6"/>
  <c r="V292" i="6"/>
  <c r="V41" i="6"/>
  <c r="V159" i="6"/>
  <c r="V325" i="6"/>
  <c r="V48" i="6"/>
  <c r="V257" i="6"/>
  <c r="V376" i="6"/>
  <c r="V108" i="6"/>
  <c r="V206" i="6"/>
  <c r="V317" i="6"/>
  <c r="V118" i="6"/>
  <c r="V370" i="6"/>
  <c r="V215" i="6"/>
  <c r="V43" i="6"/>
  <c r="V290" i="6"/>
  <c r="V209" i="6"/>
  <c r="V269" i="6"/>
  <c r="V404" i="6"/>
  <c r="V218" i="6"/>
  <c r="V335" i="6"/>
  <c r="V271" i="6"/>
  <c r="V104" i="6"/>
  <c r="V425" i="6"/>
  <c r="V254" i="6"/>
  <c r="V403" i="6"/>
  <c r="V151" i="6"/>
  <c r="V76" i="6"/>
  <c r="V296" i="6"/>
  <c r="V49" i="6"/>
  <c r="V171" i="6"/>
  <c r="V449" i="6"/>
  <c r="V198" i="6"/>
  <c r="V347" i="6"/>
  <c r="V23" i="6"/>
  <c r="V276" i="6"/>
  <c r="V395" i="6"/>
  <c r="V143" i="6"/>
  <c r="V320" i="6"/>
  <c r="V17" i="6"/>
  <c r="V241" i="6"/>
  <c r="V342" i="6"/>
  <c r="V44" i="6"/>
  <c r="V189" i="6"/>
  <c r="V301" i="6"/>
  <c r="V85" i="6"/>
  <c r="U5" i="6"/>
  <c r="H5" i="6"/>
  <c r="W185" i="6" l="1"/>
  <c r="W51" i="6"/>
  <c r="W52" i="6"/>
  <c r="W53" i="6"/>
  <c r="W34" i="6"/>
  <c r="W476" i="6"/>
  <c r="W471" i="6"/>
  <c r="W477" i="6"/>
  <c r="W478" i="6"/>
  <c r="W474" i="6"/>
  <c r="W472" i="6"/>
  <c r="W475" i="6"/>
  <c r="W473" i="6"/>
  <c r="W190" i="6"/>
  <c r="W469" i="6"/>
  <c r="W470" i="6"/>
  <c r="W416" i="6"/>
  <c r="W417" i="6"/>
  <c r="W418" i="6"/>
  <c r="W419" i="6"/>
  <c r="W420" i="6"/>
  <c r="W124" i="6"/>
  <c r="W96" i="6"/>
  <c r="W97" i="6"/>
  <c r="W98" i="6"/>
  <c r="W354" i="6"/>
  <c r="W321" i="6"/>
  <c r="W60" i="6"/>
  <c r="W117" i="6"/>
  <c r="W85" i="6"/>
  <c r="W248" i="6"/>
  <c r="W183" i="6"/>
  <c r="W275" i="6"/>
  <c r="W17" i="6"/>
  <c r="W405" i="6"/>
  <c r="W12" i="6"/>
  <c r="W36" i="6"/>
  <c r="W146" i="6"/>
  <c r="W315" i="6"/>
  <c r="W358" i="6"/>
  <c r="W351" i="6"/>
  <c r="W59" i="6"/>
  <c r="W426" i="6"/>
  <c r="W197" i="6"/>
  <c r="W8" i="6"/>
  <c r="W467" i="6"/>
  <c r="W414" i="6"/>
  <c r="W398" i="6"/>
  <c r="W61" i="6"/>
  <c r="W66" i="6"/>
  <c r="W32" i="6"/>
  <c r="W448" i="6"/>
  <c r="W372" i="6"/>
  <c r="W373" i="6"/>
  <c r="W374" i="6"/>
  <c r="W299" i="6"/>
  <c r="W91" i="6"/>
  <c r="W92" i="6"/>
  <c r="W93" i="6"/>
  <c r="V5" i="6"/>
  <c r="W375" i="6"/>
  <c r="W400" i="6"/>
  <c r="W397" i="6"/>
  <c r="W406" i="6"/>
  <c r="W463" i="6"/>
  <c r="W445" i="6"/>
  <c r="W429" i="6"/>
  <c r="W31" i="6"/>
  <c r="W30" i="6"/>
  <c r="W58" i="6"/>
  <c r="W83" i="6"/>
  <c r="W116" i="6"/>
  <c r="W144" i="6"/>
  <c r="W161" i="6"/>
  <c r="W241" i="6"/>
  <c r="W177" i="6"/>
  <c r="W42" i="6"/>
  <c r="W259" i="6"/>
  <c r="W166" i="6"/>
  <c r="W382" i="6"/>
  <c r="W108" i="6"/>
  <c r="W206" i="6"/>
  <c r="W35" i="6"/>
  <c r="W49" i="6"/>
  <c r="W283" i="6"/>
  <c r="W339" i="6"/>
  <c r="W395" i="6"/>
  <c r="W333" i="6"/>
  <c r="W413" i="6"/>
  <c r="W460" i="6"/>
  <c r="W427" i="6"/>
  <c r="W252" i="6"/>
  <c r="W462" i="6"/>
  <c r="W444" i="6"/>
  <c r="W29" i="6"/>
  <c r="W56" i="6"/>
  <c r="W80" i="6"/>
  <c r="W115" i="6"/>
  <c r="W142" i="6"/>
  <c r="W162" i="6"/>
  <c r="W331" i="6"/>
  <c r="W27" i="6"/>
  <c r="W220" i="6"/>
  <c r="W437" i="6"/>
  <c r="W157" i="6"/>
  <c r="W365" i="6"/>
  <c r="W86" i="6"/>
  <c r="W302" i="6"/>
  <c r="W20" i="6"/>
  <c r="W33" i="6"/>
  <c r="W267" i="6"/>
  <c r="W75" i="6"/>
  <c r="W186" i="6"/>
  <c r="W227" i="6"/>
  <c r="W340" i="6"/>
  <c r="W371" i="6"/>
  <c r="W394" i="6"/>
  <c r="W316" i="6"/>
  <c r="W407" i="6"/>
  <c r="W464" i="6"/>
  <c r="W442" i="6"/>
  <c r="W455" i="6"/>
  <c r="W428" i="6"/>
  <c r="W28" i="6"/>
  <c r="W79" i="6"/>
  <c r="W114" i="6"/>
  <c r="W139" i="6"/>
  <c r="W309" i="6"/>
  <c r="W451" i="6"/>
  <c r="W245" i="6"/>
  <c r="W408" i="6"/>
  <c r="W141" i="6"/>
  <c r="W317" i="6"/>
  <c r="W70" i="6"/>
  <c r="W286" i="6"/>
  <c r="W300" i="6"/>
  <c r="W18" i="6"/>
  <c r="W225" i="6"/>
  <c r="W74" i="6"/>
  <c r="W347" i="6"/>
  <c r="W348" i="6"/>
  <c r="W203" i="6"/>
  <c r="W369" i="6"/>
  <c r="W392" i="6"/>
  <c r="W391" i="6"/>
  <c r="W390" i="6"/>
  <c r="W322" i="6"/>
  <c r="W446" i="6"/>
  <c r="W456" i="6"/>
  <c r="W423" i="6"/>
  <c r="W468" i="6"/>
  <c r="W26" i="6"/>
  <c r="W50" i="6"/>
  <c r="W78" i="6"/>
  <c r="W112" i="6"/>
  <c r="W293" i="6"/>
  <c r="W459" i="6"/>
  <c r="W213" i="6"/>
  <c r="W399" i="6"/>
  <c r="W125" i="6"/>
  <c r="W344" i="6"/>
  <c r="W54" i="6"/>
  <c r="W270" i="6"/>
  <c r="W284" i="6"/>
  <c r="X7" i="6"/>
  <c r="W236" i="6"/>
  <c r="W458" i="6"/>
  <c r="W297" i="6"/>
  <c r="W296" i="6"/>
  <c r="W254" i="6"/>
  <c r="W341" i="6"/>
  <c r="W367" i="6"/>
  <c r="W364" i="6"/>
  <c r="W362" i="6"/>
  <c r="W389" i="6"/>
  <c r="W409" i="6"/>
  <c r="W402" i="6"/>
  <c r="W440" i="6"/>
  <c r="W465" i="6"/>
  <c r="W447" i="6"/>
  <c r="W24" i="6"/>
  <c r="W47" i="6"/>
  <c r="W77" i="6"/>
  <c r="W277" i="6"/>
  <c r="W425" i="6"/>
  <c r="W251" i="6"/>
  <c r="W383" i="6"/>
  <c r="W109" i="6"/>
  <c r="W222" i="6"/>
  <c r="W37" i="6"/>
  <c r="W239" i="6"/>
  <c r="W268" i="6"/>
  <c r="W415" i="6"/>
  <c r="W176" i="6"/>
  <c r="W461" i="6"/>
  <c r="W269" i="6"/>
  <c r="W266" i="6"/>
  <c r="W295" i="6"/>
  <c r="W214" i="6"/>
  <c r="W325" i="6"/>
  <c r="W318" i="6"/>
  <c r="W253" i="6"/>
  <c r="W361" i="6"/>
  <c r="W388" i="6"/>
  <c r="W386" i="6"/>
  <c r="W410" i="6"/>
  <c r="W431" i="6"/>
  <c r="W457" i="6"/>
  <c r="W438" i="6"/>
  <c r="W21" i="6"/>
  <c r="W46" i="6"/>
  <c r="W261" i="6"/>
  <c r="W454" i="6"/>
  <c r="W159" i="6"/>
  <c r="W366" i="6"/>
  <c r="W87" i="6"/>
  <c r="W304" i="6"/>
  <c r="W22" i="6"/>
  <c r="W178" i="6"/>
  <c r="W231" i="6"/>
  <c r="W10" i="6"/>
  <c r="W172" i="6"/>
  <c r="W212" i="6"/>
  <c r="W187" i="6"/>
  <c r="W265" i="6"/>
  <c r="W294" i="6"/>
  <c r="W198" i="6"/>
  <c r="W189" i="6"/>
  <c r="W255" i="6"/>
  <c r="W342" i="6"/>
  <c r="W343" i="6"/>
  <c r="W359" i="6"/>
  <c r="W384" i="6"/>
  <c r="W349" i="6"/>
  <c r="W453" i="6"/>
  <c r="W441" i="6"/>
  <c r="W435" i="6"/>
  <c r="W19" i="6"/>
  <c r="W173" i="6"/>
  <c r="W401" i="6"/>
  <c r="W143" i="6"/>
  <c r="W323" i="6"/>
  <c r="W71" i="6"/>
  <c r="W288" i="6"/>
  <c r="W466" i="6"/>
  <c r="W202" i="6"/>
  <c r="W240" i="6"/>
  <c r="W443" i="6"/>
  <c r="W170" i="6"/>
  <c r="W228" i="6"/>
  <c r="W90" i="6"/>
  <c r="W233" i="6"/>
  <c r="W221" i="6"/>
  <c r="W244" i="6"/>
  <c r="W264" i="6"/>
  <c r="W292" i="6"/>
  <c r="W290" i="6"/>
  <c r="W287" i="6"/>
  <c r="W175" i="6"/>
  <c r="W312" i="6"/>
  <c r="W328" i="6"/>
  <c r="W357" i="6"/>
  <c r="W381" i="6"/>
  <c r="W334" i="6"/>
  <c r="W9" i="6"/>
  <c r="W452" i="6"/>
  <c r="W191" i="6"/>
  <c r="W337" i="6"/>
  <c r="W127" i="6"/>
  <c r="W327" i="6"/>
  <c r="W55" i="6"/>
  <c r="W272" i="6"/>
  <c r="W439" i="6"/>
  <c r="W174" i="6"/>
  <c r="W184" i="6"/>
  <c r="W238" i="6"/>
  <c r="W151" i="6"/>
  <c r="W298" i="6"/>
  <c r="W237" i="6"/>
  <c r="W137" i="6"/>
  <c r="W171" i="6"/>
  <c r="W163" i="6"/>
  <c r="W205" i="6"/>
  <c r="W232" i="6"/>
  <c r="W263" i="6"/>
  <c r="W262" i="6"/>
  <c r="W260" i="6"/>
  <c r="W285" i="6"/>
  <c r="W282" i="6"/>
  <c r="W311" i="6"/>
  <c r="W345" i="6"/>
  <c r="W356" i="6"/>
  <c r="W379" i="6"/>
  <c r="W335" i="6"/>
  <c r="W404" i="6"/>
  <c r="W412" i="6"/>
  <c r="W229" i="6"/>
  <c r="W385" i="6"/>
  <c r="W111" i="6"/>
  <c r="W230" i="6"/>
  <c r="W38" i="6"/>
  <c r="W256" i="6"/>
  <c r="W430" i="6"/>
  <c r="W168" i="6"/>
  <c r="W249" i="6"/>
  <c r="W219" i="6"/>
  <c r="W135" i="6"/>
  <c r="W271" i="6"/>
  <c r="W110" i="6"/>
  <c r="W134" i="6"/>
  <c r="W133" i="6"/>
  <c r="W179" i="6"/>
  <c r="W223" i="6"/>
  <c r="W215" i="6"/>
  <c r="W207" i="6"/>
  <c r="W258" i="6"/>
  <c r="W243" i="6"/>
  <c r="W281" i="6"/>
  <c r="W310" i="6"/>
  <c r="W329" i="6"/>
  <c r="W355" i="6"/>
  <c r="W378" i="6"/>
  <c r="W242" i="6"/>
  <c r="W434" i="6"/>
  <c r="W192" i="6"/>
  <c r="W368" i="6"/>
  <c r="W89" i="6"/>
  <c r="W305" i="6"/>
  <c r="W23" i="6"/>
  <c r="W196" i="6"/>
  <c r="W234" i="6"/>
  <c r="W154" i="6"/>
  <c r="W169" i="6"/>
  <c r="W393" i="6"/>
  <c r="W119" i="6"/>
  <c r="W76" i="6"/>
  <c r="W107" i="6"/>
  <c r="W105" i="6"/>
  <c r="W132" i="6"/>
  <c r="W160" i="6"/>
  <c r="W164" i="6"/>
  <c r="W250" i="6"/>
  <c r="W224" i="6"/>
  <c r="W199" i="6"/>
  <c r="W181" i="6"/>
  <c r="W235" i="6"/>
  <c r="W280" i="6"/>
  <c r="W308" i="6"/>
  <c r="W211" i="6"/>
  <c r="W353" i="6"/>
  <c r="W376" i="6"/>
  <c r="W424" i="6"/>
  <c r="W352" i="6"/>
  <c r="W73" i="6"/>
  <c r="W289" i="6"/>
  <c r="W422" i="6"/>
  <c r="W218" i="6"/>
  <c r="W11" i="6"/>
  <c r="W138" i="6"/>
  <c r="W152" i="6"/>
  <c r="W377" i="6"/>
  <c r="W103" i="6"/>
  <c r="W45" i="6"/>
  <c r="W44" i="6"/>
  <c r="W72" i="6"/>
  <c r="W102" i="6"/>
  <c r="W131" i="6"/>
  <c r="W158" i="6"/>
  <c r="W155" i="6"/>
  <c r="W153" i="6"/>
  <c r="W216" i="6"/>
  <c r="W208" i="6"/>
  <c r="W246" i="6"/>
  <c r="W217" i="6"/>
  <c r="W279" i="6"/>
  <c r="W306" i="6"/>
  <c r="W346" i="6"/>
  <c r="W338" i="6"/>
  <c r="W320" i="6"/>
  <c r="W145" i="6"/>
  <c r="W326" i="6"/>
  <c r="W57" i="6"/>
  <c r="W273" i="6"/>
  <c r="W313" i="6"/>
  <c r="W188" i="6"/>
  <c r="W396" i="6"/>
  <c r="W122" i="6"/>
  <c r="W136" i="6"/>
  <c r="W360" i="6"/>
  <c r="W81" i="6"/>
  <c r="W16" i="6"/>
  <c r="W15" i="6"/>
  <c r="W43" i="6"/>
  <c r="W69" i="6"/>
  <c r="W101" i="6"/>
  <c r="W130" i="6"/>
  <c r="W128" i="6"/>
  <c r="W126" i="6"/>
  <c r="W150" i="6"/>
  <c r="W149" i="6"/>
  <c r="W200" i="6"/>
  <c r="W210" i="6"/>
  <c r="W209" i="6"/>
  <c r="W278" i="6"/>
  <c r="W303" i="6"/>
  <c r="W330" i="6"/>
  <c r="W195" i="6"/>
  <c r="W129" i="6"/>
  <c r="W332" i="6"/>
  <c r="W40" i="6"/>
  <c r="W257" i="6"/>
  <c r="W433" i="6"/>
  <c r="W167" i="6"/>
  <c r="W380" i="6"/>
  <c r="W106" i="6"/>
  <c r="W120" i="6"/>
  <c r="W324" i="6"/>
  <c r="W65" i="6"/>
  <c r="W436" i="6"/>
  <c r="W432" i="6"/>
  <c r="W14" i="6"/>
  <c r="W41" i="6"/>
  <c r="W67" i="6"/>
  <c r="W100" i="6"/>
  <c r="W99" i="6"/>
  <c r="W123" i="6"/>
  <c r="W121" i="6"/>
  <c r="W148" i="6"/>
  <c r="W182" i="6"/>
  <c r="W194" i="6"/>
  <c r="W201" i="6"/>
  <c r="W276" i="6"/>
  <c r="W301" i="6"/>
  <c r="W387" i="6"/>
  <c r="W113" i="6"/>
  <c r="W307" i="6"/>
  <c r="W25" i="6"/>
  <c r="W204" i="6"/>
  <c r="W421" i="6"/>
  <c r="W156" i="6"/>
  <c r="W363" i="6"/>
  <c r="W84" i="6"/>
  <c r="W104" i="6"/>
  <c r="W319" i="6"/>
  <c r="W48" i="6"/>
  <c r="W403" i="6"/>
  <c r="W449" i="6"/>
  <c r="W350" i="6"/>
  <c r="W411" i="6"/>
  <c r="W450" i="6"/>
  <c r="W13" i="6"/>
  <c r="W39" i="6"/>
  <c r="W64" i="6"/>
  <c r="W63" i="6"/>
  <c r="W62" i="6"/>
  <c r="W95" i="6"/>
  <c r="W88" i="6"/>
  <c r="W118" i="6"/>
  <c r="W147" i="6"/>
  <c r="W165" i="6"/>
  <c r="W247" i="6"/>
  <c r="W193" i="6"/>
  <c r="W274" i="6"/>
  <c r="W370" i="6"/>
  <c r="W94" i="6"/>
  <c r="W291" i="6"/>
  <c r="W226" i="6"/>
  <c r="W336" i="6"/>
  <c r="W140" i="6"/>
  <c r="W314" i="6"/>
  <c r="W68" i="6"/>
  <c r="W82" i="6"/>
  <c r="W180" i="6"/>
  <c r="X185" i="6" l="1"/>
  <c r="X51" i="6"/>
  <c r="X52" i="6"/>
  <c r="X53" i="6"/>
  <c r="X476" i="6"/>
  <c r="X471" i="6"/>
  <c r="X477" i="6"/>
  <c r="X478" i="6"/>
  <c r="X474" i="6"/>
  <c r="X472" i="6"/>
  <c r="X475" i="6"/>
  <c r="X473" i="6"/>
  <c r="X190" i="6"/>
  <c r="X469" i="6"/>
  <c r="X470" i="6"/>
  <c r="X416" i="6"/>
  <c r="X417" i="6"/>
  <c r="X418" i="6"/>
  <c r="X419" i="6"/>
  <c r="X420" i="6"/>
  <c r="X321" i="6"/>
  <c r="X96" i="6"/>
  <c r="X97" i="6"/>
  <c r="X98" i="6"/>
  <c r="X268" i="6"/>
  <c r="X358" i="6"/>
  <c r="X381" i="6"/>
  <c r="X293" i="6"/>
  <c r="X164" i="6"/>
  <c r="X464" i="6"/>
  <c r="X318" i="6"/>
  <c r="X71" i="6"/>
  <c r="X372" i="6"/>
  <c r="X373" i="6"/>
  <c r="X374" i="6"/>
  <c r="X267" i="6"/>
  <c r="X283" i="6"/>
  <c r="X438" i="6"/>
  <c r="X409" i="6"/>
  <c r="X77" i="6"/>
  <c r="X66" i="6"/>
  <c r="X13" i="6"/>
  <c r="X28" i="6"/>
  <c r="X448" i="6"/>
  <c r="X424" i="6"/>
  <c r="X79" i="6"/>
  <c r="X163" i="6"/>
  <c r="X26" i="6"/>
  <c r="X316" i="6"/>
  <c r="X247" i="6"/>
  <c r="X216" i="6"/>
  <c r="X441" i="6"/>
  <c r="X307" i="6"/>
  <c r="X80" i="6"/>
  <c r="X426" i="6"/>
  <c r="X412" i="6"/>
  <c r="X364" i="6"/>
  <c r="X223" i="6"/>
  <c r="X439" i="6"/>
  <c r="X248" i="6"/>
  <c r="X309" i="6"/>
  <c r="X323" i="6"/>
  <c r="X177" i="6"/>
  <c r="X85" i="6"/>
  <c r="X131" i="6"/>
  <c r="X390" i="6"/>
  <c r="X355" i="6"/>
  <c r="X148" i="6"/>
  <c r="X342" i="6"/>
  <c r="X287" i="6"/>
  <c r="X271" i="6"/>
  <c r="X191" i="6"/>
  <c r="X328" i="6"/>
  <c r="X350" i="6"/>
  <c r="X29" i="6"/>
  <c r="X91" i="6"/>
  <c r="X92" i="6"/>
  <c r="X93" i="6"/>
  <c r="X354" i="6"/>
  <c r="X167" i="6"/>
  <c r="X285" i="6"/>
  <c r="X90" i="6"/>
  <c r="X64" i="6"/>
  <c r="X69" i="6"/>
  <c r="X335" i="6"/>
  <c r="X151" i="6"/>
  <c r="X27" i="6"/>
  <c r="X401" i="6"/>
  <c r="X269" i="6"/>
  <c r="X82" i="6"/>
  <c r="X463" i="6"/>
  <c r="X284" i="6"/>
  <c r="X166" i="6"/>
  <c r="X87" i="6"/>
  <c r="W5" i="6"/>
  <c r="X465" i="6"/>
  <c r="X421" i="6"/>
  <c r="X100" i="6"/>
  <c r="X346" i="6"/>
  <c r="X378" i="6"/>
  <c r="X10" i="6"/>
  <c r="X429" i="6"/>
  <c r="X262" i="6"/>
  <c r="X326" i="6"/>
  <c r="X243" i="6"/>
  <c r="X175" i="6"/>
  <c r="X42" i="6"/>
  <c r="X235" i="6"/>
  <c r="X231" i="6"/>
  <c r="X225" i="6"/>
  <c r="X430" i="6"/>
  <c r="X186" i="6"/>
  <c r="X208" i="6"/>
  <c r="X393" i="6"/>
  <c r="X135" i="6"/>
  <c r="X150" i="6"/>
  <c r="X405" i="6"/>
  <c r="X147" i="6"/>
  <c r="X332" i="6"/>
  <c r="X50" i="6"/>
  <c r="X48" i="6"/>
  <c r="X47" i="6"/>
  <c r="X45" i="6"/>
  <c r="X75" i="6"/>
  <c r="X304" i="6"/>
  <c r="X413" i="6"/>
  <c r="X187" i="6"/>
  <c r="X22" i="6"/>
  <c r="X240" i="6"/>
  <c r="X134" i="6"/>
  <c r="X25" i="6"/>
  <c r="X24" i="6"/>
  <c r="X74" i="6"/>
  <c r="X454" i="6"/>
  <c r="X386" i="6"/>
  <c r="X182" i="6"/>
  <c r="X347" i="6"/>
  <c r="X375" i="6"/>
  <c r="Y7" i="6"/>
  <c r="X459" i="6"/>
  <c r="X183" i="6"/>
  <c r="X210" i="6"/>
  <c r="X286" i="6"/>
  <c r="X194" i="6"/>
  <c r="X184" i="6"/>
  <c r="X176" i="6"/>
  <c r="X411" i="6"/>
  <c r="X153" i="6"/>
  <c r="X168" i="6"/>
  <c r="X360" i="6"/>
  <c r="X103" i="6"/>
  <c r="X118" i="6"/>
  <c r="X115" i="6"/>
  <c r="X291" i="6"/>
  <c r="X290" i="6"/>
  <c r="X289" i="6"/>
  <c r="X288" i="6"/>
  <c r="X458" i="6"/>
  <c r="X9" i="6"/>
  <c r="X361" i="6"/>
  <c r="X450" i="6"/>
  <c r="X300" i="6"/>
  <c r="X255" i="6"/>
  <c r="X396" i="6"/>
  <c r="X440" i="6"/>
  <c r="X117" i="6"/>
  <c r="X179" i="6"/>
  <c r="X270" i="6"/>
  <c r="X462" i="6"/>
  <c r="X249" i="6"/>
  <c r="X250" i="6"/>
  <c r="X224" i="6"/>
  <c r="X395" i="6"/>
  <c r="X137" i="6"/>
  <c r="X152" i="6"/>
  <c r="X341" i="6"/>
  <c r="X78" i="6"/>
  <c r="X102" i="6"/>
  <c r="X356" i="6"/>
  <c r="X99" i="6"/>
  <c r="X275" i="6"/>
  <c r="X274" i="6"/>
  <c r="X273" i="6"/>
  <c r="X272" i="6"/>
  <c r="X35" i="6"/>
  <c r="X461" i="6"/>
  <c r="X407" i="6"/>
  <c r="X327" i="6"/>
  <c r="X406" i="6"/>
  <c r="X467" i="6"/>
  <c r="X73" i="6"/>
  <c r="X254" i="6"/>
  <c r="X370" i="6"/>
  <c r="X11" i="6"/>
  <c r="X457" i="6"/>
  <c r="X227" i="6"/>
  <c r="X239" i="6"/>
  <c r="X211" i="6"/>
  <c r="X203" i="6"/>
  <c r="X195" i="6"/>
  <c r="X379" i="6"/>
  <c r="X121" i="6"/>
  <c r="X136" i="6"/>
  <c r="X330" i="6"/>
  <c r="X57" i="6"/>
  <c r="X56" i="6"/>
  <c r="X189" i="6"/>
  <c r="X89" i="6"/>
  <c r="X259" i="6"/>
  <c r="X258" i="6"/>
  <c r="X257" i="6"/>
  <c r="X256" i="6"/>
  <c r="X20" i="6"/>
  <c r="X394" i="6"/>
  <c r="X310" i="6"/>
  <c r="X383" i="6"/>
  <c r="X337" i="6"/>
  <c r="X415" i="6"/>
  <c r="X294" i="6"/>
  <c r="X214" i="6"/>
  <c r="X391" i="6"/>
  <c r="X422" i="6"/>
  <c r="X83" i="6"/>
  <c r="X178" i="6"/>
  <c r="X468" i="6"/>
  <c r="X172" i="6"/>
  <c r="X171" i="6"/>
  <c r="X170" i="6"/>
  <c r="X362" i="6"/>
  <c r="X105" i="6"/>
  <c r="X120" i="6"/>
  <c r="X312" i="6"/>
  <c r="X36" i="6"/>
  <c r="X34" i="6"/>
  <c r="X348" i="6"/>
  <c r="X220" i="6"/>
  <c r="X212" i="6"/>
  <c r="X204" i="6"/>
  <c r="X196" i="6"/>
  <c r="X49" i="6"/>
  <c r="X427" i="6"/>
  <c r="X399" i="6"/>
  <c r="X133" i="6"/>
  <c r="X302" i="6"/>
  <c r="X236" i="6"/>
  <c r="X384" i="6"/>
  <c r="X199" i="6"/>
  <c r="X357" i="6"/>
  <c r="X402" i="6"/>
  <c r="X433" i="6"/>
  <c r="X165" i="6"/>
  <c r="X333" i="6"/>
  <c r="X367" i="6"/>
  <c r="X437" i="6"/>
  <c r="X158" i="6"/>
  <c r="X202" i="6"/>
  <c r="X336" i="6"/>
  <c r="X156" i="6"/>
  <c r="X155" i="6"/>
  <c r="X154" i="6"/>
  <c r="X324" i="6"/>
  <c r="X81" i="6"/>
  <c r="X104" i="6"/>
  <c r="X296" i="6"/>
  <c r="X12" i="6"/>
  <c r="X95" i="6"/>
  <c r="X308" i="6"/>
  <c r="X30" i="6"/>
  <c r="X245" i="6"/>
  <c r="X246" i="6"/>
  <c r="X226" i="6"/>
  <c r="X218" i="6"/>
  <c r="X33" i="6"/>
  <c r="X352" i="6"/>
  <c r="X119" i="6"/>
  <c r="X369" i="6"/>
  <c r="X101" i="6"/>
  <c r="X319" i="6"/>
  <c r="X380" i="6"/>
  <c r="X351" i="6"/>
  <c r="X445" i="6"/>
  <c r="X278" i="6"/>
  <c r="X253" i="6"/>
  <c r="X180" i="6"/>
  <c r="X142" i="6"/>
  <c r="X174" i="6"/>
  <c r="X398" i="6"/>
  <c r="X140" i="6"/>
  <c r="X139" i="6"/>
  <c r="X138" i="6"/>
  <c r="X222" i="6"/>
  <c r="X59" i="6"/>
  <c r="X88" i="6"/>
  <c r="X280" i="6"/>
  <c r="X295" i="6"/>
  <c r="X55" i="6"/>
  <c r="X292" i="6"/>
  <c r="X432" i="6"/>
  <c r="X213" i="6"/>
  <c r="X205" i="6"/>
  <c r="X197" i="6"/>
  <c r="X188" i="6"/>
  <c r="X18" i="6"/>
  <c r="X410" i="6"/>
  <c r="X377" i="6"/>
  <c r="X359" i="6"/>
  <c r="X425" i="6"/>
  <c r="X305" i="6"/>
  <c r="X353" i="6"/>
  <c r="X400" i="6"/>
  <c r="X446" i="6"/>
  <c r="X149" i="6"/>
  <c r="X315" i="6"/>
  <c r="X387" i="6"/>
  <c r="X126" i="6"/>
  <c r="X219" i="6"/>
  <c r="X382" i="6"/>
  <c r="X124" i="6"/>
  <c r="X123" i="6"/>
  <c r="X122" i="6"/>
  <c r="X314" i="6"/>
  <c r="X38" i="6"/>
  <c r="X58" i="6"/>
  <c r="X264" i="6"/>
  <c r="X279" i="6"/>
  <c r="X276" i="6"/>
  <c r="X436" i="6"/>
  <c r="X242" i="6"/>
  <c r="X238" i="6"/>
  <c r="X234" i="6"/>
  <c r="X230" i="6"/>
  <c r="X63" i="6"/>
  <c r="X389" i="6"/>
  <c r="X325" i="6"/>
  <c r="X423" i="6"/>
  <c r="X229" i="6"/>
  <c r="X198" i="6"/>
  <c r="X376" i="6"/>
  <c r="X8" i="6"/>
  <c r="X431" i="6"/>
  <c r="X261" i="6"/>
  <c r="X363" i="6"/>
  <c r="X110" i="6"/>
  <c r="X67" i="6"/>
  <c r="X365" i="6"/>
  <c r="X108" i="6"/>
  <c r="X107" i="6"/>
  <c r="X106" i="6"/>
  <c r="X298" i="6"/>
  <c r="X16" i="6"/>
  <c r="X37" i="6"/>
  <c r="X201" i="6"/>
  <c r="X263" i="6"/>
  <c r="X72" i="6"/>
  <c r="X260" i="6"/>
  <c r="X460" i="6"/>
  <c r="X86" i="6"/>
  <c r="X70" i="6"/>
  <c r="X46" i="6"/>
  <c r="X329" i="6"/>
  <c r="X444" i="6"/>
  <c r="X451" i="6"/>
  <c r="X303" i="6"/>
  <c r="X338" i="6"/>
  <c r="X397" i="6"/>
  <c r="X456" i="6"/>
  <c r="X132" i="6"/>
  <c r="X343" i="6"/>
  <c r="X65" i="6"/>
  <c r="X157" i="6"/>
  <c r="X339" i="6"/>
  <c r="X84" i="6"/>
  <c r="X68" i="6"/>
  <c r="X94" i="6"/>
  <c r="X282" i="6"/>
  <c r="X297" i="6"/>
  <c r="X14" i="6"/>
  <c r="X215" i="6"/>
  <c r="X193" i="6"/>
  <c r="X54" i="6"/>
  <c r="X228" i="6"/>
  <c r="X206" i="6"/>
  <c r="X162" i="6"/>
  <c r="X161" i="6"/>
  <c r="X160" i="6"/>
  <c r="X159" i="6"/>
  <c r="X31" i="6"/>
  <c r="X244" i="6"/>
  <c r="X320" i="6"/>
  <c r="X408" i="6"/>
  <c r="X447" i="6"/>
  <c r="X251" i="6"/>
  <c r="X331" i="6"/>
  <c r="X334" i="6"/>
  <c r="X442" i="6"/>
  <c r="X311" i="6"/>
  <c r="X43" i="6"/>
  <c r="X141" i="6"/>
  <c r="X345" i="6"/>
  <c r="X62" i="6"/>
  <c r="X61" i="6"/>
  <c r="X60" i="6"/>
  <c r="X266" i="6"/>
  <c r="X281" i="6"/>
  <c r="X435" i="6"/>
  <c r="X241" i="6"/>
  <c r="X207" i="6"/>
  <c r="X32" i="6"/>
  <c r="X181" i="6"/>
  <c r="X404" i="6"/>
  <c r="X146" i="6"/>
  <c r="X145" i="6"/>
  <c r="X144" i="6"/>
  <c r="X143" i="6"/>
  <c r="X15" i="6"/>
  <c r="X428" i="6"/>
  <c r="X313" i="6"/>
  <c r="X414" i="6"/>
  <c r="X306" i="6"/>
  <c r="X385" i="6"/>
  <c r="X434" i="6"/>
  <c r="X449" i="6"/>
  <c r="X299" i="6"/>
  <c r="X340" i="6"/>
  <c r="X392" i="6"/>
  <c r="X453" i="6"/>
  <c r="X173" i="6"/>
  <c r="X23" i="6"/>
  <c r="X125" i="6"/>
  <c r="X317" i="6"/>
  <c r="X41" i="6"/>
  <c r="X40" i="6"/>
  <c r="X39" i="6"/>
  <c r="X217" i="6"/>
  <c r="X265" i="6"/>
  <c r="X455" i="6"/>
  <c r="X200" i="6"/>
  <c r="X237" i="6"/>
  <c r="X466" i="6"/>
  <c r="X221" i="6"/>
  <c r="X388" i="6"/>
  <c r="X130" i="6"/>
  <c r="X129" i="6"/>
  <c r="X128" i="6"/>
  <c r="X127" i="6"/>
  <c r="X44" i="6"/>
  <c r="X169" i="6"/>
  <c r="X233" i="6"/>
  <c r="X277" i="6"/>
  <c r="X344" i="6"/>
  <c r="X403" i="6"/>
  <c r="X349" i="6"/>
  <c r="X368" i="6"/>
  <c r="X322" i="6"/>
  <c r="X116" i="6"/>
  <c r="X366" i="6"/>
  <c r="X109" i="6"/>
  <c r="X301" i="6"/>
  <c r="X21" i="6"/>
  <c r="X19" i="6"/>
  <c r="X17" i="6"/>
  <c r="X232" i="6"/>
  <c r="X209" i="6"/>
  <c r="X443" i="6"/>
  <c r="X76" i="6"/>
  <c r="X192" i="6"/>
  <c r="X452" i="6"/>
  <c r="X252" i="6"/>
  <c r="X371" i="6"/>
  <c r="X114" i="6"/>
  <c r="X113" i="6"/>
  <c r="X112" i="6"/>
  <c r="X111" i="6"/>
  <c r="Y185" i="6" l="1"/>
  <c r="Y51" i="6"/>
  <c r="Y52" i="6"/>
  <c r="Y53" i="6"/>
  <c r="Y473" i="6"/>
  <c r="Y476" i="6"/>
  <c r="Y471" i="6"/>
  <c r="Y477" i="6"/>
  <c r="Y478" i="6"/>
  <c r="Y474" i="6"/>
  <c r="Y472" i="6"/>
  <c r="Y475" i="6"/>
  <c r="Y469" i="6"/>
  <c r="Y470" i="6"/>
  <c r="Y100" i="6"/>
  <c r="Y362" i="6"/>
  <c r="Y134" i="6"/>
  <c r="Y190" i="6"/>
  <c r="Y462" i="6"/>
  <c r="Y396" i="6"/>
  <c r="Y393" i="6"/>
  <c r="Y143" i="6"/>
  <c r="Y41" i="6"/>
  <c r="Y73" i="6"/>
  <c r="Y459" i="6"/>
  <c r="Y120" i="6"/>
  <c r="Y196" i="6"/>
  <c r="Y416" i="6"/>
  <c r="Y417" i="6"/>
  <c r="Y418" i="6"/>
  <c r="Y419" i="6"/>
  <c r="Y420" i="6"/>
  <c r="Y265" i="6"/>
  <c r="Y213" i="6"/>
  <c r="Y33" i="6"/>
  <c r="Y173" i="6"/>
  <c r="Y126" i="6"/>
  <c r="Y76" i="6"/>
  <c r="Y56" i="6"/>
  <c r="Y360" i="6"/>
  <c r="Y202" i="6"/>
  <c r="Y14" i="6"/>
  <c r="Y278" i="6"/>
  <c r="Y425" i="6"/>
  <c r="Y272" i="6"/>
  <c r="Y414" i="6"/>
  <c r="Y27" i="6"/>
  <c r="Y286" i="6"/>
  <c r="Y142" i="6"/>
  <c r="Y64" i="6"/>
  <c r="Y102" i="6"/>
  <c r="Y18" i="6"/>
  <c r="Y218" i="6"/>
  <c r="Y107" i="6"/>
  <c r="Y238" i="6"/>
  <c r="Y175" i="6"/>
  <c r="Y146" i="6"/>
  <c r="Y84" i="6"/>
  <c r="Y216" i="6"/>
  <c r="Y156" i="6"/>
  <c r="Y71" i="6"/>
  <c r="Y60" i="6"/>
  <c r="Y121" i="6"/>
  <c r="Y344" i="6"/>
  <c r="Y268" i="6"/>
  <c r="Y391" i="6"/>
  <c r="Y300" i="6"/>
  <c r="Y214" i="6"/>
  <c r="Y112" i="6"/>
  <c r="Y321" i="6"/>
  <c r="Y96" i="6"/>
  <c r="Y97" i="6"/>
  <c r="Y98" i="6"/>
  <c r="Y335" i="6"/>
  <c r="Y169" i="6"/>
  <c r="Y229" i="6"/>
  <c r="Y82" i="6"/>
  <c r="Y61" i="6"/>
  <c r="Y403" i="6"/>
  <c r="Y80" i="6"/>
  <c r="Y310" i="6"/>
  <c r="Y183" i="6"/>
  <c r="Y450" i="6"/>
  <c r="Y145" i="6"/>
  <c r="Y101" i="6"/>
  <c r="Y351" i="6"/>
  <c r="Y342" i="6"/>
  <c r="Y250" i="6"/>
  <c r="Y12" i="6"/>
  <c r="Y116" i="6"/>
  <c r="Y227" i="6"/>
  <c r="Y358" i="6"/>
  <c r="Y440" i="6"/>
  <c r="Y129" i="6"/>
  <c r="Y324" i="6"/>
  <c r="Y199" i="6"/>
  <c r="Y131" i="6"/>
  <c r="Y426" i="6"/>
  <c r="Y410" i="6"/>
  <c r="Y388" i="6"/>
  <c r="Y48" i="6"/>
  <c r="Y124" i="6"/>
  <c r="Y191" i="6"/>
  <c r="Y189" i="6"/>
  <c r="Y210" i="6"/>
  <c r="Y308" i="6"/>
  <c r="Y16" i="6"/>
  <c r="Y37" i="6"/>
  <c r="Y59" i="6"/>
  <c r="Y9" i="6"/>
  <c r="Y110" i="6"/>
  <c r="Y184" i="6"/>
  <c r="Y200" i="6"/>
  <c r="Y178" i="6"/>
  <c r="Y45" i="6"/>
  <c r="Y256" i="6"/>
  <c r="Y323" i="6"/>
  <c r="Y234" i="6"/>
  <c r="Y17" i="6"/>
  <c r="Y109" i="6"/>
  <c r="Y365" i="6"/>
  <c r="Y389" i="6"/>
  <c r="Y26" i="6"/>
  <c r="Y99" i="6"/>
  <c r="Y162" i="6"/>
  <c r="Y86" i="6"/>
  <c r="Y187" i="6"/>
  <c r="Y356" i="6"/>
  <c r="Y273" i="6"/>
  <c r="Y13" i="6"/>
  <c r="Y35" i="6"/>
  <c r="Y392" i="6"/>
  <c r="Y72" i="6"/>
  <c r="Y168" i="6"/>
  <c r="Y153" i="6"/>
  <c r="Y163" i="6"/>
  <c r="Y30" i="6"/>
  <c r="Y383" i="6"/>
  <c r="Y270" i="6"/>
  <c r="Y402" i="6"/>
  <c r="Y8" i="6"/>
  <c r="Y57" i="6"/>
  <c r="Y243" i="6"/>
  <c r="Y361" i="6"/>
  <c r="Y447" i="6"/>
  <c r="Y384" i="6"/>
  <c r="Y47" i="6"/>
  <c r="Y122" i="6"/>
  <c r="Y68" i="6"/>
  <c r="Y119" i="6"/>
  <c r="Y436" i="6"/>
  <c r="Y336" i="6"/>
  <c r="Y338" i="6"/>
  <c r="Y359" i="6"/>
  <c r="Y352" i="6"/>
  <c r="Y39" i="6"/>
  <c r="Y69" i="6"/>
  <c r="Y105" i="6"/>
  <c r="Y79" i="6"/>
  <c r="Y75" i="6"/>
  <c r="Y254" i="6"/>
  <c r="Y94" i="6"/>
  <c r="Y257" i="6"/>
  <c r="Y370" i="6"/>
  <c r="Y466" i="6"/>
  <c r="Y24" i="6"/>
  <c r="Y36" i="6"/>
  <c r="Y83" i="6"/>
  <c r="Y46" i="6"/>
  <c r="Y74" i="6"/>
  <c r="Y223" i="6"/>
  <c r="Y375" i="6"/>
  <c r="Y409" i="6"/>
  <c r="Y22" i="6"/>
  <c r="Y380" i="6"/>
  <c r="Y54" i="6"/>
  <c r="Y298" i="6"/>
  <c r="Y42" i="6"/>
  <c r="Y433" i="6"/>
  <c r="Y432" i="6"/>
  <c r="Y429" i="6"/>
  <c r="Y371" i="6"/>
  <c r="Y50" i="6"/>
  <c r="Y461" i="6"/>
  <c r="Y341" i="6"/>
  <c r="Y306" i="6"/>
  <c r="Y43" i="6"/>
  <c r="Y347" i="6"/>
  <c r="Y248" i="6"/>
  <c r="Y376" i="6"/>
  <c r="Y303" i="6"/>
  <c r="Y454" i="6"/>
  <c r="Y458" i="6"/>
  <c r="Y232" i="6"/>
  <c r="Y333" i="6"/>
  <c r="Y367" i="6"/>
  <c r="Y309" i="6"/>
  <c r="Y15" i="6"/>
  <c r="Y292" i="6"/>
  <c r="Y430" i="6"/>
  <c r="Y106" i="6"/>
  <c r="Y305" i="6"/>
  <c r="Y431" i="6"/>
  <c r="Y130" i="6"/>
  <c r="Y197" i="6"/>
  <c r="Y241" i="6"/>
  <c r="Y350" i="6"/>
  <c r="Y468" i="6"/>
  <c r="Y467" i="6"/>
  <c r="Y363" i="6"/>
  <c r="Y20" i="6"/>
  <c r="Y331" i="6"/>
  <c r="Y295" i="6"/>
  <c r="Y287" i="6"/>
  <c r="Y390" i="6"/>
  <c r="Y263" i="6"/>
  <c r="Y412" i="6"/>
  <c r="Y397" i="6"/>
  <c r="Y34" i="6"/>
  <c r="Y438" i="6"/>
  <c r="Y424" i="6"/>
  <c r="Y357" i="6"/>
  <c r="Y449" i="6"/>
  <c r="Y220" i="6"/>
  <c r="Y405" i="6"/>
  <c r="Y452" i="6"/>
  <c r="Y108" i="6"/>
  <c r="Y290" i="6"/>
  <c r="Y442" i="6"/>
  <c r="Y368" i="6"/>
  <c r="Y301" i="6"/>
  <c r="Y285" i="6"/>
  <c r="Y279" i="6"/>
  <c r="Y304" i="6"/>
  <c r="Y337" i="6"/>
  <c r="Y354" i="6"/>
  <c r="Y284" i="6"/>
  <c r="Y422" i="6"/>
  <c r="Y385" i="6"/>
  <c r="Y413" i="6"/>
  <c r="Y401" i="6"/>
  <c r="Y346" i="6"/>
  <c r="Y260" i="6"/>
  <c r="Y435" i="6"/>
  <c r="Y67" i="6"/>
  <c r="Y453" i="6"/>
  <c r="Y377" i="6"/>
  <c r="Y434" i="6"/>
  <c r="Y297" i="6"/>
  <c r="Y386" i="6"/>
  <c r="Y194" i="6"/>
  <c r="Y444" i="6"/>
  <c r="Y209" i="6"/>
  <c r="Y152" i="6"/>
  <c r="Y222" i="6"/>
  <c r="Y77" i="6"/>
  <c r="Y128" i="6"/>
  <c r="Y166" i="6"/>
  <c r="Y217" i="6"/>
  <c r="Y312" i="6"/>
  <c r="Y465" i="6"/>
  <c r="Y186" i="6"/>
  <c r="Y230" i="6"/>
  <c r="Y307" i="6"/>
  <c r="Y299" i="6"/>
  <c r="Y291" i="6"/>
  <c r="Y267" i="6"/>
  <c r="Y318" i="6"/>
  <c r="Y460" i="6"/>
  <c r="Y455" i="6"/>
  <c r="Y274" i="6"/>
  <c r="Y115" i="6"/>
  <c r="Y25" i="6"/>
  <c r="Y457" i="6"/>
  <c r="Y174" i="6"/>
  <c r="Y10" i="6"/>
  <c r="Y66" i="6"/>
  <c r="Y456" i="6"/>
  <c r="Y31" i="6"/>
  <c r="Y11" i="6"/>
  <c r="Y154" i="6"/>
  <c r="Y421" i="6"/>
  <c r="Y411" i="6"/>
  <c r="Y275" i="6"/>
  <c r="Y325" i="6"/>
  <c r="Y172" i="6"/>
  <c r="Y237" i="6"/>
  <c r="Y262" i="6"/>
  <c r="Y345" i="6"/>
  <c r="Y369" i="6"/>
  <c r="Y271" i="6"/>
  <c r="Y198" i="6"/>
  <c r="Y406" i="6"/>
  <c r="Y245" i="6"/>
  <c r="Y40" i="6"/>
  <c r="Y261" i="6"/>
  <c r="Y32" i="6"/>
  <c r="Y104" i="6"/>
  <c r="Y150" i="6"/>
  <c r="Y193" i="6"/>
  <c r="Y334" i="6"/>
  <c r="Y313" i="6"/>
  <c r="Y339" i="6"/>
  <c r="Y441" i="6"/>
  <c r="Y90" i="6"/>
  <c r="Y207" i="6"/>
  <c r="Y253" i="6"/>
  <c r="Y231" i="6"/>
  <c r="Y225" i="6"/>
  <c r="Y205" i="6"/>
  <c r="Y293" i="6"/>
  <c r="Y443" i="6"/>
  <c r="Y439" i="6"/>
  <c r="Y319" i="6"/>
  <c r="Y89" i="6"/>
  <c r="Y141" i="6"/>
  <c r="Y247" i="6"/>
  <c r="Y437" i="6"/>
  <c r="Y236" i="6"/>
  <c r="Y167" i="6"/>
  <c r="Y258" i="6"/>
  <c r="Y204" i="6"/>
  <c r="Y451" i="6"/>
  <c r="Y28" i="6"/>
  <c r="Y118" i="6"/>
  <c r="Y165" i="6"/>
  <c r="Y407" i="6"/>
  <c r="Y23" i="6"/>
  <c r="Y322" i="6"/>
  <c r="Y428" i="6"/>
  <c r="Y464" i="6"/>
  <c r="Y387" i="6"/>
  <c r="Y127" i="6"/>
  <c r="Y233" i="6"/>
  <c r="Y266" i="6"/>
  <c r="Y181" i="6"/>
  <c r="Y206" i="6"/>
  <c r="Y203" i="6"/>
  <c r="Y188" i="6"/>
  <c r="Y349" i="6"/>
  <c r="Y427" i="6"/>
  <c r="Y382" i="6"/>
  <c r="Y259" i="6"/>
  <c r="Y364" i="6"/>
  <c r="Y208" i="6"/>
  <c r="Y224" i="6"/>
  <c r="Y400" i="6"/>
  <c r="Y103" i="6"/>
  <c r="Y147" i="6"/>
  <c r="Y215" i="6"/>
  <c r="Y296" i="6"/>
  <c r="Y288" i="6"/>
  <c r="Y255" i="6"/>
  <c r="Y138" i="6"/>
  <c r="Y180" i="6"/>
  <c r="Y159" i="6"/>
  <c r="Y176" i="6"/>
  <c r="Y164" i="6"/>
  <c r="Y398" i="6"/>
  <c r="Y314" i="6"/>
  <c r="Y315" i="6"/>
  <c r="Y140" i="6"/>
  <c r="Y242" i="6"/>
  <c r="Y29" i="6"/>
  <c r="Y201" i="6"/>
  <c r="Y408" i="6"/>
  <c r="Y366" i="6"/>
  <c r="Y49" i="6"/>
  <c r="Y125" i="6"/>
  <c r="Y192" i="6"/>
  <c r="Y316" i="6"/>
  <c r="Y294" i="6"/>
  <c r="Y343" i="6"/>
  <c r="Y88" i="6"/>
  <c r="Y114" i="6"/>
  <c r="Y136" i="6"/>
  <c r="Y135" i="6"/>
  <c r="Y157" i="6"/>
  <c r="Y158" i="6"/>
  <c r="Y252" i="6"/>
  <c r="Y240" i="6"/>
  <c r="Y282" i="6"/>
  <c r="Y132" i="6"/>
  <c r="Y329" i="6"/>
  <c r="Y332" i="6"/>
  <c r="Y160" i="6"/>
  <c r="Y226" i="6"/>
  <c r="Y269" i="6"/>
  <c r="Y353" i="6"/>
  <c r="Y404" i="6"/>
  <c r="Y85" i="6"/>
  <c r="Y170" i="6"/>
  <c r="Y348" i="6"/>
  <c r="Y302" i="6"/>
  <c r="Y340" i="6"/>
  <c r="Y327" i="6"/>
  <c r="Y283" i="6"/>
  <c r="Y55" i="6"/>
  <c r="Y151" i="6"/>
  <c r="Y219" i="6"/>
  <c r="Y330" i="6"/>
  <c r="Y446" i="6"/>
  <c r="Y281" i="6"/>
  <c r="Y44" i="6"/>
  <c r="Y87" i="6"/>
  <c r="Y171" i="6"/>
  <c r="Y289" i="6"/>
  <c r="Y38" i="6"/>
  <c r="Y113" i="6"/>
  <c r="Y179" i="6"/>
  <c r="Y244" i="6"/>
  <c r="Y328" i="6"/>
  <c r="Y445" i="6"/>
  <c r="Y137" i="6"/>
  <c r="Y246" i="6"/>
  <c r="Y448" i="6"/>
  <c r="Y372" i="6"/>
  <c r="Y373" i="6"/>
  <c r="Y374" i="6"/>
  <c r="Y111" i="6"/>
  <c r="Y239" i="6"/>
  <c r="Y276" i="6"/>
  <c r="Y155" i="6"/>
  <c r="Y317" i="6"/>
  <c r="Y379" i="6"/>
  <c r="Y149" i="6"/>
  <c r="Y211" i="6"/>
  <c r="Y81" i="6"/>
  <c r="Y249" i="6"/>
  <c r="Y395" i="6"/>
  <c r="Y139" i="6"/>
  <c r="Y326" i="6"/>
  <c r="Y355" i="6"/>
  <c r="Y133" i="6"/>
  <c r="Y195" i="6"/>
  <c r="Y70" i="6"/>
  <c r="Y144" i="6"/>
  <c r="Y251" i="6"/>
  <c r="Y65" i="6"/>
  <c r="Y161" i="6"/>
  <c r="Y235" i="6"/>
  <c r="Y394" i="6"/>
  <c r="Z7" i="6"/>
  <c r="Y58" i="6"/>
  <c r="Y221" i="6"/>
  <c r="Y463" i="6"/>
  <c r="Y123" i="6"/>
  <c r="Y277" i="6"/>
  <c r="Y381" i="6"/>
  <c r="Y117" i="6"/>
  <c r="Y177" i="6"/>
  <c r="X5" i="6"/>
  <c r="Y62" i="6"/>
  <c r="Y91" i="6"/>
  <c r="Y92" i="6"/>
  <c r="Y93" i="6"/>
  <c r="Y415" i="6"/>
  <c r="Y95" i="6"/>
  <c r="Y280" i="6"/>
  <c r="Y21" i="6"/>
  <c r="Y182" i="6"/>
  <c r="Y423" i="6"/>
  <c r="Y63" i="6"/>
  <c r="Y148" i="6"/>
  <c r="Y264" i="6"/>
  <c r="Y19" i="6"/>
  <c r="Y228" i="6"/>
  <c r="Y378" i="6"/>
  <c r="Y78" i="6"/>
  <c r="Y320" i="6"/>
  <c r="Y399" i="6"/>
  <c r="Y212" i="6"/>
  <c r="Y311" i="6"/>
  <c r="Z185" i="6" l="1"/>
  <c r="Z51" i="6"/>
  <c r="Z52" i="6"/>
  <c r="Z53" i="6"/>
  <c r="Z473" i="6"/>
  <c r="Z476" i="6"/>
  <c r="Z471" i="6"/>
  <c r="Z477" i="6"/>
  <c r="Z478" i="6"/>
  <c r="Z474" i="6"/>
  <c r="Z472" i="6"/>
  <c r="Z475" i="6"/>
  <c r="Z157" i="6"/>
  <c r="Z190" i="6"/>
  <c r="Z469" i="6"/>
  <c r="Z470" i="6"/>
  <c r="Z197" i="6"/>
  <c r="Z179" i="6"/>
  <c r="Z361" i="6"/>
  <c r="Z416" i="6"/>
  <c r="Z417" i="6"/>
  <c r="Z418" i="6"/>
  <c r="Z419" i="6"/>
  <c r="Z420" i="6"/>
  <c r="Z132" i="6"/>
  <c r="Z321" i="6"/>
  <c r="Z96" i="6"/>
  <c r="Z97" i="6"/>
  <c r="Z98" i="6"/>
  <c r="Z164" i="6"/>
  <c r="Z32" i="6"/>
  <c r="Z12" i="6"/>
  <c r="Z358" i="6"/>
  <c r="Z74" i="6"/>
  <c r="Z340" i="6"/>
  <c r="Z305" i="6"/>
  <c r="Z378" i="6"/>
  <c r="Z440" i="6"/>
  <c r="Z298" i="6"/>
  <c r="Z13" i="6"/>
  <c r="Z458" i="6"/>
  <c r="Z341" i="6"/>
  <c r="Z442" i="6"/>
  <c r="Z422" i="6"/>
  <c r="Z268" i="6"/>
  <c r="Z434" i="6"/>
  <c r="Z141" i="6"/>
  <c r="Z461" i="6"/>
  <c r="Z134" i="6"/>
  <c r="Z41" i="6"/>
  <c r="Z151" i="6"/>
  <c r="Z125" i="6"/>
  <c r="Z60" i="6"/>
  <c r="Z379" i="6"/>
  <c r="Z23" i="6"/>
  <c r="Z81" i="6"/>
  <c r="Z8" i="6"/>
  <c r="Z452" i="6"/>
  <c r="Z351" i="6"/>
  <c r="Z313" i="6"/>
  <c r="Y5" i="6"/>
  <c r="Z386" i="6"/>
  <c r="Z244" i="6"/>
  <c r="Z49" i="6"/>
  <c r="Z113" i="6"/>
  <c r="Z344" i="6"/>
  <c r="Z156" i="6"/>
  <c r="Z64" i="6"/>
  <c r="Z288" i="6"/>
  <c r="Z62" i="6"/>
  <c r="Z85" i="6"/>
  <c r="Z342" i="6"/>
  <c r="Z294" i="6"/>
  <c r="Z124" i="6"/>
  <c r="Z144" i="6"/>
  <c r="Z278" i="6"/>
  <c r="Z247" i="6"/>
  <c r="Z346" i="6"/>
  <c r="Z86" i="6"/>
  <c r="Z460" i="6"/>
  <c r="Z239" i="6"/>
  <c r="Z230" i="6"/>
  <c r="Z277" i="6"/>
  <c r="Z254" i="6"/>
  <c r="Z303" i="6"/>
  <c r="Z404" i="6"/>
  <c r="Z258" i="6"/>
  <c r="Z401" i="6"/>
  <c r="Z207" i="6"/>
  <c r="Z388" i="6"/>
  <c r="Z347" i="6"/>
  <c r="Z253" i="6"/>
  <c r="Z269" i="6"/>
  <c r="Z339" i="6"/>
  <c r="Z234" i="6"/>
  <c r="Z406" i="6"/>
  <c r="Z131" i="6"/>
  <c r="Z370" i="6"/>
  <c r="Z115" i="6"/>
  <c r="Z271" i="6"/>
  <c r="Z83" i="6"/>
  <c r="Z323" i="6"/>
  <c r="Z326" i="6"/>
  <c r="Z332" i="6"/>
  <c r="Z246" i="6"/>
  <c r="Z250" i="6"/>
  <c r="Z465" i="6"/>
  <c r="Z424" i="6"/>
  <c r="Z118" i="6"/>
  <c r="Z36" i="6"/>
  <c r="Z140" i="6"/>
  <c r="Z445" i="6"/>
  <c r="Z233" i="6"/>
  <c r="Z362" i="6"/>
  <c r="Z330" i="6"/>
  <c r="Z240" i="6"/>
  <c r="Z354" i="6"/>
  <c r="Z308" i="6"/>
  <c r="Z111" i="6"/>
  <c r="Z61" i="6"/>
  <c r="Z290" i="6"/>
  <c r="Z392" i="6"/>
  <c r="Z468" i="6"/>
  <c r="Z42" i="6"/>
  <c r="Z337" i="6"/>
  <c r="Z371" i="6"/>
  <c r="Z199" i="6"/>
  <c r="Z336" i="6"/>
  <c r="Z450" i="6"/>
  <c r="Z25" i="6"/>
  <c r="Z257" i="6"/>
  <c r="Z50" i="6"/>
  <c r="Z355" i="6"/>
  <c r="Z437" i="6"/>
  <c r="Z281" i="6"/>
  <c r="Z209" i="6"/>
  <c r="Z427" i="6"/>
  <c r="Z55" i="6"/>
  <c r="Z345" i="6"/>
  <c r="Z360" i="6"/>
  <c r="Z174" i="6"/>
  <c r="Z394" i="6"/>
  <c r="Z306" i="6"/>
  <c r="Z31" i="6"/>
  <c r="Z223" i="6"/>
  <c r="Z109" i="6"/>
  <c r="Z108" i="6"/>
  <c r="Z283" i="6"/>
  <c r="Z275" i="6"/>
  <c r="Z317" i="6"/>
  <c r="Z218" i="6"/>
  <c r="Z217" i="6"/>
  <c r="Z214" i="6"/>
  <c r="Z457" i="6"/>
  <c r="Z148" i="6"/>
  <c r="Z284" i="6"/>
  <c r="Z72" i="6"/>
  <c r="Z310" i="6"/>
  <c r="Z106" i="6"/>
  <c r="Z377" i="6"/>
  <c r="Z431" i="6"/>
  <c r="Z69" i="6"/>
  <c r="Z309" i="6"/>
  <c r="Z393" i="6"/>
  <c r="Z192" i="6"/>
  <c r="Z412" i="6"/>
  <c r="Z29" i="6"/>
  <c r="Z272" i="6"/>
  <c r="Z331" i="6"/>
  <c r="Z363" i="6"/>
  <c r="Z191" i="6"/>
  <c r="Z314" i="6"/>
  <c r="Z90" i="6"/>
  <c r="Z79" i="6"/>
  <c r="Z319" i="6"/>
  <c r="Z318" i="6"/>
  <c r="Z405" i="6"/>
  <c r="Z184" i="6"/>
  <c r="Z183" i="6"/>
  <c r="Z180" i="6"/>
  <c r="Z425" i="6"/>
  <c r="Z116" i="6"/>
  <c r="Z285" i="6"/>
  <c r="Z33" i="6"/>
  <c r="Z243" i="6"/>
  <c r="Z82" i="6"/>
  <c r="Z92" i="6"/>
  <c r="Z94" i="6"/>
  <c r="Z202" i="6"/>
  <c r="Z198" i="6"/>
  <c r="Z279" i="6"/>
  <c r="Z385" i="6"/>
  <c r="Z173" i="6"/>
  <c r="Z44" i="6"/>
  <c r="Z43" i="6"/>
  <c r="Z236" i="6"/>
  <c r="Z235" i="6"/>
  <c r="Z364" i="6"/>
  <c r="Z169" i="6"/>
  <c r="Z168" i="6"/>
  <c r="Z165" i="6"/>
  <c r="Z390" i="6"/>
  <c r="Z99" i="6"/>
  <c r="Z256" i="6"/>
  <c r="Z15" i="6"/>
  <c r="Z227" i="6"/>
  <c r="Z48" i="6"/>
  <c r="Z91" i="6"/>
  <c r="Z71" i="6"/>
  <c r="Z245" i="6"/>
  <c r="Z231" i="6"/>
  <c r="Z274" i="6"/>
  <c r="Z410" i="6"/>
  <c r="Z160" i="6"/>
  <c r="Z343" i="6"/>
  <c r="Z407" i="6"/>
  <c r="Z200" i="6"/>
  <c r="Z421" i="6"/>
  <c r="Z46" i="6"/>
  <c r="Z296" i="6"/>
  <c r="Z352" i="6"/>
  <c r="Z166" i="6"/>
  <c r="Z251" i="6"/>
  <c r="Z265" i="6"/>
  <c r="Z158" i="6"/>
  <c r="Z315" i="6"/>
  <c r="Z27" i="6"/>
  <c r="Z26" i="6"/>
  <c r="Z220" i="6"/>
  <c r="Z219" i="6"/>
  <c r="Z464" i="6"/>
  <c r="Z153" i="6"/>
  <c r="Z152" i="6"/>
  <c r="Z149" i="6"/>
  <c r="Z292" i="6"/>
  <c r="Z89" i="6"/>
  <c r="Z316" i="6"/>
  <c r="Z387" i="6"/>
  <c r="Z211" i="6"/>
  <c r="AA7" i="6"/>
  <c r="Z87" i="6"/>
  <c r="Z333" i="6"/>
  <c r="Z462" i="6"/>
  <c r="Z135" i="6"/>
  <c r="Z260" i="6"/>
  <c r="Z182" i="6"/>
  <c r="Z241" i="6"/>
  <c r="Z443" i="6"/>
  <c r="Z101" i="6"/>
  <c r="Z242" i="6"/>
  <c r="Z451" i="6"/>
  <c r="Z142" i="6"/>
  <c r="Z299" i="6"/>
  <c r="Z291" i="6"/>
  <c r="Z273" i="6"/>
  <c r="Z204" i="6"/>
  <c r="Z203" i="6"/>
  <c r="Z446" i="6"/>
  <c r="Z137" i="6"/>
  <c r="Z136" i="6"/>
  <c r="Z133" i="6"/>
  <c r="Z325" i="6"/>
  <c r="Z249" i="6"/>
  <c r="Z380" i="6"/>
  <c r="Z195" i="6"/>
  <c r="Z17" i="6"/>
  <c r="Z127" i="6"/>
  <c r="Z367" i="6"/>
  <c r="Z224" i="6"/>
  <c r="Z428" i="6"/>
  <c r="Z261" i="6"/>
  <c r="Z175" i="6"/>
  <c r="Z398" i="6"/>
  <c r="Z19" i="6"/>
  <c r="Z226" i="6"/>
  <c r="Z435" i="6"/>
  <c r="Z126" i="6"/>
  <c r="Z270" i="6"/>
  <c r="Z262" i="6"/>
  <c r="Z359" i="6"/>
  <c r="Z187" i="6"/>
  <c r="Z186" i="6"/>
  <c r="Z430" i="6"/>
  <c r="Z121" i="6"/>
  <c r="Z120" i="6"/>
  <c r="Z117" i="6"/>
  <c r="Z293" i="6"/>
  <c r="Z34" i="6"/>
  <c r="Z73" i="6"/>
  <c r="Z408" i="6"/>
  <c r="Z177" i="6"/>
  <c r="Z14" i="6"/>
  <c r="Z396" i="6"/>
  <c r="Z467" i="6"/>
  <c r="Z215" i="6"/>
  <c r="Z57" i="6"/>
  <c r="Z119" i="6"/>
  <c r="Z159" i="6"/>
  <c r="Z150" i="6"/>
  <c r="Z338" i="6"/>
  <c r="Z399" i="6"/>
  <c r="Z252" i="6"/>
  <c r="Z37" i="6"/>
  <c r="Z112" i="6"/>
  <c r="Z263" i="6"/>
  <c r="Z383" i="6"/>
  <c r="Z210" i="6"/>
  <c r="Z110" i="6"/>
  <c r="Z322" i="6"/>
  <c r="Z320" i="6"/>
  <c r="Z289" i="6"/>
  <c r="Z171" i="6"/>
  <c r="Z170" i="6"/>
  <c r="Z413" i="6"/>
  <c r="Z104" i="6"/>
  <c r="Z103" i="6"/>
  <c r="Z100" i="6"/>
  <c r="Z264" i="6"/>
  <c r="Z16" i="6"/>
  <c r="Z228" i="6"/>
  <c r="Z409" i="6"/>
  <c r="Z162" i="6"/>
  <c r="Z448" i="6"/>
  <c r="Z372" i="6"/>
  <c r="Z373" i="6"/>
  <c r="Z374" i="6"/>
  <c r="Z225" i="6"/>
  <c r="Z447" i="6"/>
  <c r="Z193" i="6"/>
  <c r="Z280" i="6"/>
  <c r="Z66" i="6"/>
  <c r="Z238" i="6"/>
  <c r="Z237" i="6"/>
  <c r="Z466" i="6"/>
  <c r="Z155" i="6"/>
  <c r="Z154" i="6"/>
  <c r="Z403" i="6"/>
  <c r="Z65" i="6"/>
  <c r="Z334" i="6"/>
  <c r="Z212" i="6"/>
  <c r="Z455" i="6"/>
  <c r="Z146" i="6"/>
  <c r="Z67" i="6"/>
  <c r="Z77" i="6"/>
  <c r="Z414" i="6"/>
  <c r="Z376" i="6"/>
  <c r="Z88" i="6"/>
  <c r="Z433" i="6"/>
  <c r="Z10" i="6"/>
  <c r="Z459" i="6"/>
  <c r="Z295" i="6"/>
  <c r="Z400" i="6"/>
  <c r="Z232" i="6"/>
  <c r="Z397" i="6"/>
  <c r="Z176" i="6"/>
  <c r="Z324" i="6"/>
  <c r="Z45" i="6"/>
  <c r="Z222" i="6"/>
  <c r="Z221" i="6"/>
  <c r="Z449" i="6"/>
  <c r="Z139" i="6"/>
  <c r="Z138" i="6"/>
  <c r="Z287" i="6"/>
  <c r="Z59" i="6"/>
  <c r="Z58" i="6"/>
  <c r="Z54" i="6"/>
  <c r="Z248" i="6"/>
  <c r="Z384" i="6"/>
  <c r="Z196" i="6"/>
  <c r="Z439" i="6"/>
  <c r="Z130" i="6"/>
  <c r="Z56" i="6"/>
  <c r="Z93" i="6"/>
  <c r="Z368" i="6"/>
  <c r="Z453" i="6"/>
  <c r="Z78" i="6"/>
  <c r="Z30" i="6"/>
  <c r="Z194" i="6"/>
  <c r="Z95" i="6"/>
  <c r="Z47" i="6"/>
  <c r="Z161" i="6"/>
  <c r="Z28" i="6"/>
  <c r="Z205" i="6"/>
  <c r="Z432" i="6"/>
  <c r="Z123" i="6"/>
  <c r="Z122" i="6"/>
  <c r="Z327" i="6"/>
  <c r="Z40" i="6"/>
  <c r="Z38" i="6"/>
  <c r="Z35" i="6"/>
  <c r="Z9" i="6"/>
  <c r="Z178" i="6"/>
  <c r="Z423" i="6"/>
  <c r="Z114" i="6"/>
  <c r="Z39" i="6"/>
  <c r="Z335" i="6"/>
  <c r="Z201" i="6"/>
  <c r="Z441" i="6"/>
  <c r="Z302" i="6"/>
  <c r="Z328" i="6"/>
  <c r="Z369" i="6"/>
  <c r="Z349" i="6"/>
  <c r="Z463" i="6"/>
  <c r="Z143" i="6"/>
  <c r="Z300" i="6"/>
  <c r="Z375" i="6"/>
  <c r="Z70" i="6"/>
  <c r="Z444" i="6"/>
  <c r="Z102" i="6"/>
  <c r="Z454" i="6"/>
  <c r="Z145" i="6"/>
  <c r="Z329" i="6"/>
  <c r="Z366" i="6"/>
  <c r="Z189" i="6"/>
  <c r="Z188" i="6"/>
  <c r="Z415" i="6"/>
  <c r="Z107" i="6"/>
  <c r="Z105" i="6"/>
  <c r="Z304" i="6"/>
  <c r="Z22" i="6"/>
  <c r="Z21" i="6"/>
  <c r="Z18" i="6"/>
  <c r="Z229" i="6"/>
  <c r="Z255" i="6"/>
  <c r="Z163" i="6"/>
  <c r="Z382" i="6"/>
  <c r="Z80" i="6"/>
  <c r="Z24" i="6"/>
  <c r="Z348" i="6"/>
  <c r="Z297" i="6"/>
  <c r="Z365" i="6"/>
  <c r="Z391" i="6"/>
  <c r="Z357" i="6"/>
  <c r="Z286" i="6"/>
  <c r="Z128" i="6"/>
  <c r="Z266" i="6"/>
  <c r="Z11" i="6"/>
  <c r="Z208" i="6"/>
  <c r="Z426" i="6"/>
  <c r="Z312" i="6"/>
  <c r="Z356" i="6"/>
  <c r="Z167" i="6"/>
  <c r="Z402" i="6"/>
  <c r="Z282" i="6"/>
  <c r="Z206" i="6"/>
  <c r="Z436" i="6"/>
  <c r="Z311" i="6"/>
  <c r="Z216" i="6"/>
  <c r="Z429" i="6"/>
  <c r="Z301" i="6"/>
  <c r="Z389" i="6"/>
  <c r="Z181" i="6"/>
  <c r="Z411" i="6"/>
  <c r="Z20" i="6"/>
  <c r="Z438" i="6"/>
  <c r="Z129" i="6"/>
  <c r="Z307" i="6"/>
  <c r="Z381" i="6"/>
  <c r="Z172" i="6"/>
  <c r="Z76" i="6"/>
  <c r="Z353" i="6"/>
  <c r="Z84" i="6"/>
  <c r="Z68" i="6"/>
  <c r="Z267" i="6"/>
  <c r="Z259" i="6"/>
  <c r="Z350" i="6"/>
  <c r="Z395" i="6"/>
  <c r="Z213" i="6"/>
  <c r="Z456" i="6"/>
  <c r="Z147" i="6"/>
  <c r="Z276" i="6"/>
  <c r="Z63" i="6"/>
  <c r="Z75" i="6"/>
  <c r="AA185" i="6" l="1"/>
  <c r="AA51" i="6"/>
  <c r="AA52" i="6"/>
  <c r="AA53" i="6"/>
  <c r="AA473" i="6"/>
  <c r="AA476" i="6"/>
  <c r="AA471" i="6"/>
  <c r="AA477" i="6"/>
  <c r="AA478" i="6"/>
  <c r="AA474" i="6"/>
  <c r="AA472" i="6"/>
  <c r="AA475" i="6"/>
  <c r="AA190" i="6"/>
  <c r="AA470" i="6"/>
  <c r="AA469" i="6"/>
  <c r="AA416" i="6"/>
  <c r="AA417" i="6"/>
  <c r="AA418" i="6"/>
  <c r="AA419" i="6"/>
  <c r="AA420" i="6"/>
  <c r="AA321" i="6"/>
  <c r="AA97" i="6"/>
  <c r="AA98" i="6"/>
  <c r="AA96" i="6"/>
  <c r="AA390" i="6"/>
  <c r="AA265" i="6"/>
  <c r="AA358" i="6"/>
  <c r="AA459" i="6"/>
  <c r="AA340" i="6"/>
  <c r="AA136" i="6"/>
  <c r="AA54" i="6"/>
  <c r="AA398" i="6"/>
  <c r="AA427" i="6"/>
  <c r="AA38" i="6"/>
  <c r="AA375" i="6"/>
  <c r="AA129" i="6"/>
  <c r="AA359" i="6"/>
  <c r="AA289" i="6"/>
  <c r="AA117" i="6"/>
  <c r="AA23" i="6"/>
  <c r="AA324" i="6"/>
  <c r="AA11" i="6"/>
  <c r="AA95" i="6"/>
  <c r="AA107" i="6"/>
  <c r="AA214" i="6"/>
  <c r="AA316" i="6"/>
  <c r="AA138" i="6"/>
  <c r="AA161" i="6"/>
  <c r="AA89" i="6"/>
  <c r="AA273" i="6"/>
  <c r="AA283" i="6"/>
  <c r="AA248" i="6"/>
  <c r="AA304" i="6"/>
  <c r="AA342" i="6"/>
  <c r="AA65" i="6"/>
  <c r="AA308" i="6"/>
  <c r="AA181" i="6"/>
  <c r="AA399" i="6"/>
  <c r="AA196" i="6"/>
  <c r="AA151" i="6"/>
  <c r="AA233" i="6"/>
  <c r="AA266" i="6"/>
  <c r="AA284" i="6"/>
  <c r="AA174" i="6"/>
  <c r="AA79" i="6"/>
  <c r="AA105" i="6"/>
  <c r="AA277" i="6"/>
  <c r="AA48" i="6"/>
  <c r="AA86" i="6"/>
  <c r="AA402" i="6"/>
  <c r="AA330" i="6"/>
  <c r="AA29" i="6"/>
  <c r="AA452" i="6"/>
  <c r="AA130" i="6"/>
  <c r="AA201" i="6"/>
  <c r="AA102" i="6"/>
  <c r="AA13" i="6"/>
  <c r="AA356" i="6"/>
  <c r="AA128" i="6"/>
  <c r="AA191" i="6"/>
  <c r="AA386" i="6"/>
  <c r="AA367" i="6"/>
  <c r="AA379" i="6"/>
  <c r="AA249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3" i="6"/>
  <c r="AA91" i="6"/>
  <c r="AA178" i="6"/>
  <c r="AA73" i="6"/>
  <c r="AA199" i="6"/>
  <c r="AA267" i="6"/>
  <c r="AA428" i="6"/>
  <c r="AA353" i="6"/>
  <c r="AA179" i="6"/>
  <c r="AA310" i="6"/>
  <c r="AA204" i="6"/>
  <c r="Z5" i="6"/>
  <c r="AA448" i="6"/>
  <c r="AA372" i="6"/>
  <c r="AA373" i="6"/>
  <c r="AA374" i="6"/>
  <c r="AA236" i="6"/>
  <c r="AA325" i="6"/>
  <c r="AA331" i="6"/>
  <c r="AA382" i="6"/>
  <c r="AA303" i="6"/>
  <c r="AA384" i="6"/>
  <c r="AA64" i="6"/>
  <c r="AA63" i="6"/>
  <c r="AA176" i="6"/>
  <c r="AA275" i="6"/>
  <c r="AA343" i="6"/>
  <c r="AA437" i="6"/>
  <c r="AA287" i="6"/>
  <c r="AA158" i="6"/>
  <c r="AA17" i="6"/>
  <c r="AA388" i="6"/>
  <c r="AA216" i="6"/>
  <c r="AA274" i="6"/>
  <c r="AA57" i="6"/>
  <c r="AA154" i="6"/>
  <c r="AA213" i="6"/>
  <c r="AA436" i="6"/>
  <c r="AA140" i="6"/>
  <c r="AA451" i="6"/>
  <c r="AA43" i="6"/>
  <c r="AA271" i="6"/>
  <c r="AA364" i="6"/>
  <c r="AA133" i="6"/>
  <c r="AA278" i="6"/>
  <c r="AA326" i="6"/>
  <c r="AA449" i="6"/>
  <c r="AA393" i="6"/>
  <c r="AA37" i="6"/>
  <c r="AA36" i="6"/>
  <c r="AA254" i="6"/>
  <c r="AA305" i="6"/>
  <c r="AA296" i="6"/>
  <c r="AA415" i="6"/>
  <c r="AA352" i="6"/>
  <c r="AA22" i="6"/>
  <c r="AA172" i="6"/>
  <c r="AA30" i="6"/>
  <c r="AA314" i="6"/>
  <c r="AA203" i="6"/>
  <c r="AA231" i="6"/>
  <c r="AA40" i="6"/>
  <c r="AA221" i="6"/>
  <c r="AA238" i="6"/>
  <c r="AA119" i="6"/>
  <c r="AA211" i="6"/>
  <c r="AA251" i="6"/>
  <c r="AA285" i="6"/>
  <c r="AA58" i="6"/>
  <c r="AA183" i="6"/>
  <c r="AA247" i="6"/>
  <c r="AA180" i="6"/>
  <c r="AA363" i="6"/>
  <c r="AA8" i="6"/>
  <c r="AA111" i="6"/>
  <c r="AA150" i="6"/>
  <c r="AA165" i="6"/>
  <c r="AA261" i="6"/>
  <c r="AA426" i="6"/>
  <c r="AA10" i="6"/>
  <c r="AA380" i="6"/>
  <c r="AA366" i="6"/>
  <c r="AA120" i="6"/>
  <c r="AA245" i="6"/>
  <c r="AA349" i="6"/>
  <c r="AA322" i="6"/>
  <c r="AA457" i="6"/>
  <c r="AA300" i="6"/>
  <c r="AA78" i="6"/>
  <c r="AA14" i="6"/>
  <c r="AA276" i="6"/>
  <c r="AA167" i="6"/>
  <c r="AA243" i="6"/>
  <c r="AA25" i="6"/>
  <c r="AA242" i="6"/>
  <c r="AA157" i="6"/>
  <c r="AA369" i="6"/>
  <c r="AA82" i="6"/>
  <c r="AA218" i="6"/>
  <c r="AA463" i="6"/>
  <c r="AA453" i="6"/>
  <c r="AA139" i="6"/>
  <c r="AA76" i="6"/>
  <c r="AA192" i="6"/>
  <c r="AA270" i="6"/>
  <c r="AA345" i="6"/>
  <c r="AA425" i="6"/>
  <c r="AA468" i="6"/>
  <c r="AA370" i="6"/>
  <c r="AA90" i="6"/>
  <c r="AA227" i="6"/>
  <c r="AA232" i="6"/>
  <c r="AA288" i="6"/>
  <c r="AA414" i="6"/>
  <c r="AA295" i="6"/>
  <c r="AA21" i="6"/>
  <c r="AA219" i="6"/>
  <c r="AA445" i="6"/>
  <c r="AA137" i="6"/>
  <c r="AA336" i="6"/>
  <c r="AA410" i="6"/>
  <c r="AA108" i="6"/>
  <c r="AA126" i="6"/>
  <c r="AA344" i="6"/>
  <c r="AA49" i="6"/>
  <c r="AA351" i="6"/>
  <c r="AA244" i="6"/>
  <c r="AA365" i="6"/>
  <c r="AA446" i="6"/>
  <c r="AA376" i="6"/>
  <c r="AA62" i="6"/>
  <c r="AA155" i="6"/>
  <c r="AA229" i="6"/>
  <c r="AA350" i="6"/>
  <c r="AA311" i="6"/>
  <c r="AA456" i="6"/>
  <c r="AA197" i="6"/>
  <c r="AA110" i="6"/>
  <c r="AA429" i="6"/>
  <c r="AA173" i="6"/>
  <c r="AA122" i="6"/>
  <c r="AA454" i="6"/>
  <c r="AA134" i="6"/>
  <c r="AA148" i="6"/>
  <c r="AA319" i="6"/>
  <c r="AA33" i="6"/>
  <c r="AA268" i="6"/>
  <c r="AA441" i="6"/>
  <c r="AA306" i="6"/>
  <c r="AA32" i="6"/>
  <c r="AA225" i="6"/>
  <c r="AA328" i="6"/>
  <c r="AA412" i="6"/>
  <c r="AA59" i="6"/>
  <c r="AA207" i="6"/>
  <c r="AA438" i="6"/>
  <c r="AA156" i="6"/>
  <c r="AA127" i="6"/>
  <c r="AA307" i="6"/>
  <c r="AA18" i="6"/>
  <c r="AA12" i="6"/>
  <c r="AA222" i="6"/>
  <c r="AA335" i="6"/>
  <c r="AA435" i="6"/>
  <c r="AA106" i="6"/>
  <c r="AA166" i="6"/>
  <c r="AA341" i="6"/>
  <c r="AA66" i="6"/>
  <c r="AA224" i="6"/>
  <c r="AA46" i="6"/>
  <c r="AA332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80" i="6"/>
  <c r="AA413" i="6"/>
  <c r="AA141" i="6"/>
  <c r="AA153" i="6"/>
  <c r="AA9" i="6"/>
  <c r="AA241" i="6"/>
  <c r="AA422" i="6"/>
  <c r="AA135" i="6"/>
  <c r="AA83" i="6"/>
  <c r="AA294" i="6"/>
  <c r="AA75" i="6"/>
  <c r="AA432" i="6"/>
  <c r="AA318" i="6"/>
  <c r="AA189" i="6"/>
  <c r="AA333" i="6"/>
  <c r="AA260" i="6"/>
  <c r="AA195" i="6"/>
  <c r="AA56" i="6"/>
  <c r="AA302" i="6"/>
  <c r="AA16" i="6"/>
  <c r="AA210" i="6"/>
  <c r="AA385" i="6"/>
  <c r="AA177" i="6"/>
  <c r="AA230" i="6"/>
  <c r="AA312" i="6"/>
  <c r="AA431" i="6"/>
  <c r="AB7" i="6"/>
  <c r="AA455" i="6"/>
  <c r="AA143" i="6"/>
  <c r="AA228" i="6"/>
  <c r="AA329" i="6"/>
  <c r="AA467" i="6"/>
  <c r="AA88" i="6"/>
  <c r="AA246" i="6"/>
  <c r="AA42" i="6"/>
  <c r="AA465" i="6"/>
  <c r="AA237" i="6"/>
  <c r="AA347" i="6"/>
  <c r="AA286" i="6"/>
  <c r="AA317" i="6"/>
  <c r="AA433" i="6"/>
  <c r="AA400" i="6"/>
  <c r="AA71" i="6"/>
  <c r="AA160" i="6"/>
  <c r="AA202" i="6"/>
  <c r="AA299" i="6"/>
  <c r="AA298" i="6"/>
  <c r="AA444" i="6"/>
  <c r="AA371" i="6"/>
  <c r="AA60" i="6"/>
  <c r="AA116" i="6"/>
  <c r="AA250" i="6"/>
  <c r="AA334" i="6"/>
  <c r="AA292" i="6"/>
  <c r="AA168" i="6"/>
  <c r="AA175" i="6"/>
  <c r="AA290" i="6"/>
  <c r="AA27" i="6"/>
  <c r="AA200" i="6"/>
  <c r="AA378" i="6"/>
  <c r="AA84" i="6"/>
  <c r="AA67" i="6"/>
  <c r="AA257" i="6"/>
  <c r="AA74" i="6"/>
  <c r="AA389" i="6"/>
  <c r="AA47" i="6"/>
  <c r="AA259" i="6"/>
  <c r="AA404" i="6"/>
  <c r="AA26" i="6"/>
  <c r="AA101" i="6"/>
  <c r="AA262" i="6"/>
  <c r="AA131" i="6"/>
  <c r="AA258" i="6"/>
  <c r="AA87" i="6"/>
  <c r="AA208" i="6"/>
  <c r="AA45" i="6"/>
  <c r="AA193" i="6"/>
  <c r="AA411" i="6"/>
  <c r="AA338" i="6"/>
  <c r="AA41" i="6"/>
  <c r="AA162" i="6"/>
  <c r="AA112" i="6"/>
  <c r="AA315" i="6"/>
  <c r="AA423" i="6"/>
  <c r="AA377" i="6"/>
  <c r="AA31" i="6"/>
  <c r="AA85" i="6"/>
  <c r="AA103" i="6"/>
  <c r="AA217" i="6"/>
  <c r="AA309" i="6"/>
  <c r="AA104" i="6"/>
  <c r="AA94" i="6"/>
  <c r="AA269" i="6"/>
  <c r="AA408" i="6"/>
  <c r="AA186" i="6"/>
  <c r="AA323" i="6"/>
  <c r="AA68" i="6"/>
  <c r="AA50" i="6"/>
  <c r="AA187" i="6"/>
  <c r="AA458" i="6"/>
  <c r="AA447" i="6"/>
  <c r="AA381" i="6"/>
  <c r="AA464" i="6"/>
  <c r="AA339" i="6"/>
  <c r="AA220" i="6"/>
  <c r="AA291" i="6"/>
  <c r="AA357" i="6"/>
  <c r="AA337" i="6"/>
  <c r="AA55" i="6"/>
  <c r="AA113" i="6"/>
  <c r="AA215" i="6"/>
  <c r="AA272" i="6"/>
  <c r="AA132" i="6"/>
  <c r="AA77" i="6"/>
  <c r="AA264" i="6"/>
  <c r="AA206" i="6"/>
  <c r="AA152" i="6"/>
  <c r="AA327" i="6"/>
  <c r="AA34" i="6"/>
  <c r="AA226" i="6"/>
  <c r="AA461" i="6"/>
  <c r="AA281" i="6"/>
  <c r="AA115" i="6"/>
  <c r="AA163" i="6"/>
  <c r="AA282" i="6"/>
  <c r="AA61" i="6"/>
  <c r="AA205" i="6"/>
  <c r="AA164" i="6"/>
  <c r="AA109" i="6"/>
  <c r="AA252" i="6"/>
  <c r="AA239" i="6"/>
  <c r="AA240" i="6"/>
  <c r="AA72" i="6"/>
  <c r="AA368" i="6"/>
  <c r="AA142" i="6"/>
  <c r="AA409" i="6"/>
  <c r="AA391" i="6"/>
  <c r="AA144" i="6"/>
  <c r="AA466" i="6"/>
  <c r="AA362" i="6"/>
  <c r="AA124" i="6"/>
  <c r="AA263" i="6"/>
  <c r="AA15" i="6"/>
  <c r="AA301" i="6"/>
  <c r="AA450" i="6"/>
  <c r="AA396" i="6"/>
  <c r="AA70" i="6"/>
  <c r="AA145" i="6"/>
  <c r="AA194" i="6"/>
  <c r="AA212" i="6"/>
  <c r="AA442" i="6"/>
  <c r="AA360" i="6"/>
  <c r="AA24" i="6"/>
  <c r="AA100" i="6"/>
  <c r="AA188" i="6"/>
  <c r="AA320" i="6"/>
  <c r="AA114" i="6"/>
  <c r="AA198" i="6"/>
  <c r="AA460" i="6"/>
  <c r="AA169" i="6"/>
  <c r="AA346" i="6"/>
  <c r="AA35" i="6"/>
  <c r="AA19" i="6"/>
  <c r="AA93" i="6"/>
  <c r="AA159" i="6"/>
  <c r="AA440" i="6"/>
  <c r="AA293" i="6"/>
  <c r="AA297" i="6"/>
  <c r="AA125" i="6"/>
  <c r="AA256" i="6"/>
  <c r="AA430" i="6"/>
  <c r="AA401" i="6"/>
  <c r="AA39" i="6"/>
  <c r="AA253" i="6"/>
  <c r="AA184" i="6"/>
  <c r="AA235" i="6"/>
  <c r="AA421" i="6"/>
  <c r="AA462" i="6"/>
  <c r="AA387" i="6"/>
  <c r="AA80" i="6"/>
  <c r="AA255" i="6"/>
  <c r="AA209" i="6"/>
  <c r="AA81" i="6"/>
  <c r="AA44" i="6"/>
  <c r="AA313" i="6"/>
  <c r="AA443" i="6"/>
  <c r="AA121" i="6"/>
  <c r="AA348" i="6"/>
  <c r="AA20" i="6"/>
  <c r="AA279" i="6"/>
  <c r="AA234" i="6"/>
  <c r="AA92" i="6"/>
  <c r="AB185" i="6" l="1"/>
  <c r="AB51" i="6"/>
  <c r="AB52" i="6"/>
  <c r="AB53" i="6"/>
  <c r="AB473" i="6"/>
  <c r="AB476" i="6"/>
  <c r="AB471" i="6"/>
  <c r="AB477" i="6"/>
  <c r="AB478" i="6"/>
  <c r="AB474" i="6"/>
  <c r="AB472" i="6"/>
  <c r="AB475" i="6"/>
  <c r="AB190" i="6"/>
  <c r="AB470" i="6"/>
  <c r="AB469" i="6"/>
  <c r="AB317" i="6"/>
  <c r="AB419" i="6"/>
  <c r="AB418" i="6"/>
  <c r="AB416" i="6"/>
  <c r="AB417" i="6"/>
  <c r="AB420" i="6"/>
  <c r="AB431" i="6"/>
  <c r="AB321" i="6"/>
  <c r="AB96" i="6"/>
  <c r="AB97" i="6"/>
  <c r="AB98" i="6"/>
  <c r="AB125" i="6"/>
  <c r="AB162" i="6"/>
  <c r="AB358" i="6"/>
  <c r="AB359" i="6"/>
  <c r="AB218" i="6"/>
  <c r="AB165" i="6"/>
  <c r="AB300" i="6"/>
  <c r="AB301" i="6"/>
  <c r="AB311" i="6"/>
  <c r="AB237" i="6"/>
  <c r="AB63" i="6"/>
  <c r="AB415" i="6"/>
  <c r="AB55" i="6"/>
  <c r="AB46" i="6"/>
  <c r="AB71" i="6"/>
  <c r="AB363" i="6"/>
  <c r="AB38" i="6"/>
  <c r="AB31" i="6"/>
  <c r="AB109" i="6"/>
  <c r="AB233" i="6"/>
  <c r="AB131" i="6"/>
  <c r="AB181" i="6"/>
  <c r="AB281" i="6"/>
  <c r="AB265" i="6"/>
  <c r="AB17" i="6"/>
  <c r="AB343" i="6"/>
  <c r="AB217" i="6"/>
  <c r="AB427" i="6"/>
  <c r="AB467" i="6"/>
  <c r="AB349" i="6"/>
  <c r="AB112" i="6"/>
  <c r="AB408" i="6"/>
  <c r="AB127" i="6"/>
  <c r="AB249" i="6"/>
  <c r="AB118" i="6"/>
  <c r="AB278" i="6"/>
  <c r="AB364" i="6"/>
  <c r="AB262" i="6"/>
  <c r="AB84" i="6"/>
  <c r="AB327" i="6"/>
  <c r="AB160" i="6"/>
  <c r="AB68" i="6"/>
  <c r="AB466" i="6"/>
  <c r="AB24" i="6"/>
  <c r="AB412" i="6"/>
  <c r="AB441" i="6"/>
  <c r="AB396" i="6"/>
  <c r="AB348" i="6"/>
  <c r="AB320" i="6"/>
  <c r="AB345" i="6"/>
  <c r="AB429" i="6"/>
  <c r="AB306" i="6"/>
  <c r="AB100" i="6"/>
  <c r="AB426" i="6"/>
  <c r="AB216" i="6"/>
  <c r="AB303" i="6"/>
  <c r="AB166" i="6"/>
  <c r="AB167" i="6"/>
  <c r="AB340" i="6"/>
  <c r="AB77" i="6"/>
  <c r="AB107" i="6"/>
  <c r="AB324" i="6"/>
  <c r="AB182" i="6"/>
  <c r="AB61" i="6"/>
  <c r="AB397" i="6"/>
  <c r="AB264" i="6"/>
  <c r="AB245" i="6"/>
  <c r="AB302" i="6"/>
  <c r="AB411" i="6"/>
  <c r="AB153" i="6"/>
  <c r="AB113" i="6"/>
  <c r="AB309" i="6"/>
  <c r="AB384" i="6"/>
  <c r="AB23" i="6"/>
  <c r="AB201" i="6"/>
  <c r="AB135" i="6"/>
  <c r="AB168" i="6"/>
  <c r="AB460" i="6"/>
  <c r="AB44" i="6"/>
  <c r="AB238" i="6"/>
  <c r="AB141" i="6"/>
  <c r="AB173" i="6"/>
  <c r="AB129" i="6"/>
  <c r="AB293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7" i="6"/>
  <c r="AB334" i="6"/>
  <c r="AB60" i="6"/>
  <c r="AB323" i="6"/>
  <c r="AB346" i="6"/>
  <c r="AB75" i="6"/>
  <c r="AB99" i="6"/>
  <c r="AB189" i="6"/>
  <c r="AB154" i="6"/>
  <c r="AB243" i="6"/>
  <c r="AB378" i="6"/>
  <c r="AB148" i="6"/>
  <c r="AB212" i="6"/>
  <c r="AB244" i="6"/>
  <c r="AB221" i="6"/>
  <c r="AB43" i="6"/>
  <c r="AB220" i="6"/>
  <c r="AB152" i="6"/>
  <c r="AB308" i="6"/>
  <c r="AB424" i="6"/>
  <c r="AB200" i="6"/>
  <c r="AB11" i="6"/>
  <c r="AB246" i="6"/>
  <c r="AB452" i="6"/>
  <c r="AB330" i="6"/>
  <c r="AB74" i="6"/>
  <c r="AB393" i="6"/>
  <c r="AB76" i="6"/>
  <c r="AB59" i="6"/>
  <c r="AB409" i="6"/>
  <c r="AB350" i="6"/>
  <c r="AB197" i="6"/>
  <c r="AB58" i="6"/>
  <c r="AB48" i="6"/>
  <c r="AB312" i="6"/>
  <c r="AB382" i="6"/>
  <c r="AB28" i="6"/>
  <c r="AB204" i="6"/>
  <c r="AB203" i="6"/>
  <c r="AB292" i="6"/>
  <c r="AB357" i="6"/>
  <c r="AB85" i="6"/>
  <c r="AB444" i="6"/>
  <c r="AB230" i="6"/>
  <c r="AB394" i="6"/>
  <c r="AB78" i="6"/>
  <c r="AB439" i="6"/>
  <c r="AB465" i="6"/>
  <c r="AB228" i="6"/>
  <c r="AB9" i="6"/>
  <c r="AB106" i="6"/>
  <c r="AB54" i="6"/>
  <c r="AB459" i="6"/>
  <c r="AB187" i="6"/>
  <c r="AB447" i="6"/>
  <c r="AB462" i="6"/>
  <c r="AB254" i="6"/>
  <c r="AB366" i="6"/>
  <c r="AB295" i="6"/>
  <c r="AB105" i="6"/>
  <c r="AB156" i="6"/>
  <c r="AB287" i="6"/>
  <c r="AB66" i="6"/>
  <c r="AB41" i="6"/>
  <c r="AB432" i="6"/>
  <c r="AB186" i="6"/>
  <c r="AB214" i="6"/>
  <c r="AB62" i="6"/>
  <c r="AB126" i="6"/>
  <c r="AB101" i="6"/>
  <c r="AB400" i="6"/>
  <c r="AB164" i="6"/>
  <c r="AB159" i="6"/>
  <c r="AB260" i="6"/>
  <c r="AB149" i="6"/>
  <c r="AB21" i="6"/>
  <c r="AB198" i="6"/>
  <c r="AB436" i="6"/>
  <c r="AB45" i="6"/>
  <c r="AB252" i="6"/>
  <c r="AB261" i="6"/>
  <c r="AB12" i="6"/>
  <c r="AB468" i="6"/>
  <c r="AB157" i="6"/>
  <c r="AB213" i="6"/>
  <c r="AB368" i="6"/>
  <c r="AB206" i="6"/>
  <c r="AB42" i="6"/>
  <c r="AB413" i="6"/>
  <c r="AB344" i="6"/>
  <c r="AB360" i="6"/>
  <c r="AB89" i="6"/>
  <c r="AB88" i="6"/>
  <c r="AB144" i="6"/>
  <c r="AB338" i="6"/>
  <c r="AB10" i="6"/>
  <c r="AB247" i="6"/>
  <c r="AB119" i="6"/>
  <c r="AB403" i="6"/>
  <c r="AB30" i="6"/>
  <c r="AB339" i="6"/>
  <c r="AB236" i="6"/>
  <c r="AB81" i="6"/>
  <c r="AB276" i="6"/>
  <c r="AB145" i="6"/>
  <c r="AB406" i="6"/>
  <c r="AB18" i="6"/>
  <c r="AB196" i="6"/>
  <c r="AB402" i="6"/>
  <c r="AB404" i="6"/>
  <c r="AB27" i="6"/>
  <c r="AB328" i="6"/>
  <c r="AB434" i="6"/>
  <c r="AB356" i="6"/>
  <c r="AB72" i="6"/>
  <c r="AB161" i="6"/>
  <c r="AB259" i="6"/>
  <c r="AB421" i="6"/>
  <c r="AB231" i="6"/>
  <c r="AB83" i="6"/>
  <c r="AB347" i="6"/>
  <c r="AB14" i="6"/>
  <c r="AB286" i="6"/>
  <c r="AB188" i="6"/>
  <c r="AB430" i="6"/>
  <c r="AB365" i="6"/>
  <c r="AB102" i="6"/>
  <c r="AB422" i="6"/>
  <c r="AB331" i="6"/>
  <c r="AB65" i="6"/>
  <c r="AB437" i="6"/>
  <c r="AB313" i="6"/>
  <c r="AB369" i="6"/>
  <c r="AB56" i="6"/>
  <c r="AB136" i="6"/>
  <c r="AB215" i="6"/>
  <c r="AB355" i="6"/>
  <c r="AB383" i="6"/>
  <c r="AB280" i="6"/>
  <c r="AB407" i="6"/>
  <c r="AB379" i="6"/>
  <c r="AB440" i="6"/>
  <c r="AB297" i="6"/>
  <c r="AB451" i="6"/>
  <c r="AB450" i="6"/>
  <c r="AB39" i="6"/>
  <c r="AB250" i="6"/>
  <c r="AB158" i="6"/>
  <c r="AB337" i="6"/>
  <c r="AB199" i="6"/>
  <c r="AB438" i="6"/>
  <c r="AB316" i="6"/>
  <c r="AB388" i="6"/>
  <c r="AB315" i="6"/>
  <c r="AB329" i="6"/>
  <c r="AB458" i="6"/>
  <c r="AB35" i="6"/>
  <c r="AB19" i="6"/>
  <c r="AB227" i="6"/>
  <c r="AB242" i="6"/>
  <c r="AB299" i="6"/>
  <c r="AB314" i="6"/>
  <c r="AB461" i="6"/>
  <c r="AB290" i="6"/>
  <c r="AB336" i="6"/>
  <c r="AB20" i="6"/>
  <c r="AB395" i="6"/>
  <c r="AB211" i="6"/>
  <c r="AB226" i="6"/>
  <c r="AB283" i="6"/>
  <c r="AB298" i="6"/>
  <c r="AB37" i="6"/>
  <c r="AB319" i="6"/>
  <c r="AB195" i="6"/>
  <c r="AB267" i="6"/>
  <c r="AB282" i="6"/>
  <c r="AB454" i="6"/>
  <c r="AB179" i="6"/>
  <c r="AB115" i="6"/>
  <c r="AB133" i="6"/>
  <c r="AB90" i="6"/>
  <c r="AB255" i="6"/>
  <c r="AB117" i="6"/>
  <c r="AB73" i="6"/>
  <c r="AB169" i="6"/>
  <c r="AB428" i="6"/>
  <c r="AB202" i="6"/>
  <c r="AB322" i="6"/>
  <c r="AB22" i="6"/>
  <c r="AB128" i="6"/>
  <c r="AB305" i="6"/>
  <c r="AB389" i="6"/>
  <c r="AB177" i="6"/>
  <c r="AB194" i="6"/>
  <c r="AB130" i="6"/>
  <c r="AB266" i="6"/>
  <c r="AB210" i="6"/>
  <c r="AB279" i="6"/>
  <c r="AB442" i="6"/>
  <c r="AB229" i="6"/>
  <c r="AB26" i="6"/>
  <c r="AB341" i="6"/>
  <c r="AB57" i="6"/>
  <c r="AB251" i="6"/>
  <c r="AB361" i="6"/>
  <c r="AB184" i="6"/>
  <c r="AB307" i="6"/>
  <c r="AB351" i="6"/>
  <c r="AB150" i="6"/>
  <c r="AB289" i="6"/>
  <c r="AB288" i="6"/>
  <c r="AB455" i="6"/>
  <c r="AB176" i="6"/>
  <c r="AB193" i="6"/>
  <c r="AB122" i="6"/>
  <c r="AA5" i="6"/>
  <c r="AB342" i="6"/>
  <c r="AB399" i="6"/>
  <c r="AB333" i="6"/>
  <c r="AB49" i="6"/>
  <c r="AB296" i="6"/>
  <c r="AB239" i="6"/>
  <c r="AB137" i="6"/>
  <c r="AB270" i="6"/>
  <c r="AB263" i="6"/>
  <c r="AB375" i="6"/>
  <c r="AB114" i="6"/>
  <c r="AB123" i="6"/>
  <c r="AB371" i="6"/>
  <c r="AB223" i="6"/>
  <c r="AB325" i="6"/>
  <c r="AB25" i="6"/>
  <c r="AB235" i="6"/>
  <c r="AB449" i="6"/>
  <c r="AB151" i="6"/>
  <c r="AB291" i="6"/>
  <c r="AB274" i="6"/>
  <c r="AB248" i="6"/>
  <c r="AB273" i="6"/>
  <c r="AB272" i="6"/>
  <c r="AB398" i="6"/>
  <c r="AB80" i="6"/>
  <c r="AB175" i="6"/>
  <c r="AB139" i="6"/>
  <c r="AB258" i="6"/>
  <c r="AB370" i="6"/>
  <c r="AB205" i="6"/>
  <c r="AB140" i="6"/>
  <c r="AB253" i="6"/>
  <c r="AB463" i="6"/>
  <c r="AB33" i="6"/>
  <c r="AB222" i="6"/>
  <c r="AB443" i="6"/>
  <c r="AB207" i="6"/>
  <c r="AB294" i="6"/>
  <c r="AB362" i="6"/>
  <c r="AB219" i="6"/>
  <c r="AB425" i="6"/>
  <c r="AB87" i="6"/>
  <c r="AB275" i="6"/>
  <c r="AB171" i="6"/>
  <c r="AB232" i="6"/>
  <c r="AB257" i="6"/>
  <c r="AB256" i="6"/>
  <c r="AB464" i="6"/>
  <c r="AB385" i="6"/>
  <c r="AB79" i="6"/>
  <c r="AB95" i="6"/>
  <c r="AB448" i="6"/>
  <c r="AB372" i="6"/>
  <c r="AB373" i="6"/>
  <c r="AB374" i="6"/>
  <c r="AB180" i="6"/>
  <c r="AB332" i="6"/>
  <c r="AB64" i="6"/>
  <c r="AB284" i="6"/>
  <c r="AB15" i="6"/>
  <c r="AB147" i="6"/>
  <c r="AB377" i="6"/>
  <c r="AB240" i="6"/>
  <c r="AB93" i="6"/>
  <c r="AB47" i="6"/>
  <c r="AB268" i="6"/>
  <c r="AB387" i="6"/>
  <c r="AB170" i="6"/>
  <c r="AB446" i="6"/>
  <c r="AB224" i="6"/>
  <c r="AB92" i="6"/>
  <c r="AB32" i="6"/>
  <c r="AB138" i="6"/>
  <c r="AB392" i="6"/>
  <c r="AB116" i="6"/>
  <c r="AB386" i="6"/>
  <c r="AB208" i="6"/>
  <c r="AB91" i="6"/>
  <c r="AB69" i="6"/>
  <c r="AB120" i="6"/>
  <c r="AB335" i="6"/>
  <c r="AB67" i="6"/>
  <c r="AB285" i="6"/>
  <c r="AB16" i="6"/>
  <c r="AB155" i="6"/>
  <c r="AB381" i="6"/>
  <c r="AB241" i="6"/>
  <c r="AB457" i="6"/>
  <c r="AB192" i="6"/>
  <c r="AB36" i="6"/>
  <c r="AB318" i="6"/>
  <c r="AB50" i="6"/>
  <c r="AB269" i="6"/>
  <c r="AB391" i="6"/>
  <c r="AB225" i="6"/>
  <c r="AB433" i="6"/>
  <c r="AB174" i="6"/>
  <c r="AB183" i="6"/>
  <c r="AB353" i="6"/>
  <c r="AB142" i="6"/>
  <c r="AB111" i="6"/>
  <c r="AB82" i="6"/>
  <c r="AB271" i="6"/>
  <c r="AB453" i="6"/>
  <c r="AB326" i="6"/>
  <c r="AB178" i="6"/>
  <c r="AB414" i="6"/>
  <c r="AB172" i="6"/>
  <c r="AB456" i="6"/>
  <c r="AB191" i="6"/>
  <c r="AB310" i="6"/>
  <c r="AB40" i="6"/>
  <c r="AB121" i="6"/>
  <c r="AB352" i="6"/>
  <c r="AB234" i="6"/>
  <c r="AB423" i="6"/>
  <c r="AB143" i="6"/>
  <c r="AB445" i="6"/>
  <c r="AB405" i="6"/>
  <c r="AB163" i="6"/>
  <c r="AB304" i="6"/>
  <c r="AB34" i="6"/>
  <c r="AB146" i="6"/>
  <c r="AB8" i="6"/>
  <c r="AB124" i="6"/>
  <c r="AB390" i="6"/>
  <c r="AB209" i="6"/>
  <c r="AB376" i="6"/>
  <c r="AB94" i="6"/>
  <c r="AB5" i="6" l="1"/>
</calcChain>
</file>

<file path=xl/sharedStrings.xml><?xml version="1.0" encoding="utf-8"?>
<sst xmlns="http://schemas.openxmlformats.org/spreadsheetml/2006/main" count="4559" uniqueCount="2007">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</sst>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7"/>
  <sheetViews>
    <sheetView tabSelected="1" zoomScaleNormal="100" workbookViewId="0">
      <pane ySplit="7" topLeftCell="A37" activePane="bottomLeft" state="frozen"/>
      <selection pane="bottomLeft" activeCell="O53" sqref="O53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109</v>
      </c>
      <c r="F3" s="5">
        <f>+AD6</f>
        <v>80</v>
      </c>
      <c r="G3" s="5">
        <f>+AF6</f>
        <v>79</v>
      </c>
      <c r="H3" s="5">
        <f>+E3-G3</f>
        <v>30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326</v>
      </c>
      <c r="F4" s="7">
        <f>+AE6</f>
        <v>138</v>
      </c>
      <c r="G4" s="7">
        <f>+AG6</f>
        <v>121</v>
      </c>
      <c r="H4" s="5">
        <f>+E4-G4</f>
        <v>205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435</v>
      </c>
      <c r="F5" s="8">
        <f>+F3+F4</f>
        <v>218</v>
      </c>
      <c r="G5" s="8">
        <f>+G3+G4</f>
        <v>200</v>
      </c>
      <c r="H5" s="8">
        <f>+H3+H4</f>
        <v>235</v>
      </c>
      <c r="I5" s="33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SUM(S8:S2420)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27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SUM(AD8:AD1689)</f>
        <v>80</v>
      </c>
      <c r="AE6" s="1">
        <f t="shared" si="1"/>
        <v>138</v>
      </c>
      <c r="AF6" s="1">
        <f t="shared" si="1"/>
        <v>79</v>
      </c>
      <c r="AG6" s="1">
        <f t="shared" si="1"/>
        <v>121</v>
      </c>
      <c r="AH6" s="1">
        <f t="shared" si="1"/>
        <v>109</v>
      </c>
      <c r="AI6" s="1">
        <f t="shared" si="1"/>
        <v>326</v>
      </c>
    </row>
    <row r="7" spans="1:36" s="31" customFormat="1" ht="14.25" customHeight="1" x14ac:dyDescent="0.25">
      <c r="A7" s="27" t="s">
        <v>1371</v>
      </c>
      <c r="B7" s="27" t="s">
        <v>1372</v>
      </c>
      <c r="C7" s="27" t="s">
        <v>1373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32" t="s">
        <v>1375</v>
      </c>
      <c r="N7" s="28" t="s">
        <v>0</v>
      </c>
      <c r="O7" s="18" t="s">
        <v>1</v>
      </c>
      <c r="P7" s="18" t="s">
        <v>2</v>
      </c>
      <c r="Q7" s="32" t="s">
        <v>1881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907</v>
      </c>
      <c r="F8" s="48" t="s">
        <v>325</v>
      </c>
      <c r="G8" s="48" t="s">
        <v>178</v>
      </c>
      <c r="H8" s="48" t="s">
        <v>354</v>
      </c>
      <c r="I8" s="47" t="s">
        <v>472</v>
      </c>
      <c r="J8" s="47">
        <v>1</v>
      </c>
      <c r="K8" s="49" t="s">
        <v>733</v>
      </c>
      <c r="L8" s="49">
        <v>200</v>
      </c>
      <c r="M8" s="50" t="s">
        <v>39</v>
      </c>
      <c r="N8" s="50" t="s">
        <v>1735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1591</v>
      </c>
      <c r="E9" s="35" t="s">
        <v>171</v>
      </c>
      <c r="F9" s="35" t="s">
        <v>1541</v>
      </c>
      <c r="G9" s="35" t="s">
        <v>39</v>
      </c>
      <c r="H9" s="35" t="s">
        <v>363</v>
      </c>
      <c r="I9" s="34" t="s">
        <v>1542</v>
      </c>
      <c r="J9" s="34">
        <v>99</v>
      </c>
      <c r="K9" s="36" t="s">
        <v>964</v>
      </c>
      <c r="L9" s="36" t="s">
        <v>1701</v>
      </c>
      <c r="M9" s="37" t="s">
        <v>1379</v>
      </c>
      <c r="N9" s="37" t="s">
        <v>1727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150</v>
      </c>
      <c r="E10" s="48" t="s">
        <v>171</v>
      </c>
      <c r="F10" s="48" t="s">
        <v>351</v>
      </c>
      <c r="G10" s="48" t="s">
        <v>178</v>
      </c>
      <c r="H10" s="48" t="s">
        <v>354</v>
      </c>
      <c r="I10" s="47" t="s">
        <v>497</v>
      </c>
      <c r="J10" s="47">
        <v>1</v>
      </c>
      <c r="K10" s="49" t="s">
        <v>964</v>
      </c>
      <c r="L10" s="49" t="s">
        <v>1702</v>
      </c>
      <c r="M10" s="50" t="s">
        <v>1376</v>
      </c>
      <c r="N10" s="50" t="s">
        <v>1747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1032</v>
      </c>
      <c r="E11" s="48" t="s">
        <v>174</v>
      </c>
      <c r="F11" s="48" t="s">
        <v>1090</v>
      </c>
      <c r="G11" s="48" t="s">
        <v>39</v>
      </c>
      <c r="H11" s="48" t="s">
        <v>1033</v>
      </c>
      <c r="I11" s="47" t="s">
        <v>1112</v>
      </c>
      <c r="J11" s="47">
        <v>16</v>
      </c>
      <c r="K11" s="49" t="s">
        <v>962</v>
      </c>
      <c r="L11" s="49">
        <v>45</v>
      </c>
      <c r="M11" s="50" t="s">
        <v>1377</v>
      </c>
      <c r="N11" s="50" t="s">
        <v>1802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171</v>
      </c>
      <c r="F12" s="48" t="s">
        <v>316</v>
      </c>
      <c r="G12" s="48" t="s">
        <v>317</v>
      </c>
      <c r="H12" s="48" t="s">
        <v>354</v>
      </c>
      <c r="I12" s="47" t="s">
        <v>464</v>
      </c>
      <c r="J12" s="47">
        <v>8</v>
      </c>
      <c r="K12" s="49" t="s">
        <v>966</v>
      </c>
      <c r="L12" s="49" t="s">
        <v>1705</v>
      </c>
      <c r="M12" s="50" t="s">
        <v>1119</v>
      </c>
      <c r="N12" s="50" t="s">
        <v>1736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171</v>
      </c>
      <c r="F13" s="48" t="s">
        <v>340</v>
      </c>
      <c r="G13" s="48" t="s">
        <v>341</v>
      </c>
      <c r="H13" s="48" t="s">
        <v>354</v>
      </c>
      <c r="I13" s="47" t="s">
        <v>488</v>
      </c>
      <c r="J13" s="47">
        <v>10</v>
      </c>
      <c r="K13" s="49" t="s">
        <v>964</v>
      </c>
      <c r="L13" s="49" t="s">
        <v>1706</v>
      </c>
      <c r="M13" s="50" t="s">
        <v>1119</v>
      </c>
      <c r="N13" s="50" t="s">
        <v>1736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534</v>
      </c>
      <c r="E14" s="48" t="s">
        <v>171</v>
      </c>
      <c r="F14" s="48" t="s">
        <v>1293</v>
      </c>
      <c r="G14" s="48" t="s">
        <v>240</v>
      </c>
      <c r="H14" s="48" t="s">
        <v>354</v>
      </c>
      <c r="I14" s="47" t="s">
        <v>1360</v>
      </c>
      <c r="J14" s="47">
        <v>1</v>
      </c>
      <c r="K14" s="49" t="s">
        <v>960</v>
      </c>
      <c r="L14" s="49" t="s">
        <v>1708</v>
      </c>
      <c r="M14" s="50" t="s">
        <v>1378</v>
      </c>
      <c r="N14" s="50" t="s">
        <v>1739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171</v>
      </c>
      <c r="F15" s="48" t="s">
        <v>315</v>
      </c>
      <c r="G15" s="48" t="s">
        <v>186</v>
      </c>
      <c r="H15" s="48" t="s">
        <v>354</v>
      </c>
      <c r="I15" s="47" t="s">
        <v>463</v>
      </c>
      <c r="J15" s="47">
        <v>1</v>
      </c>
      <c r="K15" s="49" t="s">
        <v>964</v>
      </c>
      <c r="L15" s="49" t="s">
        <v>1706</v>
      </c>
      <c r="M15" s="50" t="s">
        <v>1119</v>
      </c>
      <c r="N15" s="50" t="s">
        <v>1747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171</v>
      </c>
      <c r="F16" s="42" t="s">
        <v>309</v>
      </c>
      <c r="G16" s="42" t="s">
        <v>213</v>
      </c>
      <c r="H16" s="42" t="s">
        <v>354</v>
      </c>
      <c r="I16" s="41" t="s">
        <v>458</v>
      </c>
      <c r="J16" s="41">
        <v>1</v>
      </c>
      <c r="K16" s="43" t="s">
        <v>1698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681</v>
      </c>
      <c r="F17" s="48" t="s">
        <v>1091</v>
      </c>
      <c r="G17" s="48" t="s">
        <v>39</v>
      </c>
      <c r="H17" s="48" t="s">
        <v>355</v>
      </c>
      <c r="I17" s="47" t="s">
        <v>1113</v>
      </c>
      <c r="J17" s="47">
        <v>11</v>
      </c>
      <c r="K17" s="49" t="s">
        <v>966</v>
      </c>
      <c r="L17" s="49" t="s">
        <v>1714</v>
      </c>
      <c r="M17" s="50" t="s">
        <v>1379</v>
      </c>
      <c r="N17" s="50" t="s">
        <v>1741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148</v>
      </c>
      <c r="E18" s="48" t="s">
        <v>171</v>
      </c>
      <c r="F18" s="48" t="s">
        <v>349</v>
      </c>
      <c r="G18" s="48" t="s">
        <v>39</v>
      </c>
      <c r="H18" s="48" t="s">
        <v>379</v>
      </c>
      <c r="I18" s="47" t="s">
        <v>495</v>
      </c>
      <c r="J18" s="47">
        <v>16</v>
      </c>
      <c r="K18" s="49" t="s">
        <v>960</v>
      </c>
      <c r="L18" s="49">
        <v>75</v>
      </c>
      <c r="M18" s="50" t="s">
        <v>1379</v>
      </c>
      <c r="N18" s="50" t="s">
        <v>1802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171</v>
      </c>
      <c r="F19" s="48" t="s">
        <v>322</v>
      </c>
      <c r="G19" s="48" t="s">
        <v>323</v>
      </c>
      <c r="H19" s="48" t="s">
        <v>354</v>
      </c>
      <c r="I19" s="47" t="s">
        <v>468</v>
      </c>
      <c r="J19" s="47">
        <v>99</v>
      </c>
      <c r="K19" s="49" t="s">
        <v>965</v>
      </c>
      <c r="L19" s="49">
        <v>200</v>
      </c>
      <c r="M19" s="50" t="s">
        <v>39</v>
      </c>
      <c r="N19" s="50" t="s">
        <v>1809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171</v>
      </c>
      <c r="F20" s="42" t="s">
        <v>298</v>
      </c>
      <c r="G20" s="42" t="s">
        <v>39</v>
      </c>
      <c r="H20" s="42" t="s">
        <v>356</v>
      </c>
      <c r="I20" s="41" t="s">
        <v>448</v>
      </c>
      <c r="J20" s="41">
        <v>15</v>
      </c>
      <c r="K20" s="43" t="s">
        <v>967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896</v>
      </c>
      <c r="E21" s="42" t="s">
        <v>170</v>
      </c>
      <c r="F21" s="42" t="s">
        <v>294</v>
      </c>
      <c r="G21" s="42" t="s">
        <v>39</v>
      </c>
      <c r="H21" s="42" t="s">
        <v>355</v>
      </c>
      <c r="I21" s="41" t="s">
        <v>444</v>
      </c>
      <c r="J21" s="41">
        <v>11</v>
      </c>
      <c r="K21" s="43" t="s">
        <v>960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171</v>
      </c>
      <c r="F22" s="42" t="s">
        <v>318</v>
      </c>
      <c r="G22" s="42" t="s">
        <v>39</v>
      </c>
      <c r="H22" s="42" t="s">
        <v>368</v>
      </c>
      <c r="I22" s="41" t="s">
        <v>465</v>
      </c>
      <c r="J22" s="41">
        <v>18</v>
      </c>
      <c r="K22" s="43" t="s">
        <v>967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682</v>
      </c>
      <c r="F23" s="35" t="s">
        <v>339</v>
      </c>
      <c r="G23" s="35" t="s">
        <v>1166</v>
      </c>
      <c r="H23" s="35" t="s">
        <v>354</v>
      </c>
      <c r="I23" s="34" t="s">
        <v>486</v>
      </c>
      <c r="J23" s="34">
        <v>1</v>
      </c>
      <c r="K23" s="36" t="s">
        <v>960</v>
      </c>
      <c r="L23" s="36" t="s">
        <v>1706</v>
      </c>
      <c r="M23" s="37" t="s">
        <v>1119</v>
      </c>
      <c r="N23" s="37" t="s">
        <v>1743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1588</v>
      </c>
      <c r="E24" s="42" t="s">
        <v>171</v>
      </c>
      <c r="F24" s="42" t="s">
        <v>1589</v>
      </c>
      <c r="G24" s="42" t="s">
        <v>213</v>
      </c>
      <c r="H24" s="42" t="s">
        <v>354</v>
      </c>
      <c r="I24" s="41" t="s">
        <v>1590</v>
      </c>
      <c r="J24" s="41">
        <v>1</v>
      </c>
      <c r="K24" s="43" t="s">
        <v>966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1051</v>
      </c>
      <c r="E25" s="35" t="s">
        <v>171</v>
      </c>
      <c r="F25" s="35" t="s">
        <v>1095</v>
      </c>
      <c r="G25" s="35" t="s">
        <v>1038</v>
      </c>
      <c r="H25" s="35" t="s">
        <v>354</v>
      </c>
      <c r="I25" s="34" t="s">
        <v>1052</v>
      </c>
      <c r="J25" s="34">
        <v>99</v>
      </c>
      <c r="K25" s="36" t="s">
        <v>733</v>
      </c>
      <c r="L25" s="36">
        <v>150</v>
      </c>
      <c r="M25" s="37" t="s">
        <v>39</v>
      </c>
      <c r="N25" s="37" t="s">
        <v>1749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170</v>
      </c>
      <c r="F26" s="42" t="s">
        <v>311</v>
      </c>
      <c r="G26" s="42" t="s">
        <v>39</v>
      </c>
      <c r="H26" s="42" t="s">
        <v>355</v>
      </c>
      <c r="I26" s="41" t="s">
        <v>460</v>
      </c>
      <c r="J26" s="41">
        <v>11</v>
      </c>
      <c r="K26" s="43" t="s">
        <v>733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171</v>
      </c>
      <c r="F27" s="48" t="s">
        <v>301</v>
      </c>
      <c r="G27" s="48" t="s">
        <v>302</v>
      </c>
      <c r="H27" s="48" t="s">
        <v>354</v>
      </c>
      <c r="I27" s="47" t="s">
        <v>450</v>
      </c>
      <c r="J27" s="47">
        <v>1</v>
      </c>
      <c r="K27" s="49" t="s">
        <v>964</v>
      </c>
      <c r="L27" s="49" t="s">
        <v>1715</v>
      </c>
      <c r="M27" s="50" t="s">
        <v>1380</v>
      </c>
      <c r="N27" s="50" t="s">
        <v>1736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171</v>
      </c>
      <c r="F28" s="35" t="s">
        <v>313</v>
      </c>
      <c r="G28" s="35" t="s">
        <v>314</v>
      </c>
      <c r="H28" s="35" t="s">
        <v>354</v>
      </c>
      <c r="I28" s="34" t="s">
        <v>462</v>
      </c>
      <c r="J28" s="34">
        <v>1</v>
      </c>
      <c r="K28" s="36" t="s">
        <v>967</v>
      </c>
      <c r="L28" s="36" t="s">
        <v>39</v>
      </c>
      <c r="M28" s="37" t="s">
        <v>39</v>
      </c>
      <c r="N28" s="37" t="s">
        <v>1733</v>
      </c>
      <c r="O28" s="38">
        <v>1</v>
      </c>
      <c r="P28" s="38">
        <v>1</v>
      </c>
      <c r="Q28" s="35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856</v>
      </c>
      <c r="E29" s="35" t="s">
        <v>171</v>
      </c>
      <c r="F29" s="35" t="s">
        <v>857</v>
      </c>
      <c r="G29" s="35" t="s">
        <v>220</v>
      </c>
      <c r="H29" s="35" t="s">
        <v>354</v>
      </c>
      <c r="I29" s="34" t="s">
        <v>858</v>
      </c>
      <c r="J29" s="34">
        <v>8</v>
      </c>
      <c r="K29" s="36" t="s">
        <v>964</v>
      </c>
      <c r="L29" s="36" t="s">
        <v>1710</v>
      </c>
      <c r="M29" s="37" t="s">
        <v>1560</v>
      </c>
      <c r="N29" s="37" t="s">
        <v>1756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171</v>
      </c>
      <c r="F30" s="42" t="s">
        <v>335</v>
      </c>
      <c r="G30" s="42" t="s">
        <v>39</v>
      </c>
      <c r="H30" s="42" t="s">
        <v>357</v>
      </c>
      <c r="I30" s="41" t="s">
        <v>482</v>
      </c>
      <c r="J30" s="41">
        <v>18</v>
      </c>
      <c r="K30" s="43" t="s">
        <v>960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174</v>
      </c>
      <c r="F31" s="48" t="s">
        <v>346</v>
      </c>
      <c r="G31" s="48" t="s">
        <v>39</v>
      </c>
      <c r="H31" s="48" t="s">
        <v>367</v>
      </c>
      <c r="I31" s="47" t="s">
        <v>492</v>
      </c>
      <c r="J31" s="47">
        <v>18</v>
      </c>
      <c r="K31" s="49" t="s">
        <v>964</v>
      </c>
      <c r="L31" s="49">
        <v>70</v>
      </c>
      <c r="M31" s="50" t="s">
        <v>1381</v>
      </c>
      <c r="N31" s="50" t="s">
        <v>1734</v>
      </c>
      <c r="O31" s="51"/>
      <c r="P31" s="51"/>
      <c r="Q31" s="68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1</v>
      </c>
      <c r="D32" s="39" t="s">
        <v>152</v>
      </c>
      <c r="E32" s="39" t="s">
        <v>171</v>
      </c>
      <c r="F32" s="39" t="s">
        <v>352</v>
      </c>
      <c r="G32" s="39" t="s">
        <v>194</v>
      </c>
      <c r="H32" s="39" t="s">
        <v>354</v>
      </c>
      <c r="I32" s="40" t="s">
        <v>499</v>
      </c>
      <c r="J32" s="34">
        <v>9</v>
      </c>
      <c r="K32" s="36" t="s">
        <v>960</v>
      </c>
      <c r="L32" s="36" t="s">
        <v>1706</v>
      </c>
      <c r="M32" s="37" t="s">
        <v>1382</v>
      </c>
      <c r="N32" s="37" t="s">
        <v>1756</v>
      </c>
      <c r="O32" s="38">
        <v>1</v>
      </c>
      <c r="P32" s="38"/>
      <c r="Q32" s="39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1549</v>
      </c>
      <c r="E33" s="39" t="s">
        <v>1246</v>
      </c>
      <c r="F33" s="39" t="s">
        <v>1550</v>
      </c>
      <c r="G33" s="39" t="s">
        <v>258</v>
      </c>
      <c r="H33" s="39" t="s">
        <v>354</v>
      </c>
      <c r="I33" s="40" t="s">
        <v>473</v>
      </c>
      <c r="J33" s="34">
        <v>8</v>
      </c>
      <c r="K33" s="36" t="s">
        <v>702</v>
      </c>
      <c r="L33" s="36" t="s">
        <v>689</v>
      </c>
      <c r="M33" s="37" t="s">
        <v>690</v>
      </c>
      <c r="N33" s="37" t="s">
        <v>1789</v>
      </c>
      <c r="O33" s="38">
        <v>1</v>
      </c>
      <c r="P33" s="38"/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41">
        <v>0</v>
      </c>
      <c r="B34" s="41">
        <v>1</v>
      </c>
      <c r="C34" s="41">
        <v>2</v>
      </c>
      <c r="D34" s="42" t="s">
        <v>1462</v>
      </c>
      <c r="E34" s="42" t="s">
        <v>1464</v>
      </c>
      <c r="F34" s="42" t="s">
        <v>1463</v>
      </c>
      <c r="G34" s="42"/>
      <c r="H34" s="42" t="s">
        <v>1138</v>
      </c>
      <c r="I34" s="41" t="s">
        <v>1465</v>
      </c>
      <c r="J34" s="41">
        <v>99</v>
      </c>
      <c r="K34" s="43" t="s">
        <v>703</v>
      </c>
      <c r="L34" s="43"/>
      <c r="M34" s="44"/>
      <c r="N34" s="45"/>
      <c r="O34" s="46"/>
      <c r="P34" s="46">
        <v>1</v>
      </c>
      <c r="Q34" s="57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7">
        <v>0</v>
      </c>
      <c r="B35" s="47">
        <v>1</v>
      </c>
      <c r="C35" s="47">
        <v>2</v>
      </c>
      <c r="D35" s="48" t="s">
        <v>596</v>
      </c>
      <c r="E35" s="48" t="s">
        <v>175</v>
      </c>
      <c r="F35" s="48" t="s">
        <v>597</v>
      </c>
      <c r="G35" s="48" t="s">
        <v>251</v>
      </c>
      <c r="H35" s="48" t="s">
        <v>354</v>
      </c>
      <c r="I35" s="47" t="s">
        <v>598</v>
      </c>
      <c r="J35" s="47">
        <v>99</v>
      </c>
      <c r="K35" s="49" t="s">
        <v>956</v>
      </c>
      <c r="L35" s="49" t="s">
        <v>689</v>
      </c>
      <c r="M35" s="50" t="s">
        <v>1383</v>
      </c>
      <c r="N35" s="50" t="s">
        <v>1747</v>
      </c>
      <c r="O35" s="51"/>
      <c r="P35" s="51"/>
      <c r="Q35" s="48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113</v>
      </c>
      <c r="E36" s="48" t="s">
        <v>175</v>
      </c>
      <c r="F36" s="68" t="s">
        <v>1868</v>
      </c>
      <c r="G36" s="48" t="s">
        <v>312</v>
      </c>
      <c r="H36" s="48" t="s">
        <v>354</v>
      </c>
      <c r="I36" s="47" t="s">
        <v>461</v>
      </c>
      <c r="J36" s="47">
        <v>99</v>
      </c>
      <c r="K36" s="49" t="s">
        <v>702</v>
      </c>
      <c r="L36" s="49" t="s">
        <v>689</v>
      </c>
      <c r="M36" s="50" t="s">
        <v>691</v>
      </c>
      <c r="N36" s="50" t="s">
        <v>1802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2</v>
      </c>
      <c r="D37" s="39" t="s">
        <v>1762</v>
      </c>
      <c r="E37" s="39" t="s">
        <v>155</v>
      </c>
      <c r="F37" s="39" t="s">
        <v>1763</v>
      </c>
      <c r="G37" s="39"/>
      <c r="H37" s="39" t="s">
        <v>1764</v>
      </c>
      <c r="I37" s="40" t="s">
        <v>1765</v>
      </c>
      <c r="J37" s="34">
        <v>18</v>
      </c>
      <c r="K37" s="36" t="s">
        <v>703</v>
      </c>
      <c r="L37" s="36">
        <v>55</v>
      </c>
      <c r="M37" s="37" t="s">
        <v>1477</v>
      </c>
      <c r="N37" s="37" t="s">
        <v>1733</v>
      </c>
      <c r="O37" s="38">
        <v>1</v>
      </c>
      <c r="P37" s="38">
        <v>1</v>
      </c>
      <c r="Q37" s="39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599</v>
      </c>
      <c r="E38" s="39" t="s">
        <v>175</v>
      </c>
      <c r="F38" s="39" t="s">
        <v>600</v>
      </c>
      <c r="G38" s="39" t="s">
        <v>573</v>
      </c>
      <c r="H38" s="39" t="s">
        <v>354</v>
      </c>
      <c r="I38" s="40" t="s">
        <v>601</v>
      </c>
      <c r="J38" s="34">
        <v>1</v>
      </c>
      <c r="K38" s="36" t="s">
        <v>956</v>
      </c>
      <c r="L38" s="36" t="s">
        <v>1703</v>
      </c>
      <c r="M38" s="37" t="s">
        <v>1382</v>
      </c>
      <c r="N38" s="37" t="s">
        <v>1748</v>
      </c>
      <c r="O38" s="38">
        <v>1</v>
      </c>
      <c r="P38" s="38"/>
      <c r="Q38" s="39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1751</v>
      </c>
      <c r="E39" s="39" t="s">
        <v>1752</v>
      </c>
      <c r="F39" s="39" t="s">
        <v>1753</v>
      </c>
      <c r="G39" s="39" t="s">
        <v>321</v>
      </c>
      <c r="H39" s="39" t="s">
        <v>354</v>
      </c>
      <c r="I39" s="40" t="s">
        <v>1754</v>
      </c>
      <c r="J39" s="34">
        <v>99</v>
      </c>
      <c r="K39" s="36" t="s">
        <v>703</v>
      </c>
      <c r="L39" s="36"/>
      <c r="M39" s="37"/>
      <c r="N39" s="37" t="s">
        <v>1733</v>
      </c>
      <c r="O39" s="38">
        <v>1</v>
      </c>
      <c r="P39" s="38">
        <v>1</v>
      </c>
      <c r="Q39" s="39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7">
        <v>0</v>
      </c>
      <c r="B40" s="47">
        <v>1</v>
      </c>
      <c r="C40" s="47">
        <v>2</v>
      </c>
      <c r="D40" s="48" t="s">
        <v>642</v>
      </c>
      <c r="E40" s="48" t="s">
        <v>175</v>
      </c>
      <c r="F40" s="48" t="s">
        <v>643</v>
      </c>
      <c r="G40" s="48" t="s">
        <v>220</v>
      </c>
      <c r="H40" s="48" t="s">
        <v>354</v>
      </c>
      <c r="I40" s="47" t="s">
        <v>1111</v>
      </c>
      <c r="J40" s="47">
        <v>8</v>
      </c>
      <c r="K40" s="49" t="s">
        <v>956</v>
      </c>
      <c r="L40" s="49" t="s">
        <v>1700</v>
      </c>
      <c r="M40" s="50" t="s">
        <v>1377</v>
      </c>
      <c r="N40" s="50" t="s">
        <v>1737</v>
      </c>
      <c r="O40" s="51"/>
      <c r="P40" s="51"/>
      <c r="Q40" s="48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2</v>
      </c>
      <c r="D41" s="39" t="s">
        <v>1512</v>
      </c>
      <c r="E41" s="39" t="s">
        <v>175</v>
      </c>
      <c r="F41" s="39" t="s">
        <v>1660</v>
      </c>
      <c r="G41" s="39" t="s">
        <v>1514</v>
      </c>
      <c r="H41" s="39" t="s">
        <v>354</v>
      </c>
      <c r="I41" s="40" t="s">
        <v>1513</v>
      </c>
      <c r="J41" s="34">
        <v>99</v>
      </c>
      <c r="K41" s="36" t="s">
        <v>957</v>
      </c>
      <c r="L41" s="36" t="s">
        <v>39</v>
      </c>
      <c r="M41" s="37" t="s">
        <v>39</v>
      </c>
      <c r="N41" s="37" t="s">
        <v>1727</v>
      </c>
      <c r="O41" s="38">
        <v>1</v>
      </c>
      <c r="P41" s="38">
        <v>1</v>
      </c>
      <c r="Q41" s="39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5" t="s">
        <v>880</v>
      </c>
      <c r="E42" s="35" t="s">
        <v>174</v>
      </c>
      <c r="F42" s="35" t="s">
        <v>881</v>
      </c>
      <c r="G42" s="35" t="s">
        <v>39</v>
      </c>
      <c r="H42" s="35" t="s">
        <v>375</v>
      </c>
      <c r="I42" s="34" t="s">
        <v>882</v>
      </c>
      <c r="J42" s="34">
        <v>12</v>
      </c>
      <c r="K42" s="36" t="s">
        <v>702</v>
      </c>
      <c r="L42" s="36" t="s">
        <v>1704</v>
      </c>
      <c r="M42" s="37" t="s">
        <v>1384</v>
      </c>
      <c r="N42" s="37" t="s">
        <v>1825</v>
      </c>
      <c r="O42" s="38">
        <v>1</v>
      </c>
      <c r="P42" s="38"/>
      <c r="Q42" s="35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7">
        <v>0</v>
      </c>
      <c r="B43" s="47">
        <v>1</v>
      </c>
      <c r="C43" s="47">
        <v>2</v>
      </c>
      <c r="D43" s="48" t="s">
        <v>1815</v>
      </c>
      <c r="E43" s="48" t="s">
        <v>175</v>
      </c>
      <c r="F43" s="48" t="s">
        <v>1816</v>
      </c>
      <c r="G43" s="48" t="s">
        <v>194</v>
      </c>
      <c r="H43" s="48" t="s">
        <v>354</v>
      </c>
      <c r="I43" s="47" t="s">
        <v>1817</v>
      </c>
      <c r="J43" s="47">
        <v>9</v>
      </c>
      <c r="K43" s="49" t="s">
        <v>703</v>
      </c>
      <c r="L43" s="49">
        <v>60</v>
      </c>
      <c r="M43" s="50" t="s">
        <v>1818</v>
      </c>
      <c r="N43" s="50" t="s">
        <v>1809</v>
      </c>
      <c r="O43" s="51"/>
      <c r="P43" s="51"/>
      <c r="Q43" s="48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139</v>
      </c>
      <c r="E44" s="48" t="s">
        <v>175</v>
      </c>
      <c r="F44" s="68" t="s">
        <v>1879</v>
      </c>
      <c r="G44" s="48" t="s">
        <v>200</v>
      </c>
      <c r="H44" s="48" t="s">
        <v>354</v>
      </c>
      <c r="I44" s="47" t="s">
        <v>487</v>
      </c>
      <c r="J44" s="47">
        <v>2</v>
      </c>
      <c r="K44" s="49" t="s">
        <v>956</v>
      </c>
      <c r="L44" s="49" t="s">
        <v>693</v>
      </c>
      <c r="M44" s="50" t="s">
        <v>691</v>
      </c>
      <c r="N44" s="50" t="s">
        <v>1738</v>
      </c>
      <c r="O44" s="51"/>
      <c r="P44" s="51"/>
      <c r="Q44" s="68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4">
        <v>0</v>
      </c>
      <c r="B45" s="34">
        <v>1</v>
      </c>
      <c r="C45" s="34">
        <v>2</v>
      </c>
      <c r="D45" s="35" t="s">
        <v>838</v>
      </c>
      <c r="E45" s="35" t="s">
        <v>175</v>
      </c>
      <c r="F45" s="35" t="s">
        <v>840</v>
      </c>
      <c r="G45" s="35" t="s">
        <v>39</v>
      </c>
      <c r="H45" s="35" t="s">
        <v>354</v>
      </c>
      <c r="I45" s="34" t="s">
        <v>839</v>
      </c>
      <c r="J45" s="34">
        <v>99</v>
      </c>
      <c r="K45" s="36" t="s">
        <v>962</v>
      </c>
      <c r="L45" s="36" t="s">
        <v>39</v>
      </c>
      <c r="M45" s="37" t="s">
        <v>39</v>
      </c>
      <c r="N45" s="37" t="s">
        <v>1733</v>
      </c>
      <c r="O45" s="38">
        <v>1</v>
      </c>
      <c r="P45" s="38">
        <v>1</v>
      </c>
      <c r="Q45" s="35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7">
        <v>0</v>
      </c>
      <c r="B46" s="47">
        <v>1</v>
      </c>
      <c r="C46" s="47">
        <v>2</v>
      </c>
      <c r="D46" s="48" t="s">
        <v>915</v>
      </c>
      <c r="E46" s="48" t="s">
        <v>175</v>
      </c>
      <c r="F46" s="48" t="s">
        <v>783</v>
      </c>
      <c r="G46" s="48" t="s">
        <v>39</v>
      </c>
      <c r="H46" s="48" t="s">
        <v>375</v>
      </c>
      <c r="I46" s="47" t="s">
        <v>784</v>
      </c>
      <c r="J46" s="47">
        <v>12</v>
      </c>
      <c r="K46" s="49" t="s">
        <v>722</v>
      </c>
      <c r="L46" s="49" t="s">
        <v>1699</v>
      </c>
      <c r="M46" s="50" t="s">
        <v>1119</v>
      </c>
      <c r="N46" s="50" t="s">
        <v>1802</v>
      </c>
      <c r="O46" s="51"/>
      <c r="P46" s="51"/>
      <c r="Q46" s="48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41">
        <v>0</v>
      </c>
      <c r="B47" s="41">
        <v>1</v>
      </c>
      <c r="C47" s="41">
        <v>2</v>
      </c>
      <c r="D47" s="42" t="s">
        <v>1635</v>
      </c>
      <c r="E47" s="42" t="s">
        <v>174</v>
      </c>
      <c r="F47" s="42" t="s">
        <v>1661</v>
      </c>
      <c r="G47" s="42" t="s">
        <v>251</v>
      </c>
      <c r="H47" s="42" t="s">
        <v>354</v>
      </c>
      <c r="I47" s="41" t="s">
        <v>1563</v>
      </c>
      <c r="J47" s="41">
        <v>99</v>
      </c>
      <c r="K47" s="43" t="s">
        <v>957</v>
      </c>
      <c r="L47" s="43" t="s">
        <v>39</v>
      </c>
      <c r="M47" s="44" t="s">
        <v>39</v>
      </c>
      <c r="N47" s="45"/>
      <c r="O47" s="46"/>
      <c r="P47" s="46">
        <v>1</v>
      </c>
      <c r="Q47" s="42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47">
        <v>0</v>
      </c>
      <c r="B48" s="47">
        <v>1</v>
      </c>
      <c r="C48" s="47">
        <v>2</v>
      </c>
      <c r="D48" s="48" t="s">
        <v>1531</v>
      </c>
      <c r="E48" s="48" t="s">
        <v>1649</v>
      </c>
      <c r="F48" s="48" t="s">
        <v>1532</v>
      </c>
      <c r="G48" s="48" t="s">
        <v>200</v>
      </c>
      <c r="H48" s="48" t="s">
        <v>354</v>
      </c>
      <c r="I48" s="47" t="s">
        <v>1533</v>
      </c>
      <c r="J48" s="47">
        <v>2</v>
      </c>
      <c r="K48" s="49" t="s">
        <v>956</v>
      </c>
      <c r="L48" s="49">
        <v>70</v>
      </c>
      <c r="M48" s="50" t="s">
        <v>39</v>
      </c>
      <c r="N48" s="50" t="s">
        <v>1740</v>
      </c>
      <c r="O48" s="51"/>
      <c r="P48" s="51"/>
      <c r="Q48" s="48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0</v>
      </c>
      <c r="AI48" s="1">
        <f t="shared" si="6"/>
        <v>1</v>
      </c>
    </row>
    <row r="49" spans="1:36" s="2" customFormat="1" ht="14.25" customHeight="1" x14ac:dyDescent="0.25">
      <c r="A49" s="47">
        <v>0</v>
      </c>
      <c r="B49" s="47">
        <v>1</v>
      </c>
      <c r="C49" s="47">
        <v>2</v>
      </c>
      <c r="D49" s="48" t="s">
        <v>1467</v>
      </c>
      <c r="E49" s="48" t="s">
        <v>1650</v>
      </c>
      <c r="F49" s="48" t="s">
        <v>1466</v>
      </c>
      <c r="G49" s="48" t="s">
        <v>220</v>
      </c>
      <c r="H49" s="48" t="s">
        <v>354</v>
      </c>
      <c r="I49" s="47" t="s">
        <v>1687</v>
      </c>
      <c r="J49" s="47">
        <v>8</v>
      </c>
      <c r="K49" s="49" t="s">
        <v>702</v>
      </c>
      <c r="L49" s="49">
        <v>70</v>
      </c>
      <c r="M49" s="50" t="s">
        <v>39</v>
      </c>
      <c r="N49" s="50" t="s">
        <v>1737</v>
      </c>
      <c r="O49" s="51"/>
      <c r="P49" s="51"/>
      <c r="Q49" s="48"/>
      <c r="R49" s="1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C49" s="1"/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  <c r="AJ49" s="1"/>
    </row>
    <row r="50" spans="1:36" s="2" customFormat="1" ht="14.25" customHeight="1" x14ac:dyDescent="0.25">
      <c r="A50" s="34">
        <v>0</v>
      </c>
      <c r="B50" s="34">
        <v>1</v>
      </c>
      <c r="C50" s="34">
        <v>2</v>
      </c>
      <c r="D50" s="35" t="s">
        <v>811</v>
      </c>
      <c r="E50" s="35" t="s">
        <v>175</v>
      </c>
      <c r="F50" s="35" t="s">
        <v>812</v>
      </c>
      <c r="G50" s="35" t="s">
        <v>39</v>
      </c>
      <c r="H50" s="35" t="s">
        <v>813</v>
      </c>
      <c r="I50" s="34" t="s">
        <v>814</v>
      </c>
      <c r="J50" s="34">
        <v>11</v>
      </c>
      <c r="K50" s="36" t="s">
        <v>703</v>
      </c>
      <c r="L50" s="36">
        <v>50</v>
      </c>
      <c r="M50" s="37" t="s">
        <v>1119</v>
      </c>
      <c r="N50" s="37" t="s">
        <v>1946</v>
      </c>
      <c r="O50" s="38">
        <v>1</v>
      </c>
      <c r="P50" s="38"/>
      <c r="Q50" s="35"/>
      <c r="R50" s="1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C50" s="1"/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  <c r="AJ50" s="1"/>
    </row>
    <row r="51" spans="1:36" s="2" customFormat="1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O51" s="1"/>
      <c r="P51" s="1"/>
      <c r="Q51" s="16"/>
      <c r="R51" s="1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C51" s="1"/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  <c r="AJ51" s="1"/>
    </row>
    <row r="52" spans="1:36" s="2" customFormat="1" ht="14.25" customHeight="1" x14ac:dyDescent="0.25">
      <c r="A52" s="34">
        <v>0</v>
      </c>
      <c r="B52" s="34">
        <v>1</v>
      </c>
      <c r="C52" s="34">
        <v>2</v>
      </c>
      <c r="D52" s="35" t="s">
        <v>2002</v>
      </c>
      <c r="E52" s="35" t="s">
        <v>175</v>
      </c>
      <c r="F52" s="35" t="s">
        <v>2003</v>
      </c>
      <c r="G52" s="35" t="s">
        <v>2004</v>
      </c>
      <c r="H52" s="35" t="s">
        <v>354</v>
      </c>
      <c r="I52" s="34" t="s">
        <v>2005</v>
      </c>
      <c r="J52" s="34">
        <v>99</v>
      </c>
      <c r="K52" s="36" t="s">
        <v>703</v>
      </c>
      <c r="L52" s="36"/>
      <c r="M52" s="37"/>
      <c r="N52" s="37" t="s">
        <v>1733</v>
      </c>
      <c r="O52" s="38">
        <v>1</v>
      </c>
      <c r="P52" s="38">
        <v>1</v>
      </c>
      <c r="Q52" s="35" t="s">
        <v>2006</v>
      </c>
      <c r="R52" s="1"/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C52" s="1"/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  <c r="AJ52" s="1"/>
    </row>
    <row r="53" spans="1:36" s="2" customFormat="1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175</v>
      </c>
      <c r="F53" s="48" t="s">
        <v>655</v>
      </c>
      <c r="G53" s="48" t="s">
        <v>39</v>
      </c>
      <c r="H53" s="48" t="s">
        <v>371</v>
      </c>
      <c r="I53" s="47" t="s">
        <v>469</v>
      </c>
      <c r="J53" s="47">
        <v>11</v>
      </c>
      <c r="K53" s="49" t="s">
        <v>703</v>
      </c>
      <c r="L53" s="49">
        <v>40</v>
      </c>
      <c r="M53" s="50" t="s">
        <v>691</v>
      </c>
      <c r="N53" s="50" t="s">
        <v>1802</v>
      </c>
      <c r="O53" s="51"/>
      <c r="P53" s="51"/>
      <c r="Q53" s="48"/>
      <c r="R53" s="1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C53" s="1"/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  <c r="AJ53" s="1"/>
    </row>
    <row r="54" spans="1:36" s="2" customFormat="1" ht="14.25" customHeight="1" x14ac:dyDescent="0.25">
      <c r="A54" s="47">
        <v>0</v>
      </c>
      <c r="B54" s="47">
        <v>1</v>
      </c>
      <c r="C54" s="47">
        <v>2</v>
      </c>
      <c r="D54" s="48" t="s">
        <v>1054</v>
      </c>
      <c r="E54" s="48" t="s">
        <v>175</v>
      </c>
      <c r="F54" s="48" t="s">
        <v>1055</v>
      </c>
      <c r="G54" s="48" t="s">
        <v>1056</v>
      </c>
      <c r="H54" s="48" t="s">
        <v>354</v>
      </c>
      <c r="I54" s="47" t="s">
        <v>1057</v>
      </c>
      <c r="J54" s="47">
        <v>1</v>
      </c>
      <c r="K54" s="49" t="s">
        <v>722</v>
      </c>
      <c r="L54" s="49" t="s">
        <v>687</v>
      </c>
      <c r="M54" s="50" t="s">
        <v>1119</v>
      </c>
      <c r="N54" s="50" t="s">
        <v>1740</v>
      </c>
      <c r="O54" s="51"/>
      <c r="P54" s="51"/>
      <c r="Q54" s="68" t="s">
        <v>1910</v>
      </c>
      <c r="R54" s="1"/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C54" s="1"/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  <c r="AJ54" s="1"/>
    </row>
    <row r="55" spans="1:36" s="2" customFormat="1" ht="14.25" customHeight="1" x14ac:dyDescent="0.25">
      <c r="A55" s="47">
        <v>0</v>
      </c>
      <c r="B55" s="47">
        <v>1</v>
      </c>
      <c r="C55" s="47">
        <v>2</v>
      </c>
      <c r="D55" s="48" t="s">
        <v>1639</v>
      </c>
      <c r="E55" s="48" t="s">
        <v>175</v>
      </c>
      <c r="F55" s="48" t="s">
        <v>1665</v>
      </c>
      <c r="G55" s="48" t="s">
        <v>1666</v>
      </c>
      <c r="H55" s="48" t="s">
        <v>354</v>
      </c>
      <c r="I55" s="47" t="s">
        <v>1478</v>
      </c>
      <c r="J55" s="47">
        <v>99</v>
      </c>
      <c r="K55" s="49" t="s">
        <v>702</v>
      </c>
      <c r="L55" s="49">
        <v>45</v>
      </c>
      <c r="M55" s="50" t="s">
        <v>39</v>
      </c>
      <c r="N55" s="50" t="s">
        <v>1741</v>
      </c>
      <c r="O55" s="51"/>
      <c r="P55" s="51"/>
      <c r="Q55" s="48"/>
      <c r="R55" s="1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C55" s="1"/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  <c r="AJ55" s="1"/>
    </row>
    <row r="56" spans="1:36" s="2" customFormat="1" ht="14.25" customHeight="1" x14ac:dyDescent="0.25">
      <c r="A56" s="47">
        <v>0</v>
      </c>
      <c r="B56" s="47">
        <v>1</v>
      </c>
      <c r="C56" s="47">
        <v>2</v>
      </c>
      <c r="D56" s="48" t="s">
        <v>647</v>
      </c>
      <c r="E56" s="48" t="s">
        <v>175</v>
      </c>
      <c r="F56" s="48" t="s">
        <v>602</v>
      </c>
      <c r="G56" s="48" t="s">
        <v>595</v>
      </c>
      <c r="H56" s="48" t="s">
        <v>354</v>
      </c>
      <c r="I56" s="47" t="s">
        <v>677</v>
      </c>
      <c r="J56" s="47">
        <v>1</v>
      </c>
      <c r="K56" s="49" t="s">
        <v>702</v>
      </c>
      <c r="L56" s="49" t="s">
        <v>1700</v>
      </c>
      <c r="M56" s="50" t="s">
        <v>1385</v>
      </c>
      <c r="N56" s="50" t="s">
        <v>1735</v>
      </c>
      <c r="O56" s="51"/>
      <c r="P56" s="51"/>
      <c r="Q56" s="48"/>
      <c r="R56" s="1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C56" s="1"/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  <c r="AJ56" s="1"/>
    </row>
    <row r="57" spans="1:36" s="2" customFormat="1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O57" s="1"/>
      <c r="P57" s="1"/>
      <c r="Q57" s="16" t="s">
        <v>1886</v>
      </c>
      <c r="R57" s="1"/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C57" s="1"/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  <c r="AJ57" s="1"/>
    </row>
    <row r="58" spans="1:36" s="2" customFormat="1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O58" s="1"/>
      <c r="P58" s="1"/>
      <c r="Q58" s="16" t="s">
        <v>1885</v>
      </c>
      <c r="R58" s="1"/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C58" s="1"/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  <c r="AJ58" s="1"/>
    </row>
    <row r="59" spans="1:36" s="2" customFormat="1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O59" s="1"/>
      <c r="P59" s="1"/>
      <c r="Q59" s="16"/>
      <c r="R59" s="1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C59" s="1"/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  <c r="AJ59" s="1"/>
    </row>
    <row r="60" spans="1:36" s="2" customFormat="1" ht="14.25" customHeight="1" x14ac:dyDescent="0.25">
      <c r="A60" s="34">
        <v>0</v>
      </c>
      <c r="B60" s="34">
        <v>1</v>
      </c>
      <c r="C60" s="34">
        <v>2</v>
      </c>
      <c r="D60" s="35" t="s">
        <v>1592</v>
      </c>
      <c r="E60" s="35" t="s">
        <v>175</v>
      </c>
      <c r="F60" s="35" t="s">
        <v>1593</v>
      </c>
      <c r="G60" s="35" t="s">
        <v>1594</v>
      </c>
      <c r="H60" s="35" t="s">
        <v>354</v>
      </c>
      <c r="I60" s="34" t="s">
        <v>1487</v>
      </c>
      <c r="J60" s="34">
        <v>99</v>
      </c>
      <c r="K60" s="36" t="s">
        <v>702</v>
      </c>
      <c r="L60" s="36" t="s">
        <v>39</v>
      </c>
      <c r="M60" s="37" t="s">
        <v>39</v>
      </c>
      <c r="N60" s="37" t="s">
        <v>1727</v>
      </c>
      <c r="O60" s="38">
        <v>1</v>
      </c>
      <c r="P60" s="38">
        <v>1</v>
      </c>
      <c r="Q60" s="35"/>
      <c r="R60" s="1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C60" s="1"/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  <c r="AJ60" s="1"/>
    </row>
    <row r="61" spans="1:36" s="2" customFormat="1" ht="14.25" customHeight="1" x14ac:dyDescent="0.25">
      <c r="A61" s="34">
        <v>0</v>
      </c>
      <c r="B61" s="34">
        <v>1</v>
      </c>
      <c r="C61" s="34">
        <v>2</v>
      </c>
      <c r="D61" s="35" t="s">
        <v>1620</v>
      </c>
      <c r="E61" s="35" t="s">
        <v>170</v>
      </c>
      <c r="F61" s="35" t="s">
        <v>1621</v>
      </c>
      <c r="G61" s="35" t="s">
        <v>39</v>
      </c>
      <c r="H61" s="35" t="s">
        <v>355</v>
      </c>
      <c r="I61" s="34" t="s">
        <v>1622</v>
      </c>
      <c r="J61" s="34">
        <v>11</v>
      </c>
      <c r="K61" s="36" t="s">
        <v>957</v>
      </c>
      <c r="L61" s="36" t="s">
        <v>39</v>
      </c>
      <c r="M61" s="37" t="s">
        <v>39</v>
      </c>
      <c r="N61" s="37" t="s">
        <v>1727</v>
      </c>
      <c r="O61" s="38">
        <v>1</v>
      </c>
      <c r="P61" s="38">
        <v>1</v>
      </c>
      <c r="Q61" s="39" t="s">
        <v>1905</v>
      </c>
      <c r="R61" s="1"/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C61" s="1"/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  <c r="AJ61" s="1"/>
    </row>
    <row r="62" spans="1:36" s="2" customFormat="1" ht="14.25" customHeight="1" x14ac:dyDescent="0.25">
      <c r="A62" s="41">
        <v>0</v>
      </c>
      <c r="B62" s="41">
        <v>1</v>
      </c>
      <c r="C62" s="41">
        <v>2</v>
      </c>
      <c r="D62" s="42" t="s">
        <v>1617</v>
      </c>
      <c r="E62" s="42" t="s">
        <v>174</v>
      </c>
      <c r="F62" s="42" t="s">
        <v>1618</v>
      </c>
      <c r="G62" s="42" t="s">
        <v>1483</v>
      </c>
      <c r="H62" s="42" t="s">
        <v>354</v>
      </c>
      <c r="I62" s="41" t="s">
        <v>1619</v>
      </c>
      <c r="J62" s="41">
        <v>99</v>
      </c>
      <c r="K62" s="43" t="s">
        <v>962</v>
      </c>
      <c r="L62" s="43" t="s">
        <v>39</v>
      </c>
      <c r="M62" s="44" t="s">
        <v>39</v>
      </c>
      <c r="N62" s="45"/>
      <c r="O62" s="46"/>
      <c r="P62" s="46">
        <v>1</v>
      </c>
      <c r="Q62" s="42"/>
      <c r="R62" s="1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C62" s="1"/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  <c r="AJ62" s="1"/>
    </row>
    <row r="63" spans="1:36" s="2" customFormat="1" ht="14.25" customHeight="1" x14ac:dyDescent="0.25">
      <c r="A63" s="41">
        <v>0</v>
      </c>
      <c r="B63" s="41">
        <v>1</v>
      </c>
      <c r="C63" s="41">
        <v>2</v>
      </c>
      <c r="D63" s="42" t="s">
        <v>569</v>
      </c>
      <c r="E63" s="42" t="s">
        <v>579</v>
      </c>
      <c r="F63" s="42" t="s">
        <v>558</v>
      </c>
      <c r="G63" s="42" t="s">
        <v>262</v>
      </c>
      <c r="H63" s="42" t="s">
        <v>354</v>
      </c>
      <c r="I63" s="41" t="s">
        <v>559</v>
      </c>
      <c r="J63" s="41">
        <v>99</v>
      </c>
      <c r="K63" s="43" t="s">
        <v>956</v>
      </c>
      <c r="L63" s="43" t="s">
        <v>39</v>
      </c>
      <c r="M63" s="44" t="s">
        <v>39</v>
      </c>
      <c r="N63" s="45"/>
      <c r="O63" s="46"/>
      <c r="P63" s="46">
        <v>1</v>
      </c>
      <c r="Q63" s="42"/>
      <c r="R63" s="1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C63" s="1"/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  <c r="AJ63" s="1"/>
    </row>
    <row r="64" spans="1:36" s="2" customFormat="1" ht="14.25" customHeight="1" x14ac:dyDescent="0.25">
      <c r="A64" s="34">
        <v>0</v>
      </c>
      <c r="B64" s="34">
        <v>1</v>
      </c>
      <c r="C64" s="34">
        <v>2</v>
      </c>
      <c r="D64" s="35" t="s">
        <v>799</v>
      </c>
      <c r="E64" s="35" t="s">
        <v>174</v>
      </c>
      <c r="F64" s="35" t="s">
        <v>801</v>
      </c>
      <c r="G64" s="35" t="s">
        <v>39</v>
      </c>
      <c r="H64" s="35" t="s">
        <v>800</v>
      </c>
      <c r="I64" s="34" t="s">
        <v>802</v>
      </c>
      <c r="J64" s="34">
        <v>14</v>
      </c>
      <c r="K64" s="36" t="s">
        <v>964</v>
      </c>
      <c r="L64" s="36" t="s">
        <v>1706</v>
      </c>
      <c r="M64" s="37" t="s">
        <v>1379</v>
      </c>
      <c r="N64" s="37" t="s">
        <v>1749</v>
      </c>
      <c r="O64" s="38">
        <v>1</v>
      </c>
      <c r="P64" s="38"/>
      <c r="Q64" s="35"/>
      <c r="R64" s="1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C64" s="1"/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  <c r="AJ64" s="1"/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1515</v>
      </c>
      <c r="E66" s="48" t="s">
        <v>170</v>
      </c>
      <c r="F66" s="48" t="s">
        <v>1517</v>
      </c>
      <c r="G66" s="48" t="s">
        <v>1165</v>
      </c>
      <c r="H66" s="48" t="s">
        <v>354</v>
      </c>
      <c r="I66" s="47" t="s">
        <v>1516</v>
      </c>
      <c r="J66" s="47">
        <v>11</v>
      </c>
      <c r="K66" s="49" t="s">
        <v>722</v>
      </c>
      <c r="L66" s="49">
        <v>50</v>
      </c>
      <c r="M66" s="50" t="s">
        <v>39</v>
      </c>
      <c r="N66" s="50" t="s">
        <v>1809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1137</v>
      </c>
      <c r="E67" s="48" t="s">
        <v>175</v>
      </c>
      <c r="F67" s="48" t="s">
        <v>1140</v>
      </c>
      <c r="G67" s="48" t="s">
        <v>39</v>
      </c>
      <c r="H67" s="48" t="s">
        <v>1138</v>
      </c>
      <c r="I67" s="47" t="s">
        <v>1139</v>
      </c>
      <c r="J67" s="47">
        <v>12</v>
      </c>
      <c r="K67" s="49" t="s">
        <v>703</v>
      </c>
      <c r="L67" s="49">
        <v>50</v>
      </c>
      <c r="M67" s="50" t="s">
        <v>39</v>
      </c>
      <c r="N67" s="50" t="s">
        <v>1734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154</v>
      </c>
      <c r="E68" s="61" t="s">
        <v>171</v>
      </c>
      <c r="F68" s="61" t="s">
        <v>935</v>
      </c>
      <c r="G68" s="61" t="s">
        <v>186</v>
      </c>
      <c r="H68" s="61" t="s">
        <v>354</v>
      </c>
      <c r="I68" s="60" t="s">
        <v>501</v>
      </c>
      <c r="J68" s="60">
        <v>1</v>
      </c>
      <c r="K68" s="62" t="s">
        <v>960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1447</v>
      </c>
      <c r="E69" s="35" t="s">
        <v>175</v>
      </c>
      <c r="F69" s="35" t="s">
        <v>1444</v>
      </c>
      <c r="G69" s="35" t="s">
        <v>39</v>
      </c>
      <c r="H69" s="35" t="s">
        <v>354</v>
      </c>
      <c r="I69" s="34" t="s">
        <v>1445</v>
      </c>
      <c r="J69" s="34">
        <v>99</v>
      </c>
      <c r="K69" s="36" t="s">
        <v>702</v>
      </c>
      <c r="L69" s="36" t="s">
        <v>689</v>
      </c>
      <c r="M69" s="37" t="s">
        <v>1446</v>
      </c>
      <c r="N69" s="37" t="s">
        <v>1727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815</v>
      </c>
      <c r="E70" s="42" t="s">
        <v>175</v>
      </c>
      <c r="F70" s="42" t="s">
        <v>936</v>
      </c>
      <c r="G70" s="42" t="s">
        <v>213</v>
      </c>
      <c r="H70" s="42" t="s">
        <v>354</v>
      </c>
      <c r="I70" s="41" t="s">
        <v>816</v>
      </c>
      <c r="J70" s="41">
        <v>1</v>
      </c>
      <c r="K70" s="43" t="s">
        <v>956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1323</v>
      </c>
      <c r="E71" s="35" t="s">
        <v>175</v>
      </c>
      <c r="F71" s="35" t="s">
        <v>1126</v>
      </c>
      <c r="G71" s="35" t="s">
        <v>39</v>
      </c>
      <c r="H71" s="35" t="s">
        <v>1125</v>
      </c>
      <c r="I71" s="34" t="s">
        <v>1124</v>
      </c>
      <c r="J71" s="34">
        <v>15</v>
      </c>
      <c r="K71" s="36" t="s">
        <v>957</v>
      </c>
      <c r="L71" s="36">
        <v>75</v>
      </c>
      <c r="M71" s="37" t="s">
        <v>1388</v>
      </c>
      <c r="N71" s="37" t="s">
        <v>1733</v>
      </c>
      <c r="O71" s="38">
        <v>1</v>
      </c>
      <c r="P71" s="38">
        <v>1</v>
      </c>
      <c r="Q71" s="35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4">
        <v>0</v>
      </c>
      <c r="B72" s="34">
        <v>1</v>
      </c>
      <c r="C72" s="34">
        <v>2</v>
      </c>
      <c r="D72" s="35" t="s">
        <v>1047</v>
      </c>
      <c r="E72" s="35" t="s">
        <v>174</v>
      </c>
      <c r="F72" s="35" t="s">
        <v>1048</v>
      </c>
      <c r="G72" s="35" t="s">
        <v>628</v>
      </c>
      <c r="H72" s="35" t="s">
        <v>354</v>
      </c>
      <c r="I72" s="34" t="s">
        <v>1049</v>
      </c>
      <c r="J72" s="34">
        <v>99</v>
      </c>
      <c r="K72" s="36" t="s">
        <v>702</v>
      </c>
      <c r="L72" s="36" t="s">
        <v>39</v>
      </c>
      <c r="M72" s="37" t="s">
        <v>39</v>
      </c>
      <c r="N72" s="37" t="s">
        <v>1733</v>
      </c>
      <c r="O72" s="38">
        <v>1</v>
      </c>
      <c r="P72" s="38">
        <v>1</v>
      </c>
      <c r="Q72" s="35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1</v>
      </c>
      <c r="AE72" s="1">
        <f t="shared" si="18"/>
        <v>0</v>
      </c>
      <c r="AF72" s="1">
        <f t="shared" ref="AF72:AF136" si="35">+O72*P72*(1-A72)</f>
        <v>1</v>
      </c>
      <c r="AG72" s="1">
        <f t="shared" ref="AG72:AG136" si="36">O72*(1-P72)*(1-A72)</f>
        <v>0</v>
      </c>
      <c r="AH72" s="1">
        <f t="shared" ref="AH72:AH136" si="37">+P72*(1-A72)</f>
        <v>1</v>
      </c>
      <c r="AI72" s="1">
        <f t="shared" ref="AI72:AI136" si="38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584</v>
      </c>
      <c r="E73" s="48" t="s">
        <v>174</v>
      </c>
      <c r="F73" s="48" t="s">
        <v>586</v>
      </c>
      <c r="G73" s="48" t="s">
        <v>39</v>
      </c>
      <c r="H73" s="48" t="s">
        <v>587</v>
      </c>
      <c r="I73" s="47" t="s">
        <v>588</v>
      </c>
      <c r="J73" s="47">
        <v>12</v>
      </c>
      <c r="K73" s="49" t="s">
        <v>960</v>
      </c>
      <c r="L73" s="49" t="s">
        <v>1712</v>
      </c>
      <c r="M73" s="50" t="s">
        <v>1379</v>
      </c>
      <c r="N73" s="50" t="s">
        <v>1738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35"/>
        <v>0</v>
      </c>
      <c r="AG73" s="1">
        <f t="shared" si="36"/>
        <v>0</v>
      </c>
      <c r="AH73" s="1">
        <f t="shared" si="37"/>
        <v>0</v>
      </c>
      <c r="AI73" s="1">
        <f t="shared" si="38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1842</v>
      </c>
      <c r="E74" s="35" t="s">
        <v>174</v>
      </c>
      <c r="F74" s="35" t="s">
        <v>1843</v>
      </c>
      <c r="G74" s="35"/>
      <c r="H74" s="35" t="s">
        <v>1844</v>
      </c>
      <c r="I74" s="34" t="s">
        <v>1845</v>
      </c>
      <c r="J74" s="34">
        <v>14</v>
      </c>
      <c r="K74" s="36" t="s">
        <v>703</v>
      </c>
      <c r="L74" s="36">
        <v>75</v>
      </c>
      <c r="M74" s="37" t="s">
        <v>971</v>
      </c>
      <c r="N74" s="37" t="s">
        <v>1743</v>
      </c>
      <c r="O74" s="38">
        <v>1</v>
      </c>
      <c r="P74" s="38"/>
      <c r="Q74" s="35"/>
      <c r="S74" s="1">
        <f t="shared" ref="S74:S75" si="39">IF(J74=$S$7,1,0)</f>
        <v>0</v>
      </c>
      <c r="T74" s="1">
        <f t="shared" ref="T74:T75" si="40">IF(J74=$T$7,1,0)</f>
        <v>0</v>
      </c>
      <c r="U74" s="1">
        <f t="shared" ref="U74:U75" si="41">IF(J74=$U$7,1,0)</f>
        <v>0</v>
      </c>
      <c r="V74" s="1">
        <f t="shared" ref="V74:V75" si="42">IF(J74=$V$7,1,0)</f>
        <v>0</v>
      </c>
      <c r="W74" s="1">
        <f t="shared" ref="W74:W75" si="43">IF(J74=$W$7,1,0)</f>
        <v>0</v>
      </c>
      <c r="X74" s="1">
        <f t="shared" ref="X74:X75" si="44">IF(J74=$X$7,1,0)</f>
        <v>0</v>
      </c>
      <c r="Y74" s="1">
        <f t="shared" ref="Y74:Y75" si="45">IF(J74=$Y$7,1,0)</f>
        <v>0</v>
      </c>
      <c r="Z74" s="1">
        <f t="shared" ref="Z74:Z75" si="46">IF(J74=$Z$7,1,0)</f>
        <v>0</v>
      </c>
      <c r="AA74" s="1">
        <f t="shared" ref="AA74:AA75" si="47">IF(J74=$AA$7,1,0)</f>
        <v>0</v>
      </c>
      <c r="AB74" s="1">
        <f t="shared" ref="AB74:AB75" si="48">IF(J74=$AB$7,1,0)</f>
        <v>0</v>
      </c>
      <c r="AD74" s="1">
        <f t="shared" ref="AD74:AD75" si="49">+O74*P74</f>
        <v>0</v>
      </c>
      <c r="AE74" s="1">
        <f t="shared" ref="AE74:AE75" si="50">O74*(1-P74)</f>
        <v>1</v>
      </c>
      <c r="AF74" s="1">
        <f t="shared" si="35"/>
        <v>0</v>
      </c>
      <c r="AG74" s="1">
        <f t="shared" si="36"/>
        <v>1</v>
      </c>
      <c r="AH74" s="1">
        <f t="shared" si="37"/>
        <v>0</v>
      </c>
      <c r="AI74" s="1">
        <f t="shared" si="38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1724</v>
      </c>
      <c r="E75" s="35" t="s">
        <v>175</v>
      </c>
      <c r="F75" s="39" t="s">
        <v>1725</v>
      </c>
      <c r="G75" s="39" t="s">
        <v>207</v>
      </c>
      <c r="H75" s="39" t="s">
        <v>354</v>
      </c>
      <c r="I75" s="40" t="s">
        <v>1726</v>
      </c>
      <c r="J75" s="34"/>
      <c r="K75" s="36" t="s">
        <v>703</v>
      </c>
      <c r="L75" s="36"/>
      <c r="M75" s="37"/>
      <c r="N75" s="37" t="s">
        <v>1727</v>
      </c>
      <c r="O75" s="38">
        <v>1</v>
      </c>
      <c r="P75" s="38">
        <v>1</v>
      </c>
      <c r="Q75" s="39"/>
      <c r="S75" s="1">
        <f t="shared" si="39"/>
        <v>0</v>
      </c>
      <c r="T75" s="1">
        <f t="shared" si="40"/>
        <v>0</v>
      </c>
      <c r="U75" s="1">
        <f t="shared" si="41"/>
        <v>0</v>
      </c>
      <c r="V75" s="1">
        <f t="shared" si="42"/>
        <v>0</v>
      </c>
      <c r="W75" s="1">
        <f t="shared" si="43"/>
        <v>0</v>
      </c>
      <c r="X75" s="1">
        <f t="shared" si="44"/>
        <v>0</v>
      </c>
      <c r="Y75" s="1">
        <f t="shared" si="45"/>
        <v>0</v>
      </c>
      <c r="Z75" s="1">
        <f t="shared" si="46"/>
        <v>0</v>
      </c>
      <c r="AA75" s="1">
        <f t="shared" si="47"/>
        <v>0</v>
      </c>
      <c r="AB75" s="1">
        <f t="shared" si="48"/>
        <v>0</v>
      </c>
      <c r="AD75" s="1">
        <f t="shared" si="49"/>
        <v>1</v>
      </c>
      <c r="AE75" s="1">
        <f t="shared" si="50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1058</v>
      </c>
      <c r="E76" s="35" t="s">
        <v>175</v>
      </c>
      <c r="F76" s="39" t="s">
        <v>1097</v>
      </c>
      <c r="G76" s="39" t="s">
        <v>39</v>
      </c>
      <c r="H76" s="39" t="s">
        <v>1059</v>
      </c>
      <c r="I76" s="40" t="s">
        <v>1161</v>
      </c>
      <c r="J76" s="34">
        <v>13</v>
      </c>
      <c r="K76" s="36" t="s">
        <v>702</v>
      </c>
      <c r="L76" s="36" t="s">
        <v>689</v>
      </c>
      <c r="M76" s="37" t="s">
        <v>1441</v>
      </c>
      <c r="N76" s="37" t="s">
        <v>1749</v>
      </c>
      <c r="O76" s="38">
        <v>1</v>
      </c>
      <c r="P76" s="38"/>
      <c r="Q76" s="39"/>
      <c r="S76" s="1">
        <f t="shared" ref="S76:S141" si="51">IF(J76=$S$7,1,0)</f>
        <v>0</v>
      </c>
      <c r="T76" s="1">
        <f t="shared" ref="T76:T141" si="52">IF(J76=$T$7,1,0)</f>
        <v>0</v>
      </c>
      <c r="U76" s="1">
        <f t="shared" ref="U76:U141" si="53">IF(J76=$U$7,1,0)</f>
        <v>0</v>
      </c>
      <c r="V76" s="1">
        <f t="shared" ref="V76:V141" si="54">IF(J76=$V$7,1,0)</f>
        <v>0</v>
      </c>
      <c r="W76" s="1">
        <f t="shared" ref="W76:W141" si="55">IF(J76=$W$7,1,0)</f>
        <v>0</v>
      </c>
      <c r="X76" s="1">
        <f t="shared" ref="X76:X141" si="56">IF(J76=$X$7,1,0)</f>
        <v>0</v>
      </c>
      <c r="Y76" s="1">
        <f t="shared" ref="Y76:Y141" si="57">IF(J76=$Y$7,1,0)</f>
        <v>0</v>
      </c>
      <c r="Z76" s="1">
        <f t="shared" ref="Z76:Z141" si="58">IF(J76=$Z$7,1,0)</f>
        <v>0</v>
      </c>
      <c r="AA76" s="1">
        <f t="shared" ref="AA76:AA141" si="59">IF(J76=$AA$7,1,0)</f>
        <v>0</v>
      </c>
      <c r="AB76" s="1">
        <f t="shared" ref="AB76:AB141" si="60">IF(J76=$AB$7,1,0)</f>
        <v>0</v>
      </c>
      <c r="AD76" s="1">
        <f t="shared" ref="AD76:AD141" si="61">+O76*P76</f>
        <v>0</v>
      </c>
      <c r="AE76" s="1">
        <f t="shared" ref="AE76:AE141" si="62">O76*(1-P76)</f>
        <v>1</v>
      </c>
      <c r="AF76" s="1">
        <f t="shared" si="35"/>
        <v>0</v>
      </c>
      <c r="AG76" s="1">
        <f t="shared" si="36"/>
        <v>1</v>
      </c>
      <c r="AH76" s="1">
        <f t="shared" si="37"/>
        <v>0</v>
      </c>
      <c r="AI76" s="1">
        <f t="shared" si="38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1595</v>
      </c>
      <c r="E77" s="35" t="s">
        <v>175</v>
      </c>
      <c r="F77" s="39" t="s">
        <v>1596</v>
      </c>
      <c r="G77" s="39" t="s">
        <v>235</v>
      </c>
      <c r="H77" s="39" t="s">
        <v>354</v>
      </c>
      <c r="I77" s="40" t="s">
        <v>1597</v>
      </c>
      <c r="J77" s="34">
        <v>99</v>
      </c>
      <c r="K77" s="36" t="s">
        <v>956</v>
      </c>
      <c r="L77" s="36">
        <v>45</v>
      </c>
      <c r="M77" s="37" t="s">
        <v>39</v>
      </c>
      <c r="N77" s="37" t="s">
        <v>1789</v>
      </c>
      <c r="O77" s="38">
        <v>1</v>
      </c>
      <c r="P77" s="38"/>
      <c r="Q77" s="39"/>
      <c r="S77" s="1">
        <f t="shared" si="51"/>
        <v>0</v>
      </c>
      <c r="T77" s="1">
        <f t="shared" si="52"/>
        <v>0</v>
      </c>
      <c r="U77" s="1">
        <f t="shared" si="53"/>
        <v>0</v>
      </c>
      <c r="V77" s="1">
        <f t="shared" si="54"/>
        <v>0</v>
      </c>
      <c r="W77" s="1">
        <f t="shared" si="55"/>
        <v>0</v>
      </c>
      <c r="X77" s="1">
        <f t="shared" si="56"/>
        <v>0</v>
      </c>
      <c r="Y77" s="1">
        <f t="shared" si="57"/>
        <v>0</v>
      </c>
      <c r="Z77" s="1">
        <f t="shared" si="58"/>
        <v>0</v>
      </c>
      <c r="AA77" s="1">
        <f t="shared" si="59"/>
        <v>0</v>
      </c>
      <c r="AB77" s="1">
        <f t="shared" si="60"/>
        <v>0</v>
      </c>
      <c r="AD77" s="1">
        <f t="shared" si="61"/>
        <v>0</v>
      </c>
      <c r="AE77" s="1">
        <f t="shared" si="62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1325</v>
      </c>
      <c r="E78" s="42" t="s">
        <v>174</v>
      </c>
      <c r="F78" s="42" t="s">
        <v>1268</v>
      </c>
      <c r="G78" s="42" t="s">
        <v>207</v>
      </c>
      <c r="H78" s="42" t="s">
        <v>354</v>
      </c>
      <c r="I78" s="41" t="s">
        <v>1269</v>
      </c>
      <c r="J78" s="41">
        <v>99</v>
      </c>
      <c r="K78" s="43" t="s">
        <v>962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51"/>
        <v>0</v>
      </c>
      <c r="T78" s="1">
        <f t="shared" si="52"/>
        <v>0</v>
      </c>
      <c r="U78" s="1">
        <f t="shared" si="53"/>
        <v>0</v>
      </c>
      <c r="V78" s="1">
        <f t="shared" si="54"/>
        <v>0</v>
      </c>
      <c r="W78" s="1">
        <f t="shared" si="55"/>
        <v>0</v>
      </c>
      <c r="X78" s="1">
        <f t="shared" si="56"/>
        <v>0</v>
      </c>
      <c r="Y78" s="1">
        <f t="shared" si="57"/>
        <v>0</v>
      </c>
      <c r="Z78" s="1">
        <f t="shared" si="58"/>
        <v>0</v>
      </c>
      <c r="AA78" s="1">
        <f t="shared" si="59"/>
        <v>0</v>
      </c>
      <c r="AB78" s="1">
        <f t="shared" si="60"/>
        <v>0</v>
      </c>
      <c r="AD78" s="1">
        <f t="shared" si="61"/>
        <v>0</v>
      </c>
      <c r="AE78" s="1">
        <f t="shared" si="62"/>
        <v>0</v>
      </c>
      <c r="AF78" s="1">
        <f t="shared" si="35"/>
        <v>0</v>
      </c>
      <c r="AG78" s="1">
        <f t="shared" si="36"/>
        <v>0</v>
      </c>
      <c r="AH78" s="1">
        <f t="shared" si="37"/>
        <v>1</v>
      </c>
      <c r="AI78" s="1">
        <f t="shared" si="38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1799</v>
      </c>
      <c r="E79" s="35" t="s">
        <v>170</v>
      </c>
      <c r="F79" s="39" t="s">
        <v>1797</v>
      </c>
      <c r="G79" s="39" t="s">
        <v>232</v>
      </c>
      <c r="H79" s="39" t="s">
        <v>354</v>
      </c>
      <c r="I79" s="40" t="s">
        <v>1798</v>
      </c>
      <c r="J79" s="34">
        <v>99</v>
      </c>
      <c r="K79" s="36" t="s">
        <v>703</v>
      </c>
      <c r="L79" s="36"/>
      <c r="M79" s="37"/>
      <c r="N79" s="37" t="s">
        <v>1727</v>
      </c>
      <c r="O79" s="38">
        <v>1</v>
      </c>
      <c r="P79" s="38">
        <v>1</v>
      </c>
      <c r="Q79" s="39"/>
      <c r="S79" s="1">
        <f t="shared" si="51"/>
        <v>0</v>
      </c>
      <c r="T79" s="1">
        <f t="shared" si="52"/>
        <v>0</v>
      </c>
      <c r="U79" s="1">
        <f t="shared" si="53"/>
        <v>0</v>
      </c>
      <c r="V79" s="1">
        <f t="shared" si="54"/>
        <v>0</v>
      </c>
      <c r="W79" s="1">
        <f t="shared" si="55"/>
        <v>0</v>
      </c>
      <c r="X79" s="1">
        <f t="shared" si="56"/>
        <v>0</v>
      </c>
      <c r="Y79" s="1">
        <f t="shared" si="57"/>
        <v>0</v>
      </c>
      <c r="Z79" s="1">
        <f t="shared" si="58"/>
        <v>0</v>
      </c>
      <c r="AA79" s="1">
        <f t="shared" si="59"/>
        <v>0</v>
      </c>
      <c r="AB79" s="1">
        <f t="shared" si="60"/>
        <v>0</v>
      </c>
      <c r="AD79" s="1">
        <f t="shared" si="61"/>
        <v>1</v>
      </c>
      <c r="AE79" s="1">
        <f t="shared" si="62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1158</v>
      </c>
      <c r="E80" s="35" t="s">
        <v>170</v>
      </c>
      <c r="F80" s="39" t="s">
        <v>1159</v>
      </c>
      <c r="G80" s="39" t="s">
        <v>39</v>
      </c>
      <c r="H80" s="39" t="s">
        <v>1359</v>
      </c>
      <c r="I80" s="40" t="s">
        <v>1160</v>
      </c>
      <c r="J80" s="34">
        <v>11</v>
      </c>
      <c r="K80" s="36" t="s">
        <v>702</v>
      </c>
      <c r="L80" s="36" t="s">
        <v>1699</v>
      </c>
      <c r="M80" s="37" t="s">
        <v>1389</v>
      </c>
      <c r="N80" s="37" t="s">
        <v>1749</v>
      </c>
      <c r="O80" s="38">
        <v>1</v>
      </c>
      <c r="P80" s="38"/>
      <c r="Q80" s="39"/>
      <c r="S80" s="1">
        <f t="shared" si="51"/>
        <v>0</v>
      </c>
      <c r="T80" s="1">
        <f t="shared" si="52"/>
        <v>0</v>
      </c>
      <c r="U80" s="1">
        <f t="shared" si="53"/>
        <v>0</v>
      </c>
      <c r="V80" s="1">
        <f t="shared" si="54"/>
        <v>0</v>
      </c>
      <c r="W80" s="1">
        <f t="shared" si="55"/>
        <v>0</v>
      </c>
      <c r="X80" s="1">
        <f t="shared" si="56"/>
        <v>0</v>
      </c>
      <c r="Y80" s="1">
        <f t="shared" si="57"/>
        <v>0</v>
      </c>
      <c r="Z80" s="1">
        <f t="shared" si="58"/>
        <v>0</v>
      </c>
      <c r="AA80" s="1">
        <f t="shared" si="59"/>
        <v>0</v>
      </c>
      <c r="AB80" s="1">
        <f t="shared" si="60"/>
        <v>0</v>
      </c>
      <c r="AD80" s="1">
        <f t="shared" si="61"/>
        <v>0</v>
      </c>
      <c r="AE80" s="1">
        <f t="shared" si="62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170</v>
      </c>
      <c r="F81" s="16" t="s">
        <v>576</v>
      </c>
      <c r="G81" s="16" t="s">
        <v>39</v>
      </c>
      <c r="H81" s="16" t="s">
        <v>373</v>
      </c>
      <c r="I81" s="15" t="s">
        <v>471</v>
      </c>
      <c r="J81" s="15">
        <v>18</v>
      </c>
      <c r="K81" s="10" t="s">
        <v>703</v>
      </c>
      <c r="L81" s="10" t="s">
        <v>695</v>
      </c>
      <c r="M81" s="19" t="s">
        <v>691</v>
      </c>
      <c r="N81" s="17"/>
      <c r="Q81" s="20" t="s">
        <v>1882</v>
      </c>
      <c r="S81" s="1">
        <f t="shared" si="51"/>
        <v>0</v>
      </c>
      <c r="T81" s="1">
        <f t="shared" si="52"/>
        <v>0</v>
      </c>
      <c r="U81" s="1">
        <f t="shared" si="53"/>
        <v>0</v>
      </c>
      <c r="V81" s="1">
        <f t="shared" si="54"/>
        <v>0</v>
      </c>
      <c r="W81" s="1">
        <f t="shared" si="55"/>
        <v>0</v>
      </c>
      <c r="X81" s="1">
        <f t="shared" si="56"/>
        <v>0</v>
      </c>
      <c r="Y81" s="1">
        <f t="shared" si="57"/>
        <v>0</v>
      </c>
      <c r="Z81" s="1">
        <f t="shared" si="58"/>
        <v>0</v>
      </c>
      <c r="AA81" s="1">
        <f t="shared" si="59"/>
        <v>0</v>
      </c>
      <c r="AB81" s="1">
        <f t="shared" si="60"/>
        <v>0</v>
      </c>
      <c r="AD81" s="1">
        <f t="shared" si="61"/>
        <v>0</v>
      </c>
      <c r="AE81" s="1">
        <f t="shared" si="62"/>
        <v>0</v>
      </c>
      <c r="AF81" s="1">
        <f t="shared" si="35"/>
        <v>0</v>
      </c>
      <c r="AG81" s="1">
        <f t="shared" si="36"/>
        <v>0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1010</v>
      </c>
      <c r="E82" s="35" t="s">
        <v>172</v>
      </c>
      <c r="F82" s="39" t="s">
        <v>1011</v>
      </c>
      <c r="G82" s="39" t="s">
        <v>1012</v>
      </c>
      <c r="H82" s="39" t="s">
        <v>354</v>
      </c>
      <c r="I82" s="40" t="s">
        <v>1013</v>
      </c>
      <c r="J82" s="34">
        <v>99</v>
      </c>
      <c r="K82" s="36" t="s">
        <v>956</v>
      </c>
      <c r="L82" s="36" t="s">
        <v>39</v>
      </c>
      <c r="M82" s="37" t="s">
        <v>39</v>
      </c>
      <c r="N82" s="37" t="s">
        <v>1733</v>
      </c>
      <c r="O82" s="38">
        <v>1</v>
      </c>
      <c r="P82" s="38">
        <v>1</v>
      </c>
      <c r="Q82" s="39"/>
      <c r="S82" s="1">
        <f t="shared" si="51"/>
        <v>0</v>
      </c>
      <c r="T82" s="1">
        <f t="shared" si="52"/>
        <v>0</v>
      </c>
      <c r="U82" s="1">
        <f t="shared" si="53"/>
        <v>0</v>
      </c>
      <c r="V82" s="1">
        <f t="shared" si="54"/>
        <v>0</v>
      </c>
      <c r="W82" s="1">
        <f t="shared" si="55"/>
        <v>0</v>
      </c>
      <c r="X82" s="1">
        <f t="shared" si="56"/>
        <v>0</v>
      </c>
      <c r="Y82" s="1">
        <f t="shared" si="57"/>
        <v>0</v>
      </c>
      <c r="Z82" s="1">
        <f t="shared" si="58"/>
        <v>0</v>
      </c>
      <c r="AA82" s="1">
        <f t="shared" si="59"/>
        <v>0</v>
      </c>
      <c r="AB82" s="1">
        <f t="shared" si="60"/>
        <v>0</v>
      </c>
      <c r="AD82" s="1">
        <f t="shared" si="61"/>
        <v>1</v>
      </c>
      <c r="AE82" s="1">
        <f t="shared" si="62"/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175</v>
      </c>
      <c r="F83" s="39" t="s">
        <v>344</v>
      </c>
      <c r="G83" s="39" t="s">
        <v>345</v>
      </c>
      <c r="H83" s="39" t="s">
        <v>354</v>
      </c>
      <c r="I83" s="40" t="s">
        <v>491</v>
      </c>
      <c r="J83" s="34">
        <v>6</v>
      </c>
      <c r="K83" s="36" t="s">
        <v>957</v>
      </c>
      <c r="L83" s="36" t="s">
        <v>687</v>
      </c>
      <c r="M83" s="37" t="s">
        <v>691</v>
      </c>
      <c r="N83" s="37" t="s">
        <v>1743</v>
      </c>
      <c r="O83" s="38">
        <v>1</v>
      </c>
      <c r="P83" s="38"/>
      <c r="Q83" s="39"/>
      <c r="S83" s="1">
        <f t="shared" si="51"/>
        <v>0</v>
      </c>
      <c r="T83" s="1">
        <f t="shared" si="52"/>
        <v>0</v>
      </c>
      <c r="U83" s="1">
        <f t="shared" si="53"/>
        <v>0</v>
      </c>
      <c r="V83" s="1">
        <f t="shared" si="54"/>
        <v>0</v>
      </c>
      <c r="W83" s="1">
        <f t="shared" si="55"/>
        <v>0</v>
      </c>
      <c r="X83" s="1">
        <f t="shared" si="56"/>
        <v>1</v>
      </c>
      <c r="Y83" s="1">
        <f t="shared" si="57"/>
        <v>0</v>
      </c>
      <c r="Z83" s="1">
        <f t="shared" si="58"/>
        <v>0</v>
      </c>
      <c r="AA83" s="1">
        <f t="shared" si="59"/>
        <v>0</v>
      </c>
      <c r="AB83" s="1">
        <f t="shared" si="60"/>
        <v>0</v>
      </c>
      <c r="AD83" s="1">
        <f t="shared" si="61"/>
        <v>0</v>
      </c>
      <c r="AE83" s="1">
        <f t="shared" si="62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1786</v>
      </c>
      <c r="E84" s="16" t="s">
        <v>172</v>
      </c>
      <c r="F84" s="16" t="s">
        <v>1788</v>
      </c>
      <c r="G84" s="16"/>
      <c r="H84" s="16" t="s">
        <v>364</v>
      </c>
      <c r="I84" s="15" t="s">
        <v>1787</v>
      </c>
      <c r="J84" s="15">
        <v>17</v>
      </c>
      <c r="K84" s="10" t="s">
        <v>703</v>
      </c>
      <c r="L84" s="10" t="s">
        <v>1742</v>
      </c>
      <c r="M84" s="19" t="s">
        <v>691</v>
      </c>
      <c r="N84" s="17"/>
      <c r="Q84" s="20" t="s">
        <v>1914</v>
      </c>
      <c r="S84" s="1">
        <f t="shared" si="51"/>
        <v>0</v>
      </c>
      <c r="T84" s="1">
        <f t="shared" si="52"/>
        <v>0</v>
      </c>
      <c r="U84" s="1">
        <f t="shared" si="53"/>
        <v>0</v>
      </c>
      <c r="V84" s="1">
        <f t="shared" si="54"/>
        <v>0</v>
      </c>
      <c r="W84" s="1">
        <f t="shared" si="55"/>
        <v>0</v>
      </c>
      <c r="X84" s="1">
        <f t="shared" si="56"/>
        <v>0</v>
      </c>
      <c r="Y84" s="1">
        <f t="shared" si="57"/>
        <v>0</v>
      </c>
      <c r="Z84" s="1">
        <f t="shared" si="58"/>
        <v>0</v>
      </c>
      <c r="AA84" s="1">
        <f t="shared" si="59"/>
        <v>0</v>
      </c>
      <c r="AB84" s="1">
        <f t="shared" si="60"/>
        <v>0</v>
      </c>
      <c r="AD84" s="1">
        <f t="shared" si="61"/>
        <v>0</v>
      </c>
      <c r="AE84" s="1">
        <f t="shared" si="62"/>
        <v>0</v>
      </c>
      <c r="AF84" s="1">
        <f t="shared" si="35"/>
        <v>0</v>
      </c>
      <c r="AG84" s="1">
        <f t="shared" si="36"/>
        <v>0</v>
      </c>
      <c r="AH84" s="1">
        <f t="shared" si="37"/>
        <v>0</v>
      </c>
      <c r="AI84" s="1">
        <f t="shared" si="38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1810</v>
      </c>
      <c r="E85" s="35" t="s">
        <v>172</v>
      </c>
      <c r="F85" s="35" t="s">
        <v>1811</v>
      </c>
      <c r="G85" s="35" t="s">
        <v>1812</v>
      </c>
      <c r="H85" s="35" t="s">
        <v>354</v>
      </c>
      <c r="I85" s="34" t="s">
        <v>1813</v>
      </c>
      <c r="J85" s="34">
        <v>1</v>
      </c>
      <c r="K85" s="36" t="s">
        <v>703</v>
      </c>
      <c r="L85" s="36">
        <v>60</v>
      </c>
      <c r="M85" s="37" t="s">
        <v>1814</v>
      </c>
      <c r="N85" s="37" t="s">
        <v>1849</v>
      </c>
      <c r="O85" s="38">
        <v>1</v>
      </c>
      <c r="P85" s="38"/>
      <c r="Q85" s="35"/>
      <c r="S85" s="1">
        <f t="shared" si="51"/>
        <v>1</v>
      </c>
      <c r="T85" s="1">
        <f t="shared" si="52"/>
        <v>0</v>
      </c>
      <c r="U85" s="1">
        <f t="shared" si="53"/>
        <v>0</v>
      </c>
      <c r="V85" s="1">
        <f t="shared" si="54"/>
        <v>0</v>
      </c>
      <c r="W85" s="1">
        <f t="shared" si="55"/>
        <v>0</v>
      </c>
      <c r="X85" s="1">
        <f t="shared" si="56"/>
        <v>0</v>
      </c>
      <c r="Y85" s="1">
        <f t="shared" si="57"/>
        <v>0</v>
      </c>
      <c r="Z85" s="1">
        <f t="shared" si="58"/>
        <v>0</v>
      </c>
      <c r="AA85" s="1">
        <f t="shared" si="59"/>
        <v>0</v>
      </c>
      <c r="AB85" s="1">
        <f t="shared" si="60"/>
        <v>0</v>
      </c>
      <c r="AD85" s="1">
        <f t="shared" si="61"/>
        <v>0</v>
      </c>
      <c r="AE85" s="1">
        <f t="shared" si="62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1598</v>
      </c>
      <c r="E86" s="35" t="s">
        <v>175</v>
      </c>
      <c r="F86" s="39" t="s">
        <v>319</v>
      </c>
      <c r="G86" s="39" t="s">
        <v>269</v>
      </c>
      <c r="H86" s="39" t="s">
        <v>354</v>
      </c>
      <c r="I86" s="40" t="s">
        <v>466</v>
      </c>
      <c r="J86" s="34">
        <v>8</v>
      </c>
      <c r="K86" s="36" t="s">
        <v>702</v>
      </c>
      <c r="L86" s="36" t="s">
        <v>689</v>
      </c>
      <c r="M86" s="37" t="s">
        <v>691</v>
      </c>
      <c r="N86" s="37" t="s">
        <v>1755</v>
      </c>
      <c r="O86" s="38">
        <v>1</v>
      </c>
      <c r="P86" s="38"/>
      <c r="Q86" s="39"/>
      <c r="S86" s="1">
        <f t="shared" si="51"/>
        <v>0</v>
      </c>
      <c r="T86" s="1">
        <f t="shared" si="52"/>
        <v>0</v>
      </c>
      <c r="U86" s="1">
        <f t="shared" si="53"/>
        <v>0</v>
      </c>
      <c r="V86" s="1">
        <f t="shared" si="54"/>
        <v>0</v>
      </c>
      <c r="W86" s="1">
        <f t="shared" si="55"/>
        <v>0</v>
      </c>
      <c r="X86" s="1">
        <f t="shared" si="56"/>
        <v>0</v>
      </c>
      <c r="Y86" s="1">
        <f t="shared" si="57"/>
        <v>0</v>
      </c>
      <c r="Z86" s="1">
        <f t="shared" si="58"/>
        <v>1</v>
      </c>
      <c r="AA86" s="1">
        <f t="shared" si="59"/>
        <v>0</v>
      </c>
      <c r="AB86" s="1">
        <f t="shared" si="60"/>
        <v>0</v>
      </c>
      <c r="AD86" s="1">
        <f t="shared" si="61"/>
        <v>0</v>
      </c>
      <c r="AE86" s="1">
        <f t="shared" si="62"/>
        <v>1</v>
      </c>
      <c r="AF86" s="1">
        <f t="shared" si="35"/>
        <v>0</v>
      </c>
      <c r="AG86" s="1">
        <f t="shared" si="36"/>
        <v>1</v>
      </c>
      <c r="AH86" s="1">
        <f t="shared" si="37"/>
        <v>0</v>
      </c>
      <c r="AI86" s="1">
        <f t="shared" si="38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172</v>
      </c>
      <c r="F87" s="57" t="s">
        <v>1880</v>
      </c>
      <c r="G87" s="42" t="s">
        <v>240</v>
      </c>
      <c r="H87" s="42" t="s">
        <v>354</v>
      </c>
      <c r="I87" s="41" t="s">
        <v>484</v>
      </c>
      <c r="J87" s="41">
        <v>1</v>
      </c>
      <c r="K87" s="43" t="s">
        <v>956</v>
      </c>
      <c r="L87" s="43" t="s">
        <v>689</v>
      </c>
      <c r="M87" s="44" t="s">
        <v>691</v>
      </c>
      <c r="N87" s="45"/>
      <c r="O87" s="46"/>
      <c r="P87" s="46">
        <v>1</v>
      </c>
      <c r="Q87" s="42"/>
      <c r="S87" s="1">
        <f t="shared" si="51"/>
        <v>1</v>
      </c>
      <c r="T87" s="1">
        <f t="shared" si="52"/>
        <v>0</v>
      </c>
      <c r="U87" s="1">
        <f t="shared" si="53"/>
        <v>0</v>
      </c>
      <c r="V87" s="1">
        <f t="shared" si="54"/>
        <v>0</v>
      </c>
      <c r="W87" s="1">
        <f t="shared" si="55"/>
        <v>0</v>
      </c>
      <c r="X87" s="1">
        <f t="shared" si="56"/>
        <v>0</v>
      </c>
      <c r="Y87" s="1">
        <f t="shared" si="57"/>
        <v>0</v>
      </c>
      <c r="Z87" s="1">
        <f t="shared" si="58"/>
        <v>0</v>
      </c>
      <c r="AA87" s="1">
        <f t="shared" si="59"/>
        <v>0</v>
      </c>
      <c r="AB87" s="1">
        <f t="shared" si="60"/>
        <v>0</v>
      </c>
      <c r="AD87" s="1">
        <f t="shared" si="61"/>
        <v>0</v>
      </c>
      <c r="AE87" s="1">
        <f t="shared" si="62"/>
        <v>0</v>
      </c>
      <c r="AF87" s="1">
        <f t="shared" si="35"/>
        <v>0</v>
      </c>
      <c r="AG87" s="1">
        <f t="shared" si="36"/>
        <v>0</v>
      </c>
      <c r="AH87" s="1">
        <f t="shared" si="37"/>
        <v>1</v>
      </c>
      <c r="AI87" s="1">
        <f t="shared" si="38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790</v>
      </c>
      <c r="E88" s="48" t="s">
        <v>610</v>
      </c>
      <c r="F88" s="48" t="s">
        <v>792</v>
      </c>
      <c r="G88" s="48" t="s">
        <v>214</v>
      </c>
      <c r="H88" s="48" t="s">
        <v>354</v>
      </c>
      <c r="I88" s="47" t="s">
        <v>791</v>
      </c>
      <c r="J88" s="47">
        <v>99</v>
      </c>
      <c r="K88" s="49" t="s">
        <v>722</v>
      </c>
      <c r="L88" s="49" t="s">
        <v>1699</v>
      </c>
      <c r="M88" s="50" t="s">
        <v>1390</v>
      </c>
      <c r="N88" s="50" t="s">
        <v>1747</v>
      </c>
      <c r="O88" s="51"/>
      <c r="P88" s="51"/>
      <c r="Q88" s="48"/>
      <c r="S88" s="1">
        <f t="shared" si="51"/>
        <v>0</v>
      </c>
      <c r="T88" s="1">
        <f t="shared" si="52"/>
        <v>0</v>
      </c>
      <c r="U88" s="1">
        <f t="shared" si="53"/>
        <v>0</v>
      </c>
      <c r="V88" s="1">
        <f t="shared" si="54"/>
        <v>0</v>
      </c>
      <c r="W88" s="1">
        <f t="shared" si="55"/>
        <v>0</v>
      </c>
      <c r="X88" s="1">
        <f t="shared" si="56"/>
        <v>0</v>
      </c>
      <c r="Y88" s="1">
        <f t="shared" si="57"/>
        <v>0</v>
      </c>
      <c r="Z88" s="1">
        <f t="shared" si="58"/>
        <v>0</v>
      </c>
      <c r="AA88" s="1">
        <f t="shared" si="59"/>
        <v>0</v>
      </c>
      <c r="AB88" s="1">
        <f t="shared" si="60"/>
        <v>0</v>
      </c>
      <c r="AD88" s="1">
        <f t="shared" si="61"/>
        <v>0</v>
      </c>
      <c r="AE88" s="1">
        <f t="shared" si="62"/>
        <v>0</v>
      </c>
      <c r="AF88" s="1">
        <f t="shared" si="35"/>
        <v>0</v>
      </c>
      <c r="AG88" s="1">
        <f t="shared" si="36"/>
        <v>0</v>
      </c>
      <c r="AH88" s="1">
        <f t="shared" si="37"/>
        <v>0</v>
      </c>
      <c r="AI88" s="1">
        <f t="shared" si="38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172</v>
      </c>
      <c r="F89" s="48" t="s">
        <v>267</v>
      </c>
      <c r="G89" s="48" t="s">
        <v>263</v>
      </c>
      <c r="H89" s="48" t="s">
        <v>354</v>
      </c>
      <c r="I89" s="47" t="s">
        <v>424</v>
      </c>
      <c r="J89" s="47">
        <v>1</v>
      </c>
      <c r="K89" s="49" t="s">
        <v>956</v>
      </c>
      <c r="L89" s="49" t="s">
        <v>1699</v>
      </c>
      <c r="M89" s="50" t="s">
        <v>970</v>
      </c>
      <c r="N89" s="50" t="s">
        <v>1735</v>
      </c>
      <c r="O89" s="51"/>
      <c r="P89" s="51"/>
      <c r="Q89" s="48"/>
      <c r="S89" s="1">
        <f t="shared" si="51"/>
        <v>1</v>
      </c>
      <c r="T89" s="1">
        <f t="shared" si="52"/>
        <v>0</v>
      </c>
      <c r="U89" s="1">
        <f t="shared" si="53"/>
        <v>0</v>
      </c>
      <c r="V89" s="1">
        <f t="shared" si="54"/>
        <v>0</v>
      </c>
      <c r="W89" s="1">
        <f t="shared" si="55"/>
        <v>0</v>
      </c>
      <c r="X89" s="1">
        <f t="shared" si="56"/>
        <v>0</v>
      </c>
      <c r="Y89" s="1">
        <f t="shared" si="57"/>
        <v>0</v>
      </c>
      <c r="Z89" s="1">
        <f t="shared" si="58"/>
        <v>0</v>
      </c>
      <c r="AA89" s="1">
        <f t="shared" si="59"/>
        <v>0</v>
      </c>
      <c r="AB89" s="1">
        <f t="shared" si="60"/>
        <v>0</v>
      </c>
      <c r="AD89" s="1">
        <f t="shared" si="61"/>
        <v>0</v>
      </c>
      <c r="AE89" s="1">
        <f t="shared" si="62"/>
        <v>0</v>
      </c>
      <c r="AF89" s="1">
        <f t="shared" si="35"/>
        <v>0</v>
      </c>
      <c r="AG89" s="1">
        <f t="shared" si="36"/>
        <v>0</v>
      </c>
      <c r="AH89" s="1">
        <f t="shared" si="37"/>
        <v>0</v>
      </c>
      <c r="AI89" s="1">
        <f t="shared" si="38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1952</v>
      </c>
      <c r="E90" s="20" t="s">
        <v>1983</v>
      </c>
      <c r="F90" s="20" t="s">
        <v>1984</v>
      </c>
      <c r="G90" s="20"/>
      <c r="H90" s="20" t="s">
        <v>1980</v>
      </c>
      <c r="I90" s="21" t="s">
        <v>1985</v>
      </c>
      <c r="J90" s="15">
        <v>18</v>
      </c>
      <c r="K90" s="10" t="s">
        <v>703</v>
      </c>
      <c r="L90" s="10" t="s">
        <v>1742</v>
      </c>
      <c r="M90" s="19" t="s">
        <v>971</v>
      </c>
      <c r="N90" s="17"/>
      <c r="Q90" s="20" t="s">
        <v>1986</v>
      </c>
      <c r="S90" s="1">
        <f t="shared" si="51"/>
        <v>0</v>
      </c>
      <c r="T90" s="1">
        <f t="shared" si="52"/>
        <v>0</v>
      </c>
      <c r="U90" s="1">
        <f t="shared" si="53"/>
        <v>0</v>
      </c>
      <c r="V90" s="1">
        <f t="shared" si="54"/>
        <v>0</v>
      </c>
      <c r="W90" s="1">
        <f t="shared" si="55"/>
        <v>0</v>
      </c>
      <c r="X90" s="1">
        <f t="shared" si="56"/>
        <v>0</v>
      </c>
      <c r="Y90" s="1">
        <f t="shared" si="57"/>
        <v>0</v>
      </c>
      <c r="Z90" s="1">
        <f t="shared" si="58"/>
        <v>0</v>
      </c>
      <c r="AA90" s="1">
        <f t="shared" si="59"/>
        <v>0</v>
      </c>
      <c r="AB90" s="1">
        <f t="shared" si="60"/>
        <v>0</v>
      </c>
      <c r="AD90" s="1">
        <f t="shared" si="61"/>
        <v>0</v>
      </c>
      <c r="AE90" s="1">
        <f t="shared" si="62"/>
        <v>0</v>
      </c>
      <c r="AF90" s="1">
        <f t="shared" si="35"/>
        <v>0</v>
      </c>
      <c r="AG90" s="1">
        <f t="shared" si="36"/>
        <v>0</v>
      </c>
      <c r="AH90" s="1">
        <f t="shared" si="37"/>
        <v>0</v>
      </c>
      <c r="AI90" s="1">
        <f t="shared" si="38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1525</v>
      </c>
      <c r="E91" s="35" t="s">
        <v>176</v>
      </c>
      <c r="F91" s="39" t="s">
        <v>1526</v>
      </c>
      <c r="G91" s="39" t="s">
        <v>39</v>
      </c>
      <c r="H91" s="39" t="s">
        <v>906</v>
      </c>
      <c r="I91" s="40" t="s">
        <v>1527</v>
      </c>
      <c r="J91" s="34">
        <v>11</v>
      </c>
      <c r="K91" s="36" t="s">
        <v>964</v>
      </c>
      <c r="L91" s="36" t="s">
        <v>39</v>
      </c>
      <c r="M91" s="37" t="s">
        <v>39</v>
      </c>
      <c r="N91" s="37" t="s">
        <v>1733</v>
      </c>
      <c r="O91" s="38">
        <v>1</v>
      </c>
      <c r="P91" s="38">
        <v>1</v>
      </c>
      <c r="Q91" s="39"/>
      <c r="S91" s="1">
        <f t="shared" ref="S91:S93" si="63">IF(J91=$S$7,1,0)</f>
        <v>0</v>
      </c>
      <c r="T91" s="1">
        <f t="shared" ref="T91:T93" si="64">IF(J91=$T$7,1,0)</f>
        <v>0</v>
      </c>
      <c r="U91" s="1">
        <f t="shared" ref="U91:U93" si="65">IF(J91=$U$7,1,0)</f>
        <v>0</v>
      </c>
      <c r="V91" s="1">
        <f t="shared" ref="V91:V93" si="66">IF(J91=$V$7,1,0)</f>
        <v>0</v>
      </c>
      <c r="W91" s="1">
        <f t="shared" ref="W91:W93" si="67">IF(J91=$W$7,1,0)</f>
        <v>0</v>
      </c>
      <c r="X91" s="1">
        <f t="shared" ref="X91:X93" si="68">IF(J91=$X$7,1,0)</f>
        <v>0</v>
      </c>
      <c r="Y91" s="1">
        <f t="shared" ref="Y91:Y93" si="69">IF(J91=$Y$7,1,0)</f>
        <v>0</v>
      </c>
      <c r="Z91" s="1">
        <f t="shared" ref="Z91:Z93" si="70">IF(J91=$Z$7,1,0)</f>
        <v>0</v>
      </c>
      <c r="AA91" s="1">
        <f t="shared" ref="AA91:AA93" si="71">IF(J91=$AA$7,1,0)</f>
        <v>0</v>
      </c>
      <c r="AB91" s="1">
        <f t="shared" ref="AB91:AB93" si="72">IF(J91=$AB$7,1,0)</f>
        <v>0</v>
      </c>
      <c r="AD91" s="1">
        <f t="shared" ref="AD91:AD93" si="73">+O91*P91</f>
        <v>1</v>
      </c>
      <c r="AE91" s="1">
        <f t="shared" ref="AE91:AE93" si="74">O91*(1-P91)</f>
        <v>0</v>
      </c>
      <c r="AF91" s="1">
        <f t="shared" si="35"/>
        <v>1</v>
      </c>
      <c r="AG91" s="1">
        <f t="shared" si="36"/>
        <v>0</v>
      </c>
      <c r="AH91" s="1">
        <f t="shared" si="37"/>
        <v>1</v>
      </c>
      <c r="AI91" s="1">
        <f t="shared" si="38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1854</v>
      </c>
      <c r="E92" s="39" t="s">
        <v>172</v>
      </c>
      <c r="F92" s="39" t="s">
        <v>1855</v>
      </c>
      <c r="G92" s="39"/>
      <c r="H92" s="39" t="s">
        <v>1856</v>
      </c>
      <c r="I92" s="40" t="s">
        <v>1857</v>
      </c>
      <c r="J92" s="34">
        <v>15</v>
      </c>
      <c r="K92" s="36" t="s">
        <v>703</v>
      </c>
      <c r="L92" s="36"/>
      <c r="M92" s="37"/>
      <c r="N92" s="37" t="s">
        <v>1733</v>
      </c>
      <c r="O92" s="38">
        <v>1</v>
      </c>
      <c r="P92" s="38">
        <v>1</v>
      </c>
      <c r="Q92" s="39" t="s">
        <v>1892</v>
      </c>
      <c r="S92" s="1">
        <f t="shared" si="63"/>
        <v>0</v>
      </c>
      <c r="T92" s="1">
        <f t="shared" si="64"/>
        <v>0</v>
      </c>
      <c r="U92" s="1">
        <f t="shared" si="65"/>
        <v>0</v>
      </c>
      <c r="V92" s="1">
        <f t="shared" si="66"/>
        <v>0</v>
      </c>
      <c r="W92" s="1">
        <f t="shared" si="67"/>
        <v>0</v>
      </c>
      <c r="X92" s="1">
        <f t="shared" si="68"/>
        <v>0</v>
      </c>
      <c r="Y92" s="1">
        <f t="shared" si="69"/>
        <v>0</v>
      </c>
      <c r="Z92" s="1">
        <f t="shared" si="70"/>
        <v>0</v>
      </c>
      <c r="AA92" s="1">
        <f t="shared" si="71"/>
        <v>0</v>
      </c>
      <c r="AB92" s="1">
        <f t="shared" si="72"/>
        <v>0</v>
      </c>
      <c r="AD92" s="1">
        <f t="shared" si="73"/>
        <v>1</v>
      </c>
      <c r="AE92" s="1">
        <f t="shared" si="74"/>
        <v>0</v>
      </c>
      <c r="AF92" s="1">
        <f t="shared" si="35"/>
        <v>1</v>
      </c>
      <c r="AG92" s="1">
        <f t="shared" si="36"/>
        <v>0</v>
      </c>
      <c r="AH92" s="1">
        <f t="shared" si="37"/>
        <v>1</v>
      </c>
      <c r="AI92" s="1">
        <f t="shared" si="38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736</v>
      </c>
      <c r="E93" s="16" t="s">
        <v>1331</v>
      </c>
      <c r="F93" s="16" t="s">
        <v>1658</v>
      </c>
      <c r="G93" s="16" t="s">
        <v>39</v>
      </c>
      <c r="H93" s="16" t="s">
        <v>737</v>
      </c>
      <c r="I93" s="15" t="s">
        <v>738</v>
      </c>
      <c r="J93" s="15">
        <v>18</v>
      </c>
      <c r="K93" s="10" t="s">
        <v>702</v>
      </c>
      <c r="L93" s="10" t="s">
        <v>688</v>
      </c>
      <c r="M93" s="19" t="s">
        <v>970</v>
      </c>
      <c r="N93" s="17"/>
      <c r="Q93" s="16"/>
      <c r="S93" s="1">
        <f t="shared" si="63"/>
        <v>0</v>
      </c>
      <c r="T93" s="1">
        <f t="shared" si="64"/>
        <v>0</v>
      </c>
      <c r="U93" s="1">
        <f t="shared" si="65"/>
        <v>0</v>
      </c>
      <c r="V93" s="1">
        <f t="shared" si="66"/>
        <v>0</v>
      </c>
      <c r="W93" s="1">
        <f t="shared" si="67"/>
        <v>0</v>
      </c>
      <c r="X93" s="1">
        <f t="shared" si="68"/>
        <v>0</v>
      </c>
      <c r="Y93" s="1">
        <f t="shared" si="69"/>
        <v>0</v>
      </c>
      <c r="Z93" s="1">
        <f t="shared" si="70"/>
        <v>0</v>
      </c>
      <c r="AA93" s="1">
        <f t="shared" si="71"/>
        <v>0</v>
      </c>
      <c r="AB93" s="1">
        <f t="shared" si="72"/>
        <v>0</v>
      </c>
      <c r="AD93" s="1">
        <f t="shared" si="73"/>
        <v>0</v>
      </c>
      <c r="AE93" s="1">
        <f t="shared" si="74"/>
        <v>0</v>
      </c>
      <c r="AF93" s="1">
        <f t="shared" si="35"/>
        <v>0</v>
      </c>
      <c r="AG93" s="1">
        <f t="shared" si="36"/>
        <v>0</v>
      </c>
      <c r="AH93" s="1">
        <f t="shared" si="37"/>
        <v>0</v>
      </c>
      <c r="AI93" s="1">
        <f t="shared" si="38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1546</v>
      </c>
      <c r="E94" s="16" t="s">
        <v>172</v>
      </c>
      <c r="F94" s="16" t="s">
        <v>1547</v>
      </c>
      <c r="G94" s="16" t="s">
        <v>39</v>
      </c>
      <c r="H94" s="16" t="s">
        <v>364</v>
      </c>
      <c r="I94" s="15" t="s">
        <v>1548</v>
      </c>
      <c r="J94" s="15">
        <v>17</v>
      </c>
      <c r="K94" s="10" t="s">
        <v>722</v>
      </c>
      <c r="L94" s="10" t="s">
        <v>688</v>
      </c>
      <c r="M94" s="19" t="s">
        <v>39</v>
      </c>
      <c r="N94" s="17"/>
      <c r="Q94" s="20" t="s">
        <v>1916</v>
      </c>
      <c r="S94" s="1">
        <f t="shared" si="51"/>
        <v>0</v>
      </c>
      <c r="T94" s="1">
        <f t="shared" si="52"/>
        <v>0</v>
      </c>
      <c r="U94" s="1">
        <f t="shared" si="53"/>
        <v>0</v>
      </c>
      <c r="V94" s="1">
        <f t="shared" si="54"/>
        <v>0</v>
      </c>
      <c r="W94" s="1">
        <f t="shared" si="55"/>
        <v>0</v>
      </c>
      <c r="X94" s="1">
        <f t="shared" si="56"/>
        <v>0</v>
      </c>
      <c r="Y94" s="1">
        <f t="shared" si="57"/>
        <v>0</v>
      </c>
      <c r="Z94" s="1">
        <f t="shared" si="58"/>
        <v>0</v>
      </c>
      <c r="AA94" s="1">
        <f t="shared" si="59"/>
        <v>0</v>
      </c>
      <c r="AB94" s="1">
        <f t="shared" si="60"/>
        <v>0</v>
      </c>
      <c r="AD94" s="1">
        <f t="shared" si="61"/>
        <v>0</v>
      </c>
      <c r="AE94" s="1">
        <f t="shared" si="62"/>
        <v>0</v>
      </c>
      <c r="AF94" s="1">
        <f t="shared" si="35"/>
        <v>0</v>
      </c>
      <c r="AG94" s="1">
        <f t="shared" si="36"/>
        <v>0</v>
      </c>
      <c r="AH94" s="1">
        <f t="shared" si="37"/>
        <v>0</v>
      </c>
      <c r="AI94" s="1">
        <f t="shared" si="38"/>
        <v>1</v>
      </c>
    </row>
    <row r="95" spans="1:35" ht="14.25" customHeight="1" x14ac:dyDescent="0.25">
      <c r="A95" s="34">
        <v>0</v>
      </c>
      <c r="B95" s="34">
        <v>1</v>
      </c>
      <c r="C95" s="34">
        <v>3</v>
      </c>
      <c r="D95" s="39" t="s">
        <v>119</v>
      </c>
      <c r="E95" s="35" t="s">
        <v>172</v>
      </c>
      <c r="F95" s="39" t="s">
        <v>320</v>
      </c>
      <c r="G95" s="39" t="s">
        <v>39</v>
      </c>
      <c r="H95" s="39" t="s">
        <v>370</v>
      </c>
      <c r="I95" s="40" t="s">
        <v>467</v>
      </c>
      <c r="J95" s="34">
        <v>14</v>
      </c>
      <c r="K95" s="36" t="s">
        <v>956</v>
      </c>
      <c r="L95" s="36" t="s">
        <v>694</v>
      </c>
      <c r="M95" s="37" t="s">
        <v>691</v>
      </c>
      <c r="N95" s="37" t="s">
        <v>1748</v>
      </c>
      <c r="O95" s="38">
        <v>1</v>
      </c>
      <c r="P95" s="38"/>
      <c r="Q95" s="39" t="s">
        <v>1889</v>
      </c>
      <c r="S95" s="1">
        <f t="shared" si="51"/>
        <v>0</v>
      </c>
      <c r="T95" s="1">
        <f t="shared" si="52"/>
        <v>0</v>
      </c>
      <c r="U95" s="1">
        <f t="shared" si="53"/>
        <v>0</v>
      </c>
      <c r="V95" s="1">
        <f t="shared" si="54"/>
        <v>0</v>
      </c>
      <c r="W95" s="1">
        <f t="shared" si="55"/>
        <v>0</v>
      </c>
      <c r="X95" s="1">
        <f t="shared" si="56"/>
        <v>0</v>
      </c>
      <c r="Y95" s="1">
        <f t="shared" si="57"/>
        <v>0</v>
      </c>
      <c r="Z95" s="1">
        <f t="shared" si="58"/>
        <v>0</v>
      </c>
      <c r="AA95" s="1">
        <f t="shared" si="59"/>
        <v>0</v>
      </c>
      <c r="AB95" s="1">
        <f t="shared" si="60"/>
        <v>0</v>
      </c>
      <c r="AD95" s="1">
        <f t="shared" si="61"/>
        <v>0</v>
      </c>
      <c r="AE95" s="1">
        <f t="shared" si="62"/>
        <v>1</v>
      </c>
      <c r="AF95" s="1">
        <f t="shared" si="35"/>
        <v>0</v>
      </c>
      <c r="AG95" s="1">
        <f t="shared" si="36"/>
        <v>1</v>
      </c>
      <c r="AH95" s="1">
        <f t="shared" si="37"/>
        <v>0</v>
      </c>
      <c r="AI95" s="1">
        <f t="shared" si="38"/>
        <v>1</v>
      </c>
    </row>
    <row r="96" spans="1:35" ht="14.25" customHeight="1" x14ac:dyDescent="0.25">
      <c r="A96" s="34">
        <v>0</v>
      </c>
      <c r="B96" s="34">
        <v>1</v>
      </c>
      <c r="C96" s="34">
        <v>3</v>
      </c>
      <c r="D96" s="39" t="s">
        <v>115</v>
      </c>
      <c r="E96" s="35" t="s">
        <v>170</v>
      </c>
      <c r="F96" s="39" t="s">
        <v>326</v>
      </c>
      <c r="G96" s="39" t="s">
        <v>230</v>
      </c>
      <c r="H96" s="39" t="s">
        <v>354</v>
      </c>
      <c r="I96" s="40" t="s">
        <v>474</v>
      </c>
      <c r="J96" s="34">
        <v>7</v>
      </c>
      <c r="K96" s="36" t="s">
        <v>702</v>
      </c>
      <c r="L96" s="36" t="s">
        <v>39</v>
      </c>
      <c r="M96" s="37" t="s">
        <v>39</v>
      </c>
      <c r="N96" s="37" t="s">
        <v>1733</v>
      </c>
      <c r="O96" s="38">
        <v>1</v>
      </c>
      <c r="P96" s="38">
        <v>1</v>
      </c>
      <c r="Q96" s="39"/>
      <c r="S96" s="1">
        <f t="shared" ref="S96:S98" si="75">IF(J96=$S$7,1,0)</f>
        <v>0</v>
      </c>
      <c r="T96" s="1">
        <f t="shared" ref="T96:T98" si="76">IF(J96=$T$7,1,0)</f>
        <v>0</v>
      </c>
      <c r="U96" s="1">
        <f t="shared" ref="U96:U98" si="77">IF(J96=$U$7,1,0)</f>
        <v>0</v>
      </c>
      <c r="V96" s="1">
        <f t="shared" ref="V96:V98" si="78">IF(J96=$V$7,1,0)</f>
        <v>0</v>
      </c>
      <c r="W96" s="1">
        <f t="shared" ref="W96:W98" si="79">IF(J96=$W$7,1,0)</f>
        <v>0</v>
      </c>
      <c r="X96" s="1">
        <f t="shared" ref="X96:X98" si="80">IF(J96=$X$7,1,0)</f>
        <v>0</v>
      </c>
      <c r="Y96" s="1">
        <f t="shared" ref="Y96:Y98" si="81">IF(J96=$Y$7,1,0)</f>
        <v>1</v>
      </c>
      <c r="Z96" s="1">
        <f t="shared" ref="Z96:Z98" si="82">IF(J96=$Z$7,1,0)</f>
        <v>0</v>
      </c>
      <c r="AA96" s="1">
        <f t="shared" ref="AA96:AA98" si="83">IF(J96=$AA$7,1,0)</f>
        <v>0</v>
      </c>
      <c r="AB96" s="1">
        <f t="shared" ref="AB96:AB98" si="84">IF(J96=$AB$7,1,0)</f>
        <v>0</v>
      </c>
      <c r="AD96" s="1">
        <f t="shared" ref="AD96:AD98" si="85">+O96*P96</f>
        <v>1</v>
      </c>
      <c r="AE96" s="1">
        <f t="shared" ref="AE96:AE98" si="86">O96*(1-P96)</f>
        <v>0</v>
      </c>
      <c r="AF96" s="1">
        <f t="shared" ref="AF96:AF98" si="87">+O96*P96*(1-A96)</f>
        <v>1</v>
      </c>
      <c r="AG96" s="1">
        <f t="shared" ref="AG96:AG98" si="88">O96*(1-P96)*(1-A96)</f>
        <v>0</v>
      </c>
      <c r="AH96" s="1">
        <f t="shared" ref="AH96:AH98" si="89">+P96*(1-A96)</f>
        <v>1</v>
      </c>
      <c r="AI96" s="1">
        <f t="shared" ref="AI96:AI98" si="90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1932</v>
      </c>
      <c r="E97" s="35" t="s">
        <v>1933</v>
      </c>
      <c r="F97" s="39" t="s">
        <v>1934</v>
      </c>
      <c r="G97" s="39"/>
      <c r="H97" s="39" t="s">
        <v>366</v>
      </c>
      <c r="I97" s="40" t="s">
        <v>1936</v>
      </c>
      <c r="J97" s="34">
        <v>18</v>
      </c>
      <c r="K97" s="36" t="s">
        <v>703</v>
      </c>
      <c r="L97" s="36"/>
      <c r="M97" s="37"/>
      <c r="N97" s="37" t="s">
        <v>1733</v>
      </c>
      <c r="O97" s="38">
        <v>1</v>
      </c>
      <c r="P97" s="38">
        <v>1</v>
      </c>
      <c r="Q97" s="39" t="s">
        <v>1935</v>
      </c>
      <c r="S97" s="1">
        <f t="shared" si="75"/>
        <v>0</v>
      </c>
      <c r="T97" s="1">
        <f t="shared" si="76"/>
        <v>0</v>
      </c>
      <c r="U97" s="1">
        <f t="shared" si="77"/>
        <v>0</v>
      </c>
      <c r="V97" s="1">
        <f t="shared" si="78"/>
        <v>0</v>
      </c>
      <c r="W97" s="1">
        <f t="shared" si="79"/>
        <v>0</v>
      </c>
      <c r="X97" s="1">
        <f t="shared" si="80"/>
        <v>0</v>
      </c>
      <c r="Y97" s="1">
        <f t="shared" si="81"/>
        <v>0</v>
      </c>
      <c r="Z97" s="1">
        <f t="shared" si="82"/>
        <v>0</v>
      </c>
      <c r="AA97" s="1">
        <f t="shared" si="83"/>
        <v>0</v>
      </c>
      <c r="AB97" s="1">
        <f t="shared" si="84"/>
        <v>0</v>
      </c>
      <c r="AD97" s="1">
        <f t="shared" si="85"/>
        <v>1</v>
      </c>
      <c r="AE97" s="1">
        <f t="shared" si="86"/>
        <v>0</v>
      </c>
      <c r="AF97" s="1">
        <f t="shared" si="87"/>
        <v>1</v>
      </c>
      <c r="AG97" s="1">
        <f t="shared" si="88"/>
        <v>0</v>
      </c>
      <c r="AH97" s="1">
        <f t="shared" si="89"/>
        <v>1</v>
      </c>
      <c r="AI97" s="1">
        <f t="shared" si="90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1207</v>
      </c>
      <c r="E98" s="48" t="s">
        <v>175</v>
      </c>
      <c r="F98" s="48" t="s">
        <v>1339</v>
      </c>
      <c r="G98" s="48" t="s">
        <v>39</v>
      </c>
      <c r="H98" s="48" t="s">
        <v>611</v>
      </c>
      <c r="I98" s="47" t="s">
        <v>1208</v>
      </c>
      <c r="J98" s="47">
        <v>14</v>
      </c>
      <c r="K98" s="49" t="s">
        <v>956</v>
      </c>
      <c r="L98" s="49" t="s">
        <v>1699</v>
      </c>
      <c r="M98" s="50" t="s">
        <v>1391</v>
      </c>
      <c r="N98" s="50" t="s">
        <v>1802</v>
      </c>
      <c r="O98" s="51"/>
      <c r="P98" s="51"/>
      <c r="Q98" s="48"/>
      <c r="S98" s="1">
        <f t="shared" si="75"/>
        <v>0</v>
      </c>
      <c r="T98" s="1">
        <f t="shared" si="76"/>
        <v>0</v>
      </c>
      <c r="U98" s="1">
        <f t="shared" si="77"/>
        <v>0</v>
      </c>
      <c r="V98" s="1">
        <f t="shared" si="78"/>
        <v>0</v>
      </c>
      <c r="W98" s="1">
        <f t="shared" si="79"/>
        <v>0</v>
      </c>
      <c r="X98" s="1">
        <f t="shared" si="80"/>
        <v>0</v>
      </c>
      <c r="Y98" s="1">
        <f t="shared" si="81"/>
        <v>0</v>
      </c>
      <c r="Z98" s="1">
        <f t="shared" si="82"/>
        <v>0</v>
      </c>
      <c r="AA98" s="1">
        <f t="shared" si="83"/>
        <v>0</v>
      </c>
      <c r="AB98" s="1">
        <f t="shared" si="84"/>
        <v>0</v>
      </c>
      <c r="AD98" s="1">
        <f t="shared" si="85"/>
        <v>0</v>
      </c>
      <c r="AE98" s="1">
        <f t="shared" si="86"/>
        <v>0</v>
      </c>
      <c r="AF98" s="1">
        <f t="shared" si="87"/>
        <v>0</v>
      </c>
      <c r="AG98" s="1">
        <f t="shared" si="88"/>
        <v>0</v>
      </c>
      <c r="AH98" s="1">
        <f t="shared" si="89"/>
        <v>0</v>
      </c>
      <c r="AI98" s="1">
        <f t="shared" si="90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821</v>
      </c>
      <c r="E99" s="35" t="s">
        <v>176</v>
      </c>
      <c r="F99" s="39" t="s">
        <v>927</v>
      </c>
      <c r="G99" s="39" t="s">
        <v>39</v>
      </c>
      <c r="H99" s="39" t="s">
        <v>372</v>
      </c>
      <c r="I99" s="40" t="s">
        <v>822</v>
      </c>
      <c r="J99" s="34">
        <v>16</v>
      </c>
      <c r="K99" s="36" t="s">
        <v>957</v>
      </c>
      <c r="L99" s="36" t="s">
        <v>688</v>
      </c>
      <c r="M99" s="37" t="s">
        <v>970</v>
      </c>
      <c r="N99" s="37" t="s">
        <v>1727</v>
      </c>
      <c r="O99" s="38">
        <v>1</v>
      </c>
      <c r="P99" s="38">
        <v>1</v>
      </c>
      <c r="Q99" s="39"/>
      <c r="S99" s="1">
        <f t="shared" si="51"/>
        <v>0</v>
      </c>
      <c r="T99" s="1">
        <f t="shared" si="52"/>
        <v>0</v>
      </c>
      <c r="U99" s="1">
        <f t="shared" si="53"/>
        <v>0</v>
      </c>
      <c r="V99" s="1">
        <f t="shared" si="54"/>
        <v>0</v>
      </c>
      <c r="W99" s="1">
        <f t="shared" si="55"/>
        <v>0</v>
      </c>
      <c r="X99" s="1">
        <f t="shared" si="56"/>
        <v>0</v>
      </c>
      <c r="Y99" s="1">
        <f t="shared" si="57"/>
        <v>0</v>
      </c>
      <c r="Z99" s="1">
        <f t="shared" si="58"/>
        <v>0</v>
      </c>
      <c r="AA99" s="1">
        <f t="shared" si="59"/>
        <v>0</v>
      </c>
      <c r="AB99" s="1">
        <f t="shared" si="60"/>
        <v>0</v>
      </c>
      <c r="AD99" s="1">
        <f t="shared" si="61"/>
        <v>1</v>
      </c>
      <c r="AE99" s="1">
        <f t="shared" si="62"/>
        <v>0</v>
      </c>
      <c r="AF99" s="1">
        <f t="shared" si="35"/>
        <v>1</v>
      </c>
      <c r="AG99" s="1">
        <f t="shared" si="36"/>
        <v>0</v>
      </c>
      <c r="AH99" s="1">
        <f t="shared" si="37"/>
        <v>1</v>
      </c>
      <c r="AI99" s="1">
        <f t="shared" si="38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170</v>
      </c>
      <c r="F100" s="16" t="s">
        <v>303</v>
      </c>
      <c r="G100" s="16" t="s">
        <v>39</v>
      </c>
      <c r="H100" s="16" t="s">
        <v>357</v>
      </c>
      <c r="I100" s="15" t="s">
        <v>451</v>
      </c>
      <c r="J100" s="15">
        <v>18</v>
      </c>
      <c r="K100" s="10" t="s">
        <v>702</v>
      </c>
      <c r="L100" s="10" t="s">
        <v>688</v>
      </c>
      <c r="M100" s="19" t="s">
        <v>691</v>
      </c>
      <c r="N100" s="17"/>
      <c r="Q100" s="16"/>
      <c r="S100" s="1">
        <f t="shared" si="51"/>
        <v>0</v>
      </c>
      <c r="T100" s="1">
        <f t="shared" si="52"/>
        <v>0</v>
      </c>
      <c r="U100" s="1">
        <f t="shared" si="53"/>
        <v>0</v>
      </c>
      <c r="V100" s="1">
        <f t="shared" si="54"/>
        <v>0</v>
      </c>
      <c r="W100" s="1">
        <f t="shared" si="55"/>
        <v>0</v>
      </c>
      <c r="X100" s="1">
        <f t="shared" si="56"/>
        <v>0</v>
      </c>
      <c r="Y100" s="1">
        <f t="shared" si="57"/>
        <v>0</v>
      </c>
      <c r="Z100" s="1">
        <f t="shared" si="58"/>
        <v>0</v>
      </c>
      <c r="AA100" s="1">
        <f t="shared" si="59"/>
        <v>0</v>
      </c>
      <c r="AB100" s="1">
        <f t="shared" si="60"/>
        <v>0</v>
      </c>
      <c r="AD100" s="1">
        <f t="shared" si="61"/>
        <v>0</v>
      </c>
      <c r="AE100" s="1">
        <f t="shared" si="62"/>
        <v>0</v>
      </c>
      <c r="AF100" s="1">
        <f t="shared" si="35"/>
        <v>0</v>
      </c>
      <c r="AG100" s="1">
        <f t="shared" si="36"/>
        <v>0</v>
      </c>
      <c r="AH100" s="1">
        <f t="shared" si="37"/>
        <v>0</v>
      </c>
      <c r="AI100" s="1">
        <f t="shared" si="38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516</v>
      </c>
      <c r="E101" s="48" t="s">
        <v>170</v>
      </c>
      <c r="F101" s="48" t="s">
        <v>517</v>
      </c>
      <c r="G101" s="48" t="s">
        <v>504</v>
      </c>
      <c r="H101" s="48" t="s">
        <v>354</v>
      </c>
      <c r="I101" s="47" t="s">
        <v>518</v>
      </c>
      <c r="J101" s="47">
        <v>99</v>
      </c>
      <c r="K101" s="49" t="s">
        <v>956</v>
      </c>
      <c r="L101" s="49" t="s">
        <v>694</v>
      </c>
      <c r="M101" s="50" t="s">
        <v>691</v>
      </c>
      <c r="N101" s="50" t="s">
        <v>1747</v>
      </c>
      <c r="O101" s="51"/>
      <c r="P101" s="51"/>
      <c r="Q101" s="48"/>
      <c r="S101" s="1">
        <f t="shared" si="51"/>
        <v>0</v>
      </c>
      <c r="T101" s="1">
        <f t="shared" si="52"/>
        <v>0</v>
      </c>
      <c r="U101" s="1">
        <f t="shared" si="53"/>
        <v>0</v>
      </c>
      <c r="V101" s="1">
        <f t="shared" si="54"/>
        <v>0</v>
      </c>
      <c r="W101" s="1">
        <f t="shared" si="55"/>
        <v>0</v>
      </c>
      <c r="X101" s="1">
        <f t="shared" si="56"/>
        <v>0</v>
      </c>
      <c r="Y101" s="1">
        <f t="shared" si="57"/>
        <v>0</v>
      </c>
      <c r="Z101" s="1">
        <f t="shared" si="58"/>
        <v>0</v>
      </c>
      <c r="AA101" s="1">
        <f t="shared" si="59"/>
        <v>0</v>
      </c>
      <c r="AB101" s="1">
        <f t="shared" si="60"/>
        <v>0</v>
      </c>
      <c r="AD101" s="1">
        <f t="shared" si="61"/>
        <v>0</v>
      </c>
      <c r="AE101" s="1">
        <f t="shared" si="62"/>
        <v>0</v>
      </c>
      <c r="AF101" s="1">
        <f t="shared" si="35"/>
        <v>0</v>
      </c>
      <c r="AG101" s="1">
        <f t="shared" si="36"/>
        <v>0</v>
      </c>
      <c r="AH101" s="1">
        <f t="shared" si="37"/>
        <v>0</v>
      </c>
      <c r="AI101" s="1">
        <f t="shared" si="38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1645</v>
      </c>
      <c r="E102" s="16" t="s">
        <v>1087</v>
      </c>
      <c r="F102" s="16" t="s">
        <v>1219</v>
      </c>
      <c r="G102" s="16" t="s">
        <v>39</v>
      </c>
      <c r="H102" s="16" t="s">
        <v>1220</v>
      </c>
      <c r="I102" s="15" t="s">
        <v>1221</v>
      </c>
      <c r="J102" s="15">
        <v>18</v>
      </c>
      <c r="K102" s="10" t="s">
        <v>958</v>
      </c>
      <c r="L102" s="10" t="s">
        <v>688</v>
      </c>
      <c r="M102" s="19" t="s">
        <v>970</v>
      </c>
      <c r="N102" s="17"/>
      <c r="Q102" s="16" t="s">
        <v>1884</v>
      </c>
      <c r="S102" s="1">
        <f t="shared" si="51"/>
        <v>0</v>
      </c>
      <c r="T102" s="1">
        <f t="shared" si="52"/>
        <v>0</v>
      </c>
      <c r="U102" s="1">
        <f t="shared" si="53"/>
        <v>0</v>
      </c>
      <c r="V102" s="1">
        <f t="shared" si="54"/>
        <v>0</v>
      </c>
      <c r="W102" s="1">
        <f t="shared" si="55"/>
        <v>0</v>
      </c>
      <c r="X102" s="1">
        <f t="shared" si="56"/>
        <v>0</v>
      </c>
      <c r="Y102" s="1">
        <f t="shared" si="57"/>
        <v>0</v>
      </c>
      <c r="Z102" s="1">
        <f t="shared" si="58"/>
        <v>0</v>
      </c>
      <c r="AA102" s="1">
        <f t="shared" si="59"/>
        <v>0</v>
      </c>
      <c r="AB102" s="1">
        <f t="shared" si="60"/>
        <v>0</v>
      </c>
      <c r="AD102" s="1">
        <f t="shared" si="61"/>
        <v>0</v>
      </c>
      <c r="AE102" s="1">
        <f t="shared" si="62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1558</v>
      </c>
      <c r="E103" s="16" t="s">
        <v>170</v>
      </c>
      <c r="F103" s="16" t="s">
        <v>1677</v>
      </c>
      <c r="G103" s="16" t="s">
        <v>39</v>
      </c>
      <c r="H103" s="16" t="s">
        <v>357</v>
      </c>
      <c r="I103" s="15" t="s">
        <v>1559</v>
      </c>
      <c r="J103" s="15">
        <v>18</v>
      </c>
      <c r="K103" s="10" t="s">
        <v>722</v>
      </c>
      <c r="L103" s="10" t="s">
        <v>688</v>
      </c>
      <c r="M103" s="19" t="s">
        <v>691</v>
      </c>
      <c r="N103" s="17"/>
      <c r="Q103" s="16"/>
      <c r="S103" s="1">
        <f t="shared" si="51"/>
        <v>0</v>
      </c>
      <c r="T103" s="1">
        <f t="shared" si="52"/>
        <v>0</v>
      </c>
      <c r="U103" s="1">
        <f t="shared" si="53"/>
        <v>0</v>
      </c>
      <c r="V103" s="1">
        <f t="shared" si="54"/>
        <v>0</v>
      </c>
      <c r="W103" s="1">
        <f t="shared" si="55"/>
        <v>0</v>
      </c>
      <c r="X103" s="1">
        <f t="shared" si="56"/>
        <v>0</v>
      </c>
      <c r="Y103" s="1">
        <f t="shared" si="57"/>
        <v>0</v>
      </c>
      <c r="Z103" s="1">
        <f t="shared" si="58"/>
        <v>0</v>
      </c>
      <c r="AA103" s="1">
        <f t="shared" si="59"/>
        <v>0</v>
      </c>
      <c r="AB103" s="1">
        <f t="shared" si="60"/>
        <v>0</v>
      </c>
      <c r="AD103" s="1">
        <f t="shared" si="61"/>
        <v>0</v>
      </c>
      <c r="AE103" s="1">
        <f t="shared" si="62"/>
        <v>0</v>
      </c>
      <c r="AF103" s="1">
        <f t="shared" si="35"/>
        <v>0</v>
      </c>
      <c r="AG103" s="1">
        <f t="shared" si="36"/>
        <v>0</v>
      </c>
      <c r="AH103" s="1">
        <f t="shared" si="37"/>
        <v>0</v>
      </c>
      <c r="AI103" s="1">
        <f t="shared" si="38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1319</v>
      </c>
      <c r="E104" s="35" t="s">
        <v>175</v>
      </c>
      <c r="F104" s="35" t="s">
        <v>1340</v>
      </c>
      <c r="G104" s="35" t="s">
        <v>39</v>
      </c>
      <c r="H104" s="35" t="s">
        <v>354</v>
      </c>
      <c r="I104" s="34" t="s">
        <v>1136</v>
      </c>
      <c r="J104" s="34">
        <v>99</v>
      </c>
      <c r="K104" s="36" t="s">
        <v>702</v>
      </c>
      <c r="L104" s="36" t="s">
        <v>1699</v>
      </c>
      <c r="M104" s="37" t="s">
        <v>1392</v>
      </c>
      <c r="N104" s="37" t="s">
        <v>1749</v>
      </c>
      <c r="O104" s="38">
        <v>1</v>
      </c>
      <c r="P104" s="38"/>
      <c r="Q104" s="35"/>
      <c r="S104" s="1">
        <f t="shared" si="51"/>
        <v>0</v>
      </c>
      <c r="T104" s="1">
        <f t="shared" si="52"/>
        <v>0</v>
      </c>
      <c r="U104" s="1">
        <f t="shared" si="53"/>
        <v>0</v>
      </c>
      <c r="V104" s="1">
        <f t="shared" si="54"/>
        <v>0</v>
      </c>
      <c r="W104" s="1">
        <f t="shared" si="55"/>
        <v>0</v>
      </c>
      <c r="X104" s="1">
        <f t="shared" si="56"/>
        <v>0</v>
      </c>
      <c r="Y104" s="1">
        <f t="shared" si="57"/>
        <v>0</v>
      </c>
      <c r="Z104" s="1">
        <f t="shared" si="58"/>
        <v>0</v>
      </c>
      <c r="AA104" s="1">
        <f t="shared" si="59"/>
        <v>0</v>
      </c>
      <c r="AB104" s="1">
        <f t="shared" si="60"/>
        <v>0</v>
      </c>
      <c r="AD104" s="1">
        <f t="shared" si="61"/>
        <v>0</v>
      </c>
      <c r="AE104" s="1">
        <f t="shared" si="62"/>
        <v>1</v>
      </c>
      <c r="AF104" s="1">
        <f t="shared" si="35"/>
        <v>0</v>
      </c>
      <c r="AG104" s="1">
        <f t="shared" si="36"/>
        <v>1</v>
      </c>
      <c r="AH104" s="1">
        <f t="shared" si="37"/>
        <v>0</v>
      </c>
      <c r="AI104" s="1">
        <f t="shared" si="38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1263</v>
      </c>
      <c r="E105" s="35" t="s">
        <v>170</v>
      </c>
      <c r="F105" s="35" t="s">
        <v>1341</v>
      </c>
      <c r="G105" s="35" t="s">
        <v>1194</v>
      </c>
      <c r="H105" s="35" t="s">
        <v>354</v>
      </c>
      <c r="I105" s="34" t="s">
        <v>1195</v>
      </c>
      <c r="J105" s="34">
        <v>99</v>
      </c>
      <c r="K105" s="36" t="s">
        <v>722</v>
      </c>
      <c r="L105" s="36">
        <v>50</v>
      </c>
      <c r="M105" s="37" t="s">
        <v>39</v>
      </c>
      <c r="N105" s="37" t="s">
        <v>1801</v>
      </c>
      <c r="O105" s="38">
        <v>1</v>
      </c>
      <c r="P105" s="38"/>
      <c r="Q105" s="35"/>
      <c r="S105" s="1">
        <f t="shared" si="51"/>
        <v>0</v>
      </c>
      <c r="T105" s="1">
        <f t="shared" si="52"/>
        <v>0</v>
      </c>
      <c r="U105" s="1">
        <f t="shared" si="53"/>
        <v>0</v>
      </c>
      <c r="V105" s="1">
        <f t="shared" si="54"/>
        <v>0</v>
      </c>
      <c r="W105" s="1">
        <f t="shared" si="55"/>
        <v>0</v>
      </c>
      <c r="X105" s="1">
        <f t="shared" si="56"/>
        <v>0</v>
      </c>
      <c r="Y105" s="1">
        <f t="shared" si="57"/>
        <v>0</v>
      </c>
      <c r="Z105" s="1">
        <f t="shared" si="58"/>
        <v>0</v>
      </c>
      <c r="AA105" s="1">
        <f t="shared" si="59"/>
        <v>0</v>
      </c>
      <c r="AB105" s="1">
        <f t="shared" si="60"/>
        <v>0</v>
      </c>
      <c r="AD105" s="1">
        <f t="shared" si="61"/>
        <v>0</v>
      </c>
      <c r="AE105" s="1">
        <f t="shared" si="62"/>
        <v>1</v>
      </c>
      <c r="AF105" s="1">
        <f t="shared" si="35"/>
        <v>0</v>
      </c>
      <c r="AG105" s="1">
        <f t="shared" si="36"/>
        <v>1</v>
      </c>
      <c r="AH105" s="1">
        <f t="shared" si="37"/>
        <v>0</v>
      </c>
      <c r="AI105" s="1">
        <f t="shared" si="38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1019</v>
      </c>
      <c r="E106" s="35" t="s">
        <v>610</v>
      </c>
      <c r="F106" s="35" t="s">
        <v>1020</v>
      </c>
      <c r="G106" s="35" t="s">
        <v>1021</v>
      </c>
      <c r="H106" s="35" t="s">
        <v>354</v>
      </c>
      <c r="I106" s="34" t="s">
        <v>1022</v>
      </c>
      <c r="J106" s="34">
        <v>99</v>
      </c>
      <c r="K106" s="36" t="s">
        <v>956</v>
      </c>
      <c r="L106" s="36" t="s">
        <v>39</v>
      </c>
      <c r="M106" s="37" t="s">
        <v>39</v>
      </c>
      <c r="N106" s="37" t="s">
        <v>1733</v>
      </c>
      <c r="O106" s="38">
        <v>1</v>
      </c>
      <c r="P106" s="38">
        <v>1</v>
      </c>
      <c r="Q106" s="35"/>
      <c r="S106" s="1">
        <f t="shared" si="51"/>
        <v>0</v>
      </c>
      <c r="T106" s="1">
        <f t="shared" si="52"/>
        <v>0</v>
      </c>
      <c r="U106" s="1">
        <f t="shared" si="53"/>
        <v>0</v>
      </c>
      <c r="V106" s="1">
        <f t="shared" si="54"/>
        <v>0</v>
      </c>
      <c r="W106" s="1">
        <f t="shared" si="55"/>
        <v>0</v>
      </c>
      <c r="X106" s="1">
        <f t="shared" si="56"/>
        <v>0</v>
      </c>
      <c r="Y106" s="1">
        <f t="shared" si="57"/>
        <v>0</v>
      </c>
      <c r="Z106" s="1">
        <f t="shared" si="58"/>
        <v>0</v>
      </c>
      <c r="AA106" s="1">
        <f t="shared" si="59"/>
        <v>0</v>
      </c>
      <c r="AB106" s="1">
        <f t="shared" si="60"/>
        <v>0</v>
      </c>
      <c r="AD106" s="1">
        <f t="shared" si="61"/>
        <v>1</v>
      </c>
      <c r="AE106" s="1">
        <f t="shared" si="62"/>
        <v>0</v>
      </c>
      <c r="AF106" s="1">
        <f t="shared" si="35"/>
        <v>1</v>
      </c>
      <c r="AG106" s="1">
        <f t="shared" si="36"/>
        <v>0</v>
      </c>
      <c r="AH106" s="1">
        <f t="shared" si="37"/>
        <v>1</v>
      </c>
      <c r="AI106" s="1">
        <f t="shared" si="38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175</v>
      </c>
      <c r="F107" s="35" t="s">
        <v>342</v>
      </c>
      <c r="G107" s="35" t="s">
        <v>39</v>
      </c>
      <c r="H107" s="35" t="s">
        <v>376</v>
      </c>
      <c r="I107" s="34" t="s">
        <v>489</v>
      </c>
      <c r="J107" s="34">
        <v>16</v>
      </c>
      <c r="K107" s="36" t="s">
        <v>702</v>
      </c>
      <c r="L107" s="36" t="s">
        <v>688</v>
      </c>
      <c r="M107" s="37" t="s">
        <v>1393</v>
      </c>
      <c r="N107" s="37" t="s">
        <v>1748</v>
      </c>
      <c r="O107" s="38">
        <v>1</v>
      </c>
      <c r="P107" s="38"/>
      <c r="Q107" s="35"/>
      <c r="S107" s="1">
        <f t="shared" si="51"/>
        <v>0</v>
      </c>
      <c r="T107" s="1">
        <f t="shared" si="52"/>
        <v>0</v>
      </c>
      <c r="U107" s="1">
        <f t="shared" si="53"/>
        <v>0</v>
      </c>
      <c r="V107" s="1">
        <f t="shared" si="54"/>
        <v>0</v>
      </c>
      <c r="W107" s="1">
        <f t="shared" si="55"/>
        <v>0</v>
      </c>
      <c r="X107" s="1">
        <f t="shared" si="56"/>
        <v>0</v>
      </c>
      <c r="Y107" s="1">
        <f t="shared" si="57"/>
        <v>0</v>
      </c>
      <c r="Z107" s="1">
        <f t="shared" si="58"/>
        <v>0</v>
      </c>
      <c r="AA107" s="1">
        <f t="shared" si="59"/>
        <v>0</v>
      </c>
      <c r="AB107" s="1">
        <f t="shared" si="60"/>
        <v>0</v>
      </c>
      <c r="AD107" s="1">
        <f t="shared" si="61"/>
        <v>0</v>
      </c>
      <c r="AE107" s="1">
        <f t="shared" si="62"/>
        <v>1</v>
      </c>
      <c r="AF107" s="1">
        <f t="shared" si="35"/>
        <v>0</v>
      </c>
      <c r="AG107" s="1">
        <f t="shared" si="36"/>
        <v>1</v>
      </c>
      <c r="AH107" s="1">
        <f t="shared" si="37"/>
        <v>0</v>
      </c>
      <c r="AI107" s="1">
        <f t="shared" si="38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817</v>
      </c>
      <c r="E108" s="35" t="s">
        <v>172</v>
      </c>
      <c r="F108" s="35" t="s">
        <v>818</v>
      </c>
      <c r="G108" s="35" t="s">
        <v>39</v>
      </c>
      <c r="H108" s="35" t="s">
        <v>819</v>
      </c>
      <c r="I108" s="34" t="s">
        <v>820</v>
      </c>
      <c r="J108" s="34">
        <v>16</v>
      </c>
      <c r="K108" s="36" t="s">
        <v>702</v>
      </c>
      <c r="L108" s="36" t="s">
        <v>688</v>
      </c>
      <c r="M108" s="37" t="s">
        <v>1393</v>
      </c>
      <c r="N108" s="37" t="s">
        <v>1727</v>
      </c>
      <c r="O108" s="38">
        <v>1</v>
      </c>
      <c r="P108" s="38">
        <v>1</v>
      </c>
      <c r="Q108" s="35"/>
      <c r="S108" s="1">
        <f t="shared" si="51"/>
        <v>0</v>
      </c>
      <c r="T108" s="1">
        <f t="shared" si="52"/>
        <v>0</v>
      </c>
      <c r="U108" s="1">
        <f t="shared" si="53"/>
        <v>0</v>
      </c>
      <c r="V108" s="1">
        <f t="shared" si="54"/>
        <v>0</v>
      </c>
      <c r="W108" s="1">
        <f t="shared" si="55"/>
        <v>0</v>
      </c>
      <c r="X108" s="1">
        <f t="shared" si="56"/>
        <v>0</v>
      </c>
      <c r="Y108" s="1">
        <f t="shared" si="57"/>
        <v>0</v>
      </c>
      <c r="Z108" s="1">
        <f t="shared" si="58"/>
        <v>0</v>
      </c>
      <c r="AA108" s="1">
        <f t="shared" si="59"/>
        <v>0</v>
      </c>
      <c r="AB108" s="1">
        <f t="shared" si="60"/>
        <v>0</v>
      </c>
      <c r="AD108" s="1">
        <f t="shared" si="61"/>
        <v>1</v>
      </c>
      <c r="AE108" s="1">
        <f t="shared" si="62"/>
        <v>0</v>
      </c>
      <c r="AF108" s="1">
        <f t="shared" si="35"/>
        <v>1</v>
      </c>
      <c r="AG108" s="1">
        <f t="shared" si="36"/>
        <v>0</v>
      </c>
      <c r="AH108" s="1">
        <f t="shared" si="37"/>
        <v>1</v>
      </c>
      <c r="AI108" s="1">
        <f t="shared" si="38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170</v>
      </c>
      <c r="F109" s="16" t="s">
        <v>306</v>
      </c>
      <c r="G109" s="16" t="s">
        <v>39</v>
      </c>
      <c r="H109" s="16" t="s">
        <v>361</v>
      </c>
      <c r="I109" s="15" t="s">
        <v>455</v>
      </c>
      <c r="J109" s="15">
        <v>18</v>
      </c>
      <c r="K109" s="10" t="s">
        <v>703</v>
      </c>
      <c r="L109" s="10" t="s">
        <v>688</v>
      </c>
      <c r="M109" s="19" t="s">
        <v>691</v>
      </c>
      <c r="N109" s="17"/>
      <c r="Q109" s="20" t="s">
        <v>1883</v>
      </c>
      <c r="S109" s="1">
        <f t="shared" si="51"/>
        <v>0</v>
      </c>
      <c r="T109" s="1">
        <f t="shared" si="52"/>
        <v>0</v>
      </c>
      <c r="U109" s="1">
        <f t="shared" si="53"/>
        <v>0</v>
      </c>
      <c r="V109" s="1">
        <f t="shared" si="54"/>
        <v>0</v>
      </c>
      <c r="W109" s="1">
        <f t="shared" si="55"/>
        <v>0</v>
      </c>
      <c r="X109" s="1">
        <f t="shared" si="56"/>
        <v>0</v>
      </c>
      <c r="Y109" s="1">
        <f t="shared" si="57"/>
        <v>0</v>
      </c>
      <c r="Z109" s="1">
        <f t="shared" si="58"/>
        <v>0</v>
      </c>
      <c r="AA109" s="1">
        <f t="shared" si="59"/>
        <v>0</v>
      </c>
      <c r="AB109" s="1">
        <f t="shared" si="60"/>
        <v>0</v>
      </c>
      <c r="AD109" s="1">
        <f t="shared" si="61"/>
        <v>0</v>
      </c>
      <c r="AE109" s="1">
        <f t="shared" si="62"/>
        <v>0</v>
      </c>
      <c r="AF109" s="1">
        <f t="shared" si="35"/>
        <v>0</v>
      </c>
      <c r="AG109" s="1">
        <f t="shared" si="36"/>
        <v>0</v>
      </c>
      <c r="AH109" s="1">
        <f t="shared" si="37"/>
        <v>0</v>
      </c>
      <c r="AI109" s="1">
        <f t="shared" si="38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1505</v>
      </c>
      <c r="E110" s="48" t="s">
        <v>170</v>
      </c>
      <c r="F110" s="48" t="s">
        <v>1506</v>
      </c>
      <c r="G110" s="48" t="s">
        <v>39</v>
      </c>
      <c r="H110" s="48" t="s">
        <v>374</v>
      </c>
      <c r="I110" s="47" t="s">
        <v>1507</v>
      </c>
      <c r="J110" s="47">
        <v>11</v>
      </c>
      <c r="K110" s="49" t="s">
        <v>722</v>
      </c>
      <c r="L110" s="49">
        <v>50</v>
      </c>
      <c r="M110" s="50" t="s">
        <v>39</v>
      </c>
      <c r="N110" s="50" t="s">
        <v>1734</v>
      </c>
      <c r="O110" s="51"/>
      <c r="P110" s="51"/>
      <c r="Q110" s="48"/>
      <c r="S110" s="1">
        <f t="shared" si="51"/>
        <v>0</v>
      </c>
      <c r="T110" s="1">
        <f t="shared" si="52"/>
        <v>0</v>
      </c>
      <c r="U110" s="1">
        <f t="shared" si="53"/>
        <v>0</v>
      </c>
      <c r="V110" s="1">
        <f t="shared" si="54"/>
        <v>0</v>
      </c>
      <c r="W110" s="1">
        <f t="shared" si="55"/>
        <v>0</v>
      </c>
      <c r="X110" s="1">
        <f t="shared" si="56"/>
        <v>0</v>
      </c>
      <c r="Y110" s="1">
        <f t="shared" si="57"/>
        <v>0</v>
      </c>
      <c r="Z110" s="1">
        <f t="shared" si="58"/>
        <v>0</v>
      </c>
      <c r="AA110" s="1">
        <f t="shared" si="59"/>
        <v>0</v>
      </c>
      <c r="AB110" s="1">
        <f t="shared" si="60"/>
        <v>0</v>
      </c>
      <c r="AD110" s="1">
        <f t="shared" si="61"/>
        <v>0</v>
      </c>
      <c r="AE110" s="1">
        <f t="shared" si="62"/>
        <v>0</v>
      </c>
      <c r="AF110" s="1">
        <f t="shared" si="35"/>
        <v>0</v>
      </c>
      <c r="AG110" s="1">
        <f t="shared" si="36"/>
        <v>0</v>
      </c>
      <c r="AH110" s="1">
        <f t="shared" si="37"/>
        <v>0</v>
      </c>
      <c r="AI110" s="1">
        <f t="shared" si="38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170</v>
      </c>
      <c r="F111" s="48" t="s">
        <v>305</v>
      </c>
      <c r="G111" s="48" t="s">
        <v>39</v>
      </c>
      <c r="H111" s="48" t="s">
        <v>360</v>
      </c>
      <c r="I111" s="47" t="s">
        <v>454</v>
      </c>
      <c r="J111" s="47">
        <v>18</v>
      </c>
      <c r="K111" s="49" t="s">
        <v>702</v>
      </c>
      <c r="L111" s="49">
        <v>55</v>
      </c>
      <c r="M111" s="50" t="s">
        <v>691</v>
      </c>
      <c r="N111" s="50" t="s">
        <v>1734</v>
      </c>
      <c r="O111" s="51"/>
      <c r="P111" s="51"/>
      <c r="Q111" s="48"/>
      <c r="S111" s="1">
        <f t="shared" si="51"/>
        <v>0</v>
      </c>
      <c r="T111" s="1">
        <f t="shared" si="52"/>
        <v>0</v>
      </c>
      <c r="U111" s="1">
        <f t="shared" si="53"/>
        <v>0</v>
      </c>
      <c r="V111" s="1">
        <f t="shared" si="54"/>
        <v>0</v>
      </c>
      <c r="W111" s="1">
        <f t="shared" si="55"/>
        <v>0</v>
      </c>
      <c r="X111" s="1">
        <f t="shared" si="56"/>
        <v>0</v>
      </c>
      <c r="Y111" s="1">
        <f t="shared" si="57"/>
        <v>0</v>
      </c>
      <c r="Z111" s="1">
        <f t="shared" si="58"/>
        <v>0</v>
      </c>
      <c r="AA111" s="1">
        <f t="shared" si="59"/>
        <v>0</v>
      </c>
      <c r="AB111" s="1">
        <f t="shared" si="60"/>
        <v>0</v>
      </c>
      <c r="AD111" s="1">
        <f t="shared" si="61"/>
        <v>0</v>
      </c>
      <c r="AE111" s="1">
        <f t="shared" si="62"/>
        <v>0</v>
      </c>
      <c r="AF111" s="1">
        <f t="shared" si="35"/>
        <v>0</v>
      </c>
      <c r="AG111" s="1">
        <f t="shared" si="36"/>
        <v>0</v>
      </c>
      <c r="AH111" s="1">
        <f t="shared" si="37"/>
        <v>0</v>
      </c>
      <c r="AI111" s="1">
        <f t="shared" si="38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175</v>
      </c>
      <c r="F112" s="35" t="s">
        <v>329</v>
      </c>
      <c r="G112" s="35" t="s">
        <v>39</v>
      </c>
      <c r="H112" s="35" t="s">
        <v>375</v>
      </c>
      <c r="I112" s="34" t="s">
        <v>477</v>
      </c>
      <c r="J112" s="34">
        <v>12</v>
      </c>
      <c r="K112" s="36" t="s">
        <v>702</v>
      </c>
      <c r="L112" s="36">
        <v>35</v>
      </c>
      <c r="M112" s="37" t="s">
        <v>691</v>
      </c>
      <c r="N112" s="37" t="s">
        <v>1749</v>
      </c>
      <c r="O112" s="38">
        <v>1</v>
      </c>
      <c r="P112" s="38"/>
      <c r="Q112" s="35"/>
      <c r="S112" s="1">
        <f t="shared" si="51"/>
        <v>0</v>
      </c>
      <c r="T112" s="1">
        <f t="shared" si="52"/>
        <v>0</v>
      </c>
      <c r="U112" s="1">
        <f t="shared" si="53"/>
        <v>0</v>
      </c>
      <c r="V112" s="1">
        <f t="shared" si="54"/>
        <v>0</v>
      </c>
      <c r="W112" s="1">
        <f t="shared" si="55"/>
        <v>0</v>
      </c>
      <c r="X112" s="1">
        <f t="shared" si="56"/>
        <v>0</v>
      </c>
      <c r="Y112" s="1">
        <f t="shared" si="57"/>
        <v>0</v>
      </c>
      <c r="Z112" s="1">
        <f t="shared" si="58"/>
        <v>0</v>
      </c>
      <c r="AA112" s="1">
        <f t="shared" si="59"/>
        <v>0</v>
      </c>
      <c r="AB112" s="1">
        <f t="shared" si="60"/>
        <v>0</v>
      </c>
      <c r="AD112" s="1">
        <f t="shared" si="61"/>
        <v>0</v>
      </c>
      <c r="AE112" s="1">
        <f t="shared" si="62"/>
        <v>1</v>
      </c>
      <c r="AF112" s="1">
        <f t="shared" si="35"/>
        <v>0</v>
      </c>
      <c r="AG112" s="1">
        <f t="shared" si="36"/>
        <v>1</v>
      </c>
      <c r="AH112" s="1">
        <f t="shared" si="37"/>
        <v>0</v>
      </c>
      <c r="AI112" s="1">
        <f t="shared" si="38"/>
        <v>1</v>
      </c>
    </row>
    <row r="113" spans="1:35" ht="14.25" customHeight="1" x14ac:dyDescent="0.25">
      <c r="A113" s="47">
        <v>0</v>
      </c>
      <c r="B113" s="47">
        <v>1</v>
      </c>
      <c r="C113" s="47">
        <v>3</v>
      </c>
      <c r="D113" s="48" t="s">
        <v>994</v>
      </c>
      <c r="E113" s="48" t="s">
        <v>170</v>
      </c>
      <c r="F113" s="48" t="s">
        <v>1093</v>
      </c>
      <c r="G113" s="48" t="s">
        <v>232</v>
      </c>
      <c r="H113" s="48" t="s">
        <v>354</v>
      </c>
      <c r="I113" s="47" t="s">
        <v>995</v>
      </c>
      <c r="J113" s="47">
        <v>99</v>
      </c>
      <c r="K113" s="49" t="s">
        <v>956</v>
      </c>
      <c r="L113" s="49">
        <v>40</v>
      </c>
      <c r="M113" s="50" t="s">
        <v>39</v>
      </c>
      <c r="N113" s="50" t="s">
        <v>1747</v>
      </c>
      <c r="O113" s="51"/>
      <c r="P113" s="51"/>
      <c r="Q113" s="48"/>
      <c r="S113" s="1">
        <f t="shared" si="51"/>
        <v>0</v>
      </c>
      <c r="T113" s="1">
        <f t="shared" si="52"/>
        <v>0</v>
      </c>
      <c r="U113" s="1">
        <f t="shared" si="53"/>
        <v>0</v>
      </c>
      <c r="V113" s="1">
        <f t="shared" si="54"/>
        <v>0</v>
      </c>
      <c r="W113" s="1">
        <f t="shared" si="55"/>
        <v>0</v>
      </c>
      <c r="X113" s="1">
        <f t="shared" si="56"/>
        <v>0</v>
      </c>
      <c r="Y113" s="1">
        <f t="shared" si="57"/>
        <v>0</v>
      </c>
      <c r="Z113" s="1">
        <f t="shared" si="58"/>
        <v>0</v>
      </c>
      <c r="AA113" s="1">
        <f t="shared" si="59"/>
        <v>0</v>
      </c>
      <c r="AB113" s="1">
        <f t="shared" si="60"/>
        <v>0</v>
      </c>
      <c r="AD113" s="1">
        <f t="shared" si="61"/>
        <v>0</v>
      </c>
      <c r="AE113" s="1">
        <f t="shared" si="62"/>
        <v>0</v>
      </c>
      <c r="AF113" s="1">
        <f t="shared" si="35"/>
        <v>0</v>
      </c>
      <c r="AG113" s="1">
        <f t="shared" si="36"/>
        <v>0</v>
      </c>
      <c r="AH113" s="1">
        <f t="shared" si="37"/>
        <v>0</v>
      </c>
      <c r="AI113" s="1">
        <f t="shared" si="38"/>
        <v>1</v>
      </c>
    </row>
    <row r="114" spans="1:35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170</v>
      </c>
      <c r="F114" s="42" t="s">
        <v>330</v>
      </c>
      <c r="G114" s="42" t="s">
        <v>39</v>
      </c>
      <c r="H114" s="42" t="s">
        <v>371</v>
      </c>
      <c r="I114" s="41" t="s">
        <v>478</v>
      </c>
      <c r="J114" s="41">
        <v>11</v>
      </c>
      <c r="K114" s="43" t="s">
        <v>702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51"/>
        <v>0</v>
      </c>
      <c r="T114" s="1">
        <f t="shared" si="52"/>
        <v>0</v>
      </c>
      <c r="U114" s="1">
        <f t="shared" si="53"/>
        <v>0</v>
      </c>
      <c r="V114" s="1">
        <f t="shared" si="54"/>
        <v>0</v>
      </c>
      <c r="W114" s="1">
        <f t="shared" si="55"/>
        <v>0</v>
      </c>
      <c r="X114" s="1">
        <f t="shared" si="56"/>
        <v>0</v>
      </c>
      <c r="Y114" s="1">
        <f t="shared" si="57"/>
        <v>0</v>
      </c>
      <c r="Z114" s="1">
        <f t="shared" si="58"/>
        <v>0</v>
      </c>
      <c r="AA114" s="1">
        <f t="shared" si="59"/>
        <v>0</v>
      </c>
      <c r="AB114" s="1">
        <f t="shared" si="60"/>
        <v>0</v>
      </c>
      <c r="AD114" s="1">
        <f t="shared" si="61"/>
        <v>0</v>
      </c>
      <c r="AE114" s="1">
        <f t="shared" si="62"/>
        <v>0</v>
      </c>
      <c r="AF114" s="1">
        <f t="shared" si="35"/>
        <v>0</v>
      </c>
      <c r="AG114" s="1">
        <f t="shared" si="36"/>
        <v>0</v>
      </c>
      <c r="AH114" s="1">
        <f t="shared" si="37"/>
        <v>1</v>
      </c>
      <c r="AI114" s="1">
        <f t="shared" si="38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1320</v>
      </c>
      <c r="E115" s="16" t="s">
        <v>172</v>
      </c>
      <c r="F115" s="16" t="s">
        <v>1343</v>
      </c>
      <c r="G115" s="16" t="s">
        <v>39</v>
      </c>
      <c r="H115" s="16" t="s">
        <v>988</v>
      </c>
      <c r="I115" s="15" t="s">
        <v>989</v>
      </c>
      <c r="J115" s="15">
        <v>14</v>
      </c>
      <c r="K115" s="10" t="s">
        <v>703</v>
      </c>
      <c r="L115" s="10">
        <v>30</v>
      </c>
      <c r="M115" s="19" t="s">
        <v>971</v>
      </c>
      <c r="N115" s="17"/>
      <c r="Q115" s="16"/>
      <c r="S115" s="1">
        <f t="shared" si="51"/>
        <v>0</v>
      </c>
      <c r="T115" s="1">
        <f t="shared" si="52"/>
        <v>0</v>
      </c>
      <c r="U115" s="1">
        <f t="shared" si="53"/>
        <v>0</v>
      </c>
      <c r="V115" s="1">
        <f t="shared" si="54"/>
        <v>0</v>
      </c>
      <c r="W115" s="1">
        <f t="shared" si="55"/>
        <v>0</v>
      </c>
      <c r="X115" s="1">
        <f t="shared" si="56"/>
        <v>0</v>
      </c>
      <c r="Y115" s="1">
        <f t="shared" si="57"/>
        <v>0</v>
      </c>
      <c r="Z115" s="1">
        <f t="shared" si="58"/>
        <v>0</v>
      </c>
      <c r="AA115" s="1">
        <f t="shared" si="59"/>
        <v>0</v>
      </c>
      <c r="AB115" s="1">
        <f t="shared" si="60"/>
        <v>0</v>
      </c>
      <c r="AD115" s="1">
        <f t="shared" si="61"/>
        <v>0</v>
      </c>
      <c r="AE115" s="1">
        <f t="shared" si="62"/>
        <v>0</v>
      </c>
      <c r="AF115" s="1">
        <f t="shared" si="35"/>
        <v>0</v>
      </c>
      <c r="AG115" s="1">
        <f t="shared" si="36"/>
        <v>0</v>
      </c>
      <c r="AH115" s="1">
        <f t="shared" si="37"/>
        <v>0</v>
      </c>
      <c r="AI115" s="1">
        <f t="shared" si="38"/>
        <v>1</v>
      </c>
    </row>
    <row r="116" spans="1:35" ht="14.25" customHeight="1" x14ac:dyDescent="0.25">
      <c r="A116" s="47">
        <v>0</v>
      </c>
      <c r="B116" s="47">
        <v>1</v>
      </c>
      <c r="C116" s="47">
        <v>3</v>
      </c>
      <c r="D116" s="48" t="s">
        <v>699</v>
      </c>
      <c r="E116" s="48" t="s">
        <v>175</v>
      </c>
      <c r="F116" s="48" t="s">
        <v>700</v>
      </c>
      <c r="G116" s="48" t="s">
        <v>39</v>
      </c>
      <c r="H116" s="48" t="s">
        <v>701</v>
      </c>
      <c r="I116" s="47" t="s">
        <v>1115</v>
      </c>
      <c r="J116" s="47">
        <v>13</v>
      </c>
      <c r="K116" s="49" t="s">
        <v>702</v>
      </c>
      <c r="L116" s="49" t="s">
        <v>1699</v>
      </c>
      <c r="M116" s="50" t="s">
        <v>970</v>
      </c>
      <c r="N116" s="50" t="s">
        <v>1802</v>
      </c>
      <c r="O116" s="51"/>
      <c r="P116" s="51"/>
      <c r="Q116" s="48"/>
      <c r="S116" s="1">
        <f t="shared" si="51"/>
        <v>0</v>
      </c>
      <c r="T116" s="1">
        <f t="shared" si="52"/>
        <v>0</v>
      </c>
      <c r="U116" s="1">
        <f t="shared" si="53"/>
        <v>0</v>
      </c>
      <c r="V116" s="1">
        <f t="shared" si="54"/>
        <v>0</v>
      </c>
      <c r="W116" s="1">
        <f t="shared" si="55"/>
        <v>0</v>
      </c>
      <c r="X116" s="1">
        <f t="shared" si="56"/>
        <v>0</v>
      </c>
      <c r="Y116" s="1">
        <f t="shared" si="57"/>
        <v>0</v>
      </c>
      <c r="Z116" s="1">
        <f t="shared" si="58"/>
        <v>0</v>
      </c>
      <c r="AA116" s="1">
        <f t="shared" si="59"/>
        <v>0</v>
      </c>
      <c r="AB116" s="1">
        <f t="shared" si="60"/>
        <v>0</v>
      </c>
      <c r="AD116" s="1">
        <f t="shared" si="61"/>
        <v>0</v>
      </c>
      <c r="AE116" s="1">
        <f t="shared" si="62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1</v>
      </c>
    </row>
    <row r="117" spans="1:35" ht="14.25" customHeight="1" x14ac:dyDescent="0.25">
      <c r="A117" s="34">
        <v>0</v>
      </c>
      <c r="B117" s="34">
        <v>1</v>
      </c>
      <c r="C117" s="34">
        <v>3</v>
      </c>
      <c r="D117" s="35" t="s">
        <v>1520</v>
      </c>
      <c r="E117" s="35" t="s">
        <v>170</v>
      </c>
      <c r="F117" s="35" t="s">
        <v>1667</v>
      </c>
      <c r="G117" s="35" t="s">
        <v>39</v>
      </c>
      <c r="H117" s="35" t="s">
        <v>1521</v>
      </c>
      <c r="I117" s="34" t="s">
        <v>1522</v>
      </c>
      <c r="J117" s="34">
        <v>11</v>
      </c>
      <c r="K117" s="36" t="s">
        <v>722</v>
      </c>
      <c r="L117" s="36">
        <v>40</v>
      </c>
      <c r="M117" s="37" t="s">
        <v>39</v>
      </c>
      <c r="N117" s="37" t="s">
        <v>1727</v>
      </c>
      <c r="O117" s="38">
        <v>1</v>
      </c>
      <c r="P117" s="38">
        <v>1</v>
      </c>
      <c r="Q117" s="35"/>
      <c r="S117" s="1">
        <f t="shared" si="51"/>
        <v>0</v>
      </c>
      <c r="T117" s="1">
        <f t="shared" si="52"/>
        <v>0</v>
      </c>
      <c r="U117" s="1">
        <f t="shared" si="53"/>
        <v>0</v>
      </c>
      <c r="V117" s="1">
        <f t="shared" si="54"/>
        <v>0</v>
      </c>
      <c r="W117" s="1">
        <f t="shared" si="55"/>
        <v>0</v>
      </c>
      <c r="X117" s="1">
        <f t="shared" si="56"/>
        <v>0</v>
      </c>
      <c r="Y117" s="1">
        <f t="shared" si="57"/>
        <v>0</v>
      </c>
      <c r="Z117" s="1">
        <f t="shared" si="58"/>
        <v>0</v>
      </c>
      <c r="AA117" s="1">
        <f t="shared" si="59"/>
        <v>0</v>
      </c>
      <c r="AB117" s="1">
        <f t="shared" si="60"/>
        <v>0</v>
      </c>
      <c r="AD117" s="1">
        <f t="shared" si="61"/>
        <v>1</v>
      </c>
      <c r="AE117" s="1">
        <f t="shared" si="62"/>
        <v>0</v>
      </c>
      <c r="AF117" s="1">
        <f t="shared" si="35"/>
        <v>1</v>
      </c>
      <c r="AG117" s="1">
        <f t="shared" si="36"/>
        <v>0</v>
      </c>
      <c r="AH117" s="1">
        <f t="shared" si="37"/>
        <v>1</v>
      </c>
      <c r="AI117" s="1">
        <f t="shared" si="38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172</v>
      </c>
      <c r="F118" s="16" t="s">
        <v>348</v>
      </c>
      <c r="G118" s="16" t="s">
        <v>39</v>
      </c>
      <c r="H118" s="16" t="s">
        <v>367</v>
      </c>
      <c r="I118" s="15" t="s">
        <v>493</v>
      </c>
      <c r="J118" s="15">
        <v>18</v>
      </c>
      <c r="K118" s="10" t="s">
        <v>956</v>
      </c>
      <c r="L118" s="10" t="s">
        <v>697</v>
      </c>
      <c r="M118" s="19" t="s">
        <v>970</v>
      </c>
      <c r="N118" s="17"/>
      <c r="Q118" s="16"/>
      <c r="S118" s="1">
        <f t="shared" si="51"/>
        <v>0</v>
      </c>
      <c r="T118" s="1">
        <f t="shared" si="52"/>
        <v>0</v>
      </c>
      <c r="U118" s="1">
        <f t="shared" si="53"/>
        <v>0</v>
      </c>
      <c r="V118" s="1">
        <f t="shared" si="54"/>
        <v>0</v>
      </c>
      <c r="W118" s="1">
        <f t="shared" si="55"/>
        <v>0</v>
      </c>
      <c r="X118" s="1">
        <f t="shared" si="56"/>
        <v>0</v>
      </c>
      <c r="Y118" s="1">
        <f t="shared" si="57"/>
        <v>0</v>
      </c>
      <c r="Z118" s="1">
        <f t="shared" si="58"/>
        <v>0</v>
      </c>
      <c r="AA118" s="1">
        <f t="shared" si="59"/>
        <v>0</v>
      </c>
      <c r="AB118" s="1">
        <f t="shared" si="60"/>
        <v>0</v>
      </c>
      <c r="AD118" s="1">
        <f t="shared" si="61"/>
        <v>0</v>
      </c>
      <c r="AE118" s="1">
        <f t="shared" si="62"/>
        <v>0</v>
      </c>
      <c r="AF118" s="1">
        <f t="shared" si="35"/>
        <v>0</v>
      </c>
      <c r="AG118" s="1">
        <f t="shared" si="36"/>
        <v>0</v>
      </c>
      <c r="AH118" s="1">
        <f t="shared" si="37"/>
        <v>0</v>
      </c>
      <c r="AI118" s="1">
        <f t="shared" si="38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20" t="s">
        <v>1978</v>
      </c>
      <c r="E119" s="20" t="s">
        <v>172</v>
      </c>
      <c r="F119" s="20" t="s">
        <v>1975</v>
      </c>
      <c r="G119" s="20"/>
      <c r="H119" s="20" t="s">
        <v>1976</v>
      </c>
      <c r="I119" s="21" t="s">
        <v>1974</v>
      </c>
      <c r="J119" s="15">
        <v>17</v>
      </c>
      <c r="K119" s="10" t="s">
        <v>703</v>
      </c>
      <c r="L119" s="10" t="s">
        <v>1742</v>
      </c>
      <c r="M119" s="19" t="s">
        <v>971</v>
      </c>
      <c r="N119" s="17"/>
      <c r="Q119" s="20" t="s">
        <v>1977</v>
      </c>
      <c r="S119" s="1">
        <f t="shared" si="51"/>
        <v>0</v>
      </c>
      <c r="T119" s="1">
        <f t="shared" si="52"/>
        <v>0</v>
      </c>
      <c r="U119" s="1">
        <f t="shared" si="53"/>
        <v>0</v>
      </c>
      <c r="V119" s="1">
        <f t="shared" si="54"/>
        <v>0</v>
      </c>
      <c r="W119" s="1">
        <f t="shared" si="55"/>
        <v>0</v>
      </c>
      <c r="X119" s="1">
        <f t="shared" si="56"/>
        <v>0</v>
      </c>
      <c r="Y119" s="1">
        <f t="shared" si="57"/>
        <v>0</v>
      </c>
      <c r="Z119" s="1">
        <f t="shared" si="58"/>
        <v>0</v>
      </c>
      <c r="AA119" s="1">
        <f t="shared" si="59"/>
        <v>0</v>
      </c>
      <c r="AB119" s="1">
        <f t="shared" si="60"/>
        <v>0</v>
      </c>
      <c r="AD119" s="1">
        <f t="shared" si="61"/>
        <v>0</v>
      </c>
      <c r="AE119" s="1">
        <f t="shared" si="62"/>
        <v>0</v>
      </c>
      <c r="AF119" s="1">
        <f t="shared" si="35"/>
        <v>0</v>
      </c>
      <c r="AG119" s="1">
        <f t="shared" si="36"/>
        <v>0</v>
      </c>
      <c r="AH119" s="1">
        <f t="shared" si="37"/>
        <v>0</v>
      </c>
      <c r="AI119" s="1">
        <f t="shared" si="38"/>
        <v>1</v>
      </c>
    </row>
    <row r="120" spans="1:35" ht="14.25" customHeight="1" x14ac:dyDescent="0.25">
      <c r="A120" s="47">
        <v>0</v>
      </c>
      <c r="B120" s="47">
        <v>1</v>
      </c>
      <c r="C120" s="47">
        <v>3</v>
      </c>
      <c r="D120" s="48" t="s">
        <v>1000</v>
      </c>
      <c r="E120" s="48" t="s">
        <v>172</v>
      </c>
      <c r="F120" s="68" t="s">
        <v>1867</v>
      </c>
      <c r="G120" s="48" t="s">
        <v>39</v>
      </c>
      <c r="H120" s="48" t="s">
        <v>1001</v>
      </c>
      <c r="I120" s="47" t="s">
        <v>1116</v>
      </c>
      <c r="J120" s="47">
        <v>16</v>
      </c>
      <c r="K120" s="49" t="s">
        <v>722</v>
      </c>
      <c r="L120" s="49" t="s">
        <v>1742</v>
      </c>
      <c r="M120" s="50" t="s">
        <v>1394</v>
      </c>
      <c r="N120" s="50" t="s">
        <v>1802</v>
      </c>
      <c r="O120" s="51"/>
      <c r="P120" s="51"/>
      <c r="Q120" s="68" t="s">
        <v>1890</v>
      </c>
      <c r="S120" s="1">
        <f t="shared" si="51"/>
        <v>0</v>
      </c>
      <c r="T120" s="1">
        <f t="shared" si="52"/>
        <v>0</v>
      </c>
      <c r="U120" s="1">
        <f t="shared" si="53"/>
        <v>0</v>
      </c>
      <c r="V120" s="1">
        <f t="shared" si="54"/>
        <v>0</v>
      </c>
      <c r="W120" s="1">
        <f t="shared" si="55"/>
        <v>0</v>
      </c>
      <c r="X120" s="1">
        <f t="shared" si="56"/>
        <v>0</v>
      </c>
      <c r="Y120" s="1">
        <f t="shared" si="57"/>
        <v>0</v>
      </c>
      <c r="Z120" s="1">
        <f t="shared" si="58"/>
        <v>0</v>
      </c>
      <c r="AA120" s="1">
        <f t="shared" si="59"/>
        <v>0</v>
      </c>
      <c r="AB120" s="1">
        <f t="shared" si="60"/>
        <v>0</v>
      </c>
      <c r="AD120" s="1">
        <f t="shared" si="61"/>
        <v>0</v>
      </c>
      <c r="AE120" s="1">
        <f t="shared" si="62"/>
        <v>0</v>
      </c>
      <c r="AF120" s="1">
        <f t="shared" si="35"/>
        <v>0</v>
      </c>
      <c r="AG120" s="1">
        <f t="shared" si="36"/>
        <v>0</v>
      </c>
      <c r="AH120" s="1">
        <f t="shared" si="37"/>
        <v>0</v>
      </c>
      <c r="AI120" s="1">
        <f t="shared" si="38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1127</v>
      </c>
      <c r="E121" s="16" t="s">
        <v>172</v>
      </c>
      <c r="F121" s="16" t="s">
        <v>1344</v>
      </c>
      <c r="G121" s="16" t="s">
        <v>39</v>
      </c>
      <c r="H121" s="16" t="s">
        <v>1129</v>
      </c>
      <c r="I121" s="15" t="s">
        <v>1128</v>
      </c>
      <c r="J121" s="15">
        <v>14</v>
      </c>
      <c r="K121" s="10" t="s">
        <v>958</v>
      </c>
      <c r="L121" s="10" t="s">
        <v>1699</v>
      </c>
      <c r="M121" s="19" t="s">
        <v>1395</v>
      </c>
      <c r="N121" s="17"/>
      <c r="Q121" s="16"/>
      <c r="S121" s="1">
        <f t="shared" si="51"/>
        <v>0</v>
      </c>
      <c r="T121" s="1">
        <f t="shared" si="52"/>
        <v>0</v>
      </c>
      <c r="U121" s="1">
        <f t="shared" si="53"/>
        <v>0</v>
      </c>
      <c r="V121" s="1">
        <f t="shared" si="54"/>
        <v>0</v>
      </c>
      <c r="W121" s="1">
        <f t="shared" si="55"/>
        <v>0</v>
      </c>
      <c r="X121" s="1">
        <f t="shared" si="56"/>
        <v>0</v>
      </c>
      <c r="Y121" s="1">
        <f t="shared" si="57"/>
        <v>0</v>
      </c>
      <c r="Z121" s="1">
        <f t="shared" si="58"/>
        <v>0</v>
      </c>
      <c r="AA121" s="1">
        <f t="shared" si="59"/>
        <v>0</v>
      </c>
      <c r="AB121" s="1">
        <f t="shared" si="60"/>
        <v>0</v>
      </c>
      <c r="AD121" s="1">
        <f t="shared" si="61"/>
        <v>0</v>
      </c>
      <c r="AE121" s="1">
        <f t="shared" si="62"/>
        <v>0</v>
      </c>
      <c r="AF121" s="1">
        <f t="shared" si="35"/>
        <v>0</v>
      </c>
      <c r="AG121" s="1">
        <f t="shared" si="36"/>
        <v>0</v>
      </c>
      <c r="AH121" s="1">
        <f t="shared" si="37"/>
        <v>0</v>
      </c>
      <c r="AI121" s="1">
        <f t="shared" si="38"/>
        <v>1</v>
      </c>
    </row>
    <row r="122" spans="1:35" ht="14.25" customHeight="1" x14ac:dyDescent="0.25">
      <c r="A122" s="34">
        <v>0</v>
      </c>
      <c r="B122" s="34">
        <v>1</v>
      </c>
      <c r="C122" s="34">
        <v>3</v>
      </c>
      <c r="D122" s="35" t="s">
        <v>1078</v>
      </c>
      <c r="E122" s="35" t="s">
        <v>172</v>
      </c>
      <c r="F122" s="35" t="s">
        <v>1040</v>
      </c>
      <c r="G122" s="35" t="s">
        <v>1104</v>
      </c>
      <c r="H122" s="35" t="s">
        <v>354</v>
      </c>
      <c r="I122" s="34" t="s">
        <v>1041</v>
      </c>
      <c r="J122" s="34">
        <v>1</v>
      </c>
      <c r="K122" s="36" t="s">
        <v>958</v>
      </c>
      <c r="L122" s="36" t="s">
        <v>687</v>
      </c>
      <c r="M122" s="37" t="s">
        <v>971</v>
      </c>
      <c r="N122" s="37" t="s">
        <v>1755</v>
      </c>
      <c r="O122" s="38">
        <v>1</v>
      </c>
      <c r="P122" s="38"/>
      <c r="Q122" s="35"/>
      <c r="S122" s="1">
        <f t="shared" si="51"/>
        <v>1</v>
      </c>
      <c r="T122" s="1">
        <f t="shared" si="52"/>
        <v>0</v>
      </c>
      <c r="U122" s="1">
        <f t="shared" si="53"/>
        <v>0</v>
      </c>
      <c r="V122" s="1">
        <f t="shared" si="54"/>
        <v>0</v>
      </c>
      <c r="W122" s="1">
        <f t="shared" si="55"/>
        <v>0</v>
      </c>
      <c r="X122" s="1">
        <f t="shared" si="56"/>
        <v>0</v>
      </c>
      <c r="Y122" s="1">
        <f t="shared" si="57"/>
        <v>0</v>
      </c>
      <c r="Z122" s="1">
        <f t="shared" si="58"/>
        <v>0</v>
      </c>
      <c r="AA122" s="1">
        <f t="shared" si="59"/>
        <v>0</v>
      </c>
      <c r="AB122" s="1">
        <f t="shared" si="60"/>
        <v>0</v>
      </c>
      <c r="AD122" s="1">
        <f t="shared" si="61"/>
        <v>0</v>
      </c>
      <c r="AE122" s="1">
        <f t="shared" si="62"/>
        <v>1</v>
      </c>
      <c r="AF122" s="1">
        <f t="shared" si="35"/>
        <v>0</v>
      </c>
      <c r="AG122" s="1">
        <f t="shared" si="36"/>
        <v>1</v>
      </c>
      <c r="AH122" s="1">
        <f t="shared" si="37"/>
        <v>0</v>
      </c>
      <c r="AI122" s="1">
        <f t="shared" si="38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1629</v>
      </c>
      <c r="E123" s="35" t="s">
        <v>1087</v>
      </c>
      <c r="F123" s="35" t="s">
        <v>1630</v>
      </c>
      <c r="G123" s="35" t="s">
        <v>39</v>
      </c>
      <c r="H123" s="35" t="s">
        <v>1631</v>
      </c>
      <c r="I123" s="34" t="s">
        <v>1632</v>
      </c>
      <c r="J123" s="34">
        <v>15</v>
      </c>
      <c r="K123" s="36" t="s">
        <v>958</v>
      </c>
      <c r="L123" s="36" t="s">
        <v>39</v>
      </c>
      <c r="M123" s="37" t="s">
        <v>39</v>
      </c>
      <c r="N123" s="37" t="s">
        <v>1748</v>
      </c>
      <c r="O123" s="38">
        <v>1</v>
      </c>
      <c r="P123" s="38"/>
      <c r="Q123" s="39" t="s">
        <v>1895</v>
      </c>
      <c r="S123" s="1">
        <f t="shared" si="51"/>
        <v>0</v>
      </c>
      <c r="T123" s="1">
        <f t="shared" si="52"/>
        <v>0</v>
      </c>
      <c r="U123" s="1">
        <f t="shared" si="53"/>
        <v>0</v>
      </c>
      <c r="V123" s="1">
        <f t="shared" si="54"/>
        <v>0</v>
      </c>
      <c r="W123" s="1">
        <f t="shared" si="55"/>
        <v>0</v>
      </c>
      <c r="X123" s="1">
        <f t="shared" si="56"/>
        <v>0</v>
      </c>
      <c r="Y123" s="1">
        <f t="shared" si="57"/>
        <v>0</v>
      </c>
      <c r="Z123" s="1">
        <f t="shared" si="58"/>
        <v>0</v>
      </c>
      <c r="AA123" s="1">
        <f t="shared" si="59"/>
        <v>0</v>
      </c>
      <c r="AB123" s="1">
        <f t="shared" si="60"/>
        <v>0</v>
      </c>
      <c r="AD123" s="1">
        <f t="shared" si="61"/>
        <v>0</v>
      </c>
      <c r="AE123" s="1">
        <f t="shared" si="62"/>
        <v>1</v>
      </c>
      <c r="AF123" s="1">
        <f t="shared" si="35"/>
        <v>0</v>
      </c>
      <c r="AG123" s="1">
        <f t="shared" si="36"/>
        <v>1</v>
      </c>
      <c r="AH123" s="1">
        <f t="shared" si="37"/>
        <v>0</v>
      </c>
      <c r="AI123" s="1">
        <f t="shared" si="38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613</v>
      </c>
      <c r="E124" s="16" t="s">
        <v>170</v>
      </c>
      <c r="F124" s="16" t="s">
        <v>614</v>
      </c>
      <c r="G124" s="16" t="s">
        <v>39</v>
      </c>
      <c r="H124" s="16" t="s">
        <v>366</v>
      </c>
      <c r="I124" s="15" t="s">
        <v>615</v>
      </c>
      <c r="J124" s="15">
        <v>18</v>
      </c>
      <c r="K124" s="10" t="s">
        <v>722</v>
      </c>
      <c r="L124" s="10" t="s">
        <v>1742</v>
      </c>
      <c r="M124" s="19" t="s">
        <v>39</v>
      </c>
      <c r="N124" s="17"/>
      <c r="Q124" s="16"/>
      <c r="S124" s="1">
        <f t="shared" si="51"/>
        <v>0</v>
      </c>
      <c r="T124" s="1">
        <f t="shared" si="52"/>
        <v>0</v>
      </c>
      <c r="U124" s="1">
        <f t="shared" si="53"/>
        <v>0</v>
      </c>
      <c r="V124" s="1">
        <f t="shared" si="54"/>
        <v>0</v>
      </c>
      <c r="W124" s="1">
        <f t="shared" si="55"/>
        <v>0</v>
      </c>
      <c r="X124" s="1">
        <f t="shared" si="56"/>
        <v>0</v>
      </c>
      <c r="Y124" s="1">
        <f t="shared" si="57"/>
        <v>0</v>
      </c>
      <c r="Z124" s="1">
        <f t="shared" si="58"/>
        <v>0</v>
      </c>
      <c r="AA124" s="1">
        <f t="shared" si="59"/>
        <v>0</v>
      </c>
      <c r="AB124" s="1">
        <f t="shared" si="60"/>
        <v>0</v>
      </c>
      <c r="AD124" s="1">
        <f t="shared" si="61"/>
        <v>0</v>
      </c>
      <c r="AE124" s="1">
        <f t="shared" si="62"/>
        <v>0</v>
      </c>
      <c r="AF124" s="1">
        <f t="shared" si="35"/>
        <v>0</v>
      </c>
      <c r="AG124" s="1">
        <f t="shared" si="36"/>
        <v>0</v>
      </c>
      <c r="AH124" s="1">
        <f t="shared" si="37"/>
        <v>0</v>
      </c>
      <c r="AI124" s="1">
        <f t="shared" si="38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1950</v>
      </c>
      <c r="E125" s="20" t="s">
        <v>172</v>
      </c>
      <c r="F125" s="20" t="s">
        <v>1971</v>
      </c>
      <c r="G125" s="20"/>
      <c r="H125" s="20" t="s">
        <v>1970</v>
      </c>
      <c r="I125" s="21" t="s">
        <v>1972</v>
      </c>
      <c r="J125" s="15">
        <v>15</v>
      </c>
      <c r="K125" s="10" t="s">
        <v>703</v>
      </c>
      <c r="L125" s="10" t="s">
        <v>1742</v>
      </c>
      <c r="M125" s="19" t="s">
        <v>971</v>
      </c>
      <c r="N125" s="17"/>
      <c r="Q125" s="20" t="s">
        <v>1973</v>
      </c>
      <c r="S125" s="1">
        <f t="shared" si="51"/>
        <v>0</v>
      </c>
      <c r="T125" s="1">
        <f t="shared" si="52"/>
        <v>0</v>
      </c>
      <c r="U125" s="1">
        <f t="shared" si="53"/>
        <v>0</v>
      </c>
      <c r="V125" s="1">
        <f t="shared" si="54"/>
        <v>0</v>
      </c>
      <c r="W125" s="1">
        <f t="shared" si="55"/>
        <v>0</v>
      </c>
      <c r="X125" s="1">
        <f t="shared" si="56"/>
        <v>0</v>
      </c>
      <c r="Y125" s="1">
        <f t="shared" si="57"/>
        <v>0</v>
      </c>
      <c r="Z125" s="1">
        <f t="shared" si="58"/>
        <v>0</v>
      </c>
      <c r="AA125" s="1">
        <f t="shared" si="59"/>
        <v>0</v>
      </c>
      <c r="AB125" s="1">
        <f t="shared" si="60"/>
        <v>0</v>
      </c>
      <c r="AD125" s="1">
        <f t="shared" si="61"/>
        <v>0</v>
      </c>
      <c r="AE125" s="1">
        <f t="shared" si="62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</row>
    <row r="126" spans="1:35" ht="14.25" customHeight="1" x14ac:dyDescent="0.25">
      <c r="A126" s="34">
        <v>0</v>
      </c>
      <c r="B126" s="34">
        <v>1</v>
      </c>
      <c r="C126" s="34">
        <v>3</v>
      </c>
      <c r="D126" s="35" t="s">
        <v>920</v>
      </c>
      <c r="E126" s="35" t="s">
        <v>172</v>
      </c>
      <c r="F126" s="35" t="s">
        <v>1157</v>
      </c>
      <c r="G126" s="35" t="s">
        <v>39</v>
      </c>
      <c r="H126" s="35" t="s">
        <v>363</v>
      </c>
      <c r="I126" s="34" t="s">
        <v>891</v>
      </c>
      <c r="J126" s="34">
        <v>14</v>
      </c>
      <c r="K126" s="36" t="s">
        <v>957</v>
      </c>
      <c r="L126" s="36" t="s">
        <v>39</v>
      </c>
      <c r="M126" s="37" t="s">
        <v>39</v>
      </c>
      <c r="N126" s="37" t="s">
        <v>1733</v>
      </c>
      <c r="O126" s="38">
        <v>1</v>
      </c>
      <c r="P126" s="38">
        <v>1</v>
      </c>
      <c r="Q126" s="39"/>
      <c r="S126" s="1">
        <f t="shared" si="51"/>
        <v>0</v>
      </c>
      <c r="T126" s="1">
        <f t="shared" si="52"/>
        <v>0</v>
      </c>
      <c r="U126" s="1">
        <f t="shared" si="53"/>
        <v>0</v>
      </c>
      <c r="V126" s="1">
        <f t="shared" si="54"/>
        <v>0</v>
      </c>
      <c r="W126" s="1">
        <f t="shared" si="55"/>
        <v>0</v>
      </c>
      <c r="X126" s="1">
        <f t="shared" si="56"/>
        <v>0</v>
      </c>
      <c r="Y126" s="1">
        <f t="shared" si="57"/>
        <v>0</v>
      </c>
      <c r="Z126" s="1">
        <f t="shared" si="58"/>
        <v>0</v>
      </c>
      <c r="AA126" s="1">
        <f t="shared" si="59"/>
        <v>0</v>
      </c>
      <c r="AB126" s="1">
        <f t="shared" si="60"/>
        <v>0</v>
      </c>
      <c r="AD126" s="1">
        <f t="shared" si="61"/>
        <v>1</v>
      </c>
      <c r="AE126" s="1">
        <f t="shared" si="62"/>
        <v>0</v>
      </c>
      <c r="AF126" s="1">
        <f t="shared" si="35"/>
        <v>1</v>
      </c>
      <c r="AG126" s="1">
        <f t="shared" si="36"/>
        <v>0</v>
      </c>
      <c r="AH126" s="1">
        <f t="shared" si="37"/>
        <v>1</v>
      </c>
      <c r="AI126" s="1">
        <f t="shared" si="38"/>
        <v>0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172</v>
      </c>
      <c r="F127" s="16" t="s">
        <v>931</v>
      </c>
      <c r="G127" s="16" t="s">
        <v>39</v>
      </c>
      <c r="H127" s="16" t="s">
        <v>358</v>
      </c>
      <c r="I127" s="15" t="s">
        <v>452</v>
      </c>
      <c r="J127" s="15">
        <v>18</v>
      </c>
      <c r="K127" s="10" t="s">
        <v>956</v>
      </c>
      <c r="L127" s="10" t="s">
        <v>697</v>
      </c>
      <c r="M127" s="19" t="s">
        <v>691</v>
      </c>
      <c r="N127" s="17"/>
      <c r="Q127" s="16" t="s">
        <v>1888</v>
      </c>
      <c r="S127" s="1">
        <f t="shared" si="51"/>
        <v>0</v>
      </c>
      <c r="T127" s="1">
        <f t="shared" si="52"/>
        <v>0</v>
      </c>
      <c r="U127" s="1">
        <f t="shared" si="53"/>
        <v>0</v>
      </c>
      <c r="V127" s="1">
        <f t="shared" si="54"/>
        <v>0</v>
      </c>
      <c r="W127" s="1">
        <f t="shared" si="55"/>
        <v>0</v>
      </c>
      <c r="X127" s="1">
        <f t="shared" si="56"/>
        <v>0</v>
      </c>
      <c r="Y127" s="1">
        <f t="shared" si="57"/>
        <v>0</v>
      </c>
      <c r="Z127" s="1">
        <f t="shared" si="58"/>
        <v>0</v>
      </c>
      <c r="AA127" s="1">
        <f t="shared" si="59"/>
        <v>0</v>
      </c>
      <c r="AB127" s="1">
        <f t="shared" si="60"/>
        <v>0</v>
      </c>
      <c r="AD127" s="1">
        <f t="shared" si="61"/>
        <v>0</v>
      </c>
      <c r="AE127" s="1">
        <f t="shared" si="62"/>
        <v>0</v>
      </c>
      <c r="AF127" s="1">
        <f t="shared" si="35"/>
        <v>0</v>
      </c>
      <c r="AG127" s="1">
        <f t="shared" si="36"/>
        <v>0</v>
      </c>
      <c r="AH127" s="1">
        <f t="shared" si="37"/>
        <v>0</v>
      </c>
      <c r="AI127" s="1">
        <f t="shared" si="38"/>
        <v>1</v>
      </c>
    </row>
    <row r="128" spans="1:35" ht="14.25" customHeight="1" x14ac:dyDescent="0.25">
      <c r="A128" s="41">
        <v>0</v>
      </c>
      <c r="B128" s="41">
        <v>1</v>
      </c>
      <c r="C128" s="41">
        <v>3</v>
      </c>
      <c r="D128" s="42" t="s">
        <v>1508</v>
      </c>
      <c r="E128" s="42" t="s">
        <v>1652</v>
      </c>
      <c r="F128" s="42" t="s">
        <v>1510</v>
      </c>
      <c r="G128" s="42" t="s">
        <v>39</v>
      </c>
      <c r="H128" s="42" t="s">
        <v>1511</v>
      </c>
      <c r="I128" s="41" t="s">
        <v>1509</v>
      </c>
      <c r="J128" s="41">
        <v>14</v>
      </c>
      <c r="K128" s="43" t="s">
        <v>962</v>
      </c>
      <c r="L128" s="43" t="s">
        <v>687</v>
      </c>
      <c r="M128" s="44" t="s">
        <v>1396</v>
      </c>
      <c r="N128" s="45"/>
      <c r="O128" s="46"/>
      <c r="P128" s="46">
        <v>1</v>
      </c>
      <c r="Q128" s="42"/>
      <c r="S128" s="1">
        <f t="shared" si="51"/>
        <v>0</v>
      </c>
      <c r="T128" s="1">
        <f t="shared" si="52"/>
        <v>0</v>
      </c>
      <c r="U128" s="1">
        <f t="shared" si="53"/>
        <v>0</v>
      </c>
      <c r="V128" s="1">
        <f t="shared" si="54"/>
        <v>0</v>
      </c>
      <c r="W128" s="1">
        <f t="shared" si="55"/>
        <v>0</v>
      </c>
      <c r="X128" s="1">
        <f t="shared" si="56"/>
        <v>0</v>
      </c>
      <c r="Y128" s="1">
        <f t="shared" si="57"/>
        <v>0</v>
      </c>
      <c r="Z128" s="1">
        <f t="shared" si="58"/>
        <v>0</v>
      </c>
      <c r="AA128" s="1">
        <f t="shared" si="59"/>
        <v>0</v>
      </c>
      <c r="AB128" s="1">
        <f t="shared" si="60"/>
        <v>0</v>
      </c>
      <c r="AD128" s="1">
        <f t="shared" si="61"/>
        <v>0</v>
      </c>
      <c r="AE128" s="1">
        <f t="shared" si="62"/>
        <v>0</v>
      </c>
      <c r="AF128" s="1">
        <f t="shared" si="35"/>
        <v>0</v>
      </c>
      <c r="AG128" s="1">
        <f t="shared" si="36"/>
        <v>0</v>
      </c>
      <c r="AH128" s="1">
        <f t="shared" si="37"/>
        <v>1</v>
      </c>
      <c r="AI128" s="1">
        <f t="shared" si="38"/>
        <v>0</v>
      </c>
    </row>
    <row r="129" spans="1:35" ht="14.25" customHeight="1" x14ac:dyDescent="0.25">
      <c r="A129" s="47">
        <v>0</v>
      </c>
      <c r="B129" s="47">
        <v>1</v>
      </c>
      <c r="C129" s="47">
        <v>3</v>
      </c>
      <c r="D129" s="48" t="s">
        <v>1256</v>
      </c>
      <c r="E129" s="48" t="s">
        <v>172</v>
      </c>
      <c r="F129" s="48" t="s">
        <v>1257</v>
      </c>
      <c r="G129" s="48" t="s">
        <v>1259</v>
      </c>
      <c r="H129" s="48" t="s">
        <v>354</v>
      </c>
      <c r="I129" s="47" t="s">
        <v>1258</v>
      </c>
      <c r="J129" s="47">
        <v>99</v>
      </c>
      <c r="K129" s="49" t="s">
        <v>958</v>
      </c>
      <c r="L129" s="49" t="s">
        <v>693</v>
      </c>
      <c r="M129" s="50" t="s">
        <v>971</v>
      </c>
      <c r="N129" s="50" t="s">
        <v>1802</v>
      </c>
      <c r="O129" s="51"/>
      <c r="P129" s="51"/>
      <c r="Q129" s="48"/>
      <c r="S129" s="1">
        <f t="shared" si="51"/>
        <v>0</v>
      </c>
      <c r="T129" s="1">
        <f t="shared" si="52"/>
        <v>0</v>
      </c>
      <c r="U129" s="1">
        <f t="shared" si="53"/>
        <v>0</v>
      </c>
      <c r="V129" s="1">
        <f t="shared" si="54"/>
        <v>0</v>
      </c>
      <c r="W129" s="1">
        <f t="shared" si="55"/>
        <v>0</v>
      </c>
      <c r="X129" s="1">
        <f t="shared" si="56"/>
        <v>0</v>
      </c>
      <c r="Y129" s="1">
        <f t="shared" si="57"/>
        <v>0</v>
      </c>
      <c r="Z129" s="1">
        <f t="shared" si="58"/>
        <v>0</v>
      </c>
      <c r="AA129" s="1">
        <f t="shared" si="59"/>
        <v>0</v>
      </c>
      <c r="AB129" s="1">
        <f t="shared" si="60"/>
        <v>0</v>
      </c>
      <c r="AD129" s="1">
        <f t="shared" si="61"/>
        <v>0</v>
      </c>
      <c r="AE129" s="1">
        <f t="shared" si="62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1502</v>
      </c>
      <c r="E130" s="16" t="s">
        <v>172</v>
      </c>
      <c r="F130" s="16" t="s">
        <v>1503</v>
      </c>
      <c r="G130" s="16" t="s">
        <v>39</v>
      </c>
      <c r="H130" s="16" t="s">
        <v>365</v>
      </c>
      <c r="I130" s="15" t="s">
        <v>1504</v>
      </c>
      <c r="J130" s="15">
        <v>18</v>
      </c>
      <c r="K130" s="10" t="s">
        <v>956</v>
      </c>
      <c r="L130" s="10" t="s">
        <v>1742</v>
      </c>
      <c r="M130" s="19" t="s">
        <v>39</v>
      </c>
      <c r="N130" s="17"/>
      <c r="Q130" s="16"/>
      <c r="S130" s="1">
        <f t="shared" si="51"/>
        <v>0</v>
      </c>
      <c r="T130" s="1">
        <f t="shared" si="52"/>
        <v>0</v>
      </c>
      <c r="U130" s="1">
        <f t="shared" si="53"/>
        <v>0</v>
      </c>
      <c r="V130" s="1">
        <f t="shared" si="54"/>
        <v>0</v>
      </c>
      <c r="W130" s="1">
        <f t="shared" si="55"/>
        <v>0</v>
      </c>
      <c r="X130" s="1">
        <f t="shared" si="56"/>
        <v>0</v>
      </c>
      <c r="Y130" s="1">
        <f t="shared" si="57"/>
        <v>0</v>
      </c>
      <c r="Z130" s="1">
        <f t="shared" si="58"/>
        <v>0</v>
      </c>
      <c r="AA130" s="1">
        <f t="shared" si="59"/>
        <v>0</v>
      </c>
      <c r="AB130" s="1">
        <f t="shared" si="60"/>
        <v>0</v>
      </c>
      <c r="AD130" s="1">
        <f t="shared" si="61"/>
        <v>0</v>
      </c>
      <c r="AE130" s="1">
        <f t="shared" si="62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1623</v>
      </c>
      <c r="E131" s="16" t="s">
        <v>172</v>
      </c>
      <c r="F131" s="16" t="s">
        <v>1626</v>
      </c>
      <c r="G131" s="16" t="s">
        <v>39</v>
      </c>
      <c r="H131" s="16" t="s">
        <v>1624</v>
      </c>
      <c r="I131" s="15" t="s">
        <v>1625</v>
      </c>
      <c r="J131" s="15">
        <v>15</v>
      </c>
      <c r="K131" s="10" t="s">
        <v>722</v>
      </c>
      <c r="L131" s="10" t="s">
        <v>39</v>
      </c>
      <c r="M131" s="19" t="s">
        <v>39</v>
      </c>
      <c r="N131" s="17"/>
      <c r="Q131" s="16"/>
      <c r="S131" s="1">
        <f t="shared" si="51"/>
        <v>0</v>
      </c>
      <c r="T131" s="1">
        <f t="shared" si="52"/>
        <v>0</v>
      </c>
      <c r="U131" s="1">
        <f t="shared" si="53"/>
        <v>0</v>
      </c>
      <c r="V131" s="1">
        <f t="shared" si="54"/>
        <v>0</v>
      </c>
      <c r="W131" s="1">
        <f t="shared" si="55"/>
        <v>0</v>
      </c>
      <c r="X131" s="1">
        <f t="shared" si="56"/>
        <v>0</v>
      </c>
      <c r="Y131" s="1">
        <f t="shared" si="57"/>
        <v>0</v>
      </c>
      <c r="Z131" s="1">
        <f t="shared" si="58"/>
        <v>0</v>
      </c>
      <c r="AA131" s="1">
        <f t="shared" si="59"/>
        <v>0</v>
      </c>
      <c r="AB131" s="1">
        <f t="shared" si="60"/>
        <v>0</v>
      </c>
      <c r="AD131" s="1">
        <f t="shared" si="61"/>
        <v>0</v>
      </c>
      <c r="AE131" s="1">
        <f t="shared" si="62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1244</v>
      </c>
      <c r="E132" s="16" t="s">
        <v>1246</v>
      </c>
      <c r="F132" s="16" t="s">
        <v>1247</v>
      </c>
      <c r="G132" s="16" t="s">
        <v>39</v>
      </c>
      <c r="H132" s="16" t="s">
        <v>369</v>
      </c>
      <c r="I132" s="15" t="s">
        <v>1245</v>
      </c>
      <c r="J132" s="15">
        <v>14</v>
      </c>
      <c r="K132" s="10" t="s">
        <v>958</v>
      </c>
      <c r="L132" s="10" t="s">
        <v>687</v>
      </c>
      <c r="M132" s="19" t="s">
        <v>1396</v>
      </c>
      <c r="N132" s="17"/>
      <c r="Q132" s="16"/>
      <c r="S132" s="1">
        <f t="shared" si="51"/>
        <v>0</v>
      </c>
      <c r="T132" s="1">
        <f t="shared" si="52"/>
        <v>0</v>
      </c>
      <c r="U132" s="1">
        <f t="shared" si="53"/>
        <v>0</v>
      </c>
      <c r="V132" s="1">
        <f t="shared" si="54"/>
        <v>0</v>
      </c>
      <c r="W132" s="1">
        <f t="shared" si="55"/>
        <v>0</v>
      </c>
      <c r="X132" s="1">
        <f t="shared" si="56"/>
        <v>0</v>
      </c>
      <c r="Y132" s="1">
        <f t="shared" si="57"/>
        <v>0</v>
      </c>
      <c r="Z132" s="1">
        <f t="shared" si="58"/>
        <v>0</v>
      </c>
      <c r="AA132" s="1">
        <f t="shared" si="59"/>
        <v>0</v>
      </c>
      <c r="AB132" s="1">
        <f t="shared" si="60"/>
        <v>0</v>
      </c>
      <c r="AD132" s="1">
        <f t="shared" si="61"/>
        <v>0</v>
      </c>
      <c r="AE132" s="1">
        <f t="shared" si="62"/>
        <v>0</v>
      </c>
      <c r="AF132" s="1">
        <f t="shared" si="35"/>
        <v>0</v>
      </c>
      <c r="AG132" s="1">
        <f t="shared" si="36"/>
        <v>0</v>
      </c>
      <c r="AH132" s="1">
        <f t="shared" si="37"/>
        <v>0</v>
      </c>
      <c r="AI132" s="1">
        <f t="shared" si="38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176</v>
      </c>
      <c r="F133" s="35" t="s">
        <v>331</v>
      </c>
      <c r="G133" s="35" t="s">
        <v>182</v>
      </c>
      <c r="H133" s="35" t="s">
        <v>354</v>
      </c>
      <c r="I133" s="34" t="s">
        <v>479</v>
      </c>
      <c r="J133" s="34">
        <v>99</v>
      </c>
      <c r="K133" s="36" t="s">
        <v>957</v>
      </c>
      <c r="L133" s="36" t="s">
        <v>39</v>
      </c>
      <c r="M133" s="37" t="s">
        <v>39</v>
      </c>
      <c r="N133" s="37" t="s">
        <v>1733</v>
      </c>
      <c r="O133" s="38">
        <v>1</v>
      </c>
      <c r="P133" s="38">
        <v>1</v>
      </c>
      <c r="Q133" s="35"/>
      <c r="S133" s="1">
        <f t="shared" si="51"/>
        <v>0</v>
      </c>
      <c r="T133" s="1">
        <f t="shared" si="52"/>
        <v>0</v>
      </c>
      <c r="U133" s="1">
        <f t="shared" si="53"/>
        <v>0</v>
      </c>
      <c r="V133" s="1">
        <f t="shared" si="54"/>
        <v>0</v>
      </c>
      <c r="W133" s="1">
        <f t="shared" si="55"/>
        <v>0</v>
      </c>
      <c r="X133" s="1">
        <f t="shared" si="56"/>
        <v>0</v>
      </c>
      <c r="Y133" s="1">
        <f t="shared" si="57"/>
        <v>0</v>
      </c>
      <c r="Z133" s="1">
        <f t="shared" si="58"/>
        <v>0</v>
      </c>
      <c r="AA133" s="1">
        <f t="shared" si="59"/>
        <v>0</v>
      </c>
      <c r="AB133" s="1">
        <f t="shared" si="60"/>
        <v>0</v>
      </c>
      <c r="AD133" s="1">
        <f t="shared" si="61"/>
        <v>1</v>
      </c>
      <c r="AE133" s="1">
        <f t="shared" si="62"/>
        <v>0</v>
      </c>
      <c r="AF133" s="1">
        <f t="shared" si="35"/>
        <v>1</v>
      </c>
      <c r="AG133" s="1">
        <f t="shared" si="36"/>
        <v>0</v>
      </c>
      <c r="AH133" s="1">
        <f t="shared" si="37"/>
        <v>1</v>
      </c>
      <c r="AI133" s="1">
        <f t="shared" si="38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921</v>
      </c>
      <c r="E134" s="35" t="s">
        <v>172</v>
      </c>
      <c r="F134" s="35" t="s">
        <v>933</v>
      </c>
      <c r="G134" s="35" t="s">
        <v>235</v>
      </c>
      <c r="H134" s="35" t="s">
        <v>354</v>
      </c>
      <c r="I134" s="34" t="s">
        <v>947</v>
      </c>
      <c r="J134" s="34">
        <v>99</v>
      </c>
      <c r="K134" s="36" t="s">
        <v>722</v>
      </c>
      <c r="L134" s="36">
        <v>45</v>
      </c>
      <c r="M134" s="37" t="s">
        <v>39</v>
      </c>
      <c r="N134" s="37" t="s">
        <v>1801</v>
      </c>
      <c r="O134" s="38">
        <v>1</v>
      </c>
      <c r="P134" s="38"/>
      <c r="Q134" s="35"/>
      <c r="S134" s="1">
        <f t="shared" si="51"/>
        <v>0</v>
      </c>
      <c r="T134" s="1">
        <f t="shared" si="52"/>
        <v>0</v>
      </c>
      <c r="U134" s="1">
        <f t="shared" si="53"/>
        <v>0</v>
      </c>
      <c r="V134" s="1">
        <f t="shared" si="54"/>
        <v>0</v>
      </c>
      <c r="W134" s="1">
        <f t="shared" si="55"/>
        <v>0</v>
      </c>
      <c r="X134" s="1">
        <f t="shared" si="56"/>
        <v>0</v>
      </c>
      <c r="Y134" s="1">
        <f t="shared" si="57"/>
        <v>0</v>
      </c>
      <c r="Z134" s="1">
        <f t="shared" si="58"/>
        <v>0</v>
      </c>
      <c r="AA134" s="1">
        <f t="shared" si="59"/>
        <v>0</v>
      </c>
      <c r="AB134" s="1">
        <f t="shared" si="60"/>
        <v>0</v>
      </c>
      <c r="AD134" s="1">
        <f t="shared" si="61"/>
        <v>0</v>
      </c>
      <c r="AE134" s="1">
        <f t="shared" si="62"/>
        <v>1</v>
      </c>
      <c r="AF134" s="1">
        <f t="shared" si="35"/>
        <v>0</v>
      </c>
      <c r="AG134" s="1">
        <f t="shared" si="36"/>
        <v>1</v>
      </c>
      <c r="AH134" s="1">
        <f t="shared" si="37"/>
        <v>0</v>
      </c>
      <c r="AI134" s="1">
        <f t="shared" si="38"/>
        <v>1</v>
      </c>
    </row>
    <row r="135" spans="1:35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610</v>
      </c>
      <c r="F135" s="48" t="s">
        <v>308</v>
      </c>
      <c r="G135" s="48" t="s">
        <v>39</v>
      </c>
      <c r="H135" s="48" t="s">
        <v>362</v>
      </c>
      <c r="I135" s="47" t="s">
        <v>457</v>
      </c>
      <c r="J135" s="47">
        <v>12</v>
      </c>
      <c r="K135" s="49" t="s">
        <v>703</v>
      </c>
      <c r="L135" s="49">
        <v>40</v>
      </c>
      <c r="M135" s="50" t="s">
        <v>971</v>
      </c>
      <c r="N135" s="50" t="s">
        <v>1802</v>
      </c>
      <c r="O135" s="51"/>
      <c r="P135" s="51"/>
      <c r="Q135" s="48"/>
      <c r="S135" s="1">
        <f t="shared" si="51"/>
        <v>0</v>
      </c>
      <c r="T135" s="1">
        <f t="shared" si="52"/>
        <v>0</v>
      </c>
      <c r="U135" s="1">
        <f t="shared" si="53"/>
        <v>0</v>
      </c>
      <c r="V135" s="1">
        <f t="shared" si="54"/>
        <v>0</v>
      </c>
      <c r="W135" s="1">
        <f t="shared" si="55"/>
        <v>0</v>
      </c>
      <c r="X135" s="1">
        <f t="shared" si="56"/>
        <v>0</v>
      </c>
      <c r="Y135" s="1">
        <f t="shared" si="57"/>
        <v>0</v>
      </c>
      <c r="Z135" s="1">
        <f t="shared" si="58"/>
        <v>0</v>
      </c>
      <c r="AA135" s="1">
        <f t="shared" si="59"/>
        <v>0</v>
      </c>
      <c r="AB135" s="1">
        <f t="shared" si="60"/>
        <v>0</v>
      </c>
      <c r="AD135" s="1">
        <f t="shared" si="61"/>
        <v>0</v>
      </c>
      <c r="AE135" s="1">
        <f t="shared" si="62"/>
        <v>0</v>
      </c>
      <c r="AF135" s="1">
        <f t="shared" si="35"/>
        <v>0</v>
      </c>
      <c r="AG135" s="1">
        <f t="shared" si="36"/>
        <v>0</v>
      </c>
      <c r="AH135" s="1">
        <f t="shared" si="37"/>
        <v>0</v>
      </c>
      <c r="AI135" s="1">
        <f t="shared" si="38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1582</v>
      </c>
      <c r="E136" s="16" t="s">
        <v>170</v>
      </c>
      <c r="F136" s="16" t="s">
        <v>1584</v>
      </c>
      <c r="G136" s="16"/>
      <c r="H136" s="16" t="s">
        <v>365</v>
      </c>
      <c r="I136" s="15" t="s">
        <v>1583</v>
      </c>
      <c r="J136" s="15">
        <v>18</v>
      </c>
      <c r="K136" s="10" t="s">
        <v>703</v>
      </c>
      <c r="L136" s="10" t="s">
        <v>688</v>
      </c>
      <c r="M136" s="19" t="s">
        <v>971</v>
      </c>
      <c r="N136" s="17"/>
      <c r="Q136" s="16"/>
      <c r="S136" s="1">
        <f t="shared" si="51"/>
        <v>0</v>
      </c>
      <c r="T136" s="1">
        <f t="shared" si="52"/>
        <v>0</v>
      </c>
      <c r="U136" s="1">
        <f t="shared" si="53"/>
        <v>0</v>
      </c>
      <c r="V136" s="1">
        <f t="shared" si="54"/>
        <v>0</v>
      </c>
      <c r="W136" s="1">
        <f t="shared" si="55"/>
        <v>0</v>
      </c>
      <c r="X136" s="1">
        <f t="shared" si="56"/>
        <v>0</v>
      </c>
      <c r="Y136" s="1">
        <f t="shared" si="57"/>
        <v>0</v>
      </c>
      <c r="Z136" s="1">
        <f t="shared" si="58"/>
        <v>0</v>
      </c>
      <c r="AA136" s="1">
        <f t="shared" si="59"/>
        <v>0</v>
      </c>
      <c r="AB136" s="1">
        <f t="shared" si="60"/>
        <v>0</v>
      </c>
      <c r="AD136" s="1">
        <f t="shared" si="61"/>
        <v>0</v>
      </c>
      <c r="AE136" s="1">
        <f t="shared" si="62"/>
        <v>0</v>
      </c>
      <c r="AF136" s="1">
        <f t="shared" si="35"/>
        <v>0</v>
      </c>
      <c r="AG136" s="1">
        <f t="shared" si="36"/>
        <v>0</v>
      </c>
      <c r="AH136" s="1">
        <f t="shared" si="37"/>
        <v>0</v>
      </c>
      <c r="AI136" s="1">
        <f t="shared" si="38"/>
        <v>1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1287</v>
      </c>
      <c r="E137" s="35" t="s">
        <v>172</v>
      </c>
      <c r="F137" s="35" t="s">
        <v>1288</v>
      </c>
      <c r="G137" s="35" t="s">
        <v>238</v>
      </c>
      <c r="H137" s="35" t="s">
        <v>354</v>
      </c>
      <c r="I137" s="34" t="s">
        <v>1289</v>
      </c>
      <c r="J137" s="34">
        <v>4</v>
      </c>
      <c r="K137" s="36" t="s">
        <v>957</v>
      </c>
      <c r="L137" s="36" t="s">
        <v>39</v>
      </c>
      <c r="M137" s="37" t="s">
        <v>39</v>
      </c>
      <c r="N137" s="37" t="s">
        <v>1727</v>
      </c>
      <c r="O137" s="38">
        <v>1</v>
      </c>
      <c r="P137" s="38">
        <v>1</v>
      </c>
      <c r="Q137" s="35"/>
      <c r="S137" s="1">
        <f t="shared" si="51"/>
        <v>0</v>
      </c>
      <c r="T137" s="1">
        <f t="shared" si="52"/>
        <v>0</v>
      </c>
      <c r="U137" s="1">
        <f t="shared" si="53"/>
        <v>0</v>
      </c>
      <c r="V137" s="1">
        <f t="shared" si="54"/>
        <v>1</v>
      </c>
      <c r="W137" s="1">
        <f t="shared" si="55"/>
        <v>0</v>
      </c>
      <c r="X137" s="1">
        <f t="shared" si="56"/>
        <v>0</v>
      </c>
      <c r="Y137" s="1">
        <f t="shared" si="57"/>
        <v>0</v>
      </c>
      <c r="Z137" s="1">
        <f t="shared" si="58"/>
        <v>0</v>
      </c>
      <c r="AA137" s="1">
        <f t="shared" si="59"/>
        <v>0</v>
      </c>
      <c r="AB137" s="1">
        <f t="shared" si="60"/>
        <v>0</v>
      </c>
      <c r="AD137" s="1">
        <f t="shared" si="61"/>
        <v>1</v>
      </c>
      <c r="AE137" s="1">
        <f t="shared" si="62"/>
        <v>0</v>
      </c>
      <c r="AF137" s="1">
        <f t="shared" ref="AF137:AF202" si="91">+O137*P137*(1-A137)</f>
        <v>1</v>
      </c>
      <c r="AG137" s="1">
        <f t="shared" ref="AG137:AG202" si="92">O137*(1-P137)*(1-A137)</f>
        <v>0</v>
      </c>
      <c r="AH137" s="1">
        <f t="shared" ref="AH137:AH202" si="93">+P137*(1-A137)</f>
        <v>1</v>
      </c>
      <c r="AI137" s="1">
        <f t="shared" ref="AI137:AI202" si="94">+(1-A137)*(1-P137)</f>
        <v>0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648</v>
      </c>
      <c r="E138" s="35" t="s">
        <v>172</v>
      </c>
      <c r="F138" s="35" t="s">
        <v>657</v>
      </c>
      <c r="G138" s="35" t="s">
        <v>232</v>
      </c>
      <c r="H138" s="35" t="s">
        <v>354</v>
      </c>
      <c r="I138" s="34" t="s">
        <v>612</v>
      </c>
      <c r="J138" s="34">
        <v>99</v>
      </c>
      <c r="K138" s="36" t="s">
        <v>702</v>
      </c>
      <c r="L138" s="36" t="s">
        <v>39</v>
      </c>
      <c r="M138" s="37" t="s">
        <v>39</v>
      </c>
      <c r="N138" s="37" t="s">
        <v>1733</v>
      </c>
      <c r="O138" s="38">
        <v>1</v>
      </c>
      <c r="P138" s="38">
        <v>1</v>
      </c>
      <c r="Q138" s="35"/>
      <c r="S138" s="1">
        <f t="shared" si="51"/>
        <v>0</v>
      </c>
      <c r="T138" s="1">
        <f t="shared" si="52"/>
        <v>0</v>
      </c>
      <c r="U138" s="1">
        <f t="shared" si="53"/>
        <v>0</v>
      </c>
      <c r="V138" s="1">
        <f t="shared" si="54"/>
        <v>0</v>
      </c>
      <c r="W138" s="1">
        <f t="shared" si="55"/>
        <v>0</v>
      </c>
      <c r="X138" s="1">
        <f t="shared" si="56"/>
        <v>0</v>
      </c>
      <c r="Y138" s="1">
        <f t="shared" si="57"/>
        <v>0</v>
      </c>
      <c r="Z138" s="1">
        <f t="shared" si="58"/>
        <v>0</v>
      </c>
      <c r="AA138" s="1">
        <f t="shared" si="59"/>
        <v>0</v>
      </c>
      <c r="AB138" s="1">
        <f t="shared" si="60"/>
        <v>0</v>
      </c>
      <c r="AD138" s="1">
        <f t="shared" si="61"/>
        <v>1</v>
      </c>
      <c r="AE138" s="1">
        <f t="shared" si="62"/>
        <v>0</v>
      </c>
      <c r="AF138" s="1">
        <f t="shared" si="91"/>
        <v>1</v>
      </c>
      <c r="AG138" s="1">
        <f t="shared" si="92"/>
        <v>0</v>
      </c>
      <c r="AH138" s="1">
        <f t="shared" si="93"/>
        <v>1</v>
      </c>
      <c r="AI138" s="1">
        <f t="shared" si="94"/>
        <v>0</v>
      </c>
    </row>
    <row r="139" spans="1:35" ht="14.25" customHeight="1" x14ac:dyDescent="0.25">
      <c r="A139" s="41">
        <v>0</v>
      </c>
      <c r="B139" s="41">
        <v>1</v>
      </c>
      <c r="C139" s="41">
        <v>3</v>
      </c>
      <c r="D139" s="42" t="s">
        <v>873</v>
      </c>
      <c r="E139" s="42" t="s">
        <v>874</v>
      </c>
      <c r="F139" s="42" t="s">
        <v>875</v>
      </c>
      <c r="G139" s="42" t="s">
        <v>39</v>
      </c>
      <c r="H139" s="42" t="s">
        <v>366</v>
      </c>
      <c r="I139" s="41" t="s">
        <v>876</v>
      </c>
      <c r="J139" s="41">
        <v>18</v>
      </c>
      <c r="K139" s="43" t="s">
        <v>956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51"/>
        <v>0</v>
      </c>
      <c r="T139" s="1">
        <f t="shared" si="52"/>
        <v>0</v>
      </c>
      <c r="U139" s="1">
        <f t="shared" si="53"/>
        <v>0</v>
      </c>
      <c r="V139" s="1">
        <f t="shared" si="54"/>
        <v>0</v>
      </c>
      <c r="W139" s="1">
        <f t="shared" si="55"/>
        <v>0</v>
      </c>
      <c r="X139" s="1">
        <f t="shared" si="56"/>
        <v>0</v>
      </c>
      <c r="Y139" s="1">
        <f t="shared" si="57"/>
        <v>0</v>
      </c>
      <c r="Z139" s="1">
        <f t="shared" si="58"/>
        <v>0</v>
      </c>
      <c r="AA139" s="1">
        <f t="shared" si="59"/>
        <v>0</v>
      </c>
      <c r="AB139" s="1">
        <f t="shared" si="60"/>
        <v>0</v>
      </c>
      <c r="AD139" s="1">
        <f t="shared" si="61"/>
        <v>0</v>
      </c>
      <c r="AE139" s="1">
        <f t="shared" si="62"/>
        <v>0</v>
      </c>
      <c r="AF139" s="1">
        <f t="shared" si="91"/>
        <v>0</v>
      </c>
      <c r="AG139" s="1">
        <f t="shared" si="92"/>
        <v>0</v>
      </c>
      <c r="AH139" s="1">
        <f t="shared" si="93"/>
        <v>1</v>
      </c>
      <c r="AI139" s="1">
        <f t="shared" si="94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1307</v>
      </c>
      <c r="E140" s="35" t="s">
        <v>172</v>
      </c>
      <c r="F140" s="35" t="s">
        <v>1308</v>
      </c>
      <c r="G140" s="35" t="s">
        <v>208</v>
      </c>
      <c r="H140" s="35" t="s">
        <v>354</v>
      </c>
      <c r="I140" s="34" t="s">
        <v>1309</v>
      </c>
      <c r="J140" s="34">
        <v>3</v>
      </c>
      <c r="K140" s="36" t="s">
        <v>956</v>
      </c>
      <c r="L140" s="36" t="s">
        <v>39</v>
      </c>
      <c r="M140" s="37" t="s">
        <v>39</v>
      </c>
      <c r="N140" s="37" t="s">
        <v>1733</v>
      </c>
      <c r="O140" s="38">
        <v>1</v>
      </c>
      <c r="P140" s="38">
        <v>1</v>
      </c>
      <c r="Q140" s="35"/>
      <c r="S140" s="1">
        <f t="shared" si="51"/>
        <v>0</v>
      </c>
      <c r="T140" s="1">
        <f t="shared" si="52"/>
        <v>0</v>
      </c>
      <c r="U140" s="1">
        <f t="shared" si="53"/>
        <v>1</v>
      </c>
      <c r="V140" s="1">
        <f t="shared" si="54"/>
        <v>0</v>
      </c>
      <c r="W140" s="1">
        <f t="shared" si="55"/>
        <v>0</v>
      </c>
      <c r="X140" s="1">
        <f t="shared" si="56"/>
        <v>0</v>
      </c>
      <c r="Y140" s="1">
        <f t="shared" si="57"/>
        <v>0</v>
      </c>
      <c r="Z140" s="1">
        <f t="shared" si="58"/>
        <v>0</v>
      </c>
      <c r="AA140" s="1">
        <f t="shared" si="59"/>
        <v>0</v>
      </c>
      <c r="AB140" s="1">
        <f t="shared" si="60"/>
        <v>0</v>
      </c>
      <c r="AD140" s="1">
        <f t="shared" si="61"/>
        <v>1</v>
      </c>
      <c r="AE140" s="1">
        <f t="shared" si="62"/>
        <v>0</v>
      </c>
      <c r="AF140" s="1">
        <f t="shared" si="91"/>
        <v>1</v>
      </c>
      <c r="AG140" s="1">
        <f t="shared" si="92"/>
        <v>0</v>
      </c>
      <c r="AH140" s="1">
        <f t="shared" si="93"/>
        <v>1</v>
      </c>
      <c r="AI140" s="1">
        <f t="shared" si="94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867</v>
      </c>
      <c r="E141" s="48" t="s">
        <v>170</v>
      </c>
      <c r="F141" s="48" t="s">
        <v>868</v>
      </c>
      <c r="G141" s="48" t="s">
        <v>39</v>
      </c>
      <c r="H141" s="48" t="s">
        <v>869</v>
      </c>
      <c r="I141" s="47" t="s">
        <v>948</v>
      </c>
      <c r="J141" s="47">
        <v>11</v>
      </c>
      <c r="K141" s="49" t="s">
        <v>702</v>
      </c>
      <c r="L141" s="49" t="s">
        <v>689</v>
      </c>
      <c r="M141" s="50" t="s">
        <v>971</v>
      </c>
      <c r="N141" s="50" t="s">
        <v>1741</v>
      </c>
      <c r="O141" s="51"/>
      <c r="P141" s="51"/>
      <c r="Q141" s="48"/>
      <c r="S141" s="1">
        <f t="shared" si="51"/>
        <v>0</v>
      </c>
      <c r="T141" s="1">
        <f t="shared" si="52"/>
        <v>0</v>
      </c>
      <c r="U141" s="1">
        <f t="shared" si="53"/>
        <v>0</v>
      </c>
      <c r="V141" s="1">
        <f t="shared" si="54"/>
        <v>0</v>
      </c>
      <c r="W141" s="1">
        <f t="shared" si="55"/>
        <v>0</v>
      </c>
      <c r="X141" s="1">
        <f t="shared" si="56"/>
        <v>0</v>
      </c>
      <c r="Y141" s="1">
        <f t="shared" si="57"/>
        <v>0</v>
      </c>
      <c r="Z141" s="1">
        <f t="shared" si="58"/>
        <v>0</v>
      </c>
      <c r="AA141" s="1">
        <f t="shared" si="59"/>
        <v>0</v>
      </c>
      <c r="AB141" s="1">
        <f t="shared" si="60"/>
        <v>0</v>
      </c>
      <c r="AD141" s="1">
        <f t="shared" si="61"/>
        <v>0</v>
      </c>
      <c r="AE141" s="1">
        <f t="shared" si="62"/>
        <v>0</v>
      </c>
      <c r="AF141" s="1">
        <f t="shared" si="91"/>
        <v>0</v>
      </c>
      <c r="AG141" s="1">
        <f t="shared" si="92"/>
        <v>0</v>
      </c>
      <c r="AH141" s="1">
        <f t="shared" si="93"/>
        <v>0</v>
      </c>
      <c r="AI141" s="1">
        <f t="shared" si="94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9" t="s">
        <v>506</v>
      </c>
      <c r="E142" s="39" t="s">
        <v>170</v>
      </c>
      <c r="F142" s="39" t="s">
        <v>507</v>
      </c>
      <c r="G142" s="39" t="s">
        <v>504</v>
      </c>
      <c r="H142" s="39" t="s">
        <v>354</v>
      </c>
      <c r="I142" s="40" t="s">
        <v>508</v>
      </c>
      <c r="J142" s="34">
        <v>99</v>
      </c>
      <c r="K142" s="36" t="s">
        <v>703</v>
      </c>
      <c r="L142" s="36">
        <v>40</v>
      </c>
      <c r="M142" s="37" t="s">
        <v>971</v>
      </c>
      <c r="N142" s="37" t="s">
        <v>1946</v>
      </c>
      <c r="O142" s="38">
        <v>1</v>
      </c>
      <c r="P142" s="38"/>
      <c r="Q142" s="39"/>
      <c r="S142" s="1">
        <f t="shared" ref="S142:S207" si="95">IF(J142=$S$7,1,0)</f>
        <v>0</v>
      </c>
      <c r="T142" s="1">
        <f t="shared" ref="T142:T207" si="96">IF(J142=$T$7,1,0)</f>
        <v>0</v>
      </c>
      <c r="U142" s="1">
        <f t="shared" ref="U142:U207" si="97">IF(J142=$U$7,1,0)</f>
        <v>0</v>
      </c>
      <c r="V142" s="1">
        <f t="shared" ref="V142:V207" si="98">IF(J142=$V$7,1,0)</f>
        <v>0</v>
      </c>
      <c r="W142" s="1">
        <f t="shared" ref="W142:W207" si="99">IF(J142=$W$7,1,0)</f>
        <v>0</v>
      </c>
      <c r="X142" s="1">
        <f t="shared" ref="X142:X207" si="100">IF(J142=$X$7,1,0)</f>
        <v>0</v>
      </c>
      <c r="Y142" s="1">
        <f t="shared" ref="Y142:Y207" si="101">IF(J142=$Y$7,1,0)</f>
        <v>0</v>
      </c>
      <c r="Z142" s="1">
        <f t="shared" ref="Z142:Z207" si="102">IF(J142=$Z$7,1,0)</f>
        <v>0</v>
      </c>
      <c r="AA142" s="1">
        <f t="shared" ref="AA142:AA207" si="103">IF(J142=$AA$7,1,0)</f>
        <v>0</v>
      </c>
      <c r="AB142" s="1">
        <f t="shared" ref="AB142:AB207" si="104">IF(J142=$AB$7,1,0)</f>
        <v>0</v>
      </c>
      <c r="AD142" s="1">
        <f t="shared" ref="AD142:AD207" si="105">+O142*P142</f>
        <v>0</v>
      </c>
      <c r="AE142" s="1">
        <f t="shared" ref="AE142:AE207" si="106">O142*(1-P142)</f>
        <v>1</v>
      </c>
      <c r="AF142" s="1">
        <f t="shared" si="91"/>
        <v>0</v>
      </c>
      <c r="AG142" s="1">
        <f t="shared" si="92"/>
        <v>1</v>
      </c>
      <c r="AH142" s="1">
        <f t="shared" si="93"/>
        <v>0</v>
      </c>
      <c r="AI142" s="1">
        <f t="shared" si="94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1792</v>
      </c>
      <c r="E143" s="39" t="s">
        <v>1793</v>
      </c>
      <c r="F143" s="39" t="s">
        <v>1794</v>
      </c>
      <c r="G143" s="39" t="s">
        <v>1795</v>
      </c>
      <c r="H143" s="39" t="s">
        <v>354</v>
      </c>
      <c r="I143" s="40" t="s">
        <v>1796</v>
      </c>
      <c r="J143" s="34">
        <v>99</v>
      </c>
      <c r="K143" s="36" t="s">
        <v>703</v>
      </c>
      <c r="L143" s="36"/>
      <c r="M143" s="37"/>
      <c r="N143" s="37" t="s">
        <v>1733</v>
      </c>
      <c r="O143" s="38">
        <v>1</v>
      </c>
      <c r="P143" s="38">
        <v>1</v>
      </c>
      <c r="Q143" s="39"/>
      <c r="S143" s="1">
        <f t="shared" si="95"/>
        <v>0</v>
      </c>
      <c r="T143" s="1">
        <f t="shared" si="96"/>
        <v>0</v>
      </c>
      <c r="U143" s="1">
        <f t="shared" si="97"/>
        <v>0</v>
      </c>
      <c r="V143" s="1">
        <f t="shared" si="98"/>
        <v>0</v>
      </c>
      <c r="W143" s="1">
        <f t="shared" si="99"/>
        <v>0</v>
      </c>
      <c r="X143" s="1">
        <f t="shared" si="100"/>
        <v>0</v>
      </c>
      <c r="Y143" s="1">
        <f t="shared" si="101"/>
        <v>0</v>
      </c>
      <c r="Z143" s="1">
        <f t="shared" si="102"/>
        <v>0</v>
      </c>
      <c r="AA143" s="1">
        <f t="shared" si="103"/>
        <v>0</v>
      </c>
      <c r="AB143" s="1">
        <f t="shared" si="104"/>
        <v>0</v>
      </c>
      <c r="AD143" s="1">
        <f t="shared" si="105"/>
        <v>1</v>
      </c>
      <c r="AE143" s="1">
        <f t="shared" si="106"/>
        <v>0</v>
      </c>
      <c r="AF143" s="1">
        <f t="shared" si="91"/>
        <v>1</v>
      </c>
      <c r="AG143" s="1">
        <f t="shared" si="92"/>
        <v>0</v>
      </c>
      <c r="AH143" s="1">
        <f t="shared" si="93"/>
        <v>1</v>
      </c>
      <c r="AI143" s="1">
        <f t="shared" si="94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529</v>
      </c>
      <c r="E144" s="35" t="s">
        <v>170</v>
      </c>
      <c r="F144" s="35" t="s">
        <v>658</v>
      </c>
      <c r="G144" s="35" t="s">
        <v>39</v>
      </c>
      <c r="H144" s="35" t="s">
        <v>530</v>
      </c>
      <c r="I144" s="34" t="s">
        <v>531</v>
      </c>
      <c r="J144" s="34">
        <v>18</v>
      </c>
      <c r="K144" s="36" t="s">
        <v>956</v>
      </c>
      <c r="L144" s="36" t="s">
        <v>1742</v>
      </c>
      <c r="M144" s="37" t="s">
        <v>970</v>
      </c>
      <c r="N144" s="37" t="s">
        <v>1733</v>
      </c>
      <c r="O144" s="38">
        <v>1</v>
      </c>
      <c r="P144" s="38">
        <v>1</v>
      </c>
      <c r="Q144" s="35"/>
      <c r="S144" s="1">
        <f t="shared" si="95"/>
        <v>0</v>
      </c>
      <c r="T144" s="1">
        <f t="shared" si="96"/>
        <v>0</v>
      </c>
      <c r="U144" s="1">
        <f t="shared" si="97"/>
        <v>0</v>
      </c>
      <c r="V144" s="1">
        <f t="shared" si="98"/>
        <v>0</v>
      </c>
      <c r="W144" s="1">
        <f t="shared" si="99"/>
        <v>0</v>
      </c>
      <c r="X144" s="1">
        <f t="shared" si="100"/>
        <v>0</v>
      </c>
      <c r="Y144" s="1">
        <f t="shared" si="101"/>
        <v>0</v>
      </c>
      <c r="Z144" s="1">
        <f t="shared" si="102"/>
        <v>0</v>
      </c>
      <c r="AA144" s="1">
        <f t="shared" si="103"/>
        <v>0</v>
      </c>
      <c r="AB144" s="1">
        <f t="shared" si="104"/>
        <v>0</v>
      </c>
      <c r="AD144" s="1">
        <f t="shared" si="105"/>
        <v>1</v>
      </c>
      <c r="AE144" s="1">
        <f t="shared" si="106"/>
        <v>0</v>
      </c>
      <c r="AF144" s="1">
        <f t="shared" si="91"/>
        <v>1</v>
      </c>
      <c r="AG144" s="1">
        <f t="shared" si="92"/>
        <v>0</v>
      </c>
      <c r="AH144" s="1">
        <f t="shared" si="93"/>
        <v>1</v>
      </c>
      <c r="AI144" s="1">
        <f t="shared" si="94"/>
        <v>0</v>
      </c>
    </row>
    <row r="145" spans="1:35" ht="14.25" customHeight="1" x14ac:dyDescent="0.25">
      <c r="A145" s="47">
        <v>0</v>
      </c>
      <c r="B145" s="47">
        <v>1</v>
      </c>
      <c r="C145" s="47">
        <v>3</v>
      </c>
      <c r="D145" s="48" t="s">
        <v>975</v>
      </c>
      <c r="E145" s="48" t="s">
        <v>175</v>
      </c>
      <c r="F145" s="48" t="s">
        <v>805</v>
      </c>
      <c r="G145" s="48" t="s">
        <v>39</v>
      </c>
      <c r="H145" s="48" t="s">
        <v>806</v>
      </c>
      <c r="I145" s="47" t="s">
        <v>807</v>
      </c>
      <c r="J145" s="47">
        <v>16</v>
      </c>
      <c r="K145" s="49" t="s">
        <v>957</v>
      </c>
      <c r="L145" s="49" t="s">
        <v>1141</v>
      </c>
      <c r="M145" s="50" t="s">
        <v>970</v>
      </c>
      <c r="N145" s="50" t="s">
        <v>1739</v>
      </c>
      <c r="O145" s="51"/>
      <c r="P145" s="51"/>
      <c r="Q145" s="48"/>
      <c r="S145" s="1">
        <f t="shared" si="95"/>
        <v>0</v>
      </c>
      <c r="T145" s="1">
        <f t="shared" si="96"/>
        <v>0</v>
      </c>
      <c r="U145" s="1">
        <f t="shared" si="97"/>
        <v>0</v>
      </c>
      <c r="V145" s="1">
        <f t="shared" si="98"/>
        <v>0</v>
      </c>
      <c r="W145" s="1">
        <f t="shared" si="99"/>
        <v>0</v>
      </c>
      <c r="X145" s="1">
        <f t="shared" si="100"/>
        <v>0</v>
      </c>
      <c r="Y145" s="1">
        <f t="shared" si="101"/>
        <v>0</v>
      </c>
      <c r="Z145" s="1">
        <f t="shared" si="102"/>
        <v>0</v>
      </c>
      <c r="AA145" s="1">
        <f t="shared" si="103"/>
        <v>0</v>
      </c>
      <c r="AB145" s="1">
        <f t="shared" si="104"/>
        <v>0</v>
      </c>
      <c r="AD145" s="1">
        <f t="shared" si="105"/>
        <v>0</v>
      </c>
      <c r="AE145" s="1">
        <f t="shared" si="106"/>
        <v>0</v>
      </c>
      <c r="AF145" s="1">
        <f t="shared" si="91"/>
        <v>0</v>
      </c>
      <c r="AG145" s="1">
        <f t="shared" si="92"/>
        <v>0</v>
      </c>
      <c r="AH145" s="1">
        <f t="shared" si="93"/>
        <v>0</v>
      </c>
      <c r="AI145" s="1">
        <f t="shared" si="94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1198</v>
      </c>
      <c r="E146" s="35" t="s">
        <v>172</v>
      </c>
      <c r="F146" s="35" t="s">
        <v>1199</v>
      </c>
      <c r="G146" s="35" t="s">
        <v>238</v>
      </c>
      <c r="H146" s="35" t="s">
        <v>354</v>
      </c>
      <c r="I146" s="34" t="s">
        <v>1200</v>
      </c>
      <c r="J146" s="34">
        <v>4</v>
      </c>
      <c r="K146" s="36" t="s">
        <v>963</v>
      </c>
      <c r="L146" s="36" t="s">
        <v>1699</v>
      </c>
      <c r="M146" s="37" t="s">
        <v>1604</v>
      </c>
      <c r="N146" s="37" t="s">
        <v>1727</v>
      </c>
      <c r="O146" s="38">
        <v>1</v>
      </c>
      <c r="P146" s="38">
        <v>1</v>
      </c>
      <c r="Q146" s="35"/>
      <c r="S146" s="1">
        <f t="shared" si="95"/>
        <v>0</v>
      </c>
      <c r="T146" s="1">
        <f t="shared" si="96"/>
        <v>0</v>
      </c>
      <c r="U146" s="1">
        <f t="shared" si="97"/>
        <v>0</v>
      </c>
      <c r="V146" s="1">
        <f t="shared" si="98"/>
        <v>1</v>
      </c>
      <c r="W146" s="1">
        <f t="shared" si="99"/>
        <v>0</v>
      </c>
      <c r="X146" s="1">
        <f t="shared" si="100"/>
        <v>0</v>
      </c>
      <c r="Y146" s="1">
        <f t="shared" si="101"/>
        <v>0</v>
      </c>
      <c r="Z146" s="1">
        <f t="shared" si="102"/>
        <v>0</v>
      </c>
      <c r="AA146" s="1">
        <f t="shared" si="103"/>
        <v>0</v>
      </c>
      <c r="AB146" s="1">
        <f t="shared" si="104"/>
        <v>0</v>
      </c>
      <c r="AD146" s="1">
        <f t="shared" si="105"/>
        <v>1</v>
      </c>
      <c r="AE146" s="1">
        <f t="shared" si="106"/>
        <v>0</v>
      </c>
      <c r="AF146" s="1">
        <f t="shared" si="91"/>
        <v>1</v>
      </c>
      <c r="AG146" s="1">
        <f t="shared" si="92"/>
        <v>0</v>
      </c>
      <c r="AH146" s="1">
        <f t="shared" si="93"/>
        <v>1</v>
      </c>
      <c r="AI146" s="1">
        <f t="shared" si="94"/>
        <v>0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1641</v>
      </c>
      <c r="E147" s="35" t="s">
        <v>170</v>
      </c>
      <c r="F147" s="35" t="s">
        <v>1476</v>
      </c>
      <c r="G147" s="35" t="s">
        <v>1669</v>
      </c>
      <c r="H147" s="35" t="s">
        <v>354</v>
      </c>
      <c r="I147" s="34" t="s">
        <v>1475</v>
      </c>
      <c r="J147" s="34">
        <v>99</v>
      </c>
      <c r="K147" s="36" t="s">
        <v>702</v>
      </c>
      <c r="L147" s="36" t="s">
        <v>1704</v>
      </c>
      <c r="M147" s="37" t="s">
        <v>1477</v>
      </c>
      <c r="N147" s="37" t="s">
        <v>1749</v>
      </c>
      <c r="O147" s="38">
        <v>1</v>
      </c>
      <c r="P147" s="38"/>
      <c r="Q147" s="35"/>
      <c r="S147" s="1">
        <f t="shared" si="95"/>
        <v>0</v>
      </c>
      <c r="T147" s="1">
        <f t="shared" si="96"/>
        <v>0</v>
      </c>
      <c r="U147" s="1">
        <f t="shared" si="97"/>
        <v>0</v>
      </c>
      <c r="V147" s="1">
        <f t="shared" si="98"/>
        <v>0</v>
      </c>
      <c r="W147" s="1">
        <f t="shared" si="99"/>
        <v>0</v>
      </c>
      <c r="X147" s="1">
        <f t="shared" si="100"/>
        <v>0</v>
      </c>
      <c r="Y147" s="1">
        <f t="shared" si="101"/>
        <v>0</v>
      </c>
      <c r="Z147" s="1">
        <f t="shared" si="102"/>
        <v>0</v>
      </c>
      <c r="AA147" s="1">
        <f t="shared" si="103"/>
        <v>0</v>
      </c>
      <c r="AB147" s="1">
        <f t="shared" si="104"/>
        <v>0</v>
      </c>
      <c r="AD147" s="1">
        <f t="shared" si="105"/>
        <v>0</v>
      </c>
      <c r="AE147" s="1">
        <f t="shared" si="106"/>
        <v>1</v>
      </c>
      <c r="AF147" s="1">
        <f t="shared" si="91"/>
        <v>0</v>
      </c>
      <c r="AG147" s="1">
        <f t="shared" si="92"/>
        <v>1</v>
      </c>
      <c r="AH147" s="1">
        <f t="shared" si="93"/>
        <v>0</v>
      </c>
      <c r="AI147" s="1">
        <f t="shared" si="94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20" t="s">
        <v>1948</v>
      </c>
      <c r="E148" s="20" t="s">
        <v>172</v>
      </c>
      <c r="F148" s="20" t="s">
        <v>1964</v>
      </c>
      <c r="G148" s="20"/>
      <c r="H148" s="20" t="s">
        <v>1963</v>
      </c>
      <c r="I148" s="21" t="s">
        <v>1962</v>
      </c>
      <c r="J148" s="15">
        <v>14</v>
      </c>
      <c r="K148" s="10" t="s">
        <v>703</v>
      </c>
      <c r="L148" s="10" t="s">
        <v>697</v>
      </c>
      <c r="M148" s="19" t="s">
        <v>971</v>
      </c>
      <c r="N148" s="17"/>
      <c r="Q148" s="20" t="s">
        <v>1965</v>
      </c>
      <c r="S148" s="1">
        <f t="shared" si="95"/>
        <v>0</v>
      </c>
      <c r="T148" s="1">
        <f t="shared" si="96"/>
        <v>0</v>
      </c>
      <c r="U148" s="1">
        <f t="shared" si="97"/>
        <v>0</v>
      </c>
      <c r="V148" s="1">
        <f t="shared" si="98"/>
        <v>0</v>
      </c>
      <c r="W148" s="1">
        <f t="shared" si="99"/>
        <v>0</v>
      </c>
      <c r="X148" s="1">
        <f t="shared" si="100"/>
        <v>0</v>
      </c>
      <c r="Y148" s="1">
        <f t="shared" si="101"/>
        <v>0</v>
      </c>
      <c r="Z148" s="1">
        <f t="shared" si="102"/>
        <v>0</v>
      </c>
      <c r="AA148" s="1">
        <f t="shared" si="103"/>
        <v>0</v>
      </c>
      <c r="AB148" s="1">
        <f t="shared" si="104"/>
        <v>0</v>
      </c>
      <c r="AD148" s="1">
        <f t="shared" si="105"/>
        <v>0</v>
      </c>
      <c r="AE148" s="1">
        <f t="shared" si="106"/>
        <v>0</v>
      </c>
      <c r="AF148" s="1">
        <f t="shared" si="91"/>
        <v>0</v>
      </c>
      <c r="AG148" s="1">
        <f t="shared" si="92"/>
        <v>0</v>
      </c>
      <c r="AH148" s="1">
        <f t="shared" si="93"/>
        <v>0</v>
      </c>
      <c r="AI148" s="1">
        <f t="shared" si="94"/>
        <v>1</v>
      </c>
    </row>
    <row r="149" spans="1:35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172</v>
      </c>
      <c r="F149" s="35" t="s">
        <v>347</v>
      </c>
      <c r="G149" s="35" t="s">
        <v>39</v>
      </c>
      <c r="H149" s="35" t="s">
        <v>378</v>
      </c>
      <c r="I149" s="34" t="s">
        <v>1362</v>
      </c>
      <c r="J149" s="34">
        <v>14</v>
      </c>
      <c r="K149" s="36" t="s">
        <v>956</v>
      </c>
      <c r="L149" s="36" t="s">
        <v>689</v>
      </c>
      <c r="M149" s="37" t="s">
        <v>691</v>
      </c>
      <c r="N149" s="37" t="s">
        <v>1748</v>
      </c>
      <c r="O149" s="38">
        <v>1</v>
      </c>
      <c r="P149" s="38"/>
      <c r="Q149" s="35"/>
      <c r="S149" s="1">
        <f t="shared" si="95"/>
        <v>0</v>
      </c>
      <c r="T149" s="1">
        <f t="shared" si="96"/>
        <v>0</v>
      </c>
      <c r="U149" s="1">
        <f t="shared" si="97"/>
        <v>0</v>
      </c>
      <c r="V149" s="1">
        <f t="shared" si="98"/>
        <v>0</v>
      </c>
      <c r="W149" s="1">
        <f t="shared" si="99"/>
        <v>0</v>
      </c>
      <c r="X149" s="1">
        <f t="shared" si="100"/>
        <v>0</v>
      </c>
      <c r="Y149" s="1">
        <f t="shared" si="101"/>
        <v>0</v>
      </c>
      <c r="Z149" s="1">
        <f t="shared" si="102"/>
        <v>0</v>
      </c>
      <c r="AA149" s="1">
        <f t="shared" si="103"/>
        <v>0</v>
      </c>
      <c r="AB149" s="1">
        <f t="shared" si="104"/>
        <v>0</v>
      </c>
      <c r="AD149" s="1">
        <f t="shared" si="105"/>
        <v>0</v>
      </c>
      <c r="AE149" s="1">
        <f t="shared" si="106"/>
        <v>1</v>
      </c>
      <c r="AF149" s="1">
        <f t="shared" si="91"/>
        <v>0</v>
      </c>
      <c r="AG149" s="1">
        <f t="shared" si="92"/>
        <v>1</v>
      </c>
      <c r="AH149" s="1">
        <f t="shared" si="93"/>
        <v>0</v>
      </c>
      <c r="AI149" s="1">
        <f t="shared" si="94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1567</v>
      </c>
      <c r="E150" s="35" t="s">
        <v>172</v>
      </c>
      <c r="F150" s="35" t="s">
        <v>1568</v>
      </c>
      <c r="G150" s="35" t="s">
        <v>39</v>
      </c>
      <c r="H150" s="35" t="s">
        <v>1569</v>
      </c>
      <c r="I150" s="34" t="s">
        <v>1570</v>
      </c>
      <c r="J150" s="34">
        <v>17</v>
      </c>
      <c r="K150" s="36" t="s">
        <v>722</v>
      </c>
      <c r="L150" s="36" t="s">
        <v>39</v>
      </c>
      <c r="M150" s="37" t="s">
        <v>39</v>
      </c>
      <c r="N150" s="37" t="s">
        <v>1733</v>
      </c>
      <c r="O150" s="38">
        <v>1</v>
      </c>
      <c r="P150" s="38">
        <v>1</v>
      </c>
      <c r="Q150" s="35" t="s">
        <v>1913</v>
      </c>
      <c r="S150" s="1">
        <f t="shared" si="95"/>
        <v>0</v>
      </c>
      <c r="T150" s="1">
        <f t="shared" si="96"/>
        <v>0</v>
      </c>
      <c r="U150" s="1">
        <f t="shared" si="97"/>
        <v>0</v>
      </c>
      <c r="V150" s="1">
        <f t="shared" si="98"/>
        <v>0</v>
      </c>
      <c r="W150" s="1">
        <f t="shared" si="99"/>
        <v>0</v>
      </c>
      <c r="X150" s="1">
        <f t="shared" si="100"/>
        <v>0</v>
      </c>
      <c r="Y150" s="1">
        <f t="shared" si="101"/>
        <v>0</v>
      </c>
      <c r="Z150" s="1">
        <f t="shared" si="102"/>
        <v>0</v>
      </c>
      <c r="AA150" s="1">
        <f t="shared" si="103"/>
        <v>0</v>
      </c>
      <c r="AB150" s="1">
        <f t="shared" si="104"/>
        <v>0</v>
      </c>
      <c r="AD150" s="1">
        <f t="shared" si="105"/>
        <v>1</v>
      </c>
      <c r="AE150" s="1">
        <f t="shared" si="106"/>
        <v>0</v>
      </c>
      <c r="AF150" s="1">
        <f t="shared" si="91"/>
        <v>1</v>
      </c>
      <c r="AG150" s="1">
        <f t="shared" si="92"/>
        <v>0</v>
      </c>
      <c r="AH150" s="1">
        <f t="shared" si="93"/>
        <v>1</v>
      </c>
      <c r="AI150" s="1">
        <f t="shared" si="94"/>
        <v>0</v>
      </c>
    </row>
    <row r="151" spans="1:35" ht="14.25" customHeight="1" x14ac:dyDescent="0.25">
      <c r="A151" s="47">
        <v>0</v>
      </c>
      <c r="B151" s="47">
        <v>1</v>
      </c>
      <c r="C151" s="47">
        <v>3</v>
      </c>
      <c r="D151" s="48" t="s">
        <v>153</v>
      </c>
      <c r="E151" s="48" t="s">
        <v>172</v>
      </c>
      <c r="F151" s="48" t="s">
        <v>353</v>
      </c>
      <c r="G151" s="48" t="s">
        <v>39</v>
      </c>
      <c r="H151" s="68" t="s">
        <v>1869</v>
      </c>
      <c r="I151" s="47" t="s">
        <v>500</v>
      </c>
      <c r="J151" s="47">
        <v>14</v>
      </c>
      <c r="K151" s="49" t="s">
        <v>702</v>
      </c>
      <c r="L151" s="49" t="s">
        <v>689</v>
      </c>
      <c r="M151" s="50" t="s">
        <v>970</v>
      </c>
      <c r="N151" s="50" t="s">
        <v>1739</v>
      </c>
      <c r="O151" s="51"/>
      <c r="P151" s="51"/>
      <c r="Q151" s="68" t="s">
        <v>1896</v>
      </c>
      <c r="S151" s="1">
        <f t="shared" si="95"/>
        <v>0</v>
      </c>
      <c r="T151" s="1">
        <f t="shared" si="96"/>
        <v>0</v>
      </c>
      <c r="U151" s="1">
        <f t="shared" si="97"/>
        <v>0</v>
      </c>
      <c r="V151" s="1">
        <f t="shared" si="98"/>
        <v>0</v>
      </c>
      <c r="W151" s="1">
        <f t="shared" si="99"/>
        <v>0</v>
      </c>
      <c r="X151" s="1">
        <f t="shared" si="100"/>
        <v>0</v>
      </c>
      <c r="Y151" s="1">
        <f t="shared" si="101"/>
        <v>0</v>
      </c>
      <c r="Z151" s="1">
        <f t="shared" si="102"/>
        <v>0</v>
      </c>
      <c r="AA151" s="1">
        <f t="shared" si="103"/>
        <v>0</v>
      </c>
      <c r="AB151" s="1">
        <f t="shared" si="104"/>
        <v>0</v>
      </c>
      <c r="AD151" s="1">
        <f t="shared" si="105"/>
        <v>0</v>
      </c>
      <c r="AE151" s="1">
        <f t="shared" si="106"/>
        <v>0</v>
      </c>
      <c r="AF151" s="1">
        <f t="shared" si="91"/>
        <v>0</v>
      </c>
      <c r="AG151" s="1">
        <f t="shared" si="92"/>
        <v>0</v>
      </c>
      <c r="AH151" s="1">
        <f t="shared" si="93"/>
        <v>0</v>
      </c>
      <c r="AI151" s="1">
        <f t="shared" si="94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739</v>
      </c>
      <c r="E152" s="16" t="s">
        <v>172</v>
      </c>
      <c r="F152" s="16" t="s">
        <v>740</v>
      </c>
      <c r="G152" s="16" t="s">
        <v>39</v>
      </c>
      <c r="H152" s="16" t="s">
        <v>741</v>
      </c>
      <c r="I152" s="15" t="s">
        <v>742</v>
      </c>
      <c r="J152" s="15">
        <v>17</v>
      </c>
      <c r="K152" s="10" t="s">
        <v>722</v>
      </c>
      <c r="L152" s="10" t="s">
        <v>697</v>
      </c>
      <c r="M152" s="19" t="s">
        <v>691</v>
      </c>
      <c r="N152" s="17"/>
      <c r="Q152" s="16" t="s">
        <v>1887</v>
      </c>
      <c r="S152" s="1">
        <f t="shared" si="95"/>
        <v>0</v>
      </c>
      <c r="T152" s="1">
        <f t="shared" si="96"/>
        <v>0</v>
      </c>
      <c r="U152" s="1">
        <f t="shared" si="97"/>
        <v>0</v>
      </c>
      <c r="V152" s="1">
        <f t="shared" si="98"/>
        <v>0</v>
      </c>
      <c r="W152" s="1">
        <f t="shared" si="99"/>
        <v>0</v>
      </c>
      <c r="X152" s="1">
        <f t="shared" si="100"/>
        <v>0</v>
      </c>
      <c r="Y152" s="1">
        <f t="shared" si="101"/>
        <v>0</v>
      </c>
      <c r="Z152" s="1">
        <f t="shared" si="102"/>
        <v>0</v>
      </c>
      <c r="AA152" s="1">
        <f t="shared" si="103"/>
        <v>0</v>
      </c>
      <c r="AB152" s="1">
        <f t="shared" si="104"/>
        <v>0</v>
      </c>
      <c r="AD152" s="1">
        <f t="shared" si="105"/>
        <v>0</v>
      </c>
      <c r="AE152" s="1">
        <f t="shared" si="106"/>
        <v>0</v>
      </c>
      <c r="AF152" s="1">
        <f t="shared" si="91"/>
        <v>0</v>
      </c>
      <c r="AG152" s="1">
        <f t="shared" si="92"/>
        <v>0</v>
      </c>
      <c r="AH152" s="1">
        <f t="shared" si="93"/>
        <v>0</v>
      </c>
      <c r="AI152" s="1">
        <f t="shared" si="94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904</v>
      </c>
      <c r="E153" s="48" t="s">
        <v>172</v>
      </c>
      <c r="F153" s="48" t="s">
        <v>1096</v>
      </c>
      <c r="G153" s="48" t="s">
        <v>39</v>
      </c>
      <c r="H153" s="48" t="s">
        <v>906</v>
      </c>
      <c r="I153" s="47" t="s">
        <v>905</v>
      </c>
      <c r="J153" s="47">
        <v>11</v>
      </c>
      <c r="K153" s="49" t="s">
        <v>957</v>
      </c>
      <c r="L153" s="49">
        <v>60</v>
      </c>
      <c r="M153" s="50" t="s">
        <v>39</v>
      </c>
      <c r="N153" s="50" t="s">
        <v>1739</v>
      </c>
      <c r="O153" s="51"/>
      <c r="P153" s="51"/>
      <c r="Q153" s="48"/>
      <c r="S153" s="1">
        <f t="shared" si="95"/>
        <v>0</v>
      </c>
      <c r="T153" s="1">
        <f t="shared" si="96"/>
        <v>0</v>
      </c>
      <c r="U153" s="1">
        <f t="shared" si="97"/>
        <v>0</v>
      </c>
      <c r="V153" s="1">
        <f t="shared" si="98"/>
        <v>0</v>
      </c>
      <c r="W153" s="1">
        <f t="shared" si="99"/>
        <v>0</v>
      </c>
      <c r="X153" s="1">
        <f t="shared" si="100"/>
        <v>0</v>
      </c>
      <c r="Y153" s="1">
        <f t="shared" si="101"/>
        <v>0</v>
      </c>
      <c r="Z153" s="1">
        <f t="shared" si="102"/>
        <v>0</v>
      </c>
      <c r="AA153" s="1">
        <f t="shared" si="103"/>
        <v>0</v>
      </c>
      <c r="AB153" s="1">
        <f t="shared" si="104"/>
        <v>0</v>
      </c>
      <c r="AD153" s="1">
        <f t="shared" si="105"/>
        <v>0</v>
      </c>
      <c r="AE153" s="1">
        <f t="shared" si="106"/>
        <v>0</v>
      </c>
      <c r="AF153" s="1">
        <f t="shared" si="91"/>
        <v>0</v>
      </c>
      <c r="AG153" s="1">
        <f t="shared" si="92"/>
        <v>0</v>
      </c>
      <c r="AH153" s="1">
        <f t="shared" si="93"/>
        <v>0</v>
      </c>
      <c r="AI153" s="1">
        <f t="shared" si="94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175</v>
      </c>
      <c r="F154" s="48" t="s">
        <v>324</v>
      </c>
      <c r="G154" s="48" t="s">
        <v>39</v>
      </c>
      <c r="H154" s="48" t="s">
        <v>363</v>
      </c>
      <c r="I154" s="47" t="s">
        <v>470</v>
      </c>
      <c r="J154" s="47">
        <v>14</v>
      </c>
      <c r="K154" s="49" t="s">
        <v>722</v>
      </c>
      <c r="L154" s="49" t="s">
        <v>693</v>
      </c>
      <c r="M154" s="50" t="s">
        <v>1379</v>
      </c>
      <c r="N154" s="50" t="s">
        <v>1809</v>
      </c>
      <c r="O154" s="51"/>
      <c r="P154" s="51"/>
      <c r="Q154" s="48"/>
      <c r="S154" s="1">
        <f t="shared" si="95"/>
        <v>0</v>
      </c>
      <c r="T154" s="1">
        <f t="shared" si="96"/>
        <v>0</v>
      </c>
      <c r="U154" s="1">
        <f t="shared" si="97"/>
        <v>0</v>
      </c>
      <c r="V154" s="1">
        <f t="shared" si="98"/>
        <v>0</v>
      </c>
      <c r="W154" s="1">
        <f t="shared" si="99"/>
        <v>0</v>
      </c>
      <c r="X154" s="1">
        <f t="shared" si="100"/>
        <v>0</v>
      </c>
      <c r="Y154" s="1">
        <f t="shared" si="101"/>
        <v>0</v>
      </c>
      <c r="Z154" s="1">
        <f t="shared" si="102"/>
        <v>0</v>
      </c>
      <c r="AA154" s="1">
        <f t="shared" si="103"/>
        <v>0</v>
      </c>
      <c r="AB154" s="1">
        <f t="shared" si="104"/>
        <v>0</v>
      </c>
      <c r="AD154" s="1">
        <f t="shared" si="105"/>
        <v>0</v>
      </c>
      <c r="AE154" s="1">
        <f t="shared" si="106"/>
        <v>0</v>
      </c>
      <c r="AF154" s="1">
        <f t="shared" si="91"/>
        <v>0</v>
      </c>
      <c r="AG154" s="1">
        <f t="shared" si="92"/>
        <v>0</v>
      </c>
      <c r="AH154" s="1">
        <f t="shared" si="93"/>
        <v>0</v>
      </c>
      <c r="AI154" s="1">
        <f t="shared" si="94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1169</v>
      </c>
      <c r="E155" s="16" t="s">
        <v>172</v>
      </c>
      <c r="F155" s="16" t="s">
        <v>1171</v>
      </c>
      <c r="G155" s="16" t="s">
        <v>767</v>
      </c>
      <c r="H155" s="16" t="s">
        <v>354</v>
      </c>
      <c r="I155" s="15" t="s">
        <v>1170</v>
      </c>
      <c r="J155" s="15">
        <v>99</v>
      </c>
      <c r="K155" s="10" t="s">
        <v>703</v>
      </c>
      <c r="L155" s="10">
        <v>30</v>
      </c>
      <c r="M155" s="19" t="s">
        <v>970</v>
      </c>
      <c r="N155" s="19"/>
      <c r="Q155" s="16"/>
      <c r="S155" s="1">
        <f t="shared" si="95"/>
        <v>0</v>
      </c>
      <c r="T155" s="1">
        <f t="shared" si="96"/>
        <v>0</v>
      </c>
      <c r="U155" s="1">
        <f t="shared" si="97"/>
        <v>0</v>
      </c>
      <c r="V155" s="1">
        <f t="shared" si="98"/>
        <v>0</v>
      </c>
      <c r="W155" s="1">
        <f t="shared" si="99"/>
        <v>0</v>
      </c>
      <c r="X155" s="1">
        <f t="shared" si="100"/>
        <v>0</v>
      </c>
      <c r="Y155" s="1">
        <f t="shared" si="101"/>
        <v>0</v>
      </c>
      <c r="Z155" s="1">
        <f t="shared" si="102"/>
        <v>0</v>
      </c>
      <c r="AA155" s="1">
        <f t="shared" si="103"/>
        <v>0</v>
      </c>
      <c r="AB155" s="1">
        <f t="shared" si="104"/>
        <v>0</v>
      </c>
      <c r="AD155" s="1">
        <f t="shared" si="105"/>
        <v>0</v>
      </c>
      <c r="AE155" s="1">
        <f t="shared" si="106"/>
        <v>0</v>
      </c>
      <c r="AF155" s="1">
        <f t="shared" si="91"/>
        <v>0</v>
      </c>
      <c r="AG155" s="1">
        <f t="shared" si="92"/>
        <v>0</v>
      </c>
      <c r="AH155" s="1">
        <f t="shared" si="93"/>
        <v>0</v>
      </c>
      <c r="AI155" s="1">
        <f t="shared" si="94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743</v>
      </c>
      <c r="E156" s="16" t="s">
        <v>170</v>
      </c>
      <c r="F156" s="16" t="s">
        <v>744</v>
      </c>
      <c r="G156" s="16" t="s">
        <v>39</v>
      </c>
      <c r="H156" s="16" t="s">
        <v>745</v>
      </c>
      <c r="I156" s="15" t="s">
        <v>746</v>
      </c>
      <c r="J156" s="15">
        <v>17</v>
      </c>
      <c r="K156" s="10" t="s">
        <v>703</v>
      </c>
      <c r="L156" s="10" t="s">
        <v>697</v>
      </c>
      <c r="M156" s="19" t="s">
        <v>971</v>
      </c>
      <c r="N156" s="17"/>
      <c r="Q156" s="16"/>
      <c r="S156" s="1">
        <f t="shared" si="95"/>
        <v>0</v>
      </c>
      <c r="T156" s="1">
        <f t="shared" si="96"/>
        <v>0</v>
      </c>
      <c r="U156" s="1">
        <f t="shared" si="97"/>
        <v>0</v>
      </c>
      <c r="V156" s="1">
        <f t="shared" si="98"/>
        <v>0</v>
      </c>
      <c r="W156" s="1">
        <f t="shared" si="99"/>
        <v>0</v>
      </c>
      <c r="X156" s="1">
        <f t="shared" si="100"/>
        <v>0</v>
      </c>
      <c r="Y156" s="1">
        <f t="shared" si="101"/>
        <v>0</v>
      </c>
      <c r="Z156" s="1">
        <f t="shared" si="102"/>
        <v>0</v>
      </c>
      <c r="AA156" s="1">
        <f t="shared" si="103"/>
        <v>0</v>
      </c>
      <c r="AB156" s="1">
        <f t="shared" si="104"/>
        <v>0</v>
      </c>
      <c r="AD156" s="1">
        <f t="shared" si="105"/>
        <v>0</v>
      </c>
      <c r="AE156" s="1">
        <f t="shared" si="106"/>
        <v>0</v>
      </c>
      <c r="AF156" s="1">
        <f t="shared" si="91"/>
        <v>0</v>
      </c>
      <c r="AG156" s="1">
        <f t="shared" si="92"/>
        <v>0</v>
      </c>
      <c r="AH156" s="1">
        <f t="shared" si="93"/>
        <v>0</v>
      </c>
      <c r="AI156" s="1">
        <f t="shared" si="94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1947</v>
      </c>
      <c r="E157" s="20" t="s">
        <v>172</v>
      </c>
      <c r="F157" s="20" t="s">
        <v>1958</v>
      </c>
      <c r="G157" s="20"/>
      <c r="H157" s="20" t="s">
        <v>1959</v>
      </c>
      <c r="I157" s="21" t="s">
        <v>1960</v>
      </c>
      <c r="J157" s="15">
        <v>16</v>
      </c>
      <c r="K157" s="10" t="s">
        <v>703</v>
      </c>
      <c r="L157" s="10" t="s">
        <v>697</v>
      </c>
      <c r="M157" s="19" t="s">
        <v>971</v>
      </c>
      <c r="N157" s="17"/>
      <c r="Q157" s="20" t="s">
        <v>1957</v>
      </c>
      <c r="S157" s="1">
        <f t="shared" si="95"/>
        <v>0</v>
      </c>
      <c r="T157" s="1">
        <f t="shared" si="96"/>
        <v>0</v>
      </c>
      <c r="U157" s="1">
        <f t="shared" si="97"/>
        <v>0</v>
      </c>
      <c r="V157" s="1">
        <f t="shared" si="98"/>
        <v>0</v>
      </c>
      <c r="W157" s="1">
        <f t="shared" si="99"/>
        <v>0</v>
      </c>
      <c r="X157" s="1">
        <f t="shared" si="100"/>
        <v>0</v>
      </c>
      <c r="Y157" s="1">
        <f t="shared" si="101"/>
        <v>0</v>
      </c>
      <c r="Z157" s="1">
        <f t="shared" si="102"/>
        <v>0</v>
      </c>
      <c r="AA157" s="1">
        <f t="shared" si="103"/>
        <v>0</v>
      </c>
      <c r="AB157" s="1">
        <f t="shared" si="104"/>
        <v>0</v>
      </c>
      <c r="AD157" s="1">
        <f t="shared" si="105"/>
        <v>0</v>
      </c>
      <c r="AE157" s="1">
        <f t="shared" si="106"/>
        <v>0</v>
      </c>
      <c r="AF157" s="1">
        <f t="shared" si="91"/>
        <v>0</v>
      </c>
      <c r="AG157" s="1">
        <f t="shared" si="92"/>
        <v>0</v>
      </c>
      <c r="AH157" s="1">
        <f t="shared" si="93"/>
        <v>0</v>
      </c>
      <c r="AI157" s="1">
        <f t="shared" si="94"/>
        <v>1</v>
      </c>
    </row>
    <row r="158" spans="1:35" ht="14.25" customHeight="1" x14ac:dyDescent="0.25">
      <c r="A158" s="47">
        <v>0</v>
      </c>
      <c r="B158" s="47">
        <v>1</v>
      </c>
      <c r="C158" s="47">
        <v>3</v>
      </c>
      <c r="D158" s="48" t="s">
        <v>834</v>
      </c>
      <c r="E158" s="48" t="s">
        <v>914</v>
      </c>
      <c r="F158" s="48" t="s">
        <v>835</v>
      </c>
      <c r="G158" s="48" t="s">
        <v>208</v>
      </c>
      <c r="H158" s="48" t="s">
        <v>354</v>
      </c>
      <c r="I158" s="47" t="s">
        <v>836</v>
      </c>
      <c r="J158" s="47">
        <v>3</v>
      </c>
      <c r="K158" s="49" t="s">
        <v>722</v>
      </c>
      <c r="L158" s="49" t="s">
        <v>693</v>
      </c>
      <c r="M158" s="50" t="s">
        <v>698</v>
      </c>
      <c r="N158" s="50" t="s">
        <v>1740</v>
      </c>
      <c r="O158" s="51"/>
      <c r="P158" s="51"/>
      <c r="Q158" s="48"/>
      <c r="S158" s="1">
        <f t="shared" si="95"/>
        <v>0</v>
      </c>
      <c r="T158" s="1">
        <f t="shared" si="96"/>
        <v>0</v>
      </c>
      <c r="U158" s="1">
        <f t="shared" si="97"/>
        <v>1</v>
      </c>
      <c r="V158" s="1">
        <f t="shared" si="98"/>
        <v>0</v>
      </c>
      <c r="W158" s="1">
        <f t="shared" si="99"/>
        <v>0</v>
      </c>
      <c r="X158" s="1">
        <f t="shared" si="100"/>
        <v>0</v>
      </c>
      <c r="Y158" s="1">
        <f t="shared" si="101"/>
        <v>0</v>
      </c>
      <c r="Z158" s="1">
        <f t="shared" si="102"/>
        <v>0</v>
      </c>
      <c r="AA158" s="1">
        <f t="shared" si="103"/>
        <v>0</v>
      </c>
      <c r="AB158" s="1">
        <f t="shared" si="104"/>
        <v>0</v>
      </c>
      <c r="AD158" s="1">
        <f t="shared" si="105"/>
        <v>0</v>
      </c>
      <c r="AE158" s="1">
        <f t="shared" si="106"/>
        <v>0</v>
      </c>
      <c r="AF158" s="1">
        <f t="shared" si="91"/>
        <v>0</v>
      </c>
      <c r="AG158" s="1">
        <f t="shared" si="92"/>
        <v>0</v>
      </c>
      <c r="AH158" s="1">
        <f t="shared" si="93"/>
        <v>0</v>
      </c>
      <c r="AI158" s="1">
        <f t="shared" si="94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1953</v>
      </c>
      <c r="E159" s="20" t="s">
        <v>172</v>
      </c>
      <c r="F159" s="20" t="s">
        <v>1955</v>
      </c>
      <c r="G159" s="20"/>
      <c r="H159" s="20" t="s">
        <v>1956</v>
      </c>
      <c r="I159" s="21" t="s">
        <v>1954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1961</v>
      </c>
      <c r="S159" s="1">
        <f t="shared" si="95"/>
        <v>0</v>
      </c>
      <c r="T159" s="1">
        <f t="shared" si="96"/>
        <v>0</v>
      </c>
      <c r="U159" s="1">
        <f t="shared" si="97"/>
        <v>0</v>
      </c>
      <c r="V159" s="1">
        <f t="shared" si="98"/>
        <v>0</v>
      </c>
      <c r="W159" s="1">
        <f t="shared" si="99"/>
        <v>0</v>
      </c>
      <c r="X159" s="1">
        <f t="shared" si="100"/>
        <v>0</v>
      </c>
      <c r="Y159" s="1">
        <f t="shared" si="101"/>
        <v>0</v>
      </c>
      <c r="Z159" s="1">
        <f t="shared" si="102"/>
        <v>0</v>
      </c>
      <c r="AA159" s="1">
        <f t="shared" si="103"/>
        <v>0</v>
      </c>
      <c r="AB159" s="1">
        <f t="shared" si="104"/>
        <v>0</v>
      </c>
      <c r="AD159" s="1">
        <f t="shared" si="105"/>
        <v>0</v>
      </c>
      <c r="AE159" s="1">
        <f t="shared" si="106"/>
        <v>0</v>
      </c>
      <c r="AF159" s="1">
        <f t="shared" si="91"/>
        <v>0</v>
      </c>
      <c r="AG159" s="1">
        <f t="shared" si="92"/>
        <v>0</v>
      </c>
      <c r="AH159" s="1">
        <f t="shared" si="93"/>
        <v>0</v>
      </c>
      <c r="AI159" s="1">
        <f t="shared" si="94"/>
        <v>1</v>
      </c>
    </row>
    <row r="160" spans="1:35" ht="14.25" customHeight="1" x14ac:dyDescent="0.25">
      <c r="A160" s="47">
        <v>0</v>
      </c>
      <c r="B160" s="47">
        <v>1</v>
      </c>
      <c r="C160" s="47">
        <v>3</v>
      </c>
      <c r="D160" s="48" t="s">
        <v>1209</v>
      </c>
      <c r="E160" s="48" t="s">
        <v>172</v>
      </c>
      <c r="F160" s="48" t="s">
        <v>1211</v>
      </c>
      <c r="G160" s="48" t="s">
        <v>185</v>
      </c>
      <c r="H160" s="48" t="s">
        <v>354</v>
      </c>
      <c r="I160" s="47" t="s">
        <v>1210</v>
      </c>
      <c r="J160" s="47">
        <v>99</v>
      </c>
      <c r="K160" s="49" t="s">
        <v>958</v>
      </c>
      <c r="L160" s="49" t="s">
        <v>689</v>
      </c>
      <c r="M160" s="50" t="s">
        <v>971</v>
      </c>
      <c r="N160" s="50" t="s">
        <v>1734</v>
      </c>
      <c r="O160" s="51"/>
      <c r="P160" s="51"/>
      <c r="Q160" s="48"/>
      <c r="S160" s="1">
        <f t="shared" si="95"/>
        <v>0</v>
      </c>
      <c r="T160" s="1">
        <f t="shared" si="96"/>
        <v>0</v>
      </c>
      <c r="U160" s="1">
        <f t="shared" si="97"/>
        <v>0</v>
      </c>
      <c r="V160" s="1">
        <f t="shared" si="98"/>
        <v>0</v>
      </c>
      <c r="W160" s="1">
        <f t="shared" si="99"/>
        <v>0</v>
      </c>
      <c r="X160" s="1">
        <f t="shared" si="100"/>
        <v>0</v>
      </c>
      <c r="Y160" s="1">
        <f t="shared" si="101"/>
        <v>0</v>
      </c>
      <c r="Z160" s="1">
        <f t="shared" si="102"/>
        <v>0</v>
      </c>
      <c r="AA160" s="1">
        <f t="shared" si="103"/>
        <v>0</v>
      </c>
      <c r="AB160" s="1">
        <f t="shared" si="104"/>
        <v>0</v>
      </c>
      <c r="AD160" s="1">
        <f t="shared" si="105"/>
        <v>0</v>
      </c>
      <c r="AE160" s="1">
        <f t="shared" si="106"/>
        <v>0</v>
      </c>
      <c r="AF160" s="1">
        <f t="shared" si="91"/>
        <v>0</v>
      </c>
      <c r="AG160" s="1">
        <f t="shared" si="92"/>
        <v>0</v>
      </c>
      <c r="AH160" s="1">
        <f t="shared" si="93"/>
        <v>0</v>
      </c>
      <c r="AI160" s="1">
        <f t="shared" si="94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632</v>
      </c>
      <c r="E161" s="35" t="s">
        <v>170</v>
      </c>
      <c r="F161" s="35" t="s">
        <v>633</v>
      </c>
      <c r="G161" s="35" t="s">
        <v>194</v>
      </c>
      <c r="H161" s="35" t="s">
        <v>354</v>
      </c>
      <c r="I161" s="34" t="s">
        <v>634</v>
      </c>
      <c r="J161" s="34">
        <v>9</v>
      </c>
      <c r="K161" s="36" t="s">
        <v>957</v>
      </c>
      <c r="L161" s="36" t="s">
        <v>1699</v>
      </c>
      <c r="M161" s="37" t="s">
        <v>970</v>
      </c>
      <c r="N161" s="37" t="s">
        <v>1727</v>
      </c>
      <c r="O161" s="38">
        <v>1</v>
      </c>
      <c r="P161" s="38">
        <v>1</v>
      </c>
      <c r="Q161" s="35"/>
      <c r="S161" s="1">
        <f t="shared" si="95"/>
        <v>0</v>
      </c>
      <c r="T161" s="1">
        <f t="shared" si="96"/>
        <v>0</v>
      </c>
      <c r="U161" s="1">
        <f t="shared" si="97"/>
        <v>0</v>
      </c>
      <c r="V161" s="1">
        <f t="shared" si="98"/>
        <v>0</v>
      </c>
      <c r="W161" s="1">
        <f t="shared" si="99"/>
        <v>0</v>
      </c>
      <c r="X161" s="1">
        <f t="shared" si="100"/>
        <v>0</v>
      </c>
      <c r="Y161" s="1">
        <f t="shared" si="101"/>
        <v>0</v>
      </c>
      <c r="Z161" s="1">
        <f t="shared" si="102"/>
        <v>0</v>
      </c>
      <c r="AA161" s="1">
        <f t="shared" si="103"/>
        <v>1</v>
      </c>
      <c r="AB161" s="1">
        <f t="shared" si="104"/>
        <v>0</v>
      </c>
      <c r="AD161" s="1">
        <f t="shared" si="105"/>
        <v>1</v>
      </c>
      <c r="AE161" s="1">
        <f t="shared" si="106"/>
        <v>0</v>
      </c>
      <c r="AF161" s="1">
        <f t="shared" si="91"/>
        <v>1</v>
      </c>
      <c r="AG161" s="1">
        <f t="shared" si="92"/>
        <v>0</v>
      </c>
      <c r="AH161" s="1">
        <f t="shared" si="93"/>
        <v>1</v>
      </c>
      <c r="AI161" s="1">
        <f t="shared" si="94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683</v>
      </c>
      <c r="F162" s="48" t="s">
        <v>334</v>
      </c>
      <c r="G162" s="48" t="s">
        <v>39</v>
      </c>
      <c r="H162" s="48" t="s">
        <v>362</v>
      </c>
      <c r="I162" s="47" t="s">
        <v>481</v>
      </c>
      <c r="J162" s="47">
        <v>12</v>
      </c>
      <c r="K162" s="49" t="s">
        <v>722</v>
      </c>
      <c r="L162" s="49">
        <v>35</v>
      </c>
      <c r="M162" s="50" t="s">
        <v>39</v>
      </c>
      <c r="N162" s="50" t="s">
        <v>1802</v>
      </c>
      <c r="O162" s="51"/>
      <c r="P162" s="51"/>
      <c r="Q162" s="48"/>
      <c r="S162" s="1">
        <f t="shared" si="95"/>
        <v>0</v>
      </c>
      <c r="T162" s="1">
        <f t="shared" si="96"/>
        <v>0</v>
      </c>
      <c r="U162" s="1">
        <f t="shared" si="97"/>
        <v>0</v>
      </c>
      <c r="V162" s="1">
        <f t="shared" si="98"/>
        <v>0</v>
      </c>
      <c r="W162" s="1">
        <f t="shared" si="99"/>
        <v>0</v>
      </c>
      <c r="X162" s="1">
        <f t="shared" si="100"/>
        <v>0</v>
      </c>
      <c r="Y162" s="1">
        <f t="shared" si="101"/>
        <v>0</v>
      </c>
      <c r="Z162" s="1">
        <f t="shared" si="102"/>
        <v>0</v>
      </c>
      <c r="AA162" s="1">
        <f t="shared" si="103"/>
        <v>0</v>
      </c>
      <c r="AB162" s="1">
        <f t="shared" si="104"/>
        <v>0</v>
      </c>
      <c r="AD162" s="1">
        <f t="shared" si="105"/>
        <v>0</v>
      </c>
      <c r="AE162" s="1">
        <f t="shared" si="106"/>
        <v>0</v>
      </c>
      <c r="AF162" s="1">
        <f t="shared" si="91"/>
        <v>0</v>
      </c>
      <c r="AG162" s="1">
        <f t="shared" si="92"/>
        <v>0</v>
      </c>
      <c r="AH162" s="1">
        <f t="shared" si="93"/>
        <v>0</v>
      </c>
      <c r="AI162" s="1">
        <f t="shared" si="94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826</v>
      </c>
      <c r="E163" s="16" t="s">
        <v>172</v>
      </c>
      <c r="F163" s="16" t="s">
        <v>827</v>
      </c>
      <c r="G163" s="16" t="s">
        <v>39</v>
      </c>
      <c r="H163" s="16" t="s">
        <v>375</v>
      </c>
      <c r="I163" s="15" t="s">
        <v>825</v>
      </c>
      <c r="J163" s="15">
        <v>12</v>
      </c>
      <c r="K163" s="10" t="s">
        <v>703</v>
      </c>
      <c r="L163" s="10">
        <v>40</v>
      </c>
      <c r="M163" s="19" t="s">
        <v>970</v>
      </c>
      <c r="N163" s="19"/>
      <c r="Q163" s="16"/>
      <c r="S163" s="1">
        <f t="shared" si="95"/>
        <v>0</v>
      </c>
      <c r="T163" s="1">
        <f t="shared" si="96"/>
        <v>0</v>
      </c>
      <c r="U163" s="1">
        <f t="shared" si="97"/>
        <v>0</v>
      </c>
      <c r="V163" s="1">
        <f t="shared" si="98"/>
        <v>0</v>
      </c>
      <c r="W163" s="1">
        <f t="shared" si="99"/>
        <v>0</v>
      </c>
      <c r="X163" s="1">
        <f t="shared" si="100"/>
        <v>0</v>
      </c>
      <c r="Y163" s="1">
        <f t="shared" si="101"/>
        <v>0</v>
      </c>
      <c r="Z163" s="1">
        <f t="shared" si="102"/>
        <v>0</v>
      </c>
      <c r="AA163" s="1">
        <f t="shared" si="103"/>
        <v>0</v>
      </c>
      <c r="AB163" s="1">
        <f t="shared" si="104"/>
        <v>0</v>
      </c>
      <c r="AD163" s="1">
        <f t="shared" si="105"/>
        <v>0</v>
      </c>
      <c r="AE163" s="1">
        <f t="shared" si="106"/>
        <v>0</v>
      </c>
      <c r="AF163" s="1">
        <f t="shared" si="91"/>
        <v>0</v>
      </c>
      <c r="AG163" s="1">
        <f t="shared" si="92"/>
        <v>0</v>
      </c>
      <c r="AH163" s="1">
        <f t="shared" si="93"/>
        <v>0</v>
      </c>
      <c r="AI163" s="1">
        <f t="shared" si="94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172</v>
      </c>
      <c r="F164" s="35" t="s">
        <v>343</v>
      </c>
      <c r="G164" s="35" t="s">
        <v>39</v>
      </c>
      <c r="H164" s="35" t="s">
        <v>377</v>
      </c>
      <c r="I164" s="34" t="s">
        <v>490</v>
      </c>
      <c r="J164" s="34">
        <v>15</v>
      </c>
      <c r="K164" s="36" t="s">
        <v>702</v>
      </c>
      <c r="L164" s="36" t="s">
        <v>692</v>
      </c>
      <c r="M164" s="37" t="s">
        <v>691</v>
      </c>
      <c r="N164" s="37" t="s">
        <v>1733</v>
      </c>
      <c r="O164" s="38">
        <v>1</v>
      </c>
      <c r="P164" s="38">
        <v>1</v>
      </c>
      <c r="Q164" s="39" t="s">
        <v>1891</v>
      </c>
      <c r="S164" s="1">
        <f t="shared" si="95"/>
        <v>0</v>
      </c>
      <c r="T164" s="1">
        <f t="shared" si="96"/>
        <v>0</v>
      </c>
      <c r="U164" s="1">
        <f t="shared" si="97"/>
        <v>0</v>
      </c>
      <c r="V164" s="1">
        <f t="shared" si="98"/>
        <v>0</v>
      </c>
      <c r="W164" s="1">
        <f t="shared" si="99"/>
        <v>0</v>
      </c>
      <c r="X164" s="1">
        <f t="shared" si="100"/>
        <v>0</v>
      </c>
      <c r="Y164" s="1">
        <f t="shared" si="101"/>
        <v>0</v>
      </c>
      <c r="Z164" s="1">
        <f t="shared" si="102"/>
        <v>0</v>
      </c>
      <c r="AA164" s="1">
        <f t="shared" si="103"/>
        <v>0</v>
      </c>
      <c r="AB164" s="1">
        <f t="shared" si="104"/>
        <v>0</v>
      </c>
      <c r="AD164" s="1">
        <f t="shared" si="105"/>
        <v>1</v>
      </c>
      <c r="AE164" s="1">
        <f t="shared" si="106"/>
        <v>0</v>
      </c>
      <c r="AF164" s="1">
        <f t="shared" si="91"/>
        <v>1</v>
      </c>
      <c r="AG164" s="1">
        <f t="shared" si="92"/>
        <v>0</v>
      </c>
      <c r="AH164" s="1">
        <f t="shared" si="93"/>
        <v>1</v>
      </c>
      <c r="AI164" s="1">
        <f t="shared" si="94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747</v>
      </c>
      <c r="E165" s="16" t="s">
        <v>610</v>
      </c>
      <c r="F165" s="16" t="s">
        <v>748</v>
      </c>
      <c r="G165" s="16" t="s">
        <v>39</v>
      </c>
      <c r="H165" s="16" t="s">
        <v>749</v>
      </c>
      <c r="I165" s="15" t="s">
        <v>750</v>
      </c>
      <c r="J165" s="15">
        <v>18</v>
      </c>
      <c r="K165" s="10" t="s">
        <v>703</v>
      </c>
      <c r="L165" s="10" t="s">
        <v>697</v>
      </c>
      <c r="M165" s="19" t="s">
        <v>691</v>
      </c>
      <c r="N165" s="17"/>
      <c r="Q165" s="16"/>
      <c r="S165" s="1">
        <f t="shared" si="95"/>
        <v>0</v>
      </c>
      <c r="T165" s="1">
        <f t="shared" si="96"/>
        <v>0</v>
      </c>
      <c r="U165" s="1">
        <f t="shared" si="97"/>
        <v>0</v>
      </c>
      <c r="V165" s="1">
        <f t="shared" si="98"/>
        <v>0</v>
      </c>
      <c r="W165" s="1">
        <f t="shared" si="99"/>
        <v>0</v>
      </c>
      <c r="X165" s="1">
        <f t="shared" si="100"/>
        <v>0</v>
      </c>
      <c r="Y165" s="1">
        <f t="shared" si="101"/>
        <v>0</v>
      </c>
      <c r="Z165" s="1">
        <f t="shared" si="102"/>
        <v>0</v>
      </c>
      <c r="AA165" s="1">
        <f t="shared" si="103"/>
        <v>0</v>
      </c>
      <c r="AB165" s="1">
        <f t="shared" si="104"/>
        <v>0</v>
      </c>
      <c r="AD165" s="1">
        <f t="shared" si="105"/>
        <v>0</v>
      </c>
      <c r="AE165" s="1">
        <f t="shared" si="106"/>
        <v>0</v>
      </c>
      <c r="AF165" s="1">
        <f t="shared" si="91"/>
        <v>0</v>
      </c>
      <c r="AG165" s="1">
        <f t="shared" si="92"/>
        <v>0</v>
      </c>
      <c r="AH165" s="1">
        <f t="shared" si="93"/>
        <v>0</v>
      </c>
      <c r="AI165" s="1">
        <f t="shared" si="94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1841</v>
      </c>
      <c r="E166" s="35" t="s">
        <v>1087</v>
      </c>
      <c r="F166" s="35" t="s">
        <v>1826</v>
      </c>
      <c r="G166" s="35"/>
      <c r="H166" s="35" t="s">
        <v>372</v>
      </c>
      <c r="I166" s="34" t="s">
        <v>1827</v>
      </c>
      <c r="J166" s="34">
        <v>16</v>
      </c>
      <c r="K166" s="36" t="s">
        <v>703</v>
      </c>
      <c r="L166" s="36"/>
      <c r="M166" s="37"/>
      <c r="N166" s="37" t="s">
        <v>1727</v>
      </c>
      <c r="O166" s="38">
        <v>1</v>
      </c>
      <c r="P166" s="38">
        <v>1</v>
      </c>
      <c r="Q166" s="35"/>
      <c r="S166" s="1">
        <f t="shared" si="95"/>
        <v>0</v>
      </c>
      <c r="T166" s="1">
        <f t="shared" si="96"/>
        <v>0</v>
      </c>
      <c r="U166" s="1">
        <f t="shared" si="97"/>
        <v>0</v>
      </c>
      <c r="V166" s="1">
        <f t="shared" si="98"/>
        <v>0</v>
      </c>
      <c r="W166" s="1">
        <f t="shared" si="99"/>
        <v>0</v>
      </c>
      <c r="X166" s="1">
        <f t="shared" si="100"/>
        <v>0</v>
      </c>
      <c r="Y166" s="1">
        <f t="shared" si="101"/>
        <v>0</v>
      </c>
      <c r="Z166" s="1">
        <f t="shared" si="102"/>
        <v>0</v>
      </c>
      <c r="AA166" s="1">
        <f t="shared" si="103"/>
        <v>0</v>
      </c>
      <c r="AB166" s="1">
        <f t="shared" si="104"/>
        <v>0</v>
      </c>
      <c r="AD166" s="1">
        <f t="shared" si="105"/>
        <v>1</v>
      </c>
      <c r="AE166" s="1">
        <f t="shared" si="106"/>
        <v>0</v>
      </c>
      <c r="AF166" s="1">
        <f t="shared" si="91"/>
        <v>1</v>
      </c>
      <c r="AG166" s="1">
        <f t="shared" si="92"/>
        <v>0</v>
      </c>
      <c r="AH166" s="1">
        <f t="shared" si="93"/>
        <v>1</v>
      </c>
      <c r="AI166" s="1">
        <f t="shared" si="94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979</v>
      </c>
      <c r="E167" s="35" t="s">
        <v>610</v>
      </c>
      <c r="F167" s="35" t="s">
        <v>980</v>
      </c>
      <c r="G167" s="35" t="s">
        <v>203</v>
      </c>
      <c r="H167" s="35" t="s">
        <v>354</v>
      </c>
      <c r="I167" s="34" t="s">
        <v>981</v>
      </c>
      <c r="J167" s="34">
        <v>99</v>
      </c>
      <c r="K167" s="36" t="s">
        <v>956</v>
      </c>
      <c r="L167" s="36" t="s">
        <v>39</v>
      </c>
      <c r="M167" s="37" t="s">
        <v>39</v>
      </c>
      <c r="N167" s="37" t="s">
        <v>1727</v>
      </c>
      <c r="O167" s="38">
        <v>1</v>
      </c>
      <c r="P167" s="38">
        <v>1</v>
      </c>
      <c r="Q167" s="35"/>
      <c r="S167" s="1">
        <f t="shared" si="95"/>
        <v>0</v>
      </c>
      <c r="T167" s="1">
        <f t="shared" si="96"/>
        <v>0</v>
      </c>
      <c r="U167" s="1">
        <f t="shared" si="97"/>
        <v>0</v>
      </c>
      <c r="V167" s="1">
        <f t="shared" si="98"/>
        <v>0</v>
      </c>
      <c r="W167" s="1">
        <f t="shared" si="99"/>
        <v>0</v>
      </c>
      <c r="X167" s="1">
        <f t="shared" si="100"/>
        <v>0</v>
      </c>
      <c r="Y167" s="1">
        <f t="shared" si="101"/>
        <v>0</v>
      </c>
      <c r="Z167" s="1">
        <f t="shared" si="102"/>
        <v>0</v>
      </c>
      <c r="AA167" s="1">
        <f t="shared" si="103"/>
        <v>0</v>
      </c>
      <c r="AB167" s="1">
        <f t="shared" si="104"/>
        <v>0</v>
      </c>
      <c r="AD167" s="1">
        <f t="shared" si="105"/>
        <v>1</v>
      </c>
      <c r="AE167" s="1">
        <f t="shared" si="106"/>
        <v>0</v>
      </c>
      <c r="AF167" s="1">
        <f t="shared" si="91"/>
        <v>1</v>
      </c>
      <c r="AG167" s="1">
        <f t="shared" si="92"/>
        <v>0</v>
      </c>
      <c r="AH167" s="1">
        <f t="shared" si="93"/>
        <v>1</v>
      </c>
      <c r="AI167" s="1">
        <f t="shared" si="94"/>
        <v>0</v>
      </c>
    </row>
    <row r="168" spans="1:35" ht="14.25" customHeight="1" x14ac:dyDescent="0.25">
      <c r="A168" s="41">
        <v>0</v>
      </c>
      <c r="B168" s="41">
        <v>1</v>
      </c>
      <c r="C168" s="41">
        <v>3</v>
      </c>
      <c r="D168" s="42" t="s">
        <v>149</v>
      </c>
      <c r="E168" s="42" t="s">
        <v>172</v>
      </c>
      <c r="F168" s="42" t="s">
        <v>350</v>
      </c>
      <c r="G168" s="42" t="s">
        <v>39</v>
      </c>
      <c r="H168" s="42" t="s">
        <v>380</v>
      </c>
      <c r="I168" s="41" t="s">
        <v>496</v>
      </c>
      <c r="J168" s="41">
        <v>14</v>
      </c>
      <c r="K168" s="43" t="s">
        <v>964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95"/>
        <v>0</v>
      </c>
      <c r="T168" s="1">
        <f t="shared" si="96"/>
        <v>0</v>
      </c>
      <c r="U168" s="1">
        <f t="shared" si="97"/>
        <v>0</v>
      </c>
      <c r="V168" s="1">
        <f t="shared" si="98"/>
        <v>0</v>
      </c>
      <c r="W168" s="1">
        <f t="shared" si="99"/>
        <v>0</v>
      </c>
      <c r="X168" s="1">
        <f t="shared" si="100"/>
        <v>0</v>
      </c>
      <c r="Y168" s="1">
        <f t="shared" si="101"/>
        <v>0</v>
      </c>
      <c r="Z168" s="1">
        <f t="shared" si="102"/>
        <v>0</v>
      </c>
      <c r="AA168" s="1">
        <f t="shared" si="103"/>
        <v>0</v>
      </c>
      <c r="AB168" s="1">
        <f t="shared" si="104"/>
        <v>0</v>
      </c>
      <c r="AD168" s="1">
        <f t="shared" si="105"/>
        <v>0</v>
      </c>
      <c r="AE168" s="1">
        <f t="shared" si="106"/>
        <v>0</v>
      </c>
      <c r="AF168" s="1">
        <f t="shared" si="91"/>
        <v>0</v>
      </c>
      <c r="AG168" s="1">
        <f t="shared" si="92"/>
        <v>0</v>
      </c>
      <c r="AH168" s="1">
        <f t="shared" si="93"/>
        <v>1</v>
      </c>
      <c r="AI168" s="1">
        <f t="shared" si="94"/>
        <v>0</v>
      </c>
    </row>
    <row r="169" spans="1:35" ht="14.25" customHeight="1" x14ac:dyDescent="0.25">
      <c r="A169" s="70">
        <v>0</v>
      </c>
      <c r="B169" s="70">
        <v>1</v>
      </c>
      <c r="C169" s="70">
        <v>3</v>
      </c>
      <c r="D169" s="57" t="s">
        <v>1989</v>
      </c>
      <c r="E169" s="57" t="s">
        <v>1990</v>
      </c>
      <c r="F169" s="57" t="s">
        <v>1991</v>
      </c>
      <c r="G169" s="57" t="s">
        <v>535</v>
      </c>
      <c r="H169" s="57" t="s">
        <v>354</v>
      </c>
      <c r="I169" s="70" t="s">
        <v>1992</v>
      </c>
      <c r="J169" s="70"/>
      <c r="K169" s="70" t="s">
        <v>703</v>
      </c>
      <c r="L169" s="70"/>
      <c r="M169" s="57"/>
      <c r="N169" s="57"/>
      <c r="O169" s="71"/>
      <c r="P169" s="71">
        <v>1</v>
      </c>
      <c r="Q169" s="57"/>
      <c r="S169" s="1">
        <f t="shared" si="95"/>
        <v>0</v>
      </c>
      <c r="T169" s="1">
        <f t="shared" si="96"/>
        <v>0</v>
      </c>
      <c r="U169" s="1">
        <f t="shared" si="97"/>
        <v>0</v>
      </c>
      <c r="V169" s="1">
        <f t="shared" si="98"/>
        <v>0</v>
      </c>
      <c r="W169" s="1">
        <f t="shared" si="99"/>
        <v>0</v>
      </c>
      <c r="X169" s="1">
        <f t="shared" si="100"/>
        <v>0</v>
      </c>
      <c r="Y169" s="1">
        <f t="shared" si="101"/>
        <v>0</v>
      </c>
      <c r="Z169" s="1">
        <f t="shared" si="102"/>
        <v>0</v>
      </c>
      <c r="AA169" s="1">
        <f t="shared" si="103"/>
        <v>0</v>
      </c>
      <c r="AB169" s="1">
        <f t="shared" si="104"/>
        <v>0</v>
      </c>
      <c r="AD169" s="1">
        <f t="shared" si="105"/>
        <v>0</v>
      </c>
      <c r="AE169" s="1">
        <f t="shared" si="106"/>
        <v>0</v>
      </c>
      <c r="AF169" s="1">
        <f t="shared" si="91"/>
        <v>0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635</v>
      </c>
      <c r="E170" s="35" t="s">
        <v>172</v>
      </c>
      <c r="F170" s="35" t="s">
        <v>637</v>
      </c>
      <c r="G170" s="35" t="s">
        <v>238</v>
      </c>
      <c r="H170" s="35" t="s">
        <v>354</v>
      </c>
      <c r="I170" s="34" t="s">
        <v>636</v>
      </c>
      <c r="J170" s="34">
        <v>4</v>
      </c>
      <c r="K170" s="36" t="s">
        <v>956</v>
      </c>
      <c r="L170" s="36" t="s">
        <v>39</v>
      </c>
      <c r="M170" s="37" t="s">
        <v>39</v>
      </c>
      <c r="N170" s="37" t="s">
        <v>1733</v>
      </c>
      <c r="O170" s="38">
        <v>1</v>
      </c>
      <c r="P170" s="38">
        <v>1</v>
      </c>
      <c r="Q170" s="35"/>
      <c r="S170" s="1">
        <f t="shared" si="95"/>
        <v>0</v>
      </c>
      <c r="T170" s="1">
        <f t="shared" si="96"/>
        <v>0</v>
      </c>
      <c r="U170" s="1">
        <f t="shared" si="97"/>
        <v>0</v>
      </c>
      <c r="V170" s="1">
        <f t="shared" si="98"/>
        <v>1</v>
      </c>
      <c r="W170" s="1">
        <f t="shared" si="99"/>
        <v>0</v>
      </c>
      <c r="X170" s="1">
        <f t="shared" si="100"/>
        <v>0</v>
      </c>
      <c r="Y170" s="1">
        <f t="shared" si="101"/>
        <v>0</v>
      </c>
      <c r="Z170" s="1">
        <f t="shared" si="102"/>
        <v>0</v>
      </c>
      <c r="AA170" s="1">
        <f t="shared" si="103"/>
        <v>0</v>
      </c>
      <c r="AB170" s="1">
        <f t="shared" si="104"/>
        <v>0</v>
      </c>
      <c r="AD170" s="1">
        <f t="shared" si="105"/>
        <v>1</v>
      </c>
      <c r="AE170" s="1">
        <f t="shared" si="106"/>
        <v>0</v>
      </c>
      <c r="AF170" s="1">
        <f t="shared" si="91"/>
        <v>1</v>
      </c>
      <c r="AG170" s="1">
        <f t="shared" si="92"/>
        <v>0</v>
      </c>
      <c r="AH170" s="1">
        <f t="shared" si="93"/>
        <v>1</v>
      </c>
      <c r="AI170" s="1">
        <f t="shared" si="94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1528</v>
      </c>
      <c r="E171" s="16" t="s">
        <v>1087</v>
      </c>
      <c r="F171" s="16" t="s">
        <v>1529</v>
      </c>
      <c r="G171" s="16" t="s">
        <v>218</v>
      </c>
      <c r="H171" s="16" t="s">
        <v>354</v>
      </c>
      <c r="I171" s="15" t="s">
        <v>1530</v>
      </c>
      <c r="J171" s="15">
        <v>99</v>
      </c>
      <c r="K171" s="10" t="s">
        <v>703</v>
      </c>
      <c r="L171" s="10">
        <v>40</v>
      </c>
      <c r="M171" s="19" t="s">
        <v>970</v>
      </c>
      <c r="N171" s="19"/>
      <c r="Q171" s="16"/>
      <c r="S171" s="1">
        <f t="shared" si="95"/>
        <v>0</v>
      </c>
      <c r="T171" s="1">
        <f t="shared" si="96"/>
        <v>0</v>
      </c>
      <c r="U171" s="1">
        <f t="shared" si="97"/>
        <v>0</v>
      </c>
      <c r="V171" s="1">
        <f t="shared" si="98"/>
        <v>0</v>
      </c>
      <c r="W171" s="1">
        <f t="shared" si="99"/>
        <v>0</v>
      </c>
      <c r="X171" s="1">
        <f t="shared" si="100"/>
        <v>0</v>
      </c>
      <c r="Y171" s="1">
        <f t="shared" si="101"/>
        <v>0</v>
      </c>
      <c r="Z171" s="1">
        <f t="shared" si="102"/>
        <v>0</v>
      </c>
      <c r="AA171" s="1">
        <f t="shared" si="103"/>
        <v>0</v>
      </c>
      <c r="AB171" s="1">
        <f t="shared" si="104"/>
        <v>0</v>
      </c>
      <c r="AD171" s="1">
        <f t="shared" si="105"/>
        <v>0</v>
      </c>
      <c r="AE171" s="1">
        <f t="shared" si="106"/>
        <v>0</v>
      </c>
      <c r="AF171" s="1">
        <f t="shared" si="91"/>
        <v>0</v>
      </c>
      <c r="AG171" s="1">
        <f t="shared" si="92"/>
        <v>0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172</v>
      </c>
      <c r="F172" s="35" t="s">
        <v>299</v>
      </c>
      <c r="G172" s="35" t="s">
        <v>300</v>
      </c>
      <c r="H172" s="35" t="s">
        <v>354</v>
      </c>
      <c r="I172" s="34" t="s">
        <v>449</v>
      </c>
      <c r="J172" s="34">
        <v>99</v>
      </c>
      <c r="K172" s="36" t="s">
        <v>958</v>
      </c>
      <c r="L172" s="36" t="s">
        <v>693</v>
      </c>
      <c r="M172" s="37" t="s">
        <v>691</v>
      </c>
      <c r="N172" s="37" t="s">
        <v>1743</v>
      </c>
      <c r="O172" s="38">
        <v>1</v>
      </c>
      <c r="P172" s="38"/>
      <c r="Q172" s="35"/>
      <c r="S172" s="1">
        <f t="shared" si="95"/>
        <v>0</v>
      </c>
      <c r="T172" s="1">
        <f t="shared" si="96"/>
        <v>0</v>
      </c>
      <c r="U172" s="1">
        <f t="shared" si="97"/>
        <v>0</v>
      </c>
      <c r="V172" s="1">
        <f t="shared" si="98"/>
        <v>0</v>
      </c>
      <c r="W172" s="1">
        <f t="shared" si="99"/>
        <v>0</v>
      </c>
      <c r="X172" s="1">
        <f t="shared" si="100"/>
        <v>0</v>
      </c>
      <c r="Y172" s="1">
        <f t="shared" si="101"/>
        <v>0</v>
      </c>
      <c r="Z172" s="1">
        <f t="shared" si="102"/>
        <v>0</v>
      </c>
      <c r="AA172" s="1">
        <f t="shared" si="103"/>
        <v>0</v>
      </c>
      <c r="AB172" s="1">
        <f t="shared" si="104"/>
        <v>0</v>
      </c>
      <c r="AD172" s="1">
        <f t="shared" si="105"/>
        <v>0</v>
      </c>
      <c r="AE172" s="1">
        <f t="shared" si="106"/>
        <v>1</v>
      </c>
      <c r="AF172" s="1">
        <f t="shared" si="91"/>
        <v>0</v>
      </c>
      <c r="AG172" s="1">
        <f t="shared" si="92"/>
        <v>1</v>
      </c>
      <c r="AH172" s="1">
        <f t="shared" si="93"/>
        <v>0</v>
      </c>
      <c r="AI172" s="1">
        <f t="shared" si="94"/>
        <v>1</v>
      </c>
    </row>
    <row r="173" spans="1:35" ht="14.25" customHeight="1" x14ac:dyDescent="0.25">
      <c r="A173" s="47">
        <v>0</v>
      </c>
      <c r="B173" s="47">
        <v>1</v>
      </c>
      <c r="C173" s="47">
        <v>3</v>
      </c>
      <c r="D173" s="48" t="s">
        <v>990</v>
      </c>
      <c r="E173" s="48" t="s">
        <v>172</v>
      </c>
      <c r="F173" s="48" t="s">
        <v>993</v>
      </c>
      <c r="G173" s="48" t="s">
        <v>39</v>
      </c>
      <c r="H173" s="48" t="s">
        <v>992</v>
      </c>
      <c r="I173" s="47" t="s">
        <v>991</v>
      </c>
      <c r="J173" s="47">
        <v>14</v>
      </c>
      <c r="K173" s="49" t="s">
        <v>722</v>
      </c>
      <c r="L173" s="49" t="s">
        <v>694</v>
      </c>
      <c r="M173" s="50" t="s">
        <v>971</v>
      </c>
      <c r="N173" s="50" t="s">
        <v>1735</v>
      </c>
      <c r="O173" s="51"/>
      <c r="P173" s="51"/>
      <c r="Q173" s="48"/>
      <c r="S173" s="1">
        <f t="shared" si="95"/>
        <v>0</v>
      </c>
      <c r="T173" s="1">
        <f t="shared" si="96"/>
        <v>0</v>
      </c>
      <c r="U173" s="1">
        <f t="shared" si="97"/>
        <v>0</v>
      </c>
      <c r="V173" s="1">
        <f t="shared" si="98"/>
        <v>0</v>
      </c>
      <c r="W173" s="1">
        <f t="shared" si="99"/>
        <v>0</v>
      </c>
      <c r="X173" s="1">
        <f t="shared" si="100"/>
        <v>0</v>
      </c>
      <c r="Y173" s="1">
        <f t="shared" si="101"/>
        <v>0</v>
      </c>
      <c r="Z173" s="1">
        <f t="shared" si="102"/>
        <v>0</v>
      </c>
      <c r="AA173" s="1">
        <f t="shared" si="103"/>
        <v>0</v>
      </c>
      <c r="AB173" s="1">
        <f t="shared" si="104"/>
        <v>0</v>
      </c>
      <c r="AD173" s="1">
        <f t="shared" si="105"/>
        <v>0</v>
      </c>
      <c r="AE173" s="1">
        <f t="shared" si="106"/>
        <v>0</v>
      </c>
      <c r="AF173" s="1">
        <f t="shared" si="91"/>
        <v>0</v>
      </c>
      <c r="AG173" s="1">
        <f t="shared" si="92"/>
        <v>0</v>
      </c>
      <c r="AH173" s="1">
        <f t="shared" si="93"/>
        <v>0</v>
      </c>
      <c r="AI173" s="1">
        <f t="shared" si="94"/>
        <v>1</v>
      </c>
    </row>
    <row r="174" spans="1:35" ht="14.25" customHeight="1" x14ac:dyDescent="0.25">
      <c r="A174" s="60">
        <v>0</v>
      </c>
      <c r="B174" s="60">
        <v>1</v>
      </c>
      <c r="C174" s="60">
        <v>3</v>
      </c>
      <c r="D174" s="61" t="s">
        <v>1644</v>
      </c>
      <c r="E174" s="61" t="s">
        <v>172</v>
      </c>
      <c r="F174" s="61" t="s">
        <v>773</v>
      </c>
      <c r="G174" s="61" t="s">
        <v>39</v>
      </c>
      <c r="H174" s="61" t="s">
        <v>367</v>
      </c>
      <c r="I174" s="60" t="s">
        <v>781</v>
      </c>
      <c r="J174" s="60">
        <v>18</v>
      </c>
      <c r="K174" s="62" t="s">
        <v>1697</v>
      </c>
      <c r="L174" s="62" t="s">
        <v>39</v>
      </c>
      <c r="M174" s="63" t="s">
        <v>774</v>
      </c>
      <c r="N174" s="64"/>
      <c r="O174" s="65"/>
      <c r="P174" s="65"/>
      <c r="Q174" s="61"/>
      <c r="S174" s="1">
        <f t="shared" si="95"/>
        <v>0</v>
      </c>
      <c r="T174" s="1">
        <f t="shared" si="96"/>
        <v>0</v>
      </c>
      <c r="U174" s="1">
        <f t="shared" si="97"/>
        <v>0</v>
      </c>
      <c r="V174" s="1">
        <f t="shared" si="98"/>
        <v>0</v>
      </c>
      <c r="W174" s="1">
        <f t="shared" si="99"/>
        <v>0</v>
      </c>
      <c r="X174" s="1">
        <f t="shared" si="100"/>
        <v>0</v>
      </c>
      <c r="Y174" s="1">
        <f t="shared" si="101"/>
        <v>0</v>
      </c>
      <c r="Z174" s="1">
        <f t="shared" si="102"/>
        <v>0</v>
      </c>
      <c r="AA174" s="1">
        <f t="shared" si="103"/>
        <v>0</v>
      </c>
      <c r="AB174" s="1">
        <f t="shared" si="104"/>
        <v>0</v>
      </c>
      <c r="AD174" s="1">
        <f t="shared" si="105"/>
        <v>0</v>
      </c>
      <c r="AE174" s="1">
        <f t="shared" si="106"/>
        <v>0</v>
      </c>
      <c r="AF174" s="1">
        <f t="shared" si="91"/>
        <v>0</v>
      </c>
      <c r="AG174" s="1">
        <f t="shared" si="92"/>
        <v>0</v>
      </c>
      <c r="AH174" s="1">
        <f t="shared" si="93"/>
        <v>0</v>
      </c>
      <c r="AI174" s="1">
        <f t="shared" si="94"/>
        <v>1</v>
      </c>
    </row>
    <row r="175" spans="1:35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172</v>
      </c>
      <c r="F175" s="53" t="s">
        <v>659</v>
      </c>
      <c r="G175" s="53" t="s">
        <v>257</v>
      </c>
      <c r="H175" s="53" t="s">
        <v>354</v>
      </c>
      <c r="I175" s="52" t="s">
        <v>1693</v>
      </c>
      <c r="J175" s="52">
        <v>99</v>
      </c>
      <c r="K175" s="54" t="s">
        <v>722</v>
      </c>
      <c r="L175" s="54" t="s">
        <v>687</v>
      </c>
      <c r="M175" s="55" t="s">
        <v>1397</v>
      </c>
      <c r="N175" s="55" t="s">
        <v>1743</v>
      </c>
      <c r="O175" s="56">
        <v>1</v>
      </c>
      <c r="P175" s="56"/>
      <c r="Q175" s="53" t="s">
        <v>1930</v>
      </c>
      <c r="S175" s="1">
        <f t="shared" si="95"/>
        <v>0</v>
      </c>
      <c r="T175" s="1">
        <f t="shared" si="96"/>
        <v>0</v>
      </c>
      <c r="U175" s="1">
        <f t="shared" si="97"/>
        <v>0</v>
      </c>
      <c r="V175" s="1">
        <f t="shared" si="98"/>
        <v>0</v>
      </c>
      <c r="W175" s="1">
        <f t="shared" si="99"/>
        <v>0</v>
      </c>
      <c r="X175" s="1">
        <f t="shared" si="100"/>
        <v>0</v>
      </c>
      <c r="Y175" s="1">
        <f t="shared" si="101"/>
        <v>0</v>
      </c>
      <c r="Z175" s="1">
        <f t="shared" si="102"/>
        <v>0</v>
      </c>
      <c r="AA175" s="1">
        <f t="shared" si="103"/>
        <v>0</v>
      </c>
      <c r="AB175" s="1">
        <f t="shared" si="104"/>
        <v>0</v>
      </c>
      <c r="AD175" s="1">
        <f t="shared" si="105"/>
        <v>0</v>
      </c>
      <c r="AE175" s="1">
        <f t="shared" si="106"/>
        <v>1</v>
      </c>
      <c r="AF175" s="1">
        <f t="shared" si="91"/>
        <v>0</v>
      </c>
      <c r="AG175" s="1">
        <f t="shared" si="92"/>
        <v>1</v>
      </c>
      <c r="AH175" s="1">
        <f t="shared" si="93"/>
        <v>0</v>
      </c>
      <c r="AI175" s="1">
        <f t="shared" si="94"/>
        <v>1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923</v>
      </c>
      <c r="E176" s="16" t="s">
        <v>170</v>
      </c>
      <c r="F176" s="16" t="s">
        <v>940</v>
      </c>
      <c r="G176" s="16" t="s">
        <v>39</v>
      </c>
      <c r="H176" s="16" t="s">
        <v>365</v>
      </c>
      <c r="I176" s="15" t="s">
        <v>883</v>
      </c>
      <c r="J176" s="15">
        <v>18</v>
      </c>
      <c r="K176" s="10" t="s">
        <v>702</v>
      </c>
      <c r="L176" s="10" t="s">
        <v>697</v>
      </c>
      <c r="M176" s="19" t="s">
        <v>971</v>
      </c>
      <c r="N176" s="17"/>
      <c r="Q176" s="16"/>
      <c r="S176" s="1">
        <f t="shared" si="95"/>
        <v>0</v>
      </c>
      <c r="T176" s="1">
        <f t="shared" si="96"/>
        <v>0</v>
      </c>
      <c r="U176" s="1">
        <f t="shared" si="97"/>
        <v>0</v>
      </c>
      <c r="V176" s="1">
        <f t="shared" si="98"/>
        <v>0</v>
      </c>
      <c r="W176" s="1">
        <f t="shared" si="99"/>
        <v>0</v>
      </c>
      <c r="X176" s="1">
        <f t="shared" si="100"/>
        <v>0</v>
      </c>
      <c r="Y176" s="1">
        <f t="shared" si="101"/>
        <v>0</v>
      </c>
      <c r="Z176" s="1">
        <f t="shared" si="102"/>
        <v>0</v>
      </c>
      <c r="AA176" s="1">
        <f t="shared" si="103"/>
        <v>0</v>
      </c>
      <c r="AB176" s="1">
        <f t="shared" si="104"/>
        <v>0</v>
      </c>
      <c r="AD176" s="1">
        <f t="shared" si="105"/>
        <v>0</v>
      </c>
      <c r="AE176" s="1">
        <f t="shared" si="106"/>
        <v>0</v>
      </c>
      <c r="AF176" s="1">
        <f t="shared" si="91"/>
        <v>0</v>
      </c>
      <c r="AG176" s="1">
        <f t="shared" si="92"/>
        <v>0</v>
      </c>
      <c r="AH176" s="1">
        <f t="shared" si="93"/>
        <v>0</v>
      </c>
      <c r="AI176" s="1">
        <f t="shared" si="94"/>
        <v>1</v>
      </c>
    </row>
    <row r="177" spans="1:35" ht="14.25" customHeight="1" x14ac:dyDescent="0.25">
      <c r="A177" s="34">
        <v>0</v>
      </c>
      <c r="B177" s="34">
        <v>1</v>
      </c>
      <c r="C177" s="34">
        <v>3</v>
      </c>
      <c r="D177" s="35" t="s">
        <v>1260</v>
      </c>
      <c r="E177" s="35" t="s">
        <v>170</v>
      </c>
      <c r="F177" s="35" t="s">
        <v>1676</v>
      </c>
      <c r="G177" s="35" t="s">
        <v>39</v>
      </c>
      <c r="H177" s="35" t="s">
        <v>771</v>
      </c>
      <c r="I177" s="34" t="s">
        <v>1261</v>
      </c>
      <c r="J177" s="34">
        <v>11</v>
      </c>
      <c r="K177" s="36" t="s">
        <v>722</v>
      </c>
      <c r="L177" s="36" t="s">
        <v>689</v>
      </c>
      <c r="M177" s="37" t="s">
        <v>1398</v>
      </c>
      <c r="N177" s="37" t="s">
        <v>1749</v>
      </c>
      <c r="O177" s="38">
        <v>1</v>
      </c>
      <c r="P177" s="38"/>
      <c r="Q177" s="35"/>
      <c r="S177" s="1">
        <f t="shared" si="95"/>
        <v>0</v>
      </c>
      <c r="T177" s="1">
        <f t="shared" si="96"/>
        <v>0</v>
      </c>
      <c r="U177" s="1">
        <f t="shared" si="97"/>
        <v>0</v>
      </c>
      <c r="V177" s="1">
        <f t="shared" si="98"/>
        <v>0</v>
      </c>
      <c r="W177" s="1">
        <f t="shared" si="99"/>
        <v>0</v>
      </c>
      <c r="X177" s="1">
        <f t="shared" si="100"/>
        <v>0</v>
      </c>
      <c r="Y177" s="1">
        <f t="shared" si="101"/>
        <v>0</v>
      </c>
      <c r="Z177" s="1">
        <f t="shared" si="102"/>
        <v>0</v>
      </c>
      <c r="AA177" s="1">
        <f t="shared" si="103"/>
        <v>0</v>
      </c>
      <c r="AB177" s="1">
        <f t="shared" si="104"/>
        <v>0</v>
      </c>
      <c r="AD177" s="1">
        <f t="shared" si="105"/>
        <v>0</v>
      </c>
      <c r="AE177" s="1">
        <f t="shared" si="106"/>
        <v>1</v>
      </c>
      <c r="AF177" s="1">
        <f t="shared" si="91"/>
        <v>0</v>
      </c>
      <c r="AG177" s="1">
        <f t="shared" si="92"/>
        <v>1</v>
      </c>
      <c r="AH177" s="1">
        <f t="shared" si="93"/>
        <v>0</v>
      </c>
      <c r="AI177" s="1">
        <f t="shared" si="94"/>
        <v>1</v>
      </c>
    </row>
    <row r="178" spans="1:35" ht="14.25" customHeight="1" x14ac:dyDescent="0.25">
      <c r="A178" s="34">
        <v>0</v>
      </c>
      <c r="B178" s="34">
        <v>1</v>
      </c>
      <c r="C178" s="34">
        <v>4</v>
      </c>
      <c r="D178" s="35" t="s">
        <v>996</v>
      </c>
      <c r="E178" s="35" t="s">
        <v>772</v>
      </c>
      <c r="F178" s="35" t="s">
        <v>1094</v>
      </c>
      <c r="G178" s="35" t="s">
        <v>200</v>
      </c>
      <c r="H178" s="35" t="s">
        <v>354</v>
      </c>
      <c r="I178" s="34" t="s">
        <v>997</v>
      </c>
      <c r="J178" s="34">
        <v>2</v>
      </c>
      <c r="K178" s="36" t="s">
        <v>956</v>
      </c>
      <c r="L178" s="36" t="s">
        <v>693</v>
      </c>
      <c r="M178" s="37" t="s">
        <v>1399</v>
      </c>
      <c r="N178" s="37" t="s">
        <v>1727</v>
      </c>
      <c r="O178" s="38">
        <v>1</v>
      </c>
      <c r="P178" s="38">
        <v>1</v>
      </c>
      <c r="Q178" s="35"/>
      <c r="S178" s="1">
        <f t="shared" si="95"/>
        <v>0</v>
      </c>
      <c r="T178" s="1">
        <f t="shared" si="96"/>
        <v>1</v>
      </c>
      <c r="U178" s="1">
        <f t="shared" si="97"/>
        <v>0</v>
      </c>
      <c r="V178" s="1">
        <f t="shared" si="98"/>
        <v>0</v>
      </c>
      <c r="W178" s="1">
        <f t="shared" si="99"/>
        <v>0</v>
      </c>
      <c r="X178" s="1">
        <f t="shared" si="100"/>
        <v>0</v>
      </c>
      <c r="Y178" s="1">
        <f t="shared" si="101"/>
        <v>0</v>
      </c>
      <c r="Z178" s="1">
        <f t="shared" si="102"/>
        <v>0</v>
      </c>
      <c r="AA178" s="1">
        <f t="shared" si="103"/>
        <v>0</v>
      </c>
      <c r="AB178" s="1">
        <f t="shared" si="104"/>
        <v>0</v>
      </c>
      <c r="AD178" s="1">
        <f t="shared" si="105"/>
        <v>1</v>
      </c>
      <c r="AE178" s="1">
        <f t="shared" si="106"/>
        <v>0</v>
      </c>
      <c r="AF178" s="1">
        <f t="shared" si="91"/>
        <v>1</v>
      </c>
      <c r="AG178" s="1">
        <f t="shared" si="92"/>
        <v>0</v>
      </c>
      <c r="AH178" s="1">
        <f t="shared" si="93"/>
        <v>1</v>
      </c>
      <c r="AI178" s="1">
        <f t="shared" si="94"/>
        <v>0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772</v>
      </c>
      <c r="F179" s="48" t="s">
        <v>193</v>
      </c>
      <c r="G179" s="48" t="s">
        <v>194</v>
      </c>
      <c r="H179" s="48" t="s">
        <v>354</v>
      </c>
      <c r="I179" s="47" t="s">
        <v>387</v>
      </c>
      <c r="J179" s="47">
        <v>9</v>
      </c>
      <c r="K179" s="49" t="s">
        <v>956</v>
      </c>
      <c r="L179" s="49" t="s">
        <v>694</v>
      </c>
      <c r="M179" s="50" t="s">
        <v>969</v>
      </c>
      <c r="N179" s="50" t="s">
        <v>1736</v>
      </c>
      <c r="O179" s="51"/>
      <c r="P179" s="51"/>
      <c r="Q179" s="48"/>
      <c r="S179" s="1">
        <f t="shared" si="95"/>
        <v>0</v>
      </c>
      <c r="T179" s="1">
        <f t="shared" si="96"/>
        <v>0</v>
      </c>
      <c r="U179" s="1">
        <f t="shared" si="97"/>
        <v>0</v>
      </c>
      <c r="V179" s="1">
        <f t="shared" si="98"/>
        <v>0</v>
      </c>
      <c r="W179" s="1">
        <f t="shared" si="99"/>
        <v>0</v>
      </c>
      <c r="X179" s="1">
        <f t="shared" si="100"/>
        <v>0</v>
      </c>
      <c r="Y179" s="1">
        <f t="shared" si="101"/>
        <v>0</v>
      </c>
      <c r="Z179" s="1">
        <f t="shared" si="102"/>
        <v>0</v>
      </c>
      <c r="AA179" s="1">
        <f t="shared" si="103"/>
        <v>1</v>
      </c>
      <c r="AB179" s="1">
        <f t="shared" si="104"/>
        <v>0</v>
      </c>
      <c r="AD179" s="1">
        <f t="shared" si="105"/>
        <v>0</v>
      </c>
      <c r="AE179" s="1">
        <f t="shared" si="106"/>
        <v>0</v>
      </c>
      <c r="AF179" s="1">
        <f t="shared" si="91"/>
        <v>0</v>
      </c>
      <c r="AG179" s="1">
        <f t="shared" si="92"/>
        <v>0</v>
      </c>
      <c r="AH179" s="1">
        <f t="shared" si="93"/>
        <v>0</v>
      </c>
      <c r="AI179" s="1">
        <f t="shared" si="94"/>
        <v>1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177</v>
      </c>
      <c r="F180" s="48" t="s">
        <v>336</v>
      </c>
      <c r="G180" s="48" t="s">
        <v>213</v>
      </c>
      <c r="H180" s="48" t="s">
        <v>354</v>
      </c>
      <c r="I180" s="47" t="s">
        <v>483</v>
      </c>
      <c r="J180" s="47">
        <v>1</v>
      </c>
      <c r="K180" s="49" t="s">
        <v>956</v>
      </c>
      <c r="L180" s="49" t="s">
        <v>689</v>
      </c>
      <c r="M180" s="50" t="s">
        <v>691</v>
      </c>
      <c r="N180" s="50" t="s">
        <v>1735</v>
      </c>
      <c r="O180" s="51"/>
      <c r="P180" s="51"/>
      <c r="Q180" s="48"/>
      <c r="S180" s="1">
        <f t="shared" si="95"/>
        <v>1</v>
      </c>
      <c r="T180" s="1">
        <f t="shared" si="96"/>
        <v>0</v>
      </c>
      <c r="U180" s="1">
        <f t="shared" si="97"/>
        <v>0</v>
      </c>
      <c r="V180" s="1">
        <f t="shared" si="98"/>
        <v>0</v>
      </c>
      <c r="W180" s="1">
        <f t="shared" si="99"/>
        <v>0</v>
      </c>
      <c r="X180" s="1">
        <f t="shared" si="100"/>
        <v>0</v>
      </c>
      <c r="Y180" s="1">
        <f t="shared" si="101"/>
        <v>0</v>
      </c>
      <c r="Z180" s="1">
        <f t="shared" si="102"/>
        <v>0</v>
      </c>
      <c r="AA180" s="1">
        <f t="shared" si="103"/>
        <v>0</v>
      </c>
      <c r="AB180" s="1">
        <f t="shared" si="104"/>
        <v>0</v>
      </c>
      <c r="AD180" s="1">
        <f t="shared" si="105"/>
        <v>0</v>
      </c>
      <c r="AE180" s="1">
        <f t="shared" si="106"/>
        <v>0</v>
      </c>
      <c r="AF180" s="1">
        <f t="shared" si="91"/>
        <v>0</v>
      </c>
      <c r="AG180" s="1">
        <f t="shared" si="92"/>
        <v>0</v>
      </c>
      <c r="AH180" s="1">
        <f t="shared" si="93"/>
        <v>0</v>
      </c>
      <c r="AI180" s="1">
        <f t="shared" si="94"/>
        <v>1</v>
      </c>
    </row>
    <row r="181" spans="1:35" ht="14.25" customHeight="1" x14ac:dyDescent="0.25">
      <c r="A181" s="15">
        <v>0</v>
      </c>
      <c r="B181" s="15">
        <v>1</v>
      </c>
      <c r="C181" s="15">
        <v>4</v>
      </c>
      <c r="D181" s="16" t="s">
        <v>884</v>
      </c>
      <c r="E181" s="16" t="s">
        <v>772</v>
      </c>
      <c r="F181" s="16" t="s">
        <v>885</v>
      </c>
      <c r="G181" s="16" t="s">
        <v>39</v>
      </c>
      <c r="H181" s="16" t="s">
        <v>886</v>
      </c>
      <c r="I181" s="15" t="s">
        <v>950</v>
      </c>
      <c r="J181" s="15">
        <v>17</v>
      </c>
      <c r="K181" s="10" t="s">
        <v>703</v>
      </c>
      <c r="L181" s="10" t="s">
        <v>1141</v>
      </c>
      <c r="M181" s="19" t="s">
        <v>972</v>
      </c>
      <c r="N181" s="17"/>
      <c r="Q181" s="16"/>
      <c r="S181" s="1">
        <f t="shared" si="95"/>
        <v>0</v>
      </c>
      <c r="T181" s="1">
        <f t="shared" si="96"/>
        <v>0</v>
      </c>
      <c r="U181" s="1">
        <f t="shared" si="97"/>
        <v>0</v>
      </c>
      <c r="V181" s="1">
        <f t="shared" si="98"/>
        <v>0</v>
      </c>
      <c r="W181" s="1">
        <f t="shared" si="99"/>
        <v>0</v>
      </c>
      <c r="X181" s="1">
        <f t="shared" si="100"/>
        <v>0</v>
      </c>
      <c r="Y181" s="1">
        <f t="shared" si="101"/>
        <v>0</v>
      </c>
      <c r="Z181" s="1">
        <f t="shared" si="102"/>
        <v>0</v>
      </c>
      <c r="AA181" s="1">
        <f t="shared" si="103"/>
        <v>0</v>
      </c>
      <c r="AB181" s="1">
        <f t="shared" si="104"/>
        <v>0</v>
      </c>
      <c r="AD181" s="1">
        <f t="shared" si="105"/>
        <v>0</v>
      </c>
      <c r="AE181" s="1">
        <f t="shared" si="106"/>
        <v>0</v>
      </c>
      <c r="AF181" s="1">
        <f t="shared" si="91"/>
        <v>0</v>
      </c>
      <c r="AG181" s="1">
        <f t="shared" si="92"/>
        <v>0</v>
      </c>
      <c r="AH181" s="1">
        <f t="shared" si="93"/>
        <v>0</v>
      </c>
      <c r="AI181" s="1">
        <f t="shared" si="94"/>
        <v>1</v>
      </c>
    </row>
    <row r="182" spans="1:35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526</v>
      </c>
      <c r="F182" s="48" t="s">
        <v>327</v>
      </c>
      <c r="G182" s="48" t="s">
        <v>300</v>
      </c>
      <c r="H182" s="48" t="s">
        <v>354</v>
      </c>
      <c r="I182" s="47" t="s">
        <v>475</v>
      </c>
      <c r="J182" s="47">
        <v>99</v>
      </c>
      <c r="K182" s="49" t="s">
        <v>702</v>
      </c>
      <c r="L182" s="49" t="s">
        <v>689</v>
      </c>
      <c r="M182" s="50" t="s">
        <v>970</v>
      </c>
      <c r="N182" s="50" t="s">
        <v>1737</v>
      </c>
      <c r="O182" s="51"/>
      <c r="P182" s="51"/>
      <c r="Q182" s="48"/>
      <c r="S182" s="1">
        <f t="shared" si="95"/>
        <v>0</v>
      </c>
      <c r="T182" s="1">
        <f t="shared" si="96"/>
        <v>0</v>
      </c>
      <c r="U182" s="1">
        <f t="shared" si="97"/>
        <v>0</v>
      </c>
      <c r="V182" s="1">
        <f t="shared" si="98"/>
        <v>0</v>
      </c>
      <c r="W182" s="1">
        <f t="shared" si="99"/>
        <v>0</v>
      </c>
      <c r="X182" s="1">
        <f t="shared" si="100"/>
        <v>0</v>
      </c>
      <c r="Y182" s="1">
        <f t="shared" si="101"/>
        <v>0</v>
      </c>
      <c r="Z182" s="1">
        <f t="shared" si="102"/>
        <v>0</v>
      </c>
      <c r="AA182" s="1">
        <f t="shared" si="103"/>
        <v>0</v>
      </c>
      <c r="AB182" s="1">
        <f t="shared" si="104"/>
        <v>0</v>
      </c>
      <c r="AD182" s="1">
        <f t="shared" si="105"/>
        <v>0</v>
      </c>
      <c r="AE182" s="1">
        <f t="shared" si="106"/>
        <v>0</v>
      </c>
      <c r="AF182" s="1">
        <f t="shared" si="91"/>
        <v>0</v>
      </c>
      <c r="AG182" s="1">
        <f t="shared" si="92"/>
        <v>0</v>
      </c>
      <c r="AH182" s="1">
        <f t="shared" si="93"/>
        <v>0</v>
      </c>
      <c r="AI182" s="1">
        <f t="shared" si="94"/>
        <v>1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1729</v>
      </c>
      <c r="E183" s="35" t="s">
        <v>166</v>
      </c>
      <c r="F183" s="35" t="s">
        <v>1730</v>
      </c>
      <c r="G183" s="35" t="s">
        <v>1731</v>
      </c>
      <c r="H183" s="35" t="s">
        <v>354</v>
      </c>
      <c r="I183" s="34" t="s">
        <v>1732</v>
      </c>
      <c r="J183" s="34">
        <v>2</v>
      </c>
      <c r="K183" s="36" t="s">
        <v>703</v>
      </c>
      <c r="L183" s="36"/>
      <c r="M183" s="37"/>
      <c r="N183" s="37" t="s">
        <v>1733</v>
      </c>
      <c r="O183" s="38">
        <v>1</v>
      </c>
      <c r="P183" s="38">
        <v>1</v>
      </c>
      <c r="Q183" s="35"/>
      <c r="S183" s="1">
        <f t="shared" si="95"/>
        <v>0</v>
      </c>
      <c r="T183" s="1">
        <f t="shared" si="96"/>
        <v>1</v>
      </c>
      <c r="U183" s="1">
        <f t="shared" si="97"/>
        <v>0</v>
      </c>
      <c r="V183" s="1">
        <f t="shared" si="98"/>
        <v>0</v>
      </c>
      <c r="W183" s="1">
        <f t="shared" si="99"/>
        <v>0</v>
      </c>
      <c r="X183" s="1">
        <f t="shared" si="100"/>
        <v>0</v>
      </c>
      <c r="Y183" s="1">
        <f t="shared" si="101"/>
        <v>0</v>
      </c>
      <c r="Z183" s="1">
        <f t="shared" si="102"/>
        <v>0</v>
      </c>
      <c r="AA183" s="1">
        <f t="shared" si="103"/>
        <v>0</v>
      </c>
      <c r="AB183" s="1">
        <f t="shared" si="104"/>
        <v>0</v>
      </c>
      <c r="AD183" s="1">
        <f t="shared" ref="AD183:AD187" si="107">+O183*P183</f>
        <v>1</v>
      </c>
      <c r="AE183" s="1">
        <f t="shared" ref="AE183:AE187" si="108">O183*(1-P183)</f>
        <v>0</v>
      </c>
      <c r="AF183" s="1">
        <f t="shared" ref="AF183:AF187" si="109">+O183*P183*(1-A183)</f>
        <v>1</v>
      </c>
      <c r="AG183" s="1">
        <f t="shared" si="92"/>
        <v>0</v>
      </c>
      <c r="AH183" s="1">
        <f t="shared" si="93"/>
        <v>1</v>
      </c>
      <c r="AI183" s="1">
        <f t="shared" si="94"/>
        <v>0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166</v>
      </c>
      <c r="F184" s="48" t="s">
        <v>577</v>
      </c>
      <c r="G184" s="48" t="s">
        <v>194</v>
      </c>
      <c r="H184" s="48" t="s">
        <v>354</v>
      </c>
      <c r="I184" s="47" t="s">
        <v>436</v>
      </c>
      <c r="J184" s="47">
        <v>9</v>
      </c>
      <c r="K184" s="49" t="s">
        <v>956</v>
      </c>
      <c r="L184" s="49" t="s">
        <v>696</v>
      </c>
      <c r="M184" s="50" t="s">
        <v>691</v>
      </c>
      <c r="N184" s="50" t="s">
        <v>1735</v>
      </c>
      <c r="O184" s="51"/>
      <c r="P184" s="51"/>
      <c r="Q184" s="48"/>
      <c r="S184" s="1">
        <f t="shared" si="95"/>
        <v>0</v>
      </c>
      <c r="T184" s="1">
        <f t="shared" si="96"/>
        <v>0</v>
      </c>
      <c r="U184" s="1">
        <f t="shared" si="97"/>
        <v>0</v>
      </c>
      <c r="V184" s="1">
        <f t="shared" si="98"/>
        <v>0</v>
      </c>
      <c r="W184" s="1">
        <f t="shared" si="99"/>
        <v>0</v>
      </c>
      <c r="X184" s="1">
        <f t="shared" si="100"/>
        <v>0</v>
      </c>
      <c r="Y184" s="1">
        <f t="shared" si="101"/>
        <v>0</v>
      </c>
      <c r="Z184" s="1">
        <f t="shared" si="102"/>
        <v>0</v>
      </c>
      <c r="AA184" s="1">
        <f t="shared" si="103"/>
        <v>1</v>
      </c>
      <c r="AB184" s="1">
        <f t="shared" si="104"/>
        <v>0</v>
      </c>
      <c r="AD184" s="1">
        <f t="shared" si="107"/>
        <v>0</v>
      </c>
      <c r="AE184" s="1">
        <f t="shared" si="108"/>
        <v>0</v>
      </c>
      <c r="AF184" s="1">
        <f t="shared" si="109"/>
        <v>0</v>
      </c>
      <c r="AG184" s="1">
        <f t="shared" si="92"/>
        <v>0</v>
      </c>
      <c r="AH184" s="1">
        <f t="shared" si="93"/>
        <v>0</v>
      </c>
      <c r="AI184" s="1">
        <f t="shared" si="94"/>
        <v>1</v>
      </c>
    </row>
    <row r="185" spans="1:35" ht="14.25" customHeight="1" x14ac:dyDescent="0.25">
      <c r="A185" s="15">
        <v>0</v>
      </c>
      <c r="B185" s="15">
        <v>1</v>
      </c>
      <c r="C185" s="15">
        <v>5</v>
      </c>
      <c r="D185" s="20" t="s">
        <v>1997</v>
      </c>
      <c r="E185" s="20" t="s">
        <v>166</v>
      </c>
      <c r="F185" s="20" t="s">
        <v>1998</v>
      </c>
      <c r="G185" s="20" t="s">
        <v>2001</v>
      </c>
      <c r="H185" s="20" t="s">
        <v>354</v>
      </c>
      <c r="I185" s="21" t="s">
        <v>1999</v>
      </c>
      <c r="J185" s="15">
        <v>99</v>
      </c>
      <c r="K185" s="10" t="s">
        <v>703</v>
      </c>
      <c r="L185" s="10">
        <v>25</v>
      </c>
      <c r="M185" s="19" t="s">
        <v>691</v>
      </c>
      <c r="N185" s="17"/>
      <c r="Q185" s="20" t="s">
        <v>2000</v>
      </c>
      <c r="S185" s="1">
        <f t="shared" si="95"/>
        <v>0</v>
      </c>
      <c r="T185" s="1">
        <f t="shared" si="96"/>
        <v>0</v>
      </c>
      <c r="U185" s="1">
        <f t="shared" si="97"/>
        <v>0</v>
      </c>
      <c r="V185" s="1">
        <f t="shared" si="98"/>
        <v>0</v>
      </c>
      <c r="W185" s="1">
        <f t="shared" si="99"/>
        <v>0</v>
      </c>
      <c r="X185" s="1">
        <f t="shared" si="100"/>
        <v>0</v>
      </c>
      <c r="Y185" s="1">
        <f t="shared" si="101"/>
        <v>0</v>
      </c>
      <c r="Z185" s="1">
        <f t="shared" si="102"/>
        <v>0</v>
      </c>
      <c r="AA185" s="1">
        <f t="shared" si="103"/>
        <v>0</v>
      </c>
      <c r="AB185" s="1">
        <f t="shared" si="104"/>
        <v>0</v>
      </c>
      <c r="AD185" s="1">
        <f t="shared" si="107"/>
        <v>0</v>
      </c>
      <c r="AE185" s="1">
        <f t="shared" si="108"/>
        <v>0</v>
      </c>
      <c r="AF185" s="1">
        <f t="shared" si="109"/>
        <v>0</v>
      </c>
      <c r="AG185" s="1">
        <f t="shared" si="92"/>
        <v>0</v>
      </c>
      <c r="AH185" s="1">
        <f t="shared" si="93"/>
        <v>0</v>
      </c>
      <c r="AI185" s="1">
        <f t="shared" si="94"/>
        <v>1</v>
      </c>
    </row>
    <row r="186" spans="1:35" ht="14.25" customHeight="1" x14ac:dyDescent="0.25">
      <c r="A186" s="47">
        <v>0</v>
      </c>
      <c r="B186" s="47">
        <v>1</v>
      </c>
      <c r="C186" s="47">
        <v>5</v>
      </c>
      <c r="D186" s="48" t="s">
        <v>127</v>
      </c>
      <c r="E186" s="48" t="s">
        <v>166</v>
      </c>
      <c r="F186" s="48" t="s">
        <v>328</v>
      </c>
      <c r="G186" s="48" t="s">
        <v>180</v>
      </c>
      <c r="H186" s="48" t="s">
        <v>354</v>
      </c>
      <c r="I186" s="47" t="s">
        <v>476</v>
      </c>
      <c r="J186" s="47">
        <v>10</v>
      </c>
      <c r="K186" s="49" t="s">
        <v>958</v>
      </c>
      <c r="L186" s="49" t="s">
        <v>694</v>
      </c>
      <c r="M186" s="50" t="s">
        <v>691</v>
      </c>
      <c r="N186" s="50" t="s">
        <v>1740</v>
      </c>
      <c r="O186" s="51"/>
      <c r="P186" s="51"/>
      <c r="Q186" s="48"/>
      <c r="S186" s="1">
        <f t="shared" si="95"/>
        <v>0</v>
      </c>
      <c r="T186" s="1">
        <f t="shared" si="96"/>
        <v>0</v>
      </c>
      <c r="U186" s="1">
        <f t="shared" si="97"/>
        <v>0</v>
      </c>
      <c r="V186" s="1">
        <f t="shared" si="98"/>
        <v>0</v>
      </c>
      <c r="W186" s="1">
        <f t="shared" si="99"/>
        <v>0</v>
      </c>
      <c r="X186" s="1">
        <f t="shared" si="100"/>
        <v>0</v>
      </c>
      <c r="Y186" s="1">
        <f t="shared" si="101"/>
        <v>0</v>
      </c>
      <c r="Z186" s="1">
        <f t="shared" si="102"/>
        <v>0</v>
      </c>
      <c r="AA186" s="1">
        <f t="shared" si="103"/>
        <v>0</v>
      </c>
      <c r="AB186" s="1">
        <f t="shared" si="104"/>
        <v>1</v>
      </c>
      <c r="AD186" s="1">
        <f t="shared" si="107"/>
        <v>0</v>
      </c>
      <c r="AE186" s="1">
        <f t="shared" si="108"/>
        <v>0</v>
      </c>
      <c r="AF186" s="1">
        <f t="shared" si="109"/>
        <v>0</v>
      </c>
      <c r="AG186" s="1">
        <f t="shared" si="92"/>
        <v>0</v>
      </c>
      <c r="AH186" s="1">
        <f t="shared" si="93"/>
        <v>0</v>
      </c>
      <c r="AI186" s="1">
        <f t="shared" si="94"/>
        <v>1</v>
      </c>
    </row>
    <row r="187" spans="1:35" ht="13.9" customHeight="1" x14ac:dyDescent="0.25">
      <c r="A187" s="47">
        <v>0</v>
      </c>
      <c r="B187" s="47">
        <v>1</v>
      </c>
      <c r="C187" s="47">
        <v>5</v>
      </c>
      <c r="D187" s="48" t="s">
        <v>137</v>
      </c>
      <c r="E187" s="48" t="s">
        <v>166</v>
      </c>
      <c r="F187" s="48" t="s">
        <v>548</v>
      </c>
      <c r="G187" s="48" t="s">
        <v>220</v>
      </c>
      <c r="H187" s="48" t="s">
        <v>354</v>
      </c>
      <c r="I187" s="47" t="s">
        <v>540</v>
      </c>
      <c r="J187" s="47">
        <v>8</v>
      </c>
      <c r="K187" s="49" t="s">
        <v>956</v>
      </c>
      <c r="L187" s="49" t="s">
        <v>694</v>
      </c>
      <c r="M187" s="50" t="s">
        <v>691</v>
      </c>
      <c r="N187" s="50" t="s">
        <v>1735</v>
      </c>
      <c r="O187" s="51"/>
      <c r="P187" s="51"/>
      <c r="Q187" s="48"/>
      <c r="S187" s="1">
        <f t="shared" si="95"/>
        <v>0</v>
      </c>
      <c r="T187" s="1">
        <f t="shared" si="96"/>
        <v>0</v>
      </c>
      <c r="U187" s="1">
        <f t="shared" si="97"/>
        <v>0</v>
      </c>
      <c r="V187" s="1">
        <f t="shared" si="98"/>
        <v>0</v>
      </c>
      <c r="W187" s="1">
        <f t="shared" si="99"/>
        <v>0</v>
      </c>
      <c r="X187" s="1">
        <f t="shared" si="100"/>
        <v>0</v>
      </c>
      <c r="Y187" s="1">
        <f t="shared" si="101"/>
        <v>0</v>
      </c>
      <c r="Z187" s="1">
        <f t="shared" si="102"/>
        <v>1</v>
      </c>
      <c r="AA187" s="1">
        <f t="shared" si="103"/>
        <v>0</v>
      </c>
      <c r="AB187" s="1">
        <f t="shared" si="104"/>
        <v>0</v>
      </c>
      <c r="AD187" s="1">
        <f t="shared" si="107"/>
        <v>0</v>
      </c>
      <c r="AE187" s="1">
        <f t="shared" si="108"/>
        <v>0</v>
      </c>
      <c r="AF187" s="1">
        <f t="shared" si="109"/>
        <v>0</v>
      </c>
      <c r="AG187" s="1">
        <f t="shared" si="92"/>
        <v>0</v>
      </c>
      <c r="AH187" s="1">
        <f t="shared" si="93"/>
        <v>0</v>
      </c>
      <c r="AI187" s="1">
        <f t="shared" si="94"/>
        <v>1</v>
      </c>
    </row>
    <row r="188" spans="1:35" ht="14.25" customHeight="1" x14ac:dyDescent="0.25">
      <c r="A188" s="47">
        <v>1</v>
      </c>
      <c r="B188" s="47">
        <v>1</v>
      </c>
      <c r="C188" s="47">
        <v>5</v>
      </c>
      <c r="D188" s="48" t="s">
        <v>137</v>
      </c>
      <c r="E188" s="48" t="s">
        <v>166</v>
      </c>
      <c r="F188" s="48" t="s">
        <v>337</v>
      </c>
      <c r="G188" s="48" t="s">
        <v>338</v>
      </c>
      <c r="H188" s="48" t="s">
        <v>354</v>
      </c>
      <c r="I188" s="47" t="s">
        <v>485</v>
      </c>
      <c r="J188" s="47">
        <v>10</v>
      </c>
      <c r="K188" s="49" t="s">
        <v>956</v>
      </c>
      <c r="L188" s="49" t="s">
        <v>694</v>
      </c>
      <c r="M188" s="50" t="s">
        <v>691</v>
      </c>
      <c r="N188" s="50" t="s">
        <v>1735</v>
      </c>
      <c r="O188" s="51"/>
      <c r="P188" s="51"/>
      <c r="Q188" s="48"/>
      <c r="S188" s="1">
        <f t="shared" si="95"/>
        <v>0</v>
      </c>
      <c r="T188" s="1">
        <f t="shared" si="96"/>
        <v>0</v>
      </c>
      <c r="U188" s="1">
        <f t="shared" si="97"/>
        <v>0</v>
      </c>
      <c r="V188" s="1">
        <f t="shared" si="98"/>
        <v>0</v>
      </c>
      <c r="W188" s="1">
        <f t="shared" si="99"/>
        <v>0</v>
      </c>
      <c r="X188" s="1">
        <f t="shared" si="100"/>
        <v>0</v>
      </c>
      <c r="Y188" s="1">
        <f t="shared" si="101"/>
        <v>0</v>
      </c>
      <c r="Z188" s="1">
        <f t="shared" si="102"/>
        <v>0</v>
      </c>
      <c r="AA188" s="1">
        <f t="shared" si="103"/>
        <v>0</v>
      </c>
      <c r="AB188" s="1">
        <f t="shared" si="104"/>
        <v>1</v>
      </c>
      <c r="AD188" s="1">
        <f t="shared" si="105"/>
        <v>0</v>
      </c>
      <c r="AE188" s="1">
        <f t="shared" si="106"/>
        <v>0</v>
      </c>
      <c r="AF188" s="1">
        <f t="shared" si="91"/>
        <v>0</v>
      </c>
      <c r="AG188" s="1">
        <f t="shared" si="92"/>
        <v>0</v>
      </c>
      <c r="AH188" s="1">
        <f t="shared" si="93"/>
        <v>0</v>
      </c>
      <c r="AI188" s="1">
        <f t="shared" si="94"/>
        <v>0</v>
      </c>
    </row>
    <row r="189" spans="1:35" ht="14.25" customHeight="1" x14ac:dyDescent="0.25">
      <c r="A189" s="47">
        <v>0</v>
      </c>
      <c r="B189" s="47">
        <v>1</v>
      </c>
      <c r="C189" s="47">
        <v>5</v>
      </c>
      <c r="D189" s="48" t="s">
        <v>1637</v>
      </c>
      <c r="E189" s="48" t="s">
        <v>166</v>
      </c>
      <c r="F189" s="48" t="s">
        <v>865</v>
      </c>
      <c r="G189" s="48" t="s">
        <v>1664</v>
      </c>
      <c r="H189" s="48" t="s">
        <v>354</v>
      </c>
      <c r="I189" s="47" t="s">
        <v>866</v>
      </c>
      <c r="J189" s="47">
        <v>1</v>
      </c>
      <c r="K189" s="49" t="s">
        <v>722</v>
      </c>
      <c r="L189" s="49" t="s">
        <v>1707</v>
      </c>
      <c r="M189" s="50" t="s">
        <v>1400</v>
      </c>
      <c r="N189" s="50" t="s">
        <v>1735</v>
      </c>
      <c r="O189" s="51"/>
      <c r="P189" s="51"/>
      <c r="Q189" s="48"/>
      <c r="S189" s="1">
        <f t="shared" si="95"/>
        <v>1</v>
      </c>
      <c r="T189" s="1">
        <f t="shared" si="96"/>
        <v>0</v>
      </c>
      <c r="U189" s="1">
        <f t="shared" si="97"/>
        <v>0</v>
      </c>
      <c r="V189" s="1">
        <f t="shared" si="98"/>
        <v>0</v>
      </c>
      <c r="W189" s="1">
        <f t="shared" si="99"/>
        <v>0</v>
      </c>
      <c r="X189" s="1">
        <f t="shared" si="100"/>
        <v>0</v>
      </c>
      <c r="Y189" s="1">
        <f t="shared" si="101"/>
        <v>0</v>
      </c>
      <c r="Z189" s="1">
        <f t="shared" si="102"/>
        <v>0</v>
      </c>
      <c r="AA189" s="1">
        <f t="shared" si="103"/>
        <v>0</v>
      </c>
      <c r="AB189" s="1">
        <f t="shared" si="104"/>
        <v>0</v>
      </c>
      <c r="AD189" s="1">
        <f t="shared" ref="AD189:AD190" si="110">+O189*P189</f>
        <v>0</v>
      </c>
      <c r="AE189" s="1">
        <f t="shared" ref="AE189:AE190" si="111">O189*(1-P189)</f>
        <v>0</v>
      </c>
      <c r="AF189" s="1">
        <f t="shared" ref="AF189:AF190" si="112">+O189*P189*(1-A189)</f>
        <v>0</v>
      </c>
      <c r="AG189" s="1">
        <f t="shared" si="92"/>
        <v>0</v>
      </c>
      <c r="AH189" s="1">
        <f t="shared" si="93"/>
        <v>0</v>
      </c>
      <c r="AI189" s="1">
        <f t="shared" si="94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20" t="s">
        <v>1949</v>
      </c>
      <c r="E190" s="20" t="s">
        <v>893</v>
      </c>
      <c r="F190" s="20" t="s">
        <v>1967</v>
      </c>
      <c r="G190" s="20"/>
      <c r="H190" s="20" t="s">
        <v>1968</v>
      </c>
      <c r="I190" s="21" t="s">
        <v>1966</v>
      </c>
      <c r="J190" s="15">
        <v>15</v>
      </c>
      <c r="K190" s="10" t="s">
        <v>703</v>
      </c>
      <c r="L190" s="10" t="s">
        <v>697</v>
      </c>
      <c r="M190" s="19" t="s">
        <v>971</v>
      </c>
      <c r="N190" s="17"/>
      <c r="Q190" s="20" t="s">
        <v>1969</v>
      </c>
      <c r="S190" s="1">
        <f t="shared" si="95"/>
        <v>0</v>
      </c>
      <c r="T190" s="1">
        <f t="shared" si="96"/>
        <v>0</v>
      </c>
      <c r="U190" s="1">
        <f t="shared" si="97"/>
        <v>0</v>
      </c>
      <c r="V190" s="1">
        <f t="shared" si="98"/>
        <v>0</v>
      </c>
      <c r="W190" s="1">
        <f t="shared" si="99"/>
        <v>0</v>
      </c>
      <c r="X190" s="1">
        <f t="shared" si="100"/>
        <v>0</v>
      </c>
      <c r="Y190" s="1">
        <f t="shared" si="101"/>
        <v>0</v>
      </c>
      <c r="Z190" s="1">
        <f t="shared" si="102"/>
        <v>0</v>
      </c>
      <c r="AA190" s="1">
        <f t="shared" si="103"/>
        <v>0</v>
      </c>
      <c r="AB190" s="1">
        <f t="shared" si="104"/>
        <v>0</v>
      </c>
      <c r="AD190" s="1">
        <f t="shared" si="110"/>
        <v>0</v>
      </c>
      <c r="AE190" s="1">
        <f t="shared" si="111"/>
        <v>0</v>
      </c>
      <c r="AF190" s="1">
        <f t="shared" si="112"/>
        <v>0</v>
      </c>
      <c r="AG190" s="1">
        <f t="shared" si="92"/>
        <v>0</v>
      </c>
      <c r="AH190" s="1">
        <f t="shared" si="93"/>
        <v>0</v>
      </c>
      <c r="AI190" s="1">
        <f t="shared" si="94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887</v>
      </c>
      <c r="E191" s="35" t="s">
        <v>888</v>
      </c>
      <c r="F191" s="35" t="s">
        <v>1092</v>
      </c>
      <c r="G191" s="35" t="s">
        <v>39</v>
      </c>
      <c r="H191" s="35" t="s">
        <v>889</v>
      </c>
      <c r="I191" s="34" t="s">
        <v>890</v>
      </c>
      <c r="J191" s="34">
        <v>16</v>
      </c>
      <c r="K191" s="36" t="s">
        <v>703</v>
      </c>
      <c r="L191" s="36" t="s">
        <v>692</v>
      </c>
      <c r="M191" s="37" t="s">
        <v>970</v>
      </c>
      <c r="N191" s="37" t="s">
        <v>1733</v>
      </c>
      <c r="O191" s="38">
        <v>1</v>
      </c>
      <c r="P191" s="38">
        <v>1</v>
      </c>
      <c r="Q191" s="39" t="s">
        <v>1894</v>
      </c>
      <c r="S191" s="1">
        <f t="shared" si="95"/>
        <v>0</v>
      </c>
      <c r="T191" s="1">
        <f t="shared" si="96"/>
        <v>0</v>
      </c>
      <c r="U191" s="1">
        <f t="shared" si="97"/>
        <v>0</v>
      </c>
      <c r="V191" s="1">
        <f t="shared" si="98"/>
        <v>0</v>
      </c>
      <c r="W191" s="1">
        <f t="shared" si="99"/>
        <v>0</v>
      </c>
      <c r="X191" s="1">
        <f t="shared" si="100"/>
        <v>0</v>
      </c>
      <c r="Y191" s="1">
        <f t="shared" si="101"/>
        <v>0</v>
      </c>
      <c r="Z191" s="1">
        <f t="shared" si="102"/>
        <v>0</v>
      </c>
      <c r="AA191" s="1">
        <f t="shared" si="103"/>
        <v>0</v>
      </c>
      <c r="AB191" s="1">
        <f t="shared" si="104"/>
        <v>0</v>
      </c>
      <c r="AD191" s="1">
        <f t="shared" si="105"/>
        <v>1</v>
      </c>
      <c r="AE191" s="1">
        <f t="shared" si="106"/>
        <v>0</v>
      </c>
      <c r="AF191" s="1">
        <f t="shared" si="91"/>
        <v>1</v>
      </c>
      <c r="AG191" s="1">
        <f t="shared" si="92"/>
        <v>0</v>
      </c>
      <c r="AH191" s="1">
        <f t="shared" si="93"/>
        <v>1</v>
      </c>
      <c r="AI191" s="1">
        <f t="shared" si="94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106</v>
      </c>
      <c r="E192" s="35" t="s">
        <v>173</v>
      </c>
      <c r="F192" s="35" t="s">
        <v>304</v>
      </c>
      <c r="G192" s="35" t="s">
        <v>39</v>
      </c>
      <c r="H192" s="35" t="s">
        <v>359</v>
      </c>
      <c r="I192" s="34" t="s">
        <v>453</v>
      </c>
      <c r="J192" s="34">
        <v>14</v>
      </c>
      <c r="K192" s="36" t="s">
        <v>956</v>
      </c>
      <c r="L192" s="36" t="s">
        <v>693</v>
      </c>
      <c r="M192" s="37" t="s">
        <v>970</v>
      </c>
      <c r="N192" s="37" t="s">
        <v>1743</v>
      </c>
      <c r="O192" s="38">
        <v>1</v>
      </c>
      <c r="P192" s="38"/>
      <c r="Q192" s="35"/>
      <c r="S192" s="1">
        <f t="shared" si="95"/>
        <v>0</v>
      </c>
      <c r="T192" s="1">
        <f t="shared" si="96"/>
        <v>0</v>
      </c>
      <c r="U192" s="1">
        <f t="shared" si="97"/>
        <v>0</v>
      </c>
      <c r="V192" s="1">
        <f t="shared" si="98"/>
        <v>0</v>
      </c>
      <c r="W192" s="1">
        <f t="shared" si="99"/>
        <v>0</v>
      </c>
      <c r="X192" s="1">
        <f t="shared" si="100"/>
        <v>0</v>
      </c>
      <c r="Y192" s="1">
        <f t="shared" si="101"/>
        <v>0</v>
      </c>
      <c r="Z192" s="1">
        <f t="shared" si="102"/>
        <v>0</v>
      </c>
      <c r="AA192" s="1">
        <f t="shared" si="103"/>
        <v>0</v>
      </c>
      <c r="AB192" s="1">
        <f t="shared" si="104"/>
        <v>0</v>
      </c>
      <c r="AD192" s="1">
        <f t="shared" si="105"/>
        <v>0</v>
      </c>
      <c r="AE192" s="1">
        <f t="shared" si="106"/>
        <v>1</v>
      </c>
      <c r="AF192" s="1">
        <f t="shared" si="91"/>
        <v>0</v>
      </c>
      <c r="AG192" s="1">
        <f t="shared" si="92"/>
        <v>1</v>
      </c>
      <c r="AH192" s="1">
        <f t="shared" si="93"/>
        <v>0</v>
      </c>
      <c r="AI192" s="1">
        <f t="shared" si="94"/>
        <v>1</v>
      </c>
    </row>
    <row r="193" spans="1:35" ht="14.25" customHeight="1" x14ac:dyDescent="0.25">
      <c r="A193" s="15">
        <v>0</v>
      </c>
      <c r="B193" s="15">
        <v>1</v>
      </c>
      <c r="C193" s="15">
        <v>5</v>
      </c>
      <c r="D193" s="20" t="s">
        <v>1951</v>
      </c>
      <c r="E193" s="20" t="s">
        <v>893</v>
      </c>
      <c r="F193" s="20" t="s">
        <v>1981</v>
      </c>
      <c r="G193" s="20"/>
      <c r="H193" s="20" t="s">
        <v>1980</v>
      </c>
      <c r="I193" s="21" t="s">
        <v>1979</v>
      </c>
      <c r="J193" s="15">
        <v>18</v>
      </c>
      <c r="K193" s="10" t="s">
        <v>703</v>
      </c>
      <c r="L193" s="10" t="s">
        <v>697</v>
      </c>
      <c r="M193" s="19" t="s">
        <v>971</v>
      </c>
      <c r="N193" s="17"/>
      <c r="Q193" s="20" t="s">
        <v>1982</v>
      </c>
      <c r="S193" s="1">
        <f t="shared" si="95"/>
        <v>0</v>
      </c>
      <c r="T193" s="1">
        <f t="shared" si="96"/>
        <v>0</v>
      </c>
      <c r="U193" s="1">
        <f t="shared" si="97"/>
        <v>0</v>
      </c>
      <c r="V193" s="1">
        <f t="shared" si="98"/>
        <v>0</v>
      </c>
      <c r="W193" s="1">
        <f t="shared" si="99"/>
        <v>0</v>
      </c>
      <c r="X193" s="1">
        <f t="shared" si="100"/>
        <v>0</v>
      </c>
      <c r="Y193" s="1">
        <f t="shared" si="101"/>
        <v>0</v>
      </c>
      <c r="Z193" s="1">
        <f t="shared" si="102"/>
        <v>0</v>
      </c>
      <c r="AA193" s="1">
        <f t="shared" si="103"/>
        <v>0</v>
      </c>
      <c r="AB193" s="1">
        <f t="shared" si="104"/>
        <v>0</v>
      </c>
      <c r="AD193" s="1">
        <f t="shared" si="105"/>
        <v>0</v>
      </c>
      <c r="AE193" s="1">
        <f t="shared" si="106"/>
        <v>0</v>
      </c>
      <c r="AF193" s="1">
        <f t="shared" si="91"/>
        <v>0</v>
      </c>
      <c r="AG193" s="1">
        <f t="shared" si="92"/>
        <v>0</v>
      </c>
      <c r="AH193" s="1">
        <f t="shared" si="93"/>
        <v>0</v>
      </c>
      <c r="AI193" s="1">
        <f t="shared" si="94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513</v>
      </c>
      <c r="E194" s="48" t="s">
        <v>172</v>
      </c>
      <c r="F194" s="48" t="s">
        <v>549</v>
      </c>
      <c r="G194" s="48" t="s">
        <v>39</v>
      </c>
      <c r="H194" s="48" t="s">
        <v>362</v>
      </c>
      <c r="I194" s="47" t="s">
        <v>1114</v>
      </c>
      <c r="J194" s="47">
        <v>12</v>
      </c>
      <c r="K194" s="49" t="s">
        <v>703</v>
      </c>
      <c r="L194" s="49">
        <v>35</v>
      </c>
      <c r="M194" s="50" t="s">
        <v>970</v>
      </c>
      <c r="N194" s="50" t="s">
        <v>1802</v>
      </c>
      <c r="O194" s="51"/>
      <c r="P194" s="51"/>
      <c r="Q194" s="48"/>
      <c r="S194" s="1">
        <f t="shared" si="95"/>
        <v>0</v>
      </c>
      <c r="T194" s="1">
        <f t="shared" si="96"/>
        <v>0</v>
      </c>
      <c r="U194" s="1">
        <f t="shared" si="97"/>
        <v>0</v>
      </c>
      <c r="V194" s="1">
        <f t="shared" si="98"/>
        <v>0</v>
      </c>
      <c r="W194" s="1">
        <f t="shared" si="99"/>
        <v>0</v>
      </c>
      <c r="X194" s="1">
        <f t="shared" si="100"/>
        <v>0</v>
      </c>
      <c r="Y194" s="1">
        <f t="shared" si="101"/>
        <v>0</v>
      </c>
      <c r="Z194" s="1">
        <f t="shared" si="102"/>
        <v>0</v>
      </c>
      <c r="AA194" s="1">
        <f t="shared" si="103"/>
        <v>0</v>
      </c>
      <c r="AB194" s="1">
        <f t="shared" si="104"/>
        <v>0</v>
      </c>
      <c r="AD194" s="1">
        <f t="shared" si="105"/>
        <v>0</v>
      </c>
      <c r="AE194" s="1">
        <f t="shared" si="106"/>
        <v>0</v>
      </c>
      <c r="AF194" s="1">
        <f t="shared" si="91"/>
        <v>0</v>
      </c>
      <c r="AG194" s="1">
        <f t="shared" si="92"/>
        <v>0</v>
      </c>
      <c r="AH194" s="1">
        <f t="shared" si="93"/>
        <v>0</v>
      </c>
      <c r="AI194" s="1">
        <f t="shared" si="94"/>
        <v>1</v>
      </c>
    </row>
    <row r="195" spans="1:35" ht="14.25" customHeight="1" x14ac:dyDescent="0.25">
      <c r="A195" s="34">
        <v>0</v>
      </c>
      <c r="B195" s="34">
        <v>1</v>
      </c>
      <c r="C195" s="34">
        <v>5</v>
      </c>
      <c r="D195" s="35" t="s">
        <v>151</v>
      </c>
      <c r="E195" s="35" t="s">
        <v>166</v>
      </c>
      <c r="F195" s="39" t="s">
        <v>1870</v>
      </c>
      <c r="G195" s="35" t="s">
        <v>197</v>
      </c>
      <c r="H195" s="35" t="s">
        <v>354</v>
      </c>
      <c r="I195" s="34" t="s">
        <v>498</v>
      </c>
      <c r="J195" s="34">
        <v>99</v>
      </c>
      <c r="K195" s="36" t="s">
        <v>956</v>
      </c>
      <c r="L195" s="36" t="s">
        <v>693</v>
      </c>
      <c r="M195" s="37" t="s">
        <v>970</v>
      </c>
      <c r="N195" s="37" t="s">
        <v>1748</v>
      </c>
      <c r="O195" s="38">
        <v>1</v>
      </c>
      <c r="P195" s="38"/>
      <c r="Q195" s="35"/>
      <c r="S195" s="1">
        <f t="shared" si="95"/>
        <v>0</v>
      </c>
      <c r="T195" s="1">
        <f t="shared" si="96"/>
        <v>0</v>
      </c>
      <c r="U195" s="1">
        <f t="shared" si="97"/>
        <v>0</v>
      </c>
      <c r="V195" s="1">
        <f t="shared" si="98"/>
        <v>0</v>
      </c>
      <c r="W195" s="1">
        <f t="shared" si="99"/>
        <v>0</v>
      </c>
      <c r="X195" s="1">
        <f t="shared" si="100"/>
        <v>0</v>
      </c>
      <c r="Y195" s="1">
        <f t="shared" si="101"/>
        <v>0</v>
      </c>
      <c r="Z195" s="1">
        <f t="shared" si="102"/>
        <v>0</v>
      </c>
      <c r="AA195" s="1">
        <f t="shared" si="103"/>
        <v>0</v>
      </c>
      <c r="AB195" s="1">
        <f t="shared" si="104"/>
        <v>0</v>
      </c>
      <c r="AD195" s="1">
        <f t="shared" si="105"/>
        <v>0</v>
      </c>
      <c r="AE195" s="1">
        <f t="shared" si="106"/>
        <v>1</v>
      </c>
      <c r="AF195" s="1">
        <f t="shared" si="91"/>
        <v>0</v>
      </c>
      <c r="AG195" s="1">
        <f t="shared" si="92"/>
        <v>1</v>
      </c>
      <c r="AH195" s="1">
        <f t="shared" si="93"/>
        <v>0</v>
      </c>
      <c r="AI195" s="1">
        <f t="shared" si="94"/>
        <v>1</v>
      </c>
    </row>
    <row r="196" spans="1:35" ht="14.25" customHeight="1" x14ac:dyDescent="0.25">
      <c r="A196" s="47">
        <v>0</v>
      </c>
      <c r="B196" s="47">
        <v>1</v>
      </c>
      <c r="C196" s="47">
        <v>5</v>
      </c>
      <c r="D196" s="48" t="s">
        <v>649</v>
      </c>
      <c r="E196" s="48" t="s">
        <v>684</v>
      </c>
      <c r="F196" s="48" t="s">
        <v>645</v>
      </c>
      <c r="G196" s="48" t="s">
        <v>185</v>
      </c>
      <c r="H196" s="48" t="s">
        <v>354</v>
      </c>
      <c r="I196" s="47" t="s">
        <v>646</v>
      </c>
      <c r="J196" s="47">
        <v>99</v>
      </c>
      <c r="K196" s="49" t="s">
        <v>722</v>
      </c>
      <c r="L196" s="49" t="s">
        <v>693</v>
      </c>
      <c r="M196" s="50" t="s">
        <v>970</v>
      </c>
      <c r="N196" s="50" t="s">
        <v>1734</v>
      </c>
      <c r="O196" s="51"/>
      <c r="P196" s="51"/>
      <c r="Q196" s="48"/>
      <c r="S196" s="1">
        <f t="shared" si="95"/>
        <v>0</v>
      </c>
      <c r="T196" s="1">
        <f t="shared" si="96"/>
        <v>0</v>
      </c>
      <c r="U196" s="1">
        <f t="shared" si="97"/>
        <v>0</v>
      </c>
      <c r="V196" s="1">
        <f t="shared" si="98"/>
        <v>0</v>
      </c>
      <c r="W196" s="1">
        <f t="shared" si="99"/>
        <v>0</v>
      </c>
      <c r="X196" s="1">
        <f t="shared" si="100"/>
        <v>0</v>
      </c>
      <c r="Y196" s="1">
        <f t="shared" si="101"/>
        <v>0</v>
      </c>
      <c r="Z196" s="1">
        <f t="shared" si="102"/>
        <v>0</v>
      </c>
      <c r="AA196" s="1">
        <f t="shared" si="103"/>
        <v>0</v>
      </c>
      <c r="AB196" s="1">
        <f t="shared" si="104"/>
        <v>0</v>
      </c>
      <c r="AD196" s="1">
        <f t="shared" si="105"/>
        <v>0</v>
      </c>
      <c r="AE196" s="1">
        <f t="shared" si="106"/>
        <v>0</v>
      </c>
      <c r="AF196" s="1">
        <f t="shared" si="91"/>
        <v>0</v>
      </c>
      <c r="AG196" s="1">
        <f t="shared" si="92"/>
        <v>0</v>
      </c>
      <c r="AH196" s="1">
        <f t="shared" si="93"/>
        <v>0</v>
      </c>
      <c r="AI196" s="1">
        <f t="shared" si="94"/>
        <v>1</v>
      </c>
    </row>
    <row r="197" spans="1:35" ht="14.25" customHeight="1" x14ac:dyDescent="0.25">
      <c r="A197" s="34">
        <v>0</v>
      </c>
      <c r="B197" s="34">
        <v>1</v>
      </c>
      <c r="C197" s="34">
        <v>5</v>
      </c>
      <c r="D197" s="35" t="s">
        <v>1310</v>
      </c>
      <c r="E197" s="35" t="s">
        <v>166</v>
      </c>
      <c r="F197" s="35" t="s">
        <v>1311</v>
      </c>
      <c r="G197" s="35" t="s">
        <v>283</v>
      </c>
      <c r="H197" s="35" t="s">
        <v>354</v>
      </c>
      <c r="I197" s="34" t="s">
        <v>1312</v>
      </c>
      <c r="J197" s="34">
        <v>99</v>
      </c>
      <c r="K197" s="36" t="s">
        <v>702</v>
      </c>
      <c r="L197" s="36" t="s">
        <v>39</v>
      </c>
      <c r="M197" s="37" t="s">
        <v>39</v>
      </c>
      <c r="N197" s="37" t="s">
        <v>1733</v>
      </c>
      <c r="O197" s="38">
        <v>1</v>
      </c>
      <c r="P197" s="38">
        <v>1</v>
      </c>
      <c r="Q197" s="35"/>
      <c r="S197" s="1">
        <f t="shared" si="95"/>
        <v>0</v>
      </c>
      <c r="T197" s="1">
        <f t="shared" si="96"/>
        <v>0</v>
      </c>
      <c r="U197" s="1">
        <f t="shared" si="97"/>
        <v>0</v>
      </c>
      <c r="V197" s="1">
        <f t="shared" si="98"/>
        <v>0</v>
      </c>
      <c r="W197" s="1">
        <f t="shared" si="99"/>
        <v>0</v>
      </c>
      <c r="X197" s="1">
        <f t="shared" si="100"/>
        <v>0</v>
      </c>
      <c r="Y197" s="1">
        <f t="shared" si="101"/>
        <v>0</v>
      </c>
      <c r="Z197" s="1">
        <f t="shared" si="102"/>
        <v>0</v>
      </c>
      <c r="AA197" s="1">
        <f t="shared" si="103"/>
        <v>0</v>
      </c>
      <c r="AB197" s="1">
        <f t="shared" si="104"/>
        <v>0</v>
      </c>
      <c r="AD197" s="1">
        <f t="shared" si="105"/>
        <v>1</v>
      </c>
      <c r="AE197" s="1">
        <f t="shared" si="106"/>
        <v>0</v>
      </c>
      <c r="AF197" s="1">
        <f t="shared" si="91"/>
        <v>1</v>
      </c>
      <c r="AG197" s="1">
        <f t="shared" si="92"/>
        <v>0</v>
      </c>
      <c r="AH197" s="1">
        <f t="shared" si="93"/>
        <v>1</v>
      </c>
      <c r="AI197" s="1">
        <f t="shared" si="94"/>
        <v>0</v>
      </c>
    </row>
    <row r="198" spans="1:35" ht="14.25" customHeight="1" x14ac:dyDescent="0.25">
      <c r="A198" s="47">
        <v>0</v>
      </c>
      <c r="B198" s="47">
        <v>1</v>
      </c>
      <c r="C198" s="47">
        <v>5</v>
      </c>
      <c r="D198" s="48" t="s">
        <v>892</v>
      </c>
      <c r="E198" s="48" t="s">
        <v>893</v>
      </c>
      <c r="F198" s="48" t="s">
        <v>934</v>
      </c>
      <c r="G198" s="48" t="s">
        <v>39</v>
      </c>
      <c r="H198" s="48" t="s">
        <v>894</v>
      </c>
      <c r="I198" s="47" t="s">
        <v>895</v>
      </c>
      <c r="J198" s="47">
        <v>17</v>
      </c>
      <c r="K198" s="49" t="s">
        <v>703</v>
      </c>
      <c r="L198" s="49" t="s">
        <v>697</v>
      </c>
      <c r="M198" s="50" t="s">
        <v>970</v>
      </c>
      <c r="N198" s="50" t="s">
        <v>1741</v>
      </c>
      <c r="O198" s="51"/>
      <c r="P198" s="51"/>
      <c r="Q198" s="48"/>
      <c r="S198" s="1">
        <f t="shared" si="95"/>
        <v>0</v>
      </c>
      <c r="T198" s="1">
        <f t="shared" si="96"/>
        <v>0</v>
      </c>
      <c r="U198" s="1">
        <f t="shared" si="97"/>
        <v>0</v>
      </c>
      <c r="V198" s="1">
        <f t="shared" si="98"/>
        <v>0</v>
      </c>
      <c r="W198" s="1">
        <f t="shared" si="99"/>
        <v>0</v>
      </c>
      <c r="X198" s="1">
        <f t="shared" si="100"/>
        <v>0</v>
      </c>
      <c r="Y198" s="1">
        <f t="shared" si="101"/>
        <v>0</v>
      </c>
      <c r="Z198" s="1">
        <f t="shared" si="102"/>
        <v>0</v>
      </c>
      <c r="AA198" s="1">
        <f t="shared" si="103"/>
        <v>0</v>
      </c>
      <c r="AB198" s="1">
        <f t="shared" si="104"/>
        <v>0</v>
      </c>
      <c r="AD198" s="1">
        <f t="shared" si="105"/>
        <v>0</v>
      </c>
      <c r="AE198" s="1">
        <f t="shared" si="106"/>
        <v>0</v>
      </c>
      <c r="AF198" s="1">
        <f t="shared" si="91"/>
        <v>0</v>
      </c>
      <c r="AG198" s="1">
        <f t="shared" si="92"/>
        <v>0</v>
      </c>
      <c r="AH198" s="1">
        <f t="shared" si="93"/>
        <v>0</v>
      </c>
      <c r="AI198" s="1">
        <f t="shared" si="94"/>
        <v>1</v>
      </c>
    </row>
    <row r="199" spans="1:35" ht="14.25" customHeight="1" x14ac:dyDescent="0.25">
      <c r="A199" s="15">
        <v>0</v>
      </c>
      <c r="B199" s="15">
        <v>1</v>
      </c>
      <c r="C199" s="15">
        <v>5</v>
      </c>
      <c r="D199" s="16" t="s">
        <v>1941</v>
      </c>
      <c r="E199" s="16" t="s">
        <v>893</v>
      </c>
      <c r="F199" s="16" t="s">
        <v>1943</v>
      </c>
      <c r="G199" s="16"/>
      <c r="H199" s="16" t="s">
        <v>1942</v>
      </c>
      <c r="I199" s="15" t="s">
        <v>1944</v>
      </c>
      <c r="J199" s="15">
        <v>16</v>
      </c>
      <c r="K199" s="10" t="s">
        <v>703</v>
      </c>
      <c r="L199" s="10" t="s">
        <v>697</v>
      </c>
      <c r="M199" s="19" t="s">
        <v>970</v>
      </c>
      <c r="N199" s="17"/>
      <c r="Q199" s="20" t="s">
        <v>1945</v>
      </c>
      <c r="S199" s="1">
        <f t="shared" si="95"/>
        <v>0</v>
      </c>
      <c r="T199" s="1">
        <f t="shared" si="96"/>
        <v>0</v>
      </c>
      <c r="U199" s="1">
        <f t="shared" si="97"/>
        <v>0</v>
      </c>
      <c r="V199" s="1">
        <f t="shared" si="98"/>
        <v>0</v>
      </c>
      <c r="W199" s="1">
        <f t="shared" si="99"/>
        <v>0</v>
      </c>
      <c r="X199" s="1">
        <f t="shared" si="100"/>
        <v>0</v>
      </c>
      <c r="Y199" s="1">
        <f t="shared" si="101"/>
        <v>0</v>
      </c>
      <c r="Z199" s="1">
        <f t="shared" si="102"/>
        <v>0</v>
      </c>
      <c r="AA199" s="1">
        <f t="shared" si="103"/>
        <v>0</v>
      </c>
      <c r="AB199" s="1">
        <f t="shared" si="104"/>
        <v>0</v>
      </c>
      <c r="AD199" s="1">
        <f t="shared" si="105"/>
        <v>0</v>
      </c>
      <c r="AE199" s="1">
        <f t="shared" si="106"/>
        <v>0</v>
      </c>
      <c r="AF199" s="1">
        <f t="shared" si="91"/>
        <v>0</v>
      </c>
      <c r="AG199" s="1">
        <f t="shared" si="92"/>
        <v>0</v>
      </c>
      <c r="AH199" s="1">
        <f t="shared" si="93"/>
        <v>0</v>
      </c>
      <c r="AI199" s="1">
        <f t="shared" si="94"/>
        <v>1</v>
      </c>
    </row>
    <row r="200" spans="1:35" ht="14.25" customHeight="1" x14ac:dyDescent="0.25">
      <c r="A200" s="47">
        <v>0</v>
      </c>
      <c r="B200" s="47">
        <v>1</v>
      </c>
      <c r="C200" s="47">
        <v>5</v>
      </c>
      <c r="D200" s="48" t="s">
        <v>131</v>
      </c>
      <c r="E200" s="48" t="s">
        <v>166</v>
      </c>
      <c r="F200" s="48" t="s">
        <v>332</v>
      </c>
      <c r="G200" s="48" t="s">
        <v>333</v>
      </c>
      <c r="H200" s="48" t="s">
        <v>354</v>
      </c>
      <c r="I200" s="47" t="s">
        <v>480</v>
      </c>
      <c r="J200" s="47">
        <v>99</v>
      </c>
      <c r="K200" s="49" t="s">
        <v>722</v>
      </c>
      <c r="L200" s="49" t="s">
        <v>694</v>
      </c>
      <c r="M200" s="50" t="s">
        <v>970</v>
      </c>
      <c r="N200" s="50" t="s">
        <v>1747</v>
      </c>
      <c r="O200" s="51"/>
      <c r="P200" s="51"/>
      <c r="Q200" s="48"/>
      <c r="S200" s="1">
        <f t="shared" si="95"/>
        <v>0</v>
      </c>
      <c r="T200" s="1">
        <f t="shared" si="96"/>
        <v>0</v>
      </c>
      <c r="U200" s="1">
        <f t="shared" si="97"/>
        <v>0</v>
      </c>
      <c r="V200" s="1">
        <f t="shared" si="98"/>
        <v>0</v>
      </c>
      <c r="W200" s="1">
        <f t="shared" si="99"/>
        <v>0</v>
      </c>
      <c r="X200" s="1">
        <f t="shared" si="100"/>
        <v>0</v>
      </c>
      <c r="Y200" s="1">
        <f t="shared" si="101"/>
        <v>0</v>
      </c>
      <c r="Z200" s="1">
        <f t="shared" si="102"/>
        <v>0</v>
      </c>
      <c r="AA200" s="1">
        <f t="shared" si="103"/>
        <v>0</v>
      </c>
      <c r="AB200" s="1">
        <f t="shared" si="104"/>
        <v>0</v>
      </c>
      <c r="AD200" s="1">
        <f t="shared" si="105"/>
        <v>0</v>
      </c>
      <c r="AE200" s="1">
        <f t="shared" si="106"/>
        <v>0</v>
      </c>
      <c r="AF200" s="1">
        <f t="shared" si="91"/>
        <v>0</v>
      </c>
      <c r="AG200" s="1">
        <f t="shared" si="92"/>
        <v>0</v>
      </c>
      <c r="AH200" s="1">
        <f t="shared" si="93"/>
        <v>0</v>
      </c>
      <c r="AI200" s="1">
        <f t="shared" si="94"/>
        <v>1</v>
      </c>
    </row>
    <row r="201" spans="1:35" ht="14.25" customHeight="1" x14ac:dyDescent="0.25">
      <c r="A201" s="34">
        <v>0</v>
      </c>
      <c r="B201" s="34">
        <v>1</v>
      </c>
      <c r="C201" s="34">
        <v>5</v>
      </c>
      <c r="D201" s="35" t="s">
        <v>109</v>
      </c>
      <c r="E201" s="35" t="s">
        <v>166</v>
      </c>
      <c r="F201" s="35" t="s">
        <v>307</v>
      </c>
      <c r="G201" s="35" t="s">
        <v>231</v>
      </c>
      <c r="H201" s="35" t="s">
        <v>354</v>
      </c>
      <c r="I201" s="34" t="s">
        <v>456</v>
      </c>
      <c r="J201" s="34">
        <v>99</v>
      </c>
      <c r="K201" s="36" t="s">
        <v>722</v>
      </c>
      <c r="L201" s="36" t="s">
        <v>696</v>
      </c>
      <c r="M201" s="37" t="s">
        <v>691</v>
      </c>
      <c r="N201" s="37" t="s">
        <v>1743</v>
      </c>
      <c r="O201" s="38">
        <v>1</v>
      </c>
      <c r="P201" s="38"/>
      <c r="Q201" s="35"/>
      <c r="S201" s="1">
        <f t="shared" si="95"/>
        <v>0</v>
      </c>
      <c r="T201" s="1">
        <f t="shared" si="96"/>
        <v>0</v>
      </c>
      <c r="U201" s="1">
        <f t="shared" si="97"/>
        <v>0</v>
      </c>
      <c r="V201" s="1">
        <f t="shared" si="98"/>
        <v>0</v>
      </c>
      <c r="W201" s="1">
        <f t="shared" si="99"/>
        <v>0</v>
      </c>
      <c r="X201" s="1">
        <f t="shared" si="100"/>
        <v>0</v>
      </c>
      <c r="Y201" s="1">
        <f t="shared" si="101"/>
        <v>0</v>
      </c>
      <c r="Z201" s="1">
        <f t="shared" si="102"/>
        <v>0</v>
      </c>
      <c r="AA201" s="1">
        <f t="shared" si="103"/>
        <v>0</v>
      </c>
      <c r="AB201" s="1">
        <f t="shared" si="104"/>
        <v>0</v>
      </c>
      <c r="AD201" s="1">
        <f t="shared" si="105"/>
        <v>0</v>
      </c>
      <c r="AE201" s="1">
        <f t="shared" si="106"/>
        <v>1</v>
      </c>
      <c r="AF201" s="1">
        <f t="shared" si="91"/>
        <v>0</v>
      </c>
      <c r="AG201" s="1">
        <f t="shared" si="92"/>
        <v>1</v>
      </c>
      <c r="AH201" s="1">
        <f t="shared" si="93"/>
        <v>0</v>
      </c>
      <c r="AI201" s="1">
        <f t="shared" si="94"/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16" t="s">
        <v>111</v>
      </c>
      <c r="E202" s="16" t="s">
        <v>172</v>
      </c>
      <c r="F202" s="16" t="s">
        <v>310</v>
      </c>
      <c r="G202" s="16" t="s">
        <v>39</v>
      </c>
      <c r="H202" s="16" t="s">
        <v>364</v>
      </c>
      <c r="I202" s="15" t="s">
        <v>459</v>
      </c>
      <c r="J202" s="15">
        <v>17</v>
      </c>
      <c r="K202" s="10" t="s">
        <v>703</v>
      </c>
      <c r="L202" s="10" t="s">
        <v>697</v>
      </c>
      <c r="M202" s="19" t="s">
        <v>691</v>
      </c>
      <c r="N202" s="17"/>
      <c r="Q202" s="20" t="s">
        <v>1915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91"/>
        <v>0</v>
      </c>
      <c r="AG202" s="1">
        <f t="shared" si="92"/>
        <v>0</v>
      </c>
      <c r="AH202" s="1">
        <f t="shared" si="93"/>
        <v>0</v>
      </c>
      <c r="AI202" s="1">
        <f t="shared" si="94"/>
        <v>1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525</v>
      </c>
      <c r="E203" s="35" t="s">
        <v>526</v>
      </c>
      <c r="F203" s="35" t="s">
        <v>527</v>
      </c>
      <c r="G203" s="35" t="s">
        <v>202</v>
      </c>
      <c r="H203" s="35" t="s">
        <v>354</v>
      </c>
      <c r="I203" s="34" t="s">
        <v>528</v>
      </c>
      <c r="J203" s="34">
        <v>10</v>
      </c>
      <c r="K203" s="36" t="s">
        <v>702</v>
      </c>
      <c r="L203" s="36" t="s">
        <v>693</v>
      </c>
      <c r="M203" s="37" t="s">
        <v>970</v>
      </c>
      <c r="N203" s="37" t="s">
        <v>1733</v>
      </c>
      <c r="O203" s="38">
        <v>1</v>
      </c>
      <c r="P203" s="38">
        <v>1</v>
      </c>
      <c r="Q203" s="35"/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1</v>
      </c>
      <c r="AD203" s="1">
        <f t="shared" si="105"/>
        <v>1</v>
      </c>
      <c r="AE203" s="1">
        <f t="shared" si="106"/>
        <v>0</v>
      </c>
      <c r="AF203" s="1">
        <f t="shared" ref="AF203:AF266" si="113">+O203*P203*(1-A203)</f>
        <v>1</v>
      </c>
      <c r="AG203" s="1">
        <f t="shared" ref="AG203:AG266" si="114">O203*(1-P203)*(1-A203)</f>
        <v>0</v>
      </c>
      <c r="AH203" s="1">
        <f t="shared" ref="AH203:AH266" si="115">+P203*(1-A203)</f>
        <v>1</v>
      </c>
      <c r="AI203" s="1">
        <f t="shared" ref="AI203:AI266" si="116">+(1-A203)*(1-P203)</f>
        <v>0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1499</v>
      </c>
      <c r="E204" s="35" t="s">
        <v>166</v>
      </c>
      <c r="F204" s="35" t="s">
        <v>1500</v>
      </c>
      <c r="G204" s="35" t="s">
        <v>180</v>
      </c>
      <c r="H204" s="35" t="s">
        <v>354</v>
      </c>
      <c r="I204" s="34" t="s">
        <v>1501</v>
      </c>
      <c r="J204" s="34">
        <v>10</v>
      </c>
      <c r="K204" s="36" t="s">
        <v>956</v>
      </c>
      <c r="L204" s="36" t="s">
        <v>693</v>
      </c>
      <c r="M204" s="37" t="s">
        <v>970</v>
      </c>
      <c r="N204" s="37" t="s">
        <v>1727</v>
      </c>
      <c r="O204" s="38">
        <v>1</v>
      </c>
      <c r="P204" s="38">
        <v>1</v>
      </c>
      <c r="Q204" s="35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1</v>
      </c>
      <c r="AD204" s="1">
        <f t="shared" si="105"/>
        <v>1</v>
      </c>
      <c r="AE204" s="1">
        <f t="shared" si="106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34">
        <v>0</v>
      </c>
      <c r="B205" s="34">
        <v>1</v>
      </c>
      <c r="C205" s="34">
        <v>5</v>
      </c>
      <c r="D205" s="35" t="s">
        <v>1757</v>
      </c>
      <c r="E205" s="35" t="s">
        <v>166</v>
      </c>
      <c r="F205" s="35" t="s">
        <v>1758</v>
      </c>
      <c r="G205" s="35" t="s">
        <v>1759</v>
      </c>
      <c r="H205" s="35" t="s">
        <v>354</v>
      </c>
      <c r="I205" s="34" t="s">
        <v>1760</v>
      </c>
      <c r="J205" s="34">
        <v>1</v>
      </c>
      <c r="K205" s="36" t="s">
        <v>703</v>
      </c>
      <c r="L205" s="36"/>
      <c r="M205" s="37"/>
      <c r="N205" s="37" t="s">
        <v>1748</v>
      </c>
      <c r="O205" s="38">
        <v>1</v>
      </c>
      <c r="P205" s="38"/>
      <c r="Q205" s="35"/>
      <c r="S205" s="1">
        <f t="shared" si="95"/>
        <v>1</v>
      </c>
      <c r="T205" s="1">
        <f t="shared" si="96"/>
        <v>0</v>
      </c>
      <c r="U205" s="1">
        <f t="shared" si="97"/>
        <v>0</v>
      </c>
      <c r="V205" s="1">
        <f t="shared" si="98"/>
        <v>0</v>
      </c>
      <c r="W205" s="1">
        <f t="shared" si="99"/>
        <v>0</v>
      </c>
      <c r="X205" s="1">
        <f t="shared" si="100"/>
        <v>0</v>
      </c>
      <c r="Y205" s="1">
        <f t="shared" si="101"/>
        <v>0</v>
      </c>
      <c r="Z205" s="1">
        <f t="shared" si="102"/>
        <v>0</v>
      </c>
      <c r="AA205" s="1">
        <f t="shared" si="103"/>
        <v>0</v>
      </c>
      <c r="AB205" s="1">
        <f t="shared" si="104"/>
        <v>0</v>
      </c>
      <c r="AD205" s="1">
        <f t="shared" si="105"/>
        <v>0</v>
      </c>
      <c r="AE205" s="1">
        <f t="shared" si="106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7">
        <v>0</v>
      </c>
      <c r="B206" s="47">
        <v>1</v>
      </c>
      <c r="C206" s="47">
        <v>5</v>
      </c>
      <c r="D206" s="48" t="s">
        <v>1026</v>
      </c>
      <c r="E206" s="48" t="s">
        <v>1087</v>
      </c>
      <c r="F206" s="48" t="s">
        <v>1027</v>
      </c>
      <c r="G206" s="48" t="s">
        <v>194</v>
      </c>
      <c r="H206" s="48" t="s">
        <v>354</v>
      </c>
      <c r="I206" s="47" t="s">
        <v>1028</v>
      </c>
      <c r="J206" s="47">
        <v>9</v>
      </c>
      <c r="K206" s="49" t="s">
        <v>722</v>
      </c>
      <c r="L206" s="49" t="s">
        <v>1704</v>
      </c>
      <c r="M206" s="50" t="s">
        <v>1604</v>
      </c>
      <c r="N206" s="50" t="s">
        <v>1735</v>
      </c>
      <c r="O206" s="51"/>
      <c r="P206" s="51"/>
      <c r="Q206" s="48"/>
      <c r="S206" s="1">
        <f t="shared" si="95"/>
        <v>0</v>
      </c>
      <c r="T206" s="1">
        <f t="shared" si="96"/>
        <v>0</v>
      </c>
      <c r="U206" s="1">
        <f t="shared" si="97"/>
        <v>0</v>
      </c>
      <c r="V206" s="1">
        <f t="shared" si="98"/>
        <v>0</v>
      </c>
      <c r="W206" s="1">
        <f t="shared" si="99"/>
        <v>0</v>
      </c>
      <c r="X206" s="1">
        <f t="shared" si="100"/>
        <v>0</v>
      </c>
      <c r="Y206" s="1">
        <f t="shared" si="101"/>
        <v>0</v>
      </c>
      <c r="Z206" s="1">
        <f t="shared" si="102"/>
        <v>0</v>
      </c>
      <c r="AA206" s="1">
        <f t="shared" si="103"/>
        <v>1</v>
      </c>
      <c r="AB206" s="1">
        <f t="shared" si="104"/>
        <v>0</v>
      </c>
      <c r="AD206" s="1">
        <f t="shared" si="105"/>
        <v>0</v>
      </c>
      <c r="AE206" s="1">
        <f t="shared" si="106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47">
        <v>0</v>
      </c>
      <c r="B207" s="47">
        <v>1</v>
      </c>
      <c r="C207" s="47">
        <v>5</v>
      </c>
      <c r="D207" s="48" t="s">
        <v>1614</v>
      </c>
      <c r="E207" s="48" t="s">
        <v>166</v>
      </c>
      <c r="F207" s="48" t="s">
        <v>1615</v>
      </c>
      <c r="G207" s="48" t="s">
        <v>213</v>
      </c>
      <c r="H207" s="48" t="s">
        <v>354</v>
      </c>
      <c r="I207" s="47" t="s">
        <v>1616</v>
      </c>
      <c r="J207" s="47">
        <v>1</v>
      </c>
      <c r="K207" s="49" t="s">
        <v>722</v>
      </c>
      <c r="L207" s="49" t="s">
        <v>694</v>
      </c>
      <c r="M207" s="50" t="s">
        <v>970</v>
      </c>
      <c r="N207" s="50" t="s">
        <v>1736</v>
      </c>
      <c r="O207" s="51"/>
      <c r="P207" s="51"/>
      <c r="Q207" s="48"/>
      <c r="S207" s="1">
        <f t="shared" si="95"/>
        <v>1</v>
      </c>
      <c r="T207" s="1">
        <f t="shared" si="96"/>
        <v>0</v>
      </c>
      <c r="U207" s="1">
        <f t="shared" si="97"/>
        <v>0</v>
      </c>
      <c r="V207" s="1">
        <f t="shared" si="98"/>
        <v>0</v>
      </c>
      <c r="W207" s="1">
        <f t="shared" si="99"/>
        <v>0</v>
      </c>
      <c r="X207" s="1">
        <f t="shared" si="100"/>
        <v>0</v>
      </c>
      <c r="Y207" s="1">
        <f t="shared" si="101"/>
        <v>0</v>
      </c>
      <c r="Z207" s="1">
        <f t="shared" si="102"/>
        <v>0</v>
      </c>
      <c r="AA207" s="1">
        <f t="shared" si="103"/>
        <v>0</v>
      </c>
      <c r="AB207" s="1">
        <f t="shared" si="104"/>
        <v>0</v>
      </c>
      <c r="AD207" s="1">
        <f t="shared" si="105"/>
        <v>0</v>
      </c>
      <c r="AE207" s="1">
        <f t="shared" si="106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25">
      <c r="A208" s="41">
        <v>0</v>
      </c>
      <c r="B208" s="41">
        <v>1</v>
      </c>
      <c r="C208" s="41">
        <v>5</v>
      </c>
      <c r="D208" s="42" t="s">
        <v>147</v>
      </c>
      <c r="E208" s="42" t="s">
        <v>545</v>
      </c>
      <c r="F208" s="42" t="s">
        <v>1599</v>
      </c>
      <c r="G208" s="42" t="s">
        <v>1673</v>
      </c>
      <c r="H208" s="42" t="s">
        <v>354</v>
      </c>
      <c r="I208" s="41" t="s">
        <v>494</v>
      </c>
      <c r="J208" s="41">
        <v>99</v>
      </c>
      <c r="K208" s="43" t="s">
        <v>702</v>
      </c>
      <c r="L208" s="43" t="s">
        <v>689</v>
      </c>
      <c r="M208" s="44" t="s">
        <v>970</v>
      </c>
      <c r="N208" s="45"/>
      <c r="O208" s="46"/>
      <c r="P208" s="46">
        <v>1</v>
      </c>
      <c r="Q208" s="42"/>
      <c r="S208" s="1">
        <f t="shared" ref="S208:S270" si="117">IF(J208=$S$7,1,0)</f>
        <v>0</v>
      </c>
      <c r="T208" s="1">
        <f t="shared" ref="T208:T270" si="118">IF(J208=$T$7,1,0)</f>
        <v>0</v>
      </c>
      <c r="U208" s="1">
        <f t="shared" ref="U208:U270" si="119">IF(J208=$U$7,1,0)</f>
        <v>0</v>
      </c>
      <c r="V208" s="1">
        <f t="shared" ref="V208:V270" si="120">IF(J208=$V$7,1,0)</f>
        <v>0</v>
      </c>
      <c r="W208" s="1">
        <f t="shared" ref="W208:W270" si="121">IF(J208=$W$7,1,0)</f>
        <v>0</v>
      </c>
      <c r="X208" s="1">
        <f t="shared" ref="X208:X270" si="122">IF(J208=$X$7,1,0)</f>
        <v>0</v>
      </c>
      <c r="Y208" s="1">
        <f t="shared" ref="Y208:Y270" si="123">IF(J208=$Y$7,1,0)</f>
        <v>0</v>
      </c>
      <c r="Z208" s="1">
        <f t="shared" ref="Z208:Z270" si="124">IF(J208=$Z$7,1,0)</f>
        <v>0</v>
      </c>
      <c r="AA208" s="1">
        <f t="shared" ref="AA208:AA270" si="125">IF(J208=$AA$7,1,0)</f>
        <v>0</v>
      </c>
      <c r="AB208" s="1">
        <f t="shared" ref="AB208:AB270" si="126">IF(J208=$AB$7,1,0)</f>
        <v>0</v>
      </c>
      <c r="AD208" s="1">
        <f t="shared" ref="AD208:AD270" si="127">+O208*P208</f>
        <v>0</v>
      </c>
      <c r="AE208" s="1">
        <f t="shared" ref="AE208:AE270" si="128">O208*(1-P208)</f>
        <v>0</v>
      </c>
      <c r="AF208" s="1">
        <f t="shared" si="113"/>
        <v>0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25">
      <c r="A209" s="15">
        <v>0</v>
      </c>
      <c r="B209" s="15">
        <v>1</v>
      </c>
      <c r="C209" s="15">
        <v>5</v>
      </c>
      <c r="D209" s="16" t="s">
        <v>1212</v>
      </c>
      <c r="E209" s="16" t="s">
        <v>166</v>
      </c>
      <c r="F209" s="16" t="s">
        <v>1213</v>
      </c>
      <c r="G209" s="16" t="s">
        <v>1214</v>
      </c>
      <c r="H209" s="16" t="s">
        <v>354</v>
      </c>
      <c r="I209" s="15" t="s">
        <v>1215</v>
      </c>
      <c r="J209" s="15">
        <v>99</v>
      </c>
      <c r="K209" s="10" t="s">
        <v>703</v>
      </c>
      <c r="L209" s="10">
        <v>30</v>
      </c>
      <c r="M209" s="19" t="s">
        <v>970</v>
      </c>
      <c r="N209" s="19"/>
      <c r="Q209" s="16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0</v>
      </c>
      <c r="AF209" s="1">
        <f t="shared" si="113"/>
        <v>0</v>
      </c>
      <c r="AG209" s="1">
        <f t="shared" si="114"/>
        <v>0</v>
      </c>
      <c r="AH209" s="1">
        <f t="shared" si="115"/>
        <v>0</v>
      </c>
      <c r="AI209" s="1">
        <f t="shared" si="116"/>
        <v>1</v>
      </c>
    </row>
    <row r="210" spans="1:35" ht="14.25" customHeight="1" x14ac:dyDescent="0.25">
      <c r="A210" s="34">
        <v>0</v>
      </c>
      <c r="B210" s="34">
        <v>1</v>
      </c>
      <c r="C210" s="34">
        <v>5</v>
      </c>
      <c r="D210" s="35" t="s">
        <v>1600</v>
      </c>
      <c r="E210" s="35" t="s">
        <v>172</v>
      </c>
      <c r="F210" s="35" t="s">
        <v>808</v>
      </c>
      <c r="G210" s="35" t="s">
        <v>39</v>
      </c>
      <c r="H210" s="35" t="s">
        <v>809</v>
      </c>
      <c r="I210" s="34" t="s">
        <v>810</v>
      </c>
      <c r="J210" s="34">
        <v>16</v>
      </c>
      <c r="K210" s="36" t="s">
        <v>957</v>
      </c>
      <c r="L210" s="36" t="s">
        <v>1742</v>
      </c>
      <c r="M210" s="37" t="s">
        <v>970</v>
      </c>
      <c r="N210" s="37" t="s">
        <v>1748</v>
      </c>
      <c r="O210" s="38">
        <v>1</v>
      </c>
      <c r="P210" s="38"/>
      <c r="Q210" s="3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0</v>
      </c>
      <c r="AD210" s="1">
        <f t="shared" si="127"/>
        <v>0</v>
      </c>
      <c r="AE210" s="1">
        <f t="shared" si="128"/>
        <v>1</v>
      </c>
      <c r="AF210" s="1">
        <f t="shared" si="113"/>
        <v>0</v>
      </c>
      <c r="AG210" s="1">
        <f t="shared" si="114"/>
        <v>1</v>
      </c>
      <c r="AH210" s="1">
        <f t="shared" si="115"/>
        <v>0</v>
      </c>
      <c r="AI210" s="1">
        <f t="shared" si="116"/>
        <v>1</v>
      </c>
    </row>
    <row r="211" spans="1:35" ht="14.25" customHeight="1" x14ac:dyDescent="0.25">
      <c r="A211" s="34">
        <v>0</v>
      </c>
      <c r="B211" s="34">
        <v>1</v>
      </c>
      <c r="C211" s="34">
        <v>5</v>
      </c>
      <c r="D211" s="35" t="s">
        <v>502</v>
      </c>
      <c r="E211" s="35" t="s">
        <v>166</v>
      </c>
      <c r="F211" s="35" t="s">
        <v>503</v>
      </c>
      <c r="G211" s="35" t="s">
        <v>504</v>
      </c>
      <c r="H211" s="35" t="s">
        <v>354</v>
      </c>
      <c r="I211" s="34" t="s">
        <v>505</v>
      </c>
      <c r="J211" s="34">
        <v>99</v>
      </c>
      <c r="K211" s="36" t="s">
        <v>957</v>
      </c>
      <c r="L211" s="36" t="s">
        <v>694</v>
      </c>
      <c r="M211" s="37" t="s">
        <v>691</v>
      </c>
      <c r="N211" s="37" t="s">
        <v>1727</v>
      </c>
      <c r="O211" s="38">
        <v>1</v>
      </c>
      <c r="P211" s="38">
        <v>1</v>
      </c>
      <c r="Q211" s="35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1</v>
      </c>
      <c r="AE211" s="1">
        <f t="shared" si="128"/>
        <v>0</v>
      </c>
      <c r="AF211" s="1">
        <f t="shared" si="113"/>
        <v>1</v>
      </c>
      <c r="AG211" s="1">
        <f t="shared" si="114"/>
        <v>0</v>
      </c>
      <c r="AH211" s="1">
        <f t="shared" si="115"/>
        <v>1</v>
      </c>
      <c r="AI211" s="1">
        <f t="shared" si="116"/>
        <v>0</v>
      </c>
    </row>
    <row r="212" spans="1:35" ht="14.25" customHeight="1" x14ac:dyDescent="0.25">
      <c r="A212" s="34">
        <v>0</v>
      </c>
      <c r="B212" s="34">
        <v>1</v>
      </c>
      <c r="C212" s="34">
        <v>6</v>
      </c>
      <c r="D212" s="35" t="s">
        <v>1450</v>
      </c>
      <c r="E212" s="35" t="s">
        <v>167</v>
      </c>
      <c r="F212" s="35" t="s">
        <v>1451</v>
      </c>
      <c r="G212" s="35" t="s">
        <v>179</v>
      </c>
      <c r="H212" s="35" t="s">
        <v>354</v>
      </c>
      <c r="I212" s="34" t="s">
        <v>1452</v>
      </c>
      <c r="J212" s="34">
        <v>99</v>
      </c>
      <c r="K212" s="36" t="s">
        <v>956</v>
      </c>
      <c r="L212" s="36" t="s">
        <v>696</v>
      </c>
      <c r="M212" s="37" t="s">
        <v>1453</v>
      </c>
      <c r="N212" s="37" t="s">
        <v>1749</v>
      </c>
      <c r="O212" s="38">
        <v>1</v>
      </c>
      <c r="P212" s="38"/>
      <c r="Q212" s="39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13"/>
        <v>0</v>
      </c>
      <c r="AG212" s="1">
        <f t="shared" si="114"/>
        <v>1</v>
      </c>
      <c r="AH212" s="1">
        <f t="shared" si="115"/>
        <v>0</v>
      </c>
      <c r="AI212" s="1">
        <f t="shared" si="116"/>
        <v>1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1186</v>
      </c>
      <c r="E213" s="35" t="s">
        <v>1189</v>
      </c>
      <c r="F213" s="35" t="s">
        <v>1187</v>
      </c>
      <c r="G213" s="35" t="s">
        <v>39</v>
      </c>
      <c r="H213" s="35" t="s">
        <v>354</v>
      </c>
      <c r="I213" s="34" t="s">
        <v>1188</v>
      </c>
      <c r="J213" s="34">
        <v>99</v>
      </c>
      <c r="K213" s="36" t="s">
        <v>962</v>
      </c>
      <c r="L213" s="36" t="s">
        <v>39</v>
      </c>
      <c r="M213" s="37" t="s">
        <v>39</v>
      </c>
      <c r="N213" s="37" t="s">
        <v>1733</v>
      </c>
      <c r="O213" s="38">
        <v>1</v>
      </c>
      <c r="P213" s="38">
        <v>1</v>
      </c>
      <c r="Q213" s="39" t="s">
        <v>1908</v>
      </c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1</v>
      </c>
      <c r="AE213" s="1">
        <f t="shared" si="128"/>
        <v>0</v>
      </c>
      <c r="AF213" s="1">
        <f t="shared" si="113"/>
        <v>1</v>
      </c>
      <c r="AG213" s="1">
        <f t="shared" si="114"/>
        <v>0</v>
      </c>
      <c r="AH213" s="1">
        <f t="shared" si="115"/>
        <v>1</v>
      </c>
      <c r="AI213" s="1">
        <f t="shared" si="116"/>
        <v>0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1648</v>
      </c>
      <c r="E214" s="35" t="s">
        <v>1656</v>
      </c>
      <c r="F214" s="35" t="s">
        <v>1683</v>
      </c>
      <c r="G214" s="35" t="s">
        <v>1684</v>
      </c>
      <c r="H214" s="35" t="s">
        <v>354</v>
      </c>
      <c r="I214" s="34" t="s">
        <v>1696</v>
      </c>
      <c r="J214" s="34">
        <v>1</v>
      </c>
      <c r="K214" s="36" t="s">
        <v>958</v>
      </c>
      <c r="L214" s="36" t="s">
        <v>39</v>
      </c>
      <c r="M214" s="37" t="s">
        <v>39</v>
      </c>
      <c r="N214" s="37" t="s">
        <v>1727</v>
      </c>
      <c r="O214" s="38">
        <v>1</v>
      </c>
      <c r="P214" s="38">
        <v>1</v>
      </c>
      <c r="Q214" s="3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1</v>
      </c>
      <c r="AE214" s="1">
        <f t="shared" si="128"/>
        <v>0</v>
      </c>
      <c r="AF214" s="1">
        <f t="shared" si="113"/>
        <v>1</v>
      </c>
      <c r="AG214" s="1">
        <f t="shared" si="114"/>
        <v>0</v>
      </c>
      <c r="AH214" s="1">
        <f t="shared" si="115"/>
        <v>1</v>
      </c>
      <c r="AI214" s="1">
        <f t="shared" si="116"/>
        <v>0</v>
      </c>
    </row>
    <row r="215" spans="1:35" ht="14.25" customHeight="1" x14ac:dyDescent="0.25">
      <c r="A215" s="34">
        <v>0</v>
      </c>
      <c r="B215" s="34">
        <v>1</v>
      </c>
      <c r="C215" s="34">
        <v>6</v>
      </c>
      <c r="D215" s="35" t="s">
        <v>90</v>
      </c>
      <c r="E215" s="35" t="s">
        <v>168</v>
      </c>
      <c r="F215" s="35" t="s">
        <v>284</v>
      </c>
      <c r="G215" s="35" t="s">
        <v>230</v>
      </c>
      <c r="H215" s="35" t="s">
        <v>354</v>
      </c>
      <c r="I215" s="34" t="s">
        <v>438</v>
      </c>
      <c r="J215" s="34">
        <v>7</v>
      </c>
      <c r="K215" s="36" t="s">
        <v>722</v>
      </c>
      <c r="L215" s="36">
        <v>40</v>
      </c>
      <c r="M215" s="37" t="s">
        <v>39</v>
      </c>
      <c r="N215" s="37" t="s">
        <v>1748</v>
      </c>
      <c r="O215" s="38">
        <v>1</v>
      </c>
      <c r="P215" s="38"/>
      <c r="Q215" s="35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1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13"/>
        <v>0</v>
      </c>
      <c r="AG215" s="1">
        <f t="shared" si="114"/>
        <v>1</v>
      </c>
      <c r="AH215" s="1">
        <f t="shared" si="115"/>
        <v>0</v>
      </c>
      <c r="AI215" s="1">
        <f t="shared" si="116"/>
        <v>1</v>
      </c>
    </row>
    <row r="216" spans="1:35" ht="14.25" customHeight="1" x14ac:dyDescent="0.25">
      <c r="A216" s="34">
        <v>0</v>
      </c>
      <c r="B216" s="34">
        <v>1</v>
      </c>
      <c r="C216" s="34">
        <v>6</v>
      </c>
      <c r="D216" s="35" t="s">
        <v>91</v>
      </c>
      <c r="E216" s="35" t="s">
        <v>165</v>
      </c>
      <c r="F216" s="39" t="s">
        <v>1871</v>
      </c>
      <c r="G216" s="35" t="s">
        <v>240</v>
      </c>
      <c r="H216" s="35" t="s">
        <v>354</v>
      </c>
      <c r="I216" s="34" t="s">
        <v>439</v>
      </c>
      <c r="J216" s="34">
        <v>1</v>
      </c>
      <c r="K216" s="36" t="s">
        <v>964</v>
      </c>
      <c r="L216" s="36" t="s">
        <v>39</v>
      </c>
      <c r="M216" s="37" t="s">
        <v>39</v>
      </c>
      <c r="N216" s="37" t="s">
        <v>1727</v>
      </c>
      <c r="O216" s="38">
        <v>1</v>
      </c>
      <c r="P216" s="38">
        <v>1</v>
      </c>
      <c r="Q216" s="35"/>
      <c r="S216" s="1">
        <f t="shared" si="117"/>
        <v>1</v>
      </c>
      <c r="T216" s="1">
        <f t="shared" si="118"/>
        <v>0</v>
      </c>
      <c r="U216" s="1">
        <f t="shared" si="119"/>
        <v>0</v>
      </c>
      <c r="V216" s="1">
        <f t="shared" si="120"/>
        <v>0</v>
      </c>
      <c r="W216" s="1">
        <f t="shared" si="121"/>
        <v>0</v>
      </c>
      <c r="X216" s="1">
        <f t="shared" si="122"/>
        <v>0</v>
      </c>
      <c r="Y216" s="1">
        <f t="shared" si="123"/>
        <v>0</v>
      </c>
      <c r="Z216" s="1">
        <f t="shared" si="124"/>
        <v>0</v>
      </c>
      <c r="AA216" s="1">
        <f t="shared" si="125"/>
        <v>0</v>
      </c>
      <c r="AB216" s="1">
        <f t="shared" si="126"/>
        <v>0</v>
      </c>
      <c r="AD216" s="1">
        <f t="shared" si="127"/>
        <v>1</v>
      </c>
      <c r="AE216" s="1">
        <f t="shared" si="128"/>
        <v>0</v>
      </c>
      <c r="AF216" s="1">
        <f t="shared" si="113"/>
        <v>1</v>
      </c>
      <c r="AG216" s="1">
        <f t="shared" si="114"/>
        <v>0</v>
      </c>
      <c r="AH216" s="1">
        <f t="shared" si="115"/>
        <v>1</v>
      </c>
      <c r="AI216" s="1">
        <f t="shared" si="116"/>
        <v>0</v>
      </c>
    </row>
    <row r="217" spans="1:35" ht="14.25" customHeight="1" x14ac:dyDescent="0.25">
      <c r="A217" s="34">
        <v>0</v>
      </c>
      <c r="B217" s="34">
        <v>1</v>
      </c>
      <c r="C217" s="34">
        <v>6</v>
      </c>
      <c r="D217" s="35" t="s">
        <v>92</v>
      </c>
      <c r="E217" s="35" t="s">
        <v>167</v>
      </c>
      <c r="F217" s="35" t="s">
        <v>286</v>
      </c>
      <c r="G217" s="35" t="s">
        <v>200</v>
      </c>
      <c r="H217" s="35" t="s">
        <v>354</v>
      </c>
      <c r="I217" s="34" t="s">
        <v>440</v>
      </c>
      <c r="J217" s="34">
        <v>2</v>
      </c>
      <c r="K217" s="36" t="s">
        <v>962</v>
      </c>
      <c r="L217" s="36" t="s">
        <v>39</v>
      </c>
      <c r="M217" s="37" t="s">
        <v>39</v>
      </c>
      <c r="N217" s="37" t="s">
        <v>1727</v>
      </c>
      <c r="O217" s="38">
        <v>1</v>
      </c>
      <c r="P217" s="38">
        <v>1</v>
      </c>
      <c r="Q217" s="35"/>
      <c r="S217" s="1">
        <f t="shared" si="117"/>
        <v>0</v>
      </c>
      <c r="T217" s="1">
        <f t="shared" si="118"/>
        <v>1</v>
      </c>
      <c r="U217" s="1">
        <f t="shared" si="119"/>
        <v>0</v>
      </c>
      <c r="V217" s="1">
        <f t="shared" si="120"/>
        <v>0</v>
      </c>
      <c r="W217" s="1">
        <f t="shared" si="121"/>
        <v>0</v>
      </c>
      <c r="X217" s="1">
        <f t="shared" si="122"/>
        <v>0</v>
      </c>
      <c r="Y217" s="1">
        <f t="shared" si="123"/>
        <v>0</v>
      </c>
      <c r="Z217" s="1">
        <f t="shared" si="124"/>
        <v>0</v>
      </c>
      <c r="AA217" s="1">
        <f t="shared" si="125"/>
        <v>0</v>
      </c>
      <c r="AB217" s="1">
        <f t="shared" si="126"/>
        <v>0</v>
      </c>
      <c r="AD217" s="1">
        <f t="shared" si="127"/>
        <v>1</v>
      </c>
      <c r="AE217" s="1">
        <f t="shared" si="128"/>
        <v>0</v>
      </c>
      <c r="AF217" s="1">
        <f t="shared" si="113"/>
        <v>1</v>
      </c>
      <c r="AG217" s="1">
        <f t="shared" si="114"/>
        <v>0</v>
      </c>
      <c r="AH217" s="1">
        <f t="shared" si="115"/>
        <v>1</v>
      </c>
      <c r="AI217" s="1">
        <f t="shared" si="116"/>
        <v>0</v>
      </c>
    </row>
    <row r="218" spans="1:35" ht="14.25" customHeight="1" x14ac:dyDescent="0.25">
      <c r="A218" s="47">
        <v>0</v>
      </c>
      <c r="B218" s="47">
        <v>1</v>
      </c>
      <c r="C218" s="47">
        <v>6</v>
      </c>
      <c r="D218" s="48" t="s">
        <v>1276</v>
      </c>
      <c r="E218" s="48" t="s">
        <v>167</v>
      </c>
      <c r="F218" s="48" t="s">
        <v>1148</v>
      </c>
      <c r="G218" s="48" t="s">
        <v>1342</v>
      </c>
      <c r="H218" s="48" t="s">
        <v>354</v>
      </c>
      <c r="I218" s="47" t="s">
        <v>1149</v>
      </c>
      <c r="J218" s="47">
        <v>99</v>
      </c>
      <c r="K218" s="49" t="s">
        <v>702</v>
      </c>
      <c r="L218" s="49">
        <v>45</v>
      </c>
      <c r="M218" s="50" t="s">
        <v>39</v>
      </c>
      <c r="N218" s="50" t="s">
        <v>1735</v>
      </c>
      <c r="O218" s="51"/>
      <c r="P218" s="51"/>
      <c r="Q218" s="48"/>
      <c r="S218" s="1">
        <f t="shared" si="117"/>
        <v>0</v>
      </c>
      <c r="T218" s="1">
        <f t="shared" si="118"/>
        <v>0</v>
      </c>
      <c r="U218" s="1">
        <f t="shared" si="119"/>
        <v>0</v>
      </c>
      <c r="V218" s="1">
        <f t="shared" si="120"/>
        <v>0</v>
      </c>
      <c r="W218" s="1">
        <f t="shared" si="121"/>
        <v>0</v>
      </c>
      <c r="X218" s="1">
        <f t="shared" si="122"/>
        <v>0</v>
      </c>
      <c r="Y218" s="1">
        <f t="shared" si="123"/>
        <v>0</v>
      </c>
      <c r="Z218" s="1">
        <f t="shared" si="124"/>
        <v>0</v>
      </c>
      <c r="AA218" s="1">
        <f t="shared" si="125"/>
        <v>0</v>
      </c>
      <c r="AB218" s="1">
        <f t="shared" si="126"/>
        <v>0</v>
      </c>
      <c r="AD218" s="1">
        <f t="shared" si="127"/>
        <v>0</v>
      </c>
      <c r="AE218" s="1">
        <f t="shared" si="128"/>
        <v>0</v>
      </c>
      <c r="AF218" s="1">
        <f t="shared" si="113"/>
        <v>0</v>
      </c>
      <c r="AG218" s="1">
        <f t="shared" si="114"/>
        <v>0</v>
      </c>
      <c r="AH218" s="1">
        <f t="shared" si="115"/>
        <v>0</v>
      </c>
      <c r="AI218" s="1">
        <f t="shared" si="116"/>
        <v>1</v>
      </c>
    </row>
    <row r="219" spans="1:35" ht="14.25" customHeight="1" x14ac:dyDescent="0.25">
      <c r="A219" s="34">
        <v>0</v>
      </c>
      <c r="B219" s="34">
        <v>1</v>
      </c>
      <c r="C219" s="34">
        <v>6</v>
      </c>
      <c r="D219" s="35" t="s">
        <v>1791</v>
      </c>
      <c r="E219" s="35" t="s">
        <v>167</v>
      </c>
      <c r="F219" s="35" t="s">
        <v>1766</v>
      </c>
      <c r="G219" s="35"/>
      <c r="H219" s="35" t="s">
        <v>354</v>
      </c>
      <c r="I219" s="34" t="s">
        <v>1767</v>
      </c>
      <c r="J219" s="34"/>
      <c r="K219" s="36" t="s">
        <v>703</v>
      </c>
      <c r="L219" s="36"/>
      <c r="M219" s="37"/>
      <c r="N219" s="37" t="s">
        <v>1727</v>
      </c>
      <c r="O219" s="38">
        <v>1</v>
      </c>
      <c r="P219" s="38">
        <v>1</v>
      </c>
      <c r="Q219" s="35"/>
      <c r="S219" s="1">
        <f t="shared" si="117"/>
        <v>0</v>
      </c>
      <c r="T219" s="1">
        <f t="shared" si="118"/>
        <v>0</v>
      </c>
      <c r="U219" s="1">
        <f t="shared" si="119"/>
        <v>0</v>
      </c>
      <c r="V219" s="1">
        <f t="shared" si="120"/>
        <v>0</v>
      </c>
      <c r="W219" s="1">
        <f t="shared" si="121"/>
        <v>0</v>
      </c>
      <c r="X219" s="1">
        <f t="shared" si="122"/>
        <v>0</v>
      </c>
      <c r="Y219" s="1">
        <f t="shared" si="123"/>
        <v>0</v>
      </c>
      <c r="Z219" s="1">
        <f t="shared" si="124"/>
        <v>0</v>
      </c>
      <c r="AA219" s="1">
        <f t="shared" si="125"/>
        <v>0</v>
      </c>
      <c r="AB219" s="1">
        <f t="shared" si="126"/>
        <v>0</v>
      </c>
      <c r="AD219" s="1">
        <f t="shared" si="127"/>
        <v>1</v>
      </c>
      <c r="AE219" s="1">
        <f t="shared" si="128"/>
        <v>0</v>
      </c>
      <c r="AF219" s="1">
        <f t="shared" si="113"/>
        <v>1</v>
      </c>
      <c r="AG219" s="1">
        <f t="shared" si="114"/>
        <v>0</v>
      </c>
      <c r="AH219" s="1">
        <f t="shared" si="115"/>
        <v>1</v>
      </c>
      <c r="AI219" s="1">
        <f t="shared" si="116"/>
        <v>0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1014</v>
      </c>
      <c r="E220" s="35" t="s">
        <v>167</v>
      </c>
      <c r="F220" s="35" t="s">
        <v>1015</v>
      </c>
      <c r="G220" s="35" t="s">
        <v>1103</v>
      </c>
      <c r="H220" s="35" t="s">
        <v>354</v>
      </c>
      <c r="I220" s="34" t="s">
        <v>1016</v>
      </c>
      <c r="J220" s="34">
        <v>99</v>
      </c>
      <c r="K220" s="36" t="s">
        <v>964</v>
      </c>
      <c r="L220" s="36" t="s">
        <v>39</v>
      </c>
      <c r="M220" s="37" t="s">
        <v>39</v>
      </c>
      <c r="N220" s="37" t="s">
        <v>1727</v>
      </c>
      <c r="O220" s="38">
        <v>1</v>
      </c>
      <c r="P220" s="38">
        <v>1</v>
      </c>
      <c r="Q220" s="35"/>
      <c r="S220" s="1">
        <f t="shared" si="117"/>
        <v>0</v>
      </c>
      <c r="T220" s="1">
        <f t="shared" si="118"/>
        <v>0</v>
      </c>
      <c r="U220" s="1">
        <f t="shared" si="119"/>
        <v>0</v>
      </c>
      <c r="V220" s="1">
        <f t="shared" si="120"/>
        <v>0</v>
      </c>
      <c r="W220" s="1">
        <f t="shared" si="121"/>
        <v>0</v>
      </c>
      <c r="X220" s="1">
        <f t="shared" si="122"/>
        <v>0</v>
      </c>
      <c r="Y220" s="1">
        <f t="shared" si="123"/>
        <v>0</v>
      </c>
      <c r="Z220" s="1">
        <f t="shared" si="124"/>
        <v>0</v>
      </c>
      <c r="AA220" s="1">
        <f t="shared" si="125"/>
        <v>0</v>
      </c>
      <c r="AB220" s="1">
        <f t="shared" si="126"/>
        <v>0</v>
      </c>
      <c r="AD220" s="1">
        <f t="shared" si="127"/>
        <v>1</v>
      </c>
      <c r="AE220" s="1">
        <f t="shared" si="128"/>
        <v>0</v>
      </c>
      <c r="AF220" s="1">
        <f t="shared" si="113"/>
        <v>1</v>
      </c>
      <c r="AG220" s="1">
        <f t="shared" si="114"/>
        <v>0</v>
      </c>
      <c r="AH220" s="1">
        <f t="shared" si="115"/>
        <v>1</v>
      </c>
      <c r="AI220" s="1">
        <f t="shared" si="116"/>
        <v>0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94</v>
      </c>
      <c r="E221" s="35" t="s">
        <v>169</v>
      </c>
      <c r="F221" s="35" t="s">
        <v>289</v>
      </c>
      <c r="G221" s="35" t="s">
        <v>194</v>
      </c>
      <c r="H221" s="35" t="s">
        <v>354</v>
      </c>
      <c r="I221" s="34" t="s">
        <v>442</v>
      </c>
      <c r="J221" s="34">
        <v>9</v>
      </c>
      <c r="K221" s="36" t="s">
        <v>702</v>
      </c>
      <c r="L221" s="36" t="s">
        <v>694</v>
      </c>
      <c r="M221" s="37" t="s">
        <v>706</v>
      </c>
      <c r="N221" s="37" t="s">
        <v>1748</v>
      </c>
      <c r="O221" s="38">
        <v>1</v>
      </c>
      <c r="P221" s="38"/>
      <c r="Q221" s="35"/>
      <c r="S221" s="1">
        <f t="shared" si="117"/>
        <v>0</v>
      </c>
      <c r="T221" s="1">
        <f t="shared" si="118"/>
        <v>0</v>
      </c>
      <c r="U221" s="1">
        <f t="shared" si="119"/>
        <v>0</v>
      </c>
      <c r="V221" s="1">
        <f t="shared" si="120"/>
        <v>0</v>
      </c>
      <c r="W221" s="1">
        <f t="shared" si="121"/>
        <v>0</v>
      </c>
      <c r="X221" s="1">
        <f t="shared" si="122"/>
        <v>0</v>
      </c>
      <c r="Y221" s="1">
        <f t="shared" si="123"/>
        <v>0</v>
      </c>
      <c r="Z221" s="1">
        <f t="shared" si="124"/>
        <v>0</v>
      </c>
      <c r="AA221" s="1">
        <f t="shared" si="125"/>
        <v>1</v>
      </c>
      <c r="AB221" s="1">
        <f t="shared" si="126"/>
        <v>0</v>
      </c>
      <c r="AD221" s="1">
        <f t="shared" si="127"/>
        <v>0</v>
      </c>
      <c r="AE221" s="1">
        <f t="shared" si="128"/>
        <v>1</v>
      </c>
      <c r="AF221" s="1">
        <f t="shared" si="113"/>
        <v>0</v>
      </c>
      <c r="AG221" s="1">
        <f t="shared" si="114"/>
        <v>1</v>
      </c>
      <c r="AH221" s="1">
        <f t="shared" si="115"/>
        <v>0</v>
      </c>
      <c r="AI221" s="1">
        <f t="shared" si="116"/>
        <v>1</v>
      </c>
    </row>
    <row r="222" spans="1:35" ht="14.25" customHeight="1" x14ac:dyDescent="0.25">
      <c r="A222" s="41">
        <v>0</v>
      </c>
      <c r="B222" s="41">
        <v>1</v>
      </c>
      <c r="C222" s="41">
        <v>6</v>
      </c>
      <c r="D222" s="57" t="s">
        <v>1609</v>
      </c>
      <c r="E222" s="42" t="s">
        <v>1610</v>
      </c>
      <c r="F222" s="42" t="s">
        <v>1611</v>
      </c>
      <c r="G222" s="42" t="s">
        <v>192</v>
      </c>
      <c r="H222" s="42" t="s">
        <v>354</v>
      </c>
      <c r="I222" s="41" t="s">
        <v>1612</v>
      </c>
      <c r="J222" s="41">
        <v>10</v>
      </c>
      <c r="K222" s="43" t="s">
        <v>956</v>
      </c>
      <c r="L222" s="43" t="s">
        <v>687</v>
      </c>
      <c r="M222" s="44" t="s">
        <v>1613</v>
      </c>
      <c r="N222" s="45"/>
      <c r="O222" s="46"/>
      <c r="P222" s="46">
        <v>1</v>
      </c>
      <c r="Q222" s="42"/>
      <c r="S222" s="1">
        <f t="shared" si="117"/>
        <v>0</v>
      </c>
      <c r="T222" s="1">
        <f t="shared" si="118"/>
        <v>0</v>
      </c>
      <c r="U222" s="1">
        <f t="shared" si="119"/>
        <v>0</v>
      </c>
      <c r="V222" s="1">
        <f t="shared" si="120"/>
        <v>0</v>
      </c>
      <c r="W222" s="1">
        <f t="shared" si="121"/>
        <v>0</v>
      </c>
      <c r="X222" s="1">
        <f t="shared" si="122"/>
        <v>0</v>
      </c>
      <c r="Y222" s="1">
        <f t="shared" si="123"/>
        <v>0</v>
      </c>
      <c r="Z222" s="1">
        <f t="shared" si="124"/>
        <v>0</v>
      </c>
      <c r="AA222" s="1">
        <f t="shared" si="125"/>
        <v>0</v>
      </c>
      <c r="AB222" s="1">
        <f t="shared" si="126"/>
        <v>1</v>
      </c>
      <c r="AD222" s="1">
        <f t="shared" si="127"/>
        <v>0</v>
      </c>
      <c r="AE222" s="1">
        <f t="shared" si="128"/>
        <v>0</v>
      </c>
      <c r="AF222" s="1">
        <f t="shared" si="113"/>
        <v>0</v>
      </c>
      <c r="AG222" s="1">
        <f t="shared" si="114"/>
        <v>0</v>
      </c>
      <c r="AH222" s="1">
        <f t="shared" si="115"/>
        <v>1</v>
      </c>
      <c r="AI222" s="1">
        <f t="shared" si="116"/>
        <v>0</v>
      </c>
    </row>
    <row r="223" spans="1:35" ht="14.25" customHeight="1" x14ac:dyDescent="0.25">
      <c r="A223" s="47">
        <v>0</v>
      </c>
      <c r="B223" s="47">
        <v>1</v>
      </c>
      <c r="C223" s="47">
        <v>6</v>
      </c>
      <c r="D223" s="48" t="s">
        <v>95</v>
      </c>
      <c r="E223" s="48" t="s">
        <v>165</v>
      </c>
      <c r="F223" s="48" t="s">
        <v>290</v>
      </c>
      <c r="G223" s="48" t="s">
        <v>291</v>
      </c>
      <c r="H223" s="48" t="s">
        <v>354</v>
      </c>
      <c r="I223" s="47" t="s">
        <v>443</v>
      </c>
      <c r="J223" s="47">
        <v>7</v>
      </c>
      <c r="K223" s="49" t="s">
        <v>702</v>
      </c>
      <c r="L223" s="49" t="s">
        <v>694</v>
      </c>
      <c r="M223" s="50" t="s">
        <v>698</v>
      </c>
      <c r="N223" s="50" t="s">
        <v>1734</v>
      </c>
      <c r="O223" s="51"/>
      <c r="P223" s="51"/>
      <c r="Q223" s="48"/>
      <c r="S223" s="1">
        <f t="shared" si="117"/>
        <v>0</v>
      </c>
      <c r="T223" s="1">
        <f t="shared" si="118"/>
        <v>0</v>
      </c>
      <c r="U223" s="1">
        <f t="shared" si="119"/>
        <v>0</v>
      </c>
      <c r="V223" s="1">
        <f t="shared" si="120"/>
        <v>0</v>
      </c>
      <c r="W223" s="1">
        <f t="shared" si="121"/>
        <v>0</v>
      </c>
      <c r="X223" s="1">
        <f t="shared" si="122"/>
        <v>0</v>
      </c>
      <c r="Y223" s="1">
        <f t="shared" si="123"/>
        <v>1</v>
      </c>
      <c r="Z223" s="1">
        <f t="shared" si="124"/>
        <v>0</v>
      </c>
      <c r="AA223" s="1">
        <f t="shared" si="125"/>
        <v>0</v>
      </c>
      <c r="AB223" s="1">
        <f t="shared" si="126"/>
        <v>0</v>
      </c>
      <c r="AD223" s="1">
        <f t="shared" si="127"/>
        <v>0</v>
      </c>
      <c r="AE223" s="1">
        <f t="shared" si="128"/>
        <v>0</v>
      </c>
      <c r="AF223" s="1">
        <f t="shared" si="113"/>
        <v>0</v>
      </c>
      <c r="AG223" s="1">
        <f t="shared" si="114"/>
        <v>0</v>
      </c>
      <c r="AH223" s="1">
        <f t="shared" si="115"/>
        <v>0</v>
      </c>
      <c r="AI223" s="1">
        <f t="shared" si="116"/>
        <v>1</v>
      </c>
    </row>
    <row r="224" spans="1:35" ht="14.25" customHeight="1" x14ac:dyDescent="0.25">
      <c r="A224" s="34">
        <v>0</v>
      </c>
      <c r="B224" s="34">
        <v>1</v>
      </c>
      <c r="C224" s="34">
        <v>6</v>
      </c>
      <c r="D224" s="35" t="s">
        <v>1085</v>
      </c>
      <c r="E224" s="35" t="s">
        <v>167</v>
      </c>
      <c r="F224" s="35" t="s">
        <v>660</v>
      </c>
      <c r="G224" s="35" t="s">
        <v>179</v>
      </c>
      <c r="H224" s="35" t="s">
        <v>354</v>
      </c>
      <c r="I224" s="34" t="s">
        <v>381</v>
      </c>
      <c r="J224" s="34">
        <v>10</v>
      </c>
      <c r="K224" s="36" t="s">
        <v>722</v>
      </c>
      <c r="L224" s="36" t="s">
        <v>704</v>
      </c>
      <c r="M224" s="37" t="s">
        <v>707</v>
      </c>
      <c r="N224" s="37" t="s">
        <v>1750</v>
      </c>
      <c r="O224" s="38">
        <v>1</v>
      </c>
      <c r="P224" s="38"/>
      <c r="Q224" s="35"/>
      <c r="S224" s="1">
        <f t="shared" si="117"/>
        <v>0</v>
      </c>
      <c r="T224" s="1">
        <f t="shared" si="118"/>
        <v>0</v>
      </c>
      <c r="U224" s="1">
        <f t="shared" si="119"/>
        <v>0</v>
      </c>
      <c r="V224" s="1">
        <f t="shared" si="120"/>
        <v>0</v>
      </c>
      <c r="W224" s="1">
        <f t="shared" si="121"/>
        <v>0</v>
      </c>
      <c r="X224" s="1">
        <f t="shared" si="122"/>
        <v>0</v>
      </c>
      <c r="Y224" s="1">
        <f t="shared" si="123"/>
        <v>0</v>
      </c>
      <c r="Z224" s="1">
        <f t="shared" si="124"/>
        <v>0</v>
      </c>
      <c r="AA224" s="1">
        <f t="shared" si="125"/>
        <v>0</v>
      </c>
      <c r="AB224" s="1">
        <f t="shared" si="126"/>
        <v>1</v>
      </c>
      <c r="AD224" s="1">
        <f t="shared" si="127"/>
        <v>0</v>
      </c>
      <c r="AE224" s="1">
        <f t="shared" si="128"/>
        <v>1</v>
      </c>
      <c r="AF224" s="1">
        <f t="shared" si="113"/>
        <v>0</v>
      </c>
      <c r="AG224" s="1">
        <f t="shared" si="114"/>
        <v>1</v>
      </c>
      <c r="AH224" s="1">
        <f t="shared" si="115"/>
        <v>0</v>
      </c>
      <c r="AI224" s="1">
        <f t="shared" si="116"/>
        <v>1</v>
      </c>
    </row>
    <row r="225" spans="1:16384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1229</v>
      </c>
      <c r="E225" s="35" t="s">
        <v>165</v>
      </c>
      <c r="F225" s="35" t="s">
        <v>1230</v>
      </c>
      <c r="G225" s="35" t="s">
        <v>1232</v>
      </c>
      <c r="H225" s="35" t="s">
        <v>354</v>
      </c>
      <c r="I225" s="34" t="s">
        <v>1231</v>
      </c>
      <c r="J225" s="34">
        <v>99</v>
      </c>
      <c r="K225" s="36" t="s">
        <v>722</v>
      </c>
      <c r="L225" s="36" t="s">
        <v>693</v>
      </c>
      <c r="M225" s="37" t="s">
        <v>1401</v>
      </c>
      <c r="N225" s="37" t="s">
        <v>1743</v>
      </c>
      <c r="O225" s="38">
        <v>1</v>
      </c>
      <c r="P225" s="38"/>
      <c r="Q225" s="35"/>
      <c r="R225" s="34"/>
      <c r="S225" s="34">
        <f t="shared" si="117"/>
        <v>0</v>
      </c>
      <c r="T225" s="34">
        <f t="shared" si="118"/>
        <v>0</v>
      </c>
      <c r="U225" s="35">
        <f t="shared" si="119"/>
        <v>0</v>
      </c>
      <c r="V225" s="35">
        <f t="shared" si="120"/>
        <v>0</v>
      </c>
      <c r="W225" s="35">
        <f t="shared" si="121"/>
        <v>0</v>
      </c>
      <c r="X225" s="35">
        <f t="shared" si="122"/>
        <v>0</v>
      </c>
      <c r="Y225" s="35">
        <f t="shared" si="123"/>
        <v>0</v>
      </c>
      <c r="Z225" s="34">
        <f t="shared" si="124"/>
        <v>0</v>
      </c>
      <c r="AA225" s="34">
        <f t="shared" si="125"/>
        <v>0</v>
      </c>
      <c r="AB225" s="36">
        <f t="shared" si="126"/>
        <v>0</v>
      </c>
      <c r="AC225" s="36"/>
      <c r="AD225" s="37">
        <f t="shared" si="127"/>
        <v>0</v>
      </c>
      <c r="AE225" s="37">
        <f t="shared" si="128"/>
        <v>1</v>
      </c>
      <c r="AF225" s="38">
        <f t="shared" si="113"/>
        <v>0</v>
      </c>
      <c r="AG225" s="38">
        <f t="shared" si="114"/>
        <v>1</v>
      </c>
      <c r="AH225" s="39">
        <f t="shared" si="115"/>
        <v>0</v>
      </c>
      <c r="AI225" s="34">
        <f t="shared" si="116"/>
        <v>1</v>
      </c>
      <c r="AJ225" s="34"/>
      <c r="AK225" s="34"/>
      <c r="AL225" s="35"/>
      <c r="AM225" s="35"/>
      <c r="AN225" s="35"/>
      <c r="AO225" s="35"/>
      <c r="AP225" s="35"/>
      <c r="AQ225" s="34"/>
      <c r="AR225" s="34"/>
      <c r="AS225" s="36"/>
      <c r="AT225" s="36"/>
      <c r="AU225" s="37"/>
      <c r="AV225" s="37"/>
      <c r="AW225" s="38"/>
      <c r="AX225" s="38"/>
      <c r="AY225" s="39"/>
      <c r="AZ225" s="34"/>
      <c r="BA225" s="34"/>
      <c r="BB225" s="34"/>
      <c r="BC225" s="35"/>
      <c r="BD225" s="35"/>
      <c r="BE225" s="35"/>
      <c r="BF225" s="35"/>
      <c r="BG225" s="35"/>
      <c r="BH225" s="34"/>
      <c r="BI225" s="34"/>
      <c r="BJ225" s="36"/>
      <c r="BK225" s="36"/>
      <c r="BL225" s="37"/>
      <c r="BM225" s="37"/>
      <c r="BN225" s="38"/>
      <c r="BO225" s="38"/>
      <c r="BP225" s="39"/>
      <c r="BQ225" s="34"/>
      <c r="BR225" s="34"/>
      <c r="BS225" s="34"/>
      <c r="BT225" s="35"/>
      <c r="BU225" s="35"/>
      <c r="BV225" s="35"/>
      <c r="BW225" s="35"/>
      <c r="BX225" s="35"/>
      <c r="BY225" s="34"/>
      <c r="BZ225" s="34"/>
      <c r="CA225" s="36"/>
      <c r="CB225" s="36"/>
      <c r="CC225" s="37"/>
      <c r="CD225" s="37"/>
      <c r="CE225" s="38"/>
      <c r="CF225" s="38"/>
      <c r="CG225" s="39"/>
      <c r="CH225" s="34"/>
      <c r="CI225" s="34"/>
      <c r="CJ225" s="34"/>
      <c r="CK225" s="35"/>
      <c r="CL225" s="35"/>
      <c r="CM225" s="35"/>
      <c r="CN225" s="35"/>
      <c r="CO225" s="35"/>
      <c r="CP225" s="34"/>
      <c r="CQ225" s="34"/>
      <c r="CR225" s="36"/>
      <c r="CS225" s="36"/>
      <c r="CT225" s="37"/>
      <c r="CU225" s="37"/>
      <c r="CV225" s="38"/>
      <c r="CW225" s="38"/>
      <c r="CX225" s="39"/>
      <c r="CY225" s="34"/>
      <c r="CZ225" s="34"/>
      <c r="DA225" s="34"/>
      <c r="DB225" s="35"/>
      <c r="DC225" s="35"/>
      <c r="DD225" s="35"/>
      <c r="DE225" s="35"/>
      <c r="DF225" s="35"/>
      <c r="DG225" s="34"/>
      <c r="DH225" s="34"/>
      <c r="DI225" s="36"/>
      <c r="DJ225" s="36"/>
      <c r="DK225" s="37"/>
      <c r="DL225" s="37"/>
      <c r="DM225" s="38"/>
      <c r="DN225" s="38"/>
      <c r="DO225" s="39"/>
      <c r="DP225" s="34"/>
      <c r="DQ225" s="34"/>
      <c r="DR225" s="34"/>
      <c r="DS225" s="35"/>
      <c r="DT225" s="35"/>
      <c r="DU225" s="35"/>
      <c r="DV225" s="35"/>
      <c r="DW225" s="35"/>
      <c r="DX225" s="34"/>
      <c r="DY225" s="34"/>
      <c r="DZ225" s="36"/>
      <c r="EA225" s="36"/>
      <c r="EB225" s="37"/>
      <c r="EC225" s="37"/>
      <c r="ED225" s="38"/>
      <c r="EE225" s="38"/>
      <c r="EF225" s="39"/>
      <c r="EG225" s="34"/>
      <c r="EH225" s="34"/>
      <c r="EI225" s="34"/>
      <c r="EJ225" s="35"/>
      <c r="EK225" s="35"/>
      <c r="EL225" s="35"/>
      <c r="EM225" s="35"/>
      <c r="EN225" s="35"/>
      <c r="EO225" s="34"/>
      <c r="EP225" s="34"/>
      <c r="EQ225" s="36"/>
      <c r="ER225" s="36"/>
      <c r="ES225" s="37"/>
      <c r="ET225" s="37"/>
      <c r="EU225" s="38"/>
      <c r="EV225" s="38"/>
      <c r="EW225" s="39"/>
      <c r="EX225" s="34"/>
      <c r="EY225" s="34"/>
      <c r="EZ225" s="34"/>
      <c r="FA225" s="35"/>
      <c r="FB225" s="35"/>
      <c r="FC225" s="35"/>
      <c r="FD225" s="35"/>
      <c r="FE225" s="35"/>
      <c r="FF225" s="34"/>
      <c r="FG225" s="34"/>
      <c r="FH225" s="36"/>
      <c r="FI225" s="36"/>
      <c r="FJ225" s="37"/>
      <c r="FK225" s="37"/>
      <c r="FL225" s="38"/>
      <c r="FM225" s="38"/>
      <c r="FN225" s="39"/>
      <c r="FO225" s="34"/>
      <c r="FP225" s="34"/>
      <c r="FQ225" s="34"/>
      <c r="FR225" s="35"/>
      <c r="FS225" s="35"/>
      <c r="FT225" s="35"/>
      <c r="FU225" s="35"/>
      <c r="FV225" s="35"/>
      <c r="FW225" s="34"/>
      <c r="FX225" s="34"/>
      <c r="FY225" s="36"/>
      <c r="FZ225" s="36"/>
      <c r="GA225" s="37"/>
      <c r="GB225" s="37"/>
      <c r="GC225" s="38"/>
      <c r="GD225" s="38"/>
      <c r="GE225" s="39"/>
      <c r="GF225" s="34"/>
      <c r="GG225" s="34"/>
      <c r="GH225" s="34"/>
      <c r="GI225" s="35"/>
      <c r="GJ225" s="35"/>
      <c r="GK225" s="35"/>
      <c r="GL225" s="35"/>
      <c r="GM225" s="35"/>
      <c r="GN225" s="34"/>
      <c r="GO225" s="34"/>
      <c r="GP225" s="36"/>
      <c r="GQ225" s="36"/>
      <c r="GR225" s="37"/>
      <c r="GS225" s="37"/>
      <c r="GT225" s="38"/>
      <c r="GU225" s="38"/>
      <c r="GV225" s="39"/>
      <c r="GW225" s="34"/>
      <c r="GX225" s="34"/>
      <c r="GY225" s="34"/>
      <c r="GZ225" s="35"/>
      <c r="HA225" s="35"/>
      <c r="HB225" s="35"/>
      <c r="HC225" s="35"/>
      <c r="HD225" s="35"/>
      <c r="HE225" s="34"/>
      <c r="HF225" s="34"/>
      <c r="HG225" s="36"/>
      <c r="HH225" s="36"/>
      <c r="HI225" s="37"/>
      <c r="HJ225" s="37"/>
      <c r="HK225" s="38"/>
      <c r="HL225" s="38"/>
      <c r="HM225" s="39"/>
      <c r="HN225" s="34"/>
      <c r="HO225" s="34"/>
      <c r="HP225" s="34"/>
      <c r="HQ225" s="35"/>
      <c r="HR225" s="35"/>
      <c r="HS225" s="35"/>
      <c r="HT225" s="35"/>
      <c r="HU225" s="35"/>
      <c r="HV225" s="34"/>
      <c r="HW225" s="34"/>
      <c r="HX225" s="36"/>
      <c r="HY225" s="36"/>
      <c r="HZ225" s="37"/>
      <c r="IA225" s="37"/>
      <c r="IB225" s="38"/>
      <c r="IC225" s="38"/>
      <c r="ID225" s="39"/>
      <c r="IE225" s="34"/>
      <c r="IF225" s="34"/>
      <c r="IG225" s="34"/>
      <c r="IH225" s="35"/>
      <c r="II225" s="35"/>
      <c r="IJ225" s="35"/>
      <c r="IK225" s="35"/>
      <c r="IL225" s="35"/>
      <c r="IM225" s="34"/>
      <c r="IN225" s="34"/>
      <c r="IO225" s="36"/>
      <c r="IP225" s="36"/>
      <c r="IQ225" s="37"/>
      <c r="IR225" s="37"/>
      <c r="IS225" s="38"/>
      <c r="IT225" s="38"/>
      <c r="IU225" s="39"/>
      <c r="IV225" s="34"/>
      <c r="IW225" s="34"/>
      <c r="IX225" s="34"/>
      <c r="IY225" s="35"/>
      <c r="IZ225" s="35"/>
      <c r="JA225" s="35"/>
      <c r="JB225" s="35"/>
      <c r="JC225" s="35"/>
      <c r="JD225" s="34"/>
      <c r="JE225" s="34"/>
      <c r="JF225" s="36"/>
      <c r="JG225" s="36"/>
      <c r="JH225" s="37"/>
      <c r="JI225" s="37"/>
      <c r="JJ225" s="38"/>
      <c r="JK225" s="38"/>
      <c r="JL225" s="39"/>
      <c r="JM225" s="34"/>
      <c r="JN225" s="34"/>
      <c r="JO225" s="34"/>
      <c r="JP225" s="35"/>
      <c r="JQ225" s="35"/>
      <c r="JR225" s="35"/>
      <c r="JS225" s="35"/>
      <c r="JT225" s="35"/>
      <c r="JU225" s="34"/>
      <c r="JV225" s="34"/>
      <c r="JW225" s="36"/>
      <c r="JX225" s="36"/>
      <c r="JY225" s="37"/>
      <c r="JZ225" s="37"/>
      <c r="KA225" s="38"/>
      <c r="KB225" s="38"/>
      <c r="KC225" s="39"/>
      <c r="KD225" s="34"/>
      <c r="KE225" s="34"/>
      <c r="KF225" s="34"/>
      <c r="KG225" s="35"/>
      <c r="KH225" s="35"/>
      <c r="KI225" s="35"/>
      <c r="KJ225" s="35"/>
      <c r="KK225" s="35"/>
      <c r="KL225" s="34"/>
      <c r="KM225" s="34"/>
      <c r="KN225" s="36"/>
      <c r="KO225" s="36"/>
      <c r="KP225" s="37"/>
      <c r="KQ225" s="37"/>
      <c r="KR225" s="38"/>
      <c r="KS225" s="38"/>
      <c r="KT225" s="39"/>
      <c r="KU225" s="34"/>
      <c r="KV225" s="34"/>
      <c r="KW225" s="34"/>
      <c r="KX225" s="35"/>
      <c r="KY225" s="35"/>
      <c r="KZ225" s="35"/>
      <c r="LA225" s="35"/>
      <c r="LB225" s="35"/>
      <c r="LC225" s="34"/>
      <c r="LD225" s="34"/>
      <c r="LE225" s="36"/>
      <c r="LF225" s="36"/>
      <c r="LG225" s="37"/>
      <c r="LH225" s="37"/>
      <c r="LI225" s="38"/>
      <c r="LJ225" s="38"/>
      <c r="LK225" s="39"/>
      <c r="LL225" s="34"/>
      <c r="LM225" s="34"/>
      <c r="LN225" s="34"/>
      <c r="LO225" s="35"/>
      <c r="LP225" s="35"/>
      <c r="LQ225" s="35"/>
      <c r="LR225" s="35"/>
      <c r="LS225" s="35"/>
      <c r="LT225" s="34"/>
      <c r="LU225" s="34"/>
      <c r="LV225" s="36"/>
      <c r="LW225" s="36"/>
      <c r="LX225" s="37"/>
      <c r="LY225" s="37"/>
      <c r="LZ225" s="38"/>
      <c r="MA225" s="38"/>
      <c r="MB225" s="39"/>
      <c r="MC225" s="34"/>
      <c r="MD225" s="34"/>
      <c r="ME225" s="34"/>
      <c r="MF225" s="35"/>
      <c r="MG225" s="35"/>
      <c r="MH225" s="35"/>
      <c r="MI225" s="35"/>
      <c r="MJ225" s="35"/>
      <c r="MK225" s="34"/>
      <c r="ML225" s="34"/>
      <c r="MM225" s="36"/>
      <c r="MN225" s="36"/>
      <c r="MO225" s="37"/>
      <c r="MP225" s="37"/>
      <c r="MQ225" s="38"/>
      <c r="MR225" s="38"/>
      <c r="MS225" s="39"/>
      <c r="MT225" s="34"/>
      <c r="MU225" s="34"/>
      <c r="MV225" s="34"/>
      <c r="MW225" s="35"/>
      <c r="MX225" s="35"/>
      <c r="MY225" s="35"/>
      <c r="MZ225" s="35"/>
      <c r="NA225" s="35"/>
      <c r="NB225" s="34"/>
      <c r="NC225" s="34"/>
      <c r="ND225" s="36"/>
      <c r="NE225" s="36"/>
      <c r="NF225" s="37"/>
      <c r="NG225" s="37"/>
      <c r="NH225" s="38"/>
      <c r="NI225" s="38"/>
      <c r="NJ225" s="39"/>
      <c r="NK225" s="34"/>
      <c r="NL225" s="34"/>
      <c r="NM225" s="34"/>
      <c r="NN225" s="35"/>
      <c r="NO225" s="35"/>
      <c r="NP225" s="35"/>
      <c r="NQ225" s="35"/>
      <c r="NR225" s="35"/>
      <c r="NS225" s="34"/>
      <c r="NT225" s="34"/>
      <c r="NU225" s="36"/>
      <c r="NV225" s="36"/>
      <c r="NW225" s="37"/>
      <c r="NX225" s="37"/>
      <c r="NY225" s="38"/>
      <c r="NZ225" s="38"/>
      <c r="OA225" s="39"/>
      <c r="OB225" s="34"/>
      <c r="OC225" s="34"/>
      <c r="OD225" s="34"/>
      <c r="OE225" s="35"/>
      <c r="OF225" s="35"/>
      <c r="OG225" s="35"/>
      <c r="OH225" s="35"/>
      <c r="OI225" s="35"/>
      <c r="OJ225" s="34"/>
      <c r="OK225" s="34"/>
      <c r="OL225" s="36"/>
      <c r="OM225" s="36"/>
      <c r="ON225" s="37"/>
      <c r="OO225" s="37"/>
      <c r="OP225" s="38"/>
      <c r="OQ225" s="38"/>
      <c r="OR225" s="39"/>
      <c r="OS225" s="34"/>
      <c r="OT225" s="34"/>
      <c r="OU225" s="34"/>
      <c r="OV225" s="35"/>
      <c r="OW225" s="35"/>
      <c r="OX225" s="35"/>
      <c r="OY225" s="35"/>
      <c r="OZ225" s="35"/>
      <c r="PA225" s="34"/>
      <c r="PB225" s="34"/>
      <c r="PC225" s="36"/>
      <c r="PD225" s="36"/>
      <c r="PE225" s="37"/>
      <c r="PF225" s="37"/>
      <c r="PG225" s="38"/>
      <c r="PH225" s="38"/>
      <c r="PI225" s="39"/>
      <c r="PJ225" s="34"/>
      <c r="PK225" s="34"/>
      <c r="PL225" s="34"/>
      <c r="PM225" s="35"/>
      <c r="PN225" s="35"/>
      <c r="PO225" s="35"/>
      <c r="PP225" s="35"/>
      <c r="PQ225" s="35"/>
      <c r="PR225" s="34"/>
      <c r="PS225" s="34"/>
      <c r="PT225" s="36"/>
      <c r="PU225" s="36"/>
      <c r="PV225" s="37"/>
      <c r="PW225" s="37"/>
      <c r="PX225" s="38"/>
      <c r="PY225" s="38"/>
      <c r="PZ225" s="39"/>
      <c r="QA225" s="34"/>
      <c r="QB225" s="34"/>
      <c r="QC225" s="34"/>
      <c r="QD225" s="35"/>
      <c r="QE225" s="35"/>
      <c r="QF225" s="35"/>
      <c r="QG225" s="35"/>
      <c r="QH225" s="35"/>
      <c r="QI225" s="34"/>
      <c r="QJ225" s="34"/>
      <c r="QK225" s="36"/>
      <c r="QL225" s="36"/>
      <c r="QM225" s="37"/>
      <c r="QN225" s="37"/>
      <c r="QO225" s="38"/>
      <c r="QP225" s="38"/>
      <c r="QQ225" s="39"/>
      <c r="QR225" s="34"/>
      <c r="QS225" s="34"/>
      <c r="QT225" s="34"/>
      <c r="QU225" s="35"/>
      <c r="QV225" s="35"/>
      <c r="QW225" s="35"/>
      <c r="QX225" s="35"/>
      <c r="QY225" s="35"/>
      <c r="QZ225" s="34"/>
      <c r="RA225" s="34"/>
      <c r="RB225" s="36"/>
      <c r="RC225" s="36"/>
      <c r="RD225" s="37"/>
      <c r="RE225" s="37"/>
      <c r="RF225" s="38"/>
      <c r="RG225" s="38"/>
      <c r="RH225" s="39"/>
      <c r="RI225" s="34"/>
      <c r="RJ225" s="34"/>
      <c r="RK225" s="34"/>
      <c r="RL225" s="35"/>
      <c r="RM225" s="35"/>
      <c r="RN225" s="35"/>
      <c r="RO225" s="35"/>
      <c r="RP225" s="35"/>
      <c r="RQ225" s="34"/>
      <c r="RR225" s="34"/>
      <c r="RS225" s="36"/>
      <c r="RT225" s="36"/>
      <c r="RU225" s="37"/>
      <c r="RV225" s="37"/>
      <c r="RW225" s="38"/>
      <c r="RX225" s="38"/>
      <c r="RY225" s="39"/>
      <c r="RZ225" s="34"/>
      <c r="SA225" s="34"/>
      <c r="SB225" s="34"/>
      <c r="SC225" s="35"/>
      <c r="SD225" s="35"/>
      <c r="SE225" s="35"/>
      <c r="SF225" s="35"/>
      <c r="SG225" s="35"/>
      <c r="SH225" s="34"/>
      <c r="SI225" s="34"/>
      <c r="SJ225" s="36"/>
      <c r="SK225" s="36"/>
      <c r="SL225" s="37"/>
      <c r="SM225" s="37"/>
      <c r="SN225" s="38"/>
      <c r="SO225" s="38"/>
      <c r="SP225" s="39"/>
      <c r="SQ225" s="34"/>
      <c r="SR225" s="34"/>
      <c r="SS225" s="34"/>
      <c r="ST225" s="35"/>
      <c r="SU225" s="35"/>
      <c r="SV225" s="35"/>
      <c r="SW225" s="35"/>
      <c r="SX225" s="35"/>
      <c r="SY225" s="34"/>
      <c r="SZ225" s="34"/>
      <c r="TA225" s="36"/>
      <c r="TB225" s="36"/>
      <c r="TC225" s="37"/>
      <c r="TD225" s="37"/>
      <c r="TE225" s="38"/>
      <c r="TF225" s="38"/>
      <c r="TG225" s="39"/>
      <c r="TH225" s="34"/>
      <c r="TI225" s="34"/>
      <c r="TJ225" s="34"/>
      <c r="TK225" s="35"/>
      <c r="TL225" s="35"/>
      <c r="TM225" s="35"/>
      <c r="TN225" s="35"/>
      <c r="TO225" s="35"/>
      <c r="TP225" s="34"/>
      <c r="TQ225" s="34"/>
      <c r="TR225" s="36"/>
      <c r="TS225" s="36"/>
      <c r="TT225" s="37"/>
      <c r="TU225" s="37"/>
      <c r="TV225" s="38"/>
      <c r="TW225" s="38"/>
      <c r="TX225" s="39"/>
      <c r="TY225" s="34"/>
      <c r="TZ225" s="34"/>
      <c r="UA225" s="34"/>
      <c r="UB225" s="35"/>
      <c r="UC225" s="35"/>
      <c r="UD225" s="35"/>
      <c r="UE225" s="35"/>
      <c r="UF225" s="35"/>
      <c r="UG225" s="34"/>
      <c r="UH225" s="34"/>
      <c r="UI225" s="36"/>
      <c r="UJ225" s="36"/>
      <c r="UK225" s="37"/>
      <c r="UL225" s="37"/>
      <c r="UM225" s="38"/>
      <c r="UN225" s="38"/>
      <c r="UO225" s="39"/>
      <c r="UP225" s="34"/>
      <c r="UQ225" s="34"/>
      <c r="UR225" s="34"/>
      <c r="US225" s="35"/>
      <c r="UT225" s="35"/>
      <c r="UU225" s="35"/>
      <c r="UV225" s="35"/>
      <c r="UW225" s="35"/>
      <c r="UX225" s="34"/>
      <c r="UY225" s="34"/>
      <c r="UZ225" s="36"/>
      <c r="VA225" s="36"/>
      <c r="VB225" s="37"/>
      <c r="VC225" s="37"/>
      <c r="VD225" s="38"/>
      <c r="VE225" s="38"/>
      <c r="VF225" s="39"/>
      <c r="VG225" s="34"/>
      <c r="VH225" s="34"/>
      <c r="VI225" s="34"/>
      <c r="VJ225" s="35"/>
      <c r="VK225" s="35"/>
      <c r="VL225" s="35"/>
      <c r="VM225" s="35"/>
      <c r="VN225" s="35"/>
      <c r="VO225" s="34"/>
      <c r="VP225" s="34"/>
      <c r="VQ225" s="36"/>
      <c r="VR225" s="36"/>
      <c r="VS225" s="37"/>
      <c r="VT225" s="37"/>
      <c r="VU225" s="38"/>
      <c r="VV225" s="38"/>
      <c r="VW225" s="39"/>
      <c r="VX225" s="34"/>
      <c r="VY225" s="34"/>
      <c r="VZ225" s="34"/>
      <c r="WA225" s="35"/>
      <c r="WB225" s="35"/>
      <c r="WC225" s="35"/>
      <c r="WD225" s="35"/>
      <c r="WE225" s="35"/>
      <c r="WF225" s="34"/>
      <c r="WG225" s="34"/>
      <c r="WH225" s="36"/>
      <c r="WI225" s="36"/>
      <c r="WJ225" s="37"/>
      <c r="WK225" s="37"/>
      <c r="WL225" s="38"/>
      <c r="WM225" s="38"/>
      <c r="WN225" s="39"/>
      <c r="WO225" s="34"/>
      <c r="WP225" s="34"/>
      <c r="WQ225" s="34"/>
      <c r="WR225" s="35"/>
      <c r="WS225" s="35"/>
      <c r="WT225" s="35"/>
      <c r="WU225" s="35"/>
      <c r="WV225" s="35"/>
      <c r="WW225" s="34"/>
      <c r="WX225" s="34"/>
      <c r="WY225" s="36"/>
      <c r="WZ225" s="36"/>
      <c r="XA225" s="37"/>
      <c r="XB225" s="37"/>
      <c r="XC225" s="38"/>
      <c r="XD225" s="38"/>
      <c r="XE225" s="39"/>
      <c r="XF225" s="34"/>
      <c r="XG225" s="34"/>
      <c r="XH225" s="34"/>
      <c r="XI225" s="35"/>
      <c r="XJ225" s="35"/>
      <c r="XK225" s="35"/>
      <c r="XL225" s="35"/>
      <c r="XM225" s="35"/>
      <c r="XN225" s="34"/>
      <c r="XO225" s="34"/>
      <c r="XP225" s="36"/>
      <c r="XQ225" s="36"/>
      <c r="XR225" s="37"/>
      <c r="XS225" s="37"/>
      <c r="XT225" s="38"/>
      <c r="XU225" s="38"/>
      <c r="XV225" s="39"/>
      <c r="XW225" s="34"/>
      <c r="XX225" s="34"/>
      <c r="XY225" s="34"/>
      <c r="XZ225" s="35"/>
      <c r="YA225" s="35"/>
      <c r="YB225" s="35"/>
      <c r="YC225" s="35"/>
      <c r="YD225" s="35"/>
      <c r="YE225" s="34"/>
      <c r="YF225" s="34"/>
      <c r="YG225" s="36"/>
      <c r="YH225" s="36"/>
      <c r="YI225" s="37"/>
      <c r="YJ225" s="37"/>
      <c r="YK225" s="38"/>
      <c r="YL225" s="38"/>
      <c r="YM225" s="39"/>
      <c r="YN225" s="34"/>
      <c r="YO225" s="34"/>
      <c r="YP225" s="34"/>
      <c r="YQ225" s="35"/>
      <c r="YR225" s="35"/>
      <c r="YS225" s="35"/>
      <c r="YT225" s="35"/>
      <c r="YU225" s="35"/>
      <c r="YV225" s="34"/>
      <c r="YW225" s="34"/>
      <c r="YX225" s="36"/>
      <c r="YY225" s="36"/>
      <c r="YZ225" s="37"/>
      <c r="ZA225" s="37"/>
      <c r="ZB225" s="38"/>
      <c r="ZC225" s="38"/>
      <c r="ZD225" s="39"/>
      <c r="ZE225" s="34"/>
      <c r="ZF225" s="34"/>
      <c r="ZG225" s="34"/>
      <c r="ZH225" s="35"/>
      <c r="ZI225" s="35"/>
      <c r="ZJ225" s="35"/>
      <c r="ZK225" s="35"/>
      <c r="ZL225" s="35"/>
      <c r="ZM225" s="34"/>
      <c r="ZN225" s="34"/>
      <c r="ZO225" s="36"/>
      <c r="ZP225" s="36"/>
      <c r="ZQ225" s="37"/>
      <c r="ZR225" s="37"/>
      <c r="ZS225" s="38"/>
      <c r="ZT225" s="38"/>
      <c r="ZU225" s="39"/>
      <c r="ZV225" s="34"/>
      <c r="ZW225" s="34"/>
      <c r="ZX225" s="34"/>
      <c r="ZY225" s="35"/>
      <c r="ZZ225" s="35"/>
      <c r="AAA225" s="35"/>
      <c r="AAB225" s="35"/>
      <c r="AAC225" s="35"/>
      <c r="AAD225" s="34"/>
      <c r="AAE225" s="34"/>
      <c r="AAF225" s="36"/>
      <c r="AAG225" s="36"/>
      <c r="AAH225" s="37"/>
      <c r="AAI225" s="37"/>
      <c r="AAJ225" s="38"/>
      <c r="AAK225" s="38"/>
      <c r="AAL225" s="39"/>
      <c r="AAM225" s="34"/>
      <c r="AAN225" s="34"/>
      <c r="AAO225" s="34"/>
      <c r="AAP225" s="35"/>
      <c r="AAQ225" s="35"/>
      <c r="AAR225" s="35"/>
      <c r="AAS225" s="35"/>
      <c r="AAT225" s="35"/>
      <c r="AAU225" s="34"/>
      <c r="AAV225" s="34"/>
      <c r="AAW225" s="36"/>
      <c r="AAX225" s="36"/>
      <c r="AAY225" s="37"/>
      <c r="AAZ225" s="37"/>
      <c r="ABA225" s="38"/>
      <c r="ABB225" s="38"/>
      <c r="ABC225" s="39"/>
      <c r="ABD225" s="34"/>
      <c r="ABE225" s="34"/>
      <c r="ABF225" s="34"/>
      <c r="ABG225" s="35"/>
      <c r="ABH225" s="35"/>
      <c r="ABI225" s="35"/>
      <c r="ABJ225" s="35"/>
      <c r="ABK225" s="35"/>
      <c r="ABL225" s="34"/>
      <c r="ABM225" s="34"/>
      <c r="ABN225" s="36"/>
      <c r="ABO225" s="36"/>
      <c r="ABP225" s="37"/>
      <c r="ABQ225" s="37"/>
      <c r="ABR225" s="38"/>
      <c r="ABS225" s="38"/>
      <c r="ABT225" s="39"/>
      <c r="ABU225" s="34"/>
      <c r="ABV225" s="34"/>
      <c r="ABW225" s="34"/>
      <c r="ABX225" s="35"/>
      <c r="ABY225" s="35"/>
      <c r="ABZ225" s="35"/>
      <c r="ACA225" s="35"/>
      <c r="ACB225" s="35"/>
      <c r="ACC225" s="34"/>
      <c r="ACD225" s="34"/>
      <c r="ACE225" s="36"/>
      <c r="ACF225" s="36"/>
      <c r="ACG225" s="37"/>
      <c r="ACH225" s="37"/>
      <c r="ACI225" s="38"/>
      <c r="ACJ225" s="38"/>
      <c r="ACK225" s="39"/>
      <c r="ACL225" s="34"/>
      <c r="ACM225" s="34"/>
      <c r="ACN225" s="34"/>
      <c r="ACO225" s="35"/>
      <c r="ACP225" s="35"/>
      <c r="ACQ225" s="35"/>
      <c r="ACR225" s="35"/>
      <c r="ACS225" s="35"/>
      <c r="ACT225" s="34"/>
      <c r="ACU225" s="34"/>
      <c r="ACV225" s="36"/>
      <c r="ACW225" s="36"/>
      <c r="ACX225" s="37"/>
      <c r="ACY225" s="37"/>
      <c r="ACZ225" s="38"/>
      <c r="ADA225" s="38"/>
      <c r="ADB225" s="39"/>
      <c r="ADC225" s="34"/>
      <c r="ADD225" s="34"/>
      <c r="ADE225" s="34"/>
      <c r="ADF225" s="35"/>
      <c r="ADG225" s="35"/>
      <c r="ADH225" s="35"/>
      <c r="ADI225" s="35"/>
      <c r="ADJ225" s="35"/>
      <c r="ADK225" s="34"/>
      <c r="ADL225" s="34"/>
      <c r="ADM225" s="36"/>
      <c r="ADN225" s="36"/>
      <c r="ADO225" s="37"/>
      <c r="ADP225" s="37"/>
      <c r="ADQ225" s="38"/>
      <c r="ADR225" s="38"/>
      <c r="ADS225" s="39"/>
      <c r="ADT225" s="34"/>
      <c r="ADU225" s="34"/>
      <c r="ADV225" s="34"/>
      <c r="ADW225" s="35"/>
      <c r="ADX225" s="35"/>
      <c r="ADY225" s="35"/>
      <c r="ADZ225" s="35"/>
      <c r="AEA225" s="35"/>
      <c r="AEB225" s="34"/>
      <c r="AEC225" s="34"/>
      <c r="AED225" s="36"/>
      <c r="AEE225" s="36"/>
      <c r="AEF225" s="37"/>
      <c r="AEG225" s="37"/>
      <c r="AEH225" s="38"/>
      <c r="AEI225" s="38"/>
      <c r="AEJ225" s="39"/>
      <c r="AEK225" s="34"/>
      <c r="AEL225" s="34"/>
      <c r="AEM225" s="34"/>
      <c r="AEN225" s="35"/>
      <c r="AEO225" s="35"/>
      <c r="AEP225" s="35"/>
      <c r="AEQ225" s="35"/>
      <c r="AER225" s="35"/>
      <c r="AES225" s="34"/>
      <c r="AET225" s="34"/>
      <c r="AEU225" s="36"/>
      <c r="AEV225" s="36"/>
      <c r="AEW225" s="37"/>
      <c r="AEX225" s="37"/>
      <c r="AEY225" s="38"/>
      <c r="AEZ225" s="38"/>
      <c r="AFA225" s="39"/>
      <c r="AFB225" s="34"/>
      <c r="AFC225" s="34"/>
      <c r="AFD225" s="34"/>
      <c r="AFE225" s="35"/>
      <c r="AFF225" s="35"/>
      <c r="AFG225" s="35"/>
      <c r="AFH225" s="35"/>
      <c r="AFI225" s="35"/>
      <c r="AFJ225" s="34"/>
      <c r="AFK225" s="34"/>
      <c r="AFL225" s="36"/>
      <c r="AFM225" s="36"/>
      <c r="AFN225" s="37"/>
      <c r="AFO225" s="37"/>
      <c r="AFP225" s="38"/>
      <c r="AFQ225" s="38"/>
      <c r="AFR225" s="39"/>
      <c r="AFS225" s="34"/>
      <c r="AFT225" s="34"/>
      <c r="AFU225" s="34"/>
      <c r="AFV225" s="35"/>
      <c r="AFW225" s="35"/>
      <c r="AFX225" s="35"/>
      <c r="AFY225" s="35"/>
      <c r="AFZ225" s="35"/>
      <c r="AGA225" s="34"/>
      <c r="AGB225" s="34"/>
      <c r="AGC225" s="36"/>
      <c r="AGD225" s="36"/>
      <c r="AGE225" s="37"/>
      <c r="AGF225" s="37"/>
      <c r="AGG225" s="38"/>
      <c r="AGH225" s="38"/>
      <c r="AGI225" s="39"/>
      <c r="AGJ225" s="34"/>
      <c r="AGK225" s="34"/>
      <c r="AGL225" s="34"/>
      <c r="AGM225" s="35"/>
      <c r="AGN225" s="35"/>
      <c r="AGO225" s="35"/>
      <c r="AGP225" s="35"/>
      <c r="AGQ225" s="35"/>
      <c r="AGR225" s="34"/>
      <c r="AGS225" s="34"/>
      <c r="AGT225" s="36"/>
      <c r="AGU225" s="36"/>
      <c r="AGV225" s="37"/>
      <c r="AGW225" s="37"/>
      <c r="AGX225" s="38"/>
      <c r="AGY225" s="38"/>
      <c r="AGZ225" s="39"/>
      <c r="AHA225" s="34"/>
      <c r="AHB225" s="34"/>
      <c r="AHC225" s="34"/>
      <c r="AHD225" s="35"/>
      <c r="AHE225" s="35"/>
      <c r="AHF225" s="35"/>
      <c r="AHG225" s="35"/>
      <c r="AHH225" s="35"/>
      <c r="AHI225" s="34"/>
      <c r="AHJ225" s="34"/>
      <c r="AHK225" s="36"/>
      <c r="AHL225" s="36"/>
      <c r="AHM225" s="37"/>
      <c r="AHN225" s="37"/>
      <c r="AHO225" s="38"/>
      <c r="AHP225" s="38"/>
      <c r="AHQ225" s="39"/>
      <c r="AHR225" s="34"/>
      <c r="AHS225" s="34"/>
      <c r="AHT225" s="34"/>
      <c r="AHU225" s="35"/>
      <c r="AHV225" s="35"/>
      <c r="AHW225" s="35"/>
      <c r="AHX225" s="35"/>
      <c r="AHY225" s="35"/>
      <c r="AHZ225" s="34"/>
      <c r="AIA225" s="34"/>
      <c r="AIB225" s="36"/>
      <c r="AIC225" s="36"/>
      <c r="AID225" s="37"/>
      <c r="AIE225" s="37"/>
      <c r="AIF225" s="38"/>
      <c r="AIG225" s="38"/>
      <c r="AIH225" s="39"/>
      <c r="AII225" s="34"/>
      <c r="AIJ225" s="34"/>
      <c r="AIK225" s="34"/>
      <c r="AIL225" s="35"/>
      <c r="AIM225" s="35"/>
      <c r="AIN225" s="35"/>
      <c r="AIO225" s="35"/>
      <c r="AIP225" s="35"/>
      <c r="AIQ225" s="34"/>
      <c r="AIR225" s="34"/>
      <c r="AIS225" s="36"/>
      <c r="AIT225" s="36"/>
      <c r="AIU225" s="37"/>
      <c r="AIV225" s="37"/>
      <c r="AIW225" s="38"/>
      <c r="AIX225" s="38"/>
      <c r="AIY225" s="39"/>
      <c r="AIZ225" s="34"/>
      <c r="AJA225" s="34"/>
      <c r="AJB225" s="34"/>
      <c r="AJC225" s="35"/>
      <c r="AJD225" s="35"/>
      <c r="AJE225" s="35"/>
      <c r="AJF225" s="35"/>
      <c r="AJG225" s="35"/>
      <c r="AJH225" s="34"/>
      <c r="AJI225" s="34"/>
      <c r="AJJ225" s="36"/>
      <c r="AJK225" s="36"/>
      <c r="AJL225" s="37"/>
      <c r="AJM225" s="37"/>
      <c r="AJN225" s="38"/>
      <c r="AJO225" s="38"/>
      <c r="AJP225" s="39"/>
      <c r="AJQ225" s="34"/>
      <c r="AJR225" s="34"/>
      <c r="AJS225" s="34"/>
      <c r="AJT225" s="35"/>
      <c r="AJU225" s="35"/>
      <c r="AJV225" s="35"/>
      <c r="AJW225" s="35"/>
      <c r="AJX225" s="35"/>
      <c r="AJY225" s="34"/>
      <c r="AJZ225" s="34"/>
      <c r="AKA225" s="36"/>
      <c r="AKB225" s="36"/>
      <c r="AKC225" s="37"/>
      <c r="AKD225" s="37"/>
      <c r="AKE225" s="38"/>
      <c r="AKF225" s="38"/>
      <c r="AKG225" s="39"/>
      <c r="AKH225" s="34"/>
      <c r="AKI225" s="34"/>
      <c r="AKJ225" s="34"/>
      <c r="AKK225" s="35"/>
      <c r="AKL225" s="35"/>
      <c r="AKM225" s="35"/>
      <c r="AKN225" s="35"/>
      <c r="AKO225" s="35"/>
      <c r="AKP225" s="34"/>
      <c r="AKQ225" s="34"/>
      <c r="AKR225" s="36"/>
      <c r="AKS225" s="36"/>
      <c r="AKT225" s="37"/>
      <c r="AKU225" s="37"/>
      <c r="AKV225" s="38"/>
      <c r="AKW225" s="38"/>
      <c r="AKX225" s="39"/>
      <c r="AKY225" s="34"/>
      <c r="AKZ225" s="34"/>
      <c r="ALA225" s="34"/>
      <c r="ALB225" s="35"/>
      <c r="ALC225" s="35"/>
      <c r="ALD225" s="35"/>
      <c r="ALE225" s="35"/>
      <c r="ALF225" s="35"/>
      <c r="ALG225" s="34"/>
      <c r="ALH225" s="34"/>
      <c r="ALI225" s="36"/>
      <c r="ALJ225" s="36"/>
      <c r="ALK225" s="37"/>
      <c r="ALL225" s="37"/>
      <c r="ALM225" s="38"/>
      <c r="ALN225" s="38"/>
      <c r="ALO225" s="39"/>
      <c r="ALP225" s="34"/>
      <c r="ALQ225" s="34"/>
      <c r="ALR225" s="34"/>
      <c r="ALS225" s="35"/>
      <c r="ALT225" s="35"/>
      <c r="ALU225" s="35"/>
      <c r="ALV225" s="35"/>
      <c r="ALW225" s="35"/>
      <c r="ALX225" s="34"/>
      <c r="ALY225" s="34"/>
      <c r="ALZ225" s="36"/>
      <c r="AMA225" s="36"/>
      <c r="AMB225" s="37"/>
      <c r="AMC225" s="37"/>
      <c r="AMD225" s="38"/>
      <c r="AME225" s="38"/>
      <c r="AMF225" s="39"/>
      <c r="AMG225" s="34"/>
      <c r="AMH225" s="34"/>
      <c r="AMI225" s="34"/>
      <c r="AMJ225" s="35"/>
      <c r="AMK225" s="35"/>
      <c r="AML225" s="35"/>
      <c r="AMM225" s="35"/>
      <c r="AMN225" s="35"/>
      <c r="AMO225" s="34"/>
      <c r="AMP225" s="34"/>
      <c r="AMQ225" s="36"/>
      <c r="AMR225" s="36"/>
      <c r="AMS225" s="37"/>
      <c r="AMT225" s="37"/>
      <c r="AMU225" s="38"/>
      <c r="AMV225" s="38"/>
      <c r="AMW225" s="39"/>
      <c r="AMX225" s="34"/>
      <c r="AMY225" s="34"/>
      <c r="AMZ225" s="34"/>
      <c r="ANA225" s="35"/>
      <c r="ANB225" s="35"/>
      <c r="ANC225" s="35"/>
      <c r="AND225" s="35"/>
      <c r="ANE225" s="35"/>
      <c r="ANF225" s="34"/>
      <c r="ANG225" s="34"/>
      <c r="ANH225" s="36"/>
      <c r="ANI225" s="36"/>
      <c r="ANJ225" s="37"/>
      <c r="ANK225" s="37"/>
      <c r="ANL225" s="38"/>
      <c r="ANM225" s="38"/>
      <c r="ANN225" s="39"/>
      <c r="ANO225" s="34"/>
      <c r="ANP225" s="34"/>
      <c r="ANQ225" s="34"/>
      <c r="ANR225" s="35"/>
      <c r="ANS225" s="35"/>
      <c r="ANT225" s="35"/>
      <c r="ANU225" s="35"/>
      <c r="ANV225" s="35"/>
      <c r="ANW225" s="34"/>
      <c r="ANX225" s="34"/>
      <c r="ANY225" s="36"/>
      <c r="ANZ225" s="36"/>
      <c r="AOA225" s="37"/>
      <c r="AOB225" s="37"/>
      <c r="AOC225" s="38"/>
      <c r="AOD225" s="38"/>
      <c r="AOE225" s="39"/>
      <c r="AOF225" s="34"/>
      <c r="AOG225" s="34"/>
      <c r="AOH225" s="34"/>
      <c r="AOI225" s="35"/>
      <c r="AOJ225" s="35"/>
      <c r="AOK225" s="35"/>
      <c r="AOL225" s="35"/>
      <c r="AOM225" s="35"/>
      <c r="AON225" s="34"/>
      <c r="AOO225" s="34"/>
      <c r="AOP225" s="36"/>
      <c r="AOQ225" s="36"/>
      <c r="AOR225" s="37"/>
      <c r="AOS225" s="37"/>
      <c r="AOT225" s="38"/>
      <c r="AOU225" s="38"/>
      <c r="AOV225" s="39"/>
      <c r="AOW225" s="34"/>
      <c r="AOX225" s="34"/>
      <c r="AOY225" s="34"/>
      <c r="AOZ225" s="35"/>
      <c r="APA225" s="35"/>
      <c r="APB225" s="35"/>
      <c r="APC225" s="35"/>
      <c r="APD225" s="35"/>
      <c r="APE225" s="34"/>
      <c r="APF225" s="34"/>
      <c r="APG225" s="36"/>
      <c r="APH225" s="36"/>
      <c r="API225" s="37"/>
      <c r="APJ225" s="37"/>
      <c r="APK225" s="38"/>
      <c r="APL225" s="38"/>
      <c r="APM225" s="39"/>
      <c r="APN225" s="34"/>
      <c r="APO225" s="34"/>
      <c r="APP225" s="34"/>
      <c r="APQ225" s="35"/>
      <c r="APR225" s="35"/>
      <c r="APS225" s="35"/>
      <c r="APT225" s="35"/>
      <c r="APU225" s="35"/>
      <c r="APV225" s="34"/>
      <c r="APW225" s="34"/>
      <c r="APX225" s="36"/>
      <c r="APY225" s="36"/>
      <c r="APZ225" s="37"/>
      <c r="AQA225" s="37"/>
      <c r="AQB225" s="38"/>
      <c r="AQC225" s="38"/>
      <c r="AQD225" s="39"/>
      <c r="AQE225" s="34"/>
      <c r="AQF225" s="34"/>
      <c r="AQG225" s="34"/>
      <c r="AQH225" s="35"/>
      <c r="AQI225" s="35"/>
      <c r="AQJ225" s="35"/>
      <c r="AQK225" s="35"/>
      <c r="AQL225" s="35"/>
      <c r="AQM225" s="34"/>
      <c r="AQN225" s="34"/>
      <c r="AQO225" s="36"/>
      <c r="AQP225" s="36"/>
      <c r="AQQ225" s="37"/>
      <c r="AQR225" s="37"/>
      <c r="AQS225" s="38"/>
      <c r="AQT225" s="38"/>
      <c r="AQU225" s="39"/>
      <c r="AQV225" s="34"/>
      <c r="AQW225" s="34"/>
      <c r="AQX225" s="34"/>
      <c r="AQY225" s="35"/>
      <c r="AQZ225" s="35"/>
      <c r="ARA225" s="35"/>
      <c r="ARB225" s="35"/>
      <c r="ARC225" s="35"/>
      <c r="ARD225" s="34"/>
      <c r="ARE225" s="34"/>
      <c r="ARF225" s="36"/>
      <c r="ARG225" s="36"/>
      <c r="ARH225" s="37"/>
      <c r="ARI225" s="37"/>
      <c r="ARJ225" s="38"/>
      <c r="ARK225" s="38"/>
      <c r="ARL225" s="39"/>
      <c r="ARM225" s="34"/>
      <c r="ARN225" s="34"/>
      <c r="ARO225" s="34"/>
      <c r="ARP225" s="35"/>
      <c r="ARQ225" s="35"/>
      <c r="ARR225" s="35"/>
      <c r="ARS225" s="35"/>
      <c r="ART225" s="35"/>
      <c r="ARU225" s="34"/>
      <c r="ARV225" s="34"/>
      <c r="ARW225" s="36"/>
      <c r="ARX225" s="36"/>
      <c r="ARY225" s="37"/>
      <c r="ARZ225" s="37"/>
      <c r="ASA225" s="38"/>
      <c r="ASB225" s="38"/>
      <c r="ASC225" s="39"/>
      <c r="ASD225" s="34"/>
      <c r="ASE225" s="34"/>
      <c r="ASF225" s="34"/>
      <c r="ASG225" s="35"/>
      <c r="ASH225" s="35"/>
      <c r="ASI225" s="35"/>
      <c r="ASJ225" s="35"/>
      <c r="ASK225" s="35"/>
      <c r="ASL225" s="34"/>
      <c r="ASM225" s="34"/>
      <c r="ASN225" s="36"/>
      <c r="ASO225" s="36"/>
      <c r="ASP225" s="37"/>
      <c r="ASQ225" s="37"/>
      <c r="ASR225" s="38"/>
      <c r="ASS225" s="38"/>
      <c r="AST225" s="39"/>
      <c r="ASU225" s="34"/>
      <c r="ASV225" s="34"/>
      <c r="ASW225" s="34"/>
      <c r="ASX225" s="35"/>
      <c r="ASY225" s="35"/>
      <c r="ASZ225" s="35"/>
      <c r="ATA225" s="35"/>
      <c r="ATB225" s="35"/>
      <c r="ATC225" s="34"/>
      <c r="ATD225" s="34"/>
      <c r="ATE225" s="36"/>
      <c r="ATF225" s="36"/>
      <c r="ATG225" s="37"/>
      <c r="ATH225" s="37"/>
      <c r="ATI225" s="38"/>
      <c r="ATJ225" s="38"/>
      <c r="ATK225" s="39"/>
      <c r="ATL225" s="34"/>
      <c r="ATM225" s="34"/>
      <c r="ATN225" s="34"/>
      <c r="ATO225" s="35"/>
      <c r="ATP225" s="35"/>
      <c r="ATQ225" s="35"/>
      <c r="ATR225" s="35"/>
      <c r="ATS225" s="35"/>
      <c r="ATT225" s="34"/>
      <c r="ATU225" s="34"/>
      <c r="ATV225" s="36"/>
      <c r="ATW225" s="36"/>
      <c r="ATX225" s="37"/>
      <c r="ATY225" s="37"/>
      <c r="ATZ225" s="38"/>
      <c r="AUA225" s="38"/>
      <c r="AUB225" s="39"/>
      <c r="AUC225" s="34"/>
      <c r="AUD225" s="34"/>
      <c r="AUE225" s="34"/>
      <c r="AUF225" s="35"/>
      <c r="AUG225" s="35"/>
      <c r="AUH225" s="35"/>
      <c r="AUI225" s="35"/>
      <c r="AUJ225" s="35"/>
      <c r="AUK225" s="34"/>
      <c r="AUL225" s="34"/>
      <c r="AUM225" s="36"/>
      <c r="AUN225" s="36"/>
      <c r="AUO225" s="37"/>
      <c r="AUP225" s="37"/>
      <c r="AUQ225" s="38"/>
      <c r="AUR225" s="38"/>
      <c r="AUS225" s="39"/>
      <c r="AUT225" s="34"/>
      <c r="AUU225" s="34"/>
      <c r="AUV225" s="34"/>
      <c r="AUW225" s="35"/>
      <c r="AUX225" s="35"/>
      <c r="AUY225" s="35"/>
      <c r="AUZ225" s="35"/>
      <c r="AVA225" s="35"/>
      <c r="AVB225" s="34"/>
      <c r="AVC225" s="34"/>
      <c r="AVD225" s="36"/>
      <c r="AVE225" s="36"/>
      <c r="AVF225" s="37"/>
      <c r="AVG225" s="37"/>
      <c r="AVH225" s="38"/>
      <c r="AVI225" s="38"/>
      <c r="AVJ225" s="39"/>
      <c r="AVK225" s="34"/>
      <c r="AVL225" s="34"/>
      <c r="AVM225" s="34"/>
      <c r="AVN225" s="35"/>
      <c r="AVO225" s="35"/>
      <c r="AVP225" s="35"/>
      <c r="AVQ225" s="35"/>
      <c r="AVR225" s="35"/>
      <c r="AVS225" s="34"/>
      <c r="AVT225" s="34"/>
      <c r="AVU225" s="36"/>
      <c r="AVV225" s="36"/>
      <c r="AVW225" s="37"/>
      <c r="AVX225" s="37"/>
      <c r="AVY225" s="38"/>
      <c r="AVZ225" s="38"/>
      <c r="AWA225" s="39"/>
      <c r="AWB225" s="34"/>
      <c r="AWC225" s="34"/>
      <c r="AWD225" s="34"/>
      <c r="AWE225" s="35"/>
      <c r="AWF225" s="35"/>
      <c r="AWG225" s="35"/>
      <c r="AWH225" s="35"/>
      <c r="AWI225" s="35"/>
      <c r="AWJ225" s="34"/>
      <c r="AWK225" s="34"/>
      <c r="AWL225" s="36"/>
      <c r="AWM225" s="36"/>
      <c r="AWN225" s="37"/>
      <c r="AWO225" s="37"/>
      <c r="AWP225" s="38"/>
      <c r="AWQ225" s="38"/>
      <c r="AWR225" s="39"/>
      <c r="AWS225" s="34"/>
      <c r="AWT225" s="34"/>
      <c r="AWU225" s="34"/>
      <c r="AWV225" s="35"/>
      <c r="AWW225" s="35"/>
      <c r="AWX225" s="35"/>
      <c r="AWY225" s="35"/>
      <c r="AWZ225" s="35"/>
      <c r="AXA225" s="34"/>
      <c r="AXB225" s="34"/>
      <c r="AXC225" s="36"/>
      <c r="AXD225" s="36"/>
      <c r="AXE225" s="37"/>
      <c r="AXF225" s="37"/>
      <c r="AXG225" s="38"/>
      <c r="AXH225" s="38"/>
      <c r="AXI225" s="39"/>
      <c r="AXJ225" s="34"/>
      <c r="AXK225" s="34"/>
      <c r="AXL225" s="34"/>
      <c r="AXM225" s="35"/>
      <c r="AXN225" s="35"/>
      <c r="AXO225" s="35"/>
      <c r="AXP225" s="35"/>
      <c r="AXQ225" s="35"/>
      <c r="AXR225" s="34"/>
      <c r="AXS225" s="34"/>
      <c r="AXT225" s="36"/>
      <c r="AXU225" s="36"/>
      <c r="AXV225" s="37"/>
      <c r="AXW225" s="37"/>
      <c r="AXX225" s="38"/>
      <c r="AXY225" s="38"/>
      <c r="AXZ225" s="39"/>
      <c r="AYA225" s="34"/>
      <c r="AYB225" s="34"/>
      <c r="AYC225" s="34"/>
      <c r="AYD225" s="35"/>
      <c r="AYE225" s="35"/>
      <c r="AYF225" s="35"/>
      <c r="AYG225" s="35"/>
      <c r="AYH225" s="35"/>
      <c r="AYI225" s="34"/>
      <c r="AYJ225" s="34"/>
      <c r="AYK225" s="36"/>
      <c r="AYL225" s="36"/>
      <c r="AYM225" s="37"/>
      <c r="AYN225" s="37"/>
      <c r="AYO225" s="38"/>
      <c r="AYP225" s="38"/>
      <c r="AYQ225" s="39"/>
      <c r="AYR225" s="34"/>
      <c r="AYS225" s="34"/>
      <c r="AYT225" s="34"/>
      <c r="AYU225" s="35"/>
      <c r="AYV225" s="35"/>
      <c r="AYW225" s="35"/>
      <c r="AYX225" s="35"/>
      <c r="AYY225" s="35"/>
      <c r="AYZ225" s="34"/>
      <c r="AZA225" s="34"/>
      <c r="AZB225" s="36"/>
      <c r="AZC225" s="36"/>
      <c r="AZD225" s="37"/>
      <c r="AZE225" s="37"/>
      <c r="AZF225" s="38"/>
      <c r="AZG225" s="38"/>
      <c r="AZH225" s="39"/>
      <c r="AZI225" s="34"/>
      <c r="AZJ225" s="34"/>
      <c r="AZK225" s="34"/>
      <c r="AZL225" s="35"/>
      <c r="AZM225" s="35"/>
      <c r="AZN225" s="35"/>
      <c r="AZO225" s="35"/>
      <c r="AZP225" s="35"/>
      <c r="AZQ225" s="34"/>
      <c r="AZR225" s="34"/>
      <c r="AZS225" s="36"/>
      <c r="AZT225" s="36"/>
      <c r="AZU225" s="37"/>
      <c r="AZV225" s="37"/>
      <c r="AZW225" s="38"/>
      <c r="AZX225" s="38"/>
      <c r="AZY225" s="39"/>
      <c r="AZZ225" s="34"/>
      <c r="BAA225" s="34"/>
      <c r="BAB225" s="34"/>
      <c r="BAC225" s="35"/>
      <c r="BAD225" s="35"/>
      <c r="BAE225" s="35"/>
      <c r="BAF225" s="35"/>
      <c r="BAG225" s="35"/>
      <c r="BAH225" s="34"/>
      <c r="BAI225" s="34"/>
      <c r="BAJ225" s="36"/>
      <c r="BAK225" s="36"/>
      <c r="BAL225" s="37"/>
      <c r="BAM225" s="37"/>
      <c r="BAN225" s="38"/>
      <c r="BAO225" s="38"/>
      <c r="BAP225" s="39"/>
      <c r="BAQ225" s="34"/>
      <c r="BAR225" s="34"/>
      <c r="BAS225" s="34"/>
      <c r="BAT225" s="35"/>
      <c r="BAU225" s="35"/>
      <c r="BAV225" s="35"/>
      <c r="BAW225" s="35"/>
      <c r="BAX225" s="35"/>
      <c r="BAY225" s="34"/>
      <c r="BAZ225" s="34"/>
      <c r="BBA225" s="36"/>
      <c r="BBB225" s="36"/>
      <c r="BBC225" s="37"/>
      <c r="BBD225" s="37"/>
      <c r="BBE225" s="38"/>
      <c r="BBF225" s="38"/>
      <c r="BBG225" s="39"/>
      <c r="BBH225" s="34"/>
      <c r="BBI225" s="34"/>
      <c r="BBJ225" s="34"/>
      <c r="BBK225" s="35"/>
      <c r="BBL225" s="35"/>
      <c r="BBM225" s="35"/>
      <c r="BBN225" s="35"/>
      <c r="BBO225" s="35"/>
      <c r="BBP225" s="34"/>
      <c r="BBQ225" s="34"/>
      <c r="BBR225" s="36"/>
      <c r="BBS225" s="36"/>
      <c r="BBT225" s="37"/>
      <c r="BBU225" s="37"/>
      <c r="BBV225" s="38"/>
      <c r="BBW225" s="38"/>
      <c r="BBX225" s="39"/>
      <c r="BBY225" s="34"/>
      <c r="BBZ225" s="34"/>
      <c r="BCA225" s="34"/>
      <c r="BCB225" s="35"/>
      <c r="BCC225" s="35"/>
      <c r="BCD225" s="35"/>
      <c r="BCE225" s="35"/>
      <c r="BCF225" s="35"/>
      <c r="BCG225" s="34"/>
      <c r="BCH225" s="34"/>
      <c r="BCI225" s="36"/>
      <c r="BCJ225" s="36"/>
      <c r="BCK225" s="37"/>
      <c r="BCL225" s="37"/>
      <c r="BCM225" s="38"/>
      <c r="BCN225" s="38"/>
      <c r="BCO225" s="39"/>
      <c r="BCP225" s="34"/>
      <c r="BCQ225" s="34"/>
      <c r="BCR225" s="34"/>
      <c r="BCS225" s="35"/>
      <c r="BCT225" s="35"/>
      <c r="BCU225" s="35"/>
      <c r="BCV225" s="35"/>
      <c r="BCW225" s="35"/>
      <c r="BCX225" s="34"/>
      <c r="BCY225" s="34"/>
      <c r="BCZ225" s="36"/>
      <c r="BDA225" s="36"/>
      <c r="BDB225" s="37"/>
      <c r="BDC225" s="37"/>
      <c r="BDD225" s="38"/>
      <c r="BDE225" s="38"/>
      <c r="BDF225" s="39"/>
      <c r="BDG225" s="34"/>
      <c r="BDH225" s="34"/>
      <c r="BDI225" s="34"/>
      <c r="BDJ225" s="35"/>
      <c r="BDK225" s="35"/>
      <c r="BDL225" s="35"/>
      <c r="BDM225" s="35"/>
      <c r="BDN225" s="35"/>
      <c r="BDO225" s="34"/>
      <c r="BDP225" s="34"/>
      <c r="BDQ225" s="36"/>
      <c r="BDR225" s="36"/>
      <c r="BDS225" s="37"/>
      <c r="BDT225" s="37"/>
      <c r="BDU225" s="38"/>
      <c r="BDV225" s="38"/>
      <c r="BDW225" s="39"/>
      <c r="BDX225" s="34"/>
      <c r="BDY225" s="34"/>
      <c r="BDZ225" s="34"/>
      <c r="BEA225" s="35"/>
      <c r="BEB225" s="35"/>
      <c r="BEC225" s="35"/>
      <c r="BED225" s="35"/>
      <c r="BEE225" s="35"/>
      <c r="BEF225" s="34"/>
      <c r="BEG225" s="34"/>
      <c r="BEH225" s="36"/>
      <c r="BEI225" s="36"/>
      <c r="BEJ225" s="37"/>
      <c r="BEK225" s="37"/>
      <c r="BEL225" s="38"/>
      <c r="BEM225" s="38"/>
      <c r="BEN225" s="39"/>
      <c r="BEO225" s="34"/>
      <c r="BEP225" s="34"/>
      <c r="BEQ225" s="34"/>
      <c r="BER225" s="35"/>
      <c r="BES225" s="35"/>
      <c r="BET225" s="35"/>
      <c r="BEU225" s="35"/>
      <c r="BEV225" s="35"/>
      <c r="BEW225" s="34"/>
      <c r="BEX225" s="34"/>
      <c r="BEY225" s="36"/>
      <c r="BEZ225" s="36"/>
      <c r="BFA225" s="37"/>
      <c r="BFB225" s="37"/>
      <c r="BFC225" s="38"/>
      <c r="BFD225" s="38"/>
      <c r="BFE225" s="39"/>
      <c r="BFF225" s="34"/>
      <c r="BFG225" s="34"/>
      <c r="BFH225" s="34"/>
      <c r="BFI225" s="35"/>
      <c r="BFJ225" s="35"/>
      <c r="BFK225" s="35"/>
      <c r="BFL225" s="35"/>
      <c r="BFM225" s="35"/>
      <c r="BFN225" s="34"/>
      <c r="BFO225" s="34"/>
      <c r="BFP225" s="36"/>
      <c r="BFQ225" s="36"/>
      <c r="BFR225" s="37"/>
      <c r="BFS225" s="37"/>
      <c r="BFT225" s="38"/>
      <c r="BFU225" s="38"/>
      <c r="BFV225" s="39"/>
      <c r="BFW225" s="34"/>
      <c r="BFX225" s="34"/>
      <c r="BFY225" s="34"/>
      <c r="BFZ225" s="35"/>
      <c r="BGA225" s="35"/>
      <c r="BGB225" s="35"/>
      <c r="BGC225" s="35"/>
      <c r="BGD225" s="35"/>
      <c r="BGE225" s="34"/>
      <c r="BGF225" s="34"/>
      <c r="BGG225" s="36"/>
      <c r="BGH225" s="36"/>
      <c r="BGI225" s="37"/>
      <c r="BGJ225" s="37"/>
      <c r="BGK225" s="38"/>
      <c r="BGL225" s="38"/>
      <c r="BGM225" s="39"/>
      <c r="BGN225" s="34"/>
      <c r="BGO225" s="34"/>
      <c r="BGP225" s="34"/>
      <c r="BGQ225" s="35"/>
      <c r="BGR225" s="35"/>
      <c r="BGS225" s="35"/>
      <c r="BGT225" s="35"/>
      <c r="BGU225" s="35"/>
      <c r="BGV225" s="34"/>
      <c r="BGW225" s="34"/>
      <c r="BGX225" s="36"/>
      <c r="BGY225" s="36"/>
      <c r="BGZ225" s="37"/>
      <c r="BHA225" s="37"/>
      <c r="BHB225" s="38"/>
      <c r="BHC225" s="38"/>
      <c r="BHD225" s="39"/>
      <c r="BHE225" s="34"/>
      <c r="BHF225" s="34"/>
      <c r="BHG225" s="34"/>
      <c r="BHH225" s="35"/>
      <c r="BHI225" s="35"/>
      <c r="BHJ225" s="35"/>
      <c r="BHK225" s="35"/>
      <c r="BHL225" s="35"/>
      <c r="BHM225" s="34"/>
      <c r="BHN225" s="34"/>
      <c r="BHO225" s="36"/>
      <c r="BHP225" s="36"/>
      <c r="BHQ225" s="37"/>
      <c r="BHR225" s="37"/>
      <c r="BHS225" s="38"/>
      <c r="BHT225" s="38"/>
      <c r="BHU225" s="39"/>
      <c r="BHV225" s="34"/>
      <c r="BHW225" s="34"/>
      <c r="BHX225" s="34"/>
      <c r="BHY225" s="35"/>
      <c r="BHZ225" s="35"/>
      <c r="BIA225" s="35"/>
      <c r="BIB225" s="35"/>
      <c r="BIC225" s="35"/>
      <c r="BID225" s="34"/>
      <c r="BIE225" s="34"/>
      <c r="BIF225" s="36"/>
      <c r="BIG225" s="36"/>
      <c r="BIH225" s="37"/>
      <c r="BII225" s="37"/>
      <c r="BIJ225" s="38"/>
      <c r="BIK225" s="38"/>
      <c r="BIL225" s="39"/>
      <c r="BIM225" s="34"/>
      <c r="BIN225" s="34"/>
      <c r="BIO225" s="34"/>
      <c r="BIP225" s="35"/>
      <c r="BIQ225" s="35"/>
      <c r="BIR225" s="35"/>
      <c r="BIS225" s="35"/>
      <c r="BIT225" s="35"/>
      <c r="BIU225" s="34"/>
      <c r="BIV225" s="34"/>
      <c r="BIW225" s="36"/>
      <c r="BIX225" s="36"/>
      <c r="BIY225" s="37"/>
      <c r="BIZ225" s="37"/>
      <c r="BJA225" s="38"/>
      <c r="BJB225" s="38"/>
      <c r="BJC225" s="39"/>
      <c r="BJD225" s="34"/>
      <c r="BJE225" s="34"/>
      <c r="BJF225" s="34"/>
      <c r="BJG225" s="35"/>
      <c r="BJH225" s="35"/>
      <c r="BJI225" s="35"/>
      <c r="BJJ225" s="35"/>
      <c r="BJK225" s="35"/>
      <c r="BJL225" s="34"/>
      <c r="BJM225" s="34"/>
      <c r="BJN225" s="36"/>
      <c r="BJO225" s="36"/>
      <c r="BJP225" s="37"/>
      <c r="BJQ225" s="37"/>
      <c r="BJR225" s="38"/>
      <c r="BJS225" s="38"/>
      <c r="BJT225" s="39"/>
      <c r="BJU225" s="34"/>
      <c r="BJV225" s="34"/>
      <c r="BJW225" s="34"/>
      <c r="BJX225" s="35"/>
      <c r="BJY225" s="35"/>
      <c r="BJZ225" s="35"/>
      <c r="BKA225" s="35"/>
      <c r="BKB225" s="35"/>
      <c r="BKC225" s="34"/>
      <c r="BKD225" s="34"/>
      <c r="BKE225" s="36"/>
      <c r="BKF225" s="36"/>
      <c r="BKG225" s="37"/>
      <c r="BKH225" s="37"/>
      <c r="BKI225" s="38"/>
      <c r="BKJ225" s="38"/>
      <c r="BKK225" s="39"/>
      <c r="BKL225" s="34"/>
      <c r="BKM225" s="34"/>
      <c r="BKN225" s="34"/>
      <c r="BKO225" s="35"/>
      <c r="BKP225" s="35"/>
      <c r="BKQ225" s="35"/>
      <c r="BKR225" s="35"/>
      <c r="BKS225" s="35"/>
      <c r="BKT225" s="34"/>
      <c r="BKU225" s="34"/>
      <c r="BKV225" s="36"/>
      <c r="BKW225" s="36"/>
      <c r="BKX225" s="37"/>
      <c r="BKY225" s="37"/>
      <c r="BKZ225" s="38"/>
      <c r="BLA225" s="38"/>
      <c r="BLB225" s="39"/>
      <c r="BLC225" s="34"/>
      <c r="BLD225" s="34"/>
      <c r="BLE225" s="34"/>
      <c r="BLF225" s="35"/>
      <c r="BLG225" s="35"/>
      <c r="BLH225" s="35"/>
      <c r="BLI225" s="35"/>
      <c r="BLJ225" s="35"/>
      <c r="BLK225" s="34"/>
      <c r="BLL225" s="34"/>
      <c r="BLM225" s="36"/>
      <c r="BLN225" s="36"/>
      <c r="BLO225" s="37"/>
      <c r="BLP225" s="37"/>
      <c r="BLQ225" s="38"/>
      <c r="BLR225" s="38"/>
      <c r="BLS225" s="39"/>
      <c r="BLT225" s="34"/>
      <c r="BLU225" s="34"/>
      <c r="BLV225" s="34"/>
      <c r="BLW225" s="35"/>
      <c r="BLX225" s="35"/>
      <c r="BLY225" s="35"/>
      <c r="BLZ225" s="35"/>
      <c r="BMA225" s="35"/>
      <c r="BMB225" s="34"/>
      <c r="BMC225" s="34"/>
      <c r="BMD225" s="36"/>
      <c r="BME225" s="36"/>
      <c r="BMF225" s="37"/>
      <c r="BMG225" s="37"/>
      <c r="BMH225" s="38"/>
      <c r="BMI225" s="38"/>
      <c r="BMJ225" s="39"/>
      <c r="BMK225" s="34"/>
      <c r="BML225" s="34"/>
      <c r="BMM225" s="34"/>
      <c r="BMN225" s="35"/>
      <c r="BMO225" s="35"/>
      <c r="BMP225" s="35"/>
      <c r="BMQ225" s="35"/>
      <c r="BMR225" s="35"/>
      <c r="BMS225" s="34"/>
      <c r="BMT225" s="34"/>
      <c r="BMU225" s="36"/>
      <c r="BMV225" s="36"/>
      <c r="BMW225" s="37"/>
      <c r="BMX225" s="37"/>
      <c r="BMY225" s="38"/>
      <c r="BMZ225" s="38"/>
      <c r="BNA225" s="39"/>
      <c r="BNB225" s="34"/>
      <c r="BNC225" s="34"/>
      <c r="BND225" s="34"/>
      <c r="BNE225" s="35"/>
      <c r="BNF225" s="35"/>
      <c r="BNG225" s="35"/>
      <c r="BNH225" s="35"/>
      <c r="BNI225" s="35"/>
      <c r="BNJ225" s="34"/>
      <c r="BNK225" s="34"/>
      <c r="BNL225" s="36"/>
      <c r="BNM225" s="36"/>
      <c r="BNN225" s="37"/>
      <c r="BNO225" s="37"/>
      <c r="BNP225" s="38"/>
      <c r="BNQ225" s="38"/>
      <c r="BNR225" s="39"/>
      <c r="BNS225" s="34"/>
      <c r="BNT225" s="34"/>
      <c r="BNU225" s="34"/>
      <c r="BNV225" s="35"/>
      <c r="BNW225" s="35"/>
      <c r="BNX225" s="35"/>
      <c r="BNY225" s="35"/>
      <c r="BNZ225" s="35"/>
      <c r="BOA225" s="34"/>
      <c r="BOB225" s="34"/>
      <c r="BOC225" s="36"/>
      <c r="BOD225" s="36"/>
      <c r="BOE225" s="37"/>
      <c r="BOF225" s="37"/>
      <c r="BOG225" s="38"/>
      <c r="BOH225" s="38"/>
      <c r="BOI225" s="39"/>
      <c r="BOJ225" s="34"/>
      <c r="BOK225" s="34"/>
      <c r="BOL225" s="34"/>
      <c r="BOM225" s="35"/>
      <c r="BON225" s="35"/>
      <c r="BOO225" s="35"/>
      <c r="BOP225" s="35"/>
      <c r="BOQ225" s="35"/>
      <c r="BOR225" s="34"/>
      <c r="BOS225" s="34"/>
      <c r="BOT225" s="36"/>
      <c r="BOU225" s="36"/>
      <c r="BOV225" s="37"/>
      <c r="BOW225" s="37"/>
      <c r="BOX225" s="38"/>
      <c r="BOY225" s="38"/>
      <c r="BOZ225" s="39"/>
      <c r="BPA225" s="34"/>
      <c r="BPB225" s="34"/>
      <c r="BPC225" s="34"/>
      <c r="BPD225" s="35"/>
      <c r="BPE225" s="35"/>
      <c r="BPF225" s="35"/>
      <c r="BPG225" s="35"/>
      <c r="BPH225" s="35"/>
      <c r="BPI225" s="34"/>
      <c r="BPJ225" s="34"/>
      <c r="BPK225" s="36"/>
      <c r="BPL225" s="36"/>
      <c r="BPM225" s="37"/>
      <c r="BPN225" s="37"/>
      <c r="BPO225" s="38"/>
      <c r="BPP225" s="38"/>
      <c r="BPQ225" s="39"/>
      <c r="BPR225" s="34"/>
      <c r="BPS225" s="34"/>
      <c r="BPT225" s="34"/>
      <c r="BPU225" s="35"/>
      <c r="BPV225" s="35"/>
      <c r="BPW225" s="35"/>
      <c r="BPX225" s="35"/>
      <c r="BPY225" s="35"/>
      <c r="BPZ225" s="34"/>
      <c r="BQA225" s="34"/>
      <c r="BQB225" s="36"/>
      <c r="BQC225" s="36"/>
      <c r="BQD225" s="37"/>
      <c r="BQE225" s="37"/>
      <c r="BQF225" s="38"/>
      <c r="BQG225" s="38"/>
      <c r="BQH225" s="39"/>
      <c r="BQI225" s="34"/>
      <c r="BQJ225" s="34"/>
      <c r="BQK225" s="34"/>
      <c r="BQL225" s="35"/>
      <c r="BQM225" s="35"/>
      <c r="BQN225" s="35"/>
      <c r="BQO225" s="35"/>
      <c r="BQP225" s="35"/>
      <c r="BQQ225" s="34"/>
      <c r="BQR225" s="34"/>
      <c r="BQS225" s="36"/>
      <c r="BQT225" s="36"/>
      <c r="BQU225" s="37"/>
      <c r="BQV225" s="37"/>
      <c r="BQW225" s="38"/>
      <c r="BQX225" s="38"/>
      <c r="BQY225" s="39"/>
      <c r="BQZ225" s="34"/>
      <c r="BRA225" s="34"/>
      <c r="BRB225" s="34"/>
      <c r="BRC225" s="35"/>
      <c r="BRD225" s="35"/>
      <c r="BRE225" s="35"/>
      <c r="BRF225" s="35"/>
      <c r="BRG225" s="35"/>
      <c r="BRH225" s="34"/>
      <c r="BRI225" s="34"/>
      <c r="BRJ225" s="36"/>
      <c r="BRK225" s="36"/>
      <c r="BRL225" s="37"/>
      <c r="BRM225" s="37"/>
      <c r="BRN225" s="38"/>
      <c r="BRO225" s="38"/>
      <c r="BRP225" s="39"/>
      <c r="BRQ225" s="34"/>
      <c r="BRR225" s="34"/>
      <c r="BRS225" s="34"/>
      <c r="BRT225" s="35"/>
      <c r="BRU225" s="35"/>
      <c r="BRV225" s="35"/>
      <c r="BRW225" s="35"/>
      <c r="BRX225" s="35"/>
      <c r="BRY225" s="34"/>
      <c r="BRZ225" s="34"/>
      <c r="BSA225" s="36"/>
      <c r="BSB225" s="36"/>
      <c r="BSC225" s="37"/>
      <c r="BSD225" s="37"/>
      <c r="BSE225" s="38"/>
      <c r="BSF225" s="38"/>
      <c r="BSG225" s="39"/>
      <c r="BSH225" s="34"/>
      <c r="BSI225" s="34"/>
      <c r="BSJ225" s="34"/>
      <c r="BSK225" s="35"/>
      <c r="BSL225" s="35"/>
      <c r="BSM225" s="35"/>
      <c r="BSN225" s="35"/>
      <c r="BSO225" s="35"/>
      <c r="BSP225" s="34"/>
      <c r="BSQ225" s="34"/>
      <c r="BSR225" s="36"/>
      <c r="BSS225" s="36"/>
      <c r="BST225" s="37"/>
      <c r="BSU225" s="37"/>
      <c r="BSV225" s="38"/>
      <c r="BSW225" s="38"/>
      <c r="BSX225" s="39"/>
      <c r="BSY225" s="34"/>
      <c r="BSZ225" s="34"/>
      <c r="BTA225" s="34"/>
      <c r="BTB225" s="35"/>
      <c r="BTC225" s="35"/>
      <c r="BTD225" s="35"/>
      <c r="BTE225" s="35"/>
      <c r="BTF225" s="35"/>
      <c r="BTG225" s="34"/>
      <c r="BTH225" s="34"/>
      <c r="BTI225" s="36"/>
      <c r="BTJ225" s="36"/>
      <c r="BTK225" s="37"/>
      <c r="BTL225" s="37"/>
      <c r="BTM225" s="38"/>
      <c r="BTN225" s="38"/>
      <c r="BTO225" s="39"/>
      <c r="BTP225" s="34"/>
      <c r="BTQ225" s="34"/>
      <c r="BTR225" s="34"/>
      <c r="BTS225" s="35"/>
      <c r="BTT225" s="35"/>
      <c r="BTU225" s="35"/>
      <c r="BTV225" s="35"/>
      <c r="BTW225" s="35"/>
      <c r="BTX225" s="34"/>
      <c r="BTY225" s="34"/>
      <c r="BTZ225" s="36"/>
      <c r="BUA225" s="36"/>
      <c r="BUB225" s="37"/>
      <c r="BUC225" s="37"/>
      <c r="BUD225" s="38"/>
      <c r="BUE225" s="38"/>
      <c r="BUF225" s="39"/>
      <c r="BUG225" s="34"/>
      <c r="BUH225" s="34"/>
      <c r="BUI225" s="34"/>
      <c r="BUJ225" s="35"/>
      <c r="BUK225" s="35"/>
      <c r="BUL225" s="35"/>
      <c r="BUM225" s="35"/>
      <c r="BUN225" s="35"/>
      <c r="BUO225" s="34"/>
      <c r="BUP225" s="34"/>
      <c r="BUQ225" s="36"/>
      <c r="BUR225" s="36"/>
      <c r="BUS225" s="37"/>
      <c r="BUT225" s="37"/>
      <c r="BUU225" s="38"/>
      <c r="BUV225" s="38"/>
      <c r="BUW225" s="39"/>
      <c r="BUX225" s="34"/>
      <c r="BUY225" s="34"/>
      <c r="BUZ225" s="34"/>
      <c r="BVA225" s="35"/>
      <c r="BVB225" s="35"/>
      <c r="BVC225" s="35"/>
      <c r="BVD225" s="35"/>
      <c r="BVE225" s="35"/>
      <c r="BVF225" s="34"/>
      <c r="BVG225" s="34"/>
      <c r="BVH225" s="36"/>
      <c r="BVI225" s="36"/>
      <c r="BVJ225" s="37"/>
      <c r="BVK225" s="37"/>
      <c r="BVL225" s="38"/>
      <c r="BVM225" s="38"/>
      <c r="BVN225" s="39"/>
      <c r="BVO225" s="34"/>
      <c r="BVP225" s="34"/>
      <c r="BVQ225" s="34"/>
      <c r="BVR225" s="35"/>
      <c r="BVS225" s="35"/>
      <c r="BVT225" s="35"/>
      <c r="BVU225" s="35"/>
      <c r="BVV225" s="35"/>
      <c r="BVW225" s="34"/>
      <c r="BVX225" s="34"/>
      <c r="BVY225" s="36"/>
      <c r="BVZ225" s="36"/>
      <c r="BWA225" s="37"/>
      <c r="BWB225" s="37"/>
      <c r="BWC225" s="38"/>
      <c r="BWD225" s="38"/>
      <c r="BWE225" s="39"/>
      <c r="BWF225" s="34"/>
      <c r="BWG225" s="34"/>
      <c r="BWH225" s="34"/>
      <c r="BWI225" s="35"/>
      <c r="BWJ225" s="35"/>
      <c r="BWK225" s="35"/>
      <c r="BWL225" s="35"/>
      <c r="BWM225" s="35"/>
      <c r="BWN225" s="34"/>
      <c r="BWO225" s="34"/>
      <c r="BWP225" s="36"/>
      <c r="BWQ225" s="36"/>
      <c r="BWR225" s="37"/>
      <c r="BWS225" s="37"/>
      <c r="BWT225" s="38"/>
      <c r="BWU225" s="38"/>
      <c r="BWV225" s="39"/>
      <c r="BWW225" s="34"/>
      <c r="BWX225" s="34"/>
      <c r="BWY225" s="34"/>
      <c r="BWZ225" s="35"/>
      <c r="BXA225" s="35"/>
      <c r="BXB225" s="35"/>
      <c r="BXC225" s="35"/>
      <c r="BXD225" s="35"/>
      <c r="BXE225" s="34"/>
      <c r="BXF225" s="34"/>
      <c r="BXG225" s="36"/>
      <c r="BXH225" s="36"/>
      <c r="BXI225" s="37"/>
      <c r="BXJ225" s="37"/>
      <c r="BXK225" s="38"/>
      <c r="BXL225" s="38"/>
      <c r="BXM225" s="39"/>
      <c r="BXN225" s="34"/>
      <c r="BXO225" s="34"/>
      <c r="BXP225" s="34"/>
      <c r="BXQ225" s="35"/>
      <c r="BXR225" s="35"/>
      <c r="BXS225" s="35"/>
      <c r="BXT225" s="35"/>
      <c r="BXU225" s="35"/>
      <c r="BXV225" s="34"/>
      <c r="BXW225" s="34"/>
      <c r="BXX225" s="36"/>
      <c r="BXY225" s="36"/>
      <c r="BXZ225" s="37"/>
      <c r="BYA225" s="37"/>
      <c r="BYB225" s="38"/>
      <c r="BYC225" s="38"/>
      <c r="BYD225" s="39"/>
      <c r="BYE225" s="34"/>
      <c r="BYF225" s="34"/>
      <c r="BYG225" s="34"/>
      <c r="BYH225" s="35"/>
      <c r="BYI225" s="35"/>
      <c r="BYJ225" s="35"/>
      <c r="BYK225" s="35"/>
      <c r="BYL225" s="35"/>
      <c r="BYM225" s="34"/>
      <c r="BYN225" s="34"/>
      <c r="BYO225" s="36"/>
      <c r="BYP225" s="36"/>
      <c r="BYQ225" s="37"/>
      <c r="BYR225" s="37"/>
      <c r="BYS225" s="38"/>
      <c r="BYT225" s="38"/>
      <c r="BYU225" s="39"/>
      <c r="BYV225" s="34"/>
      <c r="BYW225" s="34"/>
      <c r="BYX225" s="34"/>
      <c r="BYY225" s="35"/>
      <c r="BYZ225" s="35"/>
      <c r="BZA225" s="35"/>
      <c r="BZB225" s="35"/>
      <c r="BZC225" s="35"/>
      <c r="BZD225" s="34"/>
      <c r="BZE225" s="34"/>
      <c r="BZF225" s="36"/>
      <c r="BZG225" s="36"/>
      <c r="BZH225" s="37"/>
      <c r="BZI225" s="37"/>
      <c r="BZJ225" s="38"/>
      <c r="BZK225" s="38"/>
      <c r="BZL225" s="39"/>
      <c r="BZM225" s="34"/>
      <c r="BZN225" s="34"/>
      <c r="BZO225" s="34"/>
      <c r="BZP225" s="35"/>
      <c r="BZQ225" s="35"/>
      <c r="BZR225" s="35"/>
      <c r="BZS225" s="35"/>
      <c r="BZT225" s="35"/>
      <c r="BZU225" s="34"/>
      <c r="BZV225" s="34"/>
      <c r="BZW225" s="36"/>
      <c r="BZX225" s="36"/>
      <c r="BZY225" s="37"/>
      <c r="BZZ225" s="37"/>
      <c r="CAA225" s="38"/>
      <c r="CAB225" s="38"/>
      <c r="CAC225" s="39"/>
      <c r="CAD225" s="34"/>
      <c r="CAE225" s="34"/>
      <c r="CAF225" s="34"/>
      <c r="CAG225" s="35"/>
      <c r="CAH225" s="35"/>
      <c r="CAI225" s="35"/>
      <c r="CAJ225" s="35"/>
      <c r="CAK225" s="35"/>
      <c r="CAL225" s="34"/>
      <c r="CAM225" s="34"/>
      <c r="CAN225" s="36"/>
      <c r="CAO225" s="36"/>
      <c r="CAP225" s="37"/>
      <c r="CAQ225" s="37"/>
      <c r="CAR225" s="38"/>
      <c r="CAS225" s="38"/>
      <c r="CAT225" s="39"/>
      <c r="CAU225" s="34"/>
      <c r="CAV225" s="34"/>
      <c r="CAW225" s="34"/>
      <c r="CAX225" s="35"/>
      <c r="CAY225" s="35"/>
      <c r="CAZ225" s="35"/>
      <c r="CBA225" s="35"/>
      <c r="CBB225" s="35"/>
      <c r="CBC225" s="34"/>
      <c r="CBD225" s="34"/>
      <c r="CBE225" s="36"/>
      <c r="CBF225" s="36"/>
      <c r="CBG225" s="37"/>
      <c r="CBH225" s="37"/>
      <c r="CBI225" s="38"/>
      <c r="CBJ225" s="38"/>
      <c r="CBK225" s="39"/>
      <c r="CBL225" s="34"/>
      <c r="CBM225" s="34"/>
      <c r="CBN225" s="34"/>
      <c r="CBO225" s="35"/>
      <c r="CBP225" s="35"/>
      <c r="CBQ225" s="35"/>
      <c r="CBR225" s="35"/>
      <c r="CBS225" s="35"/>
      <c r="CBT225" s="34"/>
      <c r="CBU225" s="34"/>
      <c r="CBV225" s="36"/>
      <c r="CBW225" s="36"/>
      <c r="CBX225" s="37"/>
      <c r="CBY225" s="37"/>
      <c r="CBZ225" s="38"/>
      <c r="CCA225" s="38"/>
      <c r="CCB225" s="39"/>
      <c r="CCC225" s="34"/>
      <c r="CCD225" s="34"/>
      <c r="CCE225" s="34"/>
      <c r="CCF225" s="35"/>
      <c r="CCG225" s="35"/>
      <c r="CCH225" s="35"/>
      <c r="CCI225" s="35"/>
      <c r="CCJ225" s="35"/>
      <c r="CCK225" s="34"/>
      <c r="CCL225" s="34"/>
      <c r="CCM225" s="36"/>
      <c r="CCN225" s="36"/>
      <c r="CCO225" s="37"/>
      <c r="CCP225" s="37"/>
      <c r="CCQ225" s="38"/>
      <c r="CCR225" s="38"/>
      <c r="CCS225" s="39"/>
      <c r="CCT225" s="34"/>
      <c r="CCU225" s="34"/>
      <c r="CCV225" s="34"/>
      <c r="CCW225" s="35"/>
      <c r="CCX225" s="35"/>
      <c r="CCY225" s="35"/>
      <c r="CCZ225" s="35"/>
      <c r="CDA225" s="35"/>
      <c r="CDB225" s="34"/>
      <c r="CDC225" s="34"/>
      <c r="CDD225" s="36"/>
      <c r="CDE225" s="36"/>
      <c r="CDF225" s="37"/>
      <c r="CDG225" s="37"/>
      <c r="CDH225" s="38"/>
      <c r="CDI225" s="38"/>
      <c r="CDJ225" s="39"/>
      <c r="CDK225" s="34"/>
      <c r="CDL225" s="34"/>
      <c r="CDM225" s="34"/>
      <c r="CDN225" s="35"/>
      <c r="CDO225" s="35"/>
      <c r="CDP225" s="35"/>
      <c r="CDQ225" s="35"/>
      <c r="CDR225" s="35"/>
      <c r="CDS225" s="34"/>
      <c r="CDT225" s="34"/>
      <c r="CDU225" s="36"/>
      <c r="CDV225" s="36"/>
      <c r="CDW225" s="37"/>
      <c r="CDX225" s="37"/>
      <c r="CDY225" s="38"/>
      <c r="CDZ225" s="38"/>
      <c r="CEA225" s="39"/>
      <c r="CEB225" s="34"/>
      <c r="CEC225" s="34"/>
      <c r="CED225" s="34"/>
      <c r="CEE225" s="35"/>
      <c r="CEF225" s="35"/>
      <c r="CEG225" s="35"/>
      <c r="CEH225" s="35"/>
      <c r="CEI225" s="35"/>
      <c r="CEJ225" s="34"/>
      <c r="CEK225" s="34"/>
      <c r="CEL225" s="36"/>
      <c r="CEM225" s="36"/>
      <c r="CEN225" s="37"/>
      <c r="CEO225" s="37"/>
      <c r="CEP225" s="38"/>
      <c r="CEQ225" s="38"/>
      <c r="CER225" s="39"/>
      <c r="CES225" s="34"/>
      <c r="CET225" s="34"/>
      <c r="CEU225" s="34"/>
      <c r="CEV225" s="35"/>
      <c r="CEW225" s="35"/>
      <c r="CEX225" s="35"/>
      <c r="CEY225" s="35"/>
      <c r="CEZ225" s="35"/>
      <c r="CFA225" s="34"/>
      <c r="CFB225" s="34"/>
      <c r="CFC225" s="36"/>
      <c r="CFD225" s="36"/>
      <c r="CFE225" s="37"/>
      <c r="CFF225" s="37"/>
      <c r="CFG225" s="38"/>
      <c r="CFH225" s="38"/>
      <c r="CFI225" s="39"/>
      <c r="CFJ225" s="34"/>
      <c r="CFK225" s="34"/>
      <c r="CFL225" s="34"/>
      <c r="CFM225" s="35"/>
      <c r="CFN225" s="35"/>
      <c r="CFO225" s="35"/>
      <c r="CFP225" s="35"/>
      <c r="CFQ225" s="35"/>
      <c r="CFR225" s="34"/>
      <c r="CFS225" s="34"/>
      <c r="CFT225" s="36"/>
      <c r="CFU225" s="36"/>
      <c r="CFV225" s="37"/>
      <c r="CFW225" s="37"/>
      <c r="CFX225" s="38"/>
      <c r="CFY225" s="38"/>
      <c r="CFZ225" s="39"/>
      <c r="CGA225" s="34"/>
      <c r="CGB225" s="34"/>
      <c r="CGC225" s="34"/>
      <c r="CGD225" s="35"/>
      <c r="CGE225" s="35"/>
      <c r="CGF225" s="35"/>
      <c r="CGG225" s="35"/>
      <c r="CGH225" s="35"/>
      <c r="CGI225" s="34"/>
      <c r="CGJ225" s="34"/>
      <c r="CGK225" s="36"/>
      <c r="CGL225" s="36"/>
      <c r="CGM225" s="37"/>
      <c r="CGN225" s="37"/>
      <c r="CGO225" s="38"/>
      <c r="CGP225" s="38"/>
      <c r="CGQ225" s="39"/>
      <c r="CGR225" s="34"/>
      <c r="CGS225" s="34"/>
      <c r="CGT225" s="34"/>
      <c r="CGU225" s="35"/>
      <c r="CGV225" s="35"/>
      <c r="CGW225" s="35"/>
      <c r="CGX225" s="35"/>
      <c r="CGY225" s="35"/>
      <c r="CGZ225" s="34"/>
      <c r="CHA225" s="34"/>
      <c r="CHB225" s="36"/>
      <c r="CHC225" s="36"/>
      <c r="CHD225" s="37"/>
      <c r="CHE225" s="37"/>
      <c r="CHF225" s="38"/>
      <c r="CHG225" s="38"/>
      <c r="CHH225" s="39"/>
      <c r="CHI225" s="34"/>
      <c r="CHJ225" s="34"/>
      <c r="CHK225" s="34"/>
      <c r="CHL225" s="35"/>
      <c r="CHM225" s="35"/>
      <c r="CHN225" s="35"/>
      <c r="CHO225" s="35"/>
      <c r="CHP225" s="35"/>
      <c r="CHQ225" s="34"/>
      <c r="CHR225" s="34"/>
      <c r="CHS225" s="36"/>
      <c r="CHT225" s="36"/>
      <c r="CHU225" s="37"/>
      <c r="CHV225" s="37"/>
      <c r="CHW225" s="38"/>
      <c r="CHX225" s="38"/>
      <c r="CHY225" s="39"/>
      <c r="CHZ225" s="34"/>
      <c r="CIA225" s="34"/>
      <c r="CIB225" s="34"/>
      <c r="CIC225" s="35"/>
      <c r="CID225" s="35"/>
      <c r="CIE225" s="35"/>
      <c r="CIF225" s="35"/>
      <c r="CIG225" s="35"/>
      <c r="CIH225" s="34"/>
      <c r="CII225" s="34"/>
      <c r="CIJ225" s="36"/>
      <c r="CIK225" s="36"/>
      <c r="CIL225" s="37"/>
      <c r="CIM225" s="37"/>
      <c r="CIN225" s="38"/>
      <c r="CIO225" s="38"/>
      <c r="CIP225" s="39"/>
      <c r="CIQ225" s="34"/>
      <c r="CIR225" s="34"/>
      <c r="CIS225" s="34"/>
      <c r="CIT225" s="35"/>
      <c r="CIU225" s="35"/>
      <c r="CIV225" s="35"/>
      <c r="CIW225" s="35"/>
      <c r="CIX225" s="35"/>
      <c r="CIY225" s="34"/>
      <c r="CIZ225" s="34"/>
      <c r="CJA225" s="36"/>
      <c r="CJB225" s="36"/>
      <c r="CJC225" s="37"/>
      <c r="CJD225" s="37"/>
      <c r="CJE225" s="38"/>
      <c r="CJF225" s="38"/>
      <c r="CJG225" s="39"/>
      <c r="CJH225" s="34"/>
      <c r="CJI225" s="34"/>
      <c r="CJJ225" s="34"/>
      <c r="CJK225" s="35"/>
      <c r="CJL225" s="35"/>
      <c r="CJM225" s="35"/>
      <c r="CJN225" s="35"/>
      <c r="CJO225" s="35"/>
      <c r="CJP225" s="34"/>
      <c r="CJQ225" s="34"/>
      <c r="CJR225" s="36"/>
      <c r="CJS225" s="36"/>
      <c r="CJT225" s="37"/>
      <c r="CJU225" s="37"/>
      <c r="CJV225" s="38"/>
      <c r="CJW225" s="38"/>
      <c r="CJX225" s="39"/>
      <c r="CJY225" s="34"/>
      <c r="CJZ225" s="34"/>
      <c r="CKA225" s="34"/>
      <c r="CKB225" s="35"/>
      <c r="CKC225" s="35"/>
      <c r="CKD225" s="35"/>
      <c r="CKE225" s="35"/>
      <c r="CKF225" s="35"/>
      <c r="CKG225" s="34"/>
      <c r="CKH225" s="34"/>
      <c r="CKI225" s="36"/>
      <c r="CKJ225" s="36"/>
      <c r="CKK225" s="37"/>
      <c r="CKL225" s="37"/>
      <c r="CKM225" s="38"/>
      <c r="CKN225" s="38"/>
      <c r="CKO225" s="39"/>
      <c r="CKP225" s="34"/>
      <c r="CKQ225" s="34"/>
      <c r="CKR225" s="34"/>
      <c r="CKS225" s="35"/>
      <c r="CKT225" s="35"/>
      <c r="CKU225" s="35"/>
      <c r="CKV225" s="35"/>
      <c r="CKW225" s="35"/>
      <c r="CKX225" s="34"/>
      <c r="CKY225" s="34"/>
      <c r="CKZ225" s="36"/>
      <c r="CLA225" s="36"/>
      <c r="CLB225" s="37"/>
      <c r="CLC225" s="37"/>
      <c r="CLD225" s="38"/>
      <c r="CLE225" s="38"/>
      <c r="CLF225" s="39"/>
      <c r="CLG225" s="34"/>
      <c r="CLH225" s="34"/>
      <c r="CLI225" s="34"/>
      <c r="CLJ225" s="35"/>
      <c r="CLK225" s="35"/>
      <c r="CLL225" s="35"/>
      <c r="CLM225" s="35"/>
      <c r="CLN225" s="35"/>
      <c r="CLO225" s="34"/>
      <c r="CLP225" s="34"/>
      <c r="CLQ225" s="36"/>
      <c r="CLR225" s="36"/>
      <c r="CLS225" s="37"/>
      <c r="CLT225" s="37"/>
      <c r="CLU225" s="38"/>
      <c r="CLV225" s="38"/>
      <c r="CLW225" s="39"/>
      <c r="CLX225" s="34"/>
      <c r="CLY225" s="34"/>
      <c r="CLZ225" s="34"/>
      <c r="CMA225" s="35"/>
      <c r="CMB225" s="35"/>
      <c r="CMC225" s="35"/>
      <c r="CMD225" s="35"/>
      <c r="CME225" s="35"/>
      <c r="CMF225" s="34"/>
      <c r="CMG225" s="34"/>
      <c r="CMH225" s="36"/>
      <c r="CMI225" s="36"/>
      <c r="CMJ225" s="37"/>
      <c r="CMK225" s="37"/>
      <c r="CML225" s="38"/>
      <c r="CMM225" s="38"/>
      <c r="CMN225" s="39"/>
      <c r="CMO225" s="34"/>
      <c r="CMP225" s="34"/>
      <c r="CMQ225" s="34"/>
      <c r="CMR225" s="35"/>
      <c r="CMS225" s="35"/>
      <c r="CMT225" s="35"/>
      <c r="CMU225" s="35"/>
      <c r="CMV225" s="35"/>
      <c r="CMW225" s="34"/>
      <c r="CMX225" s="34"/>
      <c r="CMY225" s="36"/>
      <c r="CMZ225" s="36"/>
      <c r="CNA225" s="37"/>
      <c r="CNB225" s="37"/>
      <c r="CNC225" s="38"/>
      <c r="CND225" s="38"/>
      <c r="CNE225" s="39"/>
      <c r="CNF225" s="34"/>
      <c r="CNG225" s="34"/>
      <c r="CNH225" s="34"/>
      <c r="CNI225" s="35"/>
      <c r="CNJ225" s="35"/>
      <c r="CNK225" s="35"/>
      <c r="CNL225" s="35"/>
      <c r="CNM225" s="35"/>
      <c r="CNN225" s="34"/>
      <c r="CNO225" s="34"/>
      <c r="CNP225" s="36"/>
      <c r="CNQ225" s="36"/>
      <c r="CNR225" s="37"/>
      <c r="CNS225" s="37"/>
      <c r="CNT225" s="38"/>
      <c r="CNU225" s="38"/>
      <c r="CNV225" s="39"/>
      <c r="CNW225" s="34"/>
      <c r="CNX225" s="34"/>
      <c r="CNY225" s="34"/>
      <c r="CNZ225" s="35"/>
      <c r="COA225" s="35"/>
      <c r="COB225" s="35"/>
      <c r="COC225" s="35"/>
      <c r="COD225" s="35"/>
      <c r="COE225" s="34"/>
      <c r="COF225" s="34"/>
      <c r="COG225" s="36"/>
      <c r="COH225" s="36"/>
      <c r="COI225" s="37"/>
      <c r="COJ225" s="37"/>
      <c r="COK225" s="38"/>
      <c r="COL225" s="38"/>
      <c r="COM225" s="39"/>
      <c r="CON225" s="34"/>
      <c r="COO225" s="34"/>
      <c r="COP225" s="34"/>
      <c r="COQ225" s="35"/>
      <c r="COR225" s="35"/>
      <c r="COS225" s="35"/>
      <c r="COT225" s="35"/>
      <c r="COU225" s="35"/>
      <c r="COV225" s="34"/>
      <c r="COW225" s="34"/>
      <c r="COX225" s="36"/>
      <c r="COY225" s="36"/>
      <c r="COZ225" s="37"/>
      <c r="CPA225" s="37"/>
      <c r="CPB225" s="38"/>
      <c r="CPC225" s="38"/>
      <c r="CPD225" s="39"/>
      <c r="CPE225" s="34"/>
      <c r="CPF225" s="34"/>
      <c r="CPG225" s="34"/>
      <c r="CPH225" s="35"/>
      <c r="CPI225" s="35"/>
      <c r="CPJ225" s="35"/>
      <c r="CPK225" s="35"/>
      <c r="CPL225" s="35"/>
      <c r="CPM225" s="34"/>
      <c r="CPN225" s="34"/>
      <c r="CPO225" s="36"/>
      <c r="CPP225" s="36"/>
      <c r="CPQ225" s="37"/>
      <c r="CPR225" s="37"/>
      <c r="CPS225" s="38"/>
      <c r="CPT225" s="38"/>
      <c r="CPU225" s="39"/>
      <c r="CPV225" s="34"/>
      <c r="CPW225" s="34"/>
      <c r="CPX225" s="34"/>
      <c r="CPY225" s="35"/>
      <c r="CPZ225" s="35"/>
      <c r="CQA225" s="35"/>
      <c r="CQB225" s="35"/>
      <c r="CQC225" s="35"/>
      <c r="CQD225" s="34"/>
      <c r="CQE225" s="34"/>
      <c r="CQF225" s="36"/>
      <c r="CQG225" s="36"/>
      <c r="CQH225" s="37"/>
      <c r="CQI225" s="37"/>
      <c r="CQJ225" s="38"/>
      <c r="CQK225" s="38"/>
      <c r="CQL225" s="39"/>
      <c r="CQM225" s="34"/>
      <c r="CQN225" s="34"/>
      <c r="CQO225" s="34"/>
      <c r="CQP225" s="35"/>
      <c r="CQQ225" s="35"/>
      <c r="CQR225" s="35"/>
      <c r="CQS225" s="35"/>
      <c r="CQT225" s="35"/>
      <c r="CQU225" s="34"/>
      <c r="CQV225" s="34"/>
      <c r="CQW225" s="36"/>
      <c r="CQX225" s="36"/>
      <c r="CQY225" s="37"/>
      <c r="CQZ225" s="37"/>
      <c r="CRA225" s="38"/>
      <c r="CRB225" s="38"/>
      <c r="CRC225" s="39"/>
      <c r="CRD225" s="34"/>
      <c r="CRE225" s="34"/>
      <c r="CRF225" s="34"/>
      <c r="CRG225" s="35"/>
      <c r="CRH225" s="35"/>
      <c r="CRI225" s="35"/>
      <c r="CRJ225" s="35"/>
      <c r="CRK225" s="35"/>
      <c r="CRL225" s="34"/>
      <c r="CRM225" s="34"/>
      <c r="CRN225" s="36"/>
      <c r="CRO225" s="36"/>
      <c r="CRP225" s="37"/>
      <c r="CRQ225" s="37"/>
      <c r="CRR225" s="38"/>
      <c r="CRS225" s="38"/>
      <c r="CRT225" s="39"/>
      <c r="CRU225" s="34"/>
      <c r="CRV225" s="34"/>
      <c r="CRW225" s="34"/>
      <c r="CRX225" s="35"/>
      <c r="CRY225" s="35"/>
      <c r="CRZ225" s="35"/>
      <c r="CSA225" s="35"/>
      <c r="CSB225" s="35"/>
      <c r="CSC225" s="34"/>
      <c r="CSD225" s="34"/>
      <c r="CSE225" s="36"/>
      <c r="CSF225" s="36"/>
      <c r="CSG225" s="37"/>
      <c r="CSH225" s="37"/>
      <c r="CSI225" s="38"/>
      <c r="CSJ225" s="38"/>
      <c r="CSK225" s="39"/>
      <c r="CSL225" s="34"/>
      <c r="CSM225" s="34"/>
      <c r="CSN225" s="34"/>
      <c r="CSO225" s="35"/>
      <c r="CSP225" s="35"/>
      <c r="CSQ225" s="35"/>
      <c r="CSR225" s="35"/>
      <c r="CSS225" s="35"/>
      <c r="CST225" s="34"/>
      <c r="CSU225" s="34"/>
      <c r="CSV225" s="36"/>
      <c r="CSW225" s="36"/>
      <c r="CSX225" s="37"/>
      <c r="CSY225" s="37"/>
      <c r="CSZ225" s="38"/>
      <c r="CTA225" s="38"/>
      <c r="CTB225" s="39"/>
      <c r="CTC225" s="34"/>
      <c r="CTD225" s="34"/>
      <c r="CTE225" s="34"/>
      <c r="CTF225" s="35"/>
      <c r="CTG225" s="35"/>
      <c r="CTH225" s="35"/>
      <c r="CTI225" s="35"/>
      <c r="CTJ225" s="35"/>
      <c r="CTK225" s="34"/>
      <c r="CTL225" s="34"/>
      <c r="CTM225" s="36"/>
      <c r="CTN225" s="36"/>
      <c r="CTO225" s="37"/>
      <c r="CTP225" s="37"/>
      <c r="CTQ225" s="38"/>
      <c r="CTR225" s="38"/>
      <c r="CTS225" s="39"/>
      <c r="CTT225" s="34"/>
      <c r="CTU225" s="34"/>
      <c r="CTV225" s="34"/>
      <c r="CTW225" s="35"/>
      <c r="CTX225" s="35"/>
      <c r="CTY225" s="35"/>
      <c r="CTZ225" s="35"/>
      <c r="CUA225" s="35"/>
      <c r="CUB225" s="34"/>
      <c r="CUC225" s="34"/>
      <c r="CUD225" s="36"/>
      <c r="CUE225" s="36"/>
      <c r="CUF225" s="37"/>
      <c r="CUG225" s="37"/>
      <c r="CUH225" s="38"/>
      <c r="CUI225" s="38"/>
      <c r="CUJ225" s="39"/>
      <c r="CUK225" s="34"/>
      <c r="CUL225" s="34"/>
      <c r="CUM225" s="34"/>
      <c r="CUN225" s="35"/>
      <c r="CUO225" s="35"/>
      <c r="CUP225" s="35"/>
      <c r="CUQ225" s="35"/>
      <c r="CUR225" s="35"/>
      <c r="CUS225" s="34"/>
      <c r="CUT225" s="34"/>
      <c r="CUU225" s="36"/>
      <c r="CUV225" s="36"/>
      <c r="CUW225" s="37"/>
      <c r="CUX225" s="37"/>
      <c r="CUY225" s="38"/>
      <c r="CUZ225" s="38"/>
      <c r="CVA225" s="39"/>
      <c r="CVB225" s="34"/>
      <c r="CVC225" s="34"/>
      <c r="CVD225" s="34"/>
      <c r="CVE225" s="35"/>
      <c r="CVF225" s="35"/>
      <c r="CVG225" s="35"/>
      <c r="CVH225" s="35"/>
      <c r="CVI225" s="35"/>
      <c r="CVJ225" s="34"/>
      <c r="CVK225" s="34"/>
      <c r="CVL225" s="36"/>
      <c r="CVM225" s="36"/>
      <c r="CVN225" s="37"/>
      <c r="CVO225" s="37"/>
      <c r="CVP225" s="38"/>
      <c r="CVQ225" s="38"/>
      <c r="CVR225" s="39"/>
      <c r="CVS225" s="34"/>
      <c r="CVT225" s="34"/>
      <c r="CVU225" s="34"/>
      <c r="CVV225" s="35"/>
      <c r="CVW225" s="35"/>
      <c r="CVX225" s="35"/>
      <c r="CVY225" s="35"/>
      <c r="CVZ225" s="35"/>
      <c r="CWA225" s="34"/>
      <c r="CWB225" s="34"/>
      <c r="CWC225" s="36"/>
      <c r="CWD225" s="36"/>
      <c r="CWE225" s="37"/>
      <c r="CWF225" s="37"/>
      <c r="CWG225" s="38"/>
      <c r="CWH225" s="38"/>
      <c r="CWI225" s="39"/>
      <c r="CWJ225" s="34"/>
      <c r="CWK225" s="34"/>
      <c r="CWL225" s="34"/>
      <c r="CWM225" s="35"/>
      <c r="CWN225" s="35"/>
      <c r="CWO225" s="35"/>
      <c r="CWP225" s="35"/>
      <c r="CWQ225" s="35"/>
      <c r="CWR225" s="34"/>
      <c r="CWS225" s="34"/>
      <c r="CWT225" s="36"/>
      <c r="CWU225" s="36"/>
      <c r="CWV225" s="37"/>
      <c r="CWW225" s="37"/>
      <c r="CWX225" s="38"/>
      <c r="CWY225" s="38"/>
      <c r="CWZ225" s="39"/>
      <c r="CXA225" s="34"/>
      <c r="CXB225" s="34"/>
      <c r="CXC225" s="34"/>
      <c r="CXD225" s="35"/>
      <c r="CXE225" s="35"/>
      <c r="CXF225" s="35"/>
      <c r="CXG225" s="35"/>
      <c r="CXH225" s="35"/>
      <c r="CXI225" s="34"/>
      <c r="CXJ225" s="34"/>
      <c r="CXK225" s="36"/>
      <c r="CXL225" s="36"/>
      <c r="CXM225" s="37"/>
      <c r="CXN225" s="37"/>
      <c r="CXO225" s="38"/>
      <c r="CXP225" s="38"/>
      <c r="CXQ225" s="39"/>
      <c r="CXR225" s="34"/>
      <c r="CXS225" s="34"/>
      <c r="CXT225" s="34"/>
      <c r="CXU225" s="35"/>
      <c r="CXV225" s="35"/>
      <c r="CXW225" s="35"/>
      <c r="CXX225" s="35"/>
      <c r="CXY225" s="35"/>
      <c r="CXZ225" s="34"/>
      <c r="CYA225" s="34"/>
      <c r="CYB225" s="36"/>
      <c r="CYC225" s="36"/>
      <c r="CYD225" s="37"/>
      <c r="CYE225" s="37"/>
      <c r="CYF225" s="38"/>
      <c r="CYG225" s="38"/>
      <c r="CYH225" s="39"/>
      <c r="CYI225" s="34"/>
      <c r="CYJ225" s="34"/>
      <c r="CYK225" s="34"/>
      <c r="CYL225" s="35"/>
      <c r="CYM225" s="35"/>
      <c r="CYN225" s="35"/>
      <c r="CYO225" s="35"/>
      <c r="CYP225" s="35"/>
      <c r="CYQ225" s="34"/>
      <c r="CYR225" s="34"/>
      <c r="CYS225" s="36"/>
      <c r="CYT225" s="36"/>
      <c r="CYU225" s="37"/>
      <c r="CYV225" s="37"/>
      <c r="CYW225" s="38"/>
      <c r="CYX225" s="38"/>
      <c r="CYY225" s="39"/>
      <c r="CYZ225" s="34"/>
      <c r="CZA225" s="34"/>
      <c r="CZB225" s="34"/>
      <c r="CZC225" s="35"/>
      <c r="CZD225" s="35"/>
      <c r="CZE225" s="35"/>
      <c r="CZF225" s="35"/>
      <c r="CZG225" s="35"/>
      <c r="CZH225" s="34"/>
      <c r="CZI225" s="34"/>
      <c r="CZJ225" s="36"/>
      <c r="CZK225" s="36"/>
      <c r="CZL225" s="37"/>
      <c r="CZM225" s="37"/>
      <c r="CZN225" s="38"/>
      <c r="CZO225" s="38"/>
      <c r="CZP225" s="39"/>
      <c r="CZQ225" s="34"/>
      <c r="CZR225" s="34"/>
      <c r="CZS225" s="34"/>
      <c r="CZT225" s="35"/>
      <c r="CZU225" s="35"/>
      <c r="CZV225" s="35"/>
      <c r="CZW225" s="35"/>
      <c r="CZX225" s="35"/>
      <c r="CZY225" s="34"/>
      <c r="CZZ225" s="34"/>
      <c r="DAA225" s="36"/>
      <c r="DAB225" s="36"/>
      <c r="DAC225" s="37"/>
      <c r="DAD225" s="37"/>
      <c r="DAE225" s="38"/>
      <c r="DAF225" s="38"/>
      <c r="DAG225" s="39"/>
      <c r="DAH225" s="34"/>
      <c r="DAI225" s="34"/>
      <c r="DAJ225" s="34"/>
      <c r="DAK225" s="35"/>
      <c r="DAL225" s="35"/>
      <c r="DAM225" s="35"/>
      <c r="DAN225" s="35"/>
      <c r="DAO225" s="35"/>
      <c r="DAP225" s="34"/>
      <c r="DAQ225" s="34"/>
      <c r="DAR225" s="36"/>
      <c r="DAS225" s="36"/>
      <c r="DAT225" s="37"/>
      <c r="DAU225" s="37"/>
      <c r="DAV225" s="38"/>
      <c r="DAW225" s="38"/>
      <c r="DAX225" s="39"/>
      <c r="DAY225" s="34"/>
      <c r="DAZ225" s="34"/>
      <c r="DBA225" s="34"/>
      <c r="DBB225" s="35"/>
      <c r="DBC225" s="35"/>
      <c r="DBD225" s="35"/>
      <c r="DBE225" s="35"/>
      <c r="DBF225" s="35"/>
      <c r="DBG225" s="34"/>
      <c r="DBH225" s="34"/>
      <c r="DBI225" s="36"/>
      <c r="DBJ225" s="36"/>
      <c r="DBK225" s="37"/>
      <c r="DBL225" s="37"/>
      <c r="DBM225" s="38"/>
      <c r="DBN225" s="38"/>
      <c r="DBO225" s="39"/>
      <c r="DBP225" s="34"/>
      <c r="DBQ225" s="34"/>
      <c r="DBR225" s="34"/>
      <c r="DBS225" s="35"/>
      <c r="DBT225" s="35"/>
      <c r="DBU225" s="35"/>
      <c r="DBV225" s="35"/>
      <c r="DBW225" s="35"/>
      <c r="DBX225" s="34"/>
      <c r="DBY225" s="34"/>
      <c r="DBZ225" s="36"/>
      <c r="DCA225" s="36"/>
      <c r="DCB225" s="37"/>
      <c r="DCC225" s="37"/>
      <c r="DCD225" s="38"/>
      <c r="DCE225" s="38"/>
      <c r="DCF225" s="39"/>
      <c r="DCG225" s="34"/>
      <c r="DCH225" s="34"/>
      <c r="DCI225" s="34"/>
      <c r="DCJ225" s="35"/>
      <c r="DCK225" s="35"/>
      <c r="DCL225" s="35"/>
      <c r="DCM225" s="35"/>
      <c r="DCN225" s="35"/>
      <c r="DCO225" s="34"/>
      <c r="DCP225" s="34"/>
      <c r="DCQ225" s="36"/>
      <c r="DCR225" s="36"/>
      <c r="DCS225" s="37"/>
      <c r="DCT225" s="37"/>
      <c r="DCU225" s="38"/>
      <c r="DCV225" s="38"/>
      <c r="DCW225" s="39"/>
      <c r="DCX225" s="34"/>
      <c r="DCY225" s="34"/>
      <c r="DCZ225" s="34"/>
      <c r="DDA225" s="35"/>
      <c r="DDB225" s="35"/>
      <c r="DDC225" s="35"/>
      <c r="DDD225" s="35"/>
      <c r="DDE225" s="35"/>
      <c r="DDF225" s="34"/>
      <c r="DDG225" s="34"/>
      <c r="DDH225" s="36"/>
      <c r="DDI225" s="36"/>
      <c r="DDJ225" s="37"/>
      <c r="DDK225" s="37"/>
      <c r="DDL225" s="38"/>
      <c r="DDM225" s="38"/>
      <c r="DDN225" s="39"/>
      <c r="DDO225" s="34"/>
      <c r="DDP225" s="34"/>
      <c r="DDQ225" s="34"/>
      <c r="DDR225" s="35"/>
      <c r="DDS225" s="35"/>
      <c r="DDT225" s="35"/>
      <c r="DDU225" s="35"/>
      <c r="DDV225" s="35"/>
      <c r="DDW225" s="34"/>
      <c r="DDX225" s="34"/>
      <c r="DDY225" s="36"/>
      <c r="DDZ225" s="36"/>
      <c r="DEA225" s="37"/>
      <c r="DEB225" s="37"/>
      <c r="DEC225" s="38"/>
      <c r="DED225" s="38"/>
      <c r="DEE225" s="39"/>
      <c r="DEF225" s="34"/>
      <c r="DEG225" s="34"/>
      <c r="DEH225" s="34"/>
      <c r="DEI225" s="35"/>
      <c r="DEJ225" s="35"/>
      <c r="DEK225" s="35"/>
      <c r="DEL225" s="35"/>
      <c r="DEM225" s="35"/>
      <c r="DEN225" s="34"/>
      <c r="DEO225" s="34"/>
      <c r="DEP225" s="36"/>
      <c r="DEQ225" s="36"/>
      <c r="DER225" s="37"/>
      <c r="DES225" s="37"/>
      <c r="DET225" s="38"/>
      <c r="DEU225" s="38"/>
      <c r="DEV225" s="39"/>
      <c r="DEW225" s="34"/>
      <c r="DEX225" s="34"/>
      <c r="DEY225" s="34"/>
      <c r="DEZ225" s="35"/>
      <c r="DFA225" s="35"/>
      <c r="DFB225" s="35"/>
      <c r="DFC225" s="35"/>
      <c r="DFD225" s="35"/>
      <c r="DFE225" s="34"/>
      <c r="DFF225" s="34"/>
      <c r="DFG225" s="36"/>
      <c r="DFH225" s="36"/>
      <c r="DFI225" s="37"/>
      <c r="DFJ225" s="37"/>
      <c r="DFK225" s="38"/>
      <c r="DFL225" s="38"/>
      <c r="DFM225" s="39"/>
      <c r="DFN225" s="34"/>
      <c r="DFO225" s="34"/>
      <c r="DFP225" s="34"/>
      <c r="DFQ225" s="35"/>
      <c r="DFR225" s="35"/>
      <c r="DFS225" s="35"/>
      <c r="DFT225" s="35"/>
      <c r="DFU225" s="35"/>
      <c r="DFV225" s="34"/>
      <c r="DFW225" s="34"/>
      <c r="DFX225" s="36"/>
      <c r="DFY225" s="36"/>
      <c r="DFZ225" s="37"/>
      <c r="DGA225" s="37"/>
      <c r="DGB225" s="38"/>
      <c r="DGC225" s="38"/>
      <c r="DGD225" s="39"/>
      <c r="DGE225" s="34"/>
      <c r="DGF225" s="34"/>
      <c r="DGG225" s="34"/>
      <c r="DGH225" s="35"/>
      <c r="DGI225" s="35"/>
      <c r="DGJ225" s="35"/>
      <c r="DGK225" s="35"/>
      <c r="DGL225" s="35"/>
      <c r="DGM225" s="34"/>
      <c r="DGN225" s="34"/>
      <c r="DGO225" s="36"/>
      <c r="DGP225" s="36"/>
      <c r="DGQ225" s="37"/>
      <c r="DGR225" s="37"/>
      <c r="DGS225" s="38"/>
      <c r="DGT225" s="38"/>
      <c r="DGU225" s="39"/>
      <c r="DGV225" s="34"/>
      <c r="DGW225" s="34"/>
      <c r="DGX225" s="34"/>
      <c r="DGY225" s="35"/>
      <c r="DGZ225" s="35"/>
      <c r="DHA225" s="35"/>
      <c r="DHB225" s="35"/>
      <c r="DHC225" s="35"/>
      <c r="DHD225" s="34"/>
      <c r="DHE225" s="34"/>
      <c r="DHF225" s="36"/>
      <c r="DHG225" s="36"/>
      <c r="DHH225" s="37"/>
      <c r="DHI225" s="37"/>
      <c r="DHJ225" s="38"/>
      <c r="DHK225" s="38"/>
      <c r="DHL225" s="39"/>
      <c r="DHM225" s="34"/>
      <c r="DHN225" s="34"/>
      <c r="DHO225" s="34"/>
      <c r="DHP225" s="35"/>
      <c r="DHQ225" s="35"/>
      <c r="DHR225" s="35"/>
      <c r="DHS225" s="35"/>
      <c r="DHT225" s="35"/>
      <c r="DHU225" s="34"/>
      <c r="DHV225" s="34"/>
      <c r="DHW225" s="36"/>
      <c r="DHX225" s="36"/>
      <c r="DHY225" s="37"/>
      <c r="DHZ225" s="37"/>
      <c r="DIA225" s="38"/>
      <c r="DIB225" s="38"/>
      <c r="DIC225" s="39"/>
      <c r="DID225" s="34"/>
      <c r="DIE225" s="34"/>
      <c r="DIF225" s="34"/>
      <c r="DIG225" s="35"/>
      <c r="DIH225" s="35"/>
      <c r="DII225" s="35"/>
      <c r="DIJ225" s="35"/>
      <c r="DIK225" s="35"/>
      <c r="DIL225" s="34"/>
      <c r="DIM225" s="34"/>
      <c r="DIN225" s="36"/>
      <c r="DIO225" s="36"/>
      <c r="DIP225" s="37"/>
      <c r="DIQ225" s="37"/>
      <c r="DIR225" s="38"/>
      <c r="DIS225" s="38"/>
      <c r="DIT225" s="39"/>
      <c r="DIU225" s="34"/>
      <c r="DIV225" s="34"/>
      <c r="DIW225" s="34"/>
      <c r="DIX225" s="35"/>
      <c r="DIY225" s="35"/>
      <c r="DIZ225" s="35"/>
      <c r="DJA225" s="35"/>
      <c r="DJB225" s="35"/>
      <c r="DJC225" s="34"/>
      <c r="DJD225" s="34"/>
      <c r="DJE225" s="36"/>
      <c r="DJF225" s="36"/>
      <c r="DJG225" s="37"/>
      <c r="DJH225" s="37"/>
      <c r="DJI225" s="38"/>
      <c r="DJJ225" s="38"/>
      <c r="DJK225" s="39"/>
      <c r="DJL225" s="34"/>
      <c r="DJM225" s="34"/>
      <c r="DJN225" s="34"/>
      <c r="DJO225" s="35"/>
      <c r="DJP225" s="35"/>
      <c r="DJQ225" s="35"/>
      <c r="DJR225" s="35"/>
      <c r="DJS225" s="35"/>
      <c r="DJT225" s="34"/>
      <c r="DJU225" s="34"/>
      <c r="DJV225" s="36"/>
      <c r="DJW225" s="36"/>
      <c r="DJX225" s="37"/>
      <c r="DJY225" s="37"/>
      <c r="DJZ225" s="38"/>
      <c r="DKA225" s="38"/>
      <c r="DKB225" s="39"/>
      <c r="DKC225" s="34"/>
      <c r="DKD225" s="34"/>
      <c r="DKE225" s="34"/>
      <c r="DKF225" s="35"/>
      <c r="DKG225" s="35"/>
      <c r="DKH225" s="35"/>
      <c r="DKI225" s="35"/>
      <c r="DKJ225" s="35"/>
      <c r="DKK225" s="34"/>
      <c r="DKL225" s="34"/>
      <c r="DKM225" s="36"/>
      <c r="DKN225" s="36"/>
      <c r="DKO225" s="37"/>
      <c r="DKP225" s="37"/>
      <c r="DKQ225" s="38"/>
      <c r="DKR225" s="38"/>
      <c r="DKS225" s="39"/>
      <c r="DKT225" s="34"/>
      <c r="DKU225" s="34"/>
      <c r="DKV225" s="34"/>
      <c r="DKW225" s="35"/>
      <c r="DKX225" s="35"/>
      <c r="DKY225" s="35"/>
      <c r="DKZ225" s="35"/>
      <c r="DLA225" s="35"/>
      <c r="DLB225" s="34"/>
      <c r="DLC225" s="34"/>
      <c r="DLD225" s="36"/>
      <c r="DLE225" s="36"/>
      <c r="DLF225" s="37"/>
      <c r="DLG225" s="37"/>
      <c r="DLH225" s="38"/>
      <c r="DLI225" s="38"/>
      <c r="DLJ225" s="39"/>
      <c r="DLK225" s="34"/>
      <c r="DLL225" s="34"/>
      <c r="DLM225" s="34"/>
      <c r="DLN225" s="35"/>
      <c r="DLO225" s="35"/>
      <c r="DLP225" s="35"/>
      <c r="DLQ225" s="35"/>
      <c r="DLR225" s="35"/>
      <c r="DLS225" s="34"/>
      <c r="DLT225" s="34"/>
      <c r="DLU225" s="36"/>
      <c r="DLV225" s="36"/>
      <c r="DLW225" s="37"/>
      <c r="DLX225" s="37"/>
      <c r="DLY225" s="38"/>
      <c r="DLZ225" s="38"/>
      <c r="DMA225" s="39"/>
      <c r="DMB225" s="34"/>
      <c r="DMC225" s="34"/>
      <c r="DMD225" s="34"/>
      <c r="DME225" s="35"/>
      <c r="DMF225" s="35"/>
      <c r="DMG225" s="35"/>
      <c r="DMH225" s="35"/>
      <c r="DMI225" s="35"/>
      <c r="DMJ225" s="34"/>
      <c r="DMK225" s="34"/>
      <c r="DML225" s="36"/>
      <c r="DMM225" s="36"/>
      <c r="DMN225" s="37"/>
      <c r="DMO225" s="37"/>
      <c r="DMP225" s="38"/>
      <c r="DMQ225" s="38"/>
      <c r="DMR225" s="39"/>
      <c r="DMS225" s="34"/>
      <c r="DMT225" s="34"/>
      <c r="DMU225" s="34"/>
      <c r="DMV225" s="35"/>
      <c r="DMW225" s="35"/>
      <c r="DMX225" s="35"/>
      <c r="DMY225" s="35"/>
      <c r="DMZ225" s="35"/>
      <c r="DNA225" s="34"/>
      <c r="DNB225" s="34"/>
      <c r="DNC225" s="36"/>
      <c r="DND225" s="36"/>
      <c r="DNE225" s="37"/>
      <c r="DNF225" s="37"/>
      <c r="DNG225" s="38"/>
      <c r="DNH225" s="38"/>
      <c r="DNI225" s="39"/>
      <c r="DNJ225" s="34"/>
      <c r="DNK225" s="34"/>
      <c r="DNL225" s="34"/>
      <c r="DNM225" s="35"/>
      <c r="DNN225" s="35"/>
      <c r="DNO225" s="35"/>
      <c r="DNP225" s="35"/>
      <c r="DNQ225" s="35"/>
      <c r="DNR225" s="34"/>
      <c r="DNS225" s="34"/>
      <c r="DNT225" s="36"/>
      <c r="DNU225" s="36"/>
      <c r="DNV225" s="37"/>
      <c r="DNW225" s="37"/>
      <c r="DNX225" s="38"/>
      <c r="DNY225" s="38"/>
      <c r="DNZ225" s="39"/>
      <c r="DOA225" s="34"/>
      <c r="DOB225" s="34"/>
      <c r="DOC225" s="34"/>
      <c r="DOD225" s="35"/>
      <c r="DOE225" s="35"/>
      <c r="DOF225" s="35"/>
      <c r="DOG225" s="35"/>
      <c r="DOH225" s="35"/>
      <c r="DOI225" s="34"/>
      <c r="DOJ225" s="34"/>
      <c r="DOK225" s="36"/>
      <c r="DOL225" s="36"/>
      <c r="DOM225" s="37"/>
      <c r="DON225" s="37"/>
      <c r="DOO225" s="38"/>
      <c r="DOP225" s="38"/>
      <c r="DOQ225" s="39"/>
      <c r="DOR225" s="34"/>
      <c r="DOS225" s="34"/>
      <c r="DOT225" s="34"/>
      <c r="DOU225" s="35"/>
      <c r="DOV225" s="35"/>
      <c r="DOW225" s="35"/>
      <c r="DOX225" s="35"/>
      <c r="DOY225" s="35"/>
      <c r="DOZ225" s="34"/>
      <c r="DPA225" s="34"/>
      <c r="DPB225" s="36"/>
      <c r="DPC225" s="36"/>
      <c r="DPD225" s="37"/>
      <c r="DPE225" s="37"/>
      <c r="DPF225" s="38"/>
      <c r="DPG225" s="38"/>
      <c r="DPH225" s="39"/>
      <c r="DPI225" s="34"/>
      <c r="DPJ225" s="34"/>
      <c r="DPK225" s="34"/>
      <c r="DPL225" s="35"/>
      <c r="DPM225" s="35"/>
      <c r="DPN225" s="35"/>
      <c r="DPO225" s="35"/>
      <c r="DPP225" s="35"/>
      <c r="DPQ225" s="34"/>
      <c r="DPR225" s="34"/>
      <c r="DPS225" s="36"/>
      <c r="DPT225" s="36"/>
      <c r="DPU225" s="37"/>
      <c r="DPV225" s="37"/>
      <c r="DPW225" s="38"/>
      <c r="DPX225" s="38"/>
      <c r="DPY225" s="39"/>
      <c r="DPZ225" s="34"/>
      <c r="DQA225" s="34"/>
      <c r="DQB225" s="34"/>
      <c r="DQC225" s="35"/>
      <c r="DQD225" s="35"/>
      <c r="DQE225" s="35"/>
      <c r="DQF225" s="35"/>
      <c r="DQG225" s="35"/>
      <c r="DQH225" s="34"/>
      <c r="DQI225" s="34"/>
      <c r="DQJ225" s="36"/>
      <c r="DQK225" s="36"/>
      <c r="DQL225" s="37"/>
      <c r="DQM225" s="37"/>
      <c r="DQN225" s="38"/>
      <c r="DQO225" s="38"/>
      <c r="DQP225" s="39"/>
      <c r="DQQ225" s="34"/>
      <c r="DQR225" s="34"/>
      <c r="DQS225" s="34"/>
      <c r="DQT225" s="35"/>
      <c r="DQU225" s="35"/>
      <c r="DQV225" s="35"/>
      <c r="DQW225" s="35"/>
      <c r="DQX225" s="35"/>
      <c r="DQY225" s="34"/>
      <c r="DQZ225" s="34"/>
      <c r="DRA225" s="36"/>
      <c r="DRB225" s="36"/>
      <c r="DRC225" s="37"/>
      <c r="DRD225" s="37"/>
      <c r="DRE225" s="38"/>
      <c r="DRF225" s="38"/>
      <c r="DRG225" s="39"/>
      <c r="DRH225" s="34"/>
      <c r="DRI225" s="34"/>
      <c r="DRJ225" s="34"/>
      <c r="DRK225" s="35"/>
      <c r="DRL225" s="35"/>
      <c r="DRM225" s="35"/>
      <c r="DRN225" s="35"/>
      <c r="DRO225" s="35"/>
      <c r="DRP225" s="34"/>
      <c r="DRQ225" s="34"/>
      <c r="DRR225" s="36"/>
      <c r="DRS225" s="36"/>
      <c r="DRT225" s="37"/>
      <c r="DRU225" s="37"/>
      <c r="DRV225" s="38"/>
      <c r="DRW225" s="38"/>
      <c r="DRX225" s="39"/>
      <c r="DRY225" s="34"/>
      <c r="DRZ225" s="34"/>
      <c r="DSA225" s="34"/>
      <c r="DSB225" s="35"/>
      <c r="DSC225" s="35"/>
      <c r="DSD225" s="35"/>
      <c r="DSE225" s="35"/>
      <c r="DSF225" s="35"/>
      <c r="DSG225" s="34"/>
      <c r="DSH225" s="34"/>
      <c r="DSI225" s="36"/>
      <c r="DSJ225" s="36"/>
      <c r="DSK225" s="37"/>
      <c r="DSL225" s="37"/>
      <c r="DSM225" s="38"/>
      <c r="DSN225" s="38"/>
      <c r="DSO225" s="39"/>
      <c r="DSP225" s="34"/>
      <c r="DSQ225" s="34"/>
      <c r="DSR225" s="34"/>
      <c r="DSS225" s="35"/>
      <c r="DST225" s="35"/>
      <c r="DSU225" s="35"/>
      <c r="DSV225" s="35"/>
      <c r="DSW225" s="35"/>
      <c r="DSX225" s="34"/>
      <c r="DSY225" s="34"/>
      <c r="DSZ225" s="36"/>
      <c r="DTA225" s="36"/>
      <c r="DTB225" s="37"/>
      <c r="DTC225" s="37"/>
      <c r="DTD225" s="38"/>
      <c r="DTE225" s="38"/>
      <c r="DTF225" s="39"/>
      <c r="DTG225" s="34"/>
      <c r="DTH225" s="34"/>
      <c r="DTI225" s="34"/>
      <c r="DTJ225" s="35"/>
      <c r="DTK225" s="35"/>
      <c r="DTL225" s="35"/>
      <c r="DTM225" s="35"/>
      <c r="DTN225" s="35"/>
      <c r="DTO225" s="34"/>
      <c r="DTP225" s="34"/>
      <c r="DTQ225" s="36"/>
      <c r="DTR225" s="36"/>
      <c r="DTS225" s="37"/>
      <c r="DTT225" s="37"/>
      <c r="DTU225" s="38"/>
      <c r="DTV225" s="38"/>
      <c r="DTW225" s="39"/>
      <c r="DTX225" s="34"/>
      <c r="DTY225" s="34"/>
      <c r="DTZ225" s="34"/>
      <c r="DUA225" s="35"/>
      <c r="DUB225" s="35"/>
      <c r="DUC225" s="35"/>
      <c r="DUD225" s="35"/>
      <c r="DUE225" s="35"/>
      <c r="DUF225" s="34"/>
      <c r="DUG225" s="34"/>
      <c r="DUH225" s="36"/>
      <c r="DUI225" s="36"/>
      <c r="DUJ225" s="37"/>
      <c r="DUK225" s="37"/>
      <c r="DUL225" s="38"/>
      <c r="DUM225" s="38"/>
      <c r="DUN225" s="39"/>
      <c r="DUO225" s="34"/>
      <c r="DUP225" s="34"/>
      <c r="DUQ225" s="34"/>
      <c r="DUR225" s="35"/>
      <c r="DUS225" s="35"/>
      <c r="DUT225" s="35"/>
      <c r="DUU225" s="35"/>
      <c r="DUV225" s="35"/>
      <c r="DUW225" s="34"/>
      <c r="DUX225" s="34"/>
      <c r="DUY225" s="36"/>
      <c r="DUZ225" s="36"/>
      <c r="DVA225" s="37"/>
      <c r="DVB225" s="37"/>
      <c r="DVC225" s="38"/>
      <c r="DVD225" s="38"/>
      <c r="DVE225" s="39"/>
      <c r="DVF225" s="34"/>
      <c r="DVG225" s="34"/>
      <c r="DVH225" s="34"/>
      <c r="DVI225" s="35"/>
      <c r="DVJ225" s="35"/>
      <c r="DVK225" s="35"/>
      <c r="DVL225" s="35"/>
      <c r="DVM225" s="35"/>
      <c r="DVN225" s="34"/>
      <c r="DVO225" s="34"/>
      <c r="DVP225" s="36"/>
      <c r="DVQ225" s="36"/>
      <c r="DVR225" s="37"/>
      <c r="DVS225" s="37"/>
      <c r="DVT225" s="38"/>
      <c r="DVU225" s="38"/>
      <c r="DVV225" s="39"/>
      <c r="DVW225" s="34"/>
      <c r="DVX225" s="34"/>
      <c r="DVY225" s="34"/>
      <c r="DVZ225" s="35"/>
      <c r="DWA225" s="35"/>
      <c r="DWB225" s="35"/>
      <c r="DWC225" s="35"/>
      <c r="DWD225" s="35"/>
      <c r="DWE225" s="34"/>
      <c r="DWF225" s="34"/>
      <c r="DWG225" s="36"/>
      <c r="DWH225" s="36"/>
      <c r="DWI225" s="37"/>
      <c r="DWJ225" s="37"/>
      <c r="DWK225" s="38"/>
      <c r="DWL225" s="38"/>
      <c r="DWM225" s="39"/>
      <c r="DWN225" s="34"/>
      <c r="DWO225" s="34"/>
      <c r="DWP225" s="34"/>
      <c r="DWQ225" s="35"/>
      <c r="DWR225" s="35"/>
      <c r="DWS225" s="35"/>
      <c r="DWT225" s="35"/>
      <c r="DWU225" s="35"/>
      <c r="DWV225" s="34"/>
      <c r="DWW225" s="34"/>
      <c r="DWX225" s="36"/>
      <c r="DWY225" s="36"/>
      <c r="DWZ225" s="37"/>
      <c r="DXA225" s="37"/>
      <c r="DXB225" s="38"/>
      <c r="DXC225" s="38"/>
      <c r="DXD225" s="39"/>
      <c r="DXE225" s="34"/>
      <c r="DXF225" s="34"/>
      <c r="DXG225" s="34"/>
      <c r="DXH225" s="35"/>
      <c r="DXI225" s="35"/>
      <c r="DXJ225" s="35"/>
      <c r="DXK225" s="35"/>
      <c r="DXL225" s="35"/>
      <c r="DXM225" s="34"/>
      <c r="DXN225" s="34"/>
      <c r="DXO225" s="36"/>
      <c r="DXP225" s="36"/>
      <c r="DXQ225" s="37"/>
      <c r="DXR225" s="37"/>
      <c r="DXS225" s="38"/>
      <c r="DXT225" s="38"/>
      <c r="DXU225" s="39"/>
      <c r="DXV225" s="34"/>
      <c r="DXW225" s="34"/>
      <c r="DXX225" s="34"/>
      <c r="DXY225" s="35"/>
      <c r="DXZ225" s="35"/>
      <c r="DYA225" s="35"/>
      <c r="DYB225" s="35"/>
      <c r="DYC225" s="35"/>
      <c r="DYD225" s="34"/>
      <c r="DYE225" s="34"/>
      <c r="DYF225" s="36"/>
      <c r="DYG225" s="36"/>
      <c r="DYH225" s="37"/>
      <c r="DYI225" s="37"/>
      <c r="DYJ225" s="38"/>
      <c r="DYK225" s="38"/>
      <c r="DYL225" s="39"/>
      <c r="DYM225" s="34"/>
      <c r="DYN225" s="34"/>
      <c r="DYO225" s="34"/>
      <c r="DYP225" s="35"/>
      <c r="DYQ225" s="35"/>
      <c r="DYR225" s="35"/>
      <c r="DYS225" s="35"/>
      <c r="DYT225" s="35"/>
      <c r="DYU225" s="34"/>
      <c r="DYV225" s="34"/>
      <c r="DYW225" s="36"/>
      <c r="DYX225" s="36"/>
      <c r="DYY225" s="37"/>
      <c r="DYZ225" s="37"/>
      <c r="DZA225" s="38"/>
      <c r="DZB225" s="38"/>
      <c r="DZC225" s="39"/>
      <c r="DZD225" s="34"/>
      <c r="DZE225" s="34"/>
      <c r="DZF225" s="34"/>
      <c r="DZG225" s="35"/>
      <c r="DZH225" s="35"/>
      <c r="DZI225" s="35"/>
      <c r="DZJ225" s="35"/>
      <c r="DZK225" s="35"/>
      <c r="DZL225" s="34"/>
      <c r="DZM225" s="34"/>
      <c r="DZN225" s="36"/>
      <c r="DZO225" s="36"/>
      <c r="DZP225" s="37"/>
      <c r="DZQ225" s="37"/>
      <c r="DZR225" s="38"/>
      <c r="DZS225" s="38"/>
      <c r="DZT225" s="39"/>
      <c r="DZU225" s="34"/>
      <c r="DZV225" s="34"/>
      <c r="DZW225" s="34"/>
      <c r="DZX225" s="35"/>
      <c r="DZY225" s="35"/>
      <c r="DZZ225" s="35"/>
      <c r="EAA225" s="35"/>
      <c r="EAB225" s="35"/>
      <c r="EAC225" s="34"/>
      <c r="EAD225" s="34"/>
      <c r="EAE225" s="36"/>
      <c r="EAF225" s="36"/>
      <c r="EAG225" s="37"/>
      <c r="EAH225" s="37"/>
      <c r="EAI225" s="38"/>
      <c r="EAJ225" s="38"/>
      <c r="EAK225" s="39"/>
      <c r="EAL225" s="34"/>
      <c r="EAM225" s="34"/>
      <c r="EAN225" s="34"/>
      <c r="EAO225" s="35"/>
      <c r="EAP225" s="35"/>
      <c r="EAQ225" s="35"/>
      <c r="EAR225" s="35"/>
      <c r="EAS225" s="35"/>
      <c r="EAT225" s="34"/>
      <c r="EAU225" s="34"/>
      <c r="EAV225" s="36"/>
      <c r="EAW225" s="36"/>
      <c r="EAX225" s="37"/>
      <c r="EAY225" s="37"/>
      <c r="EAZ225" s="38"/>
      <c r="EBA225" s="38"/>
      <c r="EBB225" s="39"/>
      <c r="EBC225" s="34"/>
      <c r="EBD225" s="34"/>
      <c r="EBE225" s="34"/>
      <c r="EBF225" s="35"/>
      <c r="EBG225" s="35"/>
      <c r="EBH225" s="35"/>
      <c r="EBI225" s="35"/>
      <c r="EBJ225" s="35"/>
      <c r="EBK225" s="34"/>
      <c r="EBL225" s="34"/>
      <c r="EBM225" s="36"/>
      <c r="EBN225" s="36"/>
      <c r="EBO225" s="37"/>
      <c r="EBP225" s="37"/>
      <c r="EBQ225" s="38"/>
      <c r="EBR225" s="38"/>
      <c r="EBS225" s="39"/>
      <c r="EBT225" s="34"/>
      <c r="EBU225" s="34"/>
      <c r="EBV225" s="34"/>
      <c r="EBW225" s="35"/>
      <c r="EBX225" s="35"/>
      <c r="EBY225" s="35"/>
      <c r="EBZ225" s="35"/>
      <c r="ECA225" s="35"/>
      <c r="ECB225" s="34"/>
      <c r="ECC225" s="34"/>
      <c r="ECD225" s="36"/>
      <c r="ECE225" s="36"/>
      <c r="ECF225" s="37"/>
      <c r="ECG225" s="37"/>
      <c r="ECH225" s="38"/>
      <c r="ECI225" s="38"/>
      <c r="ECJ225" s="39"/>
      <c r="ECK225" s="34"/>
      <c r="ECL225" s="34"/>
      <c r="ECM225" s="34"/>
      <c r="ECN225" s="35"/>
      <c r="ECO225" s="35"/>
      <c r="ECP225" s="35"/>
      <c r="ECQ225" s="35"/>
      <c r="ECR225" s="35"/>
      <c r="ECS225" s="34"/>
      <c r="ECT225" s="34"/>
      <c r="ECU225" s="36"/>
      <c r="ECV225" s="36"/>
      <c r="ECW225" s="37"/>
      <c r="ECX225" s="37"/>
      <c r="ECY225" s="38"/>
      <c r="ECZ225" s="38"/>
      <c r="EDA225" s="39"/>
      <c r="EDB225" s="34"/>
      <c r="EDC225" s="34"/>
      <c r="EDD225" s="34"/>
      <c r="EDE225" s="35"/>
      <c r="EDF225" s="35"/>
      <c r="EDG225" s="35"/>
      <c r="EDH225" s="35"/>
      <c r="EDI225" s="35"/>
      <c r="EDJ225" s="34"/>
      <c r="EDK225" s="34"/>
      <c r="EDL225" s="36"/>
      <c r="EDM225" s="36"/>
      <c r="EDN225" s="37"/>
      <c r="EDO225" s="37"/>
      <c r="EDP225" s="38"/>
      <c r="EDQ225" s="38"/>
      <c r="EDR225" s="39"/>
      <c r="EDS225" s="34"/>
      <c r="EDT225" s="34"/>
      <c r="EDU225" s="34"/>
      <c r="EDV225" s="35"/>
      <c r="EDW225" s="35"/>
      <c r="EDX225" s="35"/>
      <c r="EDY225" s="35"/>
      <c r="EDZ225" s="35"/>
      <c r="EEA225" s="34"/>
      <c r="EEB225" s="34"/>
      <c r="EEC225" s="36"/>
      <c r="EED225" s="36"/>
      <c r="EEE225" s="37"/>
      <c r="EEF225" s="37"/>
      <c r="EEG225" s="38"/>
      <c r="EEH225" s="38"/>
      <c r="EEI225" s="39"/>
      <c r="EEJ225" s="34"/>
      <c r="EEK225" s="34"/>
      <c r="EEL225" s="34"/>
      <c r="EEM225" s="35"/>
      <c r="EEN225" s="35"/>
      <c r="EEO225" s="35"/>
      <c r="EEP225" s="35"/>
      <c r="EEQ225" s="35"/>
      <c r="EER225" s="34"/>
      <c r="EES225" s="34"/>
      <c r="EET225" s="36"/>
      <c r="EEU225" s="36"/>
      <c r="EEV225" s="37"/>
      <c r="EEW225" s="37"/>
      <c r="EEX225" s="38"/>
      <c r="EEY225" s="38"/>
      <c r="EEZ225" s="39"/>
      <c r="EFA225" s="34"/>
      <c r="EFB225" s="34"/>
      <c r="EFC225" s="34"/>
      <c r="EFD225" s="35"/>
      <c r="EFE225" s="35"/>
      <c r="EFF225" s="35"/>
      <c r="EFG225" s="35"/>
      <c r="EFH225" s="35"/>
      <c r="EFI225" s="34"/>
      <c r="EFJ225" s="34"/>
      <c r="EFK225" s="36"/>
      <c r="EFL225" s="36"/>
      <c r="EFM225" s="37"/>
      <c r="EFN225" s="37"/>
      <c r="EFO225" s="38"/>
      <c r="EFP225" s="38"/>
      <c r="EFQ225" s="39"/>
      <c r="EFR225" s="34"/>
      <c r="EFS225" s="34"/>
      <c r="EFT225" s="34"/>
      <c r="EFU225" s="35"/>
      <c r="EFV225" s="35"/>
      <c r="EFW225" s="35"/>
      <c r="EFX225" s="35"/>
      <c r="EFY225" s="35"/>
      <c r="EFZ225" s="34"/>
      <c r="EGA225" s="34"/>
      <c r="EGB225" s="36"/>
      <c r="EGC225" s="36"/>
      <c r="EGD225" s="37"/>
      <c r="EGE225" s="37"/>
      <c r="EGF225" s="38"/>
      <c r="EGG225" s="38"/>
      <c r="EGH225" s="39"/>
      <c r="EGI225" s="34"/>
      <c r="EGJ225" s="34"/>
      <c r="EGK225" s="34"/>
      <c r="EGL225" s="35"/>
      <c r="EGM225" s="35"/>
      <c r="EGN225" s="35"/>
      <c r="EGO225" s="35"/>
      <c r="EGP225" s="35"/>
      <c r="EGQ225" s="34"/>
      <c r="EGR225" s="34"/>
      <c r="EGS225" s="36"/>
      <c r="EGT225" s="36"/>
      <c r="EGU225" s="37"/>
      <c r="EGV225" s="37"/>
      <c r="EGW225" s="38"/>
      <c r="EGX225" s="38"/>
      <c r="EGY225" s="39"/>
      <c r="EGZ225" s="34"/>
      <c r="EHA225" s="34"/>
      <c r="EHB225" s="34"/>
      <c r="EHC225" s="35"/>
      <c r="EHD225" s="35"/>
      <c r="EHE225" s="35"/>
      <c r="EHF225" s="35"/>
      <c r="EHG225" s="35"/>
      <c r="EHH225" s="34"/>
      <c r="EHI225" s="34"/>
      <c r="EHJ225" s="36"/>
      <c r="EHK225" s="36"/>
      <c r="EHL225" s="37"/>
      <c r="EHM225" s="37"/>
      <c r="EHN225" s="38"/>
      <c r="EHO225" s="38"/>
      <c r="EHP225" s="39"/>
      <c r="EHQ225" s="34"/>
      <c r="EHR225" s="34"/>
      <c r="EHS225" s="34"/>
      <c r="EHT225" s="35"/>
      <c r="EHU225" s="35"/>
      <c r="EHV225" s="35"/>
      <c r="EHW225" s="35"/>
      <c r="EHX225" s="35"/>
      <c r="EHY225" s="34"/>
      <c r="EHZ225" s="34"/>
      <c r="EIA225" s="36"/>
      <c r="EIB225" s="36"/>
      <c r="EIC225" s="37"/>
      <c r="EID225" s="37"/>
      <c r="EIE225" s="38"/>
      <c r="EIF225" s="38"/>
      <c r="EIG225" s="39"/>
      <c r="EIH225" s="34"/>
      <c r="EII225" s="34"/>
      <c r="EIJ225" s="34"/>
      <c r="EIK225" s="35"/>
      <c r="EIL225" s="35"/>
      <c r="EIM225" s="35"/>
      <c r="EIN225" s="35"/>
      <c r="EIO225" s="35"/>
      <c r="EIP225" s="34"/>
      <c r="EIQ225" s="34"/>
      <c r="EIR225" s="36"/>
      <c r="EIS225" s="36"/>
      <c r="EIT225" s="37"/>
      <c r="EIU225" s="37"/>
      <c r="EIV225" s="38"/>
      <c r="EIW225" s="38"/>
      <c r="EIX225" s="39"/>
      <c r="EIY225" s="34"/>
      <c r="EIZ225" s="34"/>
      <c r="EJA225" s="34"/>
      <c r="EJB225" s="35"/>
      <c r="EJC225" s="35"/>
      <c r="EJD225" s="35"/>
      <c r="EJE225" s="35"/>
      <c r="EJF225" s="35"/>
      <c r="EJG225" s="34"/>
      <c r="EJH225" s="34"/>
      <c r="EJI225" s="36"/>
      <c r="EJJ225" s="36"/>
      <c r="EJK225" s="37"/>
      <c r="EJL225" s="37"/>
      <c r="EJM225" s="38"/>
      <c r="EJN225" s="38"/>
      <c r="EJO225" s="39"/>
      <c r="EJP225" s="34"/>
      <c r="EJQ225" s="34"/>
      <c r="EJR225" s="34"/>
      <c r="EJS225" s="35"/>
      <c r="EJT225" s="35"/>
      <c r="EJU225" s="35"/>
      <c r="EJV225" s="35"/>
      <c r="EJW225" s="35"/>
      <c r="EJX225" s="34"/>
      <c r="EJY225" s="34"/>
      <c r="EJZ225" s="36"/>
      <c r="EKA225" s="36"/>
      <c r="EKB225" s="37"/>
      <c r="EKC225" s="37"/>
      <c r="EKD225" s="38"/>
      <c r="EKE225" s="38"/>
      <c r="EKF225" s="39"/>
      <c r="EKG225" s="34"/>
      <c r="EKH225" s="34"/>
      <c r="EKI225" s="34"/>
      <c r="EKJ225" s="35"/>
      <c r="EKK225" s="35"/>
      <c r="EKL225" s="35"/>
      <c r="EKM225" s="35"/>
      <c r="EKN225" s="35"/>
      <c r="EKO225" s="34"/>
      <c r="EKP225" s="34"/>
      <c r="EKQ225" s="36"/>
      <c r="EKR225" s="36"/>
      <c r="EKS225" s="37"/>
      <c r="EKT225" s="37"/>
      <c r="EKU225" s="38"/>
      <c r="EKV225" s="38"/>
      <c r="EKW225" s="39"/>
      <c r="EKX225" s="34"/>
      <c r="EKY225" s="34"/>
      <c r="EKZ225" s="34"/>
      <c r="ELA225" s="35"/>
      <c r="ELB225" s="35"/>
      <c r="ELC225" s="35"/>
      <c r="ELD225" s="35"/>
      <c r="ELE225" s="35"/>
      <c r="ELF225" s="34"/>
      <c r="ELG225" s="34"/>
      <c r="ELH225" s="36"/>
      <c r="ELI225" s="36"/>
      <c r="ELJ225" s="37"/>
      <c r="ELK225" s="37"/>
      <c r="ELL225" s="38"/>
      <c r="ELM225" s="38"/>
      <c r="ELN225" s="39"/>
      <c r="ELO225" s="34"/>
      <c r="ELP225" s="34"/>
      <c r="ELQ225" s="34"/>
      <c r="ELR225" s="35"/>
      <c r="ELS225" s="35"/>
      <c r="ELT225" s="35"/>
      <c r="ELU225" s="35"/>
      <c r="ELV225" s="35"/>
      <c r="ELW225" s="34"/>
      <c r="ELX225" s="34"/>
      <c r="ELY225" s="36"/>
      <c r="ELZ225" s="36"/>
      <c r="EMA225" s="37"/>
      <c r="EMB225" s="37"/>
      <c r="EMC225" s="38"/>
      <c r="EMD225" s="38"/>
      <c r="EME225" s="39"/>
      <c r="EMF225" s="34"/>
      <c r="EMG225" s="34"/>
      <c r="EMH225" s="34"/>
      <c r="EMI225" s="35"/>
      <c r="EMJ225" s="35"/>
      <c r="EMK225" s="35"/>
      <c r="EML225" s="35"/>
      <c r="EMM225" s="35"/>
      <c r="EMN225" s="34"/>
      <c r="EMO225" s="34"/>
      <c r="EMP225" s="36"/>
      <c r="EMQ225" s="36"/>
      <c r="EMR225" s="37"/>
      <c r="EMS225" s="37"/>
      <c r="EMT225" s="38"/>
      <c r="EMU225" s="38"/>
      <c r="EMV225" s="39"/>
      <c r="EMW225" s="34"/>
      <c r="EMX225" s="34"/>
      <c r="EMY225" s="34"/>
      <c r="EMZ225" s="35"/>
      <c r="ENA225" s="35"/>
      <c r="ENB225" s="35"/>
      <c r="ENC225" s="35"/>
      <c r="END225" s="35"/>
      <c r="ENE225" s="34"/>
      <c r="ENF225" s="34"/>
      <c r="ENG225" s="36"/>
      <c r="ENH225" s="36"/>
      <c r="ENI225" s="37"/>
      <c r="ENJ225" s="37"/>
      <c r="ENK225" s="38"/>
      <c r="ENL225" s="38"/>
      <c r="ENM225" s="39"/>
      <c r="ENN225" s="34"/>
      <c r="ENO225" s="34"/>
      <c r="ENP225" s="34"/>
      <c r="ENQ225" s="35"/>
      <c r="ENR225" s="35"/>
      <c r="ENS225" s="35"/>
      <c r="ENT225" s="35"/>
      <c r="ENU225" s="35"/>
      <c r="ENV225" s="34"/>
      <c r="ENW225" s="34"/>
      <c r="ENX225" s="36"/>
      <c r="ENY225" s="36"/>
      <c r="ENZ225" s="37"/>
      <c r="EOA225" s="37"/>
      <c r="EOB225" s="38"/>
      <c r="EOC225" s="38"/>
      <c r="EOD225" s="39"/>
      <c r="EOE225" s="34"/>
      <c r="EOF225" s="34"/>
      <c r="EOG225" s="34"/>
      <c r="EOH225" s="35"/>
      <c r="EOI225" s="35"/>
      <c r="EOJ225" s="35"/>
      <c r="EOK225" s="35"/>
      <c r="EOL225" s="35"/>
      <c r="EOM225" s="34"/>
      <c r="EON225" s="34"/>
      <c r="EOO225" s="36"/>
      <c r="EOP225" s="36"/>
      <c r="EOQ225" s="37"/>
      <c r="EOR225" s="37"/>
      <c r="EOS225" s="38"/>
      <c r="EOT225" s="38"/>
      <c r="EOU225" s="39"/>
      <c r="EOV225" s="34"/>
      <c r="EOW225" s="34"/>
      <c r="EOX225" s="34"/>
      <c r="EOY225" s="35"/>
      <c r="EOZ225" s="35"/>
      <c r="EPA225" s="35"/>
      <c r="EPB225" s="35"/>
      <c r="EPC225" s="35"/>
      <c r="EPD225" s="34"/>
      <c r="EPE225" s="34"/>
      <c r="EPF225" s="36"/>
      <c r="EPG225" s="36"/>
      <c r="EPH225" s="37"/>
      <c r="EPI225" s="37"/>
      <c r="EPJ225" s="38"/>
      <c r="EPK225" s="38"/>
      <c r="EPL225" s="39"/>
      <c r="EPM225" s="34"/>
      <c r="EPN225" s="34"/>
      <c r="EPO225" s="34"/>
      <c r="EPP225" s="35"/>
      <c r="EPQ225" s="35"/>
      <c r="EPR225" s="35"/>
      <c r="EPS225" s="35"/>
      <c r="EPT225" s="35"/>
      <c r="EPU225" s="34"/>
      <c r="EPV225" s="34"/>
      <c r="EPW225" s="36"/>
      <c r="EPX225" s="36"/>
      <c r="EPY225" s="37"/>
      <c r="EPZ225" s="37"/>
      <c r="EQA225" s="38"/>
      <c r="EQB225" s="38"/>
      <c r="EQC225" s="39"/>
      <c r="EQD225" s="34"/>
      <c r="EQE225" s="34"/>
      <c r="EQF225" s="34"/>
      <c r="EQG225" s="35"/>
      <c r="EQH225" s="35"/>
      <c r="EQI225" s="35"/>
      <c r="EQJ225" s="35"/>
      <c r="EQK225" s="35"/>
      <c r="EQL225" s="34"/>
      <c r="EQM225" s="34"/>
      <c r="EQN225" s="36"/>
      <c r="EQO225" s="36"/>
      <c r="EQP225" s="37"/>
      <c r="EQQ225" s="37"/>
      <c r="EQR225" s="38"/>
      <c r="EQS225" s="38"/>
      <c r="EQT225" s="39"/>
      <c r="EQU225" s="34"/>
      <c r="EQV225" s="34"/>
      <c r="EQW225" s="34"/>
      <c r="EQX225" s="35"/>
      <c r="EQY225" s="35"/>
      <c r="EQZ225" s="35"/>
      <c r="ERA225" s="35"/>
      <c r="ERB225" s="35"/>
      <c r="ERC225" s="34"/>
      <c r="ERD225" s="34"/>
      <c r="ERE225" s="36"/>
      <c r="ERF225" s="36"/>
      <c r="ERG225" s="37"/>
      <c r="ERH225" s="37"/>
      <c r="ERI225" s="38"/>
      <c r="ERJ225" s="38"/>
      <c r="ERK225" s="39"/>
      <c r="ERL225" s="34"/>
      <c r="ERM225" s="34"/>
      <c r="ERN225" s="34"/>
      <c r="ERO225" s="35"/>
      <c r="ERP225" s="35"/>
      <c r="ERQ225" s="35"/>
      <c r="ERR225" s="35"/>
      <c r="ERS225" s="35"/>
      <c r="ERT225" s="34"/>
      <c r="ERU225" s="34"/>
      <c r="ERV225" s="36"/>
      <c r="ERW225" s="36"/>
      <c r="ERX225" s="37"/>
      <c r="ERY225" s="37"/>
      <c r="ERZ225" s="38"/>
      <c r="ESA225" s="38"/>
      <c r="ESB225" s="39"/>
      <c r="ESC225" s="34"/>
      <c r="ESD225" s="34"/>
      <c r="ESE225" s="34"/>
      <c r="ESF225" s="35"/>
      <c r="ESG225" s="35"/>
      <c r="ESH225" s="35"/>
      <c r="ESI225" s="35"/>
      <c r="ESJ225" s="35"/>
      <c r="ESK225" s="34"/>
      <c r="ESL225" s="34"/>
      <c r="ESM225" s="36"/>
      <c r="ESN225" s="36"/>
      <c r="ESO225" s="37"/>
      <c r="ESP225" s="37"/>
      <c r="ESQ225" s="38"/>
      <c r="ESR225" s="38"/>
      <c r="ESS225" s="39"/>
      <c r="EST225" s="34"/>
      <c r="ESU225" s="34"/>
      <c r="ESV225" s="34"/>
      <c r="ESW225" s="35"/>
      <c r="ESX225" s="35"/>
      <c r="ESY225" s="35"/>
      <c r="ESZ225" s="35"/>
      <c r="ETA225" s="35"/>
      <c r="ETB225" s="34"/>
      <c r="ETC225" s="34"/>
      <c r="ETD225" s="36"/>
      <c r="ETE225" s="36"/>
      <c r="ETF225" s="37"/>
      <c r="ETG225" s="37"/>
      <c r="ETH225" s="38"/>
      <c r="ETI225" s="38"/>
      <c r="ETJ225" s="39"/>
      <c r="ETK225" s="34"/>
      <c r="ETL225" s="34"/>
      <c r="ETM225" s="34"/>
      <c r="ETN225" s="35"/>
      <c r="ETO225" s="35"/>
      <c r="ETP225" s="35"/>
      <c r="ETQ225" s="35"/>
      <c r="ETR225" s="35"/>
      <c r="ETS225" s="34"/>
      <c r="ETT225" s="34"/>
      <c r="ETU225" s="36"/>
      <c r="ETV225" s="36"/>
      <c r="ETW225" s="37"/>
      <c r="ETX225" s="37"/>
      <c r="ETY225" s="38"/>
      <c r="ETZ225" s="38"/>
      <c r="EUA225" s="39"/>
      <c r="EUB225" s="34"/>
      <c r="EUC225" s="34"/>
      <c r="EUD225" s="34"/>
      <c r="EUE225" s="35"/>
      <c r="EUF225" s="35"/>
      <c r="EUG225" s="35"/>
      <c r="EUH225" s="35"/>
      <c r="EUI225" s="35"/>
      <c r="EUJ225" s="34"/>
      <c r="EUK225" s="34"/>
      <c r="EUL225" s="36"/>
      <c r="EUM225" s="36"/>
      <c r="EUN225" s="37"/>
      <c r="EUO225" s="37"/>
      <c r="EUP225" s="38"/>
      <c r="EUQ225" s="38"/>
      <c r="EUR225" s="39"/>
      <c r="EUS225" s="34"/>
      <c r="EUT225" s="34"/>
      <c r="EUU225" s="34"/>
      <c r="EUV225" s="35"/>
      <c r="EUW225" s="35"/>
      <c r="EUX225" s="35"/>
      <c r="EUY225" s="35"/>
      <c r="EUZ225" s="35"/>
      <c r="EVA225" s="34"/>
      <c r="EVB225" s="34"/>
      <c r="EVC225" s="36"/>
      <c r="EVD225" s="36"/>
      <c r="EVE225" s="37"/>
      <c r="EVF225" s="37"/>
      <c r="EVG225" s="38"/>
      <c r="EVH225" s="38"/>
      <c r="EVI225" s="39"/>
      <c r="EVJ225" s="34"/>
      <c r="EVK225" s="34"/>
      <c r="EVL225" s="34"/>
      <c r="EVM225" s="35"/>
      <c r="EVN225" s="35"/>
      <c r="EVO225" s="35"/>
      <c r="EVP225" s="35"/>
      <c r="EVQ225" s="35"/>
      <c r="EVR225" s="34"/>
      <c r="EVS225" s="34"/>
      <c r="EVT225" s="36"/>
      <c r="EVU225" s="36"/>
      <c r="EVV225" s="37"/>
      <c r="EVW225" s="37"/>
      <c r="EVX225" s="38"/>
      <c r="EVY225" s="38"/>
      <c r="EVZ225" s="39"/>
      <c r="EWA225" s="34"/>
      <c r="EWB225" s="34"/>
      <c r="EWC225" s="34"/>
      <c r="EWD225" s="35"/>
      <c r="EWE225" s="35"/>
      <c r="EWF225" s="35"/>
      <c r="EWG225" s="35"/>
      <c r="EWH225" s="35"/>
      <c r="EWI225" s="34"/>
      <c r="EWJ225" s="34"/>
      <c r="EWK225" s="36"/>
      <c r="EWL225" s="36"/>
      <c r="EWM225" s="37"/>
      <c r="EWN225" s="37"/>
      <c r="EWO225" s="38"/>
      <c r="EWP225" s="38"/>
      <c r="EWQ225" s="39"/>
      <c r="EWR225" s="34"/>
      <c r="EWS225" s="34"/>
      <c r="EWT225" s="34"/>
      <c r="EWU225" s="35"/>
      <c r="EWV225" s="35"/>
      <c r="EWW225" s="35"/>
      <c r="EWX225" s="35"/>
      <c r="EWY225" s="35"/>
      <c r="EWZ225" s="34"/>
      <c r="EXA225" s="34"/>
      <c r="EXB225" s="36"/>
      <c r="EXC225" s="36"/>
      <c r="EXD225" s="37"/>
      <c r="EXE225" s="37"/>
      <c r="EXF225" s="38"/>
      <c r="EXG225" s="38"/>
      <c r="EXH225" s="39"/>
      <c r="EXI225" s="34"/>
      <c r="EXJ225" s="34"/>
      <c r="EXK225" s="34"/>
      <c r="EXL225" s="35"/>
      <c r="EXM225" s="35"/>
      <c r="EXN225" s="35"/>
      <c r="EXO225" s="35"/>
      <c r="EXP225" s="35"/>
      <c r="EXQ225" s="34"/>
      <c r="EXR225" s="34"/>
      <c r="EXS225" s="36"/>
      <c r="EXT225" s="36"/>
      <c r="EXU225" s="37"/>
      <c r="EXV225" s="37"/>
      <c r="EXW225" s="38"/>
      <c r="EXX225" s="38"/>
      <c r="EXY225" s="39"/>
      <c r="EXZ225" s="34"/>
      <c r="EYA225" s="34"/>
      <c r="EYB225" s="34"/>
      <c r="EYC225" s="35"/>
      <c r="EYD225" s="35"/>
      <c r="EYE225" s="35"/>
      <c r="EYF225" s="35"/>
      <c r="EYG225" s="35"/>
      <c r="EYH225" s="34"/>
      <c r="EYI225" s="34"/>
      <c r="EYJ225" s="36"/>
      <c r="EYK225" s="36"/>
      <c r="EYL225" s="37"/>
      <c r="EYM225" s="37"/>
      <c r="EYN225" s="38"/>
      <c r="EYO225" s="38"/>
      <c r="EYP225" s="39"/>
      <c r="EYQ225" s="34"/>
      <c r="EYR225" s="34"/>
      <c r="EYS225" s="34"/>
      <c r="EYT225" s="35"/>
      <c r="EYU225" s="35"/>
      <c r="EYV225" s="35"/>
      <c r="EYW225" s="35"/>
      <c r="EYX225" s="35"/>
      <c r="EYY225" s="34"/>
      <c r="EYZ225" s="34"/>
      <c r="EZA225" s="36"/>
      <c r="EZB225" s="36"/>
      <c r="EZC225" s="37"/>
      <c r="EZD225" s="37"/>
      <c r="EZE225" s="38"/>
      <c r="EZF225" s="38"/>
      <c r="EZG225" s="39"/>
      <c r="EZH225" s="34"/>
      <c r="EZI225" s="34"/>
      <c r="EZJ225" s="34"/>
      <c r="EZK225" s="35"/>
      <c r="EZL225" s="35"/>
      <c r="EZM225" s="35"/>
      <c r="EZN225" s="35"/>
      <c r="EZO225" s="35"/>
      <c r="EZP225" s="34"/>
      <c r="EZQ225" s="34"/>
      <c r="EZR225" s="36"/>
      <c r="EZS225" s="36"/>
      <c r="EZT225" s="37"/>
      <c r="EZU225" s="37"/>
      <c r="EZV225" s="38"/>
      <c r="EZW225" s="38"/>
      <c r="EZX225" s="39"/>
      <c r="EZY225" s="34"/>
      <c r="EZZ225" s="34"/>
      <c r="FAA225" s="34"/>
      <c r="FAB225" s="35"/>
      <c r="FAC225" s="35"/>
      <c r="FAD225" s="35"/>
      <c r="FAE225" s="35"/>
      <c r="FAF225" s="35"/>
      <c r="FAG225" s="34"/>
      <c r="FAH225" s="34"/>
      <c r="FAI225" s="36"/>
      <c r="FAJ225" s="36"/>
      <c r="FAK225" s="37"/>
      <c r="FAL225" s="37"/>
      <c r="FAM225" s="38"/>
      <c r="FAN225" s="38"/>
      <c r="FAO225" s="39"/>
      <c r="FAP225" s="34"/>
      <c r="FAQ225" s="34"/>
      <c r="FAR225" s="34"/>
      <c r="FAS225" s="35"/>
      <c r="FAT225" s="35"/>
      <c r="FAU225" s="35"/>
      <c r="FAV225" s="35"/>
      <c r="FAW225" s="35"/>
      <c r="FAX225" s="34"/>
      <c r="FAY225" s="34"/>
      <c r="FAZ225" s="36"/>
      <c r="FBA225" s="36"/>
      <c r="FBB225" s="37"/>
      <c r="FBC225" s="37"/>
      <c r="FBD225" s="38"/>
      <c r="FBE225" s="38"/>
      <c r="FBF225" s="39"/>
      <c r="FBG225" s="34"/>
      <c r="FBH225" s="34"/>
      <c r="FBI225" s="34"/>
      <c r="FBJ225" s="35"/>
      <c r="FBK225" s="35"/>
      <c r="FBL225" s="35"/>
      <c r="FBM225" s="35"/>
      <c r="FBN225" s="35"/>
      <c r="FBO225" s="34"/>
      <c r="FBP225" s="34"/>
      <c r="FBQ225" s="36"/>
      <c r="FBR225" s="36"/>
      <c r="FBS225" s="37"/>
      <c r="FBT225" s="37"/>
      <c r="FBU225" s="38"/>
      <c r="FBV225" s="38"/>
      <c r="FBW225" s="39"/>
      <c r="FBX225" s="34"/>
      <c r="FBY225" s="34"/>
      <c r="FBZ225" s="34"/>
      <c r="FCA225" s="35"/>
      <c r="FCB225" s="35"/>
      <c r="FCC225" s="35"/>
      <c r="FCD225" s="35"/>
      <c r="FCE225" s="35"/>
      <c r="FCF225" s="34"/>
      <c r="FCG225" s="34"/>
      <c r="FCH225" s="36"/>
      <c r="FCI225" s="36"/>
      <c r="FCJ225" s="37"/>
      <c r="FCK225" s="37"/>
      <c r="FCL225" s="38"/>
      <c r="FCM225" s="38"/>
      <c r="FCN225" s="39"/>
      <c r="FCO225" s="34"/>
      <c r="FCP225" s="34"/>
      <c r="FCQ225" s="34"/>
      <c r="FCR225" s="35"/>
      <c r="FCS225" s="35"/>
      <c r="FCT225" s="35"/>
      <c r="FCU225" s="35"/>
      <c r="FCV225" s="35"/>
      <c r="FCW225" s="34"/>
      <c r="FCX225" s="34"/>
      <c r="FCY225" s="36"/>
      <c r="FCZ225" s="36"/>
      <c r="FDA225" s="37"/>
      <c r="FDB225" s="37"/>
      <c r="FDC225" s="38"/>
      <c r="FDD225" s="38"/>
      <c r="FDE225" s="39"/>
      <c r="FDF225" s="34"/>
      <c r="FDG225" s="34"/>
      <c r="FDH225" s="34"/>
      <c r="FDI225" s="35"/>
      <c r="FDJ225" s="35"/>
      <c r="FDK225" s="35"/>
      <c r="FDL225" s="35"/>
      <c r="FDM225" s="35"/>
      <c r="FDN225" s="34"/>
      <c r="FDO225" s="34"/>
      <c r="FDP225" s="36"/>
      <c r="FDQ225" s="36"/>
      <c r="FDR225" s="37"/>
      <c r="FDS225" s="37"/>
      <c r="FDT225" s="38"/>
      <c r="FDU225" s="38"/>
      <c r="FDV225" s="39"/>
      <c r="FDW225" s="34"/>
      <c r="FDX225" s="34"/>
      <c r="FDY225" s="34"/>
      <c r="FDZ225" s="35"/>
      <c r="FEA225" s="35"/>
      <c r="FEB225" s="35"/>
      <c r="FEC225" s="35"/>
      <c r="FED225" s="35"/>
      <c r="FEE225" s="34"/>
      <c r="FEF225" s="34"/>
      <c r="FEG225" s="36"/>
      <c r="FEH225" s="36"/>
      <c r="FEI225" s="37"/>
      <c r="FEJ225" s="37"/>
      <c r="FEK225" s="38"/>
      <c r="FEL225" s="38"/>
      <c r="FEM225" s="39"/>
      <c r="FEN225" s="34"/>
      <c r="FEO225" s="34"/>
      <c r="FEP225" s="34"/>
      <c r="FEQ225" s="35"/>
      <c r="FER225" s="35"/>
      <c r="FES225" s="35"/>
      <c r="FET225" s="35"/>
      <c r="FEU225" s="35"/>
      <c r="FEV225" s="34"/>
      <c r="FEW225" s="34"/>
      <c r="FEX225" s="36"/>
      <c r="FEY225" s="36"/>
      <c r="FEZ225" s="37"/>
      <c r="FFA225" s="37"/>
      <c r="FFB225" s="38"/>
      <c r="FFC225" s="38"/>
      <c r="FFD225" s="39"/>
      <c r="FFE225" s="34"/>
      <c r="FFF225" s="34"/>
      <c r="FFG225" s="34"/>
      <c r="FFH225" s="35"/>
      <c r="FFI225" s="35"/>
      <c r="FFJ225" s="35"/>
      <c r="FFK225" s="35"/>
      <c r="FFL225" s="35"/>
      <c r="FFM225" s="34"/>
      <c r="FFN225" s="34"/>
      <c r="FFO225" s="36"/>
      <c r="FFP225" s="36"/>
      <c r="FFQ225" s="37"/>
      <c r="FFR225" s="37"/>
      <c r="FFS225" s="38"/>
      <c r="FFT225" s="38"/>
      <c r="FFU225" s="39"/>
      <c r="FFV225" s="34"/>
      <c r="FFW225" s="34"/>
      <c r="FFX225" s="34"/>
      <c r="FFY225" s="35"/>
      <c r="FFZ225" s="35"/>
      <c r="FGA225" s="35"/>
      <c r="FGB225" s="35"/>
      <c r="FGC225" s="35"/>
      <c r="FGD225" s="34"/>
      <c r="FGE225" s="34"/>
      <c r="FGF225" s="36"/>
      <c r="FGG225" s="36"/>
      <c r="FGH225" s="37"/>
      <c r="FGI225" s="37"/>
      <c r="FGJ225" s="38"/>
      <c r="FGK225" s="38"/>
      <c r="FGL225" s="39"/>
      <c r="FGM225" s="34"/>
      <c r="FGN225" s="34"/>
      <c r="FGO225" s="34"/>
      <c r="FGP225" s="35"/>
      <c r="FGQ225" s="35"/>
      <c r="FGR225" s="35"/>
      <c r="FGS225" s="35"/>
      <c r="FGT225" s="35"/>
      <c r="FGU225" s="34"/>
      <c r="FGV225" s="34"/>
      <c r="FGW225" s="36"/>
      <c r="FGX225" s="36"/>
      <c r="FGY225" s="37"/>
      <c r="FGZ225" s="37"/>
      <c r="FHA225" s="38"/>
      <c r="FHB225" s="38"/>
      <c r="FHC225" s="39"/>
      <c r="FHD225" s="34"/>
      <c r="FHE225" s="34"/>
      <c r="FHF225" s="34"/>
      <c r="FHG225" s="35"/>
      <c r="FHH225" s="35"/>
      <c r="FHI225" s="35"/>
      <c r="FHJ225" s="35"/>
      <c r="FHK225" s="35"/>
      <c r="FHL225" s="34"/>
      <c r="FHM225" s="34"/>
      <c r="FHN225" s="36"/>
      <c r="FHO225" s="36"/>
      <c r="FHP225" s="37"/>
      <c r="FHQ225" s="37"/>
      <c r="FHR225" s="38"/>
      <c r="FHS225" s="38"/>
      <c r="FHT225" s="39"/>
      <c r="FHU225" s="34"/>
      <c r="FHV225" s="34"/>
      <c r="FHW225" s="34"/>
      <c r="FHX225" s="35"/>
      <c r="FHY225" s="35"/>
      <c r="FHZ225" s="35"/>
      <c r="FIA225" s="35"/>
      <c r="FIB225" s="35"/>
      <c r="FIC225" s="34"/>
      <c r="FID225" s="34"/>
      <c r="FIE225" s="36"/>
      <c r="FIF225" s="36"/>
      <c r="FIG225" s="37"/>
      <c r="FIH225" s="37"/>
      <c r="FII225" s="38"/>
      <c r="FIJ225" s="38"/>
      <c r="FIK225" s="39"/>
      <c r="FIL225" s="34"/>
      <c r="FIM225" s="34"/>
      <c r="FIN225" s="34"/>
      <c r="FIO225" s="35"/>
      <c r="FIP225" s="35"/>
      <c r="FIQ225" s="35"/>
      <c r="FIR225" s="35"/>
      <c r="FIS225" s="35"/>
      <c r="FIT225" s="34"/>
      <c r="FIU225" s="34"/>
      <c r="FIV225" s="36"/>
      <c r="FIW225" s="36"/>
      <c r="FIX225" s="37"/>
      <c r="FIY225" s="37"/>
      <c r="FIZ225" s="38"/>
      <c r="FJA225" s="38"/>
      <c r="FJB225" s="39"/>
      <c r="FJC225" s="34"/>
      <c r="FJD225" s="34"/>
      <c r="FJE225" s="34"/>
      <c r="FJF225" s="35"/>
      <c r="FJG225" s="35"/>
      <c r="FJH225" s="35"/>
      <c r="FJI225" s="35"/>
      <c r="FJJ225" s="35"/>
      <c r="FJK225" s="34"/>
      <c r="FJL225" s="34"/>
      <c r="FJM225" s="36"/>
      <c r="FJN225" s="36"/>
      <c r="FJO225" s="37"/>
      <c r="FJP225" s="37"/>
      <c r="FJQ225" s="38"/>
      <c r="FJR225" s="38"/>
      <c r="FJS225" s="39"/>
      <c r="FJT225" s="34"/>
      <c r="FJU225" s="34"/>
      <c r="FJV225" s="34"/>
      <c r="FJW225" s="35"/>
      <c r="FJX225" s="35"/>
      <c r="FJY225" s="35"/>
      <c r="FJZ225" s="35"/>
      <c r="FKA225" s="35"/>
      <c r="FKB225" s="34"/>
      <c r="FKC225" s="34"/>
      <c r="FKD225" s="36"/>
      <c r="FKE225" s="36"/>
      <c r="FKF225" s="37"/>
      <c r="FKG225" s="37"/>
      <c r="FKH225" s="38"/>
      <c r="FKI225" s="38"/>
      <c r="FKJ225" s="39"/>
      <c r="FKK225" s="34"/>
      <c r="FKL225" s="34"/>
      <c r="FKM225" s="34"/>
      <c r="FKN225" s="35"/>
      <c r="FKO225" s="35"/>
      <c r="FKP225" s="35"/>
      <c r="FKQ225" s="35"/>
      <c r="FKR225" s="35"/>
      <c r="FKS225" s="34"/>
      <c r="FKT225" s="34"/>
      <c r="FKU225" s="36"/>
      <c r="FKV225" s="36"/>
      <c r="FKW225" s="37"/>
      <c r="FKX225" s="37"/>
      <c r="FKY225" s="38"/>
      <c r="FKZ225" s="38"/>
      <c r="FLA225" s="39"/>
      <c r="FLB225" s="34"/>
      <c r="FLC225" s="34"/>
      <c r="FLD225" s="34"/>
      <c r="FLE225" s="35"/>
      <c r="FLF225" s="35"/>
      <c r="FLG225" s="35"/>
      <c r="FLH225" s="35"/>
      <c r="FLI225" s="35"/>
      <c r="FLJ225" s="34"/>
      <c r="FLK225" s="34"/>
      <c r="FLL225" s="36"/>
      <c r="FLM225" s="36"/>
      <c r="FLN225" s="37"/>
      <c r="FLO225" s="37"/>
      <c r="FLP225" s="38"/>
      <c r="FLQ225" s="38"/>
      <c r="FLR225" s="39"/>
      <c r="FLS225" s="34"/>
      <c r="FLT225" s="34"/>
      <c r="FLU225" s="34"/>
      <c r="FLV225" s="35"/>
      <c r="FLW225" s="35"/>
      <c r="FLX225" s="35"/>
      <c r="FLY225" s="35"/>
      <c r="FLZ225" s="35"/>
      <c r="FMA225" s="34"/>
      <c r="FMB225" s="34"/>
      <c r="FMC225" s="36"/>
      <c r="FMD225" s="36"/>
      <c r="FME225" s="37"/>
      <c r="FMF225" s="37"/>
      <c r="FMG225" s="38"/>
      <c r="FMH225" s="38"/>
      <c r="FMI225" s="39"/>
      <c r="FMJ225" s="34"/>
      <c r="FMK225" s="34"/>
      <c r="FML225" s="34"/>
      <c r="FMM225" s="35"/>
      <c r="FMN225" s="35"/>
      <c r="FMO225" s="35"/>
      <c r="FMP225" s="35"/>
      <c r="FMQ225" s="35"/>
      <c r="FMR225" s="34"/>
      <c r="FMS225" s="34"/>
      <c r="FMT225" s="36"/>
      <c r="FMU225" s="36"/>
      <c r="FMV225" s="37"/>
      <c r="FMW225" s="37"/>
      <c r="FMX225" s="38"/>
      <c r="FMY225" s="38"/>
      <c r="FMZ225" s="39"/>
      <c r="FNA225" s="34"/>
      <c r="FNB225" s="34"/>
      <c r="FNC225" s="34"/>
      <c r="FND225" s="35"/>
      <c r="FNE225" s="35"/>
      <c r="FNF225" s="35"/>
      <c r="FNG225" s="35"/>
      <c r="FNH225" s="35"/>
      <c r="FNI225" s="34"/>
      <c r="FNJ225" s="34"/>
      <c r="FNK225" s="36"/>
      <c r="FNL225" s="36"/>
      <c r="FNM225" s="37"/>
      <c r="FNN225" s="37"/>
      <c r="FNO225" s="38"/>
      <c r="FNP225" s="38"/>
      <c r="FNQ225" s="39"/>
      <c r="FNR225" s="34"/>
      <c r="FNS225" s="34"/>
      <c r="FNT225" s="34"/>
      <c r="FNU225" s="35"/>
      <c r="FNV225" s="35"/>
      <c r="FNW225" s="35"/>
      <c r="FNX225" s="35"/>
      <c r="FNY225" s="35"/>
      <c r="FNZ225" s="34"/>
      <c r="FOA225" s="34"/>
      <c r="FOB225" s="36"/>
      <c r="FOC225" s="36"/>
      <c r="FOD225" s="37"/>
      <c r="FOE225" s="37"/>
      <c r="FOF225" s="38"/>
      <c r="FOG225" s="38"/>
      <c r="FOH225" s="39"/>
      <c r="FOI225" s="34"/>
      <c r="FOJ225" s="34"/>
      <c r="FOK225" s="34"/>
      <c r="FOL225" s="35"/>
      <c r="FOM225" s="35"/>
      <c r="FON225" s="35"/>
      <c r="FOO225" s="35"/>
      <c r="FOP225" s="35"/>
      <c r="FOQ225" s="34"/>
      <c r="FOR225" s="34"/>
      <c r="FOS225" s="36"/>
      <c r="FOT225" s="36"/>
      <c r="FOU225" s="37"/>
      <c r="FOV225" s="37"/>
      <c r="FOW225" s="38"/>
      <c r="FOX225" s="38"/>
      <c r="FOY225" s="39"/>
      <c r="FOZ225" s="34"/>
      <c r="FPA225" s="34"/>
      <c r="FPB225" s="34"/>
      <c r="FPC225" s="35"/>
      <c r="FPD225" s="35"/>
      <c r="FPE225" s="35"/>
      <c r="FPF225" s="35"/>
      <c r="FPG225" s="35"/>
      <c r="FPH225" s="34"/>
      <c r="FPI225" s="34"/>
      <c r="FPJ225" s="36"/>
      <c r="FPK225" s="36"/>
      <c r="FPL225" s="37"/>
      <c r="FPM225" s="37"/>
      <c r="FPN225" s="38"/>
      <c r="FPO225" s="38"/>
      <c r="FPP225" s="39"/>
      <c r="FPQ225" s="34"/>
      <c r="FPR225" s="34"/>
      <c r="FPS225" s="34"/>
      <c r="FPT225" s="35"/>
      <c r="FPU225" s="35"/>
      <c r="FPV225" s="35"/>
      <c r="FPW225" s="35"/>
      <c r="FPX225" s="35"/>
      <c r="FPY225" s="34"/>
      <c r="FPZ225" s="34"/>
      <c r="FQA225" s="36"/>
      <c r="FQB225" s="36"/>
      <c r="FQC225" s="37"/>
      <c r="FQD225" s="37"/>
      <c r="FQE225" s="38"/>
      <c r="FQF225" s="38"/>
      <c r="FQG225" s="39"/>
      <c r="FQH225" s="34"/>
      <c r="FQI225" s="34"/>
      <c r="FQJ225" s="34"/>
      <c r="FQK225" s="35"/>
      <c r="FQL225" s="35"/>
      <c r="FQM225" s="35"/>
      <c r="FQN225" s="35"/>
      <c r="FQO225" s="35"/>
      <c r="FQP225" s="34"/>
      <c r="FQQ225" s="34"/>
      <c r="FQR225" s="36"/>
      <c r="FQS225" s="36"/>
      <c r="FQT225" s="37"/>
      <c r="FQU225" s="37"/>
      <c r="FQV225" s="38"/>
      <c r="FQW225" s="38"/>
      <c r="FQX225" s="39"/>
      <c r="FQY225" s="34"/>
      <c r="FQZ225" s="34"/>
      <c r="FRA225" s="34"/>
      <c r="FRB225" s="35"/>
      <c r="FRC225" s="35"/>
      <c r="FRD225" s="35"/>
      <c r="FRE225" s="35"/>
      <c r="FRF225" s="35"/>
      <c r="FRG225" s="34"/>
      <c r="FRH225" s="34"/>
      <c r="FRI225" s="36"/>
      <c r="FRJ225" s="36"/>
      <c r="FRK225" s="37"/>
      <c r="FRL225" s="37"/>
      <c r="FRM225" s="38"/>
      <c r="FRN225" s="38"/>
      <c r="FRO225" s="39"/>
      <c r="FRP225" s="34"/>
      <c r="FRQ225" s="34"/>
      <c r="FRR225" s="34"/>
      <c r="FRS225" s="35"/>
      <c r="FRT225" s="35"/>
      <c r="FRU225" s="35"/>
      <c r="FRV225" s="35"/>
      <c r="FRW225" s="35"/>
      <c r="FRX225" s="34"/>
      <c r="FRY225" s="34"/>
      <c r="FRZ225" s="36"/>
      <c r="FSA225" s="36"/>
      <c r="FSB225" s="37"/>
      <c r="FSC225" s="37"/>
      <c r="FSD225" s="38"/>
      <c r="FSE225" s="38"/>
      <c r="FSF225" s="39"/>
      <c r="FSG225" s="34"/>
      <c r="FSH225" s="34"/>
      <c r="FSI225" s="34"/>
      <c r="FSJ225" s="35"/>
      <c r="FSK225" s="35"/>
      <c r="FSL225" s="35"/>
      <c r="FSM225" s="35"/>
      <c r="FSN225" s="35"/>
      <c r="FSO225" s="34"/>
      <c r="FSP225" s="34"/>
      <c r="FSQ225" s="36"/>
      <c r="FSR225" s="36"/>
      <c r="FSS225" s="37"/>
      <c r="FST225" s="37"/>
      <c r="FSU225" s="38"/>
      <c r="FSV225" s="38"/>
      <c r="FSW225" s="39"/>
      <c r="FSX225" s="34"/>
      <c r="FSY225" s="34"/>
      <c r="FSZ225" s="34"/>
      <c r="FTA225" s="35"/>
      <c r="FTB225" s="35"/>
      <c r="FTC225" s="35"/>
      <c r="FTD225" s="35"/>
      <c r="FTE225" s="35"/>
      <c r="FTF225" s="34"/>
      <c r="FTG225" s="34"/>
      <c r="FTH225" s="36"/>
      <c r="FTI225" s="36"/>
      <c r="FTJ225" s="37"/>
      <c r="FTK225" s="37"/>
      <c r="FTL225" s="38"/>
      <c r="FTM225" s="38"/>
      <c r="FTN225" s="39"/>
      <c r="FTO225" s="34"/>
      <c r="FTP225" s="34"/>
      <c r="FTQ225" s="34"/>
      <c r="FTR225" s="35"/>
      <c r="FTS225" s="35"/>
      <c r="FTT225" s="35"/>
      <c r="FTU225" s="35"/>
      <c r="FTV225" s="35"/>
      <c r="FTW225" s="34"/>
      <c r="FTX225" s="34"/>
      <c r="FTY225" s="36"/>
      <c r="FTZ225" s="36"/>
      <c r="FUA225" s="37"/>
      <c r="FUB225" s="37"/>
      <c r="FUC225" s="38"/>
      <c r="FUD225" s="38"/>
      <c r="FUE225" s="39"/>
      <c r="FUF225" s="34"/>
      <c r="FUG225" s="34"/>
      <c r="FUH225" s="34"/>
      <c r="FUI225" s="35"/>
      <c r="FUJ225" s="35"/>
      <c r="FUK225" s="35"/>
      <c r="FUL225" s="35"/>
      <c r="FUM225" s="35"/>
      <c r="FUN225" s="34"/>
      <c r="FUO225" s="34"/>
      <c r="FUP225" s="36"/>
      <c r="FUQ225" s="36"/>
      <c r="FUR225" s="37"/>
      <c r="FUS225" s="37"/>
      <c r="FUT225" s="38"/>
      <c r="FUU225" s="38"/>
      <c r="FUV225" s="39"/>
      <c r="FUW225" s="34"/>
      <c r="FUX225" s="34"/>
      <c r="FUY225" s="34"/>
      <c r="FUZ225" s="35"/>
      <c r="FVA225" s="35"/>
      <c r="FVB225" s="35"/>
      <c r="FVC225" s="35"/>
      <c r="FVD225" s="35"/>
      <c r="FVE225" s="34"/>
      <c r="FVF225" s="34"/>
      <c r="FVG225" s="36"/>
      <c r="FVH225" s="36"/>
      <c r="FVI225" s="37"/>
      <c r="FVJ225" s="37"/>
      <c r="FVK225" s="38"/>
      <c r="FVL225" s="38"/>
      <c r="FVM225" s="39"/>
      <c r="FVN225" s="34"/>
      <c r="FVO225" s="34"/>
      <c r="FVP225" s="34"/>
      <c r="FVQ225" s="35"/>
      <c r="FVR225" s="35"/>
      <c r="FVS225" s="35"/>
      <c r="FVT225" s="35"/>
      <c r="FVU225" s="35"/>
      <c r="FVV225" s="34"/>
      <c r="FVW225" s="34"/>
      <c r="FVX225" s="36"/>
      <c r="FVY225" s="36"/>
      <c r="FVZ225" s="37"/>
      <c r="FWA225" s="37"/>
      <c r="FWB225" s="38"/>
      <c r="FWC225" s="38"/>
      <c r="FWD225" s="39"/>
      <c r="FWE225" s="34"/>
      <c r="FWF225" s="34"/>
      <c r="FWG225" s="34"/>
      <c r="FWH225" s="35"/>
      <c r="FWI225" s="35"/>
      <c r="FWJ225" s="35"/>
      <c r="FWK225" s="35"/>
      <c r="FWL225" s="35"/>
      <c r="FWM225" s="34"/>
      <c r="FWN225" s="34"/>
      <c r="FWO225" s="36"/>
      <c r="FWP225" s="36"/>
      <c r="FWQ225" s="37"/>
      <c r="FWR225" s="37"/>
      <c r="FWS225" s="38"/>
      <c r="FWT225" s="38"/>
      <c r="FWU225" s="39"/>
      <c r="FWV225" s="34"/>
      <c r="FWW225" s="34"/>
      <c r="FWX225" s="34"/>
      <c r="FWY225" s="35"/>
      <c r="FWZ225" s="35"/>
      <c r="FXA225" s="35"/>
      <c r="FXB225" s="35"/>
      <c r="FXC225" s="35"/>
      <c r="FXD225" s="34"/>
      <c r="FXE225" s="34"/>
      <c r="FXF225" s="36"/>
      <c r="FXG225" s="36"/>
      <c r="FXH225" s="37"/>
      <c r="FXI225" s="37"/>
      <c r="FXJ225" s="38"/>
      <c r="FXK225" s="38"/>
      <c r="FXL225" s="39"/>
      <c r="FXM225" s="34"/>
      <c r="FXN225" s="34"/>
      <c r="FXO225" s="34"/>
      <c r="FXP225" s="35"/>
      <c r="FXQ225" s="35"/>
      <c r="FXR225" s="35"/>
      <c r="FXS225" s="35"/>
      <c r="FXT225" s="35"/>
      <c r="FXU225" s="34"/>
      <c r="FXV225" s="34"/>
      <c r="FXW225" s="36"/>
      <c r="FXX225" s="36"/>
      <c r="FXY225" s="37"/>
      <c r="FXZ225" s="37"/>
      <c r="FYA225" s="38"/>
      <c r="FYB225" s="38"/>
      <c r="FYC225" s="39"/>
      <c r="FYD225" s="34"/>
      <c r="FYE225" s="34"/>
      <c r="FYF225" s="34"/>
      <c r="FYG225" s="35"/>
      <c r="FYH225" s="35"/>
      <c r="FYI225" s="35"/>
      <c r="FYJ225" s="35"/>
      <c r="FYK225" s="35"/>
      <c r="FYL225" s="34"/>
      <c r="FYM225" s="34"/>
      <c r="FYN225" s="36"/>
      <c r="FYO225" s="36"/>
      <c r="FYP225" s="37"/>
      <c r="FYQ225" s="37"/>
      <c r="FYR225" s="38"/>
      <c r="FYS225" s="38"/>
      <c r="FYT225" s="39"/>
      <c r="FYU225" s="34"/>
      <c r="FYV225" s="34"/>
      <c r="FYW225" s="34"/>
      <c r="FYX225" s="35"/>
      <c r="FYY225" s="35"/>
      <c r="FYZ225" s="35"/>
      <c r="FZA225" s="35"/>
      <c r="FZB225" s="35"/>
      <c r="FZC225" s="34"/>
      <c r="FZD225" s="34"/>
      <c r="FZE225" s="36"/>
      <c r="FZF225" s="36"/>
      <c r="FZG225" s="37"/>
      <c r="FZH225" s="37"/>
      <c r="FZI225" s="38"/>
      <c r="FZJ225" s="38"/>
      <c r="FZK225" s="39"/>
      <c r="FZL225" s="34"/>
      <c r="FZM225" s="34"/>
      <c r="FZN225" s="34"/>
      <c r="FZO225" s="35"/>
      <c r="FZP225" s="35"/>
      <c r="FZQ225" s="35"/>
      <c r="FZR225" s="35"/>
      <c r="FZS225" s="35"/>
      <c r="FZT225" s="34"/>
      <c r="FZU225" s="34"/>
      <c r="FZV225" s="36"/>
      <c r="FZW225" s="36"/>
      <c r="FZX225" s="37"/>
      <c r="FZY225" s="37"/>
      <c r="FZZ225" s="38"/>
      <c r="GAA225" s="38"/>
      <c r="GAB225" s="39"/>
      <c r="GAC225" s="34"/>
      <c r="GAD225" s="34"/>
      <c r="GAE225" s="34"/>
      <c r="GAF225" s="35"/>
      <c r="GAG225" s="35"/>
      <c r="GAH225" s="35"/>
      <c r="GAI225" s="35"/>
      <c r="GAJ225" s="35"/>
      <c r="GAK225" s="34"/>
      <c r="GAL225" s="34"/>
      <c r="GAM225" s="36"/>
      <c r="GAN225" s="36"/>
      <c r="GAO225" s="37"/>
      <c r="GAP225" s="37"/>
      <c r="GAQ225" s="38"/>
      <c r="GAR225" s="38"/>
      <c r="GAS225" s="39"/>
      <c r="GAT225" s="34"/>
      <c r="GAU225" s="34"/>
      <c r="GAV225" s="34"/>
      <c r="GAW225" s="35"/>
      <c r="GAX225" s="35"/>
      <c r="GAY225" s="35"/>
      <c r="GAZ225" s="35"/>
      <c r="GBA225" s="35"/>
      <c r="GBB225" s="34"/>
      <c r="GBC225" s="34"/>
      <c r="GBD225" s="36"/>
      <c r="GBE225" s="36"/>
      <c r="GBF225" s="37"/>
      <c r="GBG225" s="37"/>
      <c r="GBH225" s="38"/>
      <c r="GBI225" s="38"/>
      <c r="GBJ225" s="39"/>
      <c r="GBK225" s="34"/>
      <c r="GBL225" s="34"/>
      <c r="GBM225" s="34"/>
      <c r="GBN225" s="35"/>
      <c r="GBO225" s="35"/>
      <c r="GBP225" s="35"/>
      <c r="GBQ225" s="35"/>
      <c r="GBR225" s="35"/>
      <c r="GBS225" s="34"/>
      <c r="GBT225" s="34"/>
      <c r="GBU225" s="36"/>
      <c r="GBV225" s="36"/>
      <c r="GBW225" s="37"/>
      <c r="GBX225" s="37"/>
      <c r="GBY225" s="38"/>
      <c r="GBZ225" s="38"/>
      <c r="GCA225" s="39"/>
      <c r="GCB225" s="34"/>
      <c r="GCC225" s="34"/>
      <c r="GCD225" s="34"/>
      <c r="GCE225" s="35"/>
      <c r="GCF225" s="35"/>
      <c r="GCG225" s="35"/>
      <c r="GCH225" s="35"/>
      <c r="GCI225" s="35"/>
      <c r="GCJ225" s="34"/>
      <c r="GCK225" s="34"/>
      <c r="GCL225" s="36"/>
      <c r="GCM225" s="36"/>
      <c r="GCN225" s="37"/>
      <c r="GCO225" s="37"/>
      <c r="GCP225" s="38"/>
      <c r="GCQ225" s="38"/>
      <c r="GCR225" s="39"/>
      <c r="GCS225" s="34"/>
      <c r="GCT225" s="34"/>
      <c r="GCU225" s="34"/>
      <c r="GCV225" s="35"/>
      <c r="GCW225" s="35"/>
      <c r="GCX225" s="35"/>
      <c r="GCY225" s="35"/>
      <c r="GCZ225" s="35"/>
      <c r="GDA225" s="34"/>
      <c r="GDB225" s="34"/>
      <c r="GDC225" s="36"/>
      <c r="GDD225" s="36"/>
      <c r="GDE225" s="37"/>
      <c r="GDF225" s="37"/>
      <c r="GDG225" s="38"/>
      <c r="GDH225" s="38"/>
      <c r="GDI225" s="39"/>
      <c r="GDJ225" s="34"/>
      <c r="GDK225" s="34"/>
      <c r="GDL225" s="34"/>
      <c r="GDM225" s="35"/>
      <c r="GDN225" s="35"/>
      <c r="GDO225" s="35"/>
      <c r="GDP225" s="35"/>
      <c r="GDQ225" s="35"/>
      <c r="GDR225" s="34"/>
      <c r="GDS225" s="34"/>
      <c r="GDT225" s="36"/>
      <c r="GDU225" s="36"/>
      <c r="GDV225" s="37"/>
      <c r="GDW225" s="37"/>
      <c r="GDX225" s="38"/>
      <c r="GDY225" s="38"/>
      <c r="GDZ225" s="39"/>
      <c r="GEA225" s="34"/>
      <c r="GEB225" s="34"/>
      <c r="GEC225" s="34"/>
      <c r="GED225" s="35"/>
      <c r="GEE225" s="35"/>
      <c r="GEF225" s="35"/>
      <c r="GEG225" s="35"/>
      <c r="GEH225" s="35"/>
      <c r="GEI225" s="34"/>
      <c r="GEJ225" s="34"/>
      <c r="GEK225" s="36"/>
      <c r="GEL225" s="36"/>
      <c r="GEM225" s="37"/>
      <c r="GEN225" s="37"/>
      <c r="GEO225" s="38"/>
      <c r="GEP225" s="38"/>
      <c r="GEQ225" s="39"/>
      <c r="GER225" s="34"/>
      <c r="GES225" s="34"/>
      <c r="GET225" s="34"/>
      <c r="GEU225" s="35"/>
      <c r="GEV225" s="35"/>
      <c r="GEW225" s="35"/>
      <c r="GEX225" s="35"/>
      <c r="GEY225" s="35"/>
      <c r="GEZ225" s="34"/>
      <c r="GFA225" s="34"/>
      <c r="GFB225" s="36"/>
      <c r="GFC225" s="36"/>
      <c r="GFD225" s="37"/>
      <c r="GFE225" s="37"/>
      <c r="GFF225" s="38"/>
      <c r="GFG225" s="38"/>
      <c r="GFH225" s="39"/>
      <c r="GFI225" s="34"/>
      <c r="GFJ225" s="34"/>
      <c r="GFK225" s="34"/>
      <c r="GFL225" s="35"/>
      <c r="GFM225" s="35"/>
      <c r="GFN225" s="35"/>
      <c r="GFO225" s="35"/>
      <c r="GFP225" s="35"/>
      <c r="GFQ225" s="34"/>
      <c r="GFR225" s="34"/>
      <c r="GFS225" s="36"/>
      <c r="GFT225" s="36"/>
      <c r="GFU225" s="37"/>
      <c r="GFV225" s="37"/>
      <c r="GFW225" s="38"/>
      <c r="GFX225" s="38"/>
      <c r="GFY225" s="39"/>
      <c r="GFZ225" s="34"/>
      <c r="GGA225" s="34"/>
      <c r="GGB225" s="34"/>
      <c r="GGC225" s="35"/>
      <c r="GGD225" s="35"/>
      <c r="GGE225" s="35"/>
      <c r="GGF225" s="35"/>
      <c r="GGG225" s="35"/>
      <c r="GGH225" s="34"/>
      <c r="GGI225" s="34"/>
      <c r="GGJ225" s="36"/>
      <c r="GGK225" s="36"/>
      <c r="GGL225" s="37"/>
      <c r="GGM225" s="37"/>
      <c r="GGN225" s="38"/>
      <c r="GGO225" s="38"/>
      <c r="GGP225" s="39"/>
      <c r="GGQ225" s="34"/>
      <c r="GGR225" s="34"/>
      <c r="GGS225" s="34"/>
      <c r="GGT225" s="35"/>
      <c r="GGU225" s="35"/>
      <c r="GGV225" s="35"/>
      <c r="GGW225" s="35"/>
      <c r="GGX225" s="35"/>
      <c r="GGY225" s="34"/>
      <c r="GGZ225" s="34"/>
      <c r="GHA225" s="36"/>
      <c r="GHB225" s="36"/>
      <c r="GHC225" s="37"/>
      <c r="GHD225" s="37"/>
      <c r="GHE225" s="38"/>
      <c r="GHF225" s="38"/>
      <c r="GHG225" s="39"/>
      <c r="GHH225" s="34"/>
      <c r="GHI225" s="34"/>
      <c r="GHJ225" s="34"/>
      <c r="GHK225" s="35"/>
      <c r="GHL225" s="35"/>
      <c r="GHM225" s="35"/>
      <c r="GHN225" s="35"/>
      <c r="GHO225" s="35"/>
      <c r="GHP225" s="34"/>
      <c r="GHQ225" s="34"/>
      <c r="GHR225" s="36"/>
      <c r="GHS225" s="36"/>
      <c r="GHT225" s="37"/>
      <c r="GHU225" s="37"/>
      <c r="GHV225" s="38"/>
      <c r="GHW225" s="38"/>
      <c r="GHX225" s="39"/>
      <c r="GHY225" s="34"/>
      <c r="GHZ225" s="34"/>
      <c r="GIA225" s="34"/>
      <c r="GIB225" s="35"/>
      <c r="GIC225" s="35"/>
      <c r="GID225" s="35"/>
      <c r="GIE225" s="35"/>
      <c r="GIF225" s="35"/>
      <c r="GIG225" s="34"/>
      <c r="GIH225" s="34"/>
      <c r="GII225" s="36"/>
      <c r="GIJ225" s="36"/>
      <c r="GIK225" s="37"/>
      <c r="GIL225" s="37"/>
      <c r="GIM225" s="38"/>
      <c r="GIN225" s="38"/>
      <c r="GIO225" s="39"/>
      <c r="GIP225" s="34"/>
      <c r="GIQ225" s="34"/>
      <c r="GIR225" s="34"/>
      <c r="GIS225" s="35"/>
      <c r="GIT225" s="35"/>
      <c r="GIU225" s="35"/>
      <c r="GIV225" s="35"/>
      <c r="GIW225" s="35"/>
      <c r="GIX225" s="34"/>
      <c r="GIY225" s="34"/>
      <c r="GIZ225" s="36"/>
      <c r="GJA225" s="36"/>
      <c r="GJB225" s="37"/>
      <c r="GJC225" s="37"/>
      <c r="GJD225" s="38"/>
      <c r="GJE225" s="38"/>
      <c r="GJF225" s="39"/>
      <c r="GJG225" s="34"/>
      <c r="GJH225" s="34"/>
      <c r="GJI225" s="34"/>
      <c r="GJJ225" s="35"/>
      <c r="GJK225" s="35"/>
      <c r="GJL225" s="35"/>
      <c r="GJM225" s="35"/>
      <c r="GJN225" s="35"/>
      <c r="GJO225" s="34"/>
      <c r="GJP225" s="34"/>
      <c r="GJQ225" s="36"/>
      <c r="GJR225" s="36"/>
      <c r="GJS225" s="37"/>
      <c r="GJT225" s="37"/>
      <c r="GJU225" s="38"/>
      <c r="GJV225" s="38"/>
      <c r="GJW225" s="39"/>
      <c r="GJX225" s="34"/>
      <c r="GJY225" s="34"/>
      <c r="GJZ225" s="34"/>
      <c r="GKA225" s="35"/>
      <c r="GKB225" s="35"/>
      <c r="GKC225" s="35"/>
      <c r="GKD225" s="35"/>
      <c r="GKE225" s="35"/>
      <c r="GKF225" s="34"/>
      <c r="GKG225" s="34"/>
      <c r="GKH225" s="36"/>
      <c r="GKI225" s="36"/>
      <c r="GKJ225" s="37"/>
      <c r="GKK225" s="37"/>
      <c r="GKL225" s="38"/>
      <c r="GKM225" s="38"/>
      <c r="GKN225" s="39"/>
      <c r="GKO225" s="34"/>
      <c r="GKP225" s="34"/>
      <c r="GKQ225" s="34"/>
      <c r="GKR225" s="35"/>
      <c r="GKS225" s="35"/>
      <c r="GKT225" s="35"/>
      <c r="GKU225" s="35"/>
      <c r="GKV225" s="35"/>
      <c r="GKW225" s="34"/>
      <c r="GKX225" s="34"/>
      <c r="GKY225" s="36"/>
      <c r="GKZ225" s="36"/>
      <c r="GLA225" s="37"/>
      <c r="GLB225" s="37"/>
      <c r="GLC225" s="38"/>
      <c r="GLD225" s="38"/>
      <c r="GLE225" s="39"/>
      <c r="GLF225" s="34"/>
      <c r="GLG225" s="34"/>
      <c r="GLH225" s="34"/>
      <c r="GLI225" s="35"/>
      <c r="GLJ225" s="35"/>
      <c r="GLK225" s="35"/>
      <c r="GLL225" s="35"/>
      <c r="GLM225" s="35"/>
      <c r="GLN225" s="34"/>
      <c r="GLO225" s="34"/>
      <c r="GLP225" s="36"/>
      <c r="GLQ225" s="36"/>
      <c r="GLR225" s="37"/>
      <c r="GLS225" s="37"/>
      <c r="GLT225" s="38"/>
      <c r="GLU225" s="38"/>
      <c r="GLV225" s="39"/>
      <c r="GLW225" s="34"/>
      <c r="GLX225" s="34"/>
      <c r="GLY225" s="34"/>
      <c r="GLZ225" s="35"/>
      <c r="GMA225" s="35"/>
      <c r="GMB225" s="35"/>
      <c r="GMC225" s="35"/>
      <c r="GMD225" s="35"/>
      <c r="GME225" s="34"/>
      <c r="GMF225" s="34"/>
      <c r="GMG225" s="36"/>
      <c r="GMH225" s="36"/>
      <c r="GMI225" s="37"/>
      <c r="GMJ225" s="37"/>
      <c r="GMK225" s="38"/>
      <c r="GML225" s="38"/>
      <c r="GMM225" s="39"/>
      <c r="GMN225" s="34"/>
      <c r="GMO225" s="34"/>
      <c r="GMP225" s="34"/>
      <c r="GMQ225" s="35"/>
      <c r="GMR225" s="35"/>
      <c r="GMS225" s="35"/>
      <c r="GMT225" s="35"/>
      <c r="GMU225" s="35"/>
      <c r="GMV225" s="34"/>
      <c r="GMW225" s="34"/>
      <c r="GMX225" s="36"/>
      <c r="GMY225" s="36"/>
      <c r="GMZ225" s="37"/>
      <c r="GNA225" s="37"/>
      <c r="GNB225" s="38"/>
      <c r="GNC225" s="38"/>
      <c r="GND225" s="39"/>
      <c r="GNE225" s="34"/>
      <c r="GNF225" s="34"/>
      <c r="GNG225" s="34"/>
      <c r="GNH225" s="35"/>
      <c r="GNI225" s="35"/>
      <c r="GNJ225" s="35"/>
      <c r="GNK225" s="35"/>
      <c r="GNL225" s="35"/>
      <c r="GNM225" s="34"/>
      <c r="GNN225" s="34"/>
      <c r="GNO225" s="36"/>
      <c r="GNP225" s="36"/>
      <c r="GNQ225" s="37"/>
      <c r="GNR225" s="37"/>
      <c r="GNS225" s="38"/>
      <c r="GNT225" s="38"/>
      <c r="GNU225" s="39"/>
      <c r="GNV225" s="34"/>
      <c r="GNW225" s="34"/>
      <c r="GNX225" s="34"/>
      <c r="GNY225" s="35"/>
      <c r="GNZ225" s="35"/>
      <c r="GOA225" s="35"/>
      <c r="GOB225" s="35"/>
      <c r="GOC225" s="35"/>
      <c r="GOD225" s="34"/>
      <c r="GOE225" s="34"/>
      <c r="GOF225" s="36"/>
      <c r="GOG225" s="36"/>
      <c r="GOH225" s="37"/>
      <c r="GOI225" s="37"/>
      <c r="GOJ225" s="38"/>
      <c r="GOK225" s="38"/>
      <c r="GOL225" s="39"/>
      <c r="GOM225" s="34"/>
      <c r="GON225" s="34"/>
      <c r="GOO225" s="34"/>
      <c r="GOP225" s="35"/>
      <c r="GOQ225" s="35"/>
      <c r="GOR225" s="35"/>
      <c r="GOS225" s="35"/>
      <c r="GOT225" s="35"/>
      <c r="GOU225" s="34"/>
      <c r="GOV225" s="34"/>
      <c r="GOW225" s="36"/>
      <c r="GOX225" s="36"/>
      <c r="GOY225" s="37"/>
      <c r="GOZ225" s="37"/>
      <c r="GPA225" s="38"/>
      <c r="GPB225" s="38"/>
      <c r="GPC225" s="39"/>
      <c r="GPD225" s="34"/>
      <c r="GPE225" s="34"/>
      <c r="GPF225" s="34"/>
      <c r="GPG225" s="35"/>
      <c r="GPH225" s="35"/>
      <c r="GPI225" s="35"/>
      <c r="GPJ225" s="35"/>
      <c r="GPK225" s="35"/>
      <c r="GPL225" s="34"/>
      <c r="GPM225" s="34"/>
      <c r="GPN225" s="36"/>
      <c r="GPO225" s="36"/>
      <c r="GPP225" s="37"/>
      <c r="GPQ225" s="37"/>
      <c r="GPR225" s="38"/>
      <c r="GPS225" s="38"/>
      <c r="GPT225" s="39"/>
      <c r="GPU225" s="34"/>
      <c r="GPV225" s="34"/>
      <c r="GPW225" s="34"/>
      <c r="GPX225" s="35"/>
      <c r="GPY225" s="35"/>
      <c r="GPZ225" s="35"/>
      <c r="GQA225" s="35"/>
      <c r="GQB225" s="35"/>
      <c r="GQC225" s="34"/>
      <c r="GQD225" s="34"/>
      <c r="GQE225" s="36"/>
      <c r="GQF225" s="36"/>
      <c r="GQG225" s="37"/>
      <c r="GQH225" s="37"/>
      <c r="GQI225" s="38"/>
      <c r="GQJ225" s="38"/>
      <c r="GQK225" s="39"/>
      <c r="GQL225" s="34"/>
      <c r="GQM225" s="34"/>
      <c r="GQN225" s="34"/>
      <c r="GQO225" s="35"/>
      <c r="GQP225" s="35"/>
      <c r="GQQ225" s="35"/>
      <c r="GQR225" s="35"/>
      <c r="GQS225" s="35"/>
      <c r="GQT225" s="34"/>
      <c r="GQU225" s="34"/>
      <c r="GQV225" s="36"/>
      <c r="GQW225" s="36"/>
      <c r="GQX225" s="37"/>
      <c r="GQY225" s="37"/>
      <c r="GQZ225" s="38"/>
      <c r="GRA225" s="38"/>
      <c r="GRB225" s="39"/>
      <c r="GRC225" s="34"/>
      <c r="GRD225" s="34"/>
      <c r="GRE225" s="34"/>
      <c r="GRF225" s="35"/>
      <c r="GRG225" s="35"/>
      <c r="GRH225" s="35"/>
      <c r="GRI225" s="35"/>
      <c r="GRJ225" s="35"/>
      <c r="GRK225" s="34"/>
      <c r="GRL225" s="34"/>
      <c r="GRM225" s="36"/>
      <c r="GRN225" s="36"/>
      <c r="GRO225" s="37"/>
      <c r="GRP225" s="37"/>
      <c r="GRQ225" s="38"/>
      <c r="GRR225" s="38"/>
      <c r="GRS225" s="39"/>
      <c r="GRT225" s="34"/>
      <c r="GRU225" s="34"/>
      <c r="GRV225" s="34"/>
      <c r="GRW225" s="35"/>
      <c r="GRX225" s="35"/>
      <c r="GRY225" s="35"/>
      <c r="GRZ225" s="35"/>
      <c r="GSA225" s="35"/>
      <c r="GSB225" s="34"/>
      <c r="GSC225" s="34"/>
      <c r="GSD225" s="36"/>
      <c r="GSE225" s="36"/>
      <c r="GSF225" s="37"/>
      <c r="GSG225" s="37"/>
      <c r="GSH225" s="38"/>
      <c r="GSI225" s="38"/>
      <c r="GSJ225" s="39"/>
      <c r="GSK225" s="34"/>
      <c r="GSL225" s="34"/>
      <c r="GSM225" s="34"/>
      <c r="GSN225" s="35"/>
      <c r="GSO225" s="35"/>
      <c r="GSP225" s="35"/>
      <c r="GSQ225" s="35"/>
      <c r="GSR225" s="35"/>
      <c r="GSS225" s="34"/>
      <c r="GST225" s="34"/>
      <c r="GSU225" s="36"/>
      <c r="GSV225" s="36"/>
      <c r="GSW225" s="37"/>
      <c r="GSX225" s="37"/>
      <c r="GSY225" s="38"/>
      <c r="GSZ225" s="38"/>
      <c r="GTA225" s="39"/>
      <c r="GTB225" s="34"/>
      <c r="GTC225" s="34"/>
      <c r="GTD225" s="34"/>
      <c r="GTE225" s="35"/>
      <c r="GTF225" s="35"/>
      <c r="GTG225" s="35"/>
      <c r="GTH225" s="35"/>
      <c r="GTI225" s="35"/>
      <c r="GTJ225" s="34"/>
      <c r="GTK225" s="34"/>
      <c r="GTL225" s="36"/>
      <c r="GTM225" s="36"/>
      <c r="GTN225" s="37"/>
      <c r="GTO225" s="37"/>
      <c r="GTP225" s="38"/>
      <c r="GTQ225" s="38"/>
      <c r="GTR225" s="39"/>
      <c r="GTS225" s="34"/>
      <c r="GTT225" s="34"/>
      <c r="GTU225" s="34"/>
      <c r="GTV225" s="35"/>
      <c r="GTW225" s="35"/>
      <c r="GTX225" s="35"/>
      <c r="GTY225" s="35"/>
      <c r="GTZ225" s="35"/>
      <c r="GUA225" s="34"/>
      <c r="GUB225" s="34"/>
      <c r="GUC225" s="36"/>
      <c r="GUD225" s="36"/>
      <c r="GUE225" s="37"/>
      <c r="GUF225" s="37"/>
      <c r="GUG225" s="38"/>
      <c r="GUH225" s="38"/>
      <c r="GUI225" s="39"/>
      <c r="GUJ225" s="34"/>
      <c r="GUK225" s="34"/>
      <c r="GUL225" s="34"/>
      <c r="GUM225" s="35"/>
      <c r="GUN225" s="35"/>
      <c r="GUO225" s="35"/>
      <c r="GUP225" s="35"/>
      <c r="GUQ225" s="35"/>
      <c r="GUR225" s="34"/>
      <c r="GUS225" s="34"/>
      <c r="GUT225" s="36"/>
      <c r="GUU225" s="36"/>
      <c r="GUV225" s="37"/>
      <c r="GUW225" s="37"/>
      <c r="GUX225" s="38"/>
      <c r="GUY225" s="38"/>
      <c r="GUZ225" s="39"/>
      <c r="GVA225" s="34"/>
      <c r="GVB225" s="34"/>
      <c r="GVC225" s="34"/>
      <c r="GVD225" s="35"/>
      <c r="GVE225" s="35"/>
      <c r="GVF225" s="35"/>
      <c r="GVG225" s="35"/>
      <c r="GVH225" s="35"/>
      <c r="GVI225" s="34"/>
      <c r="GVJ225" s="34"/>
      <c r="GVK225" s="36"/>
      <c r="GVL225" s="36"/>
      <c r="GVM225" s="37"/>
      <c r="GVN225" s="37"/>
      <c r="GVO225" s="38"/>
      <c r="GVP225" s="38"/>
      <c r="GVQ225" s="39"/>
      <c r="GVR225" s="34"/>
      <c r="GVS225" s="34"/>
      <c r="GVT225" s="34"/>
      <c r="GVU225" s="35"/>
      <c r="GVV225" s="35"/>
      <c r="GVW225" s="35"/>
      <c r="GVX225" s="35"/>
      <c r="GVY225" s="35"/>
      <c r="GVZ225" s="34"/>
      <c r="GWA225" s="34"/>
      <c r="GWB225" s="36"/>
      <c r="GWC225" s="36"/>
      <c r="GWD225" s="37"/>
      <c r="GWE225" s="37"/>
      <c r="GWF225" s="38"/>
      <c r="GWG225" s="38"/>
      <c r="GWH225" s="39"/>
      <c r="GWI225" s="34"/>
      <c r="GWJ225" s="34"/>
      <c r="GWK225" s="34"/>
      <c r="GWL225" s="35"/>
      <c r="GWM225" s="35"/>
      <c r="GWN225" s="35"/>
      <c r="GWO225" s="35"/>
      <c r="GWP225" s="35"/>
      <c r="GWQ225" s="34"/>
      <c r="GWR225" s="34"/>
      <c r="GWS225" s="36"/>
      <c r="GWT225" s="36"/>
      <c r="GWU225" s="37"/>
      <c r="GWV225" s="37"/>
      <c r="GWW225" s="38"/>
      <c r="GWX225" s="38"/>
      <c r="GWY225" s="39"/>
      <c r="GWZ225" s="34"/>
      <c r="GXA225" s="34"/>
      <c r="GXB225" s="34"/>
      <c r="GXC225" s="35"/>
      <c r="GXD225" s="35"/>
      <c r="GXE225" s="35"/>
      <c r="GXF225" s="35"/>
      <c r="GXG225" s="35"/>
      <c r="GXH225" s="34"/>
      <c r="GXI225" s="34"/>
      <c r="GXJ225" s="36"/>
      <c r="GXK225" s="36"/>
      <c r="GXL225" s="37"/>
      <c r="GXM225" s="37"/>
      <c r="GXN225" s="38"/>
      <c r="GXO225" s="38"/>
      <c r="GXP225" s="39"/>
      <c r="GXQ225" s="34"/>
      <c r="GXR225" s="34"/>
      <c r="GXS225" s="34"/>
      <c r="GXT225" s="35"/>
      <c r="GXU225" s="35"/>
      <c r="GXV225" s="35"/>
      <c r="GXW225" s="35"/>
      <c r="GXX225" s="35"/>
      <c r="GXY225" s="34"/>
      <c r="GXZ225" s="34"/>
      <c r="GYA225" s="36"/>
      <c r="GYB225" s="36"/>
      <c r="GYC225" s="37"/>
      <c r="GYD225" s="37"/>
      <c r="GYE225" s="38"/>
      <c r="GYF225" s="38"/>
      <c r="GYG225" s="39"/>
      <c r="GYH225" s="34"/>
      <c r="GYI225" s="34"/>
      <c r="GYJ225" s="34"/>
      <c r="GYK225" s="35"/>
      <c r="GYL225" s="35"/>
      <c r="GYM225" s="35"/>
      <c r="GYN225" s="35"/>
      <c r="GYO225" s="35"/>
      <c r="GYP225" s="34"/>
      <c r="GYQ225" s="34"/>
      <c r="GYR225" s="36"/>
      <c r="GYS225" s="36"/>
      <c r="GYT225" s="37"/>
      <c r="GYU225" s="37"/>
      <c r="GYV225" s="38"/>
      <c r="GYW225" s="38"/>
      <c r="GYX225" s="39"/>
      <c r="GYY225" s="34"/>
      <c r="GYZ225" s="34"/>
      <c r="GZA225" s="34"/>
      <c r="GZB225" s="35"/>
      <c r="GZC225" s="35"/>
      <c r="GZD225" s="35"/>
      <c r="GZE225" s="35"/>
      <c r="GZF225" s="35"/>
      <c r="GZG225" s="34"/>
      <c r="GZH225" s="34"/>
      <c r="GZI225" s="36"/>
      <c r="GZJ225" s="36"/>
      <c r="GZK225" s="37"/>
      <c r="GZL225" s="37"/>
      <c r="GZM225" s="38"/>
      <c r="GZN225" s="38"/>
      <c r="GZO225" s="39"/>
      <c r="GZP225" s="34"/>
      <c r="GZQ225" s="34"/>
      <c r="GZR225" s="34"/>
      <c r="GZS225" s="35"/>
      <c r="GZT225" s="35"/>
      <c r="GZU225" s="35"/>
      <c r="GZV225" s="35"/>
      <c r="GZW225" s="35"/>
      <c r="GZX225" s="34"/>
      <c r="GZY225" s="34"/>
      <c r="GZZ225" s="36"/>
      <c r="HAA225" s="36"/>
      <c r="HAB225" s="37"/>
      <c r="HAC225" s="37"/>
      <c r="HAD225" s="38"/>
      <c r="HAE225" s="38"/>
      <c r="HAF225" s="39"/>
      <c r="HAG225" s="34"/>
      <c r="HAH225" s="34"/>
      <c r="HAI225" s="34"/>
      <c r="HAJ225" s="35"/>
      <c r="HAK225" s="35"/>
      <c r="HAL225" s="35"/>
      <c r="HAM225" s="35"/>
      <c r="HAN225" s="35"/>
      <c r="HAO225" s="34"/>
      <c r="HAP225" s="34"/>
      <c r="HAQ225" s="36"/>
      <c r="HAR225" s="36"/>
      <c r="HAS225" s="37"/>
      <c r="HAT225" s="37"/>
      <c r="HAU225" s="38"/>
      <c r="HAV225" s="38"/>
      <c r="HAW225" s="39"/>
      <c r="HAX225" s="34"/>
      <c r="HAY225" s="34"/>
      <c r="HAZ225" s="34"/>
      <c r="HBA225" s="35"/>
      <c r="HBB225" s="35"/>
      <c r="HBC225" s="35"/>
      <c r="HBD225" s="35"/>
      <c r="HBE225" s="35"/>
      <c r="HBF225" s="34"/>
      <c r="HBG225" s="34"/>
      <c r="HBH225" s="36"/>
      <c r="HBI225" s="36"/>
      <c r="HBJ225" s="37"/>
      <c r="HBK225" s="37"/>
      <c r="HBL225" s="38"/>
      <c r="HBM225" s="38"/>
      <c r="HBN225" s="39"/>
      <c r="HBO225" s="34"/>
      <c r="HBP225" s="34"/>
      <c r="HBQ225" s="34"/>
      <c r="HBR225" s="35"/>
      <c r="HBS225" s="35"/>
      <c r="HBT225" s="35"/>
      <c r="HBU225" s="35"/>
      <c r="HBV225" s="35"/>
      <c r="HBW225" s="34"/>
      <c r="HBX225" s="34"/>
      <c r="HBY225" s="36"/>
      <c r="HBZ225" s="36"/>
      <c r="HCA225" s="37"/>
      <c r="HCB225" s="37"/>
      <c r="HCC225" s="38"/>
      <c r="HCD225" s="38"/>
      <c r="HCE225" s="39"/>
      <c r="HCF225" s="34"/>
      <c r="HCG225" s="34"/>
      <c r="HCH225" s="34"/>
      <c r="HCI225" s="35"/>
      <c r="HCJ225" s="35"/>
      <c r="HCK225" s="35"/>
      <c r="HCL225" s="35"/>
      <c r="HCM225" s="35"/>
      <c r="HCN225" s="34"/>
      <c r="HCO225" s="34"/>
      <c r="HCP225" s="36"/>
      <c r="HCQ225" s="36"/>
      <c r="HCR225" s="37"/>
      <c r="HCS225" s="37"/>
      <c r="HCT225" s="38"/>
      <c r="HCU225" s="38"/>
      <c r="HCV225" s="39"/>
      <c r="HCW225" s="34"/>
      <c r="HCX225" s="34"/>
      <c r="HCY225" s="34"/>
      <c r="HCZ225" s="35"/>
      <c r="HDA225" s="35"/>
      <c r="HDB225" s="35"/>
      <c r="HDC225" s="35"/>
      <c r="HDD225" s="35"/>
      <c r="HDE225" s="34"/>
      <c r="HDF225" s="34"/>
      <c r="HDG225" s="36"/>
      <c r="HDH225" s="36"/>
      <c r="HDI225" s="37"/>
      <c r="HDJ225" s="37"/>
      <c r="HDK225" s="38"/>
      <c r="HDL225" s="38"/>
      <c r="HDM225" s="39"/>
      <c r="HDN225" s="34"/>
      <c r="HDO225" s="34"/>
      <c r="HDP225" s="34"/>
      <c r="HDQ225" s="35"/>
      <c r="HDR225" s="35"/>
      <c r="HDS225" s="35"/>
      <c r="HDT225" s="35"/>
      <c r="HDU225" s="35"/>
      <c r="HDV225" s="34"/>
      <c r="HDW225" s="34"/>
      <c r="HDX225" s="36"/>
      <c r="HDY225" s="36"/>
      <c r="HDZ225" s="37"/>
      <c r="HEA225" s="37"/>
      <c r="HEB225" s="38"/>
      <c r="HEC225" s="38"/>
      <c r="HED225" s="39"/>
      <c r="HEE225" s="34"/>
      <c r="HEF225" s="34"/>
      <c r="HEG225" s="34"/>
      <c r="HEH225" s="35"/>
      <c r="HEI225" s="35"/>
      <c r="HEJ225" s="35"/>
      <c r="HEK225" s="35"/>
      <c r="HEL225" s="35"/>
      <c r="HEM225" s="34"/>
      <c r="HEN225" s="34"/>
      <c r="HEO225" s="36"/>
      <c r="HEP225" s="36"/>
      <c r="HEQ225" s="37"/>
      <c r="HER225" s="37"/>
      <c r="HES225" s="38"/>
      <c r="HET225" s="38"/>
      <c r="HEU225" s="39"/>
      <c r="HEV225" s="34"/>
      <c r="HEW225" s="34"/>
      <c r="HEX225" s="34"/>
      <c r="HEY225" s="35"/>
      <c r="HEZ225" s="35"/>
      <c r="HFA225" s="35"/>
      <c r="HFB225" s="35"/>
      <c r="HFC225" s="35"/>
      <c r="HFD225" s="34"/>
      <c r="HFE225" s="34"/>
      <c r="HFF225" s="36"/>
      <c r="HFG225" s="36"/>
      <c r="HFH225" s="37"/>
      <c r="HFI225" s="37"/>
      <c r="HFJ225" s="38"/>
      <c r="HFK225" s="38"/>
      <c r="HFL225" s="39"/>
      <c r="HFM225" s="34"/>
      <c r="HFN225" s="34"/>
      <c r="HFO225" s="34"/>
      <c r="HFP225" s="35"/>
      <c r="HFQ225" s="35"/>
      <c r="HFR225" s="35"/>
      <c r="HFS225" s="35"/>
      <c r="HFT225" s="35"/>
      <c r="HFU225" s="34"/>
      <c r="HFV225" s="34"/>
      <c r="HFW225" s="36"/>
      <c r="HFX225" s="36"/>
      <c r="HFY225" s="37"/>
      <c r="HFZ225" s="37"/>
      <c r="HGA225" s="38"/>
      <c r="HGB225" s="38"/>
      <c r="HGC225" s="39"/>
      <c r="HGD225" s="34"/>
      <c r="HGE225" s="34"/>
      <c r="HGF225" s="34"/>
      <c r="HGG225" s="35"/>
      <c r="HGH225" s="35"/>
      <c r="HGI225" s="35"/>
      <c r="HGJ225" s="35"/>
      <c r="HGK225" s="35"/>
      <c r="HGL225" s="34"/>
      <c r="HGM225" s="34"/>
      <c r="HGN225" s="36"/>
      <c r="HGO225" s="36"/>
      <c r="HGP225" s="37"/>
      <c r="HGQ225" s="37"/>
      <c r="HGR225" s="38"/>
      <c r="HGS225" s="38"/>
      <c r="HGT225" s="39"/>
      <c r="HGU225" s="34"/>
      <c r="HGV225" s="34"/>
      <c r="HGW225" s="34"/>
      <c r="HGX225" s="35"/>
      <c r="HGY225" s="35"/>
      <c r="HGZ225" s="35"/>
      <c r="HHA225" s="35"/>
      <c r="HHB225" s="35"/>
      <c r="HHC225" s="34"/>
      <c r="HHD225" s="34"/>
      <c r="HHE225" s="36"/>
      <c r="HHF225" s="36"/>
      <c r="HHG225" s="37"/>
      <c r="HHH225" s="37"/>
      <c r="HHI225" s="38"/>
      <c r="HHJ225" s="38"/>
      <c r="HHK225" s="39"/>
      <c r="HHL225" s="34"/>
      <c r="HHM225" s="34"/>
      <c r="HHN225" s="34"/>
      <c r="HHO225" s="35"/>
      <c r="HHP225" s="35"/>
      <c r="HHQ225" s="35"/>
      <c r="HHR225" s="35"/>
      <c r="HHS225" s="35"/>
      <c r="HHT225" s="34"/>
      <c r="HHU225" s="34"/>
      <c r="HHV225" s="36"/>
      <c r="HHW225" s="36"/>
      <c r="HHX225" s="37"/>
      <c r="HHY225" s="37"/>
      <c r="HHZ225" s="38"/>
      <c r="HIA225" s="38"/>
      <c r="HIB225" s="39"/>
      <c r="HIC225" s="34"/>
      <c r="HID225" s="34"/>
      <c r="HIE225" s="34"/>
      <c r="HIF225" s="35"/>
      <c r="HIG225" s="35"/>
      <c r="HIH225" s="35"/>
      <c r="HII225" s="35"/>
      <c r="HIJ225" s="35"/>
      <c r="HIK225" s="34"/>
      <c r="HIL225" s="34"/>
      <c r="HIM225" s="36"/>
      <c r="HIN225" s="36"/>
      <c r="HIO225" s="37"/>
      <c r="HIP225" s="37"/>
      <c r="HIQ225" s="38"/>
      <c r="HIR225" s="38"/>
      <c r="HIS225" s="39"/>
      <c r="HIT225" s="34"/>
      <c r="HIU225" s="34"/>
      <c r="HIV225" s="34"/>
      <c r="HIW225" s="35"/>
      <c r="HIX225" s="35"/>
      <c r="HIY225" s="35"/>
      <c r="HIZ225" s="35"/>
      <c r="HJA225" s="35"/>
      <c r="HJB225" s="34"/>
      <c r="HJC225" s="34"/>
      <c r="HJD225" s="36"/>
      <c r="HJE225" s="36"/>
      <c r="HJF225" s="37"/>
      <c r="HJG225" s="37"/>
      <c r="HJH225" s="38"/>
      <c r="HJI225" s="38"/>
      <c r="HJJ225" s="39"/>
      <c r="HJK225" s="34"/>
      <c r="HJL225" s="34"/>
      <c r="HJM225" s="34"/>
      <c r="HJN225" s="35"/>
      <c r="HJO225" s="35"/>
      <c r="HJP225" s="35"/>
      <c r="HJQ225" s="35"/>
      <c r="HJR225" s="35"/>
      <c r="HJS225" s="34"/>
      <c r="HJT225" s="34"/>
      <c r="HJU225" s="36"/>
      <c r="HJV225" s="36"/>
      <c r="HJW225" s="37"/>
      <c r="HJX225" s="37"/>
      <c r="HJY225" s="38"/>
      <c r="HJZ225" s="38"/>
      <c r="HKA225" s="39"/>
      <c r="HKB225" s="34"/>
      <c r="HKC225" s="34"/>
      <c r="HKD225" s="34"/>
      <c r="HKE225" s="35"/>
      <c r="HKF225" s="35"/>
      <c r="HKG225" s="35"/>
      <c r="HKH225" s="35"/>
      <c r="HKI225" s="35"/>
      <c r="HKJ225" s="34"/>
      <c r="HKK225" s="34"/>
      <c r="HKL225" s="36"/>
      <c r="HKM225" s="36"/>
      <c r="HKN225" s="37"/>
      <c r="HKO225" s="37"/>
      <c r="HKP225" s="38"/>
      <c r="HKQ225" s="38"/>
      <c r="HKR225" s="39"/>
      <c r="HKS225" s="34"/>
      <c r="HKT225" s="34"/>
      <c r="HKU225" s="34"/>
      <c r="HKV225" s="35"/>
      <c r="HKW225" s="35"/>
      <c r="HKX225" s="35"/>
      <c r="HKY225" s="35"/>
      <c r="HKZ225" s="35"/>
      <c r="HLA225" s="34"/>
      <c r="HLB225" s="34"/>
      <c r="HLC225" s="36"/>
      <c r="HLD225" s="36"/>
      <c r="HLE225" s="37"/>
      <c r="HLF225" s="37"/>
      <c r="HLG225" s="38"/>
      <c r="HLH225" s="38"/>
      <c r="HLI225" s="39"/>
      <c r="HLJ225" s="34"/>
      <c r="HLK225" s="34"/>
      <c r="HLL225" s="34"/>
      <c r="HLM225" s="35"/>
      <c r="HLN225" s="35"/>
      <c r="HLO225" s="35"/>
      <c r="HLP225" s="35"/>
      <c r="HLQ225" s="35"/>
      <c r="HLR225" s="34"/>
      <c r="HLS225" s="34"/>
      <c r="HLT225" s="36"/>
      <c r="HLU225" s="36"/>
      <c r="HLV225" s="37"/>
      <c r="HLW225" s="37"/>
      <c r="HLX225" s="38"/>
      <c r="HLY225" s="38"/>
      <c r="HLZ225" s="39"/>
      <c r="HMA225" s="34"/>
      <c r="HMB225" s="34"/>
      <c r="HMC225" s="34"/>
      <c r="HMD225" s="35"/>
      <c r="HME225" s="35"/>
      <c r="HMF225" s="35"/>
      <c r="HMG225" s="35"/>
      <c r="HMH225" s="35"/>
      <c r="HMI225" s="34"/>
      <c r="HMJ225" s="34"/>
      <c r="HMK225" s="36"/>
      <c r="HML225" s="36"/>
      <c r="HMM225" s="37"/>
      <c r="HMN225" s="37"/>
      <c r="HMO225" s="38"/>
      <c r="HMP225" s="38"/>
      <c r="HMQ225" s="39"/>
      <c r="HMR225" s="34"/>
      <c r="HMS225" s="34"/>
      <c r="HMT225" s="34"/>
      <c r="HMU225" s="35"/>
      <c r="HMV225" s="35"/>
      <c r="HMW225" s="35"/>
      <c r="HMX225" s="35"/>
      <c r="HMY225" s="35"/>
      <c r="HMZ225" s="34"/>
      <c r="HNA225" s="34"/>
      <c r="HNB225" s="36"/>
      <c r="HNC225" s="36"/>
      <c r="HND225" s="37"/>
      <c r="HNE225" s="37"/>
      <c r="HNF225" s="38"/>
      <c r="HNG225" s="38"/>
      <c r="HNH225" s="39"/>
      <c r="HNI225" s="34"/>
      <c r="HNJ225" s="34"/>
      <c r="HNK225" s="34"/>
      <c r="HNL225" s="35"/>
      <c r="HNM225" s="35"/>
      <c r="HNN225" s="35"/>
      <c r="HNO225" s="35"/>
      <c r="HNP225" s="35"/>
      <c r="HNQ225" s="34"/>
      <c r="HNR225" s="34"/>
      <c r="HNS225" s="36"/>
      <c r="HNT225" s="36"/>
      <c r="HNU225" s="37"/>
      <c r="HNV225" s="37"/>
      <c r="HNW225" s="38"/>
      <c r="HNX225" s="38"/>
      <c r="HNY225" s="39"/>
      <c r="HNZ225" s="34"/>
      <c r="HOA225" s="34"/>
      <c r="HOB225" s="34"/>
      <c r="HOC225" s="35"/>
      <c r="HOD225" s="35"/>
      <c r="HOE225" s="35"/>
      <c r="HOF225" s="35"/>
      <c r="HOG225" s="35"/>
      <c r="HOH225" s="34"/>
      <c r="HOI225" s="34"/>
      <c r="HOJ225" s="36"/>
      <c r="HOK225" s="36"/>
      <c r="HOL225" s="37"/>
      <c r="HOM225" s="37"/>
      <c r="HON225" s="38"/>
      <c r="HOO225" s="38"/>
      <c r="HOP225" s="39"/>
      <c r="HOQ225" s="34"/>
      <c r="HOR225" s="34"/>
      <c r="HOS225" s="34"/>
      <c r="HOT225" s="35"/>
      <c r="HOU225" s="35"/>
      <c r="HOV225" s="35"/>
      <c r="HOW225" s="35"/>
      <c r="HOX225" s="35"/>
      <c r="HOY225" s="34"/>
      <c r="HOZ225" s="34"/>
      <c r="HPA225" s="36"/>
      <c r="HPB225" s="36"/>
      <c r="HPC225" s="37"/>
      <c r="HPD225" s="37"/>
      <c r="HPE225" s="38"/>
      <c r="HPF225" s="38"/>
      <c r="HPG225" s="39"/>
      <c r="HPH225" s="34"/>
      <c r="HPI225" s="34"/>
      <c r="HPJ225" s="34"/>
      <c r="HPK225" s="35"/>
      <c r="HPL225" s="35"/>
      <c r="HPM225" s="35"/>
      <c r="HPN225" s="35"/>
      <c r="HPO225" s="35"/>
      <c r="HPP225" s="34"/>
      <c r="HPQ225" s="34"/>
      <c r="HPR225" s="36"/>
      <c r="HPS225" s="36"/>
      <c r="HPT225" s="37"/>
      <c r="HPU225" s="37"/>
      <c r="HPV225" s="38"/>
      <c r="HPW225" s="38"/>
      <c r="HPX225" s="39"/>
      <c r="HPY225" s="34"/>
      <c r="HPZ225" s="34"/>
      <c r="HQA225" s="34"/>
      <c r="HQB225" s="35"/>
      <c r="HQC225" s="35"/>
      <c r="HQD225" s="35"/>
      <c r="HQE225" s="35"/>
      <c r="HQF225" s="35"/>
      <c r="HQG225" s="34"/>
      <c r="HQH225" s="34"/>
      <c r="HQI225" s="36"/>
      <c r="HQJ225" s="36"/>
      <c r="HQK225" s="37"/>
      <c r="HQL225" s="37"/>
      <c r="HQM225" s="38"/>
      <c r="HQN225" s="38"/>
      <c r="HQO225" s="39"/>
      <c r="HQP225" s="34"/>
      <c r="HQQ225" s="34"/>
      <c r="HQR225" s="34"/>
      <c r="HQS225" s="35"/>
      <c r="HQT225" s="35"/>
      <c r="HQU225" s="35"/>
      <c r="HQV225" s="35"/>
      <c r="HQW225" s="35"/>
      <c r="HQX225" s="34"/>
      <c r="HQY225" s="34"/>
      <c r="HQZ225" s="36"/>
      <c r="HRA225" s="36"/>
      <c r="HRB225" s="37"/>
      <c r="HRC225" s="37"/>
      <c r="HRD225" s="38"/>
      <c r="HRE225" s="38"/>
      <c r="HRF225" s="39"/>
      <c r="HRG225" s="34"/>
      <c r="HRH225" s="34"/>
      <c r="HRI225" s="34"/>
      <c r="HRJ225" s="35"/>
      <c r="HRK225" s="35"/>
      <c r="HRL225" s="35"/>
      <c r="HRM225" s="35"/>
      <c r="HRN225" s="35"/>
      <c r="HRO225" s="34"/>
      <c r="HRP225" s="34"/>
      <c r="HRQ225" s="36"/>
      <c r="HRR225" s="36"/>
      <c r="HRS225" s="37"/>
      <c r="HRT225" s="37"/>
      <c r="HRU225" s="38"/>
      <c r="HRV225" s="38"/>
      <c r="HRW225" s="39"/>
      <c r="HRX225" s="34"/>
      <c r="HRY225" s="34"/>
      <c r="HRZ225" s="34"/>
      <c r="HSA225" s="35"/>
      <c r="HSB225" s="35"/>
      <c r="HSC225" s="35"/>
      <c r="HSD225" s="35"/>
      <c r="HSE225" s="35"/>
      <c r="HSF225" s="34"/>
      <c r="HSG225" s="34"/>
      <c r="HSH225" s="36"/>
      <c r="HSI225" s="36"/>
      <c r="HSJ225" s="37"/>
      <c r="HSK225" s="37"/>
      <c r="HSL225" s="38"/>
      <c r="HSM225" s="38"/>
      <c r="HSN225" s="39"/>
      <c r="HSO225" s="34"/>
      <c r="HSP225" s="34"/>
      <c r="HSQ225" s="34"/>
      <c r="HSR225" s="35"/>
      <c r="HSS225" s="35"/>
      <c r="HST225" s="35"/>
      <c r="HSU225" s="35"/>
      <c r="HSV225" s="35"/>
      <c r="HSW225" s="34"/>
      <c r="HSX225" s="34"/>
      <c r="HSY225" s="36"/>
      <c r="HSZ225" s="36"/>
      <c r="HTA225" s="37"/>
      <c r="HTB225" s="37"/>
      <c r="HTC225" s="38"/>
      <c r="HTD225" s="38"/>
      <c r="HTE225" s="39"/>
      <c r="HTF225" s="34"/>
      <c r="HTG225" s="34"/>
      <c r="HTH225" s="34"/>
      <c r="HTI225" s="35"/>
      <c r="HTJ225" s="35"/>
      <c r="HTK225" s="35"/>
      <c r="HTL225" s="35"/>
      <c r="HTM225" s="35"/>
      <c r="HTN225" s="34"/>
      <c r="HTO225" s="34"/>
      <c r="HTP225" s="36"/>
      <c r="HTQ225" s="36"/>
      <c r="HTR225" s="37"/>
      <c r="HTS225" s="37"/>
      <c r="HTT225" s="38"/>
      <c r="HTU225" s="38"/>
      <c r="HTV225" s="39"/>
      <c r="HTW225" s="34"/>
      <c r="HTX225" s="34"/>
      <c r="HTY225" s="34"/>
      <c r="HTZ225" s="35"/>
      <c r="HUA225" s="35"/>
      <c r="HUB225" s="35"/>
      <c r="HUC225" s="35"/>
      <c r="HUD225" s="35"/>
      <c r="HUE225" s="34"/>
      <c r="HUF225" s="34"/>
      <c r="HUG225" s="36"/>
      <c r="HUH225" s="36"/>
      <c r="HUI225" s="37"/>
      <c r="HUJ225" s="37"/>
      <c r="HUK225" s="38"/>
      <c r="HUL225" s="38"/>
      <c r="HUM225" s="39"/>
      <c r="HUN225" s="34"/>
      <c r="HUO225" s="34"/>
      <c r="HUP225" s="34"/>
      <c r="HUQ225" s="35"/>
      <c r="HUR225" s="35"/>
      <c r="HUS225" s="35"/>
      <c r="HUT225" s="35"/>
      <c r="HUU225" s="35"/>
      <c r="HUV225" s="34"/>
      <c r="HUW225" s="34"/>
      <c r="HUX225" s="36"/>
      <c r="HUY225" s="36"/>
      <c r="HUZ225" s="37"/>
      <c r="HVA225" s="37"/>
      <c r="HVB225" s="38"/>
      <c r="HVC225" s="38"/>
      <c r="HVD225" s="39"/>
      <c r="HVE225" s="34"/>
      <c r="HVF225" s="34"/>
      <c r="HVG225" s="34"/>
      <c r="HVH225" s="35"/>
      <c r="HVI225" s="35"/>
      <c r="HVJ225" s="35"/>
      <c r="HVK225" s="35"/>
      <c r="HVL225" s="35"/>
      <c r="HVM225" s="34"/>
      <c r="HVN225" s="34"/>
      <c r="HVO225" s="36"/>
      <c r="HVP225" s="36"/>
      <c r="HVQ225" s="37"/>
      <c r="HVR225" s="37"/>
      <c r="HVS225" s="38"/>
      <c r="HVT225" s="38"/>
      <c r="HVU225" s="39"/>
      <c r="HVV225" s="34"/>
      <c r="HVW225" s="34"/>
      <c r="HVX225" s="34"/>
      <c r="HVY225" s="35"/>
      <c r="HVZ225" s="35"/>
      <c r="HWA225" s="35"/>
      <c r="HWB225" s="35"/>
      <c r="HWC225" s="35"/>
      <c r="HWD225" s="34"/>
      <c r="HWE225" s="34"/>
      <c r="HWF225" s="36"/>
      <c r="HWG225" s="36"/>
      <c r="HWH225" s="37"/>
      <c r="HWI225" s="37"/>
      <c r="HWJ225" s="38"/>
      <c r="HWK225" s="38"/>
      <c r="HWL225" s="39"/>
      <c r="HWM225" s="34"/>
      <c r="HWN225" s="34"/>
      <c r="HWO225" s="34"/>
      <c r="HWP225" s="35"/>
      <c r="HWQ225" s="35"/>
      <c r="HWR225" s="35"/>
      <c r="HWS225" s="35"/>
      <c r="HWT225" s="35"/>
      <c r="HWU225" s="34"/>
      <c r="HWV225" s="34"/>
      <c r="HWW225" s="36"/>
      <c r="HWX225" s="36"/>
      <c r="HWY225" s="37"/>
      <c r="HWZ225" s="37"/>
      <c r="HXA225" s="38"/>
      <c r="HXB225" s="38"/>
      <c r="HXC225" s="39"/>
      <c r="HXD225" s="34"/>
      <c r="HXE225" s="34"/>
      <c r="HXF225" s="34"/>
      <c r="HXG225" s="35"/>
      <c r="HXH225" s="35"/>
      <c r="HXI225" s="35"/>
      <c r="HXJ225" s="35"/>
      <c r="HXK225" s="35"/>
      <c r="HXL225" s="34"/>
      <c r="HXM225" s="34"/>
      <c r="HXN225" s="36"/>
      <c r="HXO225" s="36"/>
      <c r="HXP225" s="37"/>
      <c r="HXQ225" s="37"/>
      <c r="HXR225" s="38"/>
      <c r="HXS225" s="38"/>
      <c r="HXT225" s="39"/>
      <c r="HXU225" s="34"/>
      <c r="HXV225" s="34"/>
      <c r="HXW225" s="34"/>
      <c r="HXX225" s="35"/>
      <c r="HXY225" s="35"/>
      <c r="HXZ225" s="35"/>
      <c r="HYA225" s="35"/>
      <c r="HYB225" s="35"/>
      <c r="HYC225" s="34"/>
      <c r="HYD225" s="34"/>
      <c r="HYE225" s="36"/>
      <c r="HYF225" s="36"/>
      <c r="HYG225" s="37"/>
      <c r="HYH225" s="37"/>
      <c r="HYI225" s="38"/>
      <c r="HYJ225" s="38"/>
      <c r="HYK225" s="39"/>
      <c r="HYL225" s="34"/>
      <c r="HYM225" s="34"/>
      <c r="HYN225" s="34"/>
      <c r="HYO225" s="35"/>
      <c r="HYP225" s="35"/>
      <c r="HYQ225" s="35"/>
      <c r="HYR225" s="35"/>
      <c r="HYS225" s="35"/>
      <c r="HYT225" s="34"/>
      <c r="HYU225" s="34"/>
      <c r="HYV225" s="36"/>
      <c r="HYW225" s="36"/>
      <c r="HYX225" s="37"/>
      <c r="HYY225" s="37"/>
      <c r="HYZ225" s="38"/>
      <c r="HZA225" s="38"/>
      <c r="HZB225" s="39"/>
      <c r="HZC225" s="34"/>
      <c r="HZD225" s="34"/>
      <c r="HZE225" s="34"/>
      <c r="HZF225" s="35"/>
      <c r="HZG225" s="35"/>
      <c r="HZH225" s="35"/>
      <c r="HZI225" s="35"/>
      <c r="HZJ225" s="35"/>
      <c r="HZK225" s="34"/>
      <c r="HZL225" s="34"/>
      <c r="HZM225" s="36"/>
      <c r="HZN225" s="36"/>
      <c r="HZO225" s="37"/>
      <c r="HZP225" s="37"/>
      <c r="HZQ225" s="38"/>
      <c r="HZR225" s="38"/>
      <c r="HZS225" s="39"/>
      <c r="HZT225" s="34"/>
      <c r="HZU225" s="34"/>
      <c r="HZV225" s="34"/>
      <c r="HZW225" s="35"/>
      <c r="HZX225" s="35"/>
      <c r="HZY225" s="35"/>
      <c r="HZZ225" s="35"/>
      <c r="IAA225" s="35"/>
      <c r="IAB225" s="34"/>
      <c r="IAC225" s="34"/>
      <c r="IAD225" s="36"/>
      <c r="IAE225" s="36"/>
      <c r="IAF225" s="37"/>
      <c r="IAG225" s="37"/>
      <c r="IAH225" s="38"/>
      <c r="IAI225" s="38"/>
      <c r="IAJ225" s="39"/>
      <c r="IAK225" s="34"/>
      <c r="IAL225" s="34"/>
      <c r="IAM225" s="34"/>
      <c r="IAN225" s="35"/>
      <c r="IAO225" s="35"/>
      <c r="IAP225" s="35"/>
      <c r="IAQ225" s="35"/>
      <c r="IAR225" s="35"/>
      <c r="IAS225" s="34"/>
      <c r="IAT225" s="34"/>
      <c r="IAU225" s="36"/>
      <c r="IAV225" s="36"/>
      <c r="IAW225" s="37"/>
      <c r="IAX225" s="37"/>
      <c r="IAY225" s="38"/>
      <c r="IAZ225" s="38"/>
      <c r="IBA225" s="39"/>
      <c r="IBB225" s="34"/>
      <c r="IBC225" s="34"/>
      <c r="IBD225" s="34"/>
      <c r="IBE225" s="35"/>
      <c r="IBF225" s="35"/>
      <c r="IBG225" s="35"/>
      <c r="IBH225" s="35"/>
      <c r="IBI225" s="35"/>
      <c r="IBJ225" s="34"/>
      <c r="IBK225" s="34"/>
      <c r="IBL225" s="36"/>
      <c r="IBM225" s="36"/>
      <c r="IBN225" s="37"/>
      <c r="IBO225" s="37"/>
      <c r="IBP225" s="38"/>
      <c r="IBQ225" s="38"/>
      <c r="IBR225" s="39"/>
      <c r="IBS225" s="34"/>
      <c r="IBT225" s="34"/>
      <c r="IBU225" s="34"/>
      <c r="IBV225" s="35"/>
      <c r="IBW225" s="35"/>
      <c r="IBX225" s="35"/>
      <c r="IBY225" s="35"/>
      <c r="IBZ225" s="35"/>
      <c r="ICA225" s="34"/>
      <c r="ICB225" s="34"/>
      <c r="ICC225" s="36"/>
      <c r="ICD225" s="36"/>
      <c r="ICE225" s="37"/>
      <c r="ICF225" s="37"/>
      <c r="ICG225" s="38"/>
      <c r="ICH225" s="38"/>
      <c r="ICI225" s="39"/>
      <c r="ICJ225" s="34"/>
      <c r="ICK225" s="34"/>
      <c r="ICL225" s="34"/>
      <c r="ICM225" s="35"/>
      <c r="ICN225" s="35"/>
      <c r="ICO225" s="35"/>
      <c r="ICP225" s="35"/>
      <c r="ICQ225" s="35"/>
      <c r="ICR225" s="34"/>
      <c r="ICS225" s="34"/>
      <c r="ICT225" s="36"/>
      <c r="ICU225" s="36"/>
      <c r="ICV225" s="37"/>
      <c r="ICW225" s="37"/>
      <c r="ICX225" s="38"/>
      <c r="ICY225" s="38"/>
      <c r="ICZ225" s="39"/>
      <c r="IDA225" s="34"/>
      <c r="IDB225" s="34"/>
      <c r="IDC225" s="34"/>
      <c r="IDD225" s="35"/>
      <c r="IDE225" s="35"/>
      <c r="IDF225" s="35"/>
      <c r="IDG225" s="35"/>
      <c r="IDH225" s="35"/>
      <c r="IDI225" s="34"/>
      <c r="IDJ225" s="34"/>
      <c r="IDK225" s="36"/>
      <c r="IDL225" s="36"/>
      <c r="IDM225" s="37"/>
      <c r="IDN225" s="37"/>
      <c r="IDO225" s="38"/>
      <c r="IDP225" s="38"/>
      <c r="IDQ225" s="39"/>
      <c r="IDR225" s="34"/>
      <c r="IDS225" s="34"/>
      <c r="IDT225" s="34"/>
      <c r="IDU225" s="35"/>
      <c r="IDV225" s="35"/>
      <c r="IDW225" s="35"/>
      <c r="IDX225" s="35"/>
      <c r="IDY225" s="35"/>
      <c r="IDZ225" s="34"/>
      <c r="IEA225" s="34"/>
      <c r="IEB225" s="36"/>
      <c r="IEC225" s="36"/>
      <c r="IED225" s="37"/>
      <c r="IEE225" s="37"/>
      <c r="IEF225" s="38"/>
      <c r="IEG225" s="38"/>
      <c r="IEH225" s="39"/>
      <c r="IEI225" s="34"/>
      <c r="IEJ225" s="34"/>
      <c r="IEK225" s="34"/>
      <c r="IEL225" s="35"/>
      <c r="IEM225" s="35"/>
      <c r="IEN225" s="35"/>
      <c r="IEO225" s="35"/>
      <c r="IEP225" s="35"/>
      <c r="IEQ225" s="34"/>
      <c r="IER225" s="34"/>
      <c r="IES225" s="36"/>
      <c r="IET225" s="36"/>
      <c r="IEU225" s="37"/>
      <c r="IEV225" s="37"/>
      <c r="IEW225" s="38"/>
      <c r="IEX225" s="38"/>
      <c r="IEY225" s="39"/>
      <c r="IEZ225" s="34"/>
      <c r="IFA225" s="34"/>
      <c r="IFB225" s="34"/>
      <c r="IFC225" s="35"/>
      <c r="IFD225" s="35"/>
      <c r="IFE225" s="35"/>
      <c r="IFF225" s="35"/>
      <c r="IFG225" s="35"/>
      <c r="IFH225" s="34"/>
      <c r="IFI225" s="34"/>
      <c r="IFJ225" s="36"/>
      <c r="IFK225" s="36"/>
      <c r="IFL225" s="37"/>
      <c r="IFM225" s="37"/>
      <c r="IFN225" s="38"/>
      <c r="IFO225" s="38"/>
      <c r="IFP225" s="39"/>
      <c r="IFQ225" s="34"/>
      <c r="IFR225" s="34"/>
      <c r="IFS225" s="34"/>
      <c r="IFT225" s="35"/>
      <c r="IFU225" s="35"/>
      <c r="IFV225" s="35"/>
      <c r="IFW225" s="35"/>
      <c r="IFX225" s="35"/>
      <c r="IFY225" s="34"/>
      <c r="IFZ225" s="34"/>
      <c r="IGA225" s="36"/>
      <c r="IGB225" s="36"/>
      <c r="IGC225" s="37"/>
      <c r="IGD225" s="37"/>
      <c r="IGE225" s="38"/>
      <c r="IGF225" s="38"/>
      <c r="IGG225" s="39"/>
      <c r="IGH225" s="34"/>
      <c r="IGI225" s="34"/>
      <c r="IGJ225" s="34"/>
      <c r="IGK225" s="35"/>
      <c r="IGL225" s="35"/>
      <c r="IGM225" s="35"/>
      <c r="IGN225" s="35"/>
      <c r="IGO225" s="35"/>
      <c r="IGP225" s="34"/>
      <c r="IGQ225" s="34"/>
      <c r="IGR225" s="36"/>
      <c r="IGS225" s="36"/>
      <c r="IGT225" s="37"/>
      <c r="IGU225" s="37"/>
      <c r="IGV225" s="38"/>
      <c r="IGW225" s="38"/>
      <c r="IGX225" s="39"/>
      <c r="IGY225" s="34"/>
      <c r="IGZ225" s="34"/>
      <c r="IHA225" s="34"/>
      <c r="IHB225" s="35"/>
      <c r="IHC225" s="35"/>
      <c r="IHD225" s="35"/>
      <c r="IHE225" s="35"/>
      <c r="IHF225" s="35"/>
      <c r="IHG225" s="34"/>
      <c r="IHH225" s="34"/>
      <c r="IHI225" s="36"/>
      <c r="IHJ225" s="36"/>
      <c r="IHK225" s="37"/>
      <c r="IHL225" s="37"/>
      <c r="IHM225" s="38"/>
      <c r="IHN225" s="38"/>
      <c r="IHO225" s="39"/>
      <c r="IHP225" s="34"/>
      <c r="IHQ225" s="34"/>
      <c r="IHR225" s="34"/>
      <c r="IHS225" s="35"/>
      <c r="IHT225" s="35"/>
      <c r="IHU225" s="35"/>
      <c r="IHV225" s="35"/>
      <c r="IHW225" s="35"/>
      <c r="IHX225" s="34"/>
      <c r="IHY225" s="34"/>
      <c r="IHZ225" s="36"/>
      <c r="IIA225" s="36"/>
      <c r="IIB225" s="37"/>
      <c r="IIC225" s="37"/>
      <c r="IID225" s="38"/>
      <c r="IIE225" s="38"/>
      <c r="IIF225" s="39"/>
      <c r="IIG225" s="34"/>
      <c r="IIH225" s="34"/>
      <c r="III225" s="34"/>
      <c r="IIJ225" s="35"/>
      <c r="IIK225" s="35"/>
      <c r="IIL225" s="35"/>
      <c r="IIM225" s="35"/>
      <c r="IIN225" s="35"/>
      <c r="IIO225" s="34"/>
      <c r="IIP225" s="34"/>
      <c r="IIQ225" s="36"/>
      <c r="IIR225" s="36"/>
      <c r="IIS225" s="37"/>
      <c r="IIT225" s="37"/>
      <c r="IIU225" s="38"/>
      <c r="IIV225" s="38"/>
      <c r="IIW225" s="39"/>
      <c r="IIX225" s="34"/>
      <c r="IIY225" s="34"/>
      <c r="IIZ225" s="34"/>
      <c r="IJA225" s="35"/>
      <c r="IJB225" s="35"/>
      <c r="IJC225" s="35"/>
      <c r="IJD225" s="35"/>
      <c r="IJE225" s="35"/>
      <c r="IJF225" s="34"/>
      <c r="IJG225" s="34"/>
      <c r="IJH225" s="36"/>
      <c r="IJI225" s="36"/>
      <c r="IJJ225" s="37"/>
      <c r="IJK225" s="37"/>
      <c r="IJL225" s="38"/>
      <c r="IJM225" s="38"/>
      <c r="IJN225" s="39"/>
      <c r="IJO225" s="34"/>
      <c r="IJP225" s="34"/>
      <c r="IJQ225" s="34"/>
      <c r="IJR225" s="35"/>
      <c r="IJS225" s="35"/>
      <c r="IJT225" s="35"/>
      <c r="IJU225" s="35"/>
      <c r="IJV225" s="35"/>
      <c r="IJW225" s="34"/>
      <c r="IJX225" s="34"/>
      <c r="IJY225" s="36"/>
      <c r="IJZ225" s="36"/>
      <c r="IKA225" s="37"/>
      <c r="IKB225" s="37"/>
      <c r="IKC225" s="38"/>
      <c r="IKD225" s="38"/>
      <c r="IKE225" s="39"/>
      <c r="IKF225" s="34"/>
      <c r="IKG225" s="34"/>
      <c r="IKH225" s="34"/>
      <c r="IKI225" s="35"/>
      <c r="IKJ225" s="35"/>
      <c r="IKK225" s="35"/>
      <c r="IKL225" s="35"/>
      <c r="IKM225" s="35"/>
      <c r="IKN225" s="34"/>
      <c r="IKO225" s="34"/>
      <c r="IKP225" s="36"/>
      <c r="IKQ225" s="36"/>
      <c r="IKR225" s="37"/>
      <c r="IKS225" s="37"/>
      <c r="IKT225" s="38"/>
      <c r="IKU225" s="38"/>
      <c r="IKV225" s="39"/>
      <c r="IKW225" s="34"/>
      <c r="IKX225" s="34"/>
      <c r="IKY225" s="34"/>
      <c r="IKZ225" s="35"/>
      <c r="ILA225" s="35"/>
      <c r="ILB225" s="35"/>
      <c r="ILC225" s="35"/>
      <c r="ILD225" s="35"/>
      <c r="ILE225" s="34"/>
      <c r="ILF225" s="34"/>
      <c r="ILG225" s="36"/>
      <c r="ILH225" s="36"/>
      <c r="ILI225" s="37"/>
      <c r="ILJ225" s="37"/>
      <c r="ILK225" s="38"/>
      <c r="ILL225" s="38"/>
      <c r="ILM225" s="39"/>
      <c r="ILN225" s="34"/>
      <c r="ILO225" s="34"/>
      <c r="ILP225" s="34"/>
      <c r="ILQ225" s="35"/>
      <c r="ILR225" s="35"/>
      <c r="ILS225" s="35"/>
      <c r="ILT225" s="35"/>
      <c r="ILU225" s="35"/>
      <c r="ILV225" s="34"/>
      <c r="ILW225" s="34"/>
      <c r="ILX225" s="36"/>
      <c r="ILY225" s="36"/>
      <c r="ILZ225" s="37"/>
      <c r="IMA225" s="37"/>
      <c r="IMB225" s="38"/>
      <c r="IMC225" s="38"/>
      <c r="IMD225" s="39"/>
      <c r="IME225" s="34"/>
      <c r="IMF225" s="34"/>
      <c r="IMG225" s="34"/>
      <c r="IMH225" s="35"/>
      <c r="IMI225" s="35"/>
      <c r="IMJ225" s="35"/>
      <c r="IMK225" s="35"/>
      <c r="IML225" s="35"/>
      <c r="IMM225" s="34"/>
      <c r="IMN225" s="34"/>
      <c r="IMO225" s="36"/>
      <c r="IMP225" s="36"/>
      <c r="IMQ225" s="37"/>
      <c r="IMR225" s="37"/>
      <c r="IMS225" s="38"/>
      <c r="IMT225" s="38"/>
      <c r="IMU225" s="39"/>
      <c r="IMV225" s="34"/>
      <c r="IMW225" s="34"/>
      <c r="IMX225" s="34"/>
      <c r="IMY225" s="35"/>
      <c r="IMZ225" s="35"/>
      <c r="INA225" s="35"/>
      <c r="INB225" s="35"/>
      <c r="INC225" s="35"/>
      <c r="IND225" s="34"/>
      <c r="INE225" s="34"/>
      <c r="INF225" s="36"/>
      <c r="ING225" s="36"/>
      <c r="INH225" s="37"/>
      <c r="INI225" s="37"/>
      <c r="INJ225" s="38"/>
      <c r="INK225" s="38"/>
      <c r="INL225" s="39"/>
      <c r="INM225" s="34"/>
      <c r="INN225" s="34"/>
      <c r="INO225" s="34"/>
      <c r="INP225" s="35"/>
      <c r="INQ225" s="35"/>
      <c r="INR225" s="35"/>
      <c r="INS225" s="35"/>
      <c r="INT225" s="35"/>
      <c r="INU225" s="34"/>
      <c r="INV225" s="34"/>
      <c r="INW225" s="36"/>
      <c r="INX225" s="36"/>
      <c r="INY225" s="37"/>
      <c r="INZ225" s="37"/>
      <c r="IOA225" s="38"/>
      <c r="IOB225" s="38"/>
      <c r="IOC225" s="39"/>
      <c r="IOD225" s="34"/>
      <c r="IOE225" s="34"/>
      <c r="IOF225" s="34"/>
      <c r="IOG225" s="35"/>
      <c r="IOH225" s="35"/>
      <c r="IOI225" s="35"/>
      <c r="IOJ225" s="35"/>
      <c r="IOK225" s="35"/>
      <c r="IOL225" s="34"/>
      <c r="IOM225" s="34"/>
      <c r="ION225" s="36"/>
      <c r="IOO225" s="36"/>
      <c r="IOP225" s="37"/>
      <c r="IOQ225" s="37"/>
      <c r="IOR225" s="38"/>
      <c r="IOS225" s="38"/>
      <c r="IOT225" s="39"/>
      <c r="IOU225" s="34"/>
      <c r="IOV225" s="34"/>
      <c r="IOW225" s="34"/>
      <c r="IOX225" s="35"/>
      <c r="IOY225" s="35"/>
      <c r="IOZ225" s="35"/>
      <c r="IPA225" s="35"/>
      <c r="IPB225" s="35"/>
      <c r="IPC225" s="34"/>
      <c r="IPD225" s="34"/>
      <c r="IPE225" s="36"/>
      <c r="IPF225" s="36"/>
      <c r="IPG225" s="37"/>
      <c r="IPH225" s="37"/>
      <c r="IPI225" s="38"/>
      <c r="IPJ225" s="38"/>
      <c r="IPK225" s="39"/>
      <c r="IPL225" s="34"/>
      <c r="IPM225" s="34"/>
      <c r="IPN225" s="34"/>
      <c r="IPO225" s="35"/>
      <c r="IPP225" s="35"/>
      <c r="IPQ225" s="35"/>
      <c r="IPR225" s="35"/>
      <c r="IPS225" s="35"/>
      <c r="IPT225" s="34"/>
      <c r="IPU225" s="34"/>
      <c r="IPV225" s="36"/>
      <c r="IPW225" s="36"/>
      <c r="IPX225" s="37"/>
      <c r="IPY225" s="37"/>
      <c r="IPZ225" s="38"/>
      <c r="IQA225" s="38"/>
      <c r="IQB225" s="39"/>
      <c r="IQC225" s="34"/>
      <c r="IQD225" s="34"/>
      <c r="IQE225" s="34"/>
      <c r="IQF225" s="35"/>
      <c r="IQG225" s="35"/>
      <c r="IQH225" s="35"/>
      <c r="IQI225" s="35"/>
      <c r="IQJ225" s="35"/>
      <c r="IQK225" s="34"/>
      <c r="IQL225" s="34"/>
      <c r="IQM225" s="36"/>
      <c r="IQN225" s="36"/>
      <c r="IQO225" s="37"/>
      <c r="IQP225" s="37"/>
      <c r="IQQ225" s="38"/>
      <c r="IQR225" s="38"/>
      <c r="IQS225" s="39"/>
      <c r="IQT225" s="34"/>
      <c r="IQU225" s="34"/>
      <c r="IQV225" s="34"/>
      <c r="IQW225" s="35"/>
      <c r="IQX225" s="35"/>
      <c r="IQY225" s="35"/>
      <c r="IQZ225" s="35"/>
      <c r="IRA225" s="35"/>
      <c r="IRB225" s="34"/>
      <c r="IRC225" s="34"/>
      <c r="IRD225" s="36"/>
      <c r="IRE225" s="36"/>
      <c r="IRF225" s="37"/>
      <c r="IRG225" s="37"/>
      <c r="IRH225" s="38"/>
      <c r="IRI225" s="38"/>
      <c r="IRJ225" s="39"/>
      <c r="IRK225" s="34"/>
      <c r="IRL225" s="34"/>
      <c r="IRM225" s="34"/>
      <c r="IRN225" s="35"/>
      <c r="IRO225" s="35"/>
      <c r="IRP225" s="35"/>
      <c r="IRQ225" s="35"/>
      <c r="IRR225" s="35"/>
      <c r="IRS225" s="34"/>
      <c r="IRT225" s="34"/>
      <c r="IRU225" s="36"/>
      <c r="IRV225" s="36"/>
      <c r="IRW225" s="37"/>
      <c r="IRX225" s="37"/>
      <c r="IRY225" s="38"/>
      <c r="IRZ225" s="38"/>
      <c r="ISA225" s="39"/>
      <c r="ISB225" s="34"/>
      <c r="ISC225" s="34"/>
      <c r="ISD225" s="34"/>
      <c r="ISE225" s="35"/>
      <c r="ISF225" s="35"/>
      <c r="ISG225" s="35"/>
      <c r="ISH225" s="35"/>
      <c r="ISI225" s="35"/>
      <c r="ISJ225" s="34"/>
      <c r="ISK225" s="34"/>
      <c r="ISL225" s="36"/>
      <c r="ISM225" s="36"/>
      <c r="ISN225" s="37"/>
      <c r="ISO225" s="37"/>
      <c r="ISP225" s="38"/>
      <c r="ISQ225" s="38"/>
      <c r="ISR225" s="39"/>
      <c r="ISS225" s="34"/>
      <c r="IST225" s="34"/>
      <c r="ISU225" s="34"/>
      <c r="ISV225" s="35"/>
      <c r="ISW225" s="35"/>
      <c r="ISX225" s="35"/>
      <c r="ISY225" s="35"/>
      <c r="ISZ225" s="35"/>
      <c r="ITA225" s="34"/>
      <c r="ITB225" s="34"/>
      <c r="ITC225" s="36"/>
      <c r="ITD225" s="36"/>
      <c r="ITE225" s="37"/>
      <c r="ITF225" s="37"/>
      <c r="ITG225" s="38"/>
      <c r="ITH225" s="38"/>
      <c r="ITI225" s="39"/>
      <c r="ITJ225" s="34"/>
      <c r="ITK225" s="34"/>
      <c r="ITL225" s="34"/>
      <c r="ITM225" s="35"/>
      <c r="ITN225" s="35"/>
      <c r="ITO225" s="35"/>
      <c r="ITP225" s="35"/>
      <c r="ITQ225" s="35"/>
      <c r="ITR225" s="34"/>
      <c r="ITS225" s="34"/>
      <c r="ITT225" s="36"/>
      <c r="ITU225" s="36"/>
      <c r="ITV225" s="37"/>
      <c r="ITW225" s="37"/>
      <c r="ITX225" s="38"/>
      <c r="ITY225" s="38"/>
      <c r="ITZ225" s="39"/>
      <c r="IUA225" s="34"/>
      <c r="IUB225" s="34"/>
      <c r="IUC225" s="34"/>
      <c r="IUD225" s="35"/>
      <c r="IUE225" s="35"/>
      <c r="IUF225" s="35"/>
      <c r="IUG225" s="35"/>
      <c r="IUH225" s="35"/>
      <c r="IUI225" s="34"/>
      <c r="IUJ225" s="34"/>
      <c r="IUK225" s="36"/>
      <c r="IUL225" s="36"/>
      <c r="IUM225" s="37"/>
      <c r="IUN225" s="37"/>
      <c r="IUO225" s="38"/>
      <c r="IUP225" s="38"/>
      <c r="IUQ225" s="39"/>
      <c r="IUR225" s="34"/>
      <c r="IUS225" s="34"/>
      <c r="IUT225" s="34"/>
      <c r="IUU225" s="35"/>
      <c r="IUV225" s="35"/>
      <c r="IUW225" s="35"/>
      <c r="IUX225" s="35"/>
      <c r="IUY225" s="35"/>
      <c r="IUZ225" s="34"/>
      <c r="IVA225" s="34"/>
      <c r="IVB225" s="36"/>
      <c r="IVC225" s="36"/>
      <c r="IVD225" s="37"/>
      <c r="IVE225" s="37"/>
      <c r="IVF225" s="38"/>
      <c r="IVG225" s="38"/>
      <c r="IVH225" s="39"/>
      <c r="IVI225" s="34"/>
      <c r="IVJ225" s="34"/>
      <c r="IVK225" s="34"/>
      <c r="IVL225" s="35"/>
      <c r="IVM225" s="35"/>
      <c r="IVN225" s="35"/>
      <c r="IVO225" s="35"/>
      <c r="IVP225" s="35"/>
      <c r="IVQ225" s="34"/>
      <c r="IVR225" s="34"/>
      <c r="IVS225" s="36"/>
      <c r="IVT225" s="36"/>
      <c r="IVU225" s="37"/>
      <c r="IVV225" s="37"/>
      <c r="IVW225" s="38"/>
      <c r="IVX225" s="38"/>
      <c r="IVY225" s="39"/>
      <c r="IVZ225" s="34"/>
      <c r="IWA225" s="34"/>
      <c r="IWB225" s="34"/>
      <c r="IWC225" s="35"/>
      <c r="IWD225" s="35"/>
      <c r="IWE225" s="35"/>
      <c r="IWF225" s="35"/>
      <c r="IWG225" s="35"/>
      <c r="IWH225" s="34"/>
      <c r="IWI225" s="34"/>
      <c r="IWJ225" s="36"/>
      <c r="IWK225" s="36"/>
      <c r="IWL225" s="37"/>
      <c r="IWM225" s="37"/>
      <c r="IWN225" s="38"/>
      <c r="IWO225" s="38"/>
      <c r="IWP225" s="39"/>
      <c r="IWQ225" s="34"/>
      <c r="IWR225" s="34"/>
      <c r="IWS225" s="34"/>
      <c r="IWT225" s="35"/>
      <c r="IWU225" s="35"/>
      <c r="IWV225" s="35"/>
      <c r="IWW225" s="35"/>
      <c r="IWX225" s="35"/>
      <c r="IWY225" s="34"/>
      <c r="IWZ225" s="34"/>
      <c r="IXA225" s="36"/>
      <c r="IXB225" s="36"/>
      <c r="IXC225" s="37"/>
      <c r="IXD225" s="37"/>
      <c r="IXE225" s="38"/>
      <c r="IXF225" s="38"/>
      <c r="IXG225" s="39"/>
      <c r="IXH225" s="34"/>
      <c r="IXI225" s="34"/>
      <c r="IXJ225" s="34"/>
      <c r="IXK225" s="35"/>
      <c r="IXL225" s="35"/>
      <c r="IXM225" s="35"/>
      <c r="IXN225" s="35"/>
      <c r="IXO225" s="35"/>
      <c r="IXP225" s="34"/>
      <c r="IXQ225" s="34"/>
      <c r="IXR225" s="36"/>
      <c r="IXS225" s="36"/>
      <c r="IXT225" s="37"/>
      <c r="IXU225" s="37"/>
      <c r="IXV225" s="38"/>
      <c r="IXW225" s="38"/>
      <c r="IXX225" s="39"/>
      <c r="IXY225" s="34"/>
      <c r="IXZ225" s="34"/>
      <c r="IYA225" s="34"/>
      <c r="IYB225" s="35"/>
      <c r="IYC225" s="35"/>
      <c r="IYD225" s="35"/>
      <c r="IYE225" s="35"/>
      <c r="IYF225" s="35"/>
      <c r="IYG225" s="34"/>
      <c r="IYH225" s="34"/>
      <c r="IYI225" s="36"/>
      <c r="IYJ225" s="36"/>
      <c r="IYK225" s="37"/>
      <c r="IYL225" s="37"/>
      <c r="IYM225" s="38"/>
      <c r="IYN225" s="38"/>
      <c r="IYO225" s="39"/>
      <c r="IYP225" s="34"/>
      <c r="IYQ225" s="34"/>
      <c r="IYR225" s="34"/>
      <c r="IYS225" s="35"/>
      <c r="IYT225" s="35"/>
      <c r="IYU225" s="35"/>
      <c r="IYV225" s="35"/>
      <c r="IYW225" s="35"/>
      <c r="IYX225" s="34"/>
      <c r="IYY225" s="34"/>
      <c r="IYZ225" s="36"/>
      <c r="IZA225" s="36"/>
      <c r="IZB225" s="37"/>
      <c r="IZC225" s="37"/>
      <c r="IZD225" s="38"/>
      <c r="IZE225" s="38"/>
      <c r="IZF225" s="39"/>
      <c r="IZG225" s="34"/>
      <c r="IZH225" s="34"/>
      <c r="IZI225" s="34"/>
      <c r="IZJ225" s="35"/>
      <c r="IZK225" s="35"/>
      <c r="IZL225" s="35"/>
      <c r="IZM225" s="35"/>
      <c r="IZN225" s="35"/>
      <c r="IZO225" s="34"/>
      <c r="IZP225" s="34"/>
      <c r="IZQ225" s="36"/>
      <c r="IZR225" s="36"/>
      <c r="IZS225" s="37"/>
      <c r="IZT225" s="37"/>
      <c r="IZU225" s="38"/>
      <c r="IZV225" s="38"/>
      <c r="IZW225" s="39"/>
      <c r="IZX225" s="34"/>
      <c r="IZY225" s="34"/>
      <c r="IZZ225" s="34"/>
      <c r="JAA225" s="35"/>
      <c r="JAB225" s="35"/>
      <c r="JAC225" s="35"/>
      <c r="JAD225" s="35"/>
      <c r="JAE225" s="35"/>
      <c r="JAF225" s="34"/>
      <c r="JAG225" s="34"/>
      <c r="JAH225" s="36"/>
      <c r="JAI225" s="36"/>
      <c r="JAJ225" s="37"/>
      <c r="JAK225" s="37"/>
      <c r="JAL225" s="38"/>
      <c r="JAM225" s="38"/>
      <c r="JAN225" s="39"/>
      <c r="JAO225" s="34"/>
      <c r="JAP225" s="34"/>
      <c r="JAQ225" s="34"/>
      <c r="JAR225" s="35"/>
      <c r="JAS225" s="35"/>
      <c r="JAT225" s="35"/>
      <c r="JAU225" s="35"/>
      <c r="JAV225" s="35"/>
      <c r="JAW225" s="34"/>
      <c r="JAX225" s="34"/>
      <c r="JAY225" s="36"/>
      <c r="JAZ225" s="36"/>
      <c r="JBA225" s="37"/>
      <c r="JBB225" s="37"/>
      <c r="JBC225" s="38"/>
      <c r="JBD225" s="38"/>
      <c r="JBE225" s="39"/>
      <c r="JBF225" s="34"/>
      <c r="JBG225" s="34"/>
      <c r="JBH225" s="34"/>
      <c r="JBI225" s="35"/>
      <c r="JBJ225" s="35"/>
      <c r="JBK225" s="35"/>
      <c r="JBL225" s="35"/>
      <c r="JBM225" s="35"/>
      <c r="JBN225" s="34"/>
      <c r="JBO225" s="34"/>
      <c r="JBP225" s="36"/>
      <c r="JBQ225" s="36"/>
      <c r="JBR225" s="37"/>
      <c r="JBS225" s="37"/>
      <c r="JBT225" s="38"/>
      <c r="JBU225" s="38"/>
      <c r="JBV225" s="39"/>
      <c r="JBW225" s="34"/>
      <c r="JBX225" s="34"/>
      <c r="JBY225" s="34"/>
      <c r="JBZ225" s="35"/>
      <c r="JCA225" s="35"/>
      <c r="JCB225" s="35"/>
      <c r="JCC225" s="35"/>
      <c r="JCD225" s="35"/>
      <c r="JCE225" s="34"/>
      <c r="JCF225" s="34"/>
      <c r="JCG225" s="36"/>
      <c r="JCH225" s="36"/>
      <c r="JCI225" s="37"/>
      <c r="JCJ225" s="37"/>
      <c r="JCK225" s="38"/>
      <c r="JCL225" s="38"/>
      <c r="JCM225" s="39"/>
      <c r="JCN225" s="34"/>
      <c r="JCO225" s="34"/>
      <c r="JCP225" s="34"/>
      <c r="JCQ225" s="35"/>
      <c r="JCR225" s="35"/>
      <c r="JCS225" s="35"/>
      <c r="JCT225" s="35"/>
      <c r="JCU225" s="35"/>
      <c r="JCV225" s="34"/>
      <c r="JCW225" s="34"/>
      <c r="JCX225" s="36"/>
      <c r="JCY225" s="36"/>
      <c r="JCZ225" s="37"/>
      <c r="JDA225" s="37"/>
      <c r="JDB225" s="38"/>
      <c r="JDC225" s="38"/>
      <c r="JDD225" s="39"/>
      <c r="JDE225" s="34"/>
      <c r="JDF225" s="34"/>
      <c r="JDG225" s="34"/>
      <c r="JDH225" s="35"/>
      <c r="JDI225" s="35"/>
      <c r="JDJ225" s="35"/>
      <c r="JDK225" s="35"/>
      <c r="JDL225" s="35"/>
      <c r="JDM225" s="34"/>
      <c r="JDN225" s="34"/>
      <c r="JDO225" s="36"/>
      <c r="JDP225" s="36"/>
      <c r="JDQ225" s="37"/>
      <c r="JDR225" s="37"/>
      <c r="JDS225" s="38"/>
      <c r="JDT225" s="38"/>
      <c r="JDU225" s="39"/>
      <c r="JDV225" s="34"/>
      <c r="JDW225" s="34"/>
      <c r="JDX225" s="34"/>
      <c r="JDY225" s="35"/>
      <c r="JDZ225" s="35"/>
      <c r="JEA225" s="35"/>
      <c r="JEB225" s="35"/>
      <c r="JEC225" s="35"/>
      <c r="JED225" s="34"/>
      <c r="JEE225" s="34"/>
      <c r="JEF225" s="36"/>
      <c r="JEG225" s="36"/>
      <c r="JEH225" s="37"/>
      <c r="JEI225" s="37"/>
      <c r="JEJ225" s="38"/>
      <c r="JEK225" s="38"/>
      <c r="JEL225" s="39"/>
      <c r="JEM225" s="34"/>
      <c r="JEN225" s="34"/>
      <c r="JEO225" s="34"/>
      <c r="JEP225" s="35"/>
      <c r="JEQ225" s="35"/>
      <c r="JER225" s="35"/>
      <c r="JES225" s="35"/>
      <c r="JET225" s="35"/>
      <c r="JEU225" s="34"/>
      <c r="JEV225" s="34"/>
      <c r="JEW225" s="36"/>
      <c r="JEX225" s="36"/>
      <c r="JEY225" s="37"/>
      <c r="JEZ225" s="37"/>
      <c r="JFA225" s="38"/>
      <c r="JFB225" s="38"/>
      <c r="JFC225" s="39"/>
      <c r="JFD225" s="34"/>
      <c r="JFE225" s="34"/>
      <c r="JFF225" s="34"/>
      <c r="JFG225" s="35"/>
      <c r="JFH225" s="35"/>
      <c r="JFI225" s="35"/>
      <c r="JFJ225" s="35"/>
      <c r="JFK225" s="35"/>
      <c r="JFL225" s="34"/>
      <c r="JFM225" s="34"/>
      <c r="JFN225" s="36"/>
      <c r="JFO225" s="36"/>
      <c r="JFP225" s="37"/>
      <c r="JFQ225" s="37"/>
      <c r="JFR225" s="38"/>
      <c r="JFS225" s="38"/>
      <c r="JFT225" s="39"/>
      <c r="JFU225" s="34"/>
      <c r="JFV225" s="34"/>
      <c r="JFW225" s="34"/>
      <c r="JFX225" s="35"/>
      <c r="JFY225" s="35"/>
      <c r="JFZ225" s="35"/>
      <c r="JGA225" s="35"/>
      <c r="JGB225" s="35"/>
      <c r="JGC225" s="34"/>
      <c r="JGD225" s="34"/>
      <c r="JGE225" s="36"/>
      <c r="JGF225" s="36"/>
      <c r="JGG225" s="37"/>
      <c r="JGH225" s="37"/>
      <c r="JGI225" s="38"/>
      <c r="JGJ225" s="38"/>
      <c r="JGK225" s="39"/>
      <c r="JGL225" s="34"/>
      <c r="JGM225" s="34"/>
      <c r="JGN225" s="34"/>
      <c r="JGO225" s="35"/>
      <c r="JGP225" s="35"/>
      <c r="JGQ225" s="35"/>
      <c r="JGR225" s="35"/>
      <c r="JGS225" s="35"/>
      <c r="JGT225" s="34"/>
      <c r="JGU225" s="34"/>
      <c r="JGV225" s="36"/>
      <c r="JGW225" s="36"/>
      <c r="JGX225" s="37"/>
      <c r="JGY225" s="37"/>
      <c r="JGZ225" s="38"/>
      <c r="JHA225" s="38"/>
      <c r="JHB225" s="39"/>
      <c r="JHC225" s="34"/>
      <c r="JHD225" s="34"/>
      <c r="JHE225" s="34"/>
      <c r="JHF225" s="35"/>
      <c r="JHG225" s="35"/>
      <c r="JHH225" s="35"/>
      <c r="JHI225" s="35"/>
      <c r="JHJ225" s="35"/>
      <c r="JHK225" s="34"/>
      <c r="JHL225" s="34"/>
      <c r="JHM225" s="36"/>
      <c r="JHN225" s="36"/>
      <c r="JHO225" s="37"/>
      <c r="JHP225" s="37"/>
      <c r="JHQ225" s="38"/>
      <c r="JHR225" s="38"/>
      <c r="JHS225" s="39"/>
      <c r="JHT225" s="34"/>
      <c r="JHU225" s="34"/>
      <c r="JHV225" s="34"/>
      <c r="JHW225" s="35"/>
      <c r="JHX225" s="35"/>
      <c r="JHY225" s="35"/>
      <c r="JHZ225" s="35"/>
      <c r="JIA225" s="35"/>
      <c r="JIB225" s="34"/>
      <c r="JIC225" s="34"/>
      <c r="JID225" s="36"/>
      <c r="JIE225" s="36"/>
      <c r="JIF225" s="37"/>
      <c r="JIG225" s="37"/>
      <c r="JIH225" s="38"/>
      <c r="JII225" s="38"/>
      <c r="JIJ225" s="39"/>
      <c r="JIK225" s="34"/>
      <c r="JIL225" s="34"/>
      <c r="JIM225" s="34"/>
      <c r="JIN225" s="35"/>
      <c r="JIO225" s="35"/>
      <c r="JIP225" s="35"/>
      <c r="JIQ225" s="35"/>
      <c r="JIR225" s="35"/>
      <c r="JIS225" s="34"/>
      <c r="JIT225" s="34"/>
      <c r="JIU225" s="36"/>
      <c r="JIV225" s="36"/>
      <c r="JIW225" s="37"/>
      <c r="JIX225" s="37"/>
      <c r="JIY225" s="38"/>
      <c r="JIZ225" s="38"/>
      <c r="JJA225" s="39"/>
      <c r="JJB225" s="34"/>
      <c r="JJC225" s="34"/>
      <c r="JJD225" s="34"/>
      <c r="JJE225" s="35"/>
      <c r="JJF225" s="35"/>
      <c r="JJG225" s="35"/>
      <c r="JJH225" s="35"/>
      <c r="JJI225" s="35"/>
      <c r="JJJ225" s="34"/>
      <c r="JJK225" s="34"/>
      <c r="JJL225" s="36"/>
      <c r="JJM225" s="36"/>
      <c r="JJN225" s="37"/>
      <c r="JJO225" s="37"/>
      <c r="JJP225" s="38"/>
      <c r="JJQ225" s="38"/>
      <c r="JJR225" s="39"/>
      <c r="JJS225" s="34"/>
      <c r="JJT225" s="34"/>
      <c r="JJU225" s="34"/>
      <c r="JJV225" s="35"/>
      <c r="JJW225" s="35"/>
      <c r="JJX225" s="35"/>
      <c r="JJY225" s="35"/>
      <c r="JJZ225" s="35"/>
      <c r="JKA225" s="34"/>
      <c r="JKB225" s="34"/>
      <c r="JKC225" s="36"/>
      <c r="JKD225" s="36"/>
      <c r="JKE225" s="37"/>
      <c r="JKF225" s="37"/>
      <c r="JKG225" s="38"/>
      <c r="JKH225" s="38"/>
      <c r="JKI225" s="39"/>
      <c r="JKJ225" s="34"/>
      <c r="JKK225" s="34"/>
      <c r="JKL225" s="34"/>
      <c r="JKM225" s="35"/>
      <c r="JKN225" s="35"/>
      <c r="JKO225" s="35"/>
      <c r="JKP225" s="35"/>
      <c r="JKQ225" s="35"/>
      <c r="JKR225" s="34"/>
      <c r="JKS225" s="34"/>
      <c r="JKT225" s="36"/>
      <c r="JKU225" s="36"/>
      <c r="JKV225" s="37"/>
      <c r="JKW225" s="37"/>
      <c r="JKX225" s="38"/>
      <c r="JKY225" s="38"/>
      <c r="JKZ225" s="39"/>
      <c r="JLA225" s="34"/>
      <c r="JLB225" s="34"/>
      <c r="JLC225" s="34"/>
      <c r="JLD225" s="35"/>
      <c r="JLE225" s="35"/>
      <c r="JLF225" s="35"/>
      <c r="JLG225" s="35"/>
      <c r="JLH225" s="35"/>
      <c r="JLI225" s="34"/>
      <c r="JLJ225" s="34"/>
      <c r="JLK225" s="36"/>
      <c r="JLL225" s="36"/>
      <c r="JLM225" s="37"/>
      <c r="JLN225" s="37"/>
      <c r="JLO225" s="38"/>
      <c r="JLP225" s="38"/>
      <c r="JLQ225" s="39"/>
      <c r="JLR225" s="34"/>
      <c r="JLS225" s="34"/>
      <c r="JLT225" s="34"/>
      <c r="JLU225" s="35"/>
      <c r="JLV225" s="35"/>
      <c r="JLW225" s="35"/>
      <c r="JLX225" s="35"/>
      <c r="JLY225" s="35"/>
      <c r="JLZ225" s="34"/>
      <c r="JMA225" s="34"/>
      <c r="JMB225" s="36"/>
      <c r="JMC225" s="36"/>
      <c r="JMD225" s="37"/>
      <c r="JME225" s="37"/>
      <c r="JMF225" s="38"/>
      <c r="JMG225" s="38"/>
      <c r="JMH225" s="39"/>
      <c r="JMI225" s="34"/>
      <c r="JMJ225" s="34"/>
      <c r="JMK225" s="34"/>
      <c r="JML225" s="35"/>
      <c r="JMM225" s="35"/>
      <c r="JMN225" s="35"/>
      <c r="JMO225" s="35"/>
      <c r="JMP225" s="35"/>
      <c r="JMQ225" s="34"/>
      <c r="JMR225" s="34"/>
      <c r="JMS225" s="36"/>
      <c r="JMT225" s="36"/>
      <c r="JMU225" s="37"/>
      <c r="JMV225" s="37"/>
      <c r="JMW225" s="38"/>
      <c r="JMX225" s="38"/>
      <c r="JMY225" s="39"/>
      <c r="JMZ225" s="34"/>
      <c r="JNA225" s="34"/>
      <c r="JNB225" s="34"/>
      <c r="JNC225" s="35"/>
      <c r="JND225" s="35"/>
      <c r="JNE225" s="35"/>
      <c r="JNF225" s="35"/>
      <c r="JNG225" s="35"/>
      <c r="JNH225" s="34"/>
      <c r="JNI225" s="34"/>
      <c r="JNJ225" s="36"/>
      <c r="JNK225" s="36"/>
      <c r="JNL225" s="37"/>
      <c r="JNM225" s="37"/>
      <c r="JNN225" s="38"/>
      <c r="JNO225" s="38"/>
      <c r="JNP225" s="39"/>
      <c r="JNQ225" s="34"/>
      <c r="JNR225" s="34"/>
      <c r="JNS225" s="34"/>
      <c r="JNT225" s="35"/>
      <c r="JNU225" s="35"/>
      <c r="JNV225" s="35"/>
      <c r="JNW225" s="35"/>
      <c r="JNX225" s="35"/>
      <c r="JNY225" s="34"/>
      <c r="JNZ225" s="34"/>
      <c r="JOA225" s="36"/>
      <c r="JOB225" s="36"/>
      <c r="JOC225" s="37"/>
      <c r="JOD225" s="37"/>
      <c r="JOE225" s="38"/>
      <c r="JOF225" s="38"/>
      <c r="JOG225" s="39"/>
      <c r="JOH225" s="34"/>
      <c r="JOI225" s="34"/>
      <c r="JOJ225" s="34"/>
      <c r="JOK225" s="35"/>
      <c r="JOL225" s="35"/>
      <c r="JOM225" s="35"/>
      <c r="JON225" s="35"/>
      <c r="JOO225" s="35"/>
      <c r="JOP225" s="34"/>
      <c r="JOQ225" s="34"/>
      <c r="JOR225" s="36"/>
      <c r="JOS225" s="36"/>
      <c r="JOT225" s="37"/>
      <c r="JOU225" s="37"/>
      <c r="JOV225" s="38"/>
      <c r="JOW225" s="38"/>
      <c r="JOX225" s="39"/>
      <c r="JOY225" s="34"/>
      <c r="JOZ225" s="34"/>
      <c r="JPA225" s="34"/>
      <c r="JPB225" s="35"/>
      <c r="JPC225" s="35"/>
      <c r="JPD225" s="35"/>
      <c r="JPE225" s="35"/>
      <c r="JPF225" s="35"/>
      <c r="JPG225" s="34"/>
      <c r="JPH225" s="34"/>
      <c r="JPI225" s="36"/>
      <c r="JPJ225" s="36"/>
      <c r="JPK225" s="37"/>
      <c r="JPL225" s="37"/>
      <c r="JPM225" s="38"/>
      <c r="JPN225" s="38"/>
      <c r="JPO225" s="39"/>
      <c r="JPP225" s="34"/>
      <c r="JPQ225" s="34"/>
      <c r="JPR225" s="34"/>
      <c r="JPS225" s="35"/>
      <c r="JPT225" s="35"/>
      <c r="JPU225" s="35"/>
      <c r="JPV225" s="35"/>
      <c r="JPW225" s="35"/>
      <c r="JPX225" s="34"/>
      <c r="JPY225" s="34"/>
      <c r="JPZ225" s="36"/>
      <c r="JQA225" s="36"/>
      <c r="JQB225" s="37"/>
      <c r="JQC225" s="37"/>
      <c r="JQD225" s="38"/>
      <c r="JQE225" s="38"/>
      <c r="JQF225" s="39"/>
      <c r="JQG225" s="34"/>
      <c r="JQH225" s="34"/>
      <c r="JQI225" s="34"/>
      <c r="JQJ225" s="35"/>
      <c r="JQK225" s="35"/>
      <c r="JQL225" s="35"/>
      <c r="JQM225" s="35"/>
      <c r="JQN225" s="35"/>
      <c r="JQO225" s="34"/>
      <c r="JQP225" s="34"/>
      <c r="JQQ225" s="36"/>
      <c r="JQR225" s="36"/>
      <c r="JQS225" s="37"/>
      <c r="JQT225" s="37"/>
      <c r="JQU225" s="38"/>
      <c r="JQV225" s="38"/>
      <c r="JQW225" s="39"/>
      <c r="JQX225" s="34"/>
      <c r="JQY225" s="34"/>
      <c r="JQZ225" s="34"/>
      <c r="JRA225" s="35"/>
      <c r="JRB225" s="35"/>
      <c r="JRC225" s="35"/>
      <c r="JRD225" s="35"/>
      <c r="JRE225" s="35"/>
      <c r="JRF225" s="34"/>
      <c r="JRG225" s="34"/>
      <c r="JRH225" s="36"/>
      <c r="JRI225" s="36"/>
      <c r="JRJ225" s="37"/>
      <c r="JRK225" s="37"/>
      <c r="JRL225" s="38"/>
      <c r="JRM225" s="38"/>
      <c r="JRN225" s="39"/>
      <c r="JRO225" s="34"/>
      <c r="JRP225" s="34"/>
      <c r="JRQ225" s="34"/>
      <c r="JRR225" s="35"/>
      <c r="JRS225" s="35"/>
      <c r="JRT225" s="35"/>
      <c r="JRU225" s="35"/>
      <c r="JRV225" s="35"/>
      <c r="JRW225" s="34"/>
      <c r="JRX225" s="34"/>
      <c r="JRY225" s="36"/>
      <c r="JRZ225" s="36"/>
      <c r="JSA225" s="37"/>
      <c r="JSB225" s="37"/>
      <c r="JSC225" s="38"/>
      <c r="JSD225" s="38"/>
      <c r="JSE225" s="39"/>
      <c r="JSF225" s="34"/>
      <c r="JSG225" s="34"/>
      <c r="JSH225" s="34"/>
      <c r="JSI225" s="35"/>
      <c r="JSJ225" s="35"/>
      <c r="JSK225" s="35"/>
      <c r="JSL225" s="35"/>
      <c r="JSM225" s="35"/>
      <c r="JSN225" s="34"/>
      <c r="JSO225" s="34"/>
      <c r="JSP225" s="36"/>
      <c r="JSQ225" s="36"/>
      <c r="JSR225" s="37"/>
      <c r="JSS225" s="37"/>
      <c r="JST225" s="38"/>
      <c r="JSU225" s="38"/>
      <c r="JSV225" s="39"/>
      <c r="JSW225" s="34"/>
      <c r="JSX225" s="34"/>
      <c r="JSY225" s="34"/>
      <c r="JSZ225" s="35"/>
      <c r="JTA225" s="35"/>
      <c r="JTB225" s="35"/>
      <c r="JTC225" s="35"/>
      <c r="JTD225" s="35"/>
      <c r="JTE225" s="34"/>
      <c r="JTF225" s="34"/>
      <c r="JTG225" s="36"/>
      <c r="JTH225" s="36"/>
      <c r="JTI225" s="37"/>
      <c r="JTJ225" s="37"/>
      <c r="JTK225" s="38"/>
      <c r="JTL225" s="38"/>
      <c r="JTM225" s="39"/>
      <c r="JTN225" s="34"/>
      <c r="JTO225" s="34"/>
      <c r="JTP225" s="34"/>
      <c r="JTQ225" s="35"/>
      <c r="JTR225" s="35"/>
      <c r="JTS225" s="35"/>
      <c r="JTT225" s="35"/>
      <c r="JTU225" s="35"/>
      <c r="JTV225" s="34"/>
      <c r="JTW225" s="34"/>
      <c r="JTX225" s="36"/>
      <c r="JTY225" s="36"/>
      <c r="JTZ225" s="37"/>
      <c r="JUA225" s="37"/>
      <c r="JUB225" s="38"/>
      <c r="JUC225" s="38"/>
      <c r="JUD225" s="39"/>
      <c r="JUE225" s="34"/>
      <c r="JUF225" s="34"/>
      <c r="JUG225" s="34"/>
      <c r="JUH225" s="35"/>
      <c r="JUI225" s="35"/>
      <c r="JUJ225" s="35"/>
      <c r="JUK225" s="35"/>
      <c r="JUL225" s="35"/>
      <c r="JUM225" s="34"/>
      <c r="JUN225" s="34"/>
      <c r="JUO225" s="36"/>
      <c r="JUP225" s="36"/>
      <c r="JUQ225" s="37"/>
      <c r="JUR225" s="37"/>
      <c r="JUS225" s="38"/>
      <c r="JUT225" s="38"/>
      <c r="JUU225" s="39"/>
      <c r="JUV225" s="34"/>
      <c r="JUW225" s="34"/>
      <c r="JUX225" s="34"/>
      <c r="JUY225" s="35"/>
      <c r="JUZ225" s="35"/>
      <c r="JVA225" s="35"/>
      <c r="JVB225" s="35"/>
      <c r="JVC225" s="35"/>
      <c r="JVD225" s="34"/>
      <c r="JVE225" s="34"/>
      <c r="JVF225" s="36"/>
      <c r="JVG225" s="36"/>
      <c r="JVH225" s="37"/>
      <c r="JVI225" s="37"/>
      <c r="JVJ225" s="38"/>
      <c r="JVK225" s="38"/>
      <c r="JVL225" s="39"/>
      <c r="JVM225" s="34"/>
      <c r="JVN225" s="34"/>
      <c r="JVO225" s="34"/>
      <c r="JVP225" s="35"/>
      <c r="JVQ225" s="35"/>
      <c r="JVR225" s="35"/>
      <c r="JVS225" s="35"/>
      <c r="JVT225" s="35"/>
      <c r="JVU225" s="34"/>
      <c r="JVV225" s="34"/>
      <c r="JVW225" s="36"/>
      <c r="JVX225" s="36"/>
      <c r="JVY225" s="37"/>
      <c r="JVZ225" s="37"/>
      <c r="JWA225" s="38"/>
      <c r="JWB225" s="38"/>
      <c r="JWC225" s="39"/>
      <c r="JWD225" s="34"/>
      <c r="JWE225" s="34"/>
      <c r="JWF225" s="34"/>
      <c r="JWG225" s="35"/>
      <c r="JWH225" s="35"/>
      <c r="JWI225" s="35"/>
      <c r="JWJ225" s="35"/>
      <c r="JWK225" s="35"/>
      <c r="JWL225" s="34"/>
      <c r="JWM225" s="34"/>
      <c r="JWN225" s="36"/>
      <c r="JWO225" s="36"/>
      <c r="JWP225" s="37"/>
      <c r="JWQ225" s="37"/>
      <c r="JWR225" s="38"/>
      <c r="JWS225" s="38"/>
      <c r="JWT225" s="39"/>
      <c r="JWU225" s="34"/>
      <c r="JWV225" s="34"/>
      <c r="JWW225" s="34"/>
      <c r="JWX225" s="35"/>
      <c r="JWY225" s="35"/>
      <c r="JWZ225" s="35"/>
      <c r="JXA225" s="35"/>
      <c r="JXB225" s="35"/>
      <c r="JXC225" s="34"/>
      <c r="JXD225" s="34"/>
      <c r="JXE225" s="36"/>
      <c r="JXF225" s="36"/>
      <c r="JXG225" s="37"/>
      <c r="JXH225" s="37"/>
      <c r="JXI225" s="38"/>
      <c r="JXJ225" s="38"/>
      <c r="JXK225" s="39"/>
      <c r="JXL225" s="34"/>
      <c r="JXM225" s="34"/>
      <c r="JXN225" s="34"/>
      <c r="JXO225" s="35"/>
      <c r="JXP225" s="35"/>
      <c r="JXQ225" s="35"/>
      <c r="JXR225" s="35"/>
      <c r="JXS225" s="35"/>
      <c r="JXT225" s="34"/>
      <c r="JXU225" s="34"/>
      <c r="JXV225" s="36"/>
      <c r="JXW225" s="36"/>
      <c r="JXX225" s="37"/>
      <c r="JXY225" s="37"/>
      <c r="JXZ225" s="38"/>
      <c r="JYA225" s="38"/>
      <c r="JYB225" s="39"/>
      <c r="JYC225" s="34"/>
      <c r="JYD225" s="34"/>
      <c r="JYE225" s="34"/>
      <c r="JYF225" s="35"/>
      <c r="JYG225" s="35"/>
      <c r="JYH225" s="35"/>
      <c r="JYI225" s="35"/>
      <c r="JYJ225" s="35"/>
      <c r="JYK225" s="34"/>
      <c r="JYL225" s="34"/>
      <c r="JYM225" s="36"/>
      <c r="JYN225" s="36"/>
      <c r="JYO225" s="37"/>
      <c r="JYP225" s="37"/>
      <c r="JYQ225" s="38"/>
      <c r="JYR225" s="38"/>
      <c r="JYS225" s="39"/>
      <c r="JYT225" s="34"/>
      <c r="JYU225" s="34"/>
      <c r="JYV225" s="34"/>
      <c r="JYW225" s="35"/>
      <c r="JYX225" s="35"/>
      <c r="JYY225" s="35"/>
      <c r="JYZ225" s="35"/>
      <c r="JZA225" s="35"/>
      <c r="JZB225" s="34"/>
      <c r="JZC225" s="34"/>
      <c r="JZD225" s="36"/>
      <c r="JZE225" s="36"/>
      <c r="JZF225" s="37"/>
      <c r="JZG225" s="37"/>
      <c r="JZH225" s="38"/>
      <c r="JZI225" s="38"/>
      <c r="JZJ225" s="39"/>
      <c r="JZK225" s="34"/>
      <c r="JZL225" s="34"/>
      <c r="JZM225" s="34"/>
      <c r="JZN225" s="35"/>
      <c r="JZO225" s="35"/>
      <c r="JZP225" s="35"/>
      <c r="JZQ225" s="35"/>
      <c r="JZR225" s="35"/>
      <c r="JZS225" s="34"/>
      <c r="JZT225" s="34"/>
      <c r="JZU225" s="36"/>
      <c r="JZV225" s="36"/>
      <c r="JZW225" s="37"/>
      <c r="JZX225" s="37"/>
      <c r="JZY225" s="38"/>
      <c r="JZZ225" s="38"/>
      <c r="KAA225" s="39"/>
      <c r="KAB225" s="34"/>
      <c r="KAC225" s="34"/>
      <c r="KAD225" s="34"/>
      <c r="KAE225" s="35"/>
      <c r="KAF225" s="35"/>
      <c r="KAG225" s="35"/>
      <c r="KAH225" s="35"/>
      <c r="KAI225" s="35"/>
      <c r="KAJ225" s="34"/>
      <c r="KAK225" s="34"/>
      <c r="KAL225" s="36"/>
      <c r="KAM225" s="36"/>
      <c r="KAN225" s="37"/>
      <c r="KAO225" s="37"/>
      <c r="KAP225" s="38"/>
      <c r="KAQ225" s="38"/>
      <c r="KAR225" s="39"/>
      <c r="KAS225" s="34"/>
      <c r="KAT225" s="34"/>
      <c r="KAU225" s="34"/>
      <c r="KAV225" s="35"/>
      <c r="KAW225" s="35"/>
      <c r="KAX225" s="35"/>
      <c r="KAY225" s="35"/>
      <c r="KAZ225" s="35"/>
      <c r="KBA225" s="34"/>
      <c r="KBB225" s="34"/>
      <c r="KBC225" s="36"/>
      <c r="KBD225" s="36"/>
      <c r="KBE225" s="37"/>
      <c r="KBF225" s="37"/>
      <c r="KBG225" s="38"/>
      <c r="KBH225" s="38"/>
      <c r="KBI225" s="39"/>
      <c r="KBJ225" s="34"/>
      <c r="KBK225" s="34"/>
      <c r="KBL225" s="34"/>
      <c r="KBM225" s="35"/>
      <c r="KBN225" s="35"/>
      <c r="KBO225" s="35"/>
      <c r="KBP225" s="35"/>
      <c r="KBQ225" s="35"/>
      <c r="KBR225" s="34"/>
      <c r="KBS225" s="34"/>
      <c r="KBT225" s="36"/>
      <c r="KBU225" s="36"/>
      <c r="KBV225" s="37"/>
      <c r="KBW225" s="37"/>
      <c r="KBX225" s="38"/>
      <c r="KBY225" s="38"/>
      <c r="KBZ225" s="39"/>
      <c r="KCA225" s="34"/>
      <c r="KCB225" s="34"/>
      <c r="KCC225" s="34"/>
      <c r="KCD225" s="35"/>
      <c r="KCE225" s="35"/>
      <c r="KCF225" s="35"/>
      <c r="KCG225" s="35"/>
      <c r="KCH225" s="35"/>
      <c r="KCI225" s="34"/>
      <c r="KCJ225" s="34"/>
      <c r="KCK225" s="36"/>
      <c r="KCL225" s="36"/>
      <c r="KCM225" s="37"/>
      <c r="KCN225" s="37"/>
      <c r="KCO225" s="38"/>
      <c r="KCP225" s="38"/>
      <c r="KCQ225" s="39"/>
      <c r="KCR225" s="34"/>
      <c r="KCS225" s="34"/>
      <c r="KCT225" s="34"/>
      <c r="KCU225" s="35"/>
      <c r="KCV225" s="35"/>
      <c r="KCW225" s="35"/>
      <c r="KCX225" s="35"/>
      <c r="KCY225" s="35"/>
      <c r="KCZ225" s="34"/>
      <c r="KDA225" s="34"/>
      <c r="KDB225" s="36"/>
      <c r="KDC225" s="36"/>
      <c r="KDD225" s="37"/>
      <c r="KDE225" s="37"/>
      <c r="KDF225" s="38"/>
      <c r="KDG225" s="38"/>
      <c r="KDH225" s="39"/>
      <c r="KDI225" s="34"/>
      <c r="KDJ225" s="34"/>
      <c r="KDK225" s="34"/>
      <c r="KDL225" s="35"/>
      <c r="KDM225" s="35"/>
      <c r="KDN225" s="35"/>
      <c r="KDO225" s="35"/>
      <c r="KDP225" s="35"/>
      <c r="KDQ225" s="34"/>
      <c r="KDR225" s="34"/>
      <c r="KDS225" s="36"/>
      <c r="KDT225" s="36"/>
      <c r="KDU225" s="37"/>
      <c r="KDV225" s="37"/>
      <c r="KDW225" s="38"/>
      <c r="KDX225" s="38"/>
      <c r="KDY225" s="39"/>
      <c r="KDZ225" s="34"/>
      <c r="KEA225" s="34"/>
      <c r="KEB225" s="34"/>
      <c r="KEC225" s="35"/>
      <c r="KED225" s="35"/>
      <c r="KEE225" s="35"/>
      <c r="KEF225" s="35"/>
      <c r="KEG225" s="35"/>
      <c r="KEH225" s="34"/>
      <c r="KEI225" s="34"/>
      <c r="KEJ225" s="36"/>
      <c r="KEK225" s="36"/>
      <c r="KEL225" s="37"/>
      <c r="KEM225" s="37"/>
      <c r="KEN225" s="38"/>
      <c r="KEO225" s="38"/>
      <c r="KEP225" s="39"/>
      <c r="KEQ225" s="34"/>
      <c r="KER225" s="34"/>
      <c r="KES225" s="34"/>
      <c r="KET225" s="35"/>
      <c r="KEU225" s="35"/>
      <c r="KEV225" s="35"/>
      <c r="KEW225" s="35"/>
      <c r="KEX225" s="35"/>
      <c r="KEY225" s="34"/>
      <c r="KEZ225" s="34"/>
      <c r="KFA225" s="36"/>
      <c r="KFB225" s="36"/>
      <c r="KFC225" s="37"/>
      <c r="KFD225" s="37"/>
      <c r="KFE225" s="38"/>
      <c r="KFF225" s="38"/>
      <c r="KFG225" s="39"/>
      <c r="KFH225" s="34"/>
      <c r="KFI225" s="34"/>
      <c r="KFJ225" s="34"/>
      <c r="KFK225" s="35"/>
      <c r="KFL225" s="35"/>
      <c r="KFM225" s="35"/>
      <c r="KFN225" s="35"/>
      <c r="KFO225" s="35"/>
      <c r="KFP225" s="34"/>
      <c r="KFQ225" s="34"/>
      <c r="KFR225" s="36"/>
      <c r="KFS225" s="36"/>
      <c r="KFT225" s="37"/>
      <c r="KFU225" s="37"/>
      <c r="KFV225" s="38"/>
      <c r="KFW225" s="38"/>
      <c r="KFX225" s="39"/>
      <c r="KFY225" s="34"/>
      <c r="KFZ225" s="34"/>
      <c r="KGA225" s="34"/>
      <c r="KGB225" s="35"/>
      <c r="KGC225" s="35"/>
      <c r="KGD225" s="35"/>
      <c r="KGE225" s="35"/>
      <c r="KGF225" s="35"/>
      <c r="KGG225" s="34"/>
      <c r="KGH225" s="34"/>
      <c r="KGI225" s="36"/>
      <c r="KGJ225" s="36"/>
      <c r="KGK225" s="37"/>
      <c r="KGL225" s="37"/>
      <c r="KGM225" s="38"/>
      <c r="KGN225" s="38"/>
      <c r="KGO225" s="39"/>
      <c r="KGP225" s="34"/>
      <c r="KGQ225" s="34"/>
      <c r="KGR225" s="34"/>
      <c r="KGS225" s="35"/>
      <c r="KGT225" s="35"/>
      <c r="KGU225" s="35"/>
      <c r="KGV225" s="35"/>
      <c r="KGW225" s="35"/>
      <c r="KGX225" s="34"/>
      <c r="KGY225" s="34"/>
      <c r="KGZ225" s="36"/>
      <c r="KHA225" s="36"/>
      <c r="KHB225" s="37"/>
      <c r="KHC225" s="37"/>
      <c r="KHD225" s="38"/>
      <c r="KHE225" s="38"/>
      <c r="KHF225" s="39"/>
      <c r="KHG225" s="34"/>
      <c r="KHH225" s="34"/>
      <c r="KHI225" s="34"/>
      <c r="KHJ225" s="35"/>
      <c r="KHK225" s="35"/>
      <c r="KHL225" s="35"/>
      <c r="KHM225" s="35"/>
      <c r="KHN225" s="35"/>
      <c r="KHO225" s="34"/>
      <c r="KHP225" s="34"/>
      <c r="KHQ225" s="36"/>
      <c r="KHR225" s="36"/>
      <c r="KHS225" s="37"/>
      <c r="KHT225" s="37"/>
      <c r="KHU225" s="38"/>
      <c r="KHV225" s="38"/>
      <c r="KHW225" s="39"/>
      <c r="KHX225" s="34"/>
      <c r="KHY225" s="34"/>
      <c r="KHZ225" s="34"/>
      <c r="KIA225" s="35"/>
      <c r="KIB225" s="35"/>
      <c r="KIC225" s="35"/>
      <c r="KID225" s="35"/>
      <c r="KIE225" s="35"/>
      <c r="KIF225" s="34"/>
      <c r="KIG225" s="34"/>
      <c r="KIH225" s="36"/>
      <c r="KII225" s="36"/>
      <c r="KIJ225" s="37"/>
      <c r="KIK225" s="37"/>
      <c r="KIL225" s="38"/>
      <c r="KIM225" s="38"/>
      <c r="KIN225" s="39"/>
      <c r="KIO225" s="34"/>
      <c r="KIP225" s="34"/>
      <c r="KIQ225" s="34"/>
      <c r="KIR225" s="35"/>
      <c r="KIS225" s="35"/>
      <c r="KIT225" s="35"/>
      <c r="KIU225" s="35"/>
      <c r="KIV225" s="35"/>
      <c r="KIW225" s="34"/>
      <c r="KIX225" s="34"/>
      <c r="KIY225" s="36"/>
      <c r="KIZ225" s="36"/>
      <c r="KJA225" s="37"/>
      <c r="KJB225" s="37"/>
      <c r="KJC225" s="38"/>
      <c r="KJD225" s="38"/>
      <c r="KJE225" s="39"/>
      <c r="KJF225" s="34"/>
      <c r="KJG225" s="34"/>
      <c r="KJH225" s="34"/>
      <c r="KJI225" s="35"/>
      <c r="KJJ225" s="35"/>
      <c r="KJK225" s="35"/>
      <c r="KJL225" s="35"/>
      <c r="KJM225" s="35"/>
      <c r="KJN225" s="34"/>
      <c r="KJO225" s="34"/>
      <c r="KJP225" s="36"/>
      <c r="KJQ225" s="36"/>
      <c r="KJR225" s="37"/>
      <c r="KJS225" s="37"/>
      <c r="KJT225" s="38"/>
      <c r="KJU225" s="38"/>
      <c r="KJV225" s="39"/>
      <c r="KJW225" s="34"/>
      <c r="KJX225" s="34"/>
      <c r="KJY225" s="34"/>
      <c r="KJZ225" s="35"/>
      <c r="KKA225" s="35"/>
      <c r="KKB225" s="35"/>
      <c r="KKC225" s="35"/>
      <c r="KKD225" s="35"/>
      <c r="KKE225" s="34"/>
      <c r="KKF225" s="34"/>
      <c r="KKG225" s="36"/>
      <c r="KKH225" s="36"/>
      <c r="KKI225" s="37"/>
      <c r="KKJ225" s="37"/>
      <c r="KKK225" s="38"/>
      <c r="KKL225" s="38"/>
      <c r="KKM225" s="39"/>
      <c r="KKN225" s="34"/>
      <c r="KKO225" s="34"/>
      <c r="KKP225" s="34"/>
      <c r="KKQ225" s="35"/>
      <c r="KKR225" s="35"/>
      <c r="KKS225" s="35"/>
      <c r="KKT225" s="35"/>
      <c r="KKU225" s="35"/>
      <c r="KKV225" s="34"/>
      <c r="KKW225" s="34"/>
      <c r="KKX225" s="36"/>
      <c r="KKY225" s="36"/>
      <c r="KKZ225" s="37"/>
      <c r="KLA225" s="37"/>
      <c r="KLB225" s="38"/>
      <c r="KLC225" s="38"/>
      <c r="KLD225" s="39"/>
      <c r="KLE225" s="34"/>
      <c r="KLF225" s="34"/>
      <c r="KLG225" s="34"/>
      <c r="KLH225" s="35"/>
      <c r="KLI225" s="35"/>
      <c r="KLJ225" s="35"/>
      <c r="KLK225" s="35"/>
      <c r="KLL225" s="35"/>
      <c r="KLM225" s="34"/>
      <c r="KLN225" s="34"/>
      <c r="KLO225" s="36"/>
      <c r="KLP225" s="36"/>
      <c r="KLQ225" s="37"/>
      <c r="KLR225" s="37"/>
      <c r="KLS225" s="38"/>
      <c r="KLT225" s="38"/>
      <c r="KLU225" s="39"/>
      <c r="KLV225" s="34"/>
      <c r="KLW225" s="34"/>
      <c r="KLX225" s="34"/>
      <c r="KLY225" s="35"/>
      <c r="KLZ225" s="35"/>
      <c r="KMA225" s="35"/>
      <c r="KMB225" s="35"/>
      <c r="KMC225" s="35"/>
      <c r="KMD225" s="34"/>
      <c r="KME225" s="34"/>
      <c r="KMF225" s="36"/>
      <c r="KMG225" s="36"/>
      <c r="KMH225" s="37"/>
      <c r="KMI225" s="37"/>
      <c r="KMJ225" s="38"/>
      <c r="KMK225" s="38"/>
      <c r="KML225" s="39"/>
      <c r="KMM225" s="34"/>
      <c r="KMN225" s="34"/>
      <c r="KMO225" s="34"/>
      <c r="KMP225" s="35"/>
      <c r="KMQ225" s="35"/>
      <c r="KMR225" s="35"/>
      <c r="KMS225" s="35"/>
      <c r="KMT225" s="35"/>
      <c r="KMU225" s="34"/>
      <c r="KMV225" s="34"/>
      <c r="KMW225" s="36"/>
      <c r="KMX225" s="36"/>
      <c r="KMY225" s="37"/>
      <c r="KMZ225" s="37"/>
      <c r="KNA225" s="38"/>
      <c r="KNB225" s="38"/>
      <c r="KNC225" s="39"/>
      <c r="KND225" s="34"/>
      <c r="KNE225" s="34"/>
      <c r="KNF225" s="34"/>
      <c r="KNG225" s="35"/>
      <c r="KNH225" s="35"/>
      <c r="KNI225" s="35"/>
      <c r="KNJ225" s="35"/>
      <c r="KNK225" s="35"/>
      <c r="KNL225" s="34"/>
      <c r="KNM225" s="34"/>
      <c r="KNN225" s="36"/>
      <c r="KNO225" s="36"/>
      <c r="KNP225" s="37"/>
      <c r="KNQ225" s="37"/>
      <c r="KNR225" s="38"/>
      <c r="KNS225" s="38"/>
      <c r="KNT225" s="39"/>
      <c r="KNU225" s="34"/>
      <c r="KNV225" s="34"/>
      <c r="KNW225" s="34"/>
      <c r="KNX225" s="35"/>
      <c r="KNY225" s="35"/>
      <c r="KNZ225" s="35"/>
      <c r="KOA225" s="35"/>
      <c r="KOB225" s="35"/>
      <c r="KOC225" s="34"/>
      <c r="KOD225" s="34"/>
      <c r="KOE225" s="36"/>
      <c r="KOF225" s="36"/>
      <c r="KOG225" s="37"/>
      <c r="KOH225" s="37"/>
      <c r="KOI225" s="38"/>
      <c r="KOJ225" s="38"/>
      <c r="KOK225" s="39"/>
      <c r="KOL225" s="34"/>
      <c r="KOM225" s="34"/>
      <c r="KON225" s="34"/>
      <c r="KOO225" s="35"/>
      <c r="KOP225" s="35"/>
      <c r="KOQ225" s="35"/>
      <c r="KOR225" s="35"/>
      <c r="KOS225" s="35"/>
      <c r="KOT225" s="34"/>
      <c r="KOU225" s="34"/>
      <c r="KOV225" s="36"/>
      <c r="KOW225" s="36"/>
      <c r="KOX225" s="37"/>
      <c r="KOY225" s="37"/>
      <c r="KOZ225" s="38"/>
      <c r="KPA225" s="38"/>
      <c r="KPB225" s="39"/>
      <c r="KPC225" s="34"/>
      <c r="KPD225" s="34"/>
      <c r="KPE225" s="34"/>
      <c r="KPF225" s="35"/>
      <c r="KPG225" s="35"/>
      <c r="KPH225" s="35"/>
      <c r="KPI225" s="35"/>
      <c r="KPJ225" s="35"/>
      <c r="KPK225" s="34"/>
      <c r="KPL225" s="34"/>
      <c r="KPM225" s="36"/>
      <c r="KPN225" s="36"/>
      <c r="KPO225" s="37"/>
      <c r="KPP225" s="37"/>
      <c r="KPQ225" s="38"/>
      <c r="KPR225" s="38"/>
      <c r="KPS225" s="39"/>
      <c r="KPT225" s="34"/>
      <c r="KPU225" s="34"/>
      <c r="KPV225" s="34"/>
      <c r="KPW225" s="35"/>
      <c r="KPX225" s="35"/>
      <c r="KPY225" s="35"/>
      <c r="KPZ225" s="35"/>
      <c r="KQA225" s="35"/>
      <c r="KQB225" s="34"/>
      <c r="KQC225" s="34"/>
      <c r="KQD225" s="36"/>
      <c r="KQE225" s="36"/>
      <c r="KQF225" s="37"/>
      <c r="KQG225" s="37"/>
      <c r="KQH225" s="38"/>
      <c r="KQI225" s="38"/>
      <c r="KQJ225" s="39"/>
      <c r="KQK225" s="34"/>
      <c r="KQL225" s="34"/>
      <c r="KQM225" s="34"/>
      <c r="KQN225" s="35"/>
      <c r="KQO225" s="35"/>
      <c r="KQP225" s="35"/>
      <c r="KQQ225" s="35"/>
      <c r="KQR225" s="35"/>
      <c r="KQS225" s="34"/>
      <c r="KQT225" s="34"/>
      <c r="KQU225" s="36"/>
      <c r="KQV225" s="36"/>
      <c r="KQW225" s="37"/>
      <c r="KQX225" s="37"/>
      <c r="KQY225" s="38"/>
      <c r="KQZ225" s="38"/>
      <c r="KRA225" s="39"/>
      <c r="KRB225" s="34"/>
      <c r="KRC225" s="34"/>
      <c r="KRD225" s="34"/>
      <c r="KRE225" s="35"/>
      <c r="KRF225" s="35"/>
      <c r="KRG225" s="35"/>
      <c r="KRH225" s="35"/>
      <c r="KRI225" s="35"/>
      <c r="KRJ225" s="34"/>
      <c r="KRK225" s="34"/>
      <c r="KRL225" s="36"/>
      <c r="KRM225" s="36"/>
      <c r="KRN225" s="37"/>
      <c r="KRO225" s="37"/>
      <c r="KRP225" s="38"/>
      <c r="KRQ225" s="38"/>
      <c r="KRR225" s="39"/>
      <c r="KRS225" s="34"/>
      <c r="KRT225" s="34"/>
      <c r="KRU225" s="34"/>
      <c r="KRV225" s="35"/>
      <c r="KRW225" s="35"/>
      <c r="KRX225" s="35"/>
      <c r="KRY225" s="35"/>
      <c r="KRZ225" s="35"/>
      <c r="KSA225" s="34"/>
      <c r="KSB225" s="34"/>
      <c r="KSC225" s="36"/>
      <c r="KSD225" s="36"/>
      <c r="KSE225" s="37"/>
      <c r="KSF225" s="37"/>
      <c r="KSG225" s="38"/>
      <c r="KSH225" s="38"/>
      <c r="KSI225" s="39"/>
      <c r="KSJ225" s="34"/>
      <c r="KSK225" s="34"/>
      <c r="KSL225" s="34"/>
      <c r="KSM225" s="35"/>
      <c r="KSN225" s="35"/>
      <c r="KSO225" s="35"/>
      <c r="KSP225" s="35"/>
      <c r="KSQ225" s="35"/>
      <c r="KSR225" s="34"/>
      <c r="KSS225" s="34"/>
      <c r="KST225" s="36"/>
      <c r="KSU225" s="36"/>
      <c r="KSV225" s="37"/>
      <c r="KSW225" s="37"/>
      <c r="KSX225" s="38"/>
      <c r="KSY225" s="38"/>
      <c r="KSZ225" s="39"/>
      <c r="KTA225" s="34"/>
      <c r="KTB225" s="34"/>
      <c r="KTC225" s="34"/>
      <c r="KTD225" s="35"/>
      <c r="KTE225" s="35"/>
      <c r="KTF225" s="35"/>
      <c r="KTG225" s="35"/>
      <c r="KTH225" s="35"/>
      <c r="KTI225" s="34"/>
      <c r="KTJ225" s="34"/>
      <c r="KTK225" s="36"/>
      <c r="KTL225" s="36"/>
      <c r="KTM225" s="37"/>
      <c r="KTN225" s="37"/>
      <c r="KTO225" s="38"/>
      <c r="KTP225" s="38"/>
      <c r="KTQ225" s="39"/>
      <c r="KTR225" s="34"/>
      <c r="KTS225" s="34"/>
      <c r="KTT225" s="34"/>
      <c r="KTU225" s="35"/>
      <c r="KTV225" s="35"/>
      <c r="KTW225" s="35"/>
      <c r="KTX225" s="35"/>
      <c r="KTY225" s="35"/>
      <c r="KTZ225" s="34"/>
      <c r="KUA225" s="34"/>
      <c r="KUB225" s="36"/>
      <c r="KUC225" s="36"/>
      <c r="KUD225" s="37"/>
      <c r="KUE225" s="37"/>
      <c r="KUF225" s="38"/>
      <c r="KUG225" s="38"/>
      <c r="KUH225" s="39"/>
      <c r="KUI225" s="34"/>
      <c r="KUJ225" s="34"/>
      <c r="KUK225" s="34"/>
      <c r="KUL225" s="35"/>
      <c r="KUM225" s="35"/>
      <c r="KUN225" s="35"/>
      <c r="KUO225" s="35"/>
      <c r="KUP225" s="35"/>
      <c r="KUQ225" s="34"/>
      <c r="KUR225" s="34"/>
      <c r="KUS225" s="36"/>
      <c r="KUT225" s="36"/>
      <c r="KUU225" s="37"/>
      <c r="KUV225" s="37"/>
      <c r="KUW225" s="38"/>
      <c r="KUX225" s="38"/>
      <c r="KUY225" s="39"/>
      <c r="KUZ225" s="34"/>
      <c r="KVA225" s="34"/>
      <c r="KVB225" s="34"/>
      <c r="KVC225" s="35"/>
      <c r="KVD225" s="35"/>
      <c r="KVE225" s="35"/>
      <c r="KVF225" s="35"/>
      <c r="KVG225" s="35"/>
      <c r="KVH225" s="34"/>
      <c r="KVI225" s="34"/>
      <c r="KVJ225" s="36"/>
      <c r="KVK225" s="36"/>
      <c r="KVL225" s="37"/>
      <c r="KVM225" s="37"/>
      <c r="KVN225" s="38"/>
      <c r="KVO225" s="38"/>
      <c r="KVP225" s="39"/>
      <c r="KVQ225" s="34"/>
      <c r="KVR225" s="34"/>
      <c r="KVS225" s="34"/>
      <c r="KVT225" s="35"/>
      <c r="KVU225" s="35"/>
      <c r="KVV225" s="35"/>
      <c r="KVW225" s="35"/>
      <c r="KVX225" s="35"/>
      <c r="KVY225" s="34"/>
      <c r="KVZ225" s="34"/>
      <c r="KWA225" s="36"/>
      <c r="KWB225" s="36"/>
      <c r="KWC225" s="37"/>
      <c r="KWD225" s="37"/>
      <c r="KWE225" s="38"/>
      <c r="KWF225" s="38"/>
      <c r="KWG225" s="39"/>
      <c r="KWH225" s="34"/>
      <c r="KWI225" s="34"/>
      <c r="KWJ225" s="34"/>
      <c r="KWK225" s="35"/>
      <c r="KWL225" s="35"/>
      <c r="KWM225" s="35"/>
      <c r="KWN225" s="35"/>
      <c r="KWO225" s="35"/>
      <c r="KWP225" s="34"/>
      <c r="KWQ225" s="34"/>
      <c r="KWR225" s="36"/>
      <c r="KWS225" s="36"/>
      <c r="KWT225" s="37"/>
      <c r="KWU225" s="37"/>
      <c r="KWV225" s="38"/>
      <c r="KWW225" s="38"/>
      <c r="KWX225" s="39"/>
      <c r="KWY225" s="34"/>
      <c r="KWZ225" s="34"/>
      <c r="KXA225" s="34"/>
      <c r="KXB225" s="35"/>
      <c r="KXC225" s="35"/>
      <c r="KXD225" s="35"/>
      <c r="KXE225" s="35"/>
      <c r="KXF225" s="35"/>
      <c r="KXG225" s="34"/>
      <c r="KXH225" s="34"/>
      <c r="KXI225" s="36"/>
      <c r="KXJ225" s="36"/>
      <c r="KXK225" s="37"/>
      <c r="KXL225" s="37"/>
      <c r="KXM225" s="38"/>
      <c r="KXN225" s="38"/>
      <c r="KXO225" s="39"/>
      <c r="KXP225" s="34"/>
      <c r="KXQ225" s="34"/>
      <c r="KXR225" s="34"/>
      <c r="KXS225" s="35"/>
      <c r="KXT225" s="35"/>
      <c r="KXU225" s="35"/>
      <c r="KXV225" s="35"/>
      <c r="KXW225" s="35"/>
      <c r="KXX225" s="34"/>
      <c r="KXY225" s="34"/>
      <c r="KXZ225" s="36"/>
      <c r="KYA225" s="36"/>
      <c r="KYB225" s="37"/>
      <c r="KYC225" s="37"/>
      <c r="KYD225" s="38"/>
      <c r="KYE225" s="38"/>
      <c r="KYF225" s="39"/>
      <c r="KYG225" s="34"/>
      <c r="KYH225" s="34"/>
      <c r="KYI225" s="34"/>
      <c r="KYJ225" s="35"/>
      <c r="KYK225" s="35"/>
      <c r="KYL225" s="35"/>
      <c r="KYM225" s="35"/>
      <c r="KYN225" s="35"/>
      <c r="KYO225" s="34"/>
      <c r="KYP225" s="34"/>
      <c r="KYQ225" s="36"/>
      <c r="KYR225" s="36"/>
      <c r="KYS225" s="37"/>
      <c r="KYT225" s="37"/>
      <c r="KYU225" s="38"/>
      <c r="KYV225" s="38"/>
      <c r="KYW225" s="39"/>
      <c r="KYX225" s="34"/>
      <c r="KYY225" s="34"/>
      <c r="KYZ225" s="34"/>
      <c r="KZA225" s="35"/>
      <c r="KZB225" s="35"/>
      <c r="KZC225" s="35"/>
      <c r="KZD225" s="35"/>
      <c r="KZE225" s="35"/>
      <c r="KZF225" s="34"/>
      <c r="KZG225" s="34"/>
      <c r="KZH225" s="36"/>
      <c r="KZI225" s="36"/>
      <c r="KZJ225" s="37"/>
      <c r="KZK225" s="37"/>
      <c r="KZL225" s="38"/>
      <c r="KZM225" s="38"/>
      <c r="KZN225" s="39"/>
      <c r="KZO225" s="34"/>
      <c r="KZP225" s="34"/>
      <c r="KZQ225" s="34"/>
      <c r="KZR225" s="35"/>
      <c r="KZS225" s="35"/>
      <c r="KZT225" s="35"/>
      <c r="KZU225" s="35"/>
      <c r="KZV225" s="35"/>
      <c r="KZW225" s="34"/>
      <c r="KZX225" s="34"/>
      <c r="KZY225" s="36"/>
      <c r="KZZ225" s="36"/>
      <c r="LAA225" s="37"/>
      <c r="LAB225" s="37"/>
      <c r="LAC225" s="38"/>
      <c r="LAD225" s="38"/>
      <c r="LAE225" s="39"/>
      <c r="LAF225" s="34"/>
      <c r="LAG225" s="34"/>
      <c r="LAH225" s="34"/>
      <c r="LAI225" s="35"/>
      <c r="LAJ225" s="35"/>
      <c r="LAK225" s="35"/>
      <c r="LAL225" s="35"/>
      <c r="LAM225" s="35"/>
      <c r="LAN225" s="34"/>
      <c r="LAO225" s="34"/>
      <c r="LAP225" s="36"/>
      <c r="LAQ225" s="36"/>
      <c r="LAR225" s="37"/>
      <c r="LAS225" s="37"/>
      <c r="LAT225" s="38"/>
      <c r="LAU225" s="38"/>
      <c r="LAV225" s="39"/>
      <c r="LAW225" s="34"/>
      <c r="LAX225" s="34"/>
      <c r="LAY225" s="34"/>
      <c r="LAZ225" s="35"/>
      <c r="LBA225" s="35"/>
      <c r="LBB225" s="35"/>
      <c r="LBC225" s="35"/>
      <c r="LBD225" s="35"/>
      <c r="LBE225" s="34"/>
      <c r="LBF225" s="34"/>
      <c r="LBG225" s="36"/>
      <c r="LBH225" s="36"/>
      <c r="LBI225" s="37"/>
      <c r="LBJ225" s="37"/>
      <c r="LBK225" s="38"/>
      <c r="LBL225" s="38"/>
      <c r="LBM225" s="39"/>
      <c r="LBN225" s="34"/>
      <c r="LBO225" s="34"/>
      <c r="LBP225" s="34"/>
      <c r="LBQ225" s="35"/>
      <c r="LBR225" s="35"/>
      <c r="LBS225" s="35"/>
      <c r="LBT225" s="35"/>
      <c r="LBU225" s="35"/>
      <c r="LBV225" s="34"/>
      <c r="LBW225" s="34"/>
      <c r="LBX225" s="36"/>
      <c r="LBY225" s="36"/>
      <c r="LBZ225" s="37"/>
      <c r="LCA225" s="37"/>
      <c r="LCB225" s="38"/>
      <c r="LCC225" s="38"/>
      <c r="LCD225" s="39"/>
      <c r="LCE225" s="34"/>
      <c r="LCF225" s="34"/>
      <c r="LCG225" s="34"/>
      <c r="LCH225" s="35"/>
      <c r="LCI225" s="35"/>
      <c r="LCJ225" s="35"/>
      <c r="LCK225" s="35"/>
      <c r="LCL225" s="35"/>
      <c r="LCM225" s="34"/>
      <c r="LCN225" s="34"/>
      <c r="LCO225" s="36"/>
      <c r="LCP225" s="36"/>
      <c r="LCQ225" s="37"/>
      <c r="LCR225" s="37"/>
      <c r="LCS225" s="38"/>
      <c r="LCT225" s="38"/>
      <c r="LCU225" s="39"/>
      <c r="LCV225" s="34"/>
      <c r="LCW225" s="34"/>
      <c r="LCX225" s="34"/>
      <c r="LCY225" s="35"/>
      <c r="LCZ225" s="35"/>
      <c r="LDA225" s="35"/>
      <c r="LDB225" s="35"/>
      <c r="LDC225" s="35"/>
      <c r="LDD225" s="34"/>
      <c r="LDE225" s="34"/>
      <c r="LDF225" s="36"/>
      <c r="LDG225" s="36"/>
      <c r="LDH225" s="37"/>
      <c r="LDI225" s="37"/>
      <c r="LDJ225" s="38"/>
      <c r="LDK225" s="38"/>
      <c r="LDL225" s="39"/>
      <c r="LDM225" s="34"/>
      <c r="LDN225" s="34"/>
      <c r="LDO225" s="34"/>
      <c r="LDP225" s="35"/>
      <c r="LDQ225" s="35"/>
      <c r="LDR225" s="35"/>
      <c r="LDS225" s="35"/>
      <c r="LDT225" s="35"/>
      <c r="LDU225" s="34"/>
      <c r="LDV225" s="34"/>
      <c r="LDW225" s="36"/>
      <c r="LDX225" s="36"/>
      <c r="LDY225" s="37"/>
      <c r="LDZ225" s="37"/>
      <c r="LEA225" s="38"/>
      <c r="LEB225" s="38"/>
      <c r="LEC225" s="39"/>
      <c r="LED225" s="34"/>
      <c r="LEE225" s="34"/>
      <c r="LEF225" s="34"/>
      <c r="LEG225" s="35"/>
      <c r="LEH225" s="35"/>
      <c r="LEI225" s="35"/>
      <c r="LEJ225" s="35"/>
      <c r="LEK225" s="35"/>
      <c r="LEL225" s="34"/>
      <c r="LEM225" s="34"/>
      <c r="LEN225" s="36"/>
      <c r="LEO225" s="36"/>
      <c r="LEP225" s="37"/>
      <c r="LEQ225" s="37"/>
      <c r="LER225" s="38"/>
      <c r="LES225" s="38"/>
      <c r="LET225" s="39"/>
      <c r="LEU225" s="34"/>
      <c r="LEV225" s="34"/>
      <c r="LEW225" s="34"/>
      <c r="LEX225" s="35"/>
      <c r="LEY225" s="35"/>
      <c r="LEZ225" s="35"/>
      <c r="LFA225" s="35"/>
      <c r="LFB225" s="35"/>
      <c r="LFC225" s="34"/>
      <c r="LFD225" s="34"/>
      <c r="LFE225" s="36"/>
      <c r="LFF225" s="36"/>
      <c r="LFG225" s="37"/>
      <c r="LFH225" s="37"/>
      <c r="LFI225" s="38"/>
      <c r="LFJ225" s="38"/>
      <c r="LFK225" s="39"/>
      <c r="LFL225" s="34"/>
      <c r="LFM225" s="34"/>
      <c r="LFN225" s="34"/>
      <c r="LFO225" s="35"/>
      <c r="LFP225" s="35"/>
      <c r="LFQ225" s="35"/>
      <c r="LFR225" s="35"/>
      <c r="LFS225" s="35"/>
      <c r="LFT225" s="34"/>
      <c r="LFU225" s="34"/>
      <c r="LFV225" s="36"/>
      <c r="LFW225" s="36"/>
      <c r="LFX225" s="37"/>
      <c r="LFY225" s="37"/>
      <c r="LFZ225" s="38"/>
      <c r="LGA225" s="38"/>
      <c r="LGB225" s="39"/>
      <c r="LGC225" s="34"/>
      <c r="LGD225" s="34"/>
      <c r="LGE225" s="34"/>
      <c r="LGF225" s="35"/>
      <c r="LGG225" s="35"/>
      <c r="LGH225" s="35"/>
      <c r="LGI225" s="35"/>
      <c r="LGJ225" s="35"/>
      <c r="LGK225" s="34"/>
      <c r="LGL225" s="34"/>
      <c r="LGM225" s="36"/>
      <c r="LGN225" s="36"/>
      <c r="LGO225" s="37"/>
      <c r="LGP225" s="37"/>
      <c r="LGQ225" s="38"/>
      <c r="LGR225" s="38"/>
      <c r="LGS225" s="39"/>
      <c r="LGT225" s="34"/>
      <c r="LGU225" s="34"/>
      <c r="LGV225" s="34"/>
      <c r="LGW225" s="35"/>
      <c r="LGX225" s="35"/>
      <c r="LGY225" s="35"/>
      <c r="LGZ225" s="35"/>
      <c r="LHA225" s="35"/>
      <c r="LHB225" s="34"/>
      <c r="LHC225" s="34"/>
      <c r="LHD225" s="36"/>
      <c r="LHE225" s="36"/>
      <c r="LHF225" s="37"/>
      <c r="LHG225" s="37"/>
      <c r="LHH225" s="38"/>
      <c r="LHI225" s="38"/>
      <c r="LHJ225" s="39"/>
      <c r="LHK225" s="34"/>
      <c r="LHL225" s="34"/>
      <c r="LHM225" s="34"/>
      <c r="LHN225" s="35"/>
      <c r="LHO225" s="35"/>
      <c r="LHP225" s="35"/>
      <c r="LHQ225" s="35"/>
      <c r="LHR225" s="35"/>
      <c r="LHS225" s="34"/>
      <c r="LHT225" s="34"/>
      <c r="LHU225" s="36"/>
      <c r="LHV225" s="36"/>
      <c r="LHW225" s="37"/>
      <c r="LHX225" s="37"/>
      <c r="LHY225" s="38"/>
      <c r="LHZ225" s="38"/>
      <c r="LIA225" s="39"/>
      <c r="LIB225" s="34"/>
      <c r="LIC225" s="34"/>
      <c r="LID225" s="34"/>
      <c r="LIE225" s="35"/>
      <c r="LIF225" s="35"/>
      <c r="LIG225" s="35"/>
      <c r="LIH225" s="35"/>
      <c r="LII225" s="35"/>
      <c r="LIJ225" s="34"/>
      <c r="LIK225" s="34"/>
      <c r="LIL225" s="36"/>
      <c r="LIM225" s="36"/>
      <c r="LIN225" s="37"/>
      <c r="LIO225" s="37"/>
      <c r="LIP225" s="38"/>
      <c r="LIQ225" s="38"/>
      <c r="LIR225" s="39"/>
      <c r="LIS225" s="34"/>
      <c r="LIT225" s="34"/>
      <c r="LIU225" s="34"/>
      <c r="LIV225" s="35"/>
      <c r="LIW225" s="35"/>
      <c r="LIX225" s="35"/>
      <c r="LIY225" s="35"/>
      <c r="LIZ225" s="35"/>
      <c r="LJA225" s="34"/>
      <c r="LJB225" s="34"/>
      <c r="LJC225" s="36"/>
      <c r="LJD225" s="36"/>
      <c r="LJE225" s="37"/>
      <c r="LJF225" s="37"/>
      <c r="LJG225" s="38"/>
      <c r="LJH225" s="38"/>
      <c r="LJI225" s="39"/>
      <c r="LJJ225" s="34"/>
      <c r="LJK225" s="34"/>
      <c r="LJL225" s="34"/>
      <c r="LJM225" s="35"/>
      <c r="LJN225" s="35"/>
      <c r="LJO225" s="35"/>
      <c r="LJP225" s="35"/>
      <c r="LJQ225" s="35"/>
      <c r="LJR225" s="34"/>
      <c r="LJS225" s="34"/>
      <c r="LJT225" s="36"/>
      <c r="LJU225" s="36"/>
      <c r="LJV225" s="37"/>
      <c r="LJW225" s="37"/>
      <c r="LJX225" s="38"/>
      <c r="LJY225" s="38"/>
      <c r="LJZ225" s="39"/>
      <c r="LKA225" s="34"/>
      <c r="LKB225" s="34"/>
      <c r="LKC225" s="34"/>
      <c r="LKD225" s="35"/>
      <c r="LKE225" s="35"/>
      <c r="LKF225" s="35"/>
      <c r="LKG225" s="35"/>
      <c r="LKH225" s="35"/>
      <c r="LKI225" s="34"/>
      <c r="LKJ225" s="34"/>
      <c r="LKK225" s="36"/>
      <c r="LKL225" s="36"/>
      <c r="LKM225" s="37"/>
      <c r="LKN225" s="37"/>
      <c r="LKO225" s="38"/>
      <c r="LKP225" s="38"/>
      <c r="LKQ225" s="39"/>
      <c r="LKR225" s="34"/>
      <c r="LKS225" s="34"/>
      <c r="LKT225" s="34"/>
      <c r="LKU225" s="35"/>
      <c r="LKV225" s="35"/>
      <c r="LKW225" s="35"/>
      <c r="LKX225" s="35"/>
      <c r="LKY225" s="35"/>
      <c r="LKZ225" s="34"/>
      <c r="LLA225" s="34"/>
      <c r="LLB225" s="36"/>
      <c r="LLC225" s="36"/>
      <c r="LLD225" s="37"/>
      <c r="LLE225" s="37"/>
      <c r="LLF225" s="38"/>
      <c r="LLG225" s="38"/>
      <c r="LLH225" s="39"/>
      <c r="LLI225" s="34"/>
      <c r="LLJ225" s="34"/>
      <c r="LLK225" s="34"/>
      <c r="LLL225" s="35"/>
      <c r="LLM225" s="35"/>
      <c r="LLN225" s="35"/>
      <c r="LLO225" s="35"/>
      <c r="LLP225" s="35"/>
      <c r="LLQ225" s="34"/>
      <c r="LLR225" s="34"/>
      <c r="LLS225" s="36"/>
      <c r="LLT225" s="36"/>
      <c r="LLU225" s="37"/>
      <c r="LLV225" s="37"/>
      <c r="LLW225" s="38"/>
      <c r="LLX225" s="38"/>
      <c r="LLY225" s="39"/>
      <c r="LLZ225" s="34"/>
      <c r="LMA225" s="34"/>
      <c r="LMB225" s="34"/>
      <c r="LMC225" s="35"/>
      <c r="LMD225" s="35"/>
      <c r="LME225" s="35"/>
      <c r="LMF225" s="35"/>
      <c r="LMG225" s="35"/>
      <c r="LMH225" s="34"/>
      <c r="LMI225" s="34"/>
      <c r="LMJ225" s="36"/>
      <c r="LMK225" s="36"/>
      <c r="LML225" s="37"/>
      <c r="LMM225" s="37"/>
      <c r="LMN225" s="38"/>
      <c r="LMO225" s="38"/>
      <c r="LMP225" s="39"/>
      <c r="LMQ225" s="34"/>
      <c r="LMR225" s="34"/>
      <c r="LMS225" s="34"/>
      <c r="LMT225" s="35"/>
      <c r="LMU225" s="35"/>
      <c r="LMV225" s="35"/>
      <c r="LMW225" s="35"/>
      <c r="LMX225" s="35"/>
      <c r="LMY225" s="34"/>
      <c r="LMZ225" s="34"/>
      <c r="LNA225" s="36"/>
      <c r="LNB225" s="36"/>
      <c r="LNC225" s="37"/>
      <c r="LND225" s="37"/>
      <c r="LNE225" s="38"/>
      <c r="LNF225" s="38"/>
      <c r="LNG225" s="39"/>
      <c r="LNH225" s="34"/>
      <c r="LNI225" s="34"/>
      <c r="LNJ225" s="34"/>
      <c r="LNK225" s="35"/>
      <c r="LNL225" s="35"/>
      <c r="LNM225" s="35"/>
      <c r="LNN225" s="35"/>
      <c r="LNO225" s="35"/>
      <c r="LNP225" s="34"/>
      <c r="LNQ225" s="34"/>
      <c r="LNR225" s="36"/>
      <c r="LNS225" s="36"/>
      <c r="LNT225" s="37"/>
      <c r="LNU225" s="37"/>
      <c r="LNV225" s="38"/>
      <c r="LNW225" s="38"/>
      <c r="LNX225" s="39"/>
      <c r="LNY225" s="34"/>
      <c r="LNZ225" s="34"/>
      <c r="LOA225" s="34"/>
      <c r="LOB225" s="35"/>
      <c r="LOC225" s="35"/>
      <c r="LOD225" s="35"/>
      <c r="LOE225" s="35"/>
      <c r="LOF225" s="35"/>
      <c r="LOG225" s="34"/>
      <c r="LOH225" s="34"/>
      <c r="LOI225" s="36"/>
      <c r="LOJ225" s="36"/>
      <c r="LOK225" s="37"/>
      <c r="LOL225" s="37"/>
      <c r="LOM225" s="38"/>
      <c r="LON225" s="38"/>
      <c r="LOO225" s="39"/>
      <c r="LOP225" s="34"/>
      <c r="LOQ225" s="34"/>
      <c r="LOR225" s="34"/>
      <c r="LOS225" s="35"/>
      <c r="LOT225" s="35"/>
      <c r="LOU225" s="35"/>
      <c r="LOV225" s="35"/>
      <c r="LOW225" s="35"/>
      <c r="LOX225" s="34"/>
      <c r="LOY225" s="34"/>
      <c r="LOZ225" s="36"/>
      <c r="LPA225" s="36"/>
      <c r="LPB225" s="37"/>
      <c r="LPC225" s="37"/>
      <c r="LPD225" s="38"/>
      <c r="LPE225" s="38"/>
      <c r="LPF225" s="39"/>
      <c r="LPG225" s="34"/>
      <c r="LPH225" s="34"/>
      <c r="LPI225" s="34"/>
      <c r="LPJ225" s="35"/>
      <c r="LPK225" s="35"/>
      <c r="LPL225" s="35"/>
      <c r="LPM225" s="35"/>
      <c r="LPN225" s="35"/>
      <c r="LPO225" s="34"/>
      <c r="LPP225" s="34"/>
      <c r="LPQ225" s="36"/>
      <c r="LPR225" s="36"/>
      <c r="LPS225" s="37"/>
      <c r="LPT225" s="37"/>
      <c r="LPU225" s="38"/>
      <c r="LPV225" s="38"/>
      <c r="LPW225" s="39"/>
      <c r="LPX225" s="34"/>
      <c r="LPY225" s="34"/>
      <c r="LPZ225" s="34"/>
      <c r="LQA225" s="35"/>
      <c r="LQB225" s="35"/>
      <c r="LQC225" s="35"/>
      <c r="LQD225" s="35"/>
      <c r="LQE225" s="35"/>
      <c r="LQF225" s="34"/>
      <c r="LQG225" s="34"/>
      <c r="LQH225" s="36"/>
      <c r="LQI225" s="36"/>
      <c r="LQJ225" s="37"/>
      <c r="LQK225" s="37"/>
      <c r="LQL225" s="38"/>
      <c r="LQM225" s="38"/>
      <c r="LQN225" s="39"/>
      <c r="LQO225" s="34"/>
      <c r="LQP225" s="34"/>
      <c r="LQQ225" s="34"/>
      <c r="LQR225" s="35"/>
      <c r="LQS225" s="35"/>
      <c r="LQT225" s="35"/>
      <c r="LQU225" s="35"/>
      <c r="LQV225" s="35"/>
      <c r="LQW225" s="34"/>
      <c r="LQX225" s="34"/>
      <c r="LQY225" s="36"/>
      <c r="LQZ225" s="36"/>
      <c r="LRA225" s="37"/>
      <c r="LRB225" s="37"/>
      <c r="LRC225" s="38"/>
      <c r="LRD225" s="38"/>
      <c r="LRE225" s="39"/>
      <c r="LRF225" s="34"/>
      <c r="LRG225" s="34"/>
      <c r="LRH225" s="34"/>
      <c r="LRI225" s="35"/>
      <c r="LRJ225" s="35"/>
      <c r="LRK225" s="35"/>
      <c r="LRL225" s="35"/>
      <c r="LRM225" s="35"/>
      <c r="LRN225" s="34"/>
      <c r="LRO225" s="34"/>
      <c r="LRP225" s="36"/>
      <c r="LRQ225" s="36"/>
      <c r="LRR225" s="37"/>
      <c r="LRS225" s="37"/>
      <c r="LRT225" s="38"/>
      <c r="LRU225" s="38"/>
      <c r="LRV225" s="39"/>
      <c r="LRW225" s="34"/>
      <c r="LRX225" s="34"/>
      <c r="LRY225" s="34"/>
      <c r="LRZ225" s="35"/>
      <c r="LSA225" s="35"/>
      <c r="LSB225" s="35"/>
      <c r="LSC225" s="35"/>
      <c r="LSD225" s="35"/>
      <c r="LSE225" s="34"/>
      <c r="LSF225" s="34"/>
      <c r="LSG225" s="36"/>
      <c r="LSH225" s="36"/>
      <c r="LSI225" s="37"/>
      <c r="LSJ225" s="37"/>
      <c r="LSK225" s="38"/>
      <c r="LSL225" s="38"/>
      <c r="LSM225" s="39"/>
      <c r="LSN225" s="34"/>
      <c r="LSO225" s="34"/>
      <c r="LSP225" s="34"/>
      <c r="LSQ225" s="35"/>
      <c r="LSR225" s="35"/>
      <c r="LSS225" s="35"/>
      <c r="LST225" s="35"/>
      <c r="LSU225" s="35"/>
      <c r="LSV225" s="34"/>
      <c r="LSW225" s="34"/>
      <c r="LSX225" s="36"/>
      <c r="LSY225" s="36"/>
      <c r="LSZ225" s="37"/>
      <c r="LTA225" s="37"/>
      <c r="LTB225" s="38"/>
      <c r="LTC225" s="38"/>
      <c r="LTD225" s="39"/>
      <c r="LTE225" s="34"/>
      <c r="LTF225" s="34"/>
      <c r="LTG225" s="34"/>
      <c r="LTH225" s="35"/>
      <c r="LTI225" s="35"/>
      <c r="LTJ225" s="35"/>
      <c r="LTK225" s="35"/>
      <c r="LTL225" s="35"/>
      <c r="LTM225" s="34"/>
      <c r="LTN225" s="34"/>
      <c r="LTO225" s="36"/>
      <c r="LTP225" s="36"/>
      <c r="LTQ225" s="37"/>
      <c r="LTR225" s="37"/>
      <c r="LTS225" s="38"/>
      <c r="LTT225" s="38"/>
      <c r="LTU225" s="39"/>
      <c r="LTV225" s="34"/>
      <c r="LTW225" s="34"/>
      <c r="LTX225" s="34"/>
      <c r="LTY225" s="35"/>
      <c r="LTZ225" s="35"/>
      <c r="LUA225" s="35"/>
      <c r="LUB225" s="35"/>
      <c r="LUC225" s="35"/>
      <c r="LUD225" s="34"/>
      <c r="LUE225" s="34"/>
      <c r="LUF225" s="36"/>
      <c r="LUG225" s="36"/>
      <c r="LUH225" s="37"/>
      <c r="LUI225" s="37"/>
      <c r="LUJ225" s="38"/>
      <c r="LUK225" s="38"/>
      <c r="LUL225" s="39"/>
      <c r="LUM225" s="34"/>
      <c r="LUN225" s="34"/>
      <c r="LUO225" s="34"/>
      <c r="LUP225" s="35"/>
      <c r="LUQ225" s="35"/>
      <c r="LUR225" s="35"/>
      <c r="LUS225" s="35"/>
      <c r="LUT225" s="35"/>
      <c r="LUU225" s="34"/>
      <c r="LUV225" s="34"/>
      <c r="LUW225" s="36"/>
      <c r="LUX225" s="36"/>
      <c r="LUY225" s="37"/>
      <c r="LUZ225" s="37"/>
      <c r="LVA225" s="38"/>
      <c r="LVB225" s="38"/>
      <c r="LVC225" s="39"/>
      <c r="LVD225" s="34"/>
      <c r="LVE225" s="34"/>
      <c r="LVF225" s="34"/>
      <c r="LVG225" s="35"/>
      <c r="LVH225" s="35"/>
      <c r="LVI225" s="35"/>
      <c r="LVJ225" s="35"/>
      <c r="LVK225" s="35"/>
      <c r="LVL225" s="34"/>
      <c r="LVM225" s="34"/>
      <c r="LVN225" s="36"/>
      <c r="LVO225" s="36"/>
      <c r="LVP225" s="37"/>
      <c r="LVQ225" s="37"/>
      <c r="LVR225" s="38"/>
      <c r="LVS225" s="38"/>
      <c r="LVT225" s="39"/>
      <c r="LVU225" s="34"/>
      <c r="LVV225" s="34"/>
      <c r="LVW225" s="34"/>
      <c r="LVX225" s="35"/>
      <c r="LVY225" s="35"/>
      <c r="LVZ225" s="35"/>
      <c r="LWA225" s="35"/>
      <c r="LWB225" s="35"/>
      <c r="LWC225" s="34"/>
      <c r="LWD225" s="34"/>
      <c r="LWE225" s="36"/>
      <c r="LWF225" s="36"/>
      <c r="LWG225" s="37"/>
      <c r="LWH225" s="37"/>
      <c r="LWI225" s="38"/>
      <c r="LWJ225" s="38"/>
      <c r="LWK225" s="39"/>
      <c r="LWL225" s="34"/>
      <c r="LWM225" s="34"/>
      <c r="LWN225" s="34"/>
      <c r="LWO225" s="35"/>
      <c r="LWP225" s="35"/>
      <c r="LWQ225" s="35"/>
      <c r="LWR225" s="35"/>
      <c r="LWS225" s="35"/>
      <c r="LWT225" s="34"/>
      <c r="LWU225" s="34"/>
      <c r="LWV225" s="36"/>
      <c r="LWW225" s="36"/>
      <c r="LWX225" s="37"/>
      <c r="LWY225" s="37"/>
      <c r="LWZ225" s="38"/>
      <c r="LXA225" s="38"/>
      <c r="LXB225" s="39"/>
      <c r="LXC225" s="34"/>
      <c r="LXD225" s="34"/>
      <c r="LXE225" s="34"/>
      <c r="LXF225" s="35"/>
      <c r="LXG225" s="35"/>
      <c r="LXH225" s="35"/>
      <c r="LXI225" s="35"/>
      <c r="LXJ225" s="35"/>
      <c r="LXK225" s="34"/>
      <c r="LXL225" s="34"/>
      <c r="LXM225" s="36"/>
      <c r="LXN225" s="36"/>
      <c r="LXO225" s="37"/>
      <c r="LXP225" s="37"/>
      <c r="LXQ225" s="38"/>
      <c r="LXR225" s="38"/>
      <c r="LXS225" s="39"/>
      <c r="LXT225" s="34"/>
      <c r="LXU225" s="34"/>
      <c r="LXV225" s="34"/>
      <c r="LXW225" s="35"/>
      <c r="LXX225" s="35"/>
      <c r="LXY225" s="35"/>
      <c r="LXZ225" s="35"/>
      <c r="LYA225" s="35"/>
      <c r="LYB225" s="34"/>
      <c r="LYC225" s="34"/>
      <c r="LYD225" s="36"/>
      <c r="LYE225" s="36"/>
      <c r="LYF225" s="37"/>
      <c r="LYG225" s="37"/>
      <c r="LYH225" s="38"/>
      <c r="LYI225" s="38"/>
      <c r="LYJ225" s="39"/>
      <c r="LYK225" s="34"/>
      <c r="LYL225" s="34"/>
      <c r="LYM225" s="34"/>
      <c r="LYN225" s="35"/>
      <c r="LYO225" s="35"/>
      <c r="LYP225" s="35"/>
      <c r="LYQ225" s="35"/>
      <c r="LYR225" s="35"/>
      <c r="LYS225" s="34"/>
      <c r="LYT225" s="34"/>
      <c r="LYU225" s="36"/>
      <c r="LYV225" s="36"/>
      <c r="LYW225" s="37"/>
      <c r="LYX225" s="37"/>
      <c r="LYY225" s="38"/>
      <c r="LYZ225" s="38"/>
      <c r="LZA225" s="39"/>
      <c r="LZB225" s="34"/>
      <c r="LZC225" s="34"/>
      <c r="LZD225" s="34"/>
      <c r="LZE225" s="35"/>
      <c r="LZF225" s="35"/>
      <c r="LZG225" s="35"/>
      <c r="LZH225" s="35"/>
      <c r="LZI225" s="35"/>
      <c r="LZJ225" s="34"/>
      <c r="LZK225" s="34"/>
      <c r="LZL225" s="36"/>
      <c r="LZM225" s="36"/>
      <c r="LZN225" s="37"/>
      <c r="LZO225" s="37"/>
      <c r="LZP225" s="38"/>
      <c r="LZQ225" s="38"/>
      <c r="LZR225" s="39"/>
      <c r="LZS225" s="34"/>
      <c r="LZT225" s="34"/>
      <c r="LZU225" s="34"/>
      <c r="LZV225" s="35"/>
      <c r="LZW225" s="35"/>
      <c r="LZX225" s="35"/>
      <c r="LZY225" s="35"/>
      <c r="LZZ225" s="35"/>
      <c r="MAA225" s="34"/>
      <c r="MAB225" s="34"/>
      <c r="MAC225" s="36"/>
      <c r="MAD225" s="36"/>
      <c r="MAE225" s="37"/>
      <c r="MAF225" s="37"/>
      <c r="MAG225" s="38"/>
      <c r="MAH225" s="38"/>
      <c r="MAI225" s="39"/>
      <c r="MAJ225" s="34"/>
      <c r="MAK225" s="34"/>
      <c r="MAL225" s="34"/>
      <c r="MAM225" s="35"/>
      <c r="MAN225" s="35"/>
      <c r="MAO225" s="35"/>
      <c r="MAP225" s="35"/>
      <c r="MAQ225" s="35"/>
      <c r="MAR225" s="34"/>
      <c r="MAS225" s="34"/>
      <c r="MAT225" s="36"/>
      <c r="MAU225" s="36"/>
      <c r="MAV225" s="37"/>
      <c r="MAW225" s="37"/>
      <c r="MAX225" s="38"/>
      <c r="MAY225" s="38"/>
      <c r="MAZ225" s="39"/>
      <c r="MBA225" s="34"/>
      <c r="MBB225" s="34"/>
      <c r="MBC225" s="34"/>
      <c r="MBD225" s="35"/>
      <c r="MBE225" s="35"/>
      <c r="MBF225" s="35"/>
      <c r="MBG225" s="35"/>
      <c r="MBH225" s="35"/>
      <c r="MBI225" s="34"/>
      <c r="MBJ225" s="34"/>
      <c r="MBK225" s="36"/>
      <c r="MBL225" s="36"/>
      <c r="MBM225" s="37"/>
      <c r="MBN225" s="37"/>
      <c r="MBO225" s="38"/>
      <c r="MBP225" s="38"/>
      <c r="MBQ225" s="39"/>
      <c r="MBR225" s="34"/>
      <c r="MBS225" s="34"/>
      <c r="MBT225" s="34"/>
      <c r="MBU225" s="35"/>
      <c r="MBV225" s="35"/>
      <c r="MBW225" s="35"/>
      <c r="MBX225" s="35"/>
      <c r="MBY225" s="35"/>
      <c r="MBZ225" s="34"/>
      <c r="MCA225" s="34"/>
      <c r="MCB225" s="36"/>
      <c r="MCC225" s="36"/>
      <c r="MCD225" s="37"/>
      <c r="MCE225" s="37"/>
      <c r="MCF225" s="38"/>
      <c r="MCG225" s="38"/>
      <c r="MCH225" s="39"/>
      <c r="MCI225" s="34"/>
      <c r="MCJ225" s="34"/>
      <c r="MCK225" s="34"/>
      <c r="MCL225" s="35"/>
      <c r="MCM225" s="35"/>
      <c r="MCN225" s="35"/>
      <c r="MCO225" s="35"/>
      <c r="MCP225" s="35"/>
      <c r="MCQ225" s="34"/>
      <c r="MCR225" s="34"/>
      <c r="MCS225" s="36"/>
      <c r="MCT225" s="36"/>
      <c r="MCU225" s="37"/>
      <c r="MCV225" s="37"/>
      <c r="MCW225" s="38"/>
      <c r="MCX225" s="38"/>
      <c r="MCY225" s="39"/>
      <c r="MCZ225" s="34"/>
      <c r="MDA225" s="34"/>
      <c r="MDB225" s="34"/>
      <c r="MDC225" s="35"/>
      <c r="MDD225" s="35"/>
      <c r="MDE225" s="35"/>
      <c r="MDF225" s="35"/>
      <c r="MDG225" s="35"/>
      <c r="MDH225" s="34"/>
      <c r="MDI225" s="34"/>
      <c r="MDJ225" s="36"/>
      <c r="MDK225" s="36"/>
      <c r="MDL225" s="37"/>
      <c r="MDM225" s="37"/>
      <c r="MDN225" s="38"/>
      <c r="MDO225" s="38"/>
      <c r="MDP225" s="39"/>
      <c r="MDQ225" s="34"/>
      <c r="MDR225" s="34"/>
      <c r="MDS225" s="34"/>
      <c r="MDT225" s="35"/>
      <c r="MDU225" s="35"/>
      <c r="MDV225" s="35"/>
      <c r="MDW225" s="35"/>
      <c r="MDX225" s="35"/>
      <c r="MDY225" s="34"/>
      <c r="MDZ225" s="34"/>
      <c r="MEA225" s="36"/>
      <c r="MEB225" s="36"/>
      <c r="MEC225" s="37"/>
      <c r="MED225" s="37"/>
      <c r="MEE225" s="38"/>
      <c r="MEF225" s="38"/>
      <c r="MEG225" s="39"/>
      <c r="MEH225" s="34"/>
      <c r="MEI225" s="34"/>
      <c r="MEJ225" s="34"/>
      <c r="MEK225" s="35"/>
      <c r="MEL225" s="35"/>
      <c r="MEM225" s="35"/>
      <c r="MEN225" s="35"/>
      <c r="MEO225" s="35"/>
      <c r="MEP225" s="34"/>
      <c r="MEQ225" s="34"/>
      <c r="MER225" s="36"/>
      <c r="MES225" s="36"/>
      <c r="MET225" s="37"/>
      <c r="MEU225" s="37"/>
      <c r="MEV225" s="38"/>
      <c r="MEW225" s="38"/>
      <c r="MEX225" s="39"/>
      <c r="MEY225" s="34"/>
      <c r="MEZ225" s="34"/>
      <c r="MFA225" s="34"/>
      <c r="MFB225" s="35"/>
      <c r="MFC225" s="35"/>
      <c r="MFD225" s="35"/>
      <c r="MFE225" s="35"/>
      <c r="MFF225" s="35"/>
      <c r="MFG225" s="34"/>
      <c r="MFH225" s="34"/>
      <c r="MFI225" s="36"/>
      <c r="MFJ225" s="36"/>
      <c r="MFK225" s="37"/>
      <c r="MFL225" s="37"/>
      <c r="MFM225" s="38"/>
      <c r="MFN225" s="38"/>
      <c r="MFO225" s="39"/>
      <c r="MFP225" s="34"/>
      <c r="MFQ225" s="34"/>
      <c r="MFR225" s="34"/>
      <c r="MFS225" s="35"/>
      <c r="MFT225" s="35"/>
      <c r="MFU225" s="35"/>
      <c r="MFV225" s="35"/>
      <c r="MFW225" s="35"/>
      <c r="MFX225" s="34"/>
      <c r="MFY225" s="34"/>
      <c r="MFZ225" s="36"/>
      <c r="MGA225" s="36"/>
      <c r="MGB225" s="37"/>
      <c r="MGC225" s="37"/>
      <c r="MGD225" s="38"/>
      <c r="MGE225" s="38"/>
      <c r="MGF225" s="39"/>
      <c r="MGG225" s="34"/>
      <c r="MGH225" s="34"/>
      <c r="MGI225" s="34"/>
      <c r="MGJ225" s="35"/>
      <c r="MGK225" s="35"/>
      <c r="MGL225" s="35"/>
      <c r="MGM225" s="35"/>
      <c r="MGN225" s="35"/>
      <c r="MGO225" s="34"/>
      <c r="MGP225" s="34"/>
      <c r="MGQ225" s="36"/>
      <c r="MGR225" s="36"/>
      <c r="MGS225" s="37"/>
      <c r="MGT225" s="37"/>
      <c r="MGU225" s="38"/>
      <c r="MGV225" s="38"/>
      <c r="MGW225" s="39"/>
      <c r="MGX225" s="34"/>
      <c r="MGY225" s="34"/>
      <c r="MGZ225" s="34"/>
      <c r="MHA225" s="35"/>
      <c r="MHB225" s="35"/>
      <c r="MHC225" s="35"/>
      <c r="MHD225" s="35"/>
      <c r="MHE225" s="35"/>
      <c r="MHF225" s="34"/>
      <c r="MHG225" s="34"/>
      <c r="MHH225" s="36"/>
      <c r="MHI225" s="36"/>
      <c r="MHJ225" s="37"/>
      <c r="MHK225" s="37"/>
      <c r="MHL225" s="38"/>
      <c r="MHM225" s="38"/>
      <c r="MHN225" s="39"/>
      <c r="MHO225" s="34"/>
      <c r="MHP225" s="34"/>
      <c r="MHQ225" s="34"/>
      <c r="MHR225" s="35"/>
      <c r="MHS225" s="35"/>
      <c r="MHT225" s="35"/>
      <c r="MHU225" s="35"/>
      <c r="MHV225" s="35"/>
      <c r="MHW225" s="34"/>
      <c r="MHX225" s="34"/>
      <c r="MHY225" s="36"/>
      <c r="MHZ225" s="36"/>
      <c r="MIA225" s="37"/>
      <c r="MIB225" s="37"/>
      <c r="MIC225" s="38"/>
      <c r="MID225" s="38"/>
      <c r="MIE225" s="39"/>
      <c r="MIF225" s="34"/>
      <c r="MIG225" s="34"/>
      <c r="MIH225" s="34"/>
      <c r="MII225" s="35"/>
      <c r="MIJ225" s="35"/>
      <c r="MIK225" s="35"/>
      <c r="MIL225" s="35"/>
      <c r="MIM225" s="35"/>
      <c r="MIN225" s="34"/>
      <c r="MIO225" s="34"/>
      <c r="MIP225" s="36"/>
      <c r="MIQ225" s="36"/>
      <c r="MIR225" s="37"/>
      <c r="MIS225" s="37"/>
      <c r="MIT225" s="38"/>
      <c r="MIU225" s="38"/>
      <c r="MIV225" s="39"/>
      <c r="MIW225" s="34"/>
      <c r="MIX225" s="34"/>
      <c r="MIY225" s="34"/>
      <c r="MIZ225" s="35"/>
      <c r="MJA225" s="35"/>
      <c r="MJB225" s="35"/>
      <c r="MJC225" s="35"/>
      <c r="MJD225" s="35"/>
      <c r="MJE225" s="34"/>
      <c r="MJF225" s="34"/>
      <c r="MJG225" s="36"/>
      <c r="MJH225" s="36"/>
      <c r="MJI225" s="37"/>
      <c r="MJJ225" s="37"/>
      <c r="MJK225" s="38"/>
      <c r="MJL225" s="38"/>
      <c r="MJM225" s="39"/>
      <c r="MJN225" s="34"/>
      <c r="MJO225" s="34"/>
      <c r="MJP225" s="34"/>
      <c r="MJQ225" s="35"/>
      <c r="MJR225" s="35"/>
      <c r="MJS225" s="35"/>
      <c r="MJT225" s="35"/>
      <c r="MJU225" s="35"/>
      <c r="MJV225" s="34"/>
      <c r="MJW225" s="34"/>
      <c r="MJX225" s="36"/>
      <c r="MJY225" s="36"/>
      <c r="MJZ225" s="37"/>
      <c r="MKA225" s="37"/>
      <c r="MKB225" s="38"/>
      <c r="MKC225" s="38"/>
      <c r="MKD225" s="39"/>
      <c r="MKE225" s="34"/>
      <c r="MKF225" s="34"/>
      <c r="MKG225" s="34"/>
      <c r="MKH225" s="35"/>
      <c r="MKI225" s="35"/>
      <c r="MKJ225" s="35"/>
      <c r="MKK225" s="35"/>
      <c r="MKL225" s="35"/>
      <c r="MKM225" s="34"/>
      <c r="MKN225" s="34"/>
      <c r="MKO225" s="36"/>
      <c r="MKP225" s="36"/>
      <c r="MKQ225" s="37"/>
      <c r="MKR225" s="37"/>
      <c r="MKS225" s="38"/>
      <c r="MKT225" s="38"/>
      <c r="MKU225" s="39"/>
      <c r="MKV225" s="34"/>
      <c r="MKW225" s="34"/>
      <c r="MKX225" s="34"/>
      <c r="MKY225" s="35"/>
      <c r="MKZ225" s="35"/>
      <c r="MLA225" s="35"/>
      <c r="MLB225" s="35"/>
      <c r="MLC225" s="35"/>
      <c r="MLD225" s="34"/>
      <c r="MLE225" s="34"/>
      <c r="MLF225" s="36"/>
      <c r="MLG225" s="36"/>
      <c r="MLH225" s="37"/>
      <c r="MLI225" s="37"/>
      <c r="MLJ225" s="38"/>
      <c r="MLK225" s="38"/>
      <c r="MLL225" s="39"/>
      <c r="MLM225" s="34"/>
      <c r="MLN225" s="34"/>
      <c r="MLO225" s="34"/>
      <c r="MLP225" s="35"/>
      <c r="MLQ225" s="35"/>
      <c r="MLR225" s="35"/>
      <c r="MLS225" s="35"/>
      <c r="MLT225" s="35"/>
      <c r="MLU225" s="34"/>
      <c r="MLV225" s="34"/>
      <c r="MLW225" s="36"/>
      <c r="MLX225" s="36"/>
      <c r="MLY225" s="37"/>
      <c r="MLZ225" s="37"/>
      <c r="MMA225" s="38"/>
      <c r="MMB225" s="38"/>
      <c r="MMC225" s="39"/>
      <c r="MMD225" s="34"/>
      <c r="MME225" s="34"/>
      <c r="MMF225" s="34"/>
      <c r="MMG225" s="35"/>
      <c r="MMH225" s="35"/>
      <c r="MMI225" s="35"/>
      <c r="MMJ225" s="35"/>
      <c r="MMK225" s="35"/>
      <c r="MML225" s="34"/>
      <c r="MMM225" s="34"/>
      <c r="MMN225" s="36"/>
      <c r="MMO225" s="36"/>
      <c r="MMP225" s="37"/>
      <c r="MMQ225" s="37"/>
      <c r="MMR225" s="38"/>
      <c r="MMS225" s="38"/>
      <c r="MMT225" s="39"/>
      <c r="MMU225" s="34"/>
      <c r="MMV225" s="34"/>
      <c r="MMW225" s="34"/>
      <c r="MMX225" s="35"/>
      <c r="MMY225" s="35"/>
      <c r="MMZ225" s="35"/>
      <c r="MNA225" s="35"/>
      <c r="MNB225" s="35"/>
      <c r="MNC225" s="34"/>
      <c r="MND225" s="34"/>
      <c r="MNE225" s="36"/>
      <c r="MNF225" s="36"/>
      <c r="MNG225" s="37"/>
      <c r="MNH225" s="37"/>
      <c r="MNI225" s="38"/>
      <c r="MNJ225" s="38"/>
      <c r="MNK225" s="39"/>
      <c r="MNL225" s="34"/>
      <c r="MNM225" s="34"/>
      <c r="MNN225" s="34"/>
      <c r="MNO225" s="35"/>
      <c r="MNP225" s="35"/>
      <c r="MNQ225" s="35"/>
      <c r="MNR225" s="35"/>
      <c r="MNS225" s="35"/>
      <c r="MNT225" s="34"/>
      <c r="MNU225" s="34"/>
      <c r="MNV225" s="36"/>
      <c r="MNW225" s="36"/>
      <c r="MNX225" s="37"/>
      <c r="MNY225" s="37"/>
      <c r="MNZ225" s="38"/>
      <c r="MOA225" s="38"/>
      <c r="MOB225" s="39"/>
      <c r="MOC225" s="34"/>
      <c r="MOD225" s="34"/>
      <c r="MOE225" s="34"/>
      <c r="MOF225" s="35"/>
      <c r="MOG225" s="35"/>
      <c r="MOH225" s="35"/>
      <c r="MOI225" s="35"/>
      <c r="MOJ225" s="35"/>
      <c r="MOK225" s="34"/>
      <c r="MOL225" s="34"/>
      <c r="MOM225" s="36"/>
      <c r="MON225" s="36"/>
      <c r="MOO225" s="37"/>
      <c r="MOP225" s="37"/>
      <c r="MOQ225" s="38"/>
      <c r="MOR225" s="38"/>
      <c r="MOS225" s="39"/>
      <c r="MOT225" s="34"/>
      <c r="MOU225" s="34"/>
      <c r="MOV225" s="34"/>
      <c r="MOW225" s="35"/>
      <c r="MOX225" s="35"/>
      <c r="MOY225" s="35"/>
      <c r="MOZ225" s="35"/>
      <c r="MPA225" s="35"/>
      <c r="MPB225" s="34"/>
      <c r="MPC225" s="34"/>
      <c r="MPD225" s="36"/>
      <c r="MPE225" s="36"/>
      <c r="MPF225" s="37"/>
      <c r="MPG225" s="37"/>
      <c r="MPH225" s="38"/>
      <c r="MPI225" s="38"/>
      <c r="MPJ225" s="39"/>
      <c r="MPK225" s="34"/>
      <c r="MPL225" s="34"/>
      <c r="MPM225" s="34"/>
      <c r="MPN225" s="35"/>
      <c r="MPO225" s="35"/>
      <c r="MPP225" s="35"/>
      <c r="MPQ225" s="35"/>
      <c r="MPR225" s="35"/>
      <c r="MPS225" s="34"/>
      <c r="MPT225" s="34"/>
      <c r="MPU225" s="36"/>
      <c r="MPV225" s="36"/>
      <c r="MPW225" s="37"/>
      <c r="MPX225" s="37"/>
      <c r="MPY225" s="38"/>
      <c r="MPZ225" s="38"/>
      <c r="MQA225" s="39"/>
      <c r="MQB225" s="34"/>
      <c r="MQC225" s="34"/>
      <c r="MQD225" s="34"/>
      <c r="MQE225" s="35"/>
      <c r="MQF225" s="35"/>
      <c r="MQG225" s="35"/>
      <c r="MQH225" s="35"/>
      <c r="MQI225" s="35"/>
      <c r="MQJ225" s="34"/>
      <c r="MQK225" s="34"/>
      <c r="MQL225" s="36"/>
      <c r="MQM225" s="36"/>
      <c r="MQN225" s="37"/>
      <c r="MQO225" s="37"/>
      <c r="MQP225" s="38"/>
      <c r="MQQ225" s="38"/>
      <c r="MQR225" s="39"/>
      <c r="MQS225" s="34"/>
      <c r="MQT225" s="34"/>
      <c r="MQU225" s="34"/>
      <c r="MQV225" s="35"/>
      <c r="MQW225" s="35"/>
      <c r="MQX225" s="35"/>
      <c r="MQY225" s="35"/>
      <c r="MQZ225" s="35"/>
      <c r="MRA225" s="34"/>
      <c r="MRB225" s="34"/>
      <c r="MRC225" s="36"/>
      <c r="MRD225" s="36"/>
      <c r="MRE225" s="37"/>
      <c r="MRF225" s="37"/>
      <c r="MRG225" s="38"/>
      <c r="MRH225" s="38"/>
      <c r="MRI225" s="39"/>
      <c r="MRJ225" s="34"/>
      <c r="MRK225" s="34"/>
      <c r="MRL225" s="34"/>
      <c r="MRM225" s="35"/>
      <c r="MRN225" s="35"/>
      <c r="MRO225" s="35"/>
      <c r="MRP225" s="35"/>
      <c r="MRQ225" s="35"/>
      <c r="MRR225" s="34"/>
      <c r="MRS225" s="34"/>
      <c r="MRT225" s="36"/>
      <c r="MRU225" s="36"/>
      <c r="MRV225" s="37"/>
      <c r="MRW225" s="37"/>
      <c r="MRX225" s="38"/>
      <c r="MRY225" s="38"/>
      <c r="MRZ225" s="39"/>
      <c r="MSA225" s="34"/>
      <c r="MSB225" s="34"/>
      <c r="MSC225" s="34"/>
      <c r="MSD225" s="35"/>
      <c r="MSE225" s="35"/>
      <c r="MSF225" s="35"/>
      <c r="MSG225" s="35"/>
      <c r="MSH225" s="35"/>
      <c r="MSI225" s="34"/>
      <c r="MSJ225" s="34"/>
      <c r="MSK225" s="36"/>
      <c r="MSL225" s="36"/>
      <c r="MSM225" s="37"/>
      <c r="MSN225" s="37"/>
      <c r="MSO225" s="38"/>
      <c r="MSP225" s="38"/>
      <c r="MSQ225" s="39"/>
      <c r="MSR225" s="34"/>
      <c r="MSS225" s="34"/>
      <c r="MST225" s="34"/>
      <c r="MSU225" s="35"/>
      <c r="MSV225" s="35"/>
      <c r="MSW225" s="35"/>
      <c r="MSX225" s="35"/>
      <c r="MSY225" s="35"/>
      <c r="MSZ225" s="34"/>
      <c r="MTA225" s="34"/>
      <c r="MTB225" s="36"/>
      <c r="MTC225" s="36"/>
      <c r="MTD225" s="37"/>
      <c r="MTE225" s="37"/>
      <c r="MTF225" s="38"/>
      <c r="MTG225" s="38"/>
      <c r="MTH225" s="39"/>
      <c r="MTI225" s="34"/>
      <c r="MTJ225" s="34"/>
      <c r="MTK225" s="34"/>
      <c r="MTL225" s="35"/>
      <c r="MTM225" s="35"/>
      <c r="MTN225" s="35"/>
      <c r="MTO225" s="35"/>
      <c r="MTP225" s="35"/>
      <c r="MTQ225" s="34"/>
      <c r="MTR225" s="34"/>
      <c r="MTS225" s="36"/>
      <c r="MTT225" s="36"/>
      <c r="MTU225" s="37"/>
      <c r="MTV225" s="37"/>
      <c r="MTW225" s="38"/>
      <c r="MTX225" s="38"/>
      <c r="MTY225" s="39"/>
      <c r="MTZ225" s="34"/>
      <c r="MUA225" s="34"/>
      <c r="MUB225" s="34"/>
      <c r="MUC225" s="35"/>
      <c r="MUD225" s="35"/>
      <c r="MUE225" s="35"/>
      <c r="MUF225" s="35"/>
      <c r="MUG225" s="35"/>
      <c r="MUH225" s="34"/>
      <c r="MUI225" s="34"/>
      <c r="MUJ225" s="36"/>
      <c r="MUK225" s="36"/>
      <c r="MUL225" s="37"/>
      <c r="MUM225" s="37"/>
      <c r="MUN225" s="38"/>
      <c r="MUO225" s="38"/>
      <c r="MUP225" s="39"/>
      <c r="MUQ225" s="34"/>
      <c r="MUR225" s="34"/>
      <c r="MUS225" s="34"/>
      <c r="MUT225" s="35"/>
      <c r="MUU225" s="35"/>
      <c r="MUV225" s="35"/>
      <c r="MUW225" s="35"/>
      <c r="MUX225" s="35"/>
      <c r="MUY225" s="34"/>
      <c r="MUZ225" s="34"/>
      <c r="MVA225" s="36"/>
      <c r="MVB225" s="36"/>
      <c r="MVC225" s="37"/>
      <c r="MVD225" s="37"/>
      <c r="MVE225" s="38"/>
      <c r="MVF225" s="38"/>
      <c r="MVG225" s="39"/>
      <c r="MVH225" s="34"/>
      <c r="MVI225" s="34"/>
      <c r="MVJ225" s="34"/>
      <c r="MVK225" s="35"/>
      <c r="MVL225" s="35"/>
      <c r="MVM225" s="35"/>
      <c r="MVN225" s="35"/>
      <c r="MVO225" s="35"/>
      <c r="MVP225" s="34"/>
      <c r="MVQ225" s="34"/>
      <c r="MVR225" s="36"/>
      <c r="MVS225" s="36"/>
      <c r="MVT225" s="37"/>
      <c r="MVU225" s="37"/>
      <c r="MVV225" s="38"/>
      <c r="MVW225" s="38"/>
      <c r="MVX225" s="39"/>
      <c r="MVY225" s="34"/>
      <c r="MVZ225" s="34"/>
      <c r="MWA225" s="34"/>
      <c r="MWB225" s="35"/>
      <c r="MWC225" s="35"/>
      <c r="MWD225" s="35"/>
      <c r="MWE225" s="35"/>
      <c r="MWF225" s="35"/>
      <c r="MWG225" s="34"/>
      <c r="MWH225" s="34"/>
      <c r="MWI225" s="36"/>
      <c r="MWJ225" s="36"/>
      <c r="MWK225" s="37"/>
      <c r="MWL225" s="37"/>
      <c r="MWM225" s="38"/>
      <c r="MWN225" s="38"/>
      <c r="MWO225" s="39"/>
      <c r="MWP225" s="34"/>
      <c r="MWQ225" s="34"/>
      <c r="MWR225" s="34"/>
      <c r="MWS225" s="35"/>
      <c r="MWT225" s="35"/>
      <c r="MWU225" s="35"/>
      <c r="MWV225" s="35"/>
      <c r="MWW225" s="35"/>
      <c r="MWX225" s="34"/>
      <c r="MWY225" s="34"/>
      <c r="MWZ225" s="36"/>
      <c r="MXA225" s="36"/>
      <c r="MXB225" s="37"/>
      <c r="MXC225" s="37"/>
      <c r="MXD225" s="38"/>
      <c r="MXE225" s="38"/>
      <c r="MXF225" s="39"/>
      <c r="MXG225" s="34"/>
      <c r="MXH225" s="34"/>
      <c r="MXI225" s="34"/>
      <c r="MXJ225" s="35"/>
      <c r="MXK225" s="35"/>
      <c r="MXL225" s="35"/>
      <c r="MXM225" s="35"/>
      <c r="MXN225" s="35"/>
      <c r="MXO225" s="34"/>
      <c r="MXP225" s="34"/>
      <c r="MXQ225" s="36"/>
      <c r="MXR225" s="36"/>
      <c r="MXS225" s="37"/>
      <c r="MXT225" s="37"/>
      <c r="MXU225" s="38"/>
      <c r="MXV225" s="38"/>
      <c r="MXW225" s="39"/>
      <c r="MXX225" s="34"/>
      <c r="MXY225" s="34"/>
      <c r="MXZ225" s="34"/>
      <c r="MYA225" s="35"/>
      <c r="MYB225" s="35"/>
      <c r="MYC225" s="35"/>
      <c r="MYD225" s="35"/>
      <c r="MYE225" s="35"/>
      <c r="MYF225" s="34"/>
      <c r="MYG225" s="34"/>
      <c r="MYH225" s="36"/>
      <c r="MYI225" s="36"/>
      <c r="MYJ225" s="37"/>
      <c r="MYK225" s="37"/>
      <c r="MYL225" s="38"/>
      <c r="MYM225" s="38"/>
      <c r="MYN225" s="39"/>
      <c r="MYO225" s="34"/>
      <c r="MYP225" s="34"/>
      <c r="MYQ225" s="34"/>
      <c r="MYR225" s="35"/>
      <c r="MYS225" s="35"/>
      <c r="MYT225" s="35"/>
      <c r="MYU225" s="35"/>
      <c r="MYV225" s="35"/>
      <c r="MYW225" s="34"/>
      <c r="MYX225" s="34"/>
      <c r="MYY225" s="36"/>
      <c r="MYZ225" s="36"/>
      <c r="MZA225" s="37"/>
      <c r="MZB225" s="37"/>
      <c r="MZC225" s="38"/>
      <c r="MZD225" s="38"/>
      <c r="MZE225" s="39"/>
      <c r="MZF225" s="34"/>
      <c r="MZG225" s="34"/>
      <c r="MZH225" s="34"/>
      <c r="MZI225" s="35"/>
      <c r="MZJ225" s="35"/>
      <c r="MZK225" s="35"/>
      <c r="MZL225" s="35"/>
      <c r="MZM225" s="35"/>
      <c r="MZN225" s="34"/>
      <c r="MZO225" s="34"/>
      <c r="MZP225" s="36"/>
      <c r="MZQ225" s="36"/>
      <c r="MZR225" s="37"/>
      <c r="MZS225" s="37"/>
      <c r="MZT225" s="38"/>
      <c r="MZU225" s="38"/>
      <c r="MZV225" s="39"/>
      <c r="MZW225" s="34"/>
      <c r="MZX225" s="34"/>
      <c r="MZY225" s="34"/>
      <c r="MZZ225" s="35"/>
      <c r="NAA225" s="35"/>
      <c r="NAB225" s="35"/>
      <c r="NAC225" s="35"/>
      <c r="NAD225" s="35"/>
      <c r="NAE225" s="34"/>
      <c r="NAF225" s="34"/>
      <c r="NAG225" s="36"/>
      <c r="NAH225" s="36"/>
      <c r="NAI225" s="37"/>
      <c r="NAJ225" s="37"/>
      <c r="NAK225" s="38"/>
      <c r="NAL225" s="38"/>
      <c r="NAM225" s="39"/>
      <c r="NAN225" s="34"/>
      <c r="NAO225" s="34"/>
      <c r="NAP225" s="34"/>
      <c r="NAQ225" s="35"/>
      <c r="NAR225" s="35"/>
      <c r="NAS225" s="35"/>
      <c r="NAT225" s="35"/>
      <c r="NAU225" s="35"/>
      <c r="NAV225" s="34"/>
      <c r="NAW225" s="34"/>
      <c r="NAX225" s="36"/>
      <c r="NAY225" s="36"/>
      <c r="NAZ225" s="37"/>
      <c r="NBA225" s="37"/>
      <c r="NBB225" s="38"/>
      <c r="NBC225" s="38"/>
      <c r="NBD225" s="39"/>
      <c r="NBE225" s="34"/>
      <c r="NBF225" s="34"/>
      <c r="NBG225" s="34"/>
      <c r="NBH225" s="35"/>
      <c r="NBI225" s="35"/>
      <c r="NBJ225" s="35"/>
      <c r="NBK225" s="35"/>
      <c r="NBL225" s="35"/>
      <c r="NBM225" s="34"/>
      <c r="NBN225" s="34"/>
      <c r="NBO225" s="36"/>
      <c r="NBP225" s="36"/>
      <c r="NBQ225" s="37"/>
      <c r="NBR225" s="37"/>
      <c r="NBS225" s="38"/>
      <c r="NBT225" s="38"/>
      <c r="NBU225" s="39"/>
      <c r="NBV225" s="34"/>
      <c r="NBW225" s="34"/>
      <c r="NBX225" s="34"/>
      <c r="NBY225" s="35"/>
      <c r="NBZ225" s="35"/>
      <c r="NCA225" s="35"/>
      <c r="NCB225" s="35"/>
      <c r="NCC225" s="35"/>
      <c r="NCD225" s="34"/>
      <c r="NCE225" s="34"/>
      <c r="NCF225" s="36"/>
      <c r="NCG225" s="36"/>
      <c r="NCH225" s="37"/>
      <c r="NCI225" s="37"/>
      <c r="NCJ225" s="38"/>
      <c r="NCK225" s="38"/>
      <c r="NCL225" s="39"/>
      <c r="NCM225" s="34"/>
      <c r="NCN225" s="34"/>
      <c r="NCO225" s="34"/>
      <c r="NCP225" s="35"/>
      <c r="NCQ225" s="35"/>
      <c r="NCR225" s="35"/>
      <c r="NCS225" s="35"/>
      <c r="NCT225" s="35"/>
      <c r="NCU225" s="34"/>
      <c r="NCV225" s="34"/>
      <c r="NCW225" s="36"/>
      <c r="NCX225" s="36"/>
      <c r="NCY225" s="37"/>
      <c r="NCZ225" s="37"/>
      <c r="NDA225" s="38"/>
      <c r="NDB225" s="38"/>
      <c r="NDC225" s="39"/>
      <c r="NDD225" s="34"/>
      <c r="NDE225" s="34"/>
      <c r="NDF225" s="34"/>
      <c r="NDG225" s="35"/>
      <c r="NDH225" s="35"/>
      <c r="NDI225" s="35"/>
      <c r="NDJ225" s="35"/>
      <c r="NDK225" s="35"/>
      <c r="NDL225" s="34"/>
      <c r="NDM225" s="34"/>
      <c r="NDN225" s="36"/>
      <c r="NDO225" s="36"/>
      <c r="NDP225" s="37"/>
      <c r="NDQ225" s="37"/>
      <c r="NDR225" s="38"/>
      <c r="NDS225" s="38"/>
      <c r="NDT225" s="39"/>
      <c r="NDU225" s="34"/>
      <c r="NDV225" s="34"/>
      <c r="NDW225" s="34"/>
      <c r="NDX225" s="35"/>
      <c r="NDY225" s="35"/>
      <c r="NDZ225" s="35"/>
      <c r="NEA225" s="35"/>
      <c r="NEB225" s="35"/>
      <c r="NEC225" s="34"/>
      <c r="NED225" s="34"/>
      <c r="NEE225" s="36"/>
      <c r="NEF225" s="36"/>
      <c r="NEG225" s="37"/>
      <c r="NEH225" s="37"/>
      <c r="NEI225" s="38"/>
      <c r="NEJ225" s="38"/>
      <c r="NEK225" s="39"/>
      <c r="NEL225" s="34"/>
      <c r="NEM225" s="34"/>
      <c r="NEN225" s="34"/>
      <c r="NEO225" s="35"/>
      <c r="NEP225" s="35"/>
      <c r="NEQ225" s="35"/>
      <c r="NER225" s="35"/>
      <c r="NES225" s="35"/>
      <c r="NET225" s="34"/>
      <c r="NEU225" s="34"/>
      <c r="NEV225" s="36"/>
      <c r="NEW225" s="36"/>
      <c r="NEX225" s="37"/>
      <c r="NEY225" s="37"/>
      <c r="NEZ225" s="38"/>
      <c r="NFA225" s="38"/>
      <c r="NFB225" s="39"/>
      <c r="NFC225" s="34"/>
      <c r="NFD225" s="34"/>
      <c r="NFE225" s="34"/>
      <c r="NFF225" s="35"/>
      <c r="NFG225" s="35"/>
      <c r="NFH225" s="35"/>
      <c r="NFI225" s="35"/>
      <c r="NFJ225" s="35"/>
      <c r="NFK225" s="34"/>
      <c r="NFL225" s="34"/>
      <c r="NFM225" s="36"/>
      <c r="NFN225" s="36"/>
      <c r="NFO225" s="37"/>
      <c r="NFP225" s="37"/>
      <c r="NFQ225" s="38"/>
      <c r="NFR225" s="38"/>
      <c r="NFS225" s="39"/>
      <c r="NFT225" s="34"/>
      <c r="NFU225" s="34"/>
      <c r="NFV225" s="34"/>
      <c r="NFW225" s="35"/>
      <c r="NFX225" s="35"/>
      <c r="NFY225" s="35"/>
      <c r="NFZ225" s="35"/>
      <c r="NGA225" s="35"/>
      <c r="NGB225" s="34"/>
      <c r="NGC225" s="34"/>
      <c r="NGD225" s="36"/>
      <c r="NGE225" s="36"/>
      <c r="NGF225" s="37"/>
      <c r="NGG225" s="37"/>
      <c r="NGH225" s="38"/>
      <c r="NGI225" s="38"/>
      <c r="NGJ225" s="39"/>
      <c r="NGK225" s="34"/>
      <c r="NGL225" s="34"/>
      <c r="NGM225" s="34"/>
      <c r="NGN225" s="35"/>
      <c r="NGO225" s="35"/>
      <c r="NGP225" s="35"/>
      <c r="NGQ225" s="35"/>
      <c r="NGR225" s="35"/>
      <c r="NGS225" s="34"/>
      <c r="NGT225" s="34"/>
      <c r="NGU225" s="36"/>
      <c r="NGV225" s="36"/>
      <c r="NGW225" s="37"/>
      <c r="NGX225" s="37"/>
      <c r="NGY225" s="38"/>
      <c r="NGZ225" s="38"/>
      <c r="NHA225" s="39"/>
      <c r="NHB225" s="34"/>
      <c r="NHC225" s="34"/>
      <c r="NHD225" s="34"/>
      <c r="NHE225" s="35"/>
      <c r="NHF225" s="35"/>
      <c r="NHG225" s="35"/>
      <c r="NHH225" s="35"/>
      <c r="NHI225" s="35"/>
      <c r="NHJ225" s="34"/>
      <c r="NHK225" s="34"/>
      <c r="NHL225" s="36"/>
      <c r="NHM225" s="36"/>
      <c r="NHN225" s="37"/>
      <c r="NHO225" s="37"/>
      <c r="NHP225" s="38"/>
      <c r="NHQ225" s="38"/>
      <c r="NHR225" s="39"/>
      <c r="NHS225" s="34"/>
      <c r="NHT225" s="34"/>
      <c r="NHU225" s="34"/>
      <c r="NHV225" s="35"/>
      <c r="NHW225" s="35"/>
      <c r="NHX225" s="35"/>
      <c r="NHY225" s="35"/>
      <c r="NHZ225" s="35"/>
      <c r="NIA225" s="34"/>
      <c r="NIB225" s="34"/>
      <c r="NIC225" s="36"/>
      <c r="NID225" s="36"/>
      <c r="NIE225" s="37"/>
      <c r="NIF225" s="37"/>
      <c r="NIG225" s="38"/>
      <c r="NIH225" s="38"/>
      <c r="NII225" s="39"/>
      <c r="NIJ225" s="34"/>
      <c r="NIK225" s="34"/>
      <c r="NIL225" s="34"/>
      <c r="NIM225" s="35"/>
      <c r="NIN225" s="35"/>
      <c r="NIO225" s="35"/>
      <c r="NIP225" s="35"/>
      <c r="NIQ225" s="35"/>
      <c r="NIR225" s="34"/>
      <c r="NIS225" s="34"/>
      <c r="NIT225" s="36"/>
      <c r="NIU225" s="36"/>
      <c r="NIV225" s="37"/>
      <c r="NIW225" s="37"/>
      <c r="NIX225" s="38"/>
      <c r="NIY225" s="38"/>
      <c r="NIZ225" s="39"/>
      <c r="NJA225" s="34"/>
      <c r="NJB225" s="34"/>
      <c r="NJC225" s="34"/>
      <c r="NJD225" s="35"/>
      <c r="NJE225" s="35"/>
      <c r="NJF225" s="35"/>
      <c r="NJG225" s="35"/>
      <c r="NJH225" s="35"/>
      <c r="NJI225" s="34"/>
      <c r="NJJ225" s="34"/>
      <c r="NJK225" s="36"/>
      <c r="NJL225" s="36"/>
      <c r="NJM225" s="37"/>
      <c r="NJN225" s="37"/>
      <c r="NJO225" s="38"/>
      <c r="NJP225" s="38"/>
      <c r="NJQ225" s="39"/>
      <c r="NJR225" s="34"/>
      <c r="NJS225" s="34"/>
      <c r="NJT225" s="34"/>
      <c r="NJU225" s="35"/>
      <c r="NJV225" s="35"/>
      <c r="NJW225" s="35"/>
      <c r="NJX225" s="35"/>
      <c r="NJY225" s="35"/>
      <c r="NJZ225" s="34"/>
      <c r="NKA225" s="34"/>
      <c r="NKB225" s="36"/>
      <c r="NKC225" s="36"/>
      <c r="NKD225" s="37"/>
      <c r="NKE225" s="37"/>
      <c r="NKF225" s="38"/>
      <c r="NKG225" s="38"/>
      <c r="NKH225" s="39"/>
      <c r="NKI225" s="34"/>
      <c r="NKJ225" s="34"/>
      <c r="NKK225" s="34"/>
      <c r="NKL225" s="35"/>
      <c r="NKM225" s="35"/>
      <c r="NKN225" s="35"/>
      <c r="NKO225" s="35"/>
      <c r="NKP225" s="35"/>
      <c r="NKQ225" s="34"/>
      <c r="NKR225" s="34"/>
      <c r="NKS225" s="36"/>
      <c r="NKT225" s="36"/>
      <c r="NKU225" s="37"/>
      <c r="NKV225" s="37"/>
      <c r="NKW225" s="38"/>
      <c r="NKX225" s="38"/>
      <c r="NKY225" s="39"/>
      <c r="NKZ225" s="34"/>
      <c r="NLA225" s="34"/>
      <c r="NLB225" s="34"/>
      <c r="NLC225" s="35"/>
      <c r="NLD225" s="35"/>
      <c r="NLE225" s="35"/>
      <c r="NLF225" s="35"/>
      <c r="NLG225" s="35"/>
      <c r="NLH225" s="34"/>
      <c r="NLI225" s="34"/>
      <c r="NLJ225" s="36"/>
      <c r="NLK225" s="36"/>
      <c r="NLL225" s="37"/>
      <c r="NLM225" s="37"/>
      <c r="NLN225" s="38"/>
      <c r="NLO225" s="38"/>
      <c r="NLP225" s="39"/>
      <c r="NLQ225" s="34"/>
      <c r="NLR225" s="34"/>
      <c r="NLS225" s="34"/>
      <c r="NLT225" s="35"/>
      <c r="NLU225" s="35"/>
      <c r="NLV225" s="35"/>
      <c r="NLW225" s="35"/>
      <c r="NLX225" s="35"/>
      <c r="NLY225" s="34"/>
      <c r="NLZ225" s="34"/>
      <c r="NMA225" s="36"/>
      <c r="NMB225" s="36"/>
      <c r="NMC225" s="37"/>
      <c r="NMD225" s="37"/>
      <c r="NME225" s="38"/>
      <c r="NMF225" s="38"/>
      <c r="NMG225" s="39"/>
      <c r="NMH225" s="34"/>
      <c r="NMI225" s="34"/>
      <c r="NMJ225" s="34"/>
      <c r="NMK225" s="35"/>
      <c r="NML225" s="35"/>
      <c r="NMM225" s="35"/>
      <c r="NMN225" s="35"/>
      <c r="NMO225" s="35"/>
      <c r="NMP225" s="34"/>
      <c r="NMQ225" s="34"/>
      <c r="NMR225" s="36"/>
      <c r="NMS225" s="36"/>
      <c r="NMT225" s="37"/>
      <c r="NMU225" s="37"/>
      <c r="NMV225" s="38"/>
      <c r="NMW225" s="38"/>
      <c r="NMX225" s="39"/>
      <c r="NMY225" s="34"/>
      <c r="NMZ225" s="34"/>
      <c r="NNA225" s="34"/>
      <c r="NNB225" s="35"/>
      <c r="NNC225" s="35"/>
      <c r="NND225" s="35"/>
      <c r="NNE225" s="35"/>
      <c r="NNF225" s="35"/>
      <c r="NNG225" s="34"/>
      <c r="NNH225" s="34"/>
      <c r="NNI225" s="36"/>
      <c r="NNJ225" s="36"/>
      <c r="NNK225" s="37"/>
      <c r="NNL225" s="37"/>
      <c r="NNM225" s="38"/>
      <c r="NNN225" s="38"/>
      <c r="NNO225" s="39"/>
      <c r="NNP225" s="34"/>
      <c r="NNQ225" s="34"/>
      <c r="NNR225" s="34"/>
      <c r="NNS225" s="35"/>
      <c r="NNT225" s="35"/>
      <c r="NNU225" s="35"/>
      <c r="NNV225" s="35"/>
      <c r="NNW225" s="35"/>
      <c r="NNX225" s="34"/>
      <c r="NNY225" s="34"/>
      <c r="NNZ225" s="36"/>
      <c r="NOA225" s="36"/>
      <c r="NOB225" s="37"/>
      <c r="NOC225" s="37"/>
      <c r="NOD225" s="38"/>
      <c r="NOE225" s="38"/>
      <c r="NOF225" s="39"/>
      <c r="NOG225" s="34"/>
      <c r="NOH225" s="34"/>
      <c r="NOI225" s="34"/>
      <c r="NOJ225" s="35"/>
      <c r="NOK225" s="35"/>
      <c r="NOL225" s="35"/>
      <c r="NOM225" s="35"/>
      <c r="NON225" s="35"/>
      <c r="NOO225" s="34"/>
      <c r="NOP225" s="34"/>
      <c r="NOQ225" s="36"/>
      <c r="NOR225" s="36"/>
      <c r="NOS225" s="37"/>
      <c r="NOT225" s="37"/>
      <c r="NOU225" s="38"/>
      <c r="NOV225" s="38"/>
      <c r="NOW225" s="39"/>
      <c r="NOX225" s="34"/>
      <c r="NOY225" s="34"/>
      <c r="NOZ225" s="34"/>
      <c r="NPA225" s="35"/>
      <c r="NPB225" s="35"/>
      <c r="NPC225" s="35"/>
      <c r="NPD225" s="35"/>
      <c r="NPE225" s="35"/>
      <c r="NPF225" s="34"/>
      <c r="NPG225" s="34"/>
      <c r="NPH225" s="36"/>
      <c r="NPI225" s="36"/>
      <c r="NPJ225" s="37"/>
      <c r="NPK225" s="37"/>
      <c r="NPL225" s="38"/>
      <c r="NPM225" s="38"/>
      <c r="NPN225" s="39"/>
      <c r="NPO225" s="34"/>
      <c r="NPP225" s="34"/>
      <c r="NPQ225" s="34"/>
      <c r="NPR225" s="35"/>
      <c r="NPS225" s="35"/>
      <c r="NPT225" s="35"/>
      <c r="NPU225" s="35"/>
      <c r="NPV225" s="35"/>
      <c r="NPW225" s="34"/>
      <c r="NPX225" s="34"/>
      <c r="NPY225" s="36"/>
      <c r="NPZ225" s="36"/>
      <c r="NQA225" s="37"/>
      <c r="NQB225" s="37"/>
      <c r="NQC225" s="38"/>
      <c r="NQD225" s="38"/>
      <c r="NQE225" s="39"/>
      <c r="NQF225" s="34"/>
      <c r="NQG225" s="34"/>
      <c r="NQH225" s="34"/>
      <c r="NQI225" s="35"/>
      <c r="NQJ225" s="35"/>
      <c r="NQK225" s="35"/>
      <c r="NQL225" s="35"/>
      <c r="NQM225" s="35"/>
      <c r="NQN225" s="34"/>
      <c r="NQO225" s="34"/>
      <c r="NQP225" s="36"/>
      <c r="NQQ225" s="36"/>
      <c r="NQR225" s="37"/>
      <c r="NQS225" s="37"/>
      <c r="NQT225" s="38"/>
      <c r="NQU225" s="38"/>
      <c r="NQV225" s="39"/>
      <c r="NQW225" s="34"/>
      <c r="NQX225" s="34"/>
      <c r="NQY225" s="34"/>
      <c r="NQZ225" s="35"/>
      <c r="NRA225" s="35"/>
      <c r="NRB225" s="35"/>
      <c r="NRC225" s="35"/>
      <c r="NRD225" s="35"/>
      <c r="NRE225" s="34"/>
      <c r="NRF225" s="34"/>
      <c r="NRG225" s="36"/>
      <c r="NRH225" s="36"/>
      <c r="NRI225" s="37"/>
      <c r="NRJ225" s="37"/>
      <c r="NRK225" s="38"/>
      <c r="NRL225" s="38"/>
      <c r="NRM225" s="39"/>
      <c r="NRN225" s="34"/>
      <c r="NRO225" s="34"/>
      <c r="NRP225" s="34"/>
      <c r="NRQ225" s="35"/>
      <c r="NRR225" s="35"/>
      <c r="NRS225" s="35"/>
      <c r="NRT225" s="35"/>
      <c r="NRU225" s="35"/>
      <c r="NRV225" s="34"/>
      <c r="NRW225" s="34"/>
      <c r="NRX225" s="36"/>
      <c r="NRY225" s="36"/>
      <c r="NRZ225" s="37"/>
      <c r="NSA225" s="37"/>
      <c r="NSB225" s="38"/>
      <c r="NSC225" s="38"/>
      <c r="NSD225" s="39"/>
      <c r="NSE225" s="34"/>
      <c r="NSF225" s="34"/>
      <c r="NSG225" s="34"/>
      <c r="NSH225" s="35"/>
      <c r="NSI225" s="35"/>
      <c r="NSJ225" s="35"/>
      <c r="NSK225" s="35"/>
      <c r="NSL225" s="35"/>
      <c r="NSM225" s="34"/>
      <c r="NSN225" s="34"/>
      <c r="NSO225" s="36"/>
      <c r="NSP225" s="36"/>
      <c r="NSQ225" s="37"/>
      <c r="NSR225" s="37"/>
      <c r="NSS225" s="38"/>
      <c r="NST225" s="38"/>
      <c r="NSU225" s="39"/>
      <c r="NSV225" s="34"/>
      <c r="NSW225" s="34"/>
      <c r="NSX225" s="34"/>
      <c r="NSY225" s="35"/>
      <c r="NSZ225" s="35"/>
      <c r="NTA225" s="35"/>
      <c r="NTB225" s="35"/>
      <c r="NTC225" s="35"/>
      <c r="NTD225" s="34"/>
      <c r="NTE225" s="34"/>
      <c r="NTF225" s="36"/>
      <c r="NTG225" s="36"/>
      <c r="NTH225" s="37"/>
      <c r="NTI225" s="37"/>
      <c r="NTJ225" s="38"/>
      <c r="NTK225" s="38"/>
      <c r="NTL225" s="39"/>
      <c r="NTM225" s="34"/>
      <c r="NTN225" s="34"/>
      <c r="NTO225" s="34"/>
      <c r="NTP225" s="35"/>
      <c r="NTQ225" s="35"/>
      <c r="NTR225" s="35"/>
      <c r="NTS225" s="35"/>
      <c r="NTT225" s="35"/>
      <c r="NTU225" s="34"/>
      <c r="NTV225" s="34"/>
      <c r="NTW225" s="36"/>
      <c r="NTX225" s="36"/>
      <c r="NTY225" s="37"/>
      <c r="NTZ225" s="37"/>
      <c r="NUA225" s="38"/>
      <c r="NUB225" s="38"/>
      <c r="NUC225" s="39"/>
      <c r="NUD225" s="34"/>
      <c r="NUE225" s="34"/>
      <c r="NUF225" s="34"/>
      <c r="NUG225" s="35"/>
      <c r="NUH225" s="35"/>
      <c r="NUI225" s="35"/>
      <c r="NUJ225" s="35"/>
      <c r="NUK225" s="35"/>
      <c r="NUL225" s="34"/>
      <c r="NUM225" s="34"/>
      <c r="NUN225" s="36"/>
      <c r="NUO225" s="36"/>
      <c r="NUP225" s="37"/>
      <c r="NUQ225" s="37"/>
      <c r="NUR225" s="38"/>
      <c r="NUS225" s="38"/>
      <c r="NUT225" s="39"/>
      <c r="NUU225" s="34"/>
      <c r="NUV225" s="34"/>
      <c r="NUW225" s="34"/>
      <c r="NUX225" s="35"/>
      <c r="NUY225" s="35"/>
      <c r="NUZ225" s="35"/>
      <c r="NVA225" s="35"/>
      <c r="NVB225" s="35"/>
      <c r="NVC225" s="34"/>
      <c r="NVD225" s="34"/>
      <c r="NVE225" s="36"/>
      <c r="NVF225" s="36"/>
      <c r="NVG225" s="37"/>
      <c r="NVH225" s="37"/>
      <c r="NVI225" s="38"/>
      <c r="NVJ225" s="38"/>
      <c r="NVK225" s="39"/>
      <c r="NVL225" s="34"/>
      <c r="NVM225" s="34"/>
      <c r="NVN225" s="34"/>
      <c r="NVO225" s="35"/>
      <c r="NVP225" s="35"/>
      <c r="NVQ225" s="35"/>
      <c r="NVR225" s="35"/>
      <c r="NVS225" s="35"/>
      <c r="NVT225" s="34"/>
      <c r="NVU225" s="34"/>
      <c r="NVV225" s="36"/>
      <c r="NVW225" s="36"/>
      <c r="NVX225" s="37"/>
      <c r="NVY225" s="37"/>
      <c r="NVZ225" s="38"/>
      <c r="NWA225" s="38"/>
      <c r="NWB225" s="39"/>
      <c r="NWC225" s="34"/>
      <c r="NWD225" s="34"/>
      <c r="NWE225" s="34"/>
      <c r="NWF225" s="35"/>
      <c r="NWG225" s="35"/>
      <c r="NWH225" s="35"/>
      <c r="NWI225" s="35"/>
      <c r="NWJ225" s="35"/>
      <c r="NWK225" s="34"/>
      <c r="NWL225" s="34"/>
      <c r="NWM225" s="36"/>
      <c r="NWN225" s="36"/>
      <c r="NWO225" s="37"/>
      <c r="NWP225" s="37"/>
      <c r="NWQ225" s="38"/>
      <c r="NWR225" s="38"/>
      <c r="NWS225" s="39"/>
      <c r="NWT225" s="34"/>
      <c r="NWU225" s="34"/>
      <c r="NWV225" s="34"/>
      <c r="NWW225" s="35"/>
      <c r="NWX225" s="35"/>
      <c r="NWY225" s="35"/>
      <c r="NWZ225" s="35"/>
      <c r="NXA225" s="35"/>
      <c r="NXB225" s="34"/>
      <c r="NXC225" s="34"/>
      <c r="NXD225" s="36"/>
      <c r="NXE225" s="36"/>
      <c r="NXF225" s="37"/>
      <c r="NXG225" s="37"/>
      <c r="NXH225" s="38"/>
      <c r="NXI225" s="38"/>
      <c r="NXJ225" s="39"/>
      <c r="NXK225" s="34"/>
      <c r="NXL225" s="34"/>
      <c r="NXM225" s="34"/>
      <c r="NXN225" s="35"/>
      <c r="NXO225" s="35"/>
      <c r="NXP225" s="35"/>
      <c r="NXQ225" s="35"/>
      <c r="NXR225" s="35"/>
      <c r="NXS225" s="34"/>
      <c r="NXT225" s="34"/>
      <c r="NXU225" s="36"/>
      <c r="NXV225" s="36"/>
      <c r="NXW225" s="37"/>
      <c r="NXX225" s="37"/>
      <c r="NXY225" s="38"/>
      <c r="NXZ225" s="38"/>
      <c r="NYA225" s="39"/>
      <c r="NYB225" s="34"/>
      <c r="NYC225" s="34"/>
      <c r="NYD225" s="34"/>
      <c r="NYE225" s="35"/>
      <c r="NYF225" s="35"/>
      <c r="NYG225" s="35"/>
      <c r="NYH225" s="35"/>
      <c r="NYI225" s="35"/>
      <c r="NYJ225" s="34"/>
      <c r="NYK225" s="34"/>
      <c r="NYL225" s="36"/>
      <c r="NYM225" s="36"/>
      <c r="NYN225" s="37"/>
      <c r="NYO225" s="37"/>
      <c r="NYP225" s="38"/>
      <c r="NYQ225" s="38"/>
      <c r="NYR225" s="39"/>
      <c r="NYS225" s="34"/>
      <c r="NYT225" s="34"/>
      <c r="NYU225" s="34"/>
      <c r="NYV225" s="35"/>
      <c r="NYW225" s="35"/>
      <c r="NYX225" s="35"/>
      <c r="NYY225" s="35"/>
      <c r="NYZ225" s="35"/>
      <c r="NZA225" s="34"/>
      <c r="NZB225" s="34"/>
      <c r="NZC225" s="36"/>
      <c r="NZD225" s="36"/>
      <c r="NZE225" s="37"/>
      <c r="NZF225" s="37"/>
      <c r="NZG225" s="38"/>
      <c r="NZH225" s="38"/>
      <c r="NZI225" s="39"/>
      <c r="NZJ225" s="34"/>
      <c r="NZK225" s="34"/>
      <c r="NZL225" s="34"/>
      <c r="NZM225" s="35"/>
      <c r="NZN225" s="35"/>
      <c r="NZO225" s="35"/>
      <c r="NZP225" s="35"/>
      <c r="NZQ225" s="35"/>
      <c r="NZR225" s="34"/>
      <c r="NZS225" s="34"/>
      <c r="NZT225" s="36"/>
      <c r="NZU225" s="36"/>
      <c r="NZV225" s="37"/>
      <c r="NZW225" s="37"/>
      <c r="NZX225" s="38"/>
      <c r="NZY225" s="38"/>
      <c r="NZZ225" s="39"/>
      <c r="OAA225" s="34"/>
      <c r="OAB225" s="34"/>
      <c r="OAC225" s="34"/>
      <c r="OAD225" s="35"/>
      <c r="OAE225" s="35"/>
      <c r="OAF225" s="35"/>
      <c r="OAG225" s="35"/>
      <c r="OAH225" s="35"/>
      <c r="OAI225" s="34"/>
      <c r="OAJ225" s="34"/>
      <c r="OAK225" s="36"/>
      <c r="OAL225" s="36"/>
      <c r="OAM225" s="37"/>
      <c r="OAN225" s="37"/>
      <c r="OAO225" s="38"/>
      <c r="OAP225" s="38"/>
      <c r="OAQ225" s="39"/>
      <c r="OAR225" s="34"/>
      <c r="OAS225" s="34"/>
      <c r="OAT225" s="34"/>
      <c r="OAU225" s="35"/>
      <c r="OAV225" s="35"/>
      <c r="OAW225" s="35"/>
      <c r="OAX225" s="35"/>
      <c r="OAY225" s="35"/>
      <c r="OAZ225" s="34"/>
      <c r="OBA225" s="34"/>
      <c r="OBB225" s="36"/>
      <c r="OBC225" s="36"/>
      <c r="OBD225" s="37"/>
      <c r="OBE225" s="37"/>
      <c r="OBF225" s="38"/>
      <c r="OBG225" s="38"/>
      <c r="OBH225" s="39"/>
      <c r="OBI225" s="34"/>
      <c r="OBJ225" s="34"/>
      <c r="OBK225" s="34"/>
      <c r="OBL225" s="35"/>
      <c r="OBM225" s="35"/>
      <c r="OBN225" s="35"/>
      <c r="OBO225" s="35"/>
      <c r="OBP225" s="35"/>
      <c r="OBQ225" s="34"/>
      <c r="OBR225" s="34"/>
      <c r="OBS225" s="36"/>
      <c r="OBT225" s="36"/>
      <c r="OBU225" s="37"/>
      <c r="OBV225" s="37"/>
      <c r="OBW225" s="38"/>
      <c r="OBX225" s="38"/>
      <c r="OBY225" s="39"/>
      <c r="OBZ225" s="34"/>
      <c r="OCA225" s="34"/>
      <c r="OCB225" s="34"/>
      <c r="OCC225" s="35"/>
      <c r="OCD225" s="35"/>
      <c r="OCE225" s="35"/>
      <c r="OCF225" s="35"/>
      <c r="OCG225" s="35"/>
      <c r="OCH225" s="34"/>
      <c r="OCI225" s="34"/>
      <c r="OCJ225" s="36"/>
      <c r="OCK225" s="36"/>
      <c r="OCL225" s="37"/>
      <c r="OCM225" s="37"/>
      <c r="OCN225" s="38"/>
      <c r="OCO225" s="38"/>
      <c r="OCP225" s="39"/>
      <c r="OCQ225" s="34"/>
      <c r="OCR225" s="34"/>
      <c r="OCS225" s="34"/>
      <c r="OCT225" s="35"/>
      <c r="OCU225" s="35"/>
      <c r="OCV225" s="35"/>
      <c r="OCW225" s="35"/>
      <c r="OCX225" s="35"/>
      <c r="OCY225" s="34"/>
      <c r="OCZ225" s="34"/>
      <c r="ODA225" s="36"/>
      <c r="ODB225" s="36"/>
      <c r="ODC225" s="37"/>
      <c r="ODD225" s="37"/>
      <c r="ODE225" s="38"/>
      <c r="ODF225" s="38"/>
      <c r="ODG225" s="39"/>
      <c r="ODH225" s="34"/>
      <c r="ODI225" s="34"/>
      <c r="ODJ225" s="34"/>
      <c r="ODK225" s="35"/>
      <c r="ODL225" s="35"/>
      <c r="ODM225" s="35"/>
      <c r="ODN225" s="35"/>
      <c r="ODO225" s="35"/>
      <c r="ODP225" s="34"/>
      <c r="ODQ225" s="34"/>
      <c r="ODR225" s="36"/>
      <c r="ODS225" s="36"/>
      <c r="ODT225" s="37"/>
      <c r="ODU225" s="37"/>
      <c r="ODV225" s="38"/>
      <c r="ODW225" s="38"/>
      <c r="ODX225" s="39"/>
      <c r="ODY225" s="34"/>
      <c r="ODZ225" s="34"/>
      <c r="OEA225" s="34"/>
      <c r="OEB225" s="35"/>
      <c r="OEC225" s="35"/>
      <c r="OED225" s="35"/>
      <c r="OEE225" s="35"/>
      <c r="OEF225" s="35"/>
      <c r="OEG225" s="34"/>
      <c r="OEH225" s="34"/>
      <c r="OEI225" s="36"/>
      <c r="OEJ225" s="36"/>
      <c r="OEK225" s="37"/>
      <c r="OEL225" s="37"/>
      <c r="OEM225" s="38"/>
      <c r="OEN225" s="38"/>
      <c r="OEO225" s="39"/>
      <c r="OEP225" s="34"/>
      <c r="OEQ225" s="34"/>
      <c r="OER225" s="34"/>
      <c r="OES225" s="35"/>
      <c r="OET225" s="35"/>
      <c r="OEU225" s="35"/>
      <c r="OEV225" s="35"/>
      <c r="OEW225" s="35"/>
      <c r="OEX225" s="34"/>
      <c r="OEY225" s="34"/>
      <c r="OEZ225" s="36"/>
      <c r="OFA225" s="36"/>
      <c r="OFB225" s="37"/>
      <c r="OFC225" s="37"/>
      <c r="OFD225" s="38"/>
      <c r="OFE225" s="38"/>
      <c r="OFF225" s="39"/>
      <c r="OFG225" s="34"/>
      <c r="OFH225" s="34"/>
      <c r="OFI225" s="34"/>
      <c r="OFJ225" s="35"/>
      <c r="OFK225" s="35"/>
      <c r="OFL225" s="35"/>
      <c r="OFM225" s="35"/>
      <c r="OFN225" s="35"/>
      <c r="OFO225" s="34"/>
      <c r="OFP225" s="34"/>
      <c r="OFQ225" s="36"/>
      <c r="OFR225" s="36"/>
      <c r="OFS225" s="37"/>
      <c r="OFT225" s="37"/>
      <c r="OFU225" s="38"/>
      <c r="OFV225" s="38"/>
      <c r="OFW225" s="39"/>
      <c r="OFX225" s="34"/>
      <c r="OFY225" s="34"/>
      <c r="OFZ225" s="34"/>
      <c r="OGA225" s="35"/>
      <c r="OGB225" s="35"/>
      <c r="OGC225" s="35"/>
      <c r="OGD225" s="35"/>
      <c r="OGE225" s="35"/>
      <c r="OGF225" s="34"/>
      <c r="OGG225" s="34"/>
      <c r="OGH225" s="36"/>
      <c r="OGI225" s="36"/>
      <c r="OGJ225" s="37"/>
      <c r="OGK225" s="37"/>
      <c r="OGL225" s="38"/>
      <c r="OGM225" s="38"/>
      <c r="OGN225" s="39"/>
      <c r="OGO225" s="34"/>
      <c r="OGP225" s="34"/>
      <c r="OGQ225" s="34"/>
      <c r="OGR225" s="35"/>
      <c r="OGS225" s="35"/>
      <c r="OGT225" s="35"/>
      <c r="OGU225" s="35"/>
      <c r="OGV225" s="35"/>
      <c r="OGW225" s="34"/>
      <c r="OGX225" s="34"/>
      <c r="OGY225" s="36"/>
      <c r="OGZ225" s="36"/>
      <c r="OHA225" s="37"/>
      <c r="OHB225" s="37"/>
      <c r="OHC225" s="38"/>
      <c r="OHD225" s="38"/>
      <c r="OHE225" s="39"/>
      <c r="OHF225" s="34"/>
      <c r="OHG225" s="34"/>
      <c r="OHH225" s="34"/>
      <c r="OHI225" s="35"/>
      <c r="OHJ225" s="35"/>
      <c r="OHK225" s="35"/>
      <c r="OHL225" s="35"/>
      <c r="OHM225" s="35"/>
      <c r="OHN225" s="34"/>
      <c r="OHO225" s="34"/>
      <c r="OHP225" s="36"/>
      <c r="OHQ225" s="36"/>
      <c r="OHR225" s="37"/>
      <c r="OHS225" s="37"/>
      <c r="OHT225" s="38"/>
      <c r="OHU225" s="38"/>
      <c r="OHV225" s="39"/>
      <c r="OHW225" s="34"/>
      <c r="OHX225" s="34"/>
      <c r="OHY225" s="34"/>
      <c r="OHZ225" s="35"/>
      <c r="OIA225" s="35"/>
      <c r="OIB225" s="35"/>
      <c r="OIC225" s="35"/>
      <c r="OID225" s="35"/>
      <c r="OIE225" s="34"/>
      <c r="OIF225" s="34"/>
      <c r="OIG225" s="36"/>
      <c r="OIH225" s="36"/>
      <c r="OII225" s="37"/>
      <c r="OIJ225" s="37"/>
      <c r="OIK225" s="38"/>
      <c r="OIL225" s="38"/>
      <c r="OIM225" s="39"/>
      <c r="OIN225" s="34"/>
      <c r="OIO225" s="34"/>
      <c r="OIP225" s="34"/>
      <c r="OIQ225" s="35"/>
      <c r="OIR225" s="35"/>
      <c r="OIS225" s="35"/>
      <c r="OIT225" s="35"/>
      <c r="OIU225" s="35"/>
      <c r="OIV225" s="34"/>
      <c r="OIW225" s="34"/>
      <c r="OIX225" s="36"/>
      <c r="OIY225" s="36"/>
      <c r="OIZ225" s="37"/>
      <c r="OJA225" s="37"/>
      <c r="OJB225" s="38"/>
      <c r="OJC225" s="38"/>
      <c r="OJD225" s="39"/>
      <c r="OJE225" s="34"/>
      <c r="OJF225" s="34"/>
      <c r="OJG225" s="34"/>
      <c r="OJH225" s="35"/>
      <c r="OJI225" s="35"/>
      <c r="OJJ225" s="35"/>
      <c r="OJK225" s="35"/>
      <c r="OJL225" s="35"/>
      <c r="OJM225" s="34"/>
      <c r="OJN225" s="34"/>
      <c r="OJO225" s="36"/>
      <c r="OJP225" s="36"/>
      <c r="OJQ225" s="37"/>
      <c r="OJR225" s="37"/>
      <c r="OJS225" s="38"/>
      <c r="OJT225" s="38"/>
      <c r="OJU225" s="39"/>
      <c r="OJV225" s="34"/>
      <c r="OJW225" s="34"/>
      <c r="OJX225" s="34"/>
      <c r="OJY225" s="35"/>
      <c r="OJZ225" s="35"/>
      <c r="OKA225" s="35"/>
      <c r="OKB225" s="35"/>
      <c r="OKC225" s="35"/>
      <c r="OKD225" s="34"/>
      <c r="OKE225" s="34"/>
      <c r="OKF225" s="36"/>
      <c r="OKG225" s="36"/>
      <c r="OKH225" s="37"/>
      <c r="OKI225" s="37"/>
      <c r="OKJ225" s="38"/>
      <c r="OKK225" s="38"/>
      <c r="OKL225" s="39"/>
      <c r="OKM225" s="34"/>
      <c r="OKN225" s="34"/>
      <c r="OKO225" s="34"/>
      <c r="OKP225" s="35"/>
      <c r="OKQ225" s="35"/>
      <c r="OKR225" s="35"/>
      <c r="OKS225" s="35"/>
      <c r="OKT225" s="35"/>
      <c r="OKU225" s="34"/>
      <c r="OKV225" s="34"/>
      <c r="OKW225" s="36"/>
      <c r="OKX225" s="36"/>
      <c r="OKY225" s="37"/>
      <c r="OKZ225" s="37"/>
      <c r="OLA225" s="38"/>
      <c r="OLB225" s="38"/>
      <c r="OLC225" s="39"/>
      <c r="OLD225" s="34"/>
      <c r="OLE225" s="34"/>
      <c r="OLF225" s="34"/>
      <c r="OLG225" s="35"/>
      <c r="OLH225" s="35"/>
      <c r="OLI225" s="35"/>
      <c r="OLJ225" s="35"/>
      <c r="OLK225" s="35"/>
      <c r="OLL225" s="34"/>
      <c r="OLM225" s="34"/>
      <c r="OLN225" s="36"/>
      <c r="OLO225" s="36"/>
      <c r="OLP225" s="37"/>
      <c r="OLQ225" s="37"/>
      <c r="OLR225" s="38"/>
      <c r="OLS225" s="38"/>
      <c r="OLT225" s="39"/>
      <c r="OLU225" s="34"/>
      <c r="OLV225" s="34"/>
      <c r="OLW225" s="34"/>
      <c r="OLX225" s="35"/>
      <c r="OLY225" s="35"/>
      <c r="OLZ225" s="35"/>
      <c r="OMA225" s="35"/>
      <c r="OMB225" s="35"/>
      <c r="OMC225" s="34"/>
      <c r="OMD225" s="34"/>
      <c r="OME225" s="36"/>
      <c r="OMF225" s="36"/>
      <c r="OMG225" s="37"/>
      <c r="OMH225" s="37"/>
      <c r="OMI225" s="38"/>
      <c r="OMJ225" s="38"/>
      <c r="OMK225" s="39"/>
      <c r="OML225" s="34"/>
      <c r="OMM225" s="34"/>
      <c r="OMN225" s="34"/>
      <c r="OMO225" s="35"/>
      <c r="OMP225" s="35"/>
      <c r="OMQ225" s="35"/>
      <c r="OMR225" s="35"/>
      <c r="OMS225" s="35"/>
      <c r="OMT225" s="34"/>
      <c r="OMU225" s="34"/>
      <c r="OMV225" s="36"/>
      <c r="OMW225" s="36"/>
      <c r="OMX225" s="37"/>
      <c r="OMY225" s="37"/>
      <c r="OMZ225" s="38"/>
      <c r="ONA225" s="38"/>
      <c r="ONB225" s="39"/>
      <c r="ONC225" s="34"/>
      <c r="OND225" s="34"/>
      <c r="ONE225" s="34"/>
      <c r="ONF225" s="35"/>
      <c r="ONG225" s="35"/>
      <c r="ONH225" s="35"/>
      <c r="ONI225" s="35"/>
      <c r="ONJ225" s="35"/>
      <c r="ONK225" s="34"/>
      <c r="ONL225" s="34"/>
      <c r="ONM225" s="36"/>
      <c r="ONN225" s="36"/>
      <c r="ONO225" s="37"/>
      <c r="ONP225" s="37"/>
      <c r="ONQ225" s="38"/>
      <c r="ONR225" s="38"/>
      <c r="ONS225" s="39"/>
      <c r="ONT225" s="34"/>
      <c r="ONU225" s="34"/>
      <c r="ONV225" s="34"/>
      <c r="ONW225" s="35"/>
      <c r="ONX225" s="35"/>
      <c r="ONY225" s="35"/>
      <c r="ONZ225" s="35"/>
      <c r="OOA225" s="35"/>
      <c r="OOB225" s="34"/>
      <c r="OOC225" s="34"/>
      <c r="OOD225" s="36"/>
      <c r="OOE225" s="36"/>
      <c r="OOF225" s="37"/>
      <c r="OOG225" s="37"/>
      <c r="OOH225" s="38"/>
      <c r="OOI225" s="38"/>
      <c r="OOJ225" s="39"/>
      <c r="OOK225" s="34"/>
      <c r="OOL225" s="34"/>
      <c r="OOM225" s="34"/>
      <c r="OON225" s="35"/>
      <c r="OOO225" s="35"/>
      <c r="OOP225" s="35"/>
      <c r="OOQ225" s="35"/>
      <c r="OOR225" s="35"/>
      <c r="OOS225" s="34"/>
      <c r="OOT225" s="34"/>
      <c r="OOU225" s="36"/>
      <c r="OOV225" s="36"/>
      <c r="OOW225" s="37"/>
      <c r="OOX225" s="37"/>
      <c r="OOY225" s="38"/>
      <c r="OOZ225" s="38"/>
      <c r="OPA225" s="39"/>
      <c r="OPB225" s="34"/>
      <c r="OPC225" s="34"/>
      <c r="OPD225" s="34"/>
      <c r="OPE225" s="35"/>
      <c r="OPF225" s="35"/>
      <c r="OPG225" s="35"/>
      <c r="OPH225" s="35"/>
      <c r="OPI225" s="35"/>
      <c r="OPJ225" s="34"/>
      <c r="OPK225" s="34"/>
      <c r="OPL225" s="36"/>
      <c r="OPM225" s="36"/>
      <c r="OPN225" s="37"/>
      <c r="OPO225" s="37"/>
      <c r="OPP225" s="38"/>
      <c r="OPQ225" s="38"/>
      <c r="OPR225" s="39"/>
      <c r="OPS225" s="34"/>
      <c r="OPT225" s="34"/>
      <c r="OPU225" s="34"/>
      <c r="OPV225" s="35"/>
      <c r="OPW225" s="35"/>
      <c r="OPX225" s="35"/>
      <c r="OPY225" s="35"/>
      <c r="OPZ225" s="35"/>
      <c r="OQA225" s="34"/>
      <c r="OQB225" s="34"/>
      <c r="OQC225" s="36"/>
      <c r="OQD225" s="36"/>
      <c r="OQE225" s="37"/>
      <c r="OQF225" s="37"/>
      <c r="OQG225" s="38"/>
      <c r="OQH225" s="38"/>
      <c r="OQI225" s="39"/>
      <c r="OQJ225" s="34"/>
      <c r="OQK225" s="34"/>
      <c r="OQL225" s="34"/>
      <c r="OQM225" s="35"/>
      <c r="OQN225" s="35"/>
      <c r="OQO225" s="35"/>
      <c r="OQP225" s="35"/>
      <c r="OQQ225" s="35"/>
      <c r="OQR225" s="34"/>
      <c r="OQS225" s="34"/>
      <c r="OQT225" s="36"/>
      <c r="OQU225" s="36"/>
      <c r="OQV225" s="37"/>
      <c r="OQW225" s="37"/>
      <c r="OQX225" s="38"/>
      <c r="OQY225" s="38"/>
      <c r="OQZ225" s="39"/>
      <c r="ORA225" s="34"/>
      <c r="ORB225" s="34"/>
      <c r="ORC225" s="34"/>
      <c r="ORD225" s="35"/>
      <c r="ORE225" s="35"/>
      <c r="ORF225" s="35"/>
      <c r="ORG225" s="35"/>
      <c r="ORH225" s="35"/>
      <c r="ORI225" s="34"/>
      <c r="ORJ225" s="34"/>
      <c r="ORK225" s="36"/>
      <c r="ORL225" s="36"/>
      <c r="ORM225" s="37"/>
      <c r="ORN225" s="37"/>
      <c r="ORO225" s="38"/>
      <c r="ORP225" s="38"/>
      <c r="ORQ225" s="39"/>
      <c r="ORR225" s="34"/>
      <c r="ORS225" s="34"/>
      <c r="ORT225" s="34"/>
      <c r="ORU225" s="35"/>
      <c r="ORV225" s="35"/>
      <c r="ORW225" s="35"/>
      <c r="ORX225" s="35"/>
      <c r="ORY225" s="35"/>
      <c r="ORZ225" s="34"/>
      <c r="OSA225" s="34"/>
      <c r="OSB225" s="36"/>
      <c r="OSC225" s="36"/>
      <c r="OSD225" s="37"/>
      <c r="OSE225" s="37"/>
      <c r="OSF225" s="38"/>
      <c r="OSG225" s="38"/>
      <c r="OSH225" s="39"/>
      <c r="OSI225" s="34"/>
      <c r="OSJ225" s="34"/>
      <c r="OSK225" s="34"/>
      <c r="OSL225" s="35"/>
      <c r="OSM225" s="35"/>
      <c r="OSN225" s="35"/>
      <c r="OSO225" s="35"/>
      <c r="OSP225" s="35"/>
      <c r="OSQ225" s="34"/>
      <c r="OSR225" s="34"/>
      <c r="OSS225" s="36"/>
      <c r="OST225" s="36"/>
      <c r="OSU225" s="37"/>
      <c r="OSV225" s="37"/>
      <c r="OSW225" s="38"/>
      <c r="OSX225" s="38"/>
      <c r="OSY225" s="39"/>
      <c r="OSZ225" s="34"/>
      <c r="OTA225" s="34"/>
      <c r="OTB225" s="34"/>
      <c r="OTC225" s="35"/>
      <c r="OTD225" s="35"/>
      <c r="OTE225" s="35"/>
      <c r="OTF225" s="35"/>
      <c r="OTG225" s="35"/>
      <c r="OTH225" s="34"/>
      <c r="OTI225" s="34"/>
      <c r="OTJ225" s="36"/>
      <c r="OTK225" s="36"/>
      <c r="OTL225" s="37"/>
      <c r="OTM225" s="37"/>
      <c r="OTN225" s="38"/>
      <c r="OTO225" s="38"/>
      <c r="OTP225" s="39"/>
      <c r="OTQ225" s="34"/>
      <c r="OTR225" s="34"/>
      <c r="OTS225" s="34"/>
      <c r="OTT225" s="35"/>
      <c r="OTU225" s="35"/>
      <c r="OTV225" s="35"/>
      <c r="OTW225" s="35"/>
      <c r="OTX225" s="35"/>
      <c r="OTY225" s="34"/>
      <c r="OTZ225" s="34"/>
      <c r="OUA225" s="36"/>
      <c r="OUB225" s="36"/>
      <c r="OUC225" s="37"/>
      <c r="OUD225" s="37"/>
      <c r="OUE225" s="38"/>
      <c r="OUF225" s="38"/>
      <c r="OUG225" s="39"/>
      <c r="OUH225" s="34"/>
      <c r="OUI225" s="34"/>
      <c r="OUJ225" s="34"/>
      <c r="OUK225" s="35"/>
      <c r="OUL225" s="35"/>
      <c r="OUM225" s="35"/>
      <c r="OUN225" s="35"/>
      <c r="OUO225" s="35"/>
      <c r="OUP225" s="34"/>
      <c r="OUQ225" s="34"/>
      <c r="OUR225" s="36"/>
      <c r="OUS225" s="36"/>
      <c r="OUT225" s="37"/>
      <c r="OUU225" s="37"/>
      <c r="OUV225" s="38"/>
      <c r="OUW225" s="38"/>
      <c r="OUX225" s="39"/>
      <c r="OUY225" s="34"/>
      <c r="OUZ225" s="34"/>
      <c r="OVA225" s="34"/>
      <c r="OVB225" s="35"/>
      <c r="OVC225" s="35"/>
      <c r="OVD225" s="35"/>
      <c r="OVE225" s="35"/>
      <c r="OVF225" s="35"/>
      <c r="OVG225" s="34"/>
      <c r="OVH225" s="34"/>
      <c r="OVI225" s="36"/>
      <c r="OVJ225" s="36"/>
      <c r="OVK225" s="37"/>
      <c r="OVL225" s="37"/>
      <c r="OVM225" s="38"/>
      <c r="OVN225" s="38"/>
      <c r="OVO225" s="39"/>
      <c r="OVP225" s="34"/>
      <c r="OVQ225" s="34"/>
      <c r="OVR225" s="34"/>
      <c r="OVS225" s="35"/>
      <c r="OVT225" s="35"/>
      <c r="OVU225" s="35"/>
      <c r="OVV225" s="35"/>
      <c r="OVW225" s="35"/>
      <c r="OVX225" s="34"/>
      <c r="OVY225" s="34"/>
      <c r="OVZ225" s="36"/>
      <c r="OWA225" s="36"/>
      <c r="OWB225" s="37"/>
      <c r="OWC225" s="37"/>
      <c r="OWD225" s="38"/>
      <c r="OWE225" s="38"/>
      <c r="OWF225" s="39"/>
      <c r="OWG225" s="34"/>
      <c r="OWH225" s="34"/>
      <c r="OWI225" s="34"/>
      <c r="OWJ225" s="35"/>
      <c r="OWK225" s="35"/>
      <c r="OWL225" s="35"/>
      <c r="OWM225" s="35"/>
      <c r="OWN225" s="35"/>
      <c r="OWO225" s="34"/>
      <c r="OWP225" s="34"/>
      <c r="OWQ225" s="36"/>
      <c r="OWR225" s="36"/>
      <c r="OWS225" s="37"/>
      <c r="OWT225" s="37"/>
      <c r="OWU225" s="38"/>
      <c r="OWV225" s="38"/>
      <c r="OWW225" s="39"/>
      <c r="OWX225" s="34"/>
      <c r="OWY225" s="34"/>
      <c r="OWZ225" s="34"/>
      <c r="OXA225" s="35"/>
      <c r="OXB225" s="35"/>
      <c r="OXC225" s="35"/>
      <c r="OXD225" s="35"/>
      <c r="OXE225" s="35"/>
      <c r="OXF225" s="34"/>
      <c r="OXG225" s="34"/>
      <c r="OXH225" s="36"/>
      <c r="OXI225" s="36"/>
      <c r="OXJ225" s="37"/>
      <c r="OXK225" s="37"/>
      <c r="OXL225" s="38"/>
      <c r="OXM225" s="38"/>
      <c r="OXN225" s="39"/>
      <c r="OXO225" s="34"/>
      <c r="OXP225" s="34"/>
      <c r="OXQ225" s="34"/>
      <c r="OXR225" s="35"/>
      <c r="OXS225" s="35"/>
      <c r="OXT225" s="35"/>
      <c r="OXU225" s="35"/>
      <c r="OXV225" s="35"/>
      <c r="OXW225" s="34"/>
      <c r="OXX225" s="34"/>
      <c r="OXY225" s="36"/>
      <c r="OXZ225" s="36"/>
      <c r="OYA225" s="37"/>
      <c r="OYB225" s="37"/>
      <c r="OYC225" s="38"/>
      <c r="OYD225" s="38"/>
      <c r="OYE225" s="39"/>
      <c r="OYF225" s="34"/>
      <c r="OYG225" s="34"/>
      <c r="OYH225" s="34"/>
      <c r="OYI225" s="35"/>
      <c r="OYJ225" s="35"/>
      <c r="OYK225" s="35"/>
      <c r="OYL225" s="35"/>
      <c r="OYM225" s="35"/>
      <c r="OYN225" s="34"/>
      <c r="OYO225" s="34"/>
      <c r="OYP225" s="36"/>
      <c r="OYQ225" s="36"/>
      <c r="OYR225" s="37"/>
      <c r="OYS225" s="37"/>
      <c r="OYT225" s="38"/>
      <c r="OYU225" s="38"/>
      <c r="OYV225" s="39"/>
      <c r="OYW225" s="34"/>
      <c r="OYX225" s="34"/>
      <c r="OYY225" s="34"/>
      <c r="OYZ225" s="35"/>
      <c r="OZA225" s="35"/>
      <c r="OZB225" s="35"/>
      <c r="OZC225" s="35"/>
      <c r="OZD225" s="35"/>
      <c r="OZE225" s="34"/>
      <c r="OZF225" s="34"/>
      <c r="OZG225" s="36"/>
      <c r="OZH225" s="36"/>
      <c r="OZI225" s="37"/>
      <c r="OZJ225" s="37"/>
      <c r="OZK225" s="38"/>
      <c r="OZL225" s="38"/>
      <c r="OZM225" s="39"/>
      <c r="OZN225" s="34"/>
      <c r="OZO225" s="34"/>
      <c r="OZP225" s="34"/>
      <c r="OZQ225" s="35"/>
      <c r="OZR225" s="35"/>
      <c r="OZS225" s="35"/>
      <c r="OZT225" s="35"/>
      <c r="OZU225" s="35"/>
      <c r="OZV225" s="34"/>
      <c r="OZW225" s="34"/>
      <c r="OZX225" s="36"/>
      <c r="OZY225" s="36"/>
      <c r="OZZ225" s="37"/>
      <c r="PAA225" s="37"/>
      <c r="PAB225" s="38"/>
      <c r="PAC225" s="38"/>
      <c r="PAD225" s="39"/>
      <c r="PAE225" s="34"/>
      <c r="PAF225" s="34"/>
      <c r="PAG225" s="34"/>
      <c r="PAH225" s="35"/>
      <c r="PAI225" s="35"/>
      <c r="PAJ225" s="35"/>
      <c r="PAK225" s="35"/>
      <c r="PAL225" s="35"/>
      <c r="PAM225" s="34"/>
      <c r="PAN225" s="34"/>
      <c r="PAO225" s="36"/>
      <c r="PAP225" s="36"/>
      <c r="PAQ225" s="37"/>
      <c r="PAR225" s="37"/>
      <c r="PAS225" s="38"/>
      <c r="PAT225" s="38"/>
      <c r="PAU225" s="39"/>
      <c r="PAV225" s="34"/>
      <c r="PAW225" s="34"/>
      <c r="PAX225" s="34"/>
      <c r="PAY225" s="35"/>
      <c r="PAZ225" s="35"/>
      <c r="PBA225" s="35"/>
      <c r="PBB225" s="35"/>
      <c r="PBC225" s="35"/>
      <c r="PBD225" s="34"/>
      <c r="PBE225" s="34"/>
      <c r="PBF225" s="36"/>
      <c r="PBG225" s="36"/>
      <c r="PBH225" s="37"/>
      <c r="PBI225" s="37"/>
      <c r="PBJ225" s="38"/>
      <c r="PBK225" s="38"/>
      <c r="PBL225" s="39"/>
      <c r="PBM225" s="34"/>
      <c r="PBN225" s="34"/>
      <c r="PBO225" s="34"/>
      <c r="PBP225" s="35"/>
      <c r="PBQ225" s="35"/>
      <c r="PBR225" s="35"/>
      <c r="PBS225" s="35"/>
      <c r="PBT225" s="35"/>
      <c r="PBU225" s="34"/>
      <c r="PBV225" s="34"/>
      <c r="PBW225" s="36"/>
      <c r="PBX225" s="36"/>
      <c r="PBY225" s="37"/>
      <c r="PBZ225" s="37"/>
      <c r="PCA225" s="38"/>
      <c r="PCB225" s="38"/>
      <c r="PCC225" s="39"/>
      <c r="PCD225" s="34"/>
      <c r="PCE225" s="34"/>
      <c r="PCF225" s="34"/>
      <c r="PCG225" s="35"/>
      <c r="PCH225" s="35"/>
      <c r="PCI225" s="35"/>
      <c r="PCJ225" s="35"/>
      <c r="PCK225" s="35"/>
      <c r="PCL225" s="34"/>
      <c r="PCM225" s="34"/>
      <c r="PCN225" s="36"/>
      <c r="PCO225" s="36"/>
      <c r="PCP225" s="37"/>
      <c r="PCQ225" s="37"/>
      <c r="PCR225" s="38"/>
      <c r="PCS225" s="38"/>
      <c r="PCT225" s="39"/>
      <c r="PCU225" s="34"/>
      <c r="PCV225" s="34"/>
      <c r="PCW225" s="34"/>
      <c r="PCX225" s="35"/>
      <c r="PCY225" s="35"/>
      <c r="PCZ225" s="35"/>
      <c r="PDA225" s="35"/>
      <c r="PDB225" s="35"/>
      <c r="PDC225" s="34"/>
      <c r="PDD225" s="34"/>
      <c r="PDE225" s="36"/>
      <c r="PDF225" s="36"/>
      <c r="PDG225" s="37"/>
      <c r="PDH225" s="37"/>
      <c r="PDI225" s="38"/>
      <c r="PDJ225" s="38"/>
      <c r="PDK225" s="39"/>
      <c r="PDL225" s="34"/>
      <c r="PDM225" s="34"/>
      <c r="PDN225" s="34"/>
      <c r="PDO225" s="35"/>
      <c r="PDP225" s="35"/>
      <c r="PDQ225" s="35"/>
      <c r="PDR225" s="35"/>
      <c r="PDS225" s="35"/>
      <c r="PDT225" s="34"/>
      <c r="PDU225" s="34"/>
      <c r="PDV225" s="36"/>
      <c r="PDW225" s="36"/>
      <c r="PDX225" s="37"/>
      <c r="PDY225" s="37"/>
      <c r="PDZ225" s="38"/>
      <c r="PEA225" s="38"/>
      <c r="PEB225" s="39"/>
      <c r="PEC225" s="34"/>
      <c r="PED225" s="34"/>
      <c r="PEE225" s="34"/>
      <c r="PEF225" s="35"/>
      <c r="PEG225" s="35"/>
      <c r="PEH225" s="35"/>
      <c r="PEI225" s="35"/>
      <c r="PEJ225" s="35"/>
      <c r="PEK225" s="34"/>
      <c r="PEL225" s="34"/>
      <c r="PEM225" s="36"/>
      <c r="PEN225" s="36"/>
      <c r="PEO225" s="37"/>
      <c r="PEP225" s="37"/>
      <c r="PEQ225" s="38"/>
      <c r="PER225" s="38"/>
      <c r="PES225" s="39"/>
      <c r="PET225" s="34"/>
      <c r="PEU225" s="34"/>
      <c r="PEV225" s="34"/>
      <c r="PEW225" s="35"/>
      <c r="PEX225" s="35"/>
      <c r="PEY225" s="35"/>
      <c r="PEZ225" s="35"/>
      <c r="PFA225" s="35"/>
      <c r="PFB225" s="34"/>
      <c r="PFC225" s="34"/>
      <c r="PFD225" s="36"/>
      <c r="PFE225" s="36"/>
      <c r="PFF225" s="37"/>
      <c r="PFG225" s="37"/>
      <c r="PFH225" s="38"/>
      <c r="PFI225" s="38"/>
      <c r="PFJ225" s="39"/>
      <c r="PFK225" s="34"/>
      <c r="PFL225" s="34"/>
      <c r="PFM225" s="34"/>
      <c r="PFN225" s="35"/>
      <c r="PFO225" s="35"/>
      <c r="PFP225" s="35"/>
      <c r="PFQ225" s="35"/>
      <c r="PFR225" s="35"/>
      <c r="PFS225" s="34"/>
      <c r="PFT225" s="34"/>
      <c r="PFU225" s="36"/>
      <c r="PFV225" s="36"/>
      <c r="PFW225" s="37"/>
      <c r="PFX225" s="37"/>
      <c r="PFY225" s="38"/>
      <c r="PFZ225" s="38"/>
      <c r="PGA225" s="39"/>
      <c r="PGB225" s="34"/>
      <c r="PGC225" s="34"/>
      <c r="PGD225" s="34"/>
      <c r="PGE225" s="35"/>
      <c r="PGF225" s="35"/>
      <c r="PGG225" s="35"/>
      <c r="PGH225" s="35"/>
      <c r="PGI225" s="35"/>
      <c r="PGJ225" s="34"/>
      <c r="PGK225" s="34"/>
      <c r="PGL225" s="36"/>
      <c r="PGM225" s="36"/>
      <c r="PGN225" s="37"/>
      <c r="PGO225" s="37"/>
      <c r="PGP225" s="38"/>
      <c r="PGQ225" s="38"/>
      <c r="PGR225" s="39"/>
      <c r="PGS225" s="34"/>
      <c r="PGT225" s="34"/>
      <c r="PGU225" s="34"/>
      <c r="PGV225" s="35"/>
      <c r="PGW225" s="35"/>
      <c r="PGX225" s="35"/>
      <c r="PGY225" s="35"/>
      <c r="PGZ225" s="35"/>
      <c r="PHA225" s="34"/>
      <c r="PHB225" s="34"/>
      <c r="PHC225" s="36"/>
      <c r="PHD225" s="36"/>
      <c r="PHE225" s="37"/>
      <c r="PHF225" s="37"/>
      <c r="PHG225" s="38"/>
      <c r="PHH225" s="38"/>
      <c r="PHI225" s="39"/>
      <c r="PHJ225" s="34"/>
      <c r="PHK225" s="34"/>
      <c r="PHL225" s="34"/>
      <c r="PHM225" s="35"/>
      <c r="PHN225" s="35"/>
      <c r="PHO225" s="35"/>
      <c r="PHP225" s="35"/>
      <c r="PHQ225" s="35"/>
      <c r="PHR225" s="34"/>
      <c r="PHS225" s="34"/>
      <c r="PHT225" s="36"/>
      <c r="PHU225" s="36"/>
      <c r="PHV225" s="37"/>
      <c r="PHW225" s="37"/>
      <c r="PHX225" s="38"/>
      <c r="PHY225" s="38"/>
      <c r="PHZ225" s="39"/>
      <c r="PIA225" s="34"/>
      <c r="PIB225" s="34"/>
      <c r="PIC225" s="34"/>
      <c r="PID225" s="35"/>
      <c r="PIE225" s="35"/>
      <c r="PIF225" s="35"/>
      <c r="PIG225" s="35"/>
      <c r="PIH225" s="35"/>
      <c r="PII225" s="34"/>
      <c r="PIJ225" s="34"/>
      <c r="PIK225" s="36"/>
      <c r="PIL225" s="36"/>
      <c r="PIM225" s="37"/>
      <c r="PIN225" s="37"/>
      <c r="PIO225" s="38"/>
      <c r="PIP225" s="38"/>
      <c r="PIQ225" s="39"/>
      <c r="PIR225" s="34"/>
      <c r="PIS225" s="34"/>
      <c r="PIT225" s="34"/>
      <c r="PIU225" s="35"/>
      <c r="PIV225" s="35"/>
      <c r="PIW225" s="35"/>
      <c r="PIX225" s="35"/>
      <c r="PIY225" s="35"/>
      <c r="PIZ225" s="34"/>
      <c r="PJA225" s="34"/>
      <c r="PJB225" s="36"/>
      <c r="PJC225" s="36"/>
      <c r="PJD225" s="37"/>
      <c r="PJE225" s="37"/>
      <c r="PJF225" s="38"/>
      <c r="PJG225" s="38"/>
      <c r="PJH225" s="39"/>
      <c r="PJI225" s="34"/>
      <c r="PJJ225" s="34"/>
      <c r="PJK225" s="34"/>
      <c r="PJL225" s="35"/>
      <c r="PJM225" s="35"/>
      <c r="PJN225" s="35"/>
      <c r="PJO225" s="35"/>
      <c r="PJP225" s="35"/>
      <c r="PJQ225" s="34"/>
      <c r="PJR225" s="34"/>
      <c r="PJS225" s="36"/>
      <c r="PJT225" s="36"/>
      <c r="PJU225" s="37"/>
      <c r="PJV225" s="37"/>
      <c r="PJW225" s="38"/>
      <c r="PJX225" s="38"/>
      <c r="PJY225" s="39"/>
      <c r="PJZ225" s="34"/>
      <c r="PKA225" s="34"/>
      <c r="PKB225" s="34"/>
      <c r="PKC225" s="35"/>
      <c r="PKD225" s="35"/>
      <c r="PKE225" s="35"/>
      <c r="PKF225" s="35"/>
      <c r="PKG225" s="35"/>
      <c r="PKH225" s="34"/>
      <c r="PKI225" s="34"/>
      <c r="PKJ225" s="36"/>
      <c r="PKK225" s="36"/>
      <c r="PKL225" s="37"/>
      <c r="PKM225" s="37"/>
      <c r="PKN225" s="38"/>
      <c r="PKO225" s="38"/>
      <c r="PKP225" s="39"/>
      <c r="PKQ225" s="34"/>
      <c r="PKR225" s="34"/>
      <c r="PKS225" s="34"/>
      <c r="PKT225" s="35"/>
      <c r="PKU225" s="35"/>
      <c r="PKV225" s="35"/>
      <c r="PKW225" s="35"/>
      <c r="PKX225" s="35"/>
      <c r="PKY225" s="34"/>
      <c r="PKZ225" s="34"/>
      <c r="PLA225" s="36"/>
      <c r="PLB225" s="36"/>
      <c r="PLC225" s="37"/>
      <c r="PLD225" s="37"/>
      <c r="PLE225" s="38"/>
      <c r="PLF225" s="38"/>
      <c r="PLG225" s="39"/>
      <c r="PLH225" s="34"/>
      <c r="PLI225" s="34"/>
      <c r="PLJ225" s="34"/>
      <c r="PLK225" s="35"/>
      <c r="PLL225" s="35"/>
      <c r="PLM225" s="35"/>
      <c r="PLN225" s="35"/>
      <c r="PLO225" s="35"/>
      <c r="PLP225" s="34"/>
      <c r="PLQ225" s="34"/>
      <c r="PLR225" s="36"/>
      <c r="PLS225" s="36"/>
      <c r="PLT225" s="37"/>
      <c r="PLU225" s="37"/>
      <c r="PLV225" s="38"/>
      <c r="PLW225" s="38"/>
      <c r="PLX225" s="39"/>
      <c r="PLY225" s="34"/>
      <c r="PLZ225" s="34"/>
      <c r="PMA225" s="34"/>
      <c r="PMB225" s="35"/>
      <c r="PMC225" s="35"/>
      <c r="PMD225" s="35"/>
      <c r="PME225" s="35"/>
      <c r="PMF225" s="35"/>
      <c r="PMG225" s="34"/>
      <c r="PMH225" s="34"/>
      <c r="PMI225" s="36"/>
      <c r="PMJ225" s="36"/>
      <c r="PMK225" s="37"/>
      <c r="PML225" s="37"/>
      <c r="PMM225" s="38"/>
      <c r="PMN225" s="38"/>
      <c r="PMO225" s="39"/>
      <c r="PMP225" s="34"/>
      <c r="PMQ225" s="34"/>
      <c r="PMR225" s="34"/>
      <c r="PMS225" s="35"/>
      <c r="PMT225" s="35"/>
      <c r="PMU225" s="35"/>
      <c r="PMV225" s="35"/>
      <c r="PMW225" s="35"/>
      <c r="PMX225" s="34"/>
      <c r="PMY225" s="34"/>
      <c r="PMZ225" s="36"/>
      <c r="PNA225" s="36"/>
      <c r="PNB225" s="37"/>
      <c r="PNC225" s="37"/>
      <c r="PND225" s="38"/>
      <c r="PNE225" s="38"/>
      <c r="PNF225" s="39"/>
      <c r="PNG225" s="34"/>
      <c r="PNH225" s="34"/>
      <c r="PNI225" s="34"/>
      <c r="PNJ225" s="35"/>
      <c r="PNK225" s="35"/>
      <c r="PNL225" s="35"/>
      <c r="PNM225" s="35"/>
      <c r="PNN225" s="35"/>
      <c r="PNO225" s="34"/>
      <c r="PNP225" s="34"/>
      <c r="PNQ225" s="36"/>
      <c r="PNR225" s="36"/>
      <c r="PNS225" s="37"/>
      <c r="PNT225" s="37"/>
      <c r="PNU225" s="38"/>
      <c r="PNV225" s="38"/>
      <c r="PNW225" s="39"/>
      <c r="PNX225" s="34"/>
      <c r="PNY225" s="34"/>
      <c r="PNZ225" s="34"/>
      <c r="POA225" s="35"/>
      <c r="POB225" s="35"/>
      <c r="POC225" s="35"/>
      <c r="POD225" s="35"/>
      <c r="POE225" s="35"/>
      <c r="POF225" s="34"/>
      <c r="POG225" s="34"/>
      <c r="POH225" s="36"/>
      <c r="POI225" s="36"/>
      <c r="POJ225" s="37"/>
      <c r="POK225" s="37"/>
      <c r="POL225" s="38"/>
      <c r="POM225" s="38"/>
      <c r="PON225" s="39"/>
      <c r="POO225" s="34"/>
      <c r="POP225" s="34"/>
      <c r="POQ225" s="34"/>
      <c r="POR225" s="35"/>
      <c r="POS225" s="35"/>
      <c r="POT225" s="35"/>
      <c r="POU225" s="35"/>
      <c r="POV225" s="35"/>
      <c r="POW225" s="34"/>
      <c r="POX225" s="34"/>
      <c r="POY225" s="36"/>
      <c r="POZ225" s="36"/>
      <c r="PPA225" s="37"/>
      <c r="PPB225" s="37"/>
      <c r="PPC225" s="38"/>
      <c r="PPD225" s="38"/>
      <c r="PPE225" s="39"/>
      <c r="PPF225" s="34"/>
      <c r="PPG225" s="34"/>
      <c r="PPH225" s="34"/>
      <c r="PPI225" s="35"/>
      <c r="PPJ225" s="35"/>
      <c r="PPK225" s="35"/>
      <c r="PPL225" s="35"/>
      <c r="PPM225" s="35"/>
      <c r="PPN225" s="34"/>
      <c r="PPO225" s="34"/>
      <c r="PPP225" s="36"/>
      <c r="PPQ225" s="36"/>
      <c r="PPR225" s="37"/>
      <c r="PPS225" s="37"/>
      <c r="PPT225" s="38"/>
      <c r="PPU225" s="38"/>
      <c r="PPV225" s="39"/>
      <c r="PPW225" s="34"/>
      <c r="PPX225" s="34"/>
      <c r="PPY225" s="34"/>
      <c r="PPZ225" s="35"/>
      <c r="PQA225" s="35"/>
      <c r="PQB225" s="35"/>
      <c r="PQC225" s="35"/>
      <c r="PQD225" s="35"/>
      <c r="PQE225" s="34"/>
      <c r="PQF225" s="34"/>
      <c r="PQG225" s="36"/>
      <c r="PQH225" s="36"/>
      <c r="PQI225" s="37"/>
      <c r="PQJ225" s="37"/>
      <c r="PQK225" s="38"/>
      <c r="PQL225" s="38"/>
      <c r="PQM225" s="39"/>
      <c r="PQN225" s="34"/>
      <c r="PQO225" s="34"/>
      <c r="PQP225" s="34"/>
      <c r="PQQ225" s="35"/>
      <c r="PQR225" s="35"/>
      <c r="PQS225" s="35"/>
      <c r="PQT225" s="35"/>
      <c r="PQU225" s="35"/>
      <c r="PQV225" s="34"/>
      <c r="PQW225" s="34"/>
      <c r="PQX225" s="36"/>
      <c r="PQY225" s="36"/>
      <c r="PQZ225" s="37"/>
      <c r="PRA225" s="37"/>
      <c r="PRB225" s="38"/>
      <c r="PRC225" s="38"/>
      <c r="PRD225" s="39"/>
      <c r="PRE225" s="34"/>
      <c r="PRF225" s="34"/>
      <c r="PRG225" s="34"/>
      <c r="PRH225" s="35"/>
      <c r="PRI225" s="35"/>
      <c r="PRJ225" s="35"/>
      <c r="PRK225" s="35"/>
      <c r="PRL225" s="35"/>
      <c r="PRM225" s="34"/>
      <c r="PRN225" s="34"/>
      <c r="PRO225" s="36"/>
      <c r="PRP225" s="36"/>
      <c r="PRQ225" s="37"/>
      <c r="PRR225" s="37"/>
      <c r="PRS225" s="38"/>
      <c r="PRT225" s="38"/>
      <c r="PRU225" s="39"/>
      <c r="PRV225" s="34"/>
      <c r="PRW225" s="34"/>
      <c r="PRX225" s="34"/>
      <c r="PRY225" s="35"/>
      <c r="PRZ225" s="35"/>
      <c r="PSA225" s="35"/>
      <c r="PSB225" s="35"/>
      <c r="PSC225" s="35"/>
      <c r="PSD225" s="34"/>
      <c r="PSE225" s="34"/>
      <c r="PSF225" s="36"/>
      <c r="PSG225" s="36"/>
      <c r="PSH225" s="37"/>
      <c r="PSI225" s="37"/>
      <c r="PSJ225" s="38"/>
      <c r="PSK225" s="38"/>
      <c r="PSL225" s="39"/>
      <c r="PSM225" s="34"/>
      <c r="PSN225" s="34"/>
      <c r="PSO225" s="34"/>
      <c r="PSP225" s="35"/>
      <c r="PSQ225" s="35"/>
      <c r="PSR225" s="35"/>
      <c r="PSS225" s="35"/>
      <c r="PST225" s="35"/>
      <c r="PSU225" s="34"/>
      <c r="PSV225" s="34"/>
      <c r="PSW225" s="36"/>
      <c r="PSX225" s="36"/>
      <c r="PSY225" s="37"/>
      <c r="PSZ225" s="37"/>
      <c r="PTA225" s="38"/>
      <c r="PTB225" s="38"/>
      <c r="PTC225" s="39"/>
      <c r="PTD225" s="34"/>
      <c r="PTE225" s="34"/>
      <c r="PTF225" s="34"/>
      <c r="PTG225" s="35"/>
      <c r="PTH225" s="35"/>
      <c r="PTI225" s="35"/>
      <c r="PTJ225" s="35"/>
      <c r="PTK225" s="35"/>
      <c r="PTL225" s="34"/>
      <c r="PTM225" s="34"/>
      <c r="PTN225" s="36"/>
      <c r="PTO225" s="36"/>
      <c r="PTP225" s="37"/>
      <c r="PTQ225" s="37"/>
      <c r="PTR225" s="38"/>
      <c r="PTS225" s="38"/>
      <c r="PTT225" s="39"/>
      <c r="PTU225" s="34"/>
      <c r="PTV225" s="34"/>
      <c r="PTW225" s="34"/>
      <c r="PTX225" s="35"/>
      <c r="PTY225" s="35"/>
      <c r="PTZ225" s="35"/>
      <c r="PUA225" s="35"/>
      <c r="PUB225" s="35"/>
      <c r="PUC225" s="34"/>
      <c r="PUD225" s="34"/>
      <c r="PUE225" s="36"/>
      <c r="PUF225" s="36"/>
      <c r="PUG225" s="37"/>
      <c r="PUH225" s="37"/>
      <c r="PUI225" s="38"/>
      <c r="PUJ225" s="38"/>
      <c r="PUK225" s="39"/>
      <c r="PUL225" s="34"/>
      <c r="PUM225" s="34"/>
      <c r="PUN225" s="34"/>
      <c r="PUO225" s="35"/>
      <c r="PUP225" s="35"/>
      <c r="PUQ225" s="35"/>
      <c r="PUR225" s="35"/>
      <c r="PUS225" s="35"/>
      <c r="PUT225" s="34"/>
      <c r="PUU225" s="34"/>
      <c r="PUV225" s="36"/>
      <c r="PUW225" s="36"/>
      <c r="PUX225" s="37"/>
      <c r="PUY225" s="37"/>
      <c r="PUZ225" s="38"/>
      <c r="PVA225" s="38"/>
      <c r="PVB225" s="39"/>
      <c r="PVC225" s="34"/>
      <c r="PVD225" s="34"/>
      <c r="PVE225" s="34"/>
      <c r="PVF225" s="35"/>
      <c r="PVG225" s="35"/>
      <c r="PVH225" s="35"/>
      <c r="PVI225" s="35"/>
      <c r="PVJ225" s="35"/>
      <c r="PVK225" s="34"/>
      <c r="PVL225" s="34"/>
      <c r="PVM225" s="36"/>
      <c r="PVN225" s="36"/>
      <c r="PVO225" s="37"/>
      <c r="PVP225" s="37"/>
      <c r="PVQ225" s="38"/>
      <c r="PVR225" s="38"/>
      <c r="PVS225" s="39"/>
      <c r="PVT225" s="34"/>
      <c r="PVU225" s="34"/>
      <c r="PVV225" s="34"/>
      <c r="PVW225" s="35"/>
      <c r="PVX225" s="35"/>
      <c r="PVY225" s="35"/>
      <c r="PVZ225" s="35"/>
      <c r="PWA225" s="35"/>
      <c r="PWB225" s="34"/>
      <c r="PWC225" s="34"/>
      <c r="PWD225" s="36"/>
      <c r="PWE225" s="36"/>
      <c r="PWF225" s="37"/>
      <c r="PWG225" s="37"/>
      <c r="PWH225" s="38"/>
      <c r="PWI225" s="38"/>
      <c r="PWJ225" s="39"/>
      <c r="PWK225" s="34"/>
      <c r="PWL225" s="34"/>
      <c r="PWM225" s="34"/>
      <c r="PWN225" s="35"/>
      <c r="PWO225" s="35"/>
      <c r="PWP225" s="35"/>
      <c r="PWQ225" s="35"/>
      <c r="PWR225" s="35"/>
      <c r="PWS225" s="34"/>
      <c r="PWT225" s="34"/>
      <c r="PWU225" s="36"/>
      <c r="PWV225" s="36"/>
      <c r="PWW225" s="37"/>
      <c r="PWX225" s="37"/>
      <c r="PWY225" s="38"/>
      <c r="PWZ225" s="38"/>
      <c r="PXA225" s="39"/>
      <c r="PXB225" s="34"/>
      <c r="PXC225" s="34"/>
      <c r="PXD225" s="34"/>
      <c r="PXE225" s="35"/>
      <c r="PXF225" s="35"/>
      <c r="PXG225" s="35"/>
      <c r="PXH225" s="35"/>
      <c r="PXI225" s="35"/>
      <c r="PXJ225" s="34"/>
      <c r="PXK225" s="34"/>
      <c r="PXL225" s="36"/>
      <c r="PXM225" s="36"/>
      <c r="PXN225" s="37"/>
      <c r="PXO225" s="37"/>
      <c r="PXP225" s="38"/>
      <c r="PXQ225" s="38"/>
      <c r="PXR225" s="39"/>
      <c r="PXS225" s="34"/>
      <c r="PXT225" s="34"/>
      <c r="PXU225" s="34"/>
      <c r="PXV225" s="35"/>
      <c r="PXW225" s="35"/>
      <c r="PXX225" s="35"/>
      <c r="PXY225" s="35"/>
      <c r="PXZ225" s="35"/>
      <c r="PYA225" s="34"/>
      <c r="PYB225" s="34"/>
      <c r="PYC225" s="36"/>
      <c r="PYD225" s="36"/>
      <c r="PYE225" s="37"/>
      <c r="PYF225" s="37"/>
      <c r="PYG225" s="38"/>
      <c r="PYH225" s="38"/>
      <c r="PYI225" s="39"/>
      <c r="PYJ225" s="34"/>
      <c r="PYK225" s="34"/>
      <c r="PYL225" s="34"/>
      <c r="PYM225" s="35"/>
      <c r="PYN225" s="35"/>
      <c r="PYO225" s="35"/>
      <c r="PYP225" s="35"/>
      <c r="PYQ225" s="35"/>
      <c r="PYR225" s="34"/>
      <c r="PYS225" s="34"/>
      <c r="PYT225" s="36"/>
      <c r="PYU225" s="36"/>
      <c r="PYV225" s="37"/>
      <c r="PYW225" s="37"/>
      <c r="PYX225" s="38"/>
      <c r="PYY225" s="38"/>
      <c r="PYZ225" s="39"/>
      <c r="PZA225" s="34"/>
      <c r="PZB225" s="34"/>
      <c r="PZC225" s="34"/>
      <c r="PZD225" s="35"/>
      <c r="PZE225" s="35"/>
      <c r="PZF225" s="35"/>
      <c r="PZG225" s="35"/>
      <c r="PZH225" s="35"/>
      <c r="PZI225" s="34"/>
      <c r="PZJ225" s="34"/>
      <c r="PZK225" s="36"/>
      <c r="PZL225" s="36"/>
      <c r="PZM225" s="37"/>
      <c r="PZN225" s="37"/>
      <c r="PZO225" s="38"/>
      <c r="PZP225" s="38"/>
      <c r="PZQ225" s="39"/>
      <c r="PZR225" s="34"/>
      <c r="PZS225" s="34"/>
      <c r="PZT225" s="34"/>
      <c r="PZU225" s="35"/>
      <c r="PZV225" s="35"/>
      <c r="PZW225" s="35"/>
      <c r="PZX225" s="35"/>
      <c r="PZY225" s="35"/>
      <c r="PZZ225" s="34"/>
      <c r="QAA225" s="34"/>
      <c r="QAB225" s="36"/>
      <c r="QAC225" s="36"/>
      <c r="QAD225" s="37"/>
      <c r="QAE225" s="37"/>
      <c r="QAF225" s="38"/>
      <c r="QAG225" s="38"/>
      <c r="QAH225" s="39"/>
      <c r="QAI225" s="34"/>
      <c r="QAJ225" s="34"/>
      <c r="QAK225" s="34"/>
      <c r="QAL225" s="35"/>
      <c r="QAM225" s="35"/>
      <c r="QAN225" s="35"/>
      <c r="QAO225" s="35"/>
      <c r="QAP225" s="35"/>
      <c r="QAQ225" s="34"/>
      <c r="QAR225" s="34"/>
      <c r="QAS225" s="36"/>
      <c r="QAT225" s="36"/>
      <c r="QAU225" s="37"/>
      <c r="QAV225" s="37"/>
      <c r="QAW225" s="38"/>
      <c r="QAX225" s="38"/>
      <c r="QAY225" s="39"/>
      <c r="QAZ225" s="34"/>
      <c r="QBA225" s="34"/>
      <c r="QBB225" s="34"/>
      <c r="QBC225" s="35"/>
      <c r="QBD225" s="35"/>
      <c r="QBE225" s="35"/>
      <c r="QBF225" s="35"/>
      <c r="QBG225" s="35"/>
      <c r="QBH225" s="34"/>
      <c r="QBI225" s="34"/>
      <c r="QBJ225" s="36"/>
      <c r="QBK225" s="36"/>
      <c r="QBL225" s="37"/>
      <c r="QBM225" s="37"/>
      <c r="QBN225" s="38"/>
      <c r="QBO225" s="38"/>
      <c r="QBP225" s="39"/>
      <c r="QBQ225" s="34"/>
      <c r="QBR225" s="34"/>
      <c r="QBS225" s="34"/>
      <c r="QBT225" s="35"/>
      <c r="QBU225" s="35"/>
      <c r="QBV225" s="35"/>
      <c r="QBW225" s="35"/>
      <c r="QBX225" s="35"/>
      <c r="QBY225" s="34"/>
      <c r="QBZ225" s="34"/>
      <c r="QCA225" s="36"/>
      <c r="QCB225" s="36"/>
      <c r="QCC225" s="37"/>
      <c r="QCD225" s="37"/>
      <c r="QCE225" s="38"/>
      <c r="QCF225" s="38"/>
      <c r="QCG225" s="39"/>
      <c r="QCH225" s="34"/>
      <c r="QCI225" s="34"/>
      <c r="QCJ225" s="34"/>
      <c r="QCK225" s="35"/>
      <c r="QCL225" s="35"/>
      <c r="QCM225" s="35"/>
      <c r="QCN225" s="35"/>
      <c r="QCO225" s="35"/>
      <c r="QCP225" s="34"/>
      <c r="QCQ225" s="34"/>
      <c r="QCR225" s="36"/>
      <c r="QCS225" s="36"/>
      <c r="QCT225" s="37"/>
      <c r="QCU225" s="37"/>
      <c r="QCV225" s="38"/>
      <c r="QCW225" s="38"/>
      <c r="QCX225" s="39"/>
      <c r="QCY225" s="34"/>
      <c r="QCZ225" s="34"/>
      <c r="QDA225" s="34"/>
      <c r="QDB225" s="35"/>
      <c r="QDC225" s="35"/>
      <c r="QDD225" s="35"/>
      <c r="QDE225" s="35"/>
      <c r="QDF225" s="35"/>
      <c r="QDG225" s="34"/>
      <c r="QDH225" s="34"/>
      <c r="QDI225" s="36"/>
      <c r="QDJ225" s="36"/>
      <c r="QDK225" s="37"/>
      <c r="QDL225" s="37"/>
      <c r="QDM225" s="38"/>
      <c r="QDN225" s="38"/>
      <c r="QDO225" s="39"/>
      <c r="QDP225" s="34"/>
      <c r="QDQ225" s="34"/>
      <c r="QDR225" s="34"/>
      <c r="QDS225" s="35"/>
      <c r="QDT225" s="35"/>
      <c r="QDU225" s="35"/>
      <c r="QDV225" s="35"/>
      <c r="QDW225" s="35"/>
      <c r="QDX225" s="34"/>
      <c r="QDY225" s="34"/>
      <c r="QDZ225" s="36"/>
      <c r="QEA225" s="36"/>
      <c r="QEB225" s="37"/>
      <c r="QEC225" s="37"/>
      <c r="QED225" s="38"/>
      <c r="QEE225" s="38"/>
      <c r="QEF225" s="39"/>
      <c r="QEG225" s="34"/>
      <c r="QEH225" s="34"/>
      <c r="QEI225" s="34"/>
      <c r="QEJ225" s="35"/>
      <c r="QEK225" s="35"/>
      <c r="QEL225" s="35"/>
      <c r="QEM225" s="35"/>
      <c r="QEN225" s="35"/>
      <c r="QEO225" s="34"/>
      <c r="QEP225" s="34"/>
      <c r="QEQ225" s="36"/>
      <c r="QER225" s="36"/>
      <c r="QES225" s="37"/>
      <c r="QET225" s="37"/>
      <c r="QEU225" s="38"/>
      <c r="QEV225" s="38"/>
      <c r="QEW225" s="39"/>
      <c r="QEX225" s="34"/>
      <c r="QEY225" s="34"/>
      <c r="QEZ225" s="34"/>
      <c r="QFA225" s="35"/>
      <c r="QFB225" s="35"/>
      <c r="QFC225" s="35"/>
      <c r="QFD225" s="35"/>
      <c r="QFE225" s="35"/>
      <c r="QFF225" s="34"/>
      <c r="QFG225" s="34"/>
      <c r="QFH225" s="36"/>
      <c r="QFI225" s="36"/>
      <c r="QFJ225" s="37"/>
      <c r="QFK225" s="37"/>
      <c r="QFL225" s="38"/>
      <c r="QFM225" s="38"/>
      <c r="QFN225" s="39"/>
      <c r="QFO225" s="34"/>
      <c r="QFP225" s="34"/>
      <c r="QFQ225" s="34"/>
      <c r="QFR225" s="35"/>
      <c r="QFS225" s="35"/>
      <c r="QFT225" s="35"/>
      <c r="QFU225" s="35"/>
      <c r="QFV225" s="35"/>
      <c r="QFW225" s="34"/>
      <c r="QFX225" s="34"/>
      <c r="QFY225" s="36"/>
      <c r="QFZ225" s="36"/>
      <c r="QGA225" s="37"/>
      <c r="QGB225" s="37"/>
      <c r="QGC225" s="38"/>
      <c r="QGD225" s="38"/>
      <c r="QGE225" s="39"/>
      <c r="QGF225" s="34"/>
      <c r="QGG225" s="34"/>
      <c r="QGH225" s="34"/>
      <c r="QGI225" s="35"/>
      <c r="QGJ225" s="35"/>
      <c r="QGK225" s="35"/>
      <c r="QGL225" s="35"/>
      <c r="QGM225" s="35"/>
      <c r="QGN225" s="34"/>
      <c r="QGO225" s="34"/>
      <c r="QGP225" s="36"/>
      <c r="QGQ225" s="36"/>
      <c r="QGR225" s="37"/>
      <c r="QGS225" s="37"/>
      <c r="QGT225" s="38"/>
      <c r="QGU225" s="38"/>
      <c r="QGV225" s="39"/>
      <c r="QGW225" s="34"/>
      <c r="QGX225" s="34"/>
      <c r="QGY225" s="34"/>
      <c r="QGZ225" s="35"/>
      <c r="QHA225" s="35"/>
      <c r="QHB225" s="35"/>
      <c r="QHC225" s="35"/>
      <c r="QHD225" s="35"/>
      <c r="QHE225" s="34"/>
      <c r="QHF225" s="34"/>
      <c r="QHG225" s="36"/>
      <c r="QHH225" s="36"/>
      <c r="QHI225" s="37"/>
      <c r="QHJ225" s="37"/>
      <c r="QHK225" s="38"/>
      <c r="QHL225" s="38"/>
      <c r="QHM225" s="39"/>
      <c r="QHN225" s="34"/>
      <c r="QHO225" s="34"/>
      <c r="QHP225" s="34"/>
      <c r="QHQ225" s="35"/>
      <c r="QHR225" s="35"/>
      <c r="QHS225" s="35"/>
      <c r="QHT225" s="35"/>
      <c r="QHU225" s="35"/>
      <c r="QHV225" s="34"/>
      <c r="QHW225" s="34"/>
      <c r="QHX225" s="36"/>
      <c r="QHY225" s="36"/>
      <c r="QHZ225" s="37"/>
      <c r="QIA225" s="37"/>
      <c r="QIB225" s="38"/>
      <c r="QIC225" s="38"/>
      <c r="QID225" s="39"/>
      <c r="QIE225" s="34"/>
      <c r="QIF225" s="34"/>
      <c r="QIG225" s="34"/>
      <c r="QIH225" s="35"/>
      <c r="QII225" s="35"/>
      <c r="QIJ225" s="35"/>
      <c r="QIK225" s="35"/>
      <c r="QIL225" s="35"/>
      <c r="QIM225" s="34"/>
      <c r="QIN225" s="34"/>
      <c r="QIO225" s="36"/>
      <c r="QIP225" s="36"/>
      <c r="QIQ225" s="37"/>
      <c r="QIR225" s="37"/>
      <c r="QIS225" s="38"/>
      <c r="QIT225" s="38"/>
      <c r="QIU225" s="39"/>
      <c r="QIV225" s="34"/>
      <c r="QIW225" s="34"/>
      <c r="QIX225" s="34"/>
      <c r="QIY225" s="35"/>
      <c r="QIZ225" s="35"/>
      <c r="QJA225" s="35"/>
      <c r="QJB225" s="35"/>
      <c r="QJC225" s="35"/>
      <c r="QJD225" s="34"/>
      <c r="QJE225" s="34"/>
      <c r="QJF225" s="36"/>
      <c r="QJG225" s="36"/>
      <c r="QJH225" s="37"/>
      <c r="QJI225" s="37"/>
      <c r="QJJ225" s="38"/>
      <c r="QJK225" s="38"/>
      <c r="QJL225" s="39"/>
      <c r="QJM225" s="34"/>
      <c r="QJN225" s="34"/>
      <c r="QJO225" s="34"/>
      <c r="QJP225" s="35"/>
      <c r="QJQ225" s="35"/>
      <c r="QJR225" s="35"/>
      <c r="QJS225" s="35"/>
      <c r="QJT225" s="35"/>
      <c r="QJU225" s="34"/>
      <c r="QJV225" s="34"/>
      <c r="QJW225" s="36"/>
      <c r="QJX225" s="36"/>
      <c r="QJY225" s="37"/>
      <c r="QJZ225" s="37"/>
      <c r="QKA225" s="38"/>
      <c r="QKB225" s="38"/>
      <c r="QKC225" s="39"/>
      <c r="QKD225" s="34"/>
      <c r="QKE225" s="34"/>
      <c r="QKF225" s="34"/>
      <c r="QKG225" s="35"/>
      <c r="QKH225" s="35"/>
      <c r="QKI225" s="35"/>
      <c r="QKJ225" s="35"/>
      <c r="QKK225" s="35"/>
      <c r="QKL225" s="34"/>
      <c r="QKM225" s="34"/>
      <c r="QKN225" s="36"/>
      <c r="QKO225" s="36"/>
      <c r="QKP225" s="37"/>
      <c r="QKQ225" s="37"/>
      <c r="QKR225" s="38"/>
      <c r="QKS225" s="38"/>
      <c r="QKT225" s="39"/>
      <c r="QKU225" s="34"/>
      <c r="QKV225" s="34"/>
      <c r="QKW225" s="34"/>
      <c r="QKX225" s="35"/>
      <c r="QKY225" s="35"/>
      <c r="QKZ225" s="35"/>
      <c r="QLA225" s="35"/>
      <c r="QLB225" s="35"/>
      <c r="QLC225" s="34"/>
      <c r="QLD225" s="34"/>
      <c r="QLE225" s="36"/>
      <c r="QLF225" s="36"/>
      <c r="QLG225" s="37"/>
      <c r="QLH225" s="37"/>
      <c r="QLI225" s="38"/>
      <c r="QLJ225" s="38"/>
      <c r="QLK225" s="39"/>
      <c r="QLL225" s="34"/>
      <c r="QLM225" s="34"/>
      <c r="QLN225" s="34"/>
      <c r="QLO225" s="35"/>
      <c r="QLP225" s="35"/>
      <c r="QLQ225" s="35"/>
      <c r="QLR225" s="35"/>
      <c r="QLS225" s="35"/>
      <c r="QLT225" s="34"/>
      <c r="QLU225" s="34"/>
      <c r="QLV225" s="36"/>
      <c r="QLW225" s="36"/>
      <c r="QLX225" s="37"/>
      <c r="QLY225" s="37"/>
      <c r="QLZ225" s="38"/>
      <c r="QMA225" s="38"/>
      <c r="QMB225" s="39"/>
      <c r="QMC225" s="34"/>
      <c r="QMD225" s="34"/>
      <c r="QME225" s="34"/>
      <c r="QMF225" s="35"/>
      <c r="QMG225" s="35"/>
      <c r="QMH225" s="35"/>
      <c r="QMI225" s="35"/>
      <c r="QMJ225" s="35"/>
      <c r="QMK225" s="34"/>
      <c r="QML225" s="34"/>
      <c r="QMM225" s="36"/>
      <c r="QMN225" s="36"/>
      <c r="QMO225" s="37"/>
      <c r="QMP225" s="37"/>
      <c r="QMQ225" s="38"/>
      <c r="QMR225" s="38"/>
      <c r="QMS225" s="39"/>
      <c r="QMT225" s="34"/>
      <c r="QMU225" s="34"/>
      <c r="QMV225" s="34"/>
      <c r="QMW225" s="35"/>
      <c r="QMX225" s="35"/>
      <c r="QMY225" s="35"/>
      <c r="QMZ225" s="35"/>
      <c r="QNA225" s="35"/>
      <c r="QNB225" s="34"/>
      <c r="QNC225" s="34"/>
      <c r="QND225" s="36"/>
      <c r="QNE225" s="36"/>
      <c r="QNF225" s="37"/>
      <c r="QNG225" s="37"/>
      <c r="QNH225" s="38"/>
      <c r="QNI225" s="38"/>
      <c r="QNJ225" s="39"/>
      <c r="QNK225" s="34"/>
      <c r="QNL225" s="34"/>
      <c r="QNM225" s="34"/>
      <c r="QNN225" s="35"/>
      <c r="QNO225" s="35"/>
      <c r="QNP225" s="35"/>
      <c r="QNQ225" s="35"/>
      <c r="QNR225" s="35"/>
      <c r="QNS225" s="34"/>
      <c r="QNT225" s="34"/>
      <c r="QNU225" s="36"/>
      <c r="QNV225" s="36"/>
      <c r="QNW225" s="37"/>
      <c r="QNX225" s="37"/>
      <c r="QNY225" s="38"/>
      <c r="QNZ225" s="38"/>
      <c r="QOA225" s="39"/>
      <c r="QOB225" s="34"/>
      <c r="QOC225" s="34"/>
      <c r="QOD225" s="34"/>
      <c r="QOE225" s="35"/>
      <c r="QOF225" s="35"/>
      <c r="QOG225" s="35"/>
      <c r="QOH225" s="35"/>
      <c r="QOI225" s="35"/>
      <c r="QOJ225" s="34"/>
      <c r="QOK225" s="34"/>
      <c r="QOL225" s="36"/>
      <c r="QOM225" s="36"/>
      <c r="QON225" s="37"/>
      <c r="QOO225" s="37"/>
      <c r="QOP225" s="38"/>
      <c r="QOQ225" s="38"/>
      <c r="QOR225" s="39"/>
      <c r="QOS225" s="34"/>
      <c r="QOT225" s="34"/>
      <c r="QOU225" s="34"/>
      <c r="QOV225" s="35"/>
      <c r="QOW225" s="35"/>
      <c r="QOX225" s="35"/>
      <c r="QOY225" s="35"/>
      <c r="QOZ225" s="35"/>
      <c r="QPA225" s="34"/>
      <c r="QPB225" s="34"/>
      <c r="QPC225" s="36"/>
      <c r="QPD225" s="36"/>
      <c r="QPE225" s="37"/>
      <c r="QPF225" s="37"/>
      <c r="QPG225" s="38"/>
      <c r="QPH225" s="38"/>
      <c r="QPI225" s="39"/>
      <c r="QPJ225" s="34"/>
      <c r="QPK225" s="34"/>
      <c r="QPL225" s="34"/>
      <c r="QPM225" s="35"/>
      <c r="QPN225" s="35"/>
      <c r="QPO225" s="35"/>
      <c r="QPP225" s="35"/>
      <c r="QPQ225" s="35"/>
      <c r="QPR225" s="34"/>
      <c r="QPS225" s="34"/>
      <c r="QPT225" s="36"/>
      <c r="QPU225" s="36"/>
      <c r="QPV225" s="37"/>
      <c r="QPW225" s="37"/>
      <c r="QPX225" s="38"/>
      <c r="QPY225" s="38"/>
      <c r="QPZ225" s="39"/>
      <c r="QQA225" s="34"/>
      <c r="QQB225" s="34"/>
      <c r="QQC225" s="34"/>
      <c r="QQD225" s="35"/>
      <c r="QQE225" s="35"/>
      <c r="QQF225" s="35"/>
      <c r="QQG225" s="35"/>
      <c r="QQH225" s="35"/>
      <c r="QQI225" s="34"/>
      <c r="QQJ225" s="34"/>
      <c r="QQK225" s="36"/>
      <c r="QQL225" s="36"/>
      <c r="QQM225" s="37"/>
      <c r="QQN225" s="37"/>
      <c r="QQO225" s="38"/>
      <c r="QQP225" s="38"/>
      <c r="QQQ225" s="39"/>
      <c r="QQR225" s="34"/>
      <c r="QQS225" s="34"/>
      <c r="QQT225" s="34"/>
      <c r="QQU225" s="35"/>
      <c r="QQV225" s="35"/>
      <c r="QQW225" s="35"/>
      <c r="QQX225" s="35"/>
      <c r="QQY225" s="35"/>
      <c r="QQZ225" s="34"/>
      <c r="QRA225" s="34"/>
      <c r="QRB225" s="36"/>
      <c r="QRC225" s="36"/>
      <c r="QRD225" s="37"/>
      <c r="QRE225" s="37"/>
      <c r="QRF225" s="38"/>
      <c r="QRG225" s="38"/>
      <c r="QRH225" s="39"/>
      <c r="QRI225" s="34"/>
      <c r="QRJ225" s="34"/>
      <c r="QRK225" s="34"/>
      <c r="QRL225" s="35"/>
      <c r="QRM225" s="35"/>
      <c r="QRN225" s="35"/>
      <c r="QRO225" s="35"/>
      <c r="QRP225" s="35"/>
      <c r="QRQ225" s="34"/>
      <c r="QRR225" s="34"/>
      <c r="QRS225" s="36"/>
      <c r="QRT225" s="36"/>
      <c r="QRU225" s="37"/>
      <c r="QRV225" s="37"/>
      <c r="QRW225" s="38"/>
      <c r="QRX225" s="38"/>
      <c r="QRY225" s="39"/>
      <c r="QRZ225" s="34"/>
      <c r="QSA225" s="34"/>
      <c r="QSB225" s="34"/>
      <c r="QSC225" s="35"/>
      <c r="QSD225" s="35"/>
      <c r="QSE225" s="35"/>
      <c r="QSF225" s="35"/>
      <c r="QSG225" s="35"/>
      <c r="QSH225" s="34"/>
      <c r="QSI225" s="34"/>
      <c r="QSJ225" s="36"/>
      <c r="QSK225" s="36"/>
      <c r="QSL225" s="37"/>
      <c r="QSM225" s="37"/>
      <c r="QSN225" s="38"/>
      <c r="QSO225" s="38"/>
      <c r="QSP225" s="39"/>
      <c r="QSQ225" s="34"/>
      <c r="QSR225" s="34"/>
      <c r="QSS225" s="34"/>
      <c r="QST225" s="35"/>
      <c r="QSU225" s="35"/>
      <c r="QSV225" s="35"/>
      <c r="QSW225" s="35"/>
      <c r="QSX225" s="35"/>
      <c r="QSY225" s="34"/>
      <c r="QSZ225" s="34"/>
      <c r="QTA225" s="36"/>
      <c r="QTB225" s="36"/>
      <c r="QTC225" s="37"/>
      <c r="QTD225" s="37"/>
      <c r="QTE225" s="38"/>
      <c r="QTF225" s="38"/>
      <c r="QTG225" s="39"/>
      <c r="QTH225" s="34"/>
      <c r="QTI225" s="34"/>
      <c r="QTJ225" s="34"/>
      <c r="QTK225" s="35"/>
      <c r="QTL225" s="35"/>
      <c r="QTM225" s="35"/>
      <c r="QTN225" s="35"/>
      <c r="QTO225" s="35"/>
      <c r="QTP225" s="34"/>
      <c r="QTQ225" s="34"/>
      <c r="QTR225" s="36"/>
      <c r="QTS225" s="36"/>
      <c r="QTT225" s="37"/>
      <c r="QTU225" s="37"/>
      <c r="QTV225" s="38"/>
      <c r="QTW225" s="38"/>
      <c r="QTX225" s="39"/>
      <c r="QTY225" s="34"/>
      <c r="QTZ225" s="34"/>
      <c r="QUA225" s="34"/>
      <c r="QUB225" s="35"/>
      <c r="QUC225" s="35"/>
      <c r="QUD225" s="35"/>
      <c r="QUE225" s="35"/>
      <c r="QUF225" s="35"/>
      <c r="QUG225" s="34"/>
      <c r="QUH225" s="34"/>
      <c r="QUI225" s="36"/>
      <c r="QUJ225" s="36"/>
      <c r="QUK225" s="37"/>
      <c r="QUL225" s="37"/>
      <c r="QUM225" s="38"/>
      <c r="QUN225" s="38"/>
      <c r="QUO225" s="39"/>
      <c r="QUP225" s="34"/>
      <c r="QUQ225" s="34"/>
      <c r="QUR225" s="34"/>
      <c r="QUS225" s="35"/>
      <c r="QUT225" s="35"/>
      <c r="QUU225" s="35"/>
      <c r="QUV225" s="35"/>
      <c r="QUW225" s="35"/>
      <c r="QUX225" s="34"/>
      <c r="QUY225" s="34"/>
      <c r="QUZ225" s="36"/>
      <c r="QVA225" s="36"/>
      <c r="QVB225" s="37"/>
      <c r="QVC225" s="37"/>
      <c r="QVD225" s="38"/>
      <c r="QVE225" s="38"/>
      <c r="QVF225" s="39"/>
      <c r="QVG225" s="34"/>
      <c r="QVH225" s="34"/>
      <c r="QVI225" s="34"/>
      <c r="QVJ225" s="35"/>
      <c r="QVK225" s="35"/>
      <c r="QVL225" s="35"/>
      <c r="QVM225" s="35"/>
      <c r="QVN225" s="35"/>
      <c r="QVO225" s="34"/>
      <c r="QVP225" s="34"/>
      <c r="QVQ225" s="36"/>
      <c r="QVR225" s="36"/>
      <c r="QVS225" s="37"/>
      <c r="QVT225" s="37"/>
      <c r="QVU225" s="38"/>
      <c r="QVV225" s="38"/>
      <c r="QVW225" s="39"/>
      <c r="QVX225" s="34"/>
      <c r="QVY225" s="34"/>
      <c r="QVZ225" s="34"/>
      <c r="QWA225" s="35"/>
      <c r="QWB225" s="35"/>
      <c r="QWC225" s="35"/>
      <c r="QWD225" s="35"/>
      <c r="QWE225" s="35"/>
      <c r="QWF225" s="34"/>
      <c r="QWG225" s="34"/>
      <c r="QWH225" s="36"/>
      <c r="QWI225" s="36"/>
      <c r="QWJ225" s="37"/>
      <c r="QWK225" s="37"/>
      <c r="QWL225" s="38"/>
      <c r="QWM225" s="38"/>
      <c r="QWN225" s="39"/>
      <c r="QWO225" s="34"/>
      <c r="QWP225" s="34"/>
      <c r="QWQ225" s="34"/>
      <c r="QWR225" s="35"/>
      <c r="QWS225" s="35"/>
      <c r="QWT225" s="35"/>
      <c r="QWU225" s="35"/>
      <c r="QWV225" s="35"/>
      <c r="QWW225" s="34"/>
      <c r="QWX225" s="34"/>
      <c r="QWY225" s="36"/>
      <c r="QWZ225" s="36"/>
      <c r="QXA225" s="37"/>
      <c r="QXB225" s="37"/>
      <c r="QXC225" s="38"/>
      <c r="QXD225" s="38"/>
      <c r="QXE225" s="39"/>
      <c r="QXF225" s="34"/>
      <c r="QXG225" s="34"/>
      <c r="QXH225" s="34"/>
      <c r="QXI225" s="35"/>
      <c r="QXJ225" s="35"/>
      <c r="QXK225" s="35"/>
      <c r="QXL225" s="35"/>
      <c r="QXM225" s="35"/>
      <c r="QXN225" s="34"/>
      <c r="QXO225" s="34"/>
      <c r="QXP225" s="36"/>
      <c r="QXQ225" s="36"/>
      <c r="QXR225" s="37"/>
      <c r="QXS225" s="37"/>
      <c r="QXT225" s="38"/>
      <c r="QXU225" s="38"/>
      <c r="QXV225" s="39"/>
      <c r="QXW225" s="34"/>
      <c r="QXX225" s="34"/>
      <c r="QXY225" s="34"/>
      <c r="QXZ225" s="35"/>
      <c r="QYA225" s="35"/>
      <c r="QYB225" s="35"/>
      <c r="QYC225" s="35"/>
      <c r="QYD225" s="35"/>
      <c r="QYE225" s="34"/>
      <c r="QYF225" s="34"/>
      <c r="QYG225" s="36"/>
      <c r="QYH225" s="36"/>
      <c r="QYI225" s="37"/>
      <c r="QYJ225" s="37"/>
      <c r="QYK225" s="38"/>
      <c r="QYL225" s="38"/>
      <c r="QYM225" s="39"/>
      <c r="QYN225" s="34"/>
      <c r="QYO225" s="34"/>
      <c r="QYP225" s="34"/>
      <c r="QYQ225" s="35"/>
      <c r="QYR225" s="35"/>
      <c r="QYS225" s="35"/>
      <c r="QYT225" s="35"/>
      <c r="QYU225" s="35"/>
      <c r="QYV225" s="34"/>
      <c r="QYW225" s="34"/>
      <c r="QYX225" s="36"/>
      <c r="QYY225" s="36"/>
      <c r="QYZ225" s="37"/>
      <c r="QZA225" s="37"/>
      <c r="QZB225" s="38"/>
      <c r="QZC225" s="38"/>
      <c r="QZD225" s="39"/>
      <c r="QZE225" s="34"/>
      <c r="QZF225" s="34"/>
      <c r="QZG225" s="34"/>
      <c r="QZH225" s="35"/>
      <c r="QZI225" s="35"/>
      <c r="QZJ225" s="35"/>
      <c r="QZK225" s="35"/>
      <c r="QZL225" s="35"/>
      <c r="QZM225" s="34"/>
      <c r="QZN225" s="34"/>
      <c r="QZO225" s="36"/>
      <c r="QZP225" s="36"/>
      <c r="QZQ225" s="37"/>
      <c r="QZR225" s="37"/>
      <c r="QZS225" s="38"/>
      <c r="QZT225" s="38"/>
      <c r="QZU225" s="39"/>
      <c r="QZV225" s="34"/>
      <c r="QZW225" s="34"/>
      <c r="QZX225" s="34"/>
      <c r="QZY225" s="35"/>
      <c r="QZZ225" s="35"/>
      <c r="RAA225" s="35"/>
      <c r="RAB225" s="35"/>
      <c r="RAC225" s="35"/>
      <c r="RAD225" s="34"/>
      <c r="RAE225" s="34"/>
      <c r="RAF225" s="36"/>
      <c r="RAG225" s="36"/>
      <c r="RAH225" s="37"/>
      <c r="RAI225" s="37"/>
      <c r="RAJ225" s="38"/>
      <c r="RAK225" s="38"/>
      <c r="RAL225" s="39"/>
      <c r="RAM225" s="34"/>
      <c r="RAN225" s="34"/>
      <c r="RAO225" s="34"/>
      <c r="RAP225" s="35"/>
      <c r="RAQ225" s="35"/>
      <c r="RAR225" s="35"/>
      <c r="RAS225" s="35"/>
      <c r="RAT225" s="35"/>
      <c r="RAU225" s="34"/>
      <c r="RAV225" s="34"/>
      <c r="RAW225" s="36"/>
      <c r="RAX225" s="36"/>
      <c r="RAY225" s="37"/>
      <c r="RAZ225" s="37"/>
      <c r="RBA225" s="38"/>
      <c r="RBB225" s="38"/>
      <c r="RBC225" s="39"/>
      <c r="RBD225" s="34"/>
      <c r="RBE225" s="34"/>
      <c r="RBF225" s="34"/>
      <c r="RBG225" s="35"/>
      <c r="RBH225" s="35"/>
      <c r="RBI225" s="35"/>
      <c r="RBJ225" s="35"/>
      <c r="RBK225" s="35"/>
      <c r="RBL225" s="34"/>
      <c r="RBM225" s="34"/>
      <c r="RBN225" s="36"/>
      <c r="RBO225" s="36"/>
      <c r="RBP225" s="37"/>
      <c r="RBQ225" s="37"/>
      <c r="RBR225" s="38"/>
      <c r="RBS225" s="38"/>
      <c r="RBT225" s="39"/>
      <c r="RBU225" s="34"/>
      <c r="RBV225" s="34"/>
      <c r="RBW225" s="34"/>
      <c r="RBX225" s="35"/>
      <c r="RBY225" s="35"/>
      <c r="RBZ225" s="35"/>
      <c r="RCA225" s="35"/>
      <c r="RCB225" s="35"/>
      <c r="RCC225" s="34"/>
      <c r="RCD225" s="34"/>
      <c r="RCE225" s="36"/>
      <c r="RCF225" s="36"/>
      <c r="RCG225" s="37"/>
      <c r="RCH225" s="37"/>
      <c r="RCI225" s="38"/>
      <c r="RCJ225" s="38"/>
      <c r="RCK225" s="39"/>
      <c r="RCL225" s="34"/>
      <c r="RCM225" s="34"/>
      <c r="RCN225" s="34"/>
      <c r="RCO225" s="35"/>
      <c r="RCP225" s="35"/>
      <c r="RCQ225" s="35"/>
      <c r="RCR225" s="35"/>
      <c r="RCS225" s="35"/>
      <c r="RCT225" s="34"/>
      <c r="RCU225" s="34"/>
      <c r="RCV225" s="36"/>
      <c r="RCW225" s="36"/>
      <c r="RCX225" s="37"/>
      <c r="RCY225" s="37"/>
      <c r="RCZ225" s="38"/>
      <c r="RDA225" s="38"/>
      <c r="RDB225" s="39"/>
      <c r="RDC225" s="34"/>
      <c r="RDD225" s="34"/>
      <c r="RDE225" s="34"/>
      <c r="RDF225" s="35"/>
      <c r="RDG225" s="35"/>
      <c r="RDH225" s="35"/>
      <c r="RDI225" s="35"/>
      <c r="RDJ225" s="35"/>
      <c r="RDK225" s="34"/>
      <c r="RDL225" s="34"/>
      <c r="RDM225" s="36"/>
      <c r="RDN225" s="36"/>
      <c r="RDO225" s="37"/>
      <c r="RDP225" s="37"/>
      <c r="RDQ225" s="38"/>
      <c r="RDR225" s="38"/>
      <c r="RDS225" s="39"/>
      <c r="RDT225" s="34"/>
      <c r="RDU225" s="34"/>
      <c r="RDV225" s="34"/>
      <c r="RDW225" s="35"/>
      <c r="RDX225" s="35"/>
      <c r="RDY225" s="35"/>
      <c r="RDZ225" s="35"/>
      <c r="REA225" s="35"/>
      <c r="REB225" s="34"/>
      <c r="REC225" s="34"/>
      <c r="RED225" s="36"/>
      <c r="REE225" s="36"/>
      <c r="REF225" s="37"/>
      <c r="REG225" s="37"/>
      <c r="REH225" s="38"/>
      <c r="REI225" s="38"/>
      <c r="REJ225" s="39"/>
      <c r="REK225" s="34"/>
      <c r="REL225" s="34"/>
      <c r="REM225" s="34"/>
      <c r="REN225" s="35"/>
      <c r="REO225" s="35"/>
      <c r="REP225" s="35"/>
      <c r="REQ225" s="35"/>
      <c r="RER225" s="35"/>
      <c r="RES225" s="34"/>
      <c r="RET225" s="34"/>
      <c r="REU225" s="36"/>
      <c r="REV225" s="36"/>
      <c r="REW225" s="37"/>
      <c r="REX225" s="37"/>
      <c r="REY225" s="38"/>
      <c r="REZ225" s="38"/>
      <c r="RFA225" s="39"/>
      <c r="RFB225" s="34"/>
      <c r="RFC225" s="34"/>
      <c r="RFD225" s="34"/>
      <c r="RFE225" s="35"/>
      <c r="RFF225" s="35"/>
      <c r="RFG225" s="35"/>
      <c r="RFH225" s="35"/>
      <c r="RFI225" s="35"/>
      <c r="RFJ225" s="34"/>
      <c r="RFK225" s="34"/>
      <c r="RFL225" s="36"/>
      <c r="RFM225" s="36"/>
      <c r="RFN225" s="37"/>
      <c r="RFO225" s="37"/>
      <c r="RFP225" s="38"/>
      <c r="RFQ225" s="38"/>
      <c r="RFR225" s="39"/>
      <c r="RFS225" s="34"/>
      <c r="RFT225" s="34"/>
      <c r="RFU225" s="34"/>
      <c r="RFV225" s="35"/>
      <c r="RFW225" s="35"/>
      <c r="RFX225" s="35"/>
      <c r="RFY225" s="35"/>
      <c r="RFZ225" s="35"/>
      <c r="RGA225" s="34"/>
      <c r="RGB225" s="34"/>
      <c r="RGC225" s="36"/>
      <c r="RGD225" s="36"/>
      <c r="RGE225" s="37"/>
      <c r="RGF225" s="37"/>
      <c r="RGG225" s="38"/>
      <c r="RGH225" s="38"/>
      <c r="RGI225" s="39"/>
      <c r="RGJ225" s="34"/>
      <c r="RGK225" s="34"/>
      <c r="RGL225" s="34"/>
      <c r="RGM225" s="35"/>
      <c r="RGN225" s="35"/>
      <c r="RGO225" s="35"/>
      <c r="RGP225" s="35"/>
      <c r="RGQ225" s="35"/>
      <c r="RGR225" s="34"/>
      <c r="RGS225" s="34"/>
      <c r="RGT225" s="36"/>
      <c r="RGU225" s="36"/>
      <c r="RGV225" s="37"/>
      <c r="RGW225" s="37"/>
      <c r="RGX225" s="38"/>
      <c r="RGY225" s="38"/>
      <c r="RGZ225" s="39"/>
      <c r="RHA225" s="34"/>
      <c r="RHB225" s="34"/>
      <c r="RHC225" s="34"/>
      <c r="RHD225" s="35"/>
      <c r="RHE225" s="35"/>
      <c r="RHF225" s="35"/>
      <c r="RHG225" s="35"/>
      <c r="RHH225" s="35"/>
      <c r="RHI225" s="34"/>
      <c r="RHJ225" s="34"/>
      <c r="RHK225" s="36"/>
      <c r="RHL225" s="36"/>
      <c r="RHM225" s="37"/>
      <c r="RHN225" s="37"/>
      <c r="RHO225" s="38"/>
      <c r="RHP225" s="38"/>
      <c r="RHQ225" s="39"/>
      <c r="RHR225" s="34"/>
      <c r="RHS225" s="34"/>
      <c r="RHT225" s="34"/>
      <c r="RHU225" s="35"/>
      <c r="RHV225" s="35"/>
      <c r="RHW225" s="35"/>
      <c r="RHX225" s="35"/>
      <c r="RHY225" s="35"/>
      <c r="RHZ225" s="34"/>
      <c r="RIA225" s="34"/>
      <c r="RIB225" s="36"/>
      <c r="RIC225" s="36"/>
      <c r="RID225" s="37"/>
      <c r="RIE225" s="37"/>
      <c r="RIF225" s="38"/>
      <c r="RIG225" s="38"/>
      <c r="RIH225" s="39"/>
      <c r="RII225" s="34"/>
      <c r="RIJ225" s="34"/>
      <c r="RIK225" s="34"/>
      <c r="RIL225" s="35"/>
      <c r="RIM225" s="35"/>
      <c r="RIN225" s="35"/>
      <c r="RIO225" s="35"/>
      <c r="RIP225" s="35"/>
      <c r="RIQ225" s="34"/>
      <c r="RIR225" s="34"/>
      <c r="RIS225" s="36"/>
      <c r="RIT225" s="36"/>
      <c r="RIU225" s="37"/>
      <c r="RIV225" s="37"/>
      <c r="RIW225" s="38"/>
      <c r="RIX225" s="38"/>
      <c r="RIY225" s="39"/>
      <c r="RIZ225" s="34"/>
      <c r="RJA225" s="34"/>
      <c r="RJB225" s="34"/>
      <c r="RJC225" s="35"/>
      <c r="RJD225" s="35"/>
      <c r="RJE225" s="35"/>
      <c r="RJF225" s="35"/>
      <c r="RJG225" s="35"/>
      <c r="RJH225" s="34"/>
      <c r="RJI225" s="34"/>
      <c r="RJJ225" s="36"/>
      <c r="RJK225" s="36"/>
      <c r="RJL225" s="37"/>
      <c r="RJM225" s="37"/>
      <c r="RJN225" s="38"/>
      <c r="RJO225" s="38"/>
      <c r="RJP225" s="39"/>
      <c r="RJQ225" s="34"/>
      <c r="RJR225" s="34"/>
      <c r="RJS225" s="34"/>
      <c r="RJT225" s="35"/>
      <c r="RJU225" s="35"/>
      <c r="RJV225" s="35"/>
      <c r="RJW225" s="35"/>
      <c r="RJX225" s="35"/>
      <c r="RJY225" s="34"/>
      <c r="RJZ225" s="34"/>
      <c r="RKA225" s="36"/>
      <c r="RKB225" s="36"/>
      <c r="RKC225" s="37"/>
      <c r="RKD225" s="37"/>
      <c r="RKE225" s="38"/>
      <c r="RKF225" s="38"/>
      <c r="RKG225" s="39"/>
      <c r="RKH225" s="34"/>
      <c r="RKI225" s="34"/>
      <c r="RKJ225" s="34"/>
      <c r="RKK225" s="35"/>
      <c r="RKL225" s="35"/>
      <c r="RKM225" s="35"/>
      <c r="RKN225" s="35"/>
      <c r="RKO225" s="35"/>
      <c r="RKP225" s="34"/>
      <c r="RKQ225" s="34"/>
      <c r="RKR225" s="36"/>
      <c r="RKS225" s="36"/>
      <c r="RKT225" s="37"/>
      <c r="RKU225" s="37"/>
      <c r="RKV225" s="38"/>
      <c r="RKW225" s="38"/>
      <c r="RKX225" s="39"/>
      <c r="RKY225" s="34"/>
      <c r="RKZ225" s="34"/>
      <c r="RLA225" s="34"/>
      <c r="RLB225" s="35"/>
      <c r="RLC225" s="35"/>
      <c r="RLD225" s="35"/>
      <c r="RLE225" s="35"/>
      <c r="RLF225" s="35"/>
      <c r="RLG225" s="34"/>
      <c r="RLH225" s="34"/>
      <c r="RLI225" s="36"/>
      <c r="RLJ225" s="36"/>
      <c r="RLK225" s="37"/>
      <c r="RLL225" s="37"/>
      <c r="RLM225" s="38"/>
      <c r="RLN225" s="38"/>
      <c r="RLO225" s="39"/>
      <c r="RLP225" s="34"/>
      <c r="RLQ225" s="34"/>
      <c r="RLR225" s="34"/>
      <c r="RLS225" s="35"/>
      <c r="RLT225" s="35"/>
      <c r="RLU225" s="35"/>
      <c r="RLV225" s="35"/>
      <c r="RLW225" s="35"/>
      <c r="RLX225" s="34"/>
      <c r="RLY225" s="34"/>
      <c r="RLZ225" s="36"/>
      <c r="RMA225" s="36"/>
      <c r="RMB225" s="37"/>
      <c r="RMC225" s="37"/>
      <c r="RMD225" s="38"/>
      <c r="RME225" s="38"/>
      <c r="RMF225" s="39"/>
      <c r="RMG225" s="34"/>
      <c r="RMH225" s="34"/>
      <c r="RMI225" s="34"/>
      <c r="RMJ225" s="35"/>
      <c r="RMK225" s="35"/>
      <c r="RML225" s="35"/>
      <c r="RMM225" s="35"/>
      <c r="RMN225" s="35"/>
      <c r="RMO225" s="34"/>
      <c r="RMP225" s="34"/>
      <c r="RMQ225" s="36"/>
      <c r="RMR225" s="36"/>
      <c r="RMS225" s="37"/>
      <c r="RMT225" s="37"/>
      <c r="RMU225" s="38"/>
      <c r="RMV225" s="38"/>
      <c r="RMW225" s="39"/>
      <c r="RMX225" s="34"/>
      <c r="RMY225" s="34"/>
      <c r="RMZ225" s="34"/>
      <c r="RNA225" s="35"/>
      <c r="RNB225" s="35"/>
      <c r="RNC225" s="35"/>
      <c r="RND225" s="35"/>
      <c r="RNE225" s="35"/>
      <c r="RNF225" s="34"/>
      <c r="RNG225" s="34"/>
      <c r="RNH225" s="36"/>
      <c r="RNI225" s="36"/>
      <c r="RNJ225" s="37"/>
      <c r="RNK225" s="37"/>
      <c r="RNL225" s="38"/>
      <c r="RNM225" s="38"/>
      <c r="RNN225" s="39"/>
      <c r="RNO225" s="34"/>
      <c r="RNP225" s="34"/>
      <c r="RNQ225" s="34"/>
      <c r="RNR225" s="35"/>
      <c r="RNS225" s="35"/>
      <c r="RNT225" s="35"/>
      <c r="RNU225" s="35"/>
      <c r="RNV225" s="35"/>
      <c r="RNW225" s="34"/>
      <c r="RNX225" s="34"/>
      <c r="RNY225" s="36"/>
      <c r="RNZ225" s="36"/>
      <c r="ROA225" s="37"/>
      <c r="ROB225" s="37"/>
      <c r="ROC225" s="38"/>
      <c r="ROD225" s="38"/>
      <c r="ROE225" s="39"/>
      <c r="ROF225" s="34"/>
      <c r="ROG225" s="34"/>
      <c r="ROH225" s="34"/>
      <c r="ROI225" s="35"/>
      <c r="ROJ225" s="35"/>
      <c r="ROK225" s="35"/>
      <c r="ROL225" s="35"/>
      <c r="ROM225" s="35"/>
      <c r="RON225" s="34"/>
      <c r="ROO225" s="34"/>
      <c r="ROP225" s="36"/>
      <c r="ROQ225" s="36"/>
      <c r="ROR225" s="37"/>
      <c r="ROS225" s="37"/>
      <c r="ROT225" s="38"/>
      <c r="ROU225" s="38"/>
      <c r="ROV225" s="39"/>
      <c r="ROW225" s="34"/>
      <c r="ROX225" s="34"/>
      <c r="ROY225" s="34"/>
      <c r="ROZ225" s="35"/>
      <c r="RPA225" s="35"/>
      <c r="RPB225" s="35"/>
      <c r="RPC225" s="35"/>
      <c r="RPD225" s="35"/>
      <c r="RPE225" s="34"/>
      <c r="RPF225" s="34"/>
      <c r="RPG225" s="36"/>
      <c r="RPH225" s="36"/>
      <c r="RPI225" s="37"/>
      <c r="RPJ225" s="37"/>
      <c r="RPK225" s="38"/>
      <c r="RPL225" s="38"/>
      <c r="RPM225" s="39"/>
      <c r="RPN225" s="34"/>
      <c r="RPO225" s="34"/>
      <c r="RPP225" s="34"/>
      <c r="RPQ225" s="35"/>
      <c r="RPR225" s="35"/>
      <c r="RPS225" s="35"/>
      <c r="RPT225" s="35"/>
      <c r="RPU225" s="35"/>
      <c r="RPV225" s="34"/>
      <c r="RPW225" s="34"/>
      <c r="RPX225" s="36"/>
      <c r="RPY225" s="36"/>
      <c r="RPZ225" s="37"/>
      <c r="RQA225" s="37"/>
      <c r="RQB225" s="38"/>
      <c r="RQC225" s="38"/>
      <c r="RQD225" s="39"/>
      <c r="RQE225" s="34"/>
      <c r="RQF225" s="34"/>
      <c r="RQG225" s="34"/>
      <c r="RQH225" s="35"/>
      <c r="RQI225" s="35"/>
      <c r="RQJ225" s="35"/>
      <c r="RQK225" s="35"/>
      <c r="RQL225" s="35"/>
      <c r="RQM225" s="34"/>
      <c r="RQN225" s="34"/>
      <c r="RQO225" s="36"/>
      <c r="RQP225" s="36"/>
      <c r="RQQ225" s="37"/>
      <c r="RQR225" s="37"/>
      <c r="RQS225" s="38"/>
      <c r="RQT225" s="38"/>
      <c r="RQU225" s="39"/>
      <c r="RQV225" s="34"/>
      <c r="RQW225" s="34"/>
      <c r="RQX225" s="34"/>
      <c r="RQY225" s="35"/>
      <c r="RQZ225" s="35"/>
      <c r="RRA225" s="35"/>
      <c r="RRB225" s="35"/>
      <c r="RRC225" s="35"/>
      <c r="RRD225" s="34"/>
      <c r="RRE225" s="34"/>
      <c r="RRF225" s="36"/>
      <c r="RRG225" s="36"/>
      <c r="RRH225" s="37"/>
      <c r="RRI225" s="37"/>
      <c r="RRJ225" s="38"/>
      <c r="RRK225" s="38"/>
      <c r="RRL225" s="39"/>
      <c r="RRM225" s="34"/>
      <c r="RRN225" s="34"/>
      <c r="RRO225" s="34"/>
      <c r="RRP225" s="35"/>
      <c r="RRQ225" s="35"/>
      <c r="RRR225" s="35"/>
      <c r="RRS225" s="35"/>
      <c r="RRT225" s="35"/>
      <c r="RRU225" s="34"/>
      <c r="RRV225" s="34"/>
      <c r="RRW225" s="36"/>
      <c r="RRX225" s="36"/>
      <c r="RRY225" s="37"/>
      <c r="RRZ225" s="37"/>
      <c r="RSA225" s="38"/>
      <c r="RSB225" s="38"/>
      <c r="RSC225" s="39"/>
      <c r="RSD225" s="34"/>
      <c r="RSE225" s="34"/>
      <c r="RSF225" s="34"/>
      <c r="RSG225" s="35"/>
      <c r="RSH225" s="35"/>
      <c r="RSI225" s="35"/>
      <c r="RSJ225" s="35"/>
      <c r="RSK225" s="35"/>
      <c r="RSL225" s="34"/>
      <c r="RSM225" s="34"/>
      <c r="RSN225" s="36"/>
      <c r="RSO225" s="36"/>
      <c r="RSP225" s="37"/>
      <c r="RSQ225" s="37"/>
      <c r="RSR225" s="38"/>
      <c r="RSS225" s="38"/>
      <c r="RST225" s="39"/>
      <c r="RSU225" s="34"/>
      <c r="RSV225" s="34"/>
      <c r="RSW225" s="34"/>
      <c r="RSX225" s="35"/>
      <c r="RSY225" s="35"/>
      <c r="RSZ225" s="35"/>
      <c r="RTA225" s="35"/>
      <c r="RTB225" s="35"/>
      <c r="RTC225" s="34"/>
      <c r="RTD225" s="34"/>
      <c r="RTE225" s="36"/>
      <c r="RTF225" s="36"/>
      <c r="RTG225" s="37"/>
      <c r="RTH225" s="37"/>
      <c r="RTI225" s="38"/>
      <c r="RTJ225" s="38"/>
      <c r="RTK225" s="39"/>
      <c r="RTL225" s="34"/>
      <c r="RTM225" s="34"/>
      <c r="RTN225" s="34"/>
      <c r="RTO225" s="35"/>
      <c r="RTP225" s="35"/>
      <c r="RTQ225" s="35"/>
      <c r="RTR225" s="35"/>
      <c r="RTS225" s="35"/>
      <c r="RTT225" s="34"/>
      <c r="RTU225" s="34"/>
      <c r="RTV225" s="36"/>
      <c r="RTW225" s="36"/>
      <c r="RTX225" s="37"/>
      <c r="RTY225" s="37"/>
      <c r="RTZ225" s="38"/>
      <c r="RUA225" s="38"/>
      <c r="RUB225" s="39"/>
      <c r="RUC225" s="34"/>
      <c r="RUD225" s="34"/>
      <c r="RUE225" s="34"/>
      <c r="RUF225" s="35"/>
      <c r="RUG225" s="35"/>
      <c r="RUH225" s="35"/>
      <c r="RUI225" s="35"/>
      <c r="RUJ225" s="35"/>
      <c r="RUK225" s="34"/>
      <c r="RUL225" s="34"/>
      <c r="RUM225" s="36"/>
      <c r="RUN225" s="36"/>
      <c r="RUO225" s="37"/>
      <c r="RUP225" s="37"/>
      <c r="RUQ225" s="38"/>
      <c r="RUR225" s="38"/>
      <c r="RUS225" s="39"/>
      <c r="RUT225" s="34"/>
      <c r="RUU225" s="34"/>
      <c r="RUV225" s="34"/>
      <c r="RUW225" s="35"/>
      <c r="RUX225" s="35"/>
      <c r="RUY225" s="35"/>
      <c r="RUZ225" s="35"/>
      <c r="RVA225" s="35"/>
      <c r="RVB225" s="34"/>
      <c r="RVC225" s="34"/>
      <c r="RVD225" s="36"/>
      <c r="RVE225" s="36"/>
      <c r="RVF225" s="37"/>
      <c r="RVG225" s="37"/>
      <c r="RVH225" s="38"/>
      <c r="RVI225" s="38"/>
      <c r="RVJ225" s="39"/>
      <c r="RVK225" s="34"/>
      <c r="RVL225" s="34"/>
      <c r="RVM225" s="34"/>
      <c r="RVN225" s="35"/>
      <c r="RVO225" s="35"/>
      <c r="RVP225" s="35"/>
      <c r="RVQ225" s="35"/>
      <c r="RVR225" s="35"/>
      <c r="RVS225" s="34"/>
      <c r="RVT225" s="34"/>
      <c r="RVU225" s="36"/>
      <c r="RVV225" s="36"/>
      <c r="RVW225" s="37"/>
      <c r="RVX225" s="37"/>
      <c r="RVY225" s="38"/>
      <c r="RVZ225" s="38"/>
      <c r="RWA225" s="39"/>
      <c r="RWB225" s="34"/>
      <c r="RWC225" s="34"/>
      <c r="RWD225" s="34"/>
      <c r="RWE225" s="35"/>
      <c r="RWF225" s="35"/>
      <c r="RWG225" s="35"/>
      <c r="RWH225" s="35"/>
      <c r="RWI225" s="35"/>
      <c r="RWJ225" s="34"/>
      <c r="RWK225" s="34"/>
      <c r="RWL225" s="36"/>
      <c r="RWM225" s="36"/>
      <c r="RWN225" s="37"/>
      <c r="RWO225" s="37"/>
      <c r="RWP225" s="38"/>
      <c r="RWQ225" s="38"/>
      <c r="RWR225" s="39"/>
      <c r="RWS225" s="34"/>
      <c r="RWT225" s="34"/>
      <c r="RWU225" s="34"/>
      <c r="RWV225" s="35"/>
      <c r="RWW225" s="35"/>
      <c r="RWX225" s="35"/>
      <c r="RWY225" s="35"/>
      <c r="RWZ225" s="35"/>
      <c r="RXA225" s="34"/>
      <c r="RXB225" s="34"/>
      <c r="RXC225" s="36"/>
      <c r="RXD225" s="36"/>
      <c r="RXE225" s="37"/>
      <c r="RXF225" s="37"/>
      <c r="RXG225" s="38"/>
      <c r="RXH225" s="38"/>
      <c r="RXI225" s="39"/>
      <c r="RXJ225" s="34"/>
      <c r="RXK225" s="34"/>
      <c r="RXL225" s="34"/>
      <c r="RXM225" s="35"/>
      <c r="RXN225" s="35"/>
      <c r="RXO225" s="35"/>
      <c r="RXP225" s="35"/>
      <c r="RXQ225" s="35"/>
      <c r="RXR225" s="34"/>
      <c r="RXS225" s="34"/>
      <c r="RXT225" s="36"/>
      <c r="RXU225" s="36"/>
      <c r="RXV225" s="37"/>
      <c r="RXW225" s="37"/>
      <c r="RXX225" s="38"/>
      <c r="RXY225" s="38"/>
      <c r="RXZ225" s="39"/>
      <c r="RYA225" s="34"/>
      <c r="RYB225" s="34"/>
      <c r="RYC225" s="34"/>
      <c r="RYD225" s="35"/>
      <c r="RYE225" s="35"/>
      <c r="RYF225" s="35"/>
      <c r="RYG225" s="35"/>
      <c r="RYH225" s="35"/>
      <c r="RYI225" s="34"/>
      <c r="RYJ225" s="34"/>
      <c r="RYK225" s="36"/>
      <c r="RYL225" s="36"/>
      <c r="RYM225" s="37"/>
      <c r="RYN225" s="37"/>
      <c r="RYO225" s="38"/>
      <c r="RYP225" s="38"/>
      <c r="RYQ225" s="39"/>
      <c r="RYR225" s="34"/>
      <c r="RYS225" s="34"/>
      <c r="RYT225" s="34"/>
      <c r="RYU225" s="35"/>
      <c r="RYV225" s="35"/>
      <c r="RYW225" s="35"/>
      <c r="RYX225" s="35"/>
      <c r="RYY225" s="35"/>
      <c r="RYZ225" s="34"/>
      <c r="RZA225" s="34"/>
      <c r="RZB225" s="36"/>
      <c r="RZC225" s="36"/>
      <c r="RZD225" s="37"/>
      <c r="RZE225" s="37"/>
      <c r="RZF225" s="38"/>
      <c r="RZG225" s="38"/>
      <c r="RZH225" s="39"/>
      <c r="RZI225" s="34"/>
      <c r="RZJ225" s="34"/>
      <c r="RZK225" s="34"/>
      <c r="RZL225" s="35"/>
      <c r="RZM225" s="35"/>
      <c r="RZN225" s="35"/>
      <c r="RZO225" s="35"/>
      <c r="RZP225" s="35"/>
      <c r="RZQ225" s="34"/>
      <c r="RZR225" s="34"/>
      <c r="RZS225" s="36"/>
      <c r="RZT225" s="36"/>
      <c r="RZU225" s="37"/>
      <c r="RZV225" s="37"/>
      <c r="RZW225" s="38"/>
      <c r="RZX225" s="38"/>
      <c r="RZY225" s="39"/>
      <c r="RZZ225" s="34"/>
      <c r="SAA225" s="34"/>
      <c r="SAB225" s="34"/>
      <c r="SAC225" s="35"/>
      <c r="SAD225" s="35"/>
      <c r="SAE225" s="35"/>
      <c r="SAF225" s="35"/>
      <c r="SAG225" s="35"/>
      <c r="SAH225" s="34"/>
      <c r="SAI225" s="34"/>
      <c r="SAJ225" s="36"/>
      <c r="SAK225" s="36"/>
      <c r="SAL225" s="37"/>
      <c r="SAM225" s="37"/>
      <c r="SAN225" s="38"/>
      <c r="SAO225" s="38"/>
      <c r="SAP225" s="39"/>
      <c r="SAQ225" s="34"/>
      <c r="SAR225" s="34"/>
      <c r="SAS225" s="34"/>
      <c r="SAT225" s="35"/>
      <c r="SAU225" s="35"/>
      <c r="SAV225" s="35"/>
      <c r="SAW225" s="35"/>
      <c r="SAX225" s="35"/>
      <c r="SAY225" s="34"/>
      <c r="SAZ225" s="34"/>
      <c r="SBA225" s="36"/>
      <c r="SBB225" s="36"/>
      <c r="SBC225" s="37"/>
      <c r="SBD225" s="37"/>
      <c r="SBE225" s="38"/>
      <c r="SBF225" s="38"/>
      <c r="SBG225" s="39"/>
      <c r="SBH225" s="34"/>
      <c r="SBI225" s="34"/>
      <c r="SBJ225" s="34"/>
      <c r="SBK225" s="35"/>
      <c r="SBL225" s="35"/>
      <c r="SBM225" s="35"/>
      <c r="SBN225" s="35"/>
      <c r="SBO225" s="35"/>
      <c r="SBP225" s="34"/>
      <c r="SBQ225" s="34"/>
      <c r="SBR225" s="36"/>
      <c r="SBS225" s="36"/>
      <c r="SBT225" s="37"/>
      <c r="SBU225" s="37"/>
      <c r="SBV225" s="38"/>
      <c r="SBW225" s="38"/>
      <c r="SBX225" s="39"/>
      <c r="SBY225" s="34"/>
      <c r="SBZ225" s="34"/>
      <c r="SCA225" s="34"/>
      <c r="SCB225" s="35"/>
      <c r="SCC225" s="35"/>
      <c r="SCD225" s="35"/>
      <c r="SCE225" s="35"/>
      <c r="SCF225" s="35"/>
      <c r="SCG225" s="34"/>
      <c r="SCH225" s="34"/>
      <c r="SCI225" s="36"/>
      <c r="SCJ225" s="36"/>
      <c r="SCK225" s="37"/>
      <c r="SCL225" s="37"/>
      <c r="SCM225" s="38"/>
      <c r="SCN225" s="38"/>
      <c r="SCO225" s="39"/>
      <c r="SCP225" s="34"/>
      <c r="SCQ225" s="34"/>
      <c r="SCR225" s="34"/>
      <c r="SCS225" s="35"/>
      <c r="SCT225" s="35"/>
      <c r="SCU225" s="35"/>
      <c r="SCV225" s="35"/>
      <c r="SCW225" s="35"/>
      <c r="SCX225" s="34"/>
      <c r="SCY225" s="34"/>
      <c r="SCZ225" s="36"/>
      <c r="SDA225" s="36"/>
      <c r="SDB225" s="37"/>
      <c r="SDC225" s="37"/>
      <c r="SDD225" s="38"/>
      <c r="SDE225" s="38"/>
      <c r="SDF225" s="39"/>
      <c r="SDG225" s="34"/>
      <c r="SDH225" s="34"/>
      <c r="SDI225" s="34"/>
      <c r="SDJ225" s="35"/>
      <c r="SDK225" s="35"/>
      <c r="SDL225" s="35"/>
      <c r="SDM225" s="35"/>
      <c r="SDN225" s="35"/>
      <c r="SDO225" s="34"/>
      <c r="SDP225" s="34"/>
      <c r="SDQ225" s="36"/>
      <c r="SDR225" s="36"/>
      <c r="SDS225" s="37"/>
      <c r="SDT225" s="37"/>
      <c r="SDU225" s="38"/>
      <c r="SDV225" s="38"/>
      <c r="SDW225" s="39"/>
      <c r="SDX225" s="34"/>
      <c r="SDY225" s="34"/>
      <c r="SDZ225" s="34"/>
      <c r="SEA225" s="35"/>
      <c r="SEB225" s="35"/>
      <c r="SEC225" s="35"/>
      <c r="SED225" s="35"/>
      <c r="SEE225" s="35"/>
      <c r="SEF225" s="34"/>
      <c r="SEG225" s="34"/>
      <c r="SEH225" s="36"/>
      <c r="SEI225" s="36"/>
      <c r="SEJ225" s="37"/>
      <c r="SEK225" s="37"/>
      <c r="SEL225" s="38"/>
      <c r="SEM225" s="38"/>
      <c r="SEN225" s="39"/>
      <c r="SEO225" s="34"/>
      <c r="SEP225" s="34"/>
      <c r="SEQ225" s="34"/>
      <c r="SER225" s="35"/>
      <c r="SES225" s="35"/>
      <c r="SET225" s="35"/>
      <c r="SEU225" s="35"/>
      <c r="SEV225" s="35"/>
      <c r="SEW225" s="34"/>
      <c r="SEX225" s="34"/>
      <c r="SEY225" s="36"/>
      <c r="SEZ225" s="36"/>
      <c r="SFA225" s="37"/>
      <c r="SFB225" s="37"/>
      <c r="SFC225" s="38"/>
      <c r="SFD225" s="38"/>
      <c r="SFE225" s="39"/>
      <c r="SFF225" s="34"/>
      <c r="SFG225" s="34"/>
      <c r="SFH225" s="34"/>
      <c r="SFI225" s="35"/>
      <c r="SFJ225" s="35"/>
      <c r="SFK225" s="35"/>
      <c r="SFL225" s="35"/>
      <c r="SFM225" s="35"/>
      <c r="SFN225" s="34"/>
      <c r="SFO225" s="34"/>
      <c r="SFP225" s="36"/>
      <c r="SFQ225" s="36"/>
      <c r="SFR225" s="37"/>
      <c r="SFS225" s="37"/>
      <c r="SFT225" s="38"/>
      <c r="SFU225" s="38"/>
      <c r="SFV225" s="39"/>
      <c r="SFW225" s="34"/>
      <c r="SFX225" s="34"/>
      <c r="SFY225" s="34"/>
      <c r="SFZ225" s="35"/>
      <c r="SGA225" s="35"/>
      <c r="SGB225" s="35"/>
      <c r="SGC225" s="35"/>
      <c r="SGD225" s="35"/>
      <c r="SGE225" s="34"/>
      <c r="SGF225" s="34"/>
      <c r="SGG225" s="36"/>
      <c r="SGH225" s="36"/>
      <c r="SGI225" s="37"/>
      <c r="SGJ225" s="37"/>
      <c r="SGK225" s="38"/>
      <c r="SGL225" s="38"/>
      <c r="SGM225" s="39"/>
      <c r="SGN225" s="34"/>
      <c r="SGO225" s="34"/>
      <c r="SGP225" s="34"/>
      <c r="SGQ225" s="35"/>
      <c r="SGR225" s="35"/>
      <c r="SGS225" s="35"/>
      <c r="SGT225" s="35"/>
      <c r="SGU225" s="35"/>
      <c r="SGV225" s="34"/>
      <c r="SGW225" s="34"/>
      <c r="SGX225" s="36"/>
      <c r="SGY225" s="36"/>
      <c r="SGZ225" s="37"/>
      <c r="SHA225" s="37"/>
      <c r="SHB225" s="38"/>
      <c r="SHC225" s="38"/>
      <c r="SHD225" s="39"/>
      <c r="SHE225" s="34"/>
      <c r="SHF225" s="34"/>
      <c r="SHG225" s="34"/>
      <c r="SHH225" s="35"/>
      <c r="SHI225" s="35"/>
      <c r="SHJ225" s="35"/>
      <c r="SHK225" s="35"/>
      <c r="SHL225" s="35"/>
      <c r="SHM225" s="34"/>
      <c r="SHN225" s="34"/>
      <c r="SHO225" s="36"/>
      <c r="SHP225" s="36"/>
      <c r="SHQ225" s="37"/>
      <c r="SHR225" s="37"/>
      <c r="SHS225" s="38"/>
      <c r="SHT225" s="38"/>
      <c r="SHU225" s="39"/>
      <c r="SHV225" s="34"/>
      <c r="SHW225" s="34"/>
      <c r="SHX225" s="34"/>
      <c r="SHY225" s="35"/>
      <c r="SHZ225" s="35"/>
      <c r="SIA225" s="35"/>
      <c r="SIB225" s="35"/>
      <c r="SIC225" s="35"/>
      <c r="SID225" s="34"/>
      <c r="SIE225" s="34"/>
      <c r="SIF225" s="36"/>
      <c r="SIG225" s="36"/>
      <c r="SIH225" s="37"/>
      <c r="SII225" s="37"/>
      <c r="SIJ225" s="38"/>
      <c r="SIK225" s="38"/>
      <c r="SIL225" s="39"/>
      <c r="SIM225" s="34"/>
      <c r="SIN225" s="34"/>
      <c r="SIO225" s="34"/>
      <c r="SIP225" s="35"/>
      <c r="SIQ225" s="35"/>
      <c r="SIR225" s="35"/>
      <c r="SIS225" s="35"/>
      <c r="SIT225" s="35"/>
      <c r="SIU225" s="34"/>
      <c r="SIV225" s="34"/>
      <c r="SIW225" s="36"/>
      <c r="SIX225" s="36"/>
      <c r="SIY225" s="37"/>
      <c r="SIZ225" s="37"/>
      <c r="SJA225" s="38"/>
      <c r="SJB225" s="38"/>
      <c r="SJC225" s="39"/>
      <c r="SJD225" s="34"/>
      <c r="SJE225" s="34"/>
      <c r="SJF225" s="34"/>
      <c r="SJG225" s="35"/>
      <c r="SJH225" s="35"/>
      <c r="SJI225" s="35"/>
      <c r="SJJ225" s="35"/>
      <c r="SJK225" s="35"/>
      <c r="SJL225" s="34"/>
      <c r="SJM225" s="34"/>
      <c r="SJN225" s="36"/>
      <c r="SJO225" s="36"/>
      <c r="SJP225" s="37"/>
      <c r="SJQ225" s="37"/>
      <c r="SJR225" s="38"/>
      <c r="SJS225" s="38"/>
      <c r="SJT225" s="39"/>
      <c r="SJU225" s="34"/>
      <c r="SJV225" s="34"/>
      <c r="SJW225" s="34"/>
      <c r="SJX225" s="35"/>
      <c r="SJY225" s="35"/>
      <c r="SJZ225" s="35"/>
      <c r="SKA225" s="35"/>
      <c r="SKB225" s="35"/>
      <c r="SKC225" s="34"/>
      <c r="SKD225" s="34"/>
      <c r="SKE225" s="36"/>
      <c r="SKF225" s="36"/>
      <c r="SKG225" s="37"/>
      <c r="SKH225" s="37"/>
      <c r="SKI225" s="38"/>
      <c r="SKJ225" s="38"/>
      <c r="SKK225" s="39"/>
      <c r="SKL225" s="34"/>
      <c r="SKM225" s="34"/>
      <c r="SKN225" s="34"/>
      <c r="SKO225" s="35"/>
      <c r="SKP225" s="35"/>
      <c r="SKQ225" s="35"/>
      <c r="SKR225" s="35"/>
      <c r="SKS225" s="35"/>
      <c r="SKT225" s="34"/>
      <c r="SKU225" s="34"/>
      <c r="SKV225" s="36"/>
      <c r="SKW225" s="36"/>
      <c r="SKX225" s="37"/>
      <c r="SKY225" s="37"/>
      <c r="SKZ225" s="38"/>
      <c r="SLA225" s="38"/>
      <c r="SLB225" s="39"/>
      <c r="SLC225" s="34"/>
      <c r="SLD225" s="34"/>
      <c r="SLE225" s="34"/>
      <c r="SLF225" s="35"/>
      <c r="SLG225" s="35"/>
      <c r="SLH225" s="35"/>
      <c r="SLI225" s="35"/>
      <c r="SLJ225" s="35"/>
      <c r="SLK225" s="34"/>
      <c r="SLL225" s="34"/>
      <c r="SLM225" s="36"/>
      <c r="SLN225" s="36"/>
      <c r="SLO225" s="37"/>
      <c r="SLP225" s="37"/>
      <c r="SLQ225" s="38"/>
      <c r="SLR225" s="38"/>
      <c r="SLS225" s="39"/>
      <c r="SLT225" s="34"/>
      <c r="SLU225" s="34"/>
      <c r="SLV225" s="34"/>
      <c r="SLW225" s="35"/>
      <c r="SLX225" s="35"/>
      <c r="SLY225" s="35"/>
      <c r="SLZ225" s="35"/>
      <c r="SMA225" s="35"/>
      <c r="SMB225" s="34"/>
      <c r="SMC225" s="34"/>
      <c r="SMD225" s="36"/>
      <c r="SME225" s="36"/>
      <c r="SMF225" s="37"/>
      <c r="SMG225" s="37"/>
      <c r="SMH225" s="38"/>
      <c r="SMI225" s="38"/>
      <c r="SMJ225" s="39"/>
      <c r="SMK225" s="34"/>
      <c r="SML225" s="34"/>
      <c r="SMM225" s="34"/>
      <c r="SMN225" s="35"/>
      <c r="SMO225" s="35"/>
      <c r="SMP225" s="35"/>
      <c r="SMQ225" s="35"/>
      <c r="SMR225" s="35"/>
      <c r="SMS225" s="34"/>
      <c r="SMT225" s="34"/>
      <c r="SMU225" s="36"/>
      <c r="SMV225" s="36"/>
      <c r="SMW225" s="37"/>
      <c r="SMX225" s="37"/>
      <c r="SMY225" s="38"/>
      <c r="SMZ225" s="38"/>
      <c r="SNA225" s="39"/>
      <c r="SNB225" s="34"/>
      <c r="SNC225" s="34"/>
      <c r="SND225" s="34"/>
      <c r="SNE225" s="35"/>
      <c r="SNF225" s="35"/>
      <c r="SNG225" s="35"/>
      <c r="SNH225" s="35"/>
      <c r="SNI225" s="35"/>
      <c r="SNJ225" s="34"/>
      <c r="SNK225" s="34"/>
      <c r="SNL225" s="36"/>
      <c r="SNM225" s="36"/>
      <c r="SNN225" s="37"/>
      <c r="SNO225" s="37"/>
      <c r="SNP225" s="38"/>
      <c r="SNQ225" s="38"/>
      <c r="SNR225" s="39"/>
      <c r="SNS225" s="34"/>
      <c r="SNT225" s="34"/>
      <c r="SNU225" s="34"/>
      <c r="SNV225" s="35"/>
      <c r="SNW225" s="35"/>
      <c r="SNX225" s="35"/>
      <c r="SNY225" s="35"/>
      <c r="SNZ225" s="35"/>
      <c r="SOA225" s="34"/>
      <c r="SOB225" s="34"/>
      <c r="SOC225" s="36"/>
      <c r="SOD225" s="36"/>
      <c r="SOE225" s="37"/>
      <c r="SOF225" s="37"/>
      <c r="SOG225" s="38"/>
      <c r="SOH225" s="38"/>
      <c r="SOI225" s="39"/>
      <c r="SOJ225" s="34"/>
      <c r="SOK225" s="34"/>
      <c r="SOL225" s="34"/>
      <c r="SOM225" s="35"/>
      <c r="SON225" s="35"/>
      <c r="SOO225" s="35"/>
      <c r="SOP225" s="35"/>
      <c r="SOQ225" s="35"/>
      <c r="SOR225" s="34"/>
      <c r="SOS225" s="34"/>
      <c r="SOT225" s="36"/>
      <c r="SOU225" s="36"/>
      <c r="SOV225" s="37"/>
      <c r="SOW225" s="37"/>
      <c r="SOX225" s="38"/>
      <c r="SOY225" s="38"/>
      <c r="SOZ225" s="39"/>
      <c r="SPA225" s="34"/>
      <c r="SPB225" s="34"/>
      <c r="SPC225" s="34"/>
      <c r="SPD225" s="35"/>
      <c r="SPE225" s="35"/>
      <c r="SPF225" s="35"/>
      <c r="SPG225" s="35"/>
      <c r="SPH225" s="35"/>
      <c r="SPI225" s="34"/>
      <c r="SPJ225" s="34"/>
      <c r="SPK225" s="36"/>
      <c r="SPL225" s="36"/>
      <c r="SPM225" s="37"/>
      <c r="SPN225" s="37"/>
      <c r="SPO225" s="38"/>
      <c r="SPP225" s="38"/>
      <c r="SPQ225" s="39"/>
      <c r="SPR225" s="34"/>
      <c r="SPS225" s="34"/>
      <c r="SPT225" s="34"/>
      <c r="SPU225" s="35"/>
      <c r="SPV225" s="35"/>
      <c r="SPW225" s="35"/>
      <c r="SPX225" s="35"/>
      <c r="SPY225" s="35"/>
      <c r="SPZ225" s="34"/>
      <c r="SQA225" s="34"/>
      <c r="SQB225" s="36"/>
      <c r="SQC225" s="36"/>
      <c r="SQD225" s="37"/>
      <c r="SQE225" s="37"/>
      <c r="SQF225" s="38"/>
      <c r="SQG225" s="38"/>
      <c r="SQH225" s="39"/>
      <c r="SQI225" s="34"/>
      <c r="SQJ225" s="34"/>
      <c r="SQK225" s="34"/>
      <c r="SQL225" s="35"/>
      <c r="SQM225" s="35"/>
      <c r="SQN225" s="35"/>
      <c r="SQO225" s="35"/>
      <c r="SQP225" s="35"/>
      <c r="SQQ225" s="34"/>
      <c r="SQR225" s="34"/>
      <c r="SQS225" s="36"/>
      <c r="SQT225" s="36"/>
      <c r="SQU225" s="37"/>
      <c r="SQV225" s="37"/>
      <c r="SQW225" s="38"/>
      <c r="SQX225" s="38"/>
      <c r="SQY225" s="39"/>
      <c r="SQZ225" s="34"/>
      <c r="SRA225" s="34"/>
      <c r="SRB225" s="34"/>
      <c r="SRC225" s="35"/>
      <c r="SRD225" s="35"/>
      <c r="SRE225" s="35"/>
      <c r="SRF225" s="35"/>
      <c r="SRG225" s="35"/>
      <c r="SRH225" s="34"/>
      <c r="SRI225" s="34"/>
      <c r="SRJ225" s="36"/>
      <c r="SRK225" s="36"/>
      <c r="SRL225" s="37"/>
      <c r="SRM225" s="37"/>
      <c r="SRN225" s="38"/>
      <c r="SRO225" s="38"/>
      <c r="SRP225" s="39"/>
      <c r="SRQ225" s="34"/>
      <c r="SRR225" s="34"/>
      <c r="SRS225" s="34"/>
      <c r="SRT225" s="35"/>
      <c r="SRU225" s="35"/>
      <c r="SRV225" s="35"/>
      <c r="SRW225" s="35"/>
      <c r="SRX225" s="35"/>
      <c r="SRY225" s="34"/>
      <c r="SRZ225" s="34"/>
      <c r="SSA225" s="36"/>
      <c r="SSB225" s="36"/>
      <c r="SSC225" s="37"/>
      <c r="SSD225" s="37"/>
      <c r="SSE225" s="38"/>
      <c r="SSF225" s="38"/>
      <c r="SSG225" s="39"/>
      <c r="SSH225" s="34"/>
      <c r="SSI225" s="34"/>
      <c r="SSJ225" s="34"/>
      <c r="SSK225" s="35"/>
      <c r="SSL225" s="35"/>
      <c r="SSM225" s="35"/>
      <c r="SSN225" s="35"/>
      <c r="SSO225" s="35"/>
      <c r="SSP225" s="34"/>
      <c r="SSQ225" s="34"/>
      <c r="SSR225" s="36"/>
      <c r="SSS225" s="36"/>
      <c r="SST225" s="37"/>
      <c r="SSU225" s="37"/>
      <c r="SSV225" s="38"/>
      <c r="SSW225" s="38"/>
      <c r="SSX225" s="39"/>
      <c r="SSY225" s="34"/>
      <c r="SSZ225" s="34"/>
      <c r="STA225" s="34"/>
      <c r="STB225" s="35"/>
      <c r="STC225" s="35"/>
      <c r="STD225" s="35"/>
      <c r="STE225" s="35"/>
      <c r="STF225" s="35"/>
      <c r="STG225" s="34"/>
      <c r="STH225" s="34"/>
      <c r="STI225" s="36"/>
      <c r="STJ225" s="36"/>
      <c r="STK225" s="37"/>
      <c r="STL225" s="37"/>
      <c r="STM225" s="38"/>
      <c r="STN225" s="38"/>
      <c r="STO225" s="39"/>
      <c r="STP225" s="34"/>
      <c r="STQ225" s="34"/>
      <c r="STR225" s="34"/>
      <c r="STS225" s="35"/>
      <c r="STT225" s="35"/>
      <c r="STU225" s="35"/>
      <c r="STV225" s="35"/>
      <c r="STW225" s="35"/>
      <c r="STX225" s="34"/>
      <c r="STY225" s="34"/>
      <c r="STZ225" s="36"/>
      <c r="SUA225" s="36"/>
      <c r="SUB225" s="37"/>
      <c r="SUC225" s="37"/>
      <c r="SUD225" s="38"/>
      <c r="SUE225" s="38"/>
      <c r="SUF225" s="39"/>
      <c r="SUG225" s="34"/>
      <c r="SUH225" s="34"/>
      <c r="SUI225" s="34"/>
      <c r="SUJ225" s="35"/>
      <c r="SUK225" s="35"/>
      <c r="SUL225" s="35"/>
      <c r="SUM225" s="35"/>
      <c r="SUN225" s="35"/>
      <c r="SUO225" s="34"/>
      <c r="SUP225" s="34"/>
      <c r="SUQ225" s="36"/>
      <c r="SUR225" s="36"/>
      <c r="SUS225" s="37"/>
      <c r="SUT225" s="37"/>
      <c r="SUU225" s="38"/>
      <c r="SUV225" s="38"/>
      <c r="SUW225" s="39"/>
      <c r="SUX225" s="34"/>
      <c r="SUY225" s="34"/>
      <c r="SUZ225" s="34"/>
      <c r="SVA225" s="35"/>
      <c r="SVB225" s="35"/>
      <c r="SVC225" s="35"/>
      <c r="SVD225" s="35"/>
      <c r="SVE225" s="35"/>
      <c r="SVF225" s="34"/>
      <c r="SVG225" s="34"/>
      <c r="SVH225" s="36"/>
      <c r="SVI225" s="36"/>
      <c r="SVJ225" s="37"/>
      <c r="SVK225" s="37"/>
      <c r="SVL225" s="38"/>
      <c r="SVM225" s="38"/>
      <c r="SVN225" s="39"/>
      <c r="SVO225" s="34"/>
      <c r="SVP225" s="34"/>
      <c r="SVQ225" s="34"/>
      <c r="SVR225" s="35"/>
      <c r="SVS225" s="35"/>
      <c r="SVT225" s="35"/>
      <c r="SVU225" s="35"/>
      <c r="SVV225" s="35"/>
      <c r="SVW225" s="34"/>
      <c r="SVX225" s="34"/>
      <c r="SVY225" s="36"/>
      <c r="SVZ225" s="36"/>
      <c r="SWA225" s="37"/>
      <c r="SWB225" s="37"/>
      <c r="SWC225" s="38"/>
      <c r="SWD225" s="38"/>
      <c r="SWE225" s="39"/>
      <c r="SWF225" s="34"/>
      <c r="SWG225" s="34"/>
      <c r="SWH225" s="34"/>
      <c r="SWI225" s="35"/>
      <c r="SWJ225" s="35"/>
      <c r="SWK225" s="35"/>
      <c r="SWL225" s="35"/>
      <c r="SWM225" s="35"/>
      <c r="SWN225" s="34"/>
      <c r="SWO225" s="34"/>
      <c r="SWP225" s="36"/>
      <c r="SWQ225" s="36"/>
      <c r="SWR225" s="37"/>
      <c r="SWS225" s="37"/>
      <c r="SWT225" s="38"/>
      <c r="SWU225" s="38"/>
      <c r="SWV225" s="39"/>
      <c r="SWW225" s="34"/>
      <c r="SWX225" s="34"/>
      <c r="SWY225" s="34"/>
      <c r="SWZ225" s="35"/>
      <c r="SXA225" s="35"/>
      <c r="SXB225" s="35"/>
      <c r="SXC225" s="35"/>
      <c r="SXD225" s="35"/>
      <c r="SXE225" s="34"/>
      <c r="SXF225" s="34"/>
      <c r="SXG225" s="36"/>
      <c r="SXH225" s="36"/>
      <c r="SXI225" s="37"/>
      <c r="SXJ225" s="37"/>
      <c r="SXK225" s="38"/>
      <c r="SXL225" s="38"/>
      <c r="SXM225" s="39"/>
      <c r="SXN225" s="34"/>
      <c r="SXO225" s="34"/>
      <c r="SXP225" s="34"/>
      <c r="SXQ225" s="35"/>
      <c r="SXR225" s="35"/>
      <c r="SXS225" s="35"/>
      <c r="SXT225" s="35"/>
      <c r="SXU225" s="35"/>
      <c r="SXV225" s="34"/>
      <c r="SXW225" s="34"/>
      <c r="SXX225" s="36"/>
      <c r="SXY225" s="36"/>
      <c r="SXZ225" s="37"/>
      <c r="SYA225" s="37"/>
      <c r="SYB225" s="38"/>
      <c r="SYC225" s="38"/>
      <c r="SYD225" s="39"/>
      <c r="SYE225" s="34"/>
      <c r="SYF225" s="34"/>
      <c r="SYG225" s="34"/>
      <c r="SYH225" s="35"/>
      <c r="SYI225" s="35"/>
      <c r="SYJ225" s="35"/>
      <c r="SYK225" s="35"/>
      <c r="SYL225" s="35"/>
      <c r="SYM225" s="34"/>
      <c r="SYN225" s="34"/>
      <c r="SYO225" s="36"/>
      <c r="SYP225" s="36"/>
      <c r="SYQ225" s="37"/>
      <c r="SYR225" s="37"/>
      <c r="SYS225" s="38"/>
      <c r="SYT225" s="38"/>
      <c r="SYU225" s="39"/>
      <c r="SYV225" s="34"/>
      <c r="SYW225" s="34"/>
      <c r="SYX225" s="34"/>
      <c r="SYY225" s="35"/>
      <c r="SYZ225" s="35"/>
      <c r="SZA225" s="35"/>
      <c r="SZB225" s="35"/>
      <c r="SZC225" s="35"/>
      <c r="SZD225" s="34"/>
      <c r="SZE225" s="34"/>
      <c r="SZF225" s="36"/>
      <c r="SZG225" s="36"/>
      <c r="SZH225" s="37"/>
      <c r="SZI225" s="37"/>
      <c r="SZJ225" s="38"/>
      <c r="SZK225" s="38"/>
      <c r="SZL225" s="39"/>
      <c r="SZM225" s="34"/>
      <c r="SZN225" s="34"/>
      <c r="SZO225" s="34"/>
      <c r="SZP225" s="35"/>
      <c r="SZQ225" s="35"/>
      <c r="SZR225" s="35"/>
      <c r="SZS225" s="35"/>
      <c r="SZT225" s="35"/>
      <c r="SZU225" s="34"/>
      <c r="SZV225" s="34"/>
      <c r="SZW225" s="36"/>
      <c r="SZX225" s="36"/>
      <c r="SZY225" s="37"/>
      <c r="SZZ225" s="37"/>
      <c r="TAA225" s="38"/>
      <c r="TAB225" s="38"/>
      <c r="TAC225" s="39"/>
      <c r="TAD225" s="34"/>
      <c r="TAE225" s="34"/>
      <c r="TAF225" s="34"/>
      <c r="TAG225" s="35"/>
      <c r="TAH225" s="35"/>
      <c r="TAI225" s="35"/>
      <c r="TAJ225" s="35"/>
      <c r="TAK225" s="35"/>
      <c r="TAL225" s="34"/>
      <c r="TAM225" s="34"/>
      <c r="TAN225" s="36"/>
      <c r="TAO225" s="36"/>
      <c r="TAP225" s="37"/>
      <c r="TAQ225" s="37"/>
      <c r="TAR225" s="38"/>
      <c r="TAS225" s="38"/>
      <c r="TAT225" s="39"/>
      <c r="TAU225" s="34"/>
      <c r="TAV225" s="34"/>
      <c r="TAW225" s="34"/>
      <c r="TAX225" s="35"/>
      <c r="TAY225" s="35"/>
      <c r="TAZ225" s="35"/>
      <c r="TBA225" s="35"/>
      <c r="TBB225" s="35"/>
      <c r="TBC225" s="34"/>
      <c r="TBD225" s="34"/>
      <c r="TBE225" s="36"/>
      <c r="TBF225" s="36"/>
      <c r="TBG225" s="37"/>
      <c r="TBH225" s="37"/>
      <c r="TBI225" s="38"/>
      <c r="TBJ225" s="38"/>
      <c r="TBK225" s="39"/>
      <c r="TBL225" s="34"/>
      <c r="TBM225" s="34"/>
      <c r="TBN225" s="34"/>
      <c r="TBO225" s="35"/>
      <c r="TBP225" s="35"/>
      <c r="TBQ225" s="35"/>
      <c r="TBR225" s="35"/>
      <c r="TBS225" s="35"/>
      <c r="TBT225" s="34"/>
      <c r="TBU225" s="34"/>
      <c r="TBV225" s="36"/>
      <c r="TBW225" s="36"/>
      <c r="TBX225" s="37"/>
      <c r="TBY225" s="37"/>
      <c r="TBZ225" s="38"/>
      <c r="TCA225" s="38"/>
      <c r="TCB225" s="39"/>
      <c r="TCC225" s="34"/>
      <c r="TCD225" s="34"/>
      <c r="TCE225" s="34"/>
      <c r="TCF225" s="35"/>
      <c r="TCG225" s="35"/>
      <c r="TCH225" s="35"/>
      <c r="TCI225" s="35"/>
      <c r="TCJ225" s="35"/>
      <c r="TCK225" s="34"/>
      <c r="TCL225" s="34"/>
      <c r="TCM225" s="36"/>
      <c r="TCN225" s="36"/>
      <c r="TCO225" s="37"/>
      <c r="TCP225" s="37"/>
      <c r="TCQ225" s="38"/>
      <c r="TCR225" s="38"/>
      <c r="TCS225" s="39"/>
      <c r="TCT225" s="34"/>
      <c r="TCU225" s="34"/>
      <c r="TCV225" s="34"/>
      <c r="TCW225" s="35"/>
      <c r="TCX225" s="35"/>
      <c r="TCY225" s="35"/>
      <c r="TCZ225" s="35"/>
      <c r="TDA225" s="35"/>
      <c r="TDB225" s="34"/>
      <c r="TDC225" s="34"/>
      <c r="TDD225" s="36"/>
      <c r="TDE225" s="36"/>
      <c r="TDF225" s="37"/>
      <c r="TDG225" s="37"/>
      <c r="TDH225" s="38"/>
      <c r="TDI225" s="38"/>
      <c r="TDJ225" s="39"/>
      <c r="TDK225" s="34"/>
      <c r="TDL225" s="34"/>
      <c r="TDM225" s="34"/>
      <c r="TDN225" s="35"/>
      <c r="TDO225" s="35"/>
      <c r="TDP225" s="35"/>
      <c r="TDQ225" s="35"/>
      <c r="TDR225" s="35"/>
      <c r="TDS225" s="34"/>
      <c r="TDT225" s="34"/>
      <c r="TDU225" s="36"/>
      <c r="TDV225" s="36"/>
      <c r="TDW225" s="37"/>
      <c r="TDX225" s="37"/>
      <c r="TDY225" s="38"/>
      <c r="TDZ225" s="38"/>
      <c r="TEA225" s="39"/>
      <c r="TEB225" s="34"/>
      <c r="TEC225" s="34"/>
      <c r="TED225" s="34"/>
      <c r="TEE225" s="35"/>
      <c r="TEF225" s="35"/>
      <c r="TEG225" s="35"/>
      <c r="TEH225" s="35"/>
      <c r="TEI225" s="35"/>
      <c r="TEJ225" s="34"/>
      <c r="TEK225" s="34"/>
      <c r="TEL225" s="36"/>
      <c r="TEM225" s="36"/>
      <c r="TEN225" s="37"/>
      <c r="TEO225" s="37"/>
      <c r="TEP225" s="38"/>
      <c r="TEQ225" s="38"/>
      <c r="TER225" s="39"/>
      <c r="TES225" s="34"/>
      <c r="TET225" s="34"/>
      <c r="TEU225" s="34"/>
      <c r="TEV225" s="35"/>
      <c r="TEW225" s="35"/>
      <c r="TEX225" s="35"/>
      <c r="TEY225" s="35"/>
      <c r="TEZ225" s="35"/>
      <c r="TFA225" s="34"/>
      <c r="TFB225" s="34"/>
      <c r="TFC225" s="36"/>
      <c r="TFD225" s="36"/>
      <c r="TFE225" s="37"/>
      <c r="TFF225" s="37"/>
      <c r="TFG225" s="38"/>
      <c r="TFH225" s="38"/>
      <c r="TFI225" s="39"/>
      <c r="TFJ225" s="34"/>
      <c r="TFK225" s="34"/>
      <c r="TFL225" s="34"/>
      <c r="TFM225" s="35"/>
      <c r="TFN225" s="35"/>
      <c r="TFO225" s="35"/>
      <c r="TFP225" s="35"/>
      <c r="TFQ225" s="35"/>
      <c r="TFR225" s="34"/>
      <c r="TFS225" s="34"/>
      <c r="TFT225" s="36"/>
      <c r="TFU225" s="36"/>
      <c r="TFV225" s="37"/>
      <c r="TFW225" s="37"/>
      <c r="TFX225" s="38"/>
      <c r="TFY225" s="38"/>
      <c r="TFZ225" s="39"/>
      <c r="TGA225" s="34"/>
      <c r="TGB225" s="34"/>
      <c r="TGC225" s="34"/>
      <c r="TGD225" s="35"/>
      <c r="TGE225" s="35"/>
      <c r="TGF225" s="35"/>
      <c r="TGG225" s="35"/>
      <c r="TGH225" s="35"/>
      <c r="TGI225" s="34"/>
      <c r="TGJ225" s="34"/>
      <c r="TGK225" s="36"/>
      <c r="TGL225" s="36"/>
      <c r="TGM225" s="37"/>
      <c r="TGN225" s="37"/>
      <c r="TGO225" s="38"/>
      <c r="TGP225" s="38"/>
      <c r="TGQ225" s="39"/>
      <c r="TGR225" s="34"/>
      <c r="TGS225" s="34"/>
      <c r="TGT225" s="34"/>
      <c r="TGU225" s="35"/>
      <c r="TGV225" s="35"/>
      <c r="TGW225" s="35"/>
      <c r="TGX225" s="35"/>
      <c r="TGY225" s="35"/>
      <c r="TGZ225" s="34"/>
      <c r="THA225" s="34"/>
      <c r="THB225" s="36"/>
      <c r="THC225" s="36"/>
      <c r="THD225" s="37"/>
      <c r="THE225" s="37"/>
      <c r="THF225" s="38"/>
      <c r="THG225" s="38"/>
      <c r="THH225" s="39"/>
      <c r="THI225" s="34"/>
      <c r="THJ225" s="34"/>
      <c r="THK225" s="34"/>
      <c r="THL225" s="35"/>
      <c r="THM225" s="35"/>
      <c r="THN225" s="35"/>
      <c r="THO225" s="35"/>
      <c r="THP225" s="35"/>
      <c r="THQ225" s="34"/>
      <c r="THR225" s="34"/>
      <c r="THS225" s="36"/>
      <c r="THT225" s="36"/>
      <c r="THU225" s="37"/>
      <c r="THV225" s="37"/>
      <c r="THW225" s="38"/>
      <c r="THX225" s="38"/>
      <c r="THY225" s="39"/>
      <c r="THZ225" s="34"/>
      <c r="TIA225" s="34"/>
      <c r="TIB225" s="34"/>
      <c r="TIC225" s="35"/>
      <c r="TID225" s="35"/>
      <c r="TIE225" s="35"/>
      <c r="TIF225" s="35"/>
      <c r="TIG225" s="35"/>
      <c r="TIH225" s="34"/>
      <c r="TII225" s="34"/>
      <c r="TIJ225" s="36"/>
      <c r="TIK225" s="36"/>
      <c r="TIL225" s="37"/>
      <c r="TIM225" s="37"/>
      <c r="TIN225" s="38"/>
      <c r="TIO225" s="38"/>
      <c r="TIP225" s="39"/>
      <c r="TIQ225" s="34"/>
      <c r="TIR225" s="34"/>
      <c r="TIS225" s="34"/>
      <c r="TIT225" s="35"/>
      <c r="TIU225" s="35"/>
      <c r="TIV225" s="35"/>
      <c r="TIW225" s="35"/>
      <c r="TIX225" s="35"/>
      <c r="TIY225" s="34"/>
      <c r="TIZ225" s="34"/>
      <c r="TJA225" s="36"/>
      <c r="TJB225" s="36"/>
      <c r="TJC225" s="37"/>
      <c r="TJD225" s="37"/>
      <c r="TJE225" s="38"/>
      <c r="TJF225" s="38"/>
      <c r="TJG225" s="39"/>
      <c r="TJH225" s="34"/>
      <c r="TJI225" s="34"/>
      <c r="TJJ225" s="34"/>
      <c r="TJK225" s="35"/>
      <c r="TJL225" s="35"/>
      <c r="TJM225" s="35"/>
      <c r="TJN225" s="35"/>
      <c r="TJO225" s="35"/>
      <c r="TJP225" s="34"/>
      <c r="TJQ225" s="34"/>
      <c r="TJR225" s="36"/>
      <c r="TJS225" s="36"/>
      <c r="TJT225" s="37"/>
      <c r="TJU225" s="37"/>
      <c r="TJV225" s="38"/>
      <c r="TJW225" s="38"/>
      <c r="TJX225" s="39"/>
      <c r="TJY225" s="34"/>
      <c r="TJZ225" s="34"/>
      <c r="TKA225" s="34"/>
      <c r="TKB225" s="35"/>
      <c r="TKC225" s="35"/>
      <c r="TKD225" s="35"/>
      <c r="TKE225" s="35"/>
      <c r="TKF225" s="35"/>
      <c r="TKG225" s="34"/>
      <c r="TKH225" s="34"/>
      <c r="TKI225" s="36"/>
      <c r="TKJ225" s="36"/>
      <c r="TKK225" s="37"/>
      <c r="TKL225" s="37"/>
      <c r="TKM225" s="38"/>
      <c r="TKN225" s="38"/>
      <c r="TKO225" s="39"/>
      <c r="TKP225" s="34"/>
      <c r="TKQ225" s="34"/>
      <c r="TKR225" s="34"/>
      <c r="TKS225" s="35"/>
      <c r="TKT225" s="35"/>
      <c r="TKU225" s="35"/>
      <c r="TKV225" s="35"/>
      <c r="TKW225" s="35"/>
      <c r="TKX225" s="34"/>
      <c r="TKY225" s="34"/>
      <c r="TKZ225" s="36"/>
      <c r="TLA225" s="36"/>
      <c r="TLB225" s="37"/>
      <c r="TLC225" s="37"/>
      <c r="TLD225" s="38"/>
      <c r="TLE225" s="38"/>
      <c r="TLF225" s="39"/>
      <c r="TLG225" s="34"/>
      <c r="TLH225" s="34"/>
      <c r="TLI225" s="34"/>
      <c r="TLJ225" s="35"/>
      <c r="TLK225" s="35"/>
      <c r="TLL225" s="35"/>
      <c r="TLM225" s="35"/>
      <c r="TLN225" s="35"/>
      <c r="TLO225" s="34"/>
      <c r="TLP225" s="34"/>
      <c r="TLQ225" s="36"/>
      <c r="TLR225" s="36"/>
      <c r="TLS225" s="37"/>
      <c r="TLT225" s="37"/>
      <c r="TLU225" s="38"/>
      <c r="TLV225" s="38"/>
      <c r="TLW225" s="39"/>
      <c r="TLX225" s="34"/>
      <c r="TLY225" s="34"/>
      <c r="TLZ225" s="34"/>
      <c r="TMA225" s="35"/>
      <c r="TMB225" s="35"/>
      <c r="TMC225" s="35"/>
      <c r="TMD225" s="35"/>
      <c r="TME225" s="35"/>
      <c r="TMF225" s="34"/>
      <c r="TMG225" s="34"/>
      <c r="TMH225" s="36"/>
      <c r="TMI225" s="36"/>
      <c r="TMJ225" s="37"/>
      <c r="TMK225" s="37"/>
      <c r="TML225" s="38"/>
      <c r="TMM225" s="38"/>
      <c r="TMN225" s="39"/>
      <c r="TMO225" s="34"/>
      <c r="TMP225" s="34"/>
      <c r="TMQ225" s="34"/>
      <c r="TMR225" s="35"/>
      <c r="TMS225" s="35"/>
      <c r="TMT225" s="35"/>
      <c r="TMU225" s="35"/>
      <c r="TMV225" s="35"/>
      <c r="TMW225" s="34"/>
      <c r="TMX225" s="34"/>
      <c r="TMY225" s="36"/>
      <c r="TMZ225" s="36"/>
      <c r="TNA225" s="37"/>
      <c r="TNB225" s="37"/>
      <c r="TNC225" s="38"/>
      <c r="TND225" s="38"/>
      <c r="TNE225" s="39"/>
      <c r="TNF225" s="34"/>
      <c r="TNG225" s="34"/>
      <c r="TNH225" s="34"/>
      <c r="TNI225" s="35"/>
      <c r="TNJ225" s="35"/>
      <c r="TNK225" s="35"/>
      <c r="TNL225" s="35"/>
      <c r="TNM225" s="35"/>
      <c r="TNN225" s="34"/>
      <c r="TNO225" s="34"/>
      <c r="TNP225" s="36"/>
      <c r="TNQ225" s="36"/>
      <c r="TNR225" s="37"/>
      <c r="TNS225" s="37"/>
      <c r="TNT225" s="38"/>
      <c r="TNU225" s="38"/>
      <c r="TNV225" s="39"/>
      <c r="TNW225" s="34"/>
      <c r="TNX225" s="34"/>
      <c r="TNY225" s="34"/>
      <c r="TNZ225" s="35"/>
      <c r="TOA225" s="35"/>
      <c r="TOB225" s="35"/>
      <c r="TOC225" s="35"/>
      <c r="TOD225" s="35"/>
      <c r="TOE225" s="34"/>
      <c r="TOF225" s="34"/>
      <c r="TOG225" s="36"/>
      <c r="TOH225" s="36"/>
      <c r="TOI225" s="37"/>
      <c r="TOJ225" s="37"/>
      <c r="TOK225" s="38"/>
      <c r="TOL225" s="38"/>
      <c r="TOM225" s="39"/>
      <c r="TON225" s="34"/>
      <c r="TOO225" s="34"/>
      <c r="TOP225" s="34"/>
      <c r="TOQ225" s="35"/>
      <c r="TOR225" s="35"/>
      <c r="TOS225" s="35"/>
      <c r="TOT225" s="35"/>
      <c r="TOU225" s="35"/>
      <c r="TOV225" s="34"/>
      <c r="TOW225" s="34"/>
      <c r="TOX225" s="36"/>
      <c r="TOY225" s="36"/>
      <c r="TOZ225" s="37"/>
      <c r="TPA225" s="37"/>
      <c r="TPB225" s="38"/>
      <c r="TPC225" s="38"/>
      <c r="TPD225" s="39"/>
      <c r="TPE225" s="34"/>
      <c r="TPF225" s="34"/>
      <c r="TPG225" s="34"/>
      <c r="TPH225" s="35"/>
      <c r="TPI225" s="35"/>
      <c r="TPJ225" s="35"/>
      <c r="TPK225" s="35"/>
      <c r="TPL225" s="35"/>
      <c r="TPM225" s="34"/>
      <c r="TPN225" s="34"/>
      <c r="TPO225" s="36"/>
      <c r="TPP225" s="36"/>
      <c r="TPQ225" s="37"/>
      <c r="TPR225" s="37"/>
      <c r="TPS225" s="38"/>
      <c r="TPT225" s="38"/>
      <c r="TPU225" s="39"/>
      <c r="TPV225" s="34"/>
      <c r="TPW225" s="34"/>
      <c r="TPX225" s="34"/>
      <c r="TPY225" s="35"/>
      <c r="TPZ225" s="35"/>
      <c r="TQA225" s="35"/>
      <c r="TQB225" s="35"/>
      <c r="TQC225" s="35"/>
      <c r="TQD225" s="34"/>
      <c r="TQE225" s="34"/>
      <c r="TQF225" s="36"/>
      <c r="TQG225" s="36"/>
      <c r="TQH225" s="37"/>
      <c r="TQI225" s="37"/>
      <c r="TQJ225" s="38"/>
      <c r="TQK225" s="38"/>
      <c r="TQL225" s="39"/>
      <c r="TQM225" s="34"/>
      <c r="TQN225" s="34"/>
      <c r="TQO225" s="34"/>
      <c r="TQP225" s="35"/>
      <c r="TQQ225" s="35"/>
      <c r="TQR225" s="35"/>
      <c r="TQS225" s="35"/>
      <c r="TQT225" s="35"/>
      <c r="TQU225" s="34"/>
      <c r="TQV225" s="34"/>
      <c r="TQW225" s="36"/>
      <c r="TQX225" s="36"/>
      <c r="TQY225" s="37"/>
      <c r="TQZ225" s="37"/>
      <c r="TRA225" s="38"/>
      <c r="TRB225" s="38"/>
      <c r="TRC225" s="39"/>
      <c r="TRD225" s="34"/>
      <c r="TRE225" s="34"/>
      <c r="TRF225" s="34"/>
      <c r="TRG225" s="35"/>
      <c r="TRH225" s="35"/>
      <c r="TRI225" s="35"/>
      <c r="TRJ225" s="35"/>
      <c r="TRK225" s="35"/>
      <c r="TRL225" s="34"/>
      <c r="TRM225" s="34"/>
      <c r="TRN225" s="36"/>
      <c r="TRO225" s="36"/>
      <c r="TRP225" s="37"/>
      <c r="TRQ225" s="37"/>
      <c r="TRR225" s="38"/>
      <c r="TRS225" s="38"/>
      <c r="TRT225" s="39"/>
      <c r="TRU225" s="34"/>
      <c r="TRV225" s="34"/>
      <c r="TRW225" s="34"/>
      <c r="TRX225" s="35"/>
      <c r="TRY225" s="35"/>
      <c r="TRZ225" s="35"/>
      <c r="TSA225" s="35"/>
      <c r="TSB225" s="35"/>
      <c r="TSC225" s="34"/>
      <c r="TSD225" s="34"/>
      <c r="TSE225" s="36"/>
      <c r="TSF225" s="36"/>
      <c r="TSG225" s="37"/>
      <c r="TSH225" s="37"/>
      <c r="TSI225" s="38"/>
      <c r="TSJ225" s="38"/>
      <c r="TSK225" s="39"/>
      <c r="TSL225" s="34"/>
      <c r="TSM225" s="34"/>
      <c r="TSN225" s="34"/>
      <c r="TSO225" s="35"/>
      <c r="TSP225" s="35"/>
      <c r="TSQ225" s="35"/>
      <c r="TSR225" s="35"/>
      <c r="TSS225" s="35"/>
      <c r="TST225" s="34"/>
      <c r="TSU225" s="34"/>
      <c r="TSV225" s="36"/>
      <c r="TSW225" s="36"/>
      <c r="TSX225" s="37"/>
      <c r="TSY225" s="37"/>
      <c r="TSZ225" s="38"/>
      <c r="TTA225" s="38"/>
      <c r="TTB225" s="39"/>
      <c r="TTC225" s="34"/>
      <c r="TTD225" s="34"/>
      <c r="TTE225" s="34"/>
      <c r="TTF225" s="35"/>
      <c r="TTG225" s="35"/>
      <c r="TTH225" s="35"/>
      <c r="TTI225" s="35"/>
      <c r="TTJ225" s="35"/>
      <c r="TTK225" s="34"/>
      <c r="TTL225" s="34"/>
      <c r="TTM225" s="36"/>
      <c r="TTN225" s="36"/>
      <c r="TTO225" s="37"/>
      <c r="TTP225" s="37"/>
      <c r="TTQ225" s="38"/>
      <c r="TTR225" s="38"/>
      <c r="TTS225" s="39"/>
      <c r="TTT225" s="34"/>
      <c r="TTU225" s="34"/>
      <c r="TTV225" s="34"/>
      <c r="TTW225" s="35"/>
      <c r="TTX225" s="35"/>
      <c r="TTY225" s="35"/>
      <c r="TTZ225" s="35"/>
      <c r="TUA225" s="35"/>
      <c r="TUB225" s="34"/>
      <c r="TUC225" s="34"/>
      <c r="TUD225" s="36"/>
      <c r="TUE225" s="36"/>
      <c r="TUF225" s="37"/>
      <c r="TUG225" s="37"/>
      <c r="TUH225" s="38"/>
      <c r="TUI225" s="38"/>
      <c r="TUJ225" s="39"/>
      <c r="TUK225" s="34"/>
      <c r="TUL225" s="34"/>
      <c r="TUM225" s="34"/>
      <c r="TUN225" s="35"/>
      <c r="TUO225" s="35"/>
      <c r="TUP225" s="35"/>
      <c r="TUQ225" s="35"/>
      <c r="TUR225" s="35"/>
      <c r="TUS225" s="34"/>
      <c r="TUT225" s="34"/>
      <c r="TUU225" s="36"/>
      <c r="TUV225" s="36"/>
      <c r="TUW225" s="37"/>
      <c r="TUX225" s="37"/>
      <c r="TUY225" s="38"/>
      <c r="TUZ225" s="38"/>
      <c r="TVA225" s="39"/>
      <c r="TVB225" s="34"/>
      <c r="TVC225" s="34"/>
      <c r="TVD225" s="34"/>
      <c r="TVE225" s="35"/>
      <c r="TVF225" s="35"/>
      <c r="TVG225" s="35"/>
      <c r="TVH225" s="35"/>
      <c r="TVI225" s="35"/>
      <c r="TVJ225" s="34"/>
      <c r="TVK225" s="34"/>
      <c r="TVL225" s="36"/>
      <c r="TVM225" s="36"/>
      <c r="TVN225" s="37"/>
      <c r="TVO225" s="37"/>
      <c r="TVP225" s="38"/>
      <c r="TVQ225" s="38"/>
      <c r="TVR225" s="39"/>
      <c r="TVS225" s="34"/>
      <c r="TVT225" s="34"/>
      <c r="TVU225" s="34"/>
      <c r="TVV225" s="35"/>
      <c r="TVW225" s="35"/>
      <c r="TVX225" s="35"/>
      <c r="TVY225" s="35"/>
      <c r="TVZ225" s="35"/>
      <c r="TWA225" s="34"/>
      <c r="TWB225" s="34"/>
      <c r="TWC225" s="36"/>
      <c r="TWD225" s="36"/>
      <c r="TWE225" s="37"/>
      <c r="TWF225" s="37"/>
      <c r="TWG225" s="38"/>
      <c r="TWH225" s="38"/>
      <c r="TWI225" s="39"/>
      <c r="TWJ225" s="34"/>
      <c r="TWK225" s="34"/>
      <c r="TWL225" s="34"/>
      <c r="TWM225" s="35"/>
      <c r="TWN225" s="35"/>
      <c r="TWO225" s="35"/>
      <c r="TWP225" s="35"/>
      <c r="TWQ225" s="35"/>
      <c r="TWR225" s="34"/>
      <c r="TWS225" s="34"/>
      <c r="TWT225" s="36"/>
      <c r="TWU225" s="36"/>
      <c r="TWV225" s="37"/>
      <c r="TWW225" s="37"/>
      <c r="TWX225" s="38"/>
      <c r="TWY225" s="38"/>
      <c r="TWZ225" s="39"/>
      <c r="TXA225" s="34"/>
      <c r="TXB225" s="34"/>
      <c r="TXC225" s="34"/>
      <c r="TXD225" s="35"/>
      <c r="TXE225" s="35"/>
      <c r="TXF225" s="35"/>
      <c r="TXG225" s="35"/>
      <c r="TXH225" s="35"/>
      <c r="TXI225" s="34"/>
      <c r="TXJ225" s="34"/>
      <c r="TXK225" s="36"/>
      <c r="TXL225" s="36"/>
      <c r="TXM225" s="37"/>
      <c r="TXN225" s="37"/>
      <c r="TXO225" s="38"/>
      <c r="TXP225" s="38"/>
      <c r="TXQ225" s="39"/>
      <c r="TXR225" s="34"/>
      <c r="TXS225" s="34"/>
      <c r="TXT225" s="34"/>
      <c r="TXU225" s="35"/>
      <c r="TXV225" s="35"/>
      <c r="TXW225" s="35"/>
      <c r="TXX225" s="35"/>
      <c r="TXY225" s="35"/>
      <c r="TXZ225" s="34"/>
      <c r="TYA225" s="34"/>
      <c r="TYB225" s="36"/>
      <c r="TYC225" s="36"/>
      <c r="TYD225" s="37"/>
      <c r="TYE225" s="37"/>
      <c r="TYF225" s="38"/>
      <c r="TYG225" s="38"/>
      <c r="TYH225" s="39"/>
      <c r="TYI225" s="34"/>
      <c r="TYJ225" s="34"/>
      <c r="TYK225" s="34"/>
      <c r="TYL225" s="35"/>
      <c r="TYM225" s="35"/>
      <c r="TYN225" s="35"/>
      <c r="TYO225" s="35"/>
      <c r="TYP225" s="35"/>
      <c r="TYQ225" s="34"/>
      <c r="TYR225" s="34"/>
      <c r="TYS225" s="36"/>
      <c r="TYT225" s="36"/>
      <c r="TYU225" s="37"/>
      <c r="TYV225" s="37"/>
      <c r="TYW225" s="38"/>
      <c r="TYX225" s="38"/>
      <c r="TYY225" s="39"/>
      <c r="TYZ225" s="34"/>
      <c r="TZA225" s="34"/>
      <c r="TZB225" s="34"/>
      <c r="TZC225" s="35"/>
      <c r="TZD225" s="35"/>
      <c r="TZE225" s="35"/>
      <c r="TZF225" s="35"/>
      <c r="TZG225" s="35"/>
      <c r="TZH225" s="34"/>
      <c r="TZI225" s="34"/>
      <c r="TZJ225" s="36"/>
      <c r="TZK225" s="36"/>
      <c r="TZL225" s="37"/>
      <c r="TZM225" s="37"/>
      <c r="TZN225" s="38"/>
      <c r="TZO225" s="38"/>
      <c r="TZP225" s="39"/>
      <c r="TZQ225" s="34"/>
      <c r="TZR225" s="34"/>
      <c r="TZS225" s="34"/>
      <c r="TZT225" s="35"/>
      <c r="TZU225" s="35"/>
      <c r="TZV225" s="35"/>
      <c r="TZW225" s="35"/>
      <c r="TZX225" s="35"/>
      <c r="TZY225" s="34"/>
      <c r="TZZ225" s="34"/>
      <c r="UAA225" s="36"/>
      <c r="UAB225" s="36"/>
      <c r="UAC225" s="37"/>
      <c r="UAD225" s="37"/>
      <c r="UAE225" s="38"/>
      <c r="UAF225" s="38"/>
      <c r="UAG225" s="39"/>
      <c r="UAH225" s="34"/>
      <c r="UAI225" s="34"/>
      <c r="UAJ225" s="34"/>
      <c r="UAK225" s="35"/>
      <c r="UAL225" s="35"/>
      <c r="UAM225" s="35"/>
      <c r="UAN225" s="35"/>
      <c r="UAO225" s="35"/>
      <c r="UAP225" s="34"/>
      <c r="UAQ225" s="34"/>
      <c r="UAR225" s="36"/>
      <c r="UAS225" s="36"/>
      <c r="UAT225" s="37"/>
      <c r="UAU225" s="37"/>
      <c r="UAV225" s="38"/>
      <c r="UAW225" s="38"/>
      <c r="UAX225" s="39"/>
      <c r="UAY225" s="34"/>
      <c r="UAZ225" s="34"/>
      <c r="UBA225" s="34"/>
      <c r="UBB225" s="35"/>
      <c r="UBC225" s="35"/>
      <c r="UBD225" s="35"/>
      <c r="UBE225" s="35"/>
      <c r="UBF225" s="35"/>
      <c r="UBG225" s="34"/>
      <c r="UBH225" s="34"/>
      <c r="UBI225" s="36"/>
      <c r="UBJ225" s="36"/>
      <c r="UBK225" s="37"/>
      <c r="UBL225" s="37"/>
      <c r="UBM225" s="38"/>
      <c r="UBN225" s="38"/>
      <c r="UBO225" s="39"/>
      <c r="UBP225" s="34"/>
      <c r="UBQ225" s="34"/>
      <c r="UBR225" s="34"/>
      <c r="UBS225" s="35"/>
      <c r="UBT225" s="35"/>
      <c r="UBU225" s="35"/>
      <c r="UBV225" s="35"/>
      <c r="UBW225" s="35"/>
      <c r="UBX225" s="34"/>
      <c r="UBY225" s="34"/>
      <c r="UBZ225" s="36"/>
      <c r="UCA225" s="36"/>
      <c r="UCB225" s="37"/>
      <c r="UCC225" s="37"/>
      <c r="UCD225" s="38"/>
      <c r="UCE225" s="38"/>
      <c r="UCF225" s="39"/>
      <c r="UCG225" s="34"/>
      <c r="UCH225" s="34"/>
      <c r="UCI225" s="34"/>
      <c r="UCJ225" s="35"/>
      <c r="UCK225" s="35"/>
      <c r="UCL225" s="35"/>
      <c r="UCM225" s="35"/>
      <c r="UCN225" s="35"/>
      <c r="UCO225" s="34"/>
      <c r="UCP225" s="34"/>
      <c r="UCQ225" s="36"/>
      <c r="UCR225" s="36"/>
      <c r="UCS225" s="37"/>
      <c r="UCT225" s="37"/>
      <c r="UCU225" s="38"/>
      <c r="UCV225" s="38"/>
      <c r="UCW225" s="39"/>
      <c r="UCX225" s="34"/>
      <c r="UCY225" s="34"/>
      <c r="UCZ225" s="34"/>
      <c r="UDA225" s="35"/>
      <c r="UDB225" s="35"/>
      <c r="UDC225" s="35"/>
      <c r="UDD225" s="35"/>
      <c r="UDE225" s="35"/>
      <c r="UDF225" s="34"/>
      <c r="UDG225" s="34"/>
      <c r="UDH225" s="36"/>
      <c r="UDI225" s="36"/>
      <c r="UDJ225" s="37"/>
      <c r="UDK225" s="37"/>
      <c r="UDL225" s="38"/>
      <c r="UDM225" s="38"/>
      <c r="UDN225" s="39"/>
      <c r="UDO225" s="34"/>
      <c r="UDP225" s="34"/>
      <c r="UDQ225" s="34"/>
      <c r="UDR225" s="35"/>
      <c r="UDS225" s="35"/>
      <c r="UDT225" s="35"/>
      <c r="UDU225" s="35"/>
      <c r="UDV225" s="35"/>
      <c r="UDW225" s="34"/>
      <c r="UDX225" s="34"/>
      <c r="UDY225" s="36"/>
      <c r="UDZ225" s="36"/>
      <c r="UEA225" s="37"/>
      <c r="UEB225" s="37"/>
      <c r="UEC225" s="38"/>
      <c r="UED225" s="38"/>
      <c r="UEE225" s="39"/>
      <c r="UEF225" s="34"/>
      <c r="UEG225" s="34"/>
      <c r="UEH225" s="34"/>
      <c r="UEI225" s="35"/>
      <c r="UEJ225" s="35"/>
      <c r="UEK225" s="35"/>
      <c r="UEL225" s="35"/>
      <c r="UEM225" s="35"/>
      <c r="UEN225" s="34"/>
      <c r="UEO225" s="34"/>
      <c r="UEP225" s="36"/>
      <c r="UEQ225" s="36"/>
      <c r="UER225" s="37"/>
      <c r="UES225" s="37"/>
      <c r="UET225" s="38"/>
      <c r="UEU225" s="38"/>
      <c r="UEV225" s="39"/>
      <c r="UEW225" s="34"/>
      <c r="UEX225" s="34"/>
      <c r="UEY225" s="34"/>
      <c r="UEZ225" s="35"/>
      <c r="UFA225" s="35"/>
      <c r="UFB225" s="35"/>
      <c r="UFC225" s="35"/>
      <c r="UFD225" s="35"/>
      <c r="UFE225" s="34"/>
      <c r="UFF225" s="34"/>
      <c r="UFG225" s="36"/>
      <c r="UFH225" s="36"/>
      <c r="UFI225" s="37"/>
      <c r="UFJ225" s="37"/>
      <c r="UFK225" s="38"/>
      <c r="UFL225" s="38"/>
      <c r="UFM225" s="39"/>
      <c r="UFN225" s="34"/>
      <c r="UFO225" s="34"/>
      <c r="UFP225" s="34"/>
      <c r="UFQ225" s="35"/>
      <c r="UFR225" s="35"/>
      <c r="UFS225" s="35"/>
      <c r="UFT225" s="35"/>
      <c r="UFU225" s="35"/>
      <c r="UFV225" s="34"/>
      <c r="UFW225" s="34"/>
      <c r="UFX225" s="36"/>
      <c r="UFY225" s="36"/>
      <c r="UFZ225" s="37"/>
      <c r="UGA225" s="37"/>
      <c r="UGB225" s="38"/>
      <c r="UGC225" s="38"/>
      <c r="UGD225" s="39"/>
      <c r="UGE225" s="34"/>
      <c r="UGF225" s="34"/>
      <c r="UGG225" s="34"/>
      <c r="UGH225" s="35"/>
      <c r="UGI225" s="35"/>
      <c r="UGJ225" s="35"/>
      <c r="UGK225" s="35"/>
      <c r="UGL225" s="35"/>
      <c r="UGM225" s="34"/>
      <c r="UGN225" s="34"/>
      <c r="UGO225" s="36"/>
      <c r="UGP225" s="36"/>
      <c r="UGQ225" s="37"/>
      <c r="UGR225" s="37"/>
      <c r="UGS225" s="38"/>
      <c r="UGT225" s="38"/>
      <c r="UGU225" s="39"/>
      <c r="UGV225" s="34"/>
      <c r="UGW225" s="34"/>
      <c r="UGX225" s="34"/>
      <c r="UGY225" s="35"/>
      <c r="UGZ225" s="35"/>
      <c r="UHA225" s="35"/>
      <c r="UHB225" s="35"/>
      <c r="UHC225" s="35"/>
      <c r="UHD225" s="34"/>
      <c r="UHE225" s="34"/>
      <c r="UHF225" s="36"/>
      <c r="UHG225" s="36"/>
      <c r="UHH225" s="37"/>
      <c r="UHI225" s="37"/>
      <c r="UHJ225" s="38"/>
      <c r="UHK225" s="38"/>
      <c r="UHL225" s="39"/>
      <c r="UHM225" s="34"/>
      <c r="UHN225" s="34"/>
      <c r="UHO225" s="34"/>
      <c r="UHP225" s="35"/>
      <c r="UHQ225" s="35"/>
      <c r="UHR225" s="35"/>
      <c r="UHS225" s="35"/>
      <c r="UHT225" s="35"/>
      <c r="UHU225" s="34"/>
      <c r="UHV225" s="34"/>
      <c r="UHW225" s="36"/>
      <c r="UHX225" s="36"/>
      <c r="UHY225" s="37"/>
      <c r="UHZ225" s="37"/>
      <c r="UIA225" s="38"/>
      <c r="UIB225" s="38"/>
      <c r="UIC225" s="39"/>
      <c r="UID225" s="34"/>
      <c r="UIE225" s="34"/>
      <c r="UIF225" s="34"/>
      <c r="UIG225" s="35"/>
      <c r="UIH225" s="35"/>
      <c r="UII225" s="35"/>
      <c r="UIJ225" s="35"/>
      <c r="UIK225" s="35"/>
      <c r="UIL225" s="34"/>
      <c r="UIM225" s="34"/>
      <c r="UIN225" s="36"/>
      <c r="UIO225" s="36"/>
      <c r="UIP225" s="37"/>
      <c r="UIQ225" s="37"/>
      <c r="UIR225" s="38"/>
      <c r="UIS225" s="38"/>
      <c r="UIT225" s="39"/>
      <c r="UIU225" s="34"/>
      <c r="UIV225" s="34"/>
      <c r="UIW225" s="34"/>
      <c r="UIX225" s="35"/>
      <c r="UIY225" s="35"/>
      <c r="UIZ225" s="35"/>
      <c r="UJA225" s="35"/>
      <c r="UJB225" s="35"/>
      <c r="UJC225" s="34"/>
      <c r="UJD225" s="34"/>
      <c r="UJE225" s="36"/>
      <c r="UJF225" s="36"/>
      <c r="UJG225" s="37"/>
      <c r="UJH225" s="37"/>
      <c r="UJI225" s="38"/>
      <c r="UJJ225" s="38"/>
      <c r="UJK225" s="39"/>
      <c r="UJL225" s="34"/>
      <c r="UJM225" s="34"/>
      <c r="UJN225" s="34"/>
      <c r="UJO225" s="35"/>
      <c r="UJP225" s="35"/>
      <c r="UJQ225" s="35"/>
      <c r="UJR225" s="35"/>
      <c r="UJS225" s="35"/>
      <c r="UJT225" s="34"/>
      <c r="UJU225" s="34"/>
      <c r="UJV225" s="36"/>
      <c r="UJW225" s="36"/>
      <c r="UJX225" s="37"/>
      <c r="UJY225" s="37"/>
      <c r="UJZ225" s="38"/>
      <c r="UKA225" s="38"/>
      <c r="UKB225" s="39"/>
      <c r="UKC225" s="34"/>
      <c r="UKD225" s="34"/>
      <c r="UKE225" s="34"/>
      <c r="UKF225" s="35"/>
      <c r="UKG225" s="35"/>
      <c r="UKH225" s="35"/>
      <c r="UKI225" s="35"/>
      <c r="UKJ225" s="35"/>
      <c r="UKK225" s="34"/>
      <c r="UKL225" s="34"/>
      <c r="UKM225" s="36"/>
      <c r="UKN225" s="36"/>
      <c r="UKO225" s="37"/>
      <c r="UKP225" s="37"/>
      <c r="UKQ225" s="38"/>
      <c r="UKR225" s="38"/>
      <c r="UKS225" s="39"/>
      <c r="UKT225" s="34"/>
      <c r="UKU225" s="34"/>
      <c r="UKV225" s="34"/>
      <c r="UKW225" s="35"/>
      <c r="UKX225" s="35"/>
      <c r="UKY225" s="35"/>
      <c r="UKZ225" s="35"/>
      <c r="ULA225" s="35"/>
      <c r="ULB225" s="34"/>
      <c r="ULC225" s="34"/>
      <c r="ULD225" s="36"/>
      <c r="ULE225" s="36"/>
      <c r="ULF225" s="37"/>
      <c r="ULG225" s="37"/>
      <c r="ULH225" s="38"/>
      <c r="ULI225" s="38"/>
      <c r="ULJ225" s="39"/>
      <c r="ULK225" s="34"/>
      <c r="ULL225" s="34"/>
      <c r="ULM225" s="34"/>
      <c r="ULN225" s="35"/>
      <c r="ULO225" s="35"/>
      <c r="ULP225" s="35"/>
      <c r="ULQ225" s="35"/>
      <c r="ULR225" s="35"/>
      <c r="ULS225" s="34"/>
      <c r="ULT225" s="34"/>
      <c r="ULU225" s="36"/>
      <c r="ULV225" s="36"/>
      <c r="ULW225" s="37"/>
      <c r="ULX225" s="37"/>
      <c r="ULY225" s="38"/>
      <c r="ULZ225" s="38"/>
      <c r="UMA225" s="39"/>
      <c r="UMB225" s="34"/>
      <c r="UMC225" s="34"/>
      <c r="UMD225" s="34"/>
      <c r="UME225" s="35"/>
      <c r="UMF225" s="35"/>
      <c r="UMG225" s="35"/>
      <c r="UMH225" s="35"/>
      <c r="UMI225" s="35"/>
      <c r="UMJ225" s="34"/>
      <c r="UMK225" s="34"/>
      <c r="UML225" s="36"/>
      <c r="UMM225" s="36"/>
      <c r="UMN225" s="37"/>
      <c r="UMO225" s="37"/>
      <c r="UMP225" s="38"/>
      <c r="UMQ225" s="38"/>
      <c r="UMR225" s="39"/>
      <c r="UMS225" s="34"/>
      <c r="UMT225" s="34"/>
      <c r="UMU225" s="34"/>
      <c r="UMV225" s="35"/>
      <c r="UMW225" s="35"/>
      <c r="UMX225" s="35"/>
      <c r="UMY225" s="35"/>
      <c r="UMZ225" s="35"/>
      <c r="UNA225" s="34"/>
      <c r="UNB225" s="34"/>
      <c r="UNC225" s="36"/>
      <c r="UND225" s="36"/>
      <c r="UNE225" s="37"/>
      <c r="UNF225" s="37"/>
      <c r="UNG225" s="38"/>
      <c r="UNH225" s="38"/>
      <c r="UNI225" s="39"/>
      <c r="UNJ225" s="34"/>
      <c r="UNK225" s="34"/>
      <c r="UNL225" s="34"/>
      <c r="UNM225" s="35"/>
      <c r="UNN225" s="35"/>
      <c r="UNO225" s="35"/>
      <c r="UNP225" s="35"/>
      <c r="UNQ225" s="35"/>
      <c r="UNR225" s="34"/>
      <c r="UNS225" s="34"/>
      <c r="UNT225" s="36"/>
      <c r="UNU225" s="36"/>
      <c r="UNV225" s="37"/>
      <c r="UNW225" s="37"/>
      <c r="UNX225" s="38"/>
      <c r="UNY225" s="38"/>
      <c r="UNZ225" s="39"/>
      <c r="UOA225" s="34"/>
      <c r="UOB225" s="34"/>
      <c r="UOC225" s="34"/>
      <c r="UOD225" s="35"/>
      <c r="UOE225" s="35"/>
      <c r="UOF225" s="35"/>
      <c r="UOG225" s="35"/>
      <c r="UOH225" s="35"/>
      <c r="UOI225" s="34"/>
      <c r="UOJ225" s="34"/>
      <c r="UOK225" s="36"/>
      <c r="UOL225" s="36"/>
      <c r="UOM225" s="37"/>
      <c r="UON225" s="37"/>
      <c r="UOO225" s="38"/>
      <c r="UOP225" s="38"/>
      <c r="UOQ225" s="39"/>
      <c r="UOR225" s="34"/>
      <c r="UOS225" s="34"/>
      <c r="UOT225" s="34"/>
      <c r="UOU225" s="35"/>
      <c r="UOV225" s="35"/>
      <c r="UOW225" s="35"/>
      <c r="UOX225" s="35"/>
      <c r="UOY225" s="35"/>
      <c r="UOZ225" s="34"/>
      <c r="UPA225" s="34"/>
      <c r="UPB225" s="36"/>
      <c r="UPC225" s="36"/>
      <c r="UPD225" s="37"/>
      <c r="UPE225" s="37"/>
      <c r="UPF225" s="38"/>
      <c r="UPG225" s="38"/>
      <c r="UPH225" s="39"/>
      <c r="UPI225" s="34"/>
      <c r="UPJ225" s="34"/>
      <c r="UPK225" s="34"/>
      <c r="UPL225" s="35"/>
      <c r="UPM225" s="35"/>
      <c r="UPN225" s="35"/>
      <c r="UPO225" s="35"/>
      <c r="UPP225" s="35"/>
      <c r="UPQ225" s="34"/>
      <c r="UPR225" s="34"/>
      <c r="UPS225" s="36"/>
      <c r="UPT225" s="36"/>
      <c r="UPU225" s="37"/>
      <c r="UPV225" s="37"/>
      <c r="UPW225" s="38"/>
      <c r="UPX225" s="38"/>
      <c r="UPY225" s="39"/>
      <c r="UPZ225" s="34"/>
      <c r="UQA225" s="34"/>
      <c r="UQB225" s="34"/>
      <c r="UQC225" s="35"/>
      <c r="UQD225" s="35"/>
      <c r="UQE225" s="35"/>
      <c r="UQF225" s="35"/>
      <c r="UQG225" s="35"/>
      <c r="UQH225" s="34"/>
      <c r="UQI225" s="34"/>
      <c r="UQJ225" s="36"/>
      <c r="UQK225" s="36"/>
      <c r="UQL225" s="37"/>
      <c r="UQM225" s="37"/>
      <c r="UQN225" s="38"/>
      <c r="UQO225" s="38"/>
      <c r="UQP225" s="39"/>
      <c r="UQQ225" s="34"/>
      <c r="UQR225" s="34"/>
      <c r="UQS225" s="34"/>
      <c r="UQT225" s="35"/>
      <c r="UQU225" s="35"/>
      <c r="UQV225" s="35"/>
      <c r="UQW225" s="35"/>
      <c r="UQX225" s="35"/>
      <c r="UQY225" s="34"/>
      <c r="UQZ225" s="34"/>
      <c r="URA225" s="36"/>
      <c r="URB225" s="36"/>
      <c r="URC225" s="37"/>
      <c r="URD225" s="37"/>
      <c r="URE225" s="38"/>
      <c r="URF225" s="38"/>
      <c r="URG225" s="39"/>
      <c r="URH225" s="34"/>
      <c r="URI225" s="34"/>
      <c r="URJ225" s="34"/>
      <c r="URK225" s="35"/>
      <c r="URL225" s="35"/>
      <c r="URM225" s="35"/>
      <c r="URN225" s="35"/>
      <c r="URO225" s="35"/>
      <c r="URP225" s="34"/>
      <c r="URQ225" s="34"/>
      <c r="URR225" s="36"/>
      <c r="URS225" s="36"/>
      <c r="URT225" s="37"/>
      <c r="URU225" s="37"/>
      <c r="URV225" s="38"/>
      <c r="URW225" s="38"/>
      <c r="URX225" s="39"/>
      <c r="URY225" s="34"/>
      <c r="URZ225" s="34"/>
      <c r="USA225" s="34"/>
      <c r="USB225" s="35"/>
      <c r="USC225" s="35"/>
      <c r="USD225" s="35"/>
      <c r="USE225" s="35"/>
      <c r="USF225" s="35"/>
      <c r="USG225" s="34"/>
      <c r="USH225" s="34"/>
      <c r="USI225" s="36"/>
      <c r="USJ225" s="36"/>
      <c r="USK225" s="37"/>
      <c r="USL225" s="37"/>
      <c r="USM225" s="38"/>
      <c r="USN225" s="38"/>
      <c r="USO225" s="39"/>
      <c r="USP225" s="34"/>
      <c r="USQ225" s="34"/>
      <c r="USR225" s="34"/>
      <c r="USS225" s="35"/>
      <c r="UST225" s="35"/>
      <c r="USU225" s="35"/>
      <c r="USV225" s="35"/>
      <c r="USW225" s="35"/>
      <c r="USX225" s="34"/>
      <c r="USY225" s="34"/>
      <c r="USZ225" s="36"/>
      <c r="UTA225" s="36"/>
      <c r="UTB225" s="37"/>
      <c r="UTC225" s="37"/>
      <c r="UTD225" s="38"/>
      <c r="UTE225" s="38"/>
      <c r="UTF225" s="39"/>
      <c r="UTG225" s="34"/>
      <c r="UTH225" s="34"/>
      <c r="UTI225" s="34"/>
      <c r="UTJ225" s="35"/>
      <c r="UTK225" s="35"/>
      <c r="UTL225" s="35"/>
      <c r="UTM225" s="35"/>
      <c r="UTN225" s="35"/>
      <c r="UTO225" s="34"/>
      <c r="UTP225" s="34"/>
      <c r="UTQ225" s="36"/>
      <c r="UTR225" s="36"/>
      <c r="UTS225" s="37"/>
      <c r="UTT225" s="37"/>
      <c r="UTU225" s="38"/>
      <c r="UTV225" s="38"/>
      <c r="UTW225" s="39"/>
      <c r="UTX225" s="34"/>
      <c r="UTY225" s="34"/>
      <c r="UTZ225" s="34"/>
      <c r="UUA225" s="35"/>
      <c r="UUB225" s="35"/>
      <c r="UUC225" s="35"/>
      <c r="UUD225" s="35"/>
      <c r="UUE225" s="35"/>
      <c r="UUF225" s="34"/>
      <c r="UUG225" s="34"/>
      <c r="UUH225" s="36"/>
      <c r="UUI225" s="36"/>
      <c r="UUJ225" s="37"/>
      <c r="UUK225" s="37"/>
      <c r="UUL225" s="38"/>
      <c r="UUM225" s="38"/>
      <c r="UUN225" s="39"/>
      <c r="UUO225" s="34"/>
      <c r="UUP225" s="34"/>
      <c r="UUQ225" s="34"/>
      <c r="UUR225" s="35"/>
      <c r="UUS225" s="35"/>
      <c r="UUT225" s="35"/>
      <c r="UUU225" s="35"/>
      <c r="UUV225" s="35"/>
      <c r="UUW225" s="34"/>
      <c r="UUX225" s="34"/>
      <c r="UUY225" s="36"/>
      <c r="UUZ225" s="36"/>
      <c r="UVA225" s="37"/>
      <c r="UVB225" s="37"/>
      <c r="UVC225" s="38"/>
      <c r="UVD225" s="38"/>
      <c r="UVE225" s="39"/>
      <c r="UVF225" s="34"/>
      <c r="UVG225" s="34"/>
      <c r="UVH225" s="34"/>
      <c r="UVI225" s="35"/>
      <c r="UVJ225" s="35"/>
      <c r="UVK225" s="35"/>
      <c r="UVL225" s="35"/>
      <c r="UVM225" s="35"/>
      <c r="UVN225" s="34"/>
      <c r="UVO225" s="34"/>
      <c r="UVP225" s="36"/>
      <c r="UVQ225" s="36"/>
      <c r="UVR225" s="37"/>
      <c r="UVS225" s="37"/>
      <c r="UVT225" s="38"/>
      <c r="UVU225" s="38"/>
      <c r="UVV225" s="39"/>
      <c r="UVW225" s="34"/>
      <c r="UVX225" s="34"/>
      <c r="UVY225" s="34"/>
      <c r="UVZ225" s="35"/>
      <c r="UWA225" s="35"/>
      <c r="UWB225" s="35"/>
      <c r="UWC225" s="35"/>
      <c r="UWD225" s="35"/>
      <c r="UWE225" s="34"/>
      <c r="UWF225" s="34"/>
      <c r="UWG225" s="36"/>
      <c r="UWH225" s="36"/>
      <c r="UWI225" s="37"/>
      <c r="UWJ225" s="37"/>
      <c r="UWK225" s="38"/>
      <c r="UWL225" s="38"/>
      <c r="UWM225" s="39"/>
      <c r="UWN225" s="34"/>
      <c r="UWO225" s="34"/>
      <c r="UWP225" s="34"/>
      <c r="UWQ225" s="35"/>
      <c r="UWR225" s="35"/>
      <c r="UWS225" s="35"/>
      <c r="UWT225" s="35"/>
      <c r="UWU225" s="35"/>
      <c r="UWV225" s="34"/>
      <c r="UWW225" s="34"/>
      <c r="UWX225" s="36"/>
      <c r="UWY225" s="36"/>
      <c r="UWZ225" s="37"/>
      <c r="UXA225" s="37"/>
      <c r="UXB225" s="38"/>
      <c r="UXC225" s="38"/>
      <c r="UXD225" s="39"/>
      <c r="UXE225" s="34"/>
      <c r="UXF225" s="34"/>
      <c r="UXG225" s="34"/>
      <c r="UXH225" s="35"/>
      <c r="UXI225" s="35"/>
      <c r="UXJ225" s="35"/>
      <c r="UXK225" s="35"/>
      <c r="UXL225" s="35"/>
      <c r="UXM225" s="34"/>
      <c r="UXN225" s="34"/>
      <c r="UXO225" s="36"/>
      <c r="UXP225" s="36"/>
      <c r="UXQ225" s="37"/>
      <c r="UXR225" s="37"/>
      <c r="UXS225" s="38"/>
      <c r="UXT225" s="38"/>
      <c r="UXU225" s="39"/>
      <c r="UXV225" s="34"/>
      <c r="UXW225" s="34"/>
      <c r="UXX225" s="34"/>
      <c r="UXY225" s="35"/>
      <c r="UXZ225" s="35"/>
      <c r="UYA225" s="35"/>
      <c r="UYB225" s="35"/>
      <c r="UYC225" s="35"/>
      <c r="UYD225" s="34"/>
      <c r="UYE225" s="34"/>
      <c r="UYF225" s="36"/>
      <c r="UYG225" s="36"/>
      <c r="UYH225" s="37"/>
      <c r="UYI225" s="37"/>
      <c r="UYJ225" s="38"/>
      <c r="UYK225" s="38"/>
      <c r="UYL225" s="39"/>
      <c r="UYM225" s="34"/>
      <c r="UYN225" s="34"/>
      <c r="UYO225" s="34"/>
      <c r="UYP225" s="35"/>
      <c r="UYQ225" s="35"/>
      <c r="UYR225" s="35"/>
      <c r="UYS225" s="35"/>
      <c r="UYT225" s="35"/>
      <c r="UYU225" s="34"/>
      <c r="UYV225" s="34"/>
      <c r="UYW225" s="36"/>
      <c r="UYX225" s="36"/>
      <c r="UYY225" s="37"/>
      <c r="UYZ225" s="37"/>
      <c r="UZA225" s="38"/>
      <c r="UZB225" s="38"/>
      <c r="UZC225" s="39"/>
      <c r="UZD225" s="34"/>
      <c r="UZE225" s="34"/>
      <c r="UZF225" s="34"/>
      <c r="UZG225" s="35"/>
      <c r="UZH225" s="35"/>
      <c r="UZI225" s="35"/>
      <c r="UZJ225" s="35"/>
      <c r="UZK225" s="35"/>
      <c r="UZL225" s="34"/>
      <c r="UZM225" s="34"/>
      <c r="UZN225" s="36"/>
      <c r="UZO225" s="36"/>
      <c r="UZP225" s="37"/>
      <c r="UZQ225" s="37"/>
      <c r="UZR225" s="38"/>
      <c r="UZS225" s="38"/>
      <c r="UZT225" s="39"/>
      <c r="UZU225" s="34"/>
      <c r="UZV225" s="34"/>
      <c r="UZW225" s="34"/>
      <c r="UZX225" s="35"/>
      <c r="UZY225" s="35"/>
      <c r="UZZ225" s="35"/>
      <c r="VAA225" s="35"/>
      <c r="VAB225" s="35"/>
      <c r="VAC225" s="34"/>
      <c r="VAD225" s="34"/>
      <c r="VAE225" s="36"/>
      <c r="VAF225" s="36"/>
      <c r="VAG225" s="37"/>
      <c r="VAH225" s="37"/>
      <c r="VAI225" s="38"/>
      <c r="VAJ225" s="38"/>
      <c r="VAK225" s="39"/>
      <c r="VAL225" s="34"/>
      <c r="VAM225" s="34"/>
      <c r="VAN225" s="34"/>
      <c r="VAO225" s="35"/>
      <c r="VAP225" s="35"/>
      <c r="VAQ225" s="35"/>
      <c r="VAR225" s="35"/>
      <c r="VAS225" s="35"/>
      <c r="VAT225" s="34"/>
      <c r="VAU225" s="34"/>
      <c r="VAV225" s="36"/>
      <c r="VAW225" s="36"/>
      <c r="VAX225" s="37"/>
      <c r="VAY225" s="37"/>
      <c r="VAZ225" s="38"/>
      <c r="VBA225" s="38"/>
      <c r="VBB225" s="39"/>
      <c r="VBC225" s="34"/>
      <c r="VBD225" s="34"/>
      <c r="VBE225" s="34"/>
      <c r="VBF225" s="35"/>
      <c r="VBG225" s="35"/>
      <c r="VBH225" s="35"/>
      <c r="VBI225" s="35"/>
      <c r="VBJ225" s="35"/>
      <c r="VBK225" s="34"/>
      <c r="VBL225" s="34"/>
      <c r="VBM225" s="36"/>
      <c r="VBN225" s="36"/>
      <c r="VBO225" s="37"/>
      <c r="VBP225" s="37"/>
      <c r="VBQ225" s="38"/>
      <c r="VBR225" s="38"/>
      <c r="VBS225" s="39"/>
      <c r="VBT225" s="34"/>
      <c r="VBU225" s="34"/>
      <c r="VBV225" s="34"/>
      <c r="VBW225" s="35"/>
      <c r="VBX225" s="35"/>
      <c r="VBY225" s="35"/>
      <c r="VBZ225" s="35"/>
      <c r="VCA225" s="35"/>
      <c r="VCB225" s="34"/>
      <c r="VCC225" s="34"/>
      <c r="VCD225" s="36"/>
      <c r="VCE225" s="36"/>
      <c r="VCF225" s="37"/>
      <c r="VCG225" s="37"/>
      <c r="VCH225" s="38"/>
      <c r="VCI225" s="38"/>
      <c r="VCJ225" s="39"/>
      <c r="VCK225" s="34"/>
      <c r="VCL225" s="34"/>
      <c r="VCM225" s="34"/>
      <c r="VCN225" s="35"/>
      <c r="VCO225" s="35"/>
      <c r="VCP225" s="35"/>
      <c r="VCQ225" s="35"/>
      <c r="VCR225" s="35"/>
      <c r="VCS225" s="34"/>
      <c r="VCT225" s="34"/>
      <c r="VCU225" s="36"/>
      <c r="VCV225" s="36"/>
      <c r="VCW225" s="37"/>
      <c r="VCX225" s="37"/>
      <c r="VCY225" s="38"/>
      <c r="VCZ225" s="38"/>
      <c r="VDA225" s="39"/>
      <c r="VDB225" s="34"/>
      <c r="VDC225" s="34"/>
      <c r="VDD225" s="34"/>
      <c r="VDE225" s="35"/>
      <c r="VDF225" s="35"/>
      <c r="VDG225" s="35"/>
      <c r="VDH225" s="35"/>
      <c r="VDI225" s="35"/>
      <c r="VDJ225" s="34"/>
      <c r="VDK225" s="34"/>
      <c r="VDL225" s="36"/>
      <c r="VDM225" s="36"/>
      <c r="VDN225" s="37"/>
      <c r="VDO225" s="37"/>
      <c r="VDP225" s="38"/>
      <c r="VDQ225" s="38"/>
      <c r="VDR225" s="39"/>
      <c r="VDS225" s="34"/>
      <c r="VDT225" s="34"/>
      <c r="VDU225" s="34"/>
      <c r="VDV225" s="35"/>
      <c r="VDW225" s="35"/>
      <c r="VDX225" s="35"/>
      <c r="VDY225" s="35"/>
      <c r="VDZ225" s="35"/>
      <c r="VEA225" s="34"/>
      <c r="VEB225" s="34"/>
      <c r="VEC225" s="36"/>
      <c r="VED225" s="36"/>
      <c r="VEE225" s="37"/>
      <c r="VEF225" s="37"/>
      <c r="VEG225" s="38"/>
      <c r="VEH225" s="38"/>
      <c r="VEI225" s="39"/>
      <c r="VEJ225" s="34"/>
      <c r="VEK225" s="34"/>
      <c r="VEL225" s="34"/>
      <c r="VEM225" s="35"/>
      <c r="VEN225" s="35"/>
      <c r="VEO225" s="35"/>
      <c r="VEP225" s="35"/>
      <c r="VEQ225" s="35"/>
      <c r="VER225" s="34"/>
      <c r="VES225" s="34"/>
      <c r="VET225" s="36"/>
      <c r="VEU225" s="36"/>
      <c r="VEV225" s="37"/>
      <c r="VEW225" s="37"/>
      <c r="VEX225" s="38"/>
      <c r="VEY225" s="38"/>
      <c r="VEZ225" s="39"/>
      <c r="VFA225" s="34"/>
      <c r="VFB225" s="34"/>
      <c r="VFC225" s="34"/>
      <c r="VFD225" s="35"/>
      <c r="VFE225" s="35"/>
      <c r="VFF225" s="35"/>
      <c r="VFG225" s="35"/>
      <c r="VFH225" s="35"/>
      <c r="VFI225" s="34"/>
      <c r="VFJ225" s="34"/>
      <c r="VFK225" s="36"/>
      <c r="VFL225" s="36"/>
      <c r="VFM225" s="37"/>
      <c r="VFN225" s="37"/>
      <c r="VFO225" s="38"/>
      <c r="VFP225" s="38"/>
      <c r="VFQ225" s="39"/>
      <c r="VFR225" s="34"/>
      <c r="VFS225" s="34"/>
      <c r="VFT225" s="34"/>
      <c r="VFU225" s="35"/>
      <c r="VFV225" s="35"/>
      <c r="VFW225" s="35"/>
      <c r="VFX225" s="35"/>
      <c r="VFY225" s="35"/>
      <c r="VFZ225" s="34"/>
      <c r="VGA225" s="34"/>
      <c r="VGB225" s="36"/>
      <c r="VGC225" s="36"/>
      <c r="VGD225" s="37"/>
      <c r="VGE225" s="37"/>
      <c r="VGF225" s="38"/>
      <c r="VGG225" s="38"/>
      <c r="VGH225" s="39"/>
      <c r="VGI225" s="34"/>
      <c r="VGJ225" s="34"/>
      <c r="VGK225" s="34"/>
      <c r="VGL225" s="35"/>
      <c r="VGM225" s="35"/>
      <c r="VGN225" s="35"/>
      <c r="VGO225" s="35"/>
      <c r="VGP225" s="35"/>
      <c r="VGQ225" s="34"/>
      <c r="VGR225" s="34"/>
      <c r="VGS225" s="36"/>
      <c r="VGT225" s="36"/>
      <c r="VGU225" s="37"/>
      <c r="VGV225" s="37"/>
      <c r="VGW225" s="38"/>
      <c r="VGX225" s="38"/>
      <c r="VGY225" s="39"/>
      <c r="VGZ225" s="34"/>
      <c r="VHA225" s="34"/>
      <c r="VHB225" s="34"/>
      <c r="VHC225" s="35"/>
      <c r="VHD225" s="35"/>
      <c r="VHE225" s="35"/>
      <c r="VHF225" s="35"/>
      <c r="VHG225" s="35"/>
      <c r="VHH225" s="34"/>
      <c r="VHI225" s="34"/>
      <c r="VHJ225" s="36"/>
      <c r="VHK225" s="36"/>
      <c r="VHL225" s="37"/>
      <c r="VHM225" s="37"/>
      <c r="VHN225" s="38"/>
      <c r="VHO225" s="38"/>
      <c r="VHP225" s="39"/>
      <c r="VHQ225" s="34"/>
      <c r="VHR225" s="34"/>
      <c r="VHS225" s="34"/>
      <c r="VHT225" s="35"/>
      <c r="VHU225" s="35"/>
      <c r="VHV225" s="35"/>
      <c r="VHW225" s="35"/>
      <c r="VHX225" s="35"/>
      <c r="VHY225" s="34"/>
      <c r="VHZ225" s="34"/>
      <c r="VIA225" s="36"/>
      <c r="VIB225" s="36"/>
      <c r="VIC225" s="37"/>
      <c r="VID225" s="37"/>
      <c r="VIE225" s="38"/>
      <c r="VIF225" s="38"/>
      <c r="VIG225" s="39"/>
      <c r="VIH225" s="34"/>
      <c r="VII225" s="34"/>
      <c r="VIJ225" s="34"/>
      <c r="VIK225" s="35"/>
      <c r="VIL225" s="35"/>
      <c r="VIM225" s="35"/>
      <c r="VIN225" s="35"/>
      <c r="VIO225" s="35"/>
      <c r="VIP225" s="34"/>
      <c r="VIQ225" s="34"/>
      <c r="VIR225" s="36"/>
      <c r="VIS225" s="36"/>
      <c r="VIT225" s="37"/>
      <c r="VIU225" s="37"/>
      <c r="VIV225" s="38"/>
      <c r="VIW225" s="38"/>
      <c r="VIX225" s="39"/>
      <c r="VIY225" s="34"/>
      <c r="VIZ225" s="34"/>
      <c r="VJA225" s="34"/>
      <c r="VJB225" s="35"/>
      <c r="VJC225" s="35"/>
      <c r="VJD225" s="35"/>
      <c r="VJE225" s="35"/>
      <c r="VJF225" s="35"/>
      <c r="VJG225" s="34"/>
      <c r="VJH225" s="34"/>
      <c r="VJI225" s="36"/>
      <c r="VJJ225" s="36"/>
      <c r="VJK225" s="37"/>
      <c r="VJL225" s="37"/>
      <c r="VJM225" s="38"/>
      <c r="VJN225" s="38"/>
      <c r="VJO225" s="39"/>
      <c r="VJP225" s="34"/>
      <c r="VJQ225" s="34"/>
      <c r="VJR225" s="34"/>
      <c r="VJS225" s="35"/>
      <c r="VJT225" s="35"/>
      <c r="VJU225" s="35"/>
      <c r="VJV225" s="35"/>
      <c r="VJW225" s="35"/>
      <c r="VJX225" s="34"/>
      <c r="VJY225" s="34"/>
      <c r="VJZ225" s="36"/>
      <c r="VKA225" s="36"/>
      <c r="VKB225" s="37"/>
      <c r="VKC225" s="37"/>
      <c r="VKD225" s="38"/>
      <c r="VKE225" s="38"/>
      <c r="VKF225" s="39"/>
      <c r="VKG225" s="34"/>
      <c r="VKH225" s="34"/>
      <c r="VKI225" s="34"/>
      <c r="VKJ225" s="35"/>
      <c r="VKK225" s="35"/>
      <c r="VKL225" s="35"/>
      <c r="VKM225" s="35"/>
      <c r="VKN225" s="35"/>
      <c r="VKO225" s="34"/>
      <c r="VKP225" s="34"/>
      <c r="VKQ225" s="36"/>
      <c r="VKR225" s="36"/>
      <c r="VKS225" s="37"/>
      <c r="VKT225" s="37"/>
      <c r="VKU225" s="38"/>
      <c r="VKV225" s="38"/>
      <c r="VKW225" s="39"/>
      <c r="VKX225" s="34"/>
      <c r="VKY225" s="34"/>
      <c r="VKZ225" s="34"/>
      <c r="VLA225" s="35"/>
      <c r="VLB225" s="35"/>
      <c r="VLC225" s="35"/>
      <c r="VLD225" s="35"/>
      <c r="VLE225" s="35"/>
      <c r="VLF225" s="34"/>
      <c r="VLG225" s="34"/>
      <c r="VLH225" s="36"/>
      <c r="VLI225" s="36"/>
      <c r="VLJ225" s="37"/>
      <c r="VLK225" s="37"/>
      <c r="VLL225" s="38"/>
      <c r="VLM225" s="38"/>
      <c r="VLN225" s="39"/>
      <c r="VLO225" s="34"/>
      <c r="VLP225" s="34"/>
      <c r="VLQ225" s="34"/>
      <c r="VLR225" s="35"/>
      <c r="VLS225" s="35"/>
      <c r="VLT225" s="35"/>
      <c r="VLU225" s="35"/>
      <c r="VLV225" s="35"/>
      <c r="VLW225" s="34"/>
      <c r="VLX225" s="34"/>
      <c r="VLY225" s="36"/>
      <c r="VLZ225" s="36"/>
      <c r="VMA225" s="37"/>
      <c r="VMB225" s="37"/>
      <c r="VMC225" s="38"/>
      <c r="VMD225" s="38"/>
      <c r="VME225" s="39"/>
      <c r="VMF225" s="34"/>
      <c r="VMG225" s="34"/>
      <c r="VMH225" s="34"/>
      <c r="VMI225" s="35"/>
      <c r="VMJ225" s="35"/>
      <c r="VMK225" s="35"/>
      <c r="VML225" s="35"/>
      <c r="VMM225" s="35"/>
      <c r="VMN225" s="34"/>
      <c r="VMO225" s="34"/>
      <c r="VMP225" s="36"/>
      <c r="VMQ225" s="36"/>
      <c r="VMR225" s="37"/>
      <c r="VMS225" s="37"/>
      <c r="VMT225" s="38"/>
      <c r="VMU225" s="38"/>
      <c r="VMV225" s="39"/>
      <c r="VMW225" s="34"/>
      <c r="VMX225" s="34"/>
      <c r="VMY225" s="34"/>
      <c r="VMZ225" s="35"/>
      <c r="VNA225" s="35"/>
      <c r="VNB225" s="35"/>
      <c r="VNC225" s="35"/>
      <c r="VND225" s="35"/>
      <c r="VNE225" s="34"/>
      <c r="VNF225" s="34"/>
      <c r="VNG225" s="36"/>
      <c r="VNH225" s="36"/>
      <c r="VNI225" s="37"/>
      <c r="VNJ225" s="37"/>
      <c r="VNK225" s="38"/>
      <c r="VNL225" s="38"/>
      <c r="VNM225" s="39"/>
      <c r="VNN225" s="34"/>
      <c r="VNO225" s="34"/>
      <c r="VNP225" s="34"/>
      <c r="VNQ225" s="35"/>
      <c r="VNR225" s="35"/>
      <c r="VNS225" s="35"/>
      <c r="VNT225" s="35"/>
      <c r="VNU225" s="35"/>
      <c r="VNV225" s="34"/>
      <c r="VNW225" s="34"/>
      <c r="VNX225" s="36"/>
      <c r="VNY225" s="36"/>
      <c r="VNZ225" s="37"/>
      <c r="VOA225" s="37"/>
      <c r="VOB225" s="38"/>
      <c r="VOC225" s="38"/>
      <c r="VOD225" s="39"/>
      <c r="VOE225" s="34"/>
      <c r="VOF225" s="34"/>
      <c r="VOG225" s="34"/>
      <c r="VOH225" s="35"/>
      <c r="VOI225" s="35"/>
      <c r="VOJ225" s="35"/>
      <c r="VOK225" s="35"/>
      <c r="VOL225" s="35"/>
      <c r="VOM225" s="34"/>
      <c r="VON225" s="34"/>
      <c r="VOO225" s="36"/>
      <c r="VOP225" s="36"/>
      <c r="VOQ225" s="37"/>
      <c r="VOR225" s="37"/>
      <c r="VOS225" s="38"/>
      <c r="VOT225" s="38"/>
      <c r="VOU225" s="39"/>
      <c r="VOV225" s="34"/>
      <c r="VOW225" s="34"/>
      <c r="VOX225" s="34"/>
      <c r="VOY225" s="35"/>
      <c r="VOZ225" s="35"/>
      <c r="VPA225" s="35"/>
      <c r="VPB225" s="35"/>
      <c r="VPC225" s="35"/>
      <c r="VPD225" s="34"/>
      <c r="VPE225" s="34"/>
      <c r="VPF225" s="36"/>
      <c r="VPG225" s="36"/>
      <c r="VPH225" s="37"/>
      <c r="VPI225" s="37"/>
      <c r="VPJ225" s="38"/>
      <c r="VPK225" s="38"/>
      <c r="VPL225" s="39"/>
      <c r="VPM225" s="34"/>
      <c r="VPN225" s="34"/>
      <c r="VPO225" s="34"/>
      <c r="VPP225" s="35"/>
      <c r="VPQ225" s="35"/>
      <c r="VPR225" s="35"/>
      <c r="VPS225" s="35"/>
      <c r="VPT225" s="35"/>
      <c r="VPU225" s="34"/>
      <c r="VPV225" s="34"/>
      <c r="VPW225" s="36"/>
      <c r="VPX225" s="36"/>
      <c r="VPY225" s="37"/>
      <c r="VPZ225" s="37"/>
      <c r="VQA225" s="38"/>
      <c r="VQB225" s="38"/>
      <c r="VQC225" s="39"/>
      <c r="VQD225" s="34"/>
      <c r="VQE225" s="34"/>
      <c r="VQF225" s="34"/>
      <c r="VQG225" s="35"/>
      <c r="VQH225" s="35"/>
      <c r="VQI225" s="35"/>
      <c r="VQJ225" s="35"/>
      <c r="VQK225" s="35"/>
      <c r="VQL225" s="34"/>
      <c r="VQM225" s="34"/>
      <c r="VQN225" s="36"/>
      <c r="VQO225" s="36"/>
      <c r="VQP225" s="37"/>
      <c r="VQQ225" s="37"/>
      <c r="VQR225" s="38"/>
      <c r="VQS225" s="38"/>
      <c r="VQT225" s="39"/>
      <c r="VQU225" s="34"/>
      <c r="VQV225" s="34"/>
      <c r="VQW225" s="34"/>
      <c r="VQX225" s="35"/>
      <c r="VQY225" s="35"/>
      <c r="VQZ225" s="35"/>
      <c r="VRA225" s="35"/>
      <c r="VRB225" s="35"/>
      <c r="VRC225" s="34"/>
      <c r="VRD225" s="34"/>
      <c r="VRE225" s="36"/>
      <c r="VRF225" s="36"/>
      <c r="VRG225" s="37"/>
      <c r="VRH225" s="37"/>
      <c r="VRI225" s="38"/>
      <c r="VRJ225" s="38"/>
      <c r="VRK225" s="39"/>
      <c r="VRL225" s="34"/>
      <c r="VRM225" s="34"/>
      <c r="VRN225" s="34"/>
      <c r="VRO225" s="35"/>
      <c r="VRP225" s="35"/>
      <c r="VRQ225" s="35"/>
      <c r="VRR225" s="35"/>
      <c r="VRS225" s="35"/>
      <c r="VRT225" s="34"/>
      <c r="VRU225" s="34"/>
      <c r="VRV225" s="36"/>
      <c r="VRW225" s="36"/>
      <c r="VRX225" s="37"/>
      <c r="VRY225" s="37"/>
      <c r="VRZ225" s="38"/>
      <c r="VSA225" s="38"/>
      <c r="VSB225" s="39"/>
      <c r="VSC225" s="34"/>
      <c r="VSD225" s="34"/>
      <c r="VSE225" s="34"/>
      <c r="VSF225" s="35"/>
      <c r="VSG225" s="35"/>
      <c r="VSH225" s="35"/>
      <c r="VSI225" s="35"/>
      <c r="VSJ225" s="35"/>
      <c r="VSK225" s="34"/>
      <c r="VSL225" s="34"/>
      <c r="VSM225" s="36"/>
      <c r="VSN225" s="36"/>
      <c r="VSO225" s="37"/>
      <c r="VSP225" s="37"/>
      <c r="VSQ225" s="38"/>
      <c r="VSR225" s="38"/>
      <c r="VSS225" s="39"/>
      <c r="VST225" s="34"/>
      <c r="VSU225" s="34"/>
      <c r="VSV225" s="34"/>
      <c r="VSW225" s="35"/>
      <c r="VSX225" s="35"/>
      <c r="VSY225" s="35"/>
      <c r="VSZ225" s="35"/>
      <c r="VTA225" s="35"/>
      <c r="VTB225" s="34"/>
      <c r="VTC225" s="34"/>
      <c r="VTD225" s="36"/>
      <c r="VTE225" s="36"/>
      <c r="VTF225" s="37"/>
      <c r="VTG225" s="37"/>
      <c r="VTH225" s="38"/>
      <c r="VTI225" s="38"/>
      <c r="VTJ225" s="39"/>
      <c r="VTK225" s="34"/>
      <c r="VTL225" s="34"/>
      <c r="VTM225" s="34"/>
      <c r="VTN225" s="35"/>
      <c r="VTO225" s="35"/>
      <c r="VTP225" s="35"/>
      <c r="VTQ225" s="35"/>
      <c r="VTR225" s="35"/>
      <c r="VTS225" s="34"/>
      <c r="VTT225" s="34"/>
      <c r="VTU225" s="36"/>
      <c r="VTV225" s="36"/>
      <c r="VTW225" s="37"/>
      <c r="VTX225" s="37"/>
      <c r="VTY225" s="38"/>
      <c r="VTZ225" s="38"/>
      <c r="VUA225" s="39"/>
      <c r="VUB225" s="34"/>
      <c r="VUC225" s="34"/>
      <c r="VUD225" s="34"/>
      <c r="VUE225" s="35"/>
      <c r="VUF225" s="35"/>
      <c r="VUG225" s="35"/>
      <c r="VUH225" s="35"/>
      <c r="VUI225" s="35"/>
      <c r="VUJ225" s="34"/>
      <c r="VUK225" s="34"/>
      <c r="VUL225" s="36"/>
      <c r="VUM225" s="36"/>
      <c r="VUN225" s="37"/>
      <c r="VUO225" s="37"/>
      <c r="VUP225" s="38"/>
      <c r="VUQ225" s="38"/>
      <c r="VUR225" s="39"/>
      <c r="VUS225" s="34"/>
      <c r="VUT225" s="34"/>
      <c r="VUU225" s="34"/>
      <c r="VUV225" s="35"/>
      <c r="VUW225" s="35"/>
      <c r="VUX225" s="35"/>
      <c r="VUY225" s="35"/>
      <c r="VUZ225" s="35"/>
      <c r="VVA225" s="34"/>
      <c r="VVB225" s="34"/>
      <c r="VVC225" s="36"/>
      <c r="VVD225" s="36"/>
      <c r="VVE225" s="37"/>
      <c r="VVF225" s="37"/>
      <c r="VVG225" s="38"/>
      <c r="VVH225" s="38"/>
      <c r="VVI225" s="39"/>
      <c r="VVJ225" s="34"/>
      <c r="VVK225" s="34"/>
      <c r="VVL225" s="34"/>
      <c r="VVM225" s="35"/>
      <c r="VVN225" s="35"/>
      <c r="VVO225" s="35"/>
      <c r="VVP225" s="35"/>
      <c r="VVQ225" s="35"/>
      <c r="VVR225" s="34"/>
      <c r="VVS225" s="34"/>
      <c r="VVT225" s="36"/>
      <c r="VVU225" s="36"/>
      <c r="VVV225" s="37"/>
      <c r="VVW225" s="37"/>
      <c r="VVX225" s="38"/>
      <c r="VVY225" s="38"/>
      <c r="VVZ225" s="39"/>
      <c r="VWA225" s="34"/>
      <c r="VWB225" s="34"/>
      <c r="VWC225" s="34"/>
      <c r="VWD225" s="35"/>
      <c r="VWE225" s="35"/>
      <c r="VWF225" s="35"/>
      <c r="VWG225" s="35"/>
      <c r="VWH225" s="35"/>
      <c r="VWI225" s="34"/>
      <c r="VWJ225" s="34"/>
      <c r="VWK225" s="36"/>
      <c r="VWL225" s="36"/>
      <c r="VWM225" s="37"/>
      <c r="VWN225" s="37"/>
      <c r="VWO225" s="38"/>
      <c r="VWP225" s="38"/>
      <c r="VWQ225" s="39"/>
      <c r="VWR225" s="34"/>
      <c r="VWS225" s="34"/>
      <c r="VWT225" s="34"/>
      <c r="VWU225" s="35"/>
      <c r="VWV225" s="35"/>
      <c r="VWW225" s="35"/>
      <c r="VWX225" s="35"/>
      <c r="VWY225" s="35"/>
      <c r="VWZ225" s="34"/>
      <c r="VXA225" s="34"/>
      <c r="VXB225" s="36"/>
      <c r="VXC225" s="36"/>
      <c r="VXD225" s="37"/>
      <c r="VXE225" s="37"/>
      <c r="VXF225" s="38"/>
      <c r="VXG225" s="38"/>
      <c r="VXH225" s="39"/>
      <c r="VXI225" s="34"/>
      <c r="VXJ225" s="34"/>
      <c r="VXK225" s="34"/>
      <c r="VXL225" s="35"/>
      <c r="VXM225" s="35"/>
      <c r="VXN225" s="35"/>
      <c r="VXO225" s="35"/>
      <c r="VXP225" s="35"/>
      <c r="VXQ225" s="34"/>
      <c r="VXR225" s="34"/>
      <c r="VXS225" s="36"/>
      <c r="VXT225" s="36"/>
      <c r="VXU225" s="37"/>
      <c r="VXV225" s="37"/>
      <c r="VXW225" s="38"/>
      <c r="VXX225" s="38"/>
      <c r="VXY225" s="39"/>
      <c r="VXZ225" s="34"/>
      <c r="VYA225" s="34"/>
      <c r="VYB225" s="34"/>
      <c r="VYC225" s="35"/>
      <c r="VYD225" s="35"/>
      <c r="VYE225" s="35"/>
      <c r="VYF225" s="35"/>
      <c r="VYG225" s="35"/>
      <c r="VYH225" s="34"/>
      <c r="VYI225" s="34"/>
      <c r="VYJ225" s="36"/>
      <c r="VYK225" s="36"/>
      <c r="VYL225" s="37"/>
      <c r="VYM225" s="37"/>
      <c r="VYN225" s="38"/>
      <c r="VYO225" s="38"/>
      <c r="VYP225" s="39"/>
      <c r="VYQ225" s="34"/>
      <c r="VYR225" s="34"/>
      <c r="VYS225" s="34"/>
      <c r="VYT225" s="35"/>
      <c r="VYU225" s="35"/>
      <c r="VYV225" s="35"/>
      <c r="VYW225" s="35"/>
      <c r="VYX225" s="35"/>
      <c r="VYY225" s="34"/>
      <c r="VYZ225" s="34"/>
      <c r="VZA225" s="36"/>
      <c r="VZB225" s="36"/>
      <c r="VZC225" s="37"/>
      <c r="VZD225" s="37"/>
      <c r="VZE225" s="38"/>
      <c r="VZF225" s="38"/>
      <c r="VZG225" s="39"/>
      <c r="VZH225" s="34"/>
      <c r="VZI225" s="34"/>
      <c r="VZJ225" s="34"/>
      <c r="VZK225" s="35"/>
      <c r="VZL225" s="35"/>
      <c r="VZM225" s="35"/>
      <c r="VZN225" s="35"/>
      <c r="VZO225" s="35"/>
      <c r="VZP225" s="34"/>
      <c r="VZQ225" s="34"/>
      <c r="VZR225" s="36"/>
      <c r="VZS225" s="36"/>
      <c r="VZT225" s="37"/>
      <c r="VZU225" s="37"/>
      <c r="VZV225" s="38"/>
      <c r="VZW225" s="38"/>
      <c r="VZX225" s="39"/>
      <c r="VZY225" s="34"/>
      <c r="VZZ225" s="34"/>
      <c r="WAA225" s="34"/>
      <c r="WAB225" s="35"/>
      <c r="WAC225" s="35"/>
      <c r="WAD225" s="35"/>
      <c r="WAE225" s="35"/>
      <c r="WAF225" s="35"/>
      <c r="WAG225" s="34"/>
      <c r="WAH225" s="34"/>
      <c r="WAI225" s="36"/>
      <c r="WAJ225" s="36"/>
      <c r="WAK225" s="37"/>
      <c r="WAL225" s="37"/>
      <c r="WAM225" s="38"/>
      <c r="WAN225" s="38"/>
      <c r="WAO225" s="39"/>
      <c r="WAP225" s="34"/>
      <c r="WAQ225" s="34"/>
      <c r="WAR225" s="34"/>
      <c r="WAS225" s="35"/>
      <c r="WAT225" s="35"/>
      <c r="WAU225" s="35"/>
      <c r="WAV225" s="35"/>
      <c r="WAW225" s="35"/>
      <c r="WAX225" s="34"/>
      <c r="WAY225" s="34"/>
      <c r="WAZ225" s="36"/>
      <c r="WBA225" s="36"/>
      <c r="WBB225" s="37"/>
      <c r="WBC225" s="37"/>
      <c r="WBD225" s="38"/>
      <c r="WBE225" s="38"/>
      <c r="WBF225" s="39"/>
      <c r="WBG225" s="34"/>
      <c r="WBH225" s="34"/>
      <c r="WBI225" s="34"/>
      <c r="WBJ225" s="35"/>
      <c r="WBK225" s="35"/>
      <c r="WBL225" s="35"/>
      <c r="WBM225" s="35"/>
      <c r="WBN225" s="35"/>
      <c r="WBO225" s="34"/>
      <c r="WBP225" s="34"/>
      <c r="WBQ225" s="36"/>
      <c r="WBR225" s="36"/>
      <c r="WBS225" s="37"/>
      <c r="WBT225" s="37"/>
      <c r="WBU225" s="38"/>
      <c r="WBV225" s="38"/>
      <c r="WBW225" s="39"/>
      <c r="WBX225" s="34"/>
      <c r="WBY225" s="34"/>
      <c r="WBZ225" s="34"/>
      <c r="WCA225" s="35"/>
      <c r="WCB225" s="35"/>
      <c r="WCC225" s="35"/>
      <c r="WCD225" s="35"/>
      <c r="WCE225" s="35"/>
      <c r="WCF225" s="34"/>
      <c r="WCG225" s="34"/>
      <c r="WCH225" s="36"/>
      <c r="WCI225" s="36"/>
      <c r="WCJ225" s="37"/>
      <c r="WCK225" s="37"/>
      <c r="WCL225" s="38"/>
      <c r="WCM225" s="38"/>
      <c r="WCN225" s="39"/>
      <c r="WCO225" s="34"/>
      <c r="WCP225" s="34"/>
      <c r="WCQ225" s="34"/>
      <c r="WCR225" s="35"/>
      <c r="WCS225" s="35"/>
      <c r="WCT225" s="35"/>
      <c r="WCU225" s="35"/>
      <c r="WCV225" s="35"/>
      <c r="WCW225" s="34"/>
      <c r="WCX225" s="34"/>
      <c r="WCY225" s="36"/>
      <c r="WCZ225" s="36"/>
      <c r="WDA225" s="37"/>
      <c r="WDB225" s="37"/>
      <c r="WDC225" s="38"/>
      <c r="WDD225" s="38"/>
      <c r="WDE225" s="39"/>
      <c r="WDF225" s="34"/>
      <c r="WDG225" s="34"/>
      <c r="WDH225" s="34"/>
      <c r="WDI225" s="35"/>
      <c r="WDJ225" s="35"/>
      <c r="WDK225" s="35"/>
      <c r="WDL225" s="35"/>
      <c r="WDM225" s="35"/>
      <c r="WDN225" s="34"/>
      <c r="WDO225" s="34"/>
      <c r="WDP225" s="36"/>
      <c r="WDQ225" s="36"/>
      <c r="WDR225" s="37"/>
      <c r="WDS225" s="37"/>
      <c r="WDT225" s="38"/>
      <c r="WDU225" s="38"/>
      <c r="WDV225" s="39"/>
      <c r="WDW225" s="34"/>
      <c r="WDX225" s="34"/>
      <c r="WDY225" s="34"/>
      <c r="WDZ225" s="35"/>
      <c r="WEA225" s="35"/>
      <c r="WEB225" s="35"/>
      <c r="WEC225" s="35"/>
      <c r="WED225" s="35"/>
      <c r="WEE225" s="34"/>
      <c r="WEF225" s="34"/>
      <c r="WEG225" s="36"/>
      <c r="WEH225" s="36"/>
      <c r="WEI225" s="37"/>
      <c r="WEJ225" s="37"/>
      <c r="WEK225" s="38"/>
      <c r="WEL225" s="38"/>
      <c r="WEM225" s="39"/>
      <c r="WEN225" s="34"/>
      <c r="WEO225" s="34"/>
      <c r="WEP225" s="34"/>
      <c r="WEQ225" s="35"/>
      <c r="WER225" s="35"/>
      <c r="WES225" s="35"/>
      <c r="WET225" s="35"/>
      <c r="WEU225" s="35"/>
      <c r="WEV225" s="34"/>
      <c r="WEW225" s="34"/>
      <c r="WEX225" s="36"/>
      <c r="WEY225" s="36"/>
      <c r="WEZ225" s="37"/>
      <c r="WFA225" s="37"/>
      <c r="WFB225" s="38"/>
      <c r="WFC225" s="38"/>
      <c r="WFD225" s="39"/>
      <c r="WFE225" s="34"/>
      <c r="WFF225" s="34"/>
      <c r="WFG225" s="34"/>
      <c r="WFH225" s="35"/>
      <c r="WFI225" s="35"/>
      <c r="WFJ225" s="35"/>
      <c r="WFK225" s="35"/>
      <c r="WFL225" s="35"/>
      <c r="WFM225" s="34"/>
      <c r="WFN225" s="34"/>
      <c r="WFO225" s="36"/>
      <c r="WFP225" s="36"/>
      <c r="WFQ225" s="37"/>
      <c r="WFR225" s="37"/>
      <c r="WFS225" s="38"/>
      <c r="WFT225" s="38"/>
      <c r="WFU225" s="39"/>
      <c r="WFV225" s="34"/>
      <c r="WFW225" s="34"/>
      <c r="WFX225" s="34"/>
      <c r="WFY225" s="35"/>
      <c r="WFZ225" s="35"/>
      <c r="WGA225" s="35"/>
      <c r="WGB225" s="35"/>
      <c r="WGC225" s="35"/>
      <c r="WGD225" s="34"/>
      <c r="WGE225" s="34"/>
      <c r="WGF225" s="36"/>
      <c r="WGG225" s="36"/>
      <c r="WGH225" s="37"/>
      <c r="WGI225" s="37"/>
      <c r="WGJ225" s="38"/>
      <c r="WGK225" s="38"/>
      <c r="WGL225" s="39"/>
      <c r="WGM225" s="34"/>
      <c r="WGN225" s="34"/>
      <c r="WGO225" s="34"/>
      <c r="WGP225" s="35"/>
      <c r="WGQ225" s="35"/>
      <c r="WGR225" s="35"/>
      <c r="WGS225" s="35"/>
      <c r="WGT225" s="35"/>
      <c r="WGU225" s="34"/>
      <c r="WGV225" s="34"/>
      <c r="WGW225" s="36"/>
      <c r="WGX225" s="36"/>
      <c r="WGY225" s="37"/>
      <c r="WGZ225" s="37"/>
      <c r="WHA225" s="38"/>
      <c r="WHB225" s="38"/>
      <c r="WHC225" s="39"/>
      <c r="WHD225" s="34"/>
      <c r="WHE225" s="34"/>
      <c r="WHF225" s="34"/>
      <c r="WHG225" s="35"/>
      <c r="WHH225" s="35"/>
      <c r="WHI225" s="35"/>
      <c r="WHJ225" s="35"/>
      <c r="WHK225" s="35"/>
      <c r="WHL225" s="34"/>
      <c r="WHM225" s="34"/>
      <c r="WHN225" s="36"/>
      <c r="WHO225" s="36"/>
      <c r="WHP225" s="37"/>
      <c r="WHQ225" s="37"/>
      <c r="WHR225" s="38"/>
      <c r="WHS225" s="38"/>
      <c r="WHT225" s="39"/>
      <c r="WHU225" s="34"/>
      <c r="WHV225" s="34"/>
      <c r="WHW225" s="34"/>
      <c r="WHX225" s="35"/>
      <c r="WHY225" s="35"/>
      <c r="WHZ225" s="35"/>
      <c r="WIA225" s="35"/>
      <c r="WIB225" s="35"/>
      <c r="WIC225" s="34"/>
      <c r="WID225" s="34"/>
      <c r="WIE225" s="36"/>
      <c r="WIF225" s="36"/>
      <c r="WIG225" s="37"/>
      <c r="WIH225" s="37"/>
      <c r="WII225" s="38"/>
      <c r="WIJ225" s="38"/>
      <c r="WIK225" s="39"/>
      <c r="WIL225" s="34"/>
      <c r="WIM225" s="34"/>
      <c r="WIN225" s="34"/>
      <c r="WIO225" s="35"/>
      <c r="WIP225" s="35"/>
      <c r="WIQ225" s="35"/>
      <c r="WIR225" s="35"/>
      <c r="WIS225" s="35"/>
      <c r="WIT225" s="34"/>
      <c r="WIU225" s="34"/>
      <c r="WIV225" s="36"/>
      <c r="WIW225" s="36"/>
      <c r="WIX225" s="37"/>
      <c r="WIY225" s="37"/>
      <c r="WIZ225" s="38"/>
      <c r="WJA225" s="38"/>
      <c r="WJB225" s="39"/>
      <c r="WJC225" s="34"/>
      <c r="WJD225" s="34"/>
      <c r="WJE225" s="34"/>
      <c r="WJF225" s="35"/>
      <c r="WJG225" s="35"/>
      <c r="WJH225" s="35"/>
      <c r="WJI225" s="35"/>
      <c r="WJJ225" s="35"/>
      <c r="WJK225" s="34"/>
      <c r="WJL225" s="34"/>
      <c r="WJM225" s="36"/>
      <c r="WJN225" s="36"/>
      <c r="WJO225" s="37"/>
      <c r="WJP225" s="37"/>
      <c r="WJQ225" s="38"/>
      <c r="WJR225" s="38"/>
      <c r="WJS225" s="39"/>
      <c r="WJT225" s="34"/>
      <c r="WJU225" s="34"/>
      <c r="WJV225" s="34"/>
      <c r="WJW225" s="35"/>
      <c r="WJX225" s="35"/>
      <c r="WJY225" s="35"/>
      <c r="WJZ225" s="35"/>
      <c r="WKA225" s="35"/>
      <c r="WKB225" s="34"/>
      <c r="WKC225" s="34"/>
      <c r="WKD225" s="36"/>
      <c r="WKE225" s="36"/>
      <c r="WKF225" s="37"/>
      <c r="WKG225" s="37"/>
      <c r="WKH225" s="38"/>
      <c r="WKI225" s="38"/>
      <c r="WKJ225" s="39"/>
      <c r="WKK225" s="34"/>
      <c r="WKL225" s="34"/>
      <c r="WKM225" s="34"/>
      <c r="WKN225" s="35"/>
      <c r="WKO225" s="35"/>
      <c r="WKP225" s="35"/>
      <c r="WKQ225" s="35"/>
      <c r="WKR225" s="35"/>
      <c r="WKS225" s="34"/>
      <c r="WKT225" s="34"/>
      <c r="WKU225" s="36"/>
      <c r="WKV225" s="36"/>
      <c r="WKW225" s="37"/>
      <c r="WKX225" s="37"/>
      <c r="WKY225" s="38"/>
      <c r="WKZ225" s="38"/>
      <c r="WLA225" s="39"/>
      <c r="WLB225" s="34"/>
      <c r="WLC225" s="34"/>
      <c r="WLD225" s="34"/>
      <c r="WLE225" s="35"/>
      <c r="WLF225" s="35"/>
      <c r="WLG225" s="35"/>
      <c r="WLH225" s="35"/>
      <c r="WLI225" s="35"/>
      <c r="WLJ225" s="34"/>
      <c r="WLK225" s="34"/>
      <c r="WLL225" s="36"/>
      <c r="WLM225" s="36"/>
      <c r="WLN225" s="37"/>
      <c r="WLO225" s="37"/>
      <c r="WLP225" s="38"/>
      <c r="WLQ225" s="38"/>
      <c r="WLR225" s="39"/>
      <c r="WLS225" s="34"/>
      <c r="WLT225" s="34"/>
      <c r="WLU225" s="34"/>
      <c r="WLV225" s="35"/>
      <c r="WLW225" s="35"/>
      <c r="WLX225" s="35"/>
      <c r="WLY225" s="35"/>
      <c r="WLZ225" s="35"/>
      <c r="WMA225" s="34"/>
      <c r="WMB225" s="34"/>
      <c r="WMC225" s="36"/>
      <c r="WMD225" s="36"/>
      <c r="WME225" s="37"/>
      <c r="WMF225" s="37"/>
      <c r="WMG225" s="38"/>
      <c r="WMH225" s="38"/>
      <c r="WMI225" s="39"/>
      <c r="WMJ225" s="34"/>
      <c r="WMK225" s="34"/>
      <c r="WML225" s="34"/>
      <c r="WMM225" s="35"/>
      <c r="WMN225" s="35"/>
      <c r="WMO225" s="35"/>
      <c r="WMP225" s="35"/>
      <c r="WMQ225" s="35"/>
      <c r="WMR225" s="34"/>
      <c r="WMS225" s="34"/>
      <c r="WMT225" s="36"/>
      <c r="WMU225" s="36"/>
      <c r="WMV225" s="37"/>
      <c r="WMW225" s="37"/>
      <c r="WMX225" s="38"/>
      <c r="WMY225" s="38"/>
      <c r="WMZ225" s="39"/>
      <c r="WNA225" s="34"/>
      <c r="WNB225" s="34"/>
      <c r="WNC225" s="34"/>
      <c r="WND225" s="35"/>
      <c r="WNE225" s="35"/>
      <c r="WNF225" s="35"/>
      <c r="WNG225" s="35"/>
      <c r="WNH225" s="35"/>
      <c r="WNI225" s="34"/>
      <c r="WNJ225" s="34"/>
      <c r="WNK225" s="36"/>
      <c r="WNL225" s="36"/>
      <c r="WNM225" s="37"/>
      <c r="WNN225" s="37"/>
      <c r="WNO225" s="38"/>
      <c r="WNP225" s="38"/>
      <c r="WNQ225" s="39"/>
      <c r="WNR225" s="34"/>
      <c r="WNS225" s="34"/>
      <c r="WNT225" s="34"/>
      <c r="WNU225" s="35"/>
      <c r="WNV225" s="35"/>
      <c r="WNW225" s="35"/>
      <c r="WNX225" s="35"/>
      <c r="WNY225" s="35"/>
      <c r="WNZ225" s="34"/>
      <c r="WOA225" s="34"/>
      <c r="WOB225" s="36"/>
      <c r="WOC225" s="36"/>
      <c r="WOD225" s="37"/>
      <c r="WOE225" s="37"/>
      <c r="WOF225" s="38"/>
      <c r="WOG225" s="38"/>
      <c r="WOH225" s="39"/>
      <c r="WOI225" s="34"/>
      <c r="WOJ225" s="34"/>
      <c r="WOK225" s="34"/>
      <c r="WOL225" s="35"/>
      <c r="WOM225" s="35"/>
      <c r="WON225" s="35"/>
      <c r="WOO225" s="35"/>
      <c r="WOP225" s="35"/>
      <c r="WOQ225" s="34"/>
      <c r="WOR225" s="34"/>
      <c r="WOS225" s="36"/>
      <c r="WOT225" s="36"/>
      <c r="WOU225" s="37"/>
      <c r="WOV225" s="37"/>
      <c r="WOW225" s="38"/>
      <c r="WOX225" s="38"/>
      <c r="WOY225" s="39"/>
      <c r="WOZ225" s="34"/>
      <c r="WPA225" s="34"/>
      <c r="WPB225" s="34"/>
      <c r="WPC225" s="35"/>
      <c r="WPD225" s="35"/>
      <c r="WPE225" s="35"/>
      <c r="WPF225" s="35"/>
      <c r="WPG225" s="35"/>
      <c r="WPH225" s="34"/>
      <c r="WPI225" s="34"/>
      <c r="WPJ225" s="36"/>
      <c r="WPK225" s="36"/>
      <c r="WPL225" s="37"/>
      <c r="WPM225" s="37"/>
      <c r="WPN225" s="38"/>
      <c r="WPO225" s="38"/>
      <c r="WPP225" s="39"/>
      <c r="WPQ225" s="34"/>
      <c r="WPR225" s="34"/>
      <c r="WPS225" s="34"/>
      <c r="WPT225" s="35"/>
      <c r="WPU225" s="35"/>
      <c r="WPV225" s="35"/>
      <c r="WPW225" s="35"/>
      <c r="WPX225" s="35"/>
      <c r="WPY225" s="34"/>
      <c r="WPZ225" s="34"/>
      <c r="WQA225" s="36"/>
      <c r="WQB225" s="36"/>
      <c r="WQC225" s="37"/>
      <c r="WQD225" s="37"/>
      <c r="WQE225" s="38"/>
      <c r="WQF225" s="38"/>
      <c r="WQG225" s="39"/>
      <c r="WQH225" s="34"/>
      <c r="WQI225" s="34"/>
      <c r="WQJ225" s="34"/>
      <c r="WQK225" s="35"/>
      <c r="WQL225" s="35"/>
      <c r="WQM225" s="35"/>
      <c r="WQN225" s="35"/>
      <c r="WQO225" s="35"/>
      <c r="WQP225" s="34"/>
      <c r="WQQ225" s="34"/>
      <c r="WQR225" s="36"/>
      <c r="WQS225" s="36"/>
      <c r="WQT225" s="37"/>
      <c r="WQU225" s="37"/>
      <c r="WQV225" s="38"/>
      <c r="WQW225" s="38"/>
      <c r="WQX225" s="39"/>
      <c r="WQY225" s="34"/>
      <c r="WQZ225" s="34"/>
      <c r="WRA225" s="34"/>
      <c r="WRB225" s="35"/>
      <c r="WRC225" s="35"/>
      <c r="WRD225" s="35"/>
      <c r="WRE225" s="35"/>
      <c r="WRF225" s="35"/>
      <c r="WRG225" s="34"/>
      <c r="WRH225" s="34"/>
      <c r="WRI225" s="36"/>
      <c r="WRJ225" s="36"/>
      <c r="WRK225" s="37"/>
      <c r="WRL225" s="37"/>
      <c r="WRM225" s="38"/>
      <c r="WRN225" s="38"/>
      <c r="WRO225" s="39"/>
      <c r="WRP225" s="34"/>
      <c r="WRQ225" s="34"/>
      <c r="WRR225" s="34"/>
      <c r="WRS225" s="35"/>
      <c r="WRT225" s="35"/>
      <c r="WRU225" s="35"/>
      <c r="WRV225" s="35"/>
      <c r="WRW225" s="35"/>
      <c r="WRX225" s="34"/>
      <c r="WRY225" s="34"/>
      <c r="WRZ225" s="36"/>
      <c r="WSA225" s="36"/>
      <c r="WSB225" s="37"/>
      <c r="WSC225" s="37"/>
      <c r="WSD225" s="38"/>
      <c r="WSE225" s="38"/>
      <c r="WSF225" s="39"/>
      <c r="WSG225" s="34"/>
      <c r="WSH225" s="34"/>
      <c r="WSI225" s="34"/>
      <c r="WSJ225" s="35"/>
      <c r="WSK225" s="35"/>
      <c r="WSL225" s="35"/>
      <c r="WSM225" s="35"/>
      <c r="WSN225" s="35"/>
      <c r="WSO225" s="34"/>
      <c r="WSP225" s="34"/>
      <c r="WSQ225" s="36"/>
      <c r="WSR225" s="36"/>
      <c r="WSS225" s="37"/>
      <c r="WST225" s="37"/>
      <c r="WSU225" s="38"/>
      <c r="WSV225" s="38"/>
      <c r="WSW225" s="39"/>
      <c r="WSX225" s="34"/>
      <c r="WSY225" s="34"/>
      <c r="WSZ225" s="34"/>
      <c r="WTA225" s="35"/>
      <c r="WTB225" s="35"/>
      <c r="WTC225" s="35"/>
      <c r="WTD225" s="35"/>
      <c r="WTE225" s="35"/>
      <c r="WTF225" s="34"/>
      <c r="WTG225" s="34"/>
      <c r="WTH225" s="36"/>
      <c r="WTI225" s="36"/>
      <c r="WTJ225" s="37"/>
      <c r="WTK225" s="37"/>
      <c r="WTL225" s="38"/>
      <c r="WTM225" s="38"/>
      <c r="WTN225" s="39"/>
      <c r="WTO225" s="34"/>
      <c r="WTP225" s="34"/>
      <c r="WTQ225" s="34"/>
      <c r="WTR225" s="35"/>
      <c r="WTS225" s="35"/>
      <c r="WTT225" s="35"/>
      <c r="WTU225" s="35"/>
      <c r="WTV225" s="35"/>
      <c r="WTW225" s="34"/>
      <c r="WTX225" s="34"/>
      <c r="WTY225" s="36"/>
      <c r="WTZ225" s="36"/>
      <c r="WUA225" s="37"/>
      <c r="WUB225" s="37"/>
      <c r="WUC225" s="38"/>
      <c r="WUD225" s="38"/>
      <c r="WUE225" s="39"/>
      <c r="WUF225" s="34"/>
      <c r="WUG225" s="34"/>
      <c r="WUH225" s="34"/>
      <c r="WUI225" s="35"/>
      <c r="WUJ225" s="35"/>
      <c r="WUK225" s="35"/>
      <c r="WUL225" s="35"/>
      <c r="WUM225" s="35"/>
      <c r="WUN225" s="34"/>
      <c r="WUO225" s="34"/>
      <c r="WUP225" s="36"/>
      <c r="WUQ225" s="36"/>
      <c r="WUR225" s="37"/>
      <c r="WUS225" s="37"/>
      <c r="WUT225" s="38"/>
      <c r="WUU225" s="38"/>
      <c r="WUV225" s="39"/>
      <c r="WUW225" s="34"/>
      <c r="WUX225" s="34"/>
      <c r="WUY225" s="34"/>
      <c r="WUZ225" s="35"/>
      <c r="WVA225" s="35"/>
      <c r="WVB225" s="35"/>
      <c r="WVC225" s="35"/>
      <c r="WVD225" s="35"/>
      <c r="WVE225" s="34"/>
      <c r="WVF225" s="34"/>
      <c r="WVG225" s="36"/>
      <c r="WVH225" s="36"/>
      <c r="WVI225" s="37"/>
      <c r="WVJ225" s="37"/>
      <c r="WVK225" s="38"/>
      <c r="WVL225" s="38"/>
      <c r="WVM225" s="39"/>
      <c r="WVN225" s="34"/>
      <c r="WVO225" s="34"/>
      <c r="WVP225" s="34"/>
      <c r="WVQ225" s="35"/>
      <c r="WVR225" s="35"/>
      <c r="WVS225" s="35"/>
      <c r="WVT225" s="35"/>
      <c r="WVU225" s="35"/>
      <c r="WVV225" s="34"/>
      <c r="WVW225" s="34"/>
      <c r="WVX225" s="36"/>
      <c r="WVY225" s="36"/>
      <c r="WVZ225" s="37"/>
      <c r="WWA225" s="37"/>
      <c r="WWB225" s="38"/>
      <c r="WWC225" s="38"/>
      <c r="WWD225" s="39"/>
      <c r="WWE225" s="34"/>
      <c r="WWF225" s="34"/>
      <c r="WWG225" s="34"/>
      <c r="WWH225" s="35"/>
      <c r="WWI225" s="35"/>
      <c r="WWJ225" s="35"/>
      <c r="WWK225" s="35"/>
      <c r="WWL225" s="35"/>
      <c r="WWM225" s="34"/>
      <c r="WWN225" s="34"/>
      <c r="WWO225" s="36"/>
      <c r="WWP225" s="36"/>
      <c r="WWQ225" s="37"/>
      <c r="WWR225" s="37"/>
      <c r="WWS225" s="38"/>
      <c r="WWT225" s="38"/>
      <c r="WWU225" s="39"/>
      <c r="WWV225" s="34"/>
      <c r="WWW225" s="34"/>
      <c r="WWX225" s="34"/>
      <c r="WWY225" s="35"/>
      <c r="WWZ225" s="35"/>
      <c r="WXA225" s="35"/>
      <c r="WXB225" s="35"/>
      <c r="WXC225" s="35"/>
      <c r="WXD225" s="34"/>
      <c r="WXE225" s="34"/>
      <c r="WXF225" s="36"/>
      <c r="WXG225" s="36"/>
      <c r="WXH225" s="37"/>
      <c r="WXI225" s="37"/>
      <c r="WXJ225" s="38"/>
      <c r="WXK225" s="38"/>
      <c r="WXL225" s="39"/>
      <c r="WXM225" s="34"/>
      <c r="WXN225" s="34"/>
      <c r="WXO225" s="34"/>
      <c r="WXP225" s="35"/>
      <c r="WXQ225" s="35"/>
      <c r="WXR225" s="35"/>
      <c r="WXS225" s="35"/>
      <c r="WXT225" s="35"/>
      <c r="WXU225" s="34"/>
      <c r="WXV225" s="34"/>
      <c r="WXW225" s="36"/>
      <c r="WXX225" s="36"/>
      <c r="WXY225" s="37"/>
      <c r="WXZ225" s="37"/>
      <c r="WYA225" s="38"/>
      <c r="WYB225" s="38"/>
      <c r="WYC225" s="39"/>
      <c r="WYD225" s="34"/>
      <c r="WYE225" s="34"/>
      <c r="WYF225" s="34"/>
      <c r="WYG225" s="35"/>
      <c r="WYH225" s="35"/>
      <c r="WYI225" s="35"/>
      <c r="WYJ225" s="35"/>
      <c r="WYK225" s="35"/>
      <c r="WYL225" s="34"/>
      <c r="WYM225" s="34"/>
      <c r="WYN225" s="36"/>
      <c r="WYO225" s="36"/>
      <c r="WYP225" s="37"/>
      <c r="WYQ225" s="37"/>
      <c r="WYR225" s="38"/>
      <c r="WYS225" s="38"/>
      <c r="WYT225" s="39"/>
      <c r="WYU225" s="34"/>
      <c r="WYV225" s="34"/>
      <c r="WYW225" s="34"/>
      <c r="WYX225" s="35"/>
      <c r="WYY225" s="35"/>
      <c r="WYZ225" s="35"/>
      <c r="WZA225" s="35"/>
      <c r="WZB225" s="35"/>
      <c r="WZC225" s="34"/>
      <c r="WZD225" s="34"/>
      <c r="WZE225" s="36"/>
      <c r="WZF225" s="36"/>
      <c r="WZG225" s="37"/>
      <c r="WZH225" s="37"/>
      <c r="WZI225" s="38"/>
      <c r="WZJ225" s="38"/>
      <c r="WZK225" s="39"/>
      <c r="WZL225" s="34"/>
      <c r="WZM225" s="34"/>
      <c r="WZN225" s="34"/>
      <c r="WZO225" s="35"/>
      <c r="WZP225" s="35"/>
      <c r="WZQ225" s="35"/>
      <c r="WZR225" s="35"/>
      <c r="WZS225" s="35"/>
      <c r="WZT225" s="34"/>
      <c r="WZU225" s="34"/>
      <c r="WZV225" s="36"/>
      <c r="WZW225" s="36"/>
      <c r="WZX225" s="37"/>
      <c r="WZY225" s="37"/>
      <c r="WZZ225" s="38"/>
      <c r="XAA225" s="38"/>
      <c r="XAB225" s="39"/>
      <c r="XAC225" s="34"/>
      <c r="XAD225" s="34"/>
      <c r="XAE225" s="34"/>
      <c r="XAF225" s="35"/>
      <c r="XAG225" s="35"/>
      <c r="XAH225" s="35"/>
      <c r="XAI225" s="35"/>
      <c r="XAJ225" s="35"/>
      <c r="XAK225" s="34"/>
      <c r="XAL225" s="34"/>
      <c r="XAM225" s="36"/>
      <c r="XAN225" s="36"/>
      <c r="XAO225" s="37"/>
      <c r="XAP225" s="37"/>
      <c r="XAQ225" s="38"/>
      <c r="XAR225" s="38"/>
      <c r="XAS225" s="39"/>
      <c r="XAT225" s="34"/>
      <c r="XAU225" s="34"/>
      <c r="XAV225" s="34"/>
      <c r="XAW225" s="35"/>
      <c r="XAX225" s="35"/>
      <c r="XAY225" s="35"/>
      <c r="XAZ225" s="35"/>
      <c r="XBA225" s="35"/>
      <c r="XBB225" s="34"/>
      <c r="XBC225" s="34"/>
      <c r="XBD225" s="36"/>
      <c r="XBE225" s="36"/>
      <c r="XBF225" s="37"/>
      <c r="XBG225" s="37"/>
      <c r="XBH225" s="38"/>
      <c r="XBI225" s="38"/>
      <c r="XBJ225" s="39"/>
      <c r="XBK225" s="34"/>
      <c r="XBL225" s="34"/>
      <c r="XBM225" s="34"/>
      <c r="XBN225" s="35"/>
      <c r="XBO225" s="35"/>
      <c r="XBP225" s="35"/>
      <c r="XBQ225" s="35"/>
      <c r="XBR225" s="35"/>
      <c r="XBS225" s="34"/>
      <c r="XBT225" s="34"/>
      <c r="XBU225" s="36"/>
      <c r="XBV225" s="36"/>
      <c r="XBW225" s="37"/>
      <c r="XBX225" s="37"/>
      <c r="XBY225" s="38"/>
      <c r="XBZ225" s="38"/>
      <c r="XCA225" s="39"/>
      <c r="XCB225" s="34"/>
      <c r="XCC225" s="34"/>
      <c r="XCD225" s="34"/>
      <c r="XCE225" s="35"/>
      <c r="XCF225" s="35"/>
      <c r="XCG225" s="35"/>
      <c r="XCH225" s="35"/>
      <c r="XCI225" s="35"/>
      <c r="XCJ225" s="34"/>
      <c r="XCK225" s="34"/>
      <c r="XCL225" s="36"/>
      <c r="XCM225" s="36"/>
      <c r="XCN225" s="37"/>
      <c r="XCO225" s="37"/>
      <c r="XCP225" s="38"/>
      <c r="XCQ225" s="38"/>
      <c r="XCR225" s="39"/>
      <c r="XCS225" s="34"/>
      <c r="XCT225" s="34"/>
      <c r="XCU225" s="34"/>
      <c r="XCV225" s="35"/>
      <c r="XCW225" s="35"/>
      <c r="XCX225" s="35"/>
      <c r="XCY225" s="35"/>
      <c r="XCZ225" s="35"/>
      <c r="XDA225" s="34"/>
      <c r="XDB225" s="34"/>
      <c r="XDC225" s="36"/>
      <c r="XDD225" s="36"/>
      <c r="XDE225" s="37"/>
      <c r="XDF225" s="37"/>
      <c r="XDG225" s="38"/>
      <c r="XDH225" s="38"/>
      <c r="XDI225" s="39"/>
      <c r="XDJ225" s="34"/>
      <c r="XDK225" s="34"/>
      <c r="XDL225" s="34"/>
      <c r="XDM225" s="35"/>
      <c r="XDN225" s="35"/>
      <c r="XDO225" s="35"/>
      <c r="XDP225" s="35"/>
      <c r="XDQ225" s="35"/>
      <c r="XDR225" s="34"/>
      <c r="XDS225" s="34"/>
      <c r="XDT225" s="36"/>
      <c r="XDU225" s="36"/>
      <c r="XDV225" s="37"/>
      <c r="XDW225" s="37"/>
      <c r="XDX225" s="38"/>
      <c r="XDY225" s="38"/>
      <c r="XDZ225" s="39"/>
      <c r="XEA225" s="34"/>
      <c r="XEB225" s="34"/>
      <c r="XEC225" s="34"/>
      <c r="XED225" s="35"/>
      <c r="XEE225" s="35"/>
      <c r="XEF225" s="35"/>
      <c r="XEG225" s="35"/>
      <c r="XEH225" s="35"/>
      <c r="XEI225" s="34"/>
      <c r="XEJ225" s="34"/>
      <c r="XEK225" s="36"/>
      <c r="XEL225" s="36"/>
      <c r="XEM225" s="37"/>
      <c r="XEN225" s="37"/>
      <c r="XEO225" s="38"/>
      <c r="XEP225" s="38"/>
      <c r="XEQ225" s="39"/>
      <c r="XER225" s="34"/>
      <c r="XES225" s="34"/>
      <c r="XET225" s="34"/>
      <c r="XEU225" s="35"/>
      <c r="XEV225" s="35"/>
      <c r="XEW225" s="35"/>
      <c r="XEX225" s="35"/>
      <c r="XEY225" s="35"/>
      <c r="XEZ225" s="34"/>
      <c r="XFA225" s="34"/>
      <c r="XFB225" s="36"/>
      <c r="XFC225" s="36"/>
      <c r="XFD225" s="37"/>
    </row>
    <row r="226" spans="1:16384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978</v>
      </c>
      <c r="E226" s="35" t="s">
        <v>165</v>
      </c>
      <c r="F226" s="35" t="s">
        <v>976</v>
      </c>
      <c r="G226" s="35" t="s">
        <v>1105</v>
      </c>
      <c r="H226" s="35" t="s">
        <v>354</v>
      </c>
      <c r="I226" s="34" t="s">
        <v>977</v>
      </c>
      <c r="J226" s="34">
        <v>1</v>
      </c>
      <c r="K226" s="36" t="s">
        <v>956</v>
      </c>
      <c r="L226" s="36" t="s">
        <v>689</v>
      </c>
      <c r="M226" s="37" t="s">
        <v>1402</v>
      </c>
      <c r="N226" s="37" t="s">
        <v>1748</v>
      </c>
      <c r="O226" s="38">
        <v>1</v>
      </c>
      <c r="P226" s="38"/>
      <c r="Q226" s="35"/>
      <c r="R226" s="1"/>
      <c r="S226" s="1">
        <f t="shared" si="117"/>
        <v>1</v>
      </c>
      <c r="T226" s="1">
        <f t="shared" si="118"/>
        <v>0</v>
      </c>
      <c r="U226" s="1">
        <f t="shared" si="119"/>
        <v>0</v>
      </c>
      <c r="V226" s="1">
        <f t="shared" si="120"/>
        <v>0</v>
      </c>
      <c r="W226" s="1">
        <f t="shared" si="121"/>
        <v>0</v>
      </c>
      <c r="X226" s="1">
        <f t="shared" si="122"/>
        <v>0</v>
      </c>
      <c r="Y226" s="1">
        <f t="shared" si="123"/>
        <v>0</v>
      </c>
      <c r="Z226" s="1">
        <f t="shared" si="124"/>
        <v>0</v>
      </c>
      <c r="AA226" s="1">
        <f t="shared" si="125"/>
        <v>0</v>
      </c>
      <c r="AB226" s="1">
        <f t="shared" si="126"/>
        <v>0</v>
      </c>
      <c r="AC226" s="1"/>
      <c r="AD226" s="1">
        <f t="shared" si="127"/>
        <v>0</v>
      </c>
      <c r="AE226" s="1">
        <f t="shared" si="128"/>
        <v>1</v>
      </c>
      <c r="AF226" s="1">
        <f t="shared" si="113"/>
        <v>0</v>
      </c>
      <c r="AG226" s="1">
        <f t="shared" si="114"/>
        <v>1</v>
      </c>
      <c r="AH226" s="1">
        <f t="shared" si="115"/>
        <v>0</v>
      </c>
      <c r="AI226" s="1">
        <f t="shared" si="116"/>
        <v>1</v>
      </c>
      <c r="AJ226" s="1"/>
    </row>
    <row r="227" spans="1:16384" s="2" customFormat="1" ht="14.25" customHeight="1" x14ac:dyDescent="0.25">
      <c r="A227" s="47">
        <v>0</v>
      </c>
      <c r="B227" s="47">
        <v>1</v>
      </c>
      <c r="C227" s="47">
        <v>6</v>
      </c>
      <c r="D227" s="48" t="s">
        <v>521</v>
      </c>
      <c r="E227" s="48" t="s">
        <v>167</v>
      </c>
      <c r="F227" s="48" t="s">
        <v>522</v>
      </c>
      <c r="G227" s="48" t="s">
        <v>523</v>
      </c>
      <c r="H227" s="48" t="s">
        <v>354</v>
      </c>
      <c r="I227" s="47" t="s">
        <v>524</v>
      </c>
      <c r="J227" s="47">
        <v>99</v>
      </c>
      <c r="K227" s="49" t="s">
        <v>702</v>
      </c>
      <c r="L227" s="49" t="s">
        <v>694</v>
      </c>
      <c r="M227" s="50" t="s">
        <v>707</v>
      </c>
      <c r="N227" s="50" t="s">
        <v>1809</v>
      </c>
      <c r="O227" s="51"/>
      <c r="P227" s="51"/>
      <c r="Q227" s="48"/>
      <c r="R227" s="1"/>
      <c r="S227" s="1">
        <f t="shared" si="117"/>
        <v>0</v>
      </c>
      <c r="T227" s="1">
        <f t="shared" si="118"/>
        <v>0</v>
      </c>
      <c r="U227" s="1">
        <f t="shared" si="119"/>
        <v>0</v>
      </c>
      <c r="V227" s="1">
        <f t="shared" si="120"/>
        <v>0</v>
      </c>
      <c r="W227" s="1">
        <f t="shared" si="121"/>
        <v>0</v>
      </c>
      <c r="X227" s="1">
        <f t="shared" si="122"/>
        <v>0</v>
      </c>
      <c r="Y227" s="1">
        <f t="shared" si="123"/>
        <v>0</v>
      </c>
      <c r="Z227" s="1">
        <f t="shared" si="124"/>
        <v>0</v>
      </c>
      <c r="AA227" s="1">
        <f t="shared" si="125"/>
        <v>0</v>
      </c>
      <c r="AB227" s="1">
        <f t="shared" si="126"/>
        <v>0</v>
      </c>
      <c r="AC227" s="1"/>
      <c r="AD227" s="1">
        <f t="shared" si="127"/>
        <v>0</v>
      </c>
      <c r="AE227" s="1">
        <f t="shared" si="128"/>
        <v>0</v>
      </c>
      <c r="AF227" s="1">
        <f t="shared" si="113"/>
        <v>0</v>
      </c>
      <c r="AG227" s="1">
        <f t="shared" si="114"/>
        <v>0</v>
      </c>
      <c r="AH227" s="1">
        <f t="shared" si="115"/>
        <v>0</v>
      </c>
      <c r="AI227" s="1">
        <f t="shared" si="116"/>
        <v>1</v>
      </c>
      <c r="AJ227" s="1"/>
    </row>
    <row r="228" spans="1:16384" s="2" customFormat="1" ht="14.25" customHeight="1" x14ac:dyDescent="0.25">
      <c r="A228" s="41">
        <v>0</v>
      </c>
      <c r="B228" s="41">
        <v>1</v>
      </c>
      <c r="C228" s="41">
        <v>6</v>
      </c>
      <c r="D228" s="42" t="s">
        <v>1837</v>
      </c>
      <c r="E228" s="42" t="s">
        <v>1838</v>
      </c>
      <c r="F228" s="42" t="s">
        <v>1839</v>
      </c>
      <c r="G228" s="42"/>
      <c r="H228" s="42" t="s">
        <v>354</v>
      </c>
      <c r="I228" s="41" t="s">
        <v>1840</v>
      </c>
      <c r="J228" s="41"/>
      <c r="K228" s="43" t="s">
        <v>703</v>
      </c>
      <c r="L228" s="43"/>
      <c r="M228" s="44"/>
      <c r="N228" s="45"/>
      <c r="O228" s="46"/>
      <c r="P228" s="46">
        <v>1</v>
      </c>
      <c r="Q228" s="42"/>
      <c r="R228" s="1"/>
      <c r="S228" s="1">
        <f t="shared" si="117"/>
        <v>0</v>
      </c>
      <c r="T228" s="1">
        <f t="shared" si="118"/>
        <v>0</v>
      </c>
      <c r="U228" s="1">
        <f t="shared" si="119"/>
        <v>0</v>
      </c>
      <c r="V228" s="1">
        <f t="shared" si="120"/>
        <v>0</v>
      </c>
      <c r="W228" s="1">
        <f t="shared" si="121"/>
        <v>0</v>
      </c>
      <c r="X228" s="1">
        <f t="shared" si="122"/>
        <v>0</v>
      </c>
      <c r="Y228" s="1">
        <f t="shared" si="123"/>
        <v>0</v>
      </c>
      <c r="Z228" s="1">
        <f t="shared" si="124"/>
        <v>0</v>
      </c>
      <c r="AA228" s="1">
        <f t="shared" si="125"/>
        <v>0</v>
      </c>
      <c r="AB228" s="1">
        <f t="shared" si="126"/>
        <v>0</v>
      </c>
      <c r="AC228" s="1"/>
      <c r="AD228" s="1">
        <f t="shared" si="127"/>
        <v>0</v>
      </c>
      <c r="AE228" s="1">
        <f t="shared" si="128"/>
        <v>0</v>
      </c>
      <c r="AF228" s="1">
        <f t="shared" si="113"/>
        <v>0</v>
      </c>
      <c r="AG228" s="1">
        <f t="shared" si="114"/>
        <v>0</v>
      </c>
      <c r="AH228" s="1">
        <f t="shared" si="115"/>
        <v>1</v>
      </c>
      <c r="AI228" s="1">
        <f t="shared" si="116"/>
        <v>0</v>
      </c>
      <c r="AJ228" s="1"/>
    </row>
    <row r="229" spans="1:16384" s="2" customFormat="1" ht="14.25" customHeight="1" x14ac:dyDescent="0.25">
      <c r="A229" s="47">
        <v>0</v>
      </c>
      <c r="B229" s="47">
        <v>1</v>
      </c>
      <c r="C229" s="47">
        <v>6</v>
      </c>
      <c r="D229" s="48" t="s">
        <v>1480</v>
      </c>
      <c r="E229" s="48" t="s">
        <v>167</v>
      </c>
      <c r="F229" s="48" t="s">
        <v>1482</v>
      </c>
      <c r="G229" s="48" t="s">
        <v>1483</v>
      </c>
      <c r="H229" s="48" t="s">
        <v>354</v>
      </c>
      <c r="I229" s="47" t="s">
        <v>1481</v>
      </c>
      <c r="J229" s="47">
        <v>99</v>
      </c>
      <c r="K229" s="49" t="s">
        <v>703</v>
      </c>
      <c r="L229" s="49">
        <v>62</v>
      </c>
      <c r="M229" s="50"/>
      <c r="N229" s="50" t="s">
        <v>1734</v>
      </c>
      <c r="O229" s="51"/>
      <c r="P229" s="51"/>
      <c r="Q229" s="48"/>
      <c r="R229" s="1"/>
      <c r="S229" s="1">
        <f t="shared" si="117"/>
        <v>0</v>
      </c>
      <c r="T229" s="1">
        <f t="shared" si="118"/>
        <v>0</v>
      </c>
      <c r="U229" s="1">
        <f t="shared" si="119"/>
        <v>0</v>
      </c>
      <c r="V229" s="1">
        <f t="shared" si="120"/>
        <v>0</v>
      </c>
      <c r="W229" s="1">
        <f t="shared" si="121"/>
        <v>0</v>
      </c>
      <c r="X229" s="1">
        <f t="shared" si="122"/>
        <v>0</v>
      </c>
      <c r="Y229" s="1">
        <f t="shared" si="123"/>
        <v>0</v>
      </c>
      <c r="Z229" s="1">
        <f t="shared" si="124"/>
        <v>0</v>
      </c>
      <c r="AA229" s="1">
        <f t="shared" si="125"/>
        <v>0</v>
      </c>
      <c r="AB229" s="1">
        <f t="shared" si="126"/>
        <v>0</v>
      </c>
      <c r="AC229" s="1"/>
      <c r="AD229" s="1">
        <f t="shared" si="127"/>
        <v>0</v>
      </c>
      <c r="AE229" s="1">
        <f t="shared" si="128"/>
        <v>0</v>
      </c>
      <c r="AF229" s="1">
        <f t="shared" si="113"/>
        <v>0</v>
      </c>
      <c r="AG229" s="1">
        <f t="shared" si="114"/>
        <v>0</v>
      </c>
      <c r="AH229" s="1">
        <f t="shared" si="115"/>
        <v>0</v>
      </c>
      <c r="AI229" s="1">
        <f t="shared" si="116"/>
        <v>1</v>
      </c>
      <c r="AJ229" s="1"/>
    </row>
    <row r="230" spans="1:16384" s="2" customFormat="1" ht="14.25" customHeight="1" x14ac:dyDescent="0.25">
      <c r="A230" s="34">
        <v>0</v>
      </c>
      <c r="B230" s="34">
        <v>1</v>
      </c>
      <c r="C230" s="34">
        <v>6</v>
      </c>
      <c r="D230" s="35" t="s">
        <v>1196</v>
      </c>
      <c r="E230" s="35" t="s">
        <v>165</v>
      </c>
      <c r="F230" s="35" t="s">
        <v>1670</v>
      </c>
      <c r="G230" s="35" t="s">
        <v>213</v>
      </c>
      <c r="H230" s="35" t="s">
        <v>354</v>
      </c>
      <c r="I230" s="34" t="s">
        <v>1197</v>
      </c>
      <c r="J230" s="34">
        <v>1</v>
      </c>
      <c r="K230" s="36" t="s">
        <v>962</v>
      </c>
      <c r="L230" s="36" t="s">
        <v>687</v>
      </c>
      <c r="M230" s="37" t="s">
        <v>1572</v>
      </c>
      <c r="N230" s="37" t="s">
        <v>1755</v>
      </c>
      <c r="O230" s="38">
        <v>1</v>
      </c>
      <c r="P230" s="38"/>
      <c r="Q230" s="35"/>
      <c r="R230" s="1"/>
      <c r="S230" s="1">
        <f t="shared" si="117"/>
        <v>1</v>
      </c>
      <c r="T230" s="1">
        <f t="shared" si="118"/>
        <v>0</v>
      </c>
      <c r="U230" s="1">
        <f t="shared" si="119"/>
        <v>0</v>
      </c>
      <c r="V230" s="1">
        <f t="shared" si="120"/>
        <v>0</v>
      </c>
      <c r="W230" s="1">
        <f t="shared" si="121"/>
        <v>0</v>
      </c>
      <c r="X230" s="1">
        <f t="shared" si="122"/>
        <v>0</v>
      </c>
      <c r="Y230" s="1">
        <f t="shared" si="123"/>
        <v>0</v>
      </c>
      <c r="Z230" s="1">
        <f t="shared" si="124"/>
        <v>0</v>
      </c>
      <c r="AA230" s="1">
        <f t="shared" si="125"/>
        <v>0</v>
      </c>
      <c r="AB230" s="1">
        <f t="shared" si="126"/>
        <v>0</v>
      </c>
      <c r="AC230" s="1"/>
      <c r="AD230" s="1">
        <f t="shared" si="127"/>
        <v>0</v>
      </c>
      <c r="AE230" s="1">
        <f t="shared" si="128"/>
        <v>1</v>
      </c>
      <c r="AF230" s="1">
        <f t="shared" si="113"/>
        <v>0</v>
      </c>
      <c r="AG230" s="1">
        <f t="shared" si="114"/>
        <v>1</v>
      </c>
      <c r="AH230" s="1">
        <f t="shared" si="115"/>
        <v>0</v>
      </c>
      <c r="AI230" s="1">
        <f t="shared" si="116"/>
        <v>1</v>
      </c>
      <c r="AJ230" s="1"/>
    </row>
    <row r="231" spans="1:16384" s="2" customFormat="1" ht="14.25" customHeight="1" x14ac:dyDescent="0.25">
      <c r="A231" s="34">
        <v>0</v>
      </c>
      <c r="B231" s="34">
        <v>1</v>
      </c>
      <c r="C231" s="34">
        <v>6</v>
      </c>
      <c r="D231" s="35" t="s">
        <v>98</v>
      </c>
      <c r="E231" s="35" t="s">
        <v>167</v>
      </c>
      <c r="F231" s="35" t="s">
        <v>296</v>
      </c>
      <c r="G231" s="35" t="s">
        <v>285</v>
      </c>
      <c r="H231" s="35" t="s">
        <v>354</v>
      </c>
      <c r="I231" s="34" t="s">
        <v>1118</v>
      </c>
      <c r="J231" s="34">
        <v>10</v>
      </c>
      <c r="K231" s="36" t="s">
        <v>956</v>
      </c>
      <c r="L231" s="36" t="s">
        <v>694</v>
      </c>
      <c r="M231" s="37" t="s">
        <v>705</v>
      </c>
      <c r="N231" s="37" t="s">
        <v>1749</v>
      </c>
      <c r="O231" s="38">
        <v>1</v>
      </c>
      <c r="P231" s="38"/>
      <c r="Q231" s="35"/>
      <c r="R231" s="1"/>
      <c r="S231" s="1">
        <f t="shared" si="117"/>
        <v>0</v>
      </c>
      <c r="T231" s="1">
        <f t="shared" si="118"/>
        <v>0</v>
      </c>
      <c r="U231" s="1">
        <f t="shared" si="119"/>
        <v>0</v>
      </c>
      <c r="V231" s="1">
        <f t="shared" si="120"/>
        <v>0</v>
      </c>
      <c r="W231" s="1">
        <f t="shared" si="121"/>
        <v>0</v>
      </c>
      <c r="X231" s="1">
        <f t="shared" si="122"/>
        <v>0</v>
      </c>
      <c r="Y231" s="1">
        <f t="shared" si="123"/>
        <v>0</v>
      </c>
      <c r="Z231" s="1">
        <f t="shared" si="124"/>
        <v>0</v>
      </c>
      <c r="AA231" s="1">
        <f t="shared" si="125"/>
        <v>0</v>
      </c>
      <c r="AB231" s="1">
        <f t="shared" si="126"/>
        <v>1</v>
      </c>
      <c r="AC231" s="1"/>
      <c r="AD231" s="1">
        <f t="shared" si="127"/>
        <v>0</v>
      </c>
      <c r="AE231" s="1">
        <f t="shared" si="128"/>
        <v>1</v>
      </c>
      <c r="AF231" s="1">
        <f t="shared" si="113"/>
        <v>0</v>
      </c>
      <c r="AG231" s="1">
        <f t="shared" si="114"/>
        <v>1</v>
      </c>
      <c r="AH231" s="1">
        <f t="shared" si="115"/>
        <v>0</v>
      </c>
      <c r="AI231" s="1">
        <f t="shared" si="116"/>
        <v>1</v>
      </c>
      <c r="AJ231" s="1"/>
    </row>
    <row r="232" spans="1:16384" s="2" customFormat="1" ht="14.25" customHeight="1" x14ac:dyDescent="0.25">
      <c r="A232" s="34">
        <v>0</v>
      </c>
      <c r="B232" s="34">
        <v>1</v>
      </c>
      <c r="C232" s="34">
        <v>6</v>
      </c>
      <c r="D232" s="35" t="s">
        <v>603</v>
      </c>
      <c r="E232" s="35" t="s">
        <v>165</v>
      </c>
      <c r="F232" s="35" t="s">
        <v>605</v>
      </c>
      <c r="G232" s="35" t="s">
        <v>39</v>
      </c>
      <c r="H232" s="35" t="s">
        <v>354</v>
      </c>
      <c r="I232" s="34" t="s">
        <v>604</v>
      </c>
      <c r="J232" s="34">
        <v>99</v>
      </c>
      <c r="K232" s="36" t="s">
        <v>956</v>
      </c>
      <c r="L232" s="36" t="s">
        <v>693</v>
      </c>
      <c r="M232" s="37" t="s">
        <v>970</v>
      </c>
      <c r="N232" s="37" t="s">
        <v>1749</v>
      </c>
      <c r="O232" s="38">
        <v>1</v>
      </c>
      <c r="P232" s="38"/>
      <c r="Q232" s="35"/>
      <c r="R232" s="1"/>
      <c r="S232" s="1">
        <f t="shared" si="117"/>
        <v>0</v>
      </c>
      <c r="T232" s="1">
        <f t="shared" si="118"/>
        <v>0</v>
      </c>
      <c r="U232" s="1">
        <f t="shared" si="119"/>
        <v>0</v>
      </c>
      <c r="V232" s="1">
        <f t="shared" si="120"/>
        <v>0</v>
      </c>
      <c r="W232" s="1">
        <f t="shared" si="121"/>
        <v>0</v>
      </c>
      <c r="X232" s="1">
        <f t="shared" si="122"/>
        <v>0</v>
      </c>
      <c r="Y232" s="1">
        <f t="shared" si="123"/>
        <v>0</v>
      </c>
      <c r="Z232" s="1">
        <f t="shared" si="124"/>
        <v>0</v>
      </c>
      <c r="AA232" s="1">
        <f t="shared" si="125"/>
        <v>0</v>
      </c>
      <c r="AB232" s="1">
        <f t="shared" si="126"/>
        <v>0</v>
      </c>
      <c r="AC232" s="1"/>
      <c r="AD232" s="1">
        <f t="shared" si="127"/>
        <v>0</v>
      </c>
      <c r="AE232" s="1">
        <f t="shared" si="128"/>
        <v>1</v>
      </c>
      <c r="AF232" s="1">
        <f t="shared" si="113"/>
        <v>0</v>
      </c>
      <c r="AG232" s="1">
        <f t="shared" si="114"/>
        <v>1</v>
      </c>
      <c r="AH232" s="1">
        <f t="shared" si="115"/>
        <v>0</v>
      </c>
      <c r="AI232" s="1">
        <f t="shared" si="116"/>
        <v>1</v>
      </c>
      <c r="AJ232" s="1"/>
    </row>
    <row r="233" spans="1:16384" s="2" customFormat="1" ht="14.25" customHeight="1" x14ac:dyDescent="0.25">
      <c r="A233" s="34">
        <v>0</v>
      </c>
      <c r="B233" s="34">
        <v>1</v>
      </c>
      <c r="C233" s="34">
        <v>6</v>
      </c>
      <c r="D233" s="35" t="s">
        <v>1162</v>
      </c>
      <c r="E233" s="35" t="s">
        <v>165</v>
      </c>
      <c r="F233" s="35" t="s">
        <v>1164</v>
      </c>
      <c r="G233" s="35" t="s">
        <v>220</v>
      </c>
      <c r="H233" s="35" t="s">
        <v>354</v>
      </c>
      <c r="I233" s="34" t="s">
        <v>1163</v>
      </c>
      <c r="J233" s="34">
        <v>8</v>
      </c>
      <c r="K233" s="36" t="s">
        <v>702</v>
      </c>
      <c r="L233" s="36" t="s">
        <v>1713</v>
      </c>
      <c r="M233" s="37" t="s">
        <v>1403</v>
      </c>
      <c r="N233" s="37" t="s">
        <v>1748</v>
      </c>
      <c r="O233" s="38">
        <v>1</v>
      </c>
      <c r="P233" s="38"/>
      <c r="Q233" s="35"/>
      <c r="R233" s="1"/>
      <c r="S233" s="1">
        <f t="shared" si="117"/>
        <v>0</v>
      </c>
      <c r="T233" s="1">
        <f t="shared" si="118"/>
        <v>0</v>
      </c>
      <c r="U233" s="1">
        <f t="shared" si="119"/>
        <v>0</v>
      </c>
      <c r="V233" s="1">
        <f t="shared" si="120"/>
        <v>0</v>
      </c>
      <c r="W233" s="1">
        <f t="shared" si="121"/>
        <v>0</v>
      </c>
      <c r="X233" s="1">
        <f t="shared" si="122"/>
        <v>0</v>
      </c>
      <c r="Y233" s="1">
        <f t="shared" si="123"/>
        <v>0</v>
      </c>
      <c r="Z233" s="1">
        <f t="shared" si="124"/>
        <v>1</v>
      </c>
      <c r="AA233" s="1">
        <f t="shared" si="125"/>
        <v>0</v>
      </c>
      <c r="AB233" s="1">
        <f t="shared" si="126"/>
        <v>0</v>
      </c>
      <c r="AC233" s="1"/>
      <c r="AD233" s="1">
        <f t="shared" si="127"/>
        <v>0</v>
      </c>
      <c r="AE233" s="1">
        <f t="shared" si="128"/>
        <v>1</v>
      </c>
      <c r="AF233" s="1">
        <f t="shared" si="113"/>
        <v>0</v>
      </c>
      <c r="AG233" s="1">
        <f t="shared" si="114"/>
        <v>1</v>
      </c>
      <c r="AH233" s="1">
        <f t="shared" si="115"/>
        <v>0</v>
      </c>
      <c r="AI233" s="1">
        <f t="shared" si="116"/>
        <v>1</v>
      </c>
      <c r="AJ233" s="1"/>
    </row>
    <row r="234" spans="1:16384" s="2" customFormat="1" ht="14.25" customHeight="1" x14ac:dyDescent="0.25">
      <c r="A234" s="34">
        <v>0</v>
      </c>
      <c r="B234" s="34">
        <v>1</v>
      </c>
      <c r="C234" s="34">
        <v>6</v>
      </c>
      <c r="D234" s="35" t="s">
        <v>564</v>
      </c>
      <c r="E234" s="35" t="s">
        <v>167</v>
      </c>
      <c r="F234" s="35" t="s">
        <v>661</v>
      </c>
      <c r="G234" s="35" t="s">
        <v>202</v>
      </c>
      <c r="H234" s="35" t="s">
        <v>354</v>
      </c>
      <c r="I234" s="34" t="s">
        <v>583</v>
      </c>
      <c r="J234" s="34">
        <v>10</v>
      </c>
      <c r="K234" s="36" t="s">
        <v>962</v>
      </c>
      <c r="L234" s="36" t="s">
        <v>693</v>
      </c>
      <c r="M234" s="37" t="s">
        <v>705</v>
      </c>
      <c r="N234" s="37" t="s">
        <v>1748</v>
      </c>
      <c r="O234" s="38">
        <v>1</v>
      </c>
      <c r="P234" s="38"/>
      <c r="Q234" s="39"/>
      <c r="R234" s="1"/>
      <c r="S234" s="1">
        <f t="shared" si="117"/>
        <v>0</v>
      </c>
      <c r="T234" s="1">
        <f t="shared" si="118"/>
        <v>0</v>
      </c>
      <c r="U234" s="1">
        <f t="shared" si="119"/>
        <v>0</v>
      </c>
      <c r="V234" s="1">
        <f t="shared" si="120"/>
        <v>0</v>
      </c>
      <c r="W234" s="1">
        <f t="shared" si="121"/>
        <v>0</v>
      </c>
      <c r="X234" s="1">
        <f t="shared" si="122"/>
        <v>0</v>
      </c>
      <c r="Y234" s="1">
        <f t="shared" si="123"/>
        <v>0</v>
      </c>
      <c r="Z234" s="1">
        <f t="shared" si="124"/>
        <v>0</v>
      </c>
      <c r="AA234" s="1">
        <f t="shared" si="125"/>
        <v>0</v>
      </c>
      <c r="AB234" s="1">
        <f t="shared" si="126"/>
        <v>1</v>
      </c>
      <c r="AC234" s="1"/>
      <c r="AD234" s="1">
        <f t="shared" si="127"/>
        <v>0</v>
      </c>
      <c r="AE234" s="1">
        <f t="shared" si="128"/>
        <v>1</v>
      </c>
      <c r="AF234" s="1">
        <f t="shared" si="113"/>
        <v>0</v>
      </c>
      <c r="AG234" s="1">
        <f t="shared" si="114"/>
        <v>1</v>
      </c>
      <c r="AH234" s="1">
        <f t="shared" si="115"/>
        <v>0</v>
      </c>
      <c r="AI234" s="1">
        <f t="shared" si="116"/>
        <v>1</v>
      </c>
      <c r="AJ234" s="1"/>
    </row>
    <row r="235" spans="1:16384" s="2" customFormat="1" ht="14.25" customHeight="1" x14ac:dyDescent="0.25">
      <c r="A235" s="47">
        <v>0</v>
      </c>
      <c r="B235" s="47">
        <v>1</v>
      </c>
      <c r="C235" s="47">
        <v>6</v>
      </c>
      <c r="D235" s="48" t="s">
        <v>897</v>
      </c>
      <c r="E235" s="48" t="s">
        <v>167</v>
      </c>
      <c r="F235" s="48" t="s">
        <v>938</v>
      </c>
      <c r="G235" s="48" t="s">
        <v>939</v>
      </c>
      <c r="H235" s="48" t="s">
        <v>354</v>
      </c>
      <c r="I235" s="47" t="s">
        <v>953</v>
      </c>
      <c r="J235" s="47">
        <v>99</v>
      </c>
      <c r="K235" s="49" t="s">
        <v>702</v>
      </c>
      <c r="L235" s="49" t="s">
        <v>689</v>
      </c>
      <c r="M235" s="50" t="s">
        <v>1404</v>
      </c>
      <c r="N235" s="50" t="s">
        <v>1738</v>
      </c>
      <c r="O235" s="51"/>
      <c r="P235" s="51"/>
      <c r="Q235" s="48"/>
      <c r="R235" s="1"/>
      <c r="S235" s="1">
        <f t="shared" si="117"/>
        <v>0</v>
      </c>
      <c r="T235" s="1">
        <f t="shared" si="118"/>
        <v>0</v>
      </c>
      <c r="U235" s="1">
        <f t="shared" si="119"/>
        <v>0</v>
      </c>
      <c r="V235" s="1">
        <f t="shared" si="120"/>
        <v>0</v>
      </c>
      <c r="W235" s="1">
        <f t="shared" si="121"/>
        <v>0</v>
      </c>
      <c r="X235" s="1">
        <f t="shared" si="122"/>
        <v>0</v>
      </c>
      <c r="Y235" s="1">
        <f t="shared" si="123"/>
        <v>0</v>
      </c>
      <c r="Z235" s="1">
        <f t="shared" si="124"/>
        <v>0</v>
      </c>
      <c r="AA235" s="1">
        <f t="shared" si="125"/>
        <v>0</v>
      </c>
      <c r="AB235" s="1">
        <f t="shared" si="126"/>
        <v>0</v>
      </c>
      <c r="AC235" s="1"/>
      <c r="AD235" s="1">
        <f t="shared" si="127"/>
        <v>0</v>
      </c>
      <c r="AE235" s="1">
        <f t="shared" si="128"/>
        <v>0</v>
      </c>
      <c r="AF235" s="1">
        <f t="shared" si="113"/>
        <v>0</v>
      </c>
      <c r="AG235" s="1">
        <f t="shared" si="114"/>
        <v>0</v>
      </c>
      <c r="AH235" s="1">
        <f t="shared" si="115"/>
        <v>0</v>
      </c>
      <c r="AI235" s="1">
        <f t="shared" si="116"/>
        <v>1</v>
      </c>
      <c r="AJ235" s="1"/>
    </row>
    <row r="236" spans="1:16384" s="2" customFormat="1" ht="14.25" customHeight="1" x14ac:dyDescent="0.25">
      <c r="A236" s="34">
        <v>0</v>
      </c>
      <c r="B236" s="34">
        <v>1</v>
      </c>
      <c r="C236" s="34">
        <v>6</v>
      </c>
      <c r="D236" s="35" t="s">
        <v>100</v>
      </c>
      <c r="E236" s="35" t="s">
        <v>167</v>
      </c>
      <c r="F236" s="35" t="s">
        <v>662</v>
      </c>
      <c r="G236" s="35" t="s">
        <v>664</v>
      </c>
      <c r="H236" s="35" t="s">
        <v>354</v>
      </c>
      <c r="I236" s="34" t="s">
        <v>447</v>
      </c>
      <c r="J236" s="34">
        <v>99</v>
      </c>
      <c r="K236" s="36" t="s">
        <v>722</v>
      </c>
      <c r="L236" s="36" t="s">
        <v>696</v>
      </c>
      <c r="M236" s="37" t="s">
        <v>707</v>
      </c>
      <c r="N236" s="37" t="s">
        <v>1749</v>
      </c>
      <c r="O236" s="38">
        <v>1</v>
      </c>
      <c r="P236" s="38"/>
      <c r="Q236" s="35"/>
      <c r="R236" s="1"/>
      <c r="S236" s="1">
        <f t="shared" si="117"/>
        <v>0</v>
      </c>
      <c r="T236" s="1">
        <f t="shared" si="118"/>
        <v>0</v>
      </c>
      <c r="U236" s="1">
        <f t="shared" si="119"/>
        <v>0</v>
      </c>
      <c r="V236" s="1">
        <f t="shared" si="120"/>
        <v>0</v>
      </c>
      <c r="W236" s="1">
        <f t="shared" si="121"/>
        <v>0</v>
      </c>
      <c r="X236" s="1">
        <f t="shared" si="122"/>
        <v>0</v>
      </c>
      <c r="Y236" s="1">
        <f t="shared" si="123"/>
        <v>0</v>
      </c>
      <c r="Z236" s="1">
        <f t="shared" si="124"/>
        <v>0</v>
      </c>
      <c r="AA236" s="1">
        <f t="shared" si="125"/>
        <v>0</v>
      </c>
      <c r="AB236" s="1">
        <f t="shared" si="126"/>
        <v>0</v>
      </c>
      <c r="AC236" s="1"/>
      <c r="AD236" s="1">
        <f t="shared" si="127"/>
        <v>0</v>
      </c>
      <c r="AE236" s="1">
        <f t="shared" si="128"/>
        <v>1</v>
      </c>
      <c r="AF236" s="1">
        <f t="shared" si="113"/>
        <v>0</v>
      </c>
      <c r="AG236" s="1">
        <f t="shared" si="114"/>
        <v>1</v>
      </c>
      <c r="AH236" s="1">
        <f t="shared" si="115"/>
        <v>0</v>
      </c>
      <c r="AI236" s="1">
        <f t="shared" si="116"/>
        <v>1</v>
      </c>
      <c r="AJ236" s="1"/>
    </row>
    <row r="237" spans="1:16384" s="2" customFormat="1" ht="14.25" customHeight="1" x14ac:dyDescent="0.25">
      <c r="A237" s="41">
        <v>0</v>
      </c>
      <c r="B237" s="41">
        <v>1</v>
      </c>
      <c r="C237" s="41">
        <v>7</v>
      </c>
      <c r="D237" s="42" t="s">
        <v>86</v>
      </c>
      <c r="E237" s="42" t="s">
        <v>29</v>
      </c>
      <c r="F237" s="42" t="s">
        <v>663</v>
      </c>
      <c r="G237" s="42" t="s">
        <v>664</v>
      </c>
      <c r="H237" s="42" t="s">
        <v>354</v>
      </c>
      <c r="I237" s="41" t="s">
        <v>631</v>
      </c>
      <c r="J237" s="41">
        <v>99</v>
      </c>
      <c r="K237" s="43" t="s">
        <v>954</v>
      </c>
      <c r="L237" s="43" t="s">
        <v>693</v>
      </c>
      <c r="M237" s="44" t="s">
        <v>1405</v>
      </c>
      <c r="N237" s="45"/>
      <c r="O237" s="46"/>
      <c r="P237" s="46">
        <v>1</v>
      </c>
      <c r="Q237" s="42"/>
      <c r="R237" s="1"/>
      <c r="S237" s="1">
        <f t="shared" si="117"/>
        <v>0</v>
      </c>
      <c r="T237" s="1">
        <f t="shared" si="118"/>
        <v>0</v>
      </c>
      <c r="U237" s="1">
        <f t="shared" si="119"/>
        <v>0</v>
      </c>
      <c r="V237" s="1">
        <f t="shared" si="120"/>
        <v>0</v>
      </c>
      <c r="W237" s="1">
        <f t="shared" si="121"/>
        <v>0</v>
      </c>
      <c r="X237" s="1">
        <f t="shared" si="122"/>
        <v>0</v>
      </c>
      <c r="Y237" s="1">
        <f t="shared" si="123"/>
        <v>0</v>
      </c>
      <c r="Z237" s="1">
        <f t="shared" si="124"/>
        <v>0</v>
      </c>
      <c r="AA237" s="1">
        <f t="shared" si="125"/>
        <v>0</v>
      </c>
      <c r="AB237" s="1">
        <f t="shared" si="126"/>
        <v>0</v>
      </c>
      <c r="AC237" s="1"/>
      <c r="AD237" s="1">
        <f t="shared" si="127"/>
        <v>0</v>
      </c>
      <c r="AE237" s="1">
        <f t="shared" si="128"/>
        <v>0</v>
      </c>
      <c r="AF237" s="1">
        <f t="shared" si="113"/>
        <v>0</v>
      </c>
      <c r="AG237" s="1">
        <f t="shared" si="114"/>
        <v>0</v>
      </c>
      <c r="AH237" s="1">
        <f t="shared" si="115"/>
        <v>1</v>
      </c>
      <c r="AI237" s="1">
        <f t="shared" si="116"/>
        <v>0</v>
      </c>
      <c r="AJ237" s="1"/>
    </row>
    <row r="238" spans="1:16384" s="2" customFormat="1" ht="14.25" customHeight="1" x14ac:dyDescent="0.25">
      <c r="A238" s="47">
        <v>0</v>
      </c>
      <c r="B238" s="47">
        <v>1</v>
      </c>
      <c r="C238" s="47">
        <v>7</v>
      </c>
      <c r="D238" s="48" t="s">
        <v>650</v>
      </c>
      <c r="E238" s="48" t="s">
        <v>29</v>
      </c>
      <c r="F238" s="48" t="s">
        <v>626</v>
      </c>
      <c r="G238" s="48" t="s">
        <v>232</v>
      </c>
      <c r="H238" s="48" t="s">
        <v>354</v>
      </c>
      <c r="I238" s="47" t="s">
        <v>627</v>
      </c>
      <c r="J238" s="47">
        <v>99</v>
      </c>
      <c r="K238" s="49" t="s">
        <v>713</v>
      </c>
      <c r="L238" s="49" t="s">
        <v>696</v>
      </c>
      <c r="M238" s="50" t="s">
        <v>973</v>
      </c>
      <c r="N238" s="50" t="s">
        <v>1809</v>
      </c>
      <c r="O238" s="51"/>
      <c r="P238" s="51"/>
      <c r="Q238" s="48"/>
      <c r="R238" s="1"/>
      <c r="S238" s="1">
        <f t="shared" si="117"/>
        <v>0</v>
      </c>
      <c r="T238" s="1">
        <f t="shared" si="118"/>
        <v>0</v>
      </c>
      <c r="U238" s="1">
        <f t="shared" si="119"/>
        <v>0</v>
      </c>
      <c r="V238" s="1">
        <f t="shared" si="120"/>
        <v>0</v>
      </c>
      <c r="W238" s="1">
        <f t="shared" si="121"/>
        <v>0</v>
      </c>
      <c r="X238" s="1">
        <f t="shared" si="122"/>
        <v>0</v>
      </c>
      <c r="Y238" s="1">
        <f t="shared" si="123"/>
        <v>0</v>
      </c>
      <c r="Z238" s="1">
        <f t="shared" si="124"/>
        <v>0</v>
      </c>
      <c r="AA238" s="1">
        <f t="shared" si="125"/>
        <v>0</v>
      </c>
      <c r="AB238" s="1">
        <f t="shared" si="126"/>
        <v>0</v>
      </c>
      <c r="AC238" s="1"/>
      <c r="AD238" s="1">
        <f t="shared" si="127"/>
        <v>0</v>
      </c>
      <c r="AE238" s="1">
        <f t="shared" si="128"/>
        <v>0</v>
      </c>
      <c r="AF238" s="1">
        <f t="shared" si="113"/>
        <v>0</v>
      </c>
      <c r="AG238" s="1">
        <f t="shared" si="114"/>
        <v>0</v>
      </c>
      <c r="AH238" s="1">
        <f t="shared" si="115"/>
        <v>0</v>
      </c>
      <c r="AI238" s="1">
        <f t="shared" si="116"/>
        <v>1</v>
      </c>
      <c r="AJ238" s="1"/>
    </row>
    <row r="239" spans="1:16384" s="2" customFormat="1" ht="14.25" customHeight="1" x14ac:dyDescent="0.25">
      <c r="A239" s="15">
        <v>0</v>
      </c>
      <c r="B239" s="15">
        <v>1</v>
      </c>
      <c r="C239" s="15">
        <v>7</v>
      </c>
      <c r="D239" s="16" t="s">
        <v>983</v>
      </c>
      <c r="E239" s="16" t="s">
        <v>29</v>
      </c>
      <c r="F239" s="16" t="s">
        <v>984</v>
      </c>
      <c r="G239" s="16" t="s">
        <v>985</v>
      </c>
      <c r="H239" s="16" t="s">
        <v>354</v>
      </c>
      <c r="I239" s="15" t="s">
        <v>982</v>
      </c>
      <c r="J239" s="15">
        <v>99</v>
      </c>
      <c r="K239" s="10" t="s">
        <v>703</v>
      </c>
      <c r="L239" s="10">
        <v>20</v>
      </c>
      <c r="M239" s="19" t="s">
        <v>973</v>
      </c>
      <c r="N239" s="19"/>
      <c r="O239" s="1"/>
      <c r="P239" s="1"/>
      <c r="Q239" s="16"/>
      <c r="R239" s="1"/>
      <c r="S239" s="1">
        <f t="shared" si="117"/>
        <v>0</v>
      </c>
      <c r="T239" s="1">
        <f t="shared" si="118"/>
        <v>0</v>
      </c>
      <c r="U239" s="1">
        <f t="shared" si="119"/>
        <v>0</v>
      </c>
      <c r="V239" s="1">
        <f t="shared" si="120"/>
        <v>0</v>
      </c>
      <c r="W239" s="1">
        <f t="shared" si="121"/>
        <v>0</v>
      </c>
      <c r="X239" s="1">
        <f t="shared" si="122"/>
        <v>0</v>
      </c>
      <c r="Y239" s="1">
        <f t="shared" si="123"/>
        <v>0</v>
      </c>
      <c r="Z239" s="1">
        <f t="shared" si="124"/>
        <v>0</v>
      </c>
      <c r="AA239" s="1">
        <f t="shared" si="125"/>
        <v>0</v>
      </c>
      <c r="AB239" s="1">
        <f t="shared" si="126"/>
        <v>0</v>
      </c>
      <c r="AC239" s="1"/>
      <c r="AD239" s="1">
        <f t="shared" si="127"/>
        <v>0</v>
      </c>
      <c r="AE239" s="1">
        <f t="shared" si="128"/>
        <v>0</v>
      </c>
      <c r="AF239" s="1">
        <f t="shared" si="113"/>
        <v>0</v>
      </c>
      <c r="AG239" s="1">
        <f t="shared" si="114"/>
        <v>0</v>
      </c>
      <c r="AH239" s="1">
        <f t="shared" si="115"/>
        <v>0</v>
      </c>
      <c r="AI239" s="1">
        <f t="shared" si="116"/>
        <v>1</v>
      </c>
      <c r="AJ239" s="1"/>
    </row>
    <row r="240" spans="1:16384" s="2" customFormat="1" ht="14.25" customHeight="1" x14ac:dyDescent="0.25">
      <c r="A240" s="41">
        <v>0</v>
      </c>
      <c r="B240" s="41">
        <v>1</v>
      </c>
      <c r="C240" s="41">
        <v>7</v>
      </c>
      <c r="D240" s="42" t="s">
        <v>591</v>
      </c>
      <c r="E240" s="42" t="s">
        <v>29</v>
      </c>
      <c r="F240" s="42" t="s">
        <v>592</v>
      </c>
      <c r="G240" s="42" t="s">
        <v>1073</v>
      </c>
      <c r="H240" s="42" t="s">
        <v>354</v>
      </c>
      <c r="I240" s="41" t="s">
        <v>593</v>
      </c>
      <c r="J240" s="41">
        <v>99</v>
      </c>
      <c r="K240" s="43" t="s">
        <v>703</v>
      </c>
      <c r="L240" s="43">
        <v>35</v>
      </c>
      <c r="M240" s="44" t="s">
        <v>1405</v>
      </c>
      <c r="N240" s="44"/>
      <c r="O240" s="46"/>
      <c r="P240" s="46">
        <v>1</v>
      </c>
      <c r="Q240" s="42"/>
      <c r="R240" s="1"/>
      <c r="S240" s="1">
        <f t="shared" si="117"/>
        <v>0</v>
      </c>
      <c r="T240" s="1">
        <f t="shared" si="118"/>
        <v>0</v>
      </c>
      <c r="U240" s="1">
        <f t="shared" si="119"/>
        <v>0</v>
      </c>
      <c r="V240" s="1">
        <f t="shared" si="120"/>
        <v>0</v>
      </c>
      <c r="W240" s="1">
        <f t="shared" si="121"/>
        <v>0</v>
      </c>
      <c r="X240" s="1">
        <f t="shared" si="122"/>
        <v>0</v>
      </c>
      <c r="Y240" s="1">
        <f t="shared" si="123"/>
        <v>0</v>
      </c>
      <c r="Z240" s="1">
        <f t="shared" si="124"/>
        <v>0</v>
      </c>
      <c r="AA240" s="1">
        <f t="shared" si="125"/>
        <v>0</v>
      </c>
      <c r="AB240" s="1">
        <f t="shared" si="126"/>
        <v>0</v>
      </c>
      <c r="AC240" s="1"/>
      <c r="AD240" s="1">
        <f t="shared" si="127"/>
        <v>0</v>
      </c>
      <c r="AE240" s="1">
        <f t="shared" si="128"/>
        <v>0</v>
      </c>
      <c r="AF240" s="1">
        <f t="shared" si="113"/>
        <v>0</v>
      </c>
      <c r="AG240" s="1">
        <f t="shared" si="114"/>
        <v>0</v>
      </c>
      <c r="AH240" s="1">
        <f t="shared" si="115"/>
        <v>1</v>
      </c>
      <c r="AI240" s="1">
        <f t="shared" si="116"/>
        <v>0</v>
      </c>
      <c r="AJ240" s="1"/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1627</v>
      </c>
      <c r="E241" s="42" t="s">
        <v>29</v>
      </c>
      <c r="F241" s="42" t="s">
        <v>1682</v>
      </c>
      <c r="G241" s="42" t="s">
        <v>312</v>
      </c>
      <c r="H241" s="42" t="s">
        <v>354</v>
      </c>
      <c r="I241" s="41" t="s">
        <v>1628</v>
      </c>
      <c r="J241" s="41"/>
      <c r="K241" s="43" t="s">
        <v>713</v>
      </c>
      <c r="L241" s="43">
        <v>45</v>
      </c>
      <c r="M241" s="44" t="s">
        <v>1800</v>
      </c>
      <c r="N241" s="45"/>
      <c r="O241" s="46"/>
      <c r="P241" s="46">
        <v>1</v>
      </c>
      <c r="Q241" s="42"/>
      <c r="S241" s="1">
        <f t="shared" si="117"/>
        <v>0</v>
      </c>
      <c r="T241" s="1">
        <f t="shared" si="118"/>
        <v>0</v>
      </c>
      <c r="U241" s="1">
        <f t="shared" si="119"/>
        <v>0</v>
      </c>
      <c r="V241" s="1">
        <f t="shared" si="120"/>
        <v>0</v>
      </c>
      <c r="W241" s="1">
        <f t="shared" si="121"/>
        <v>0</v>
      </c>
      <c r="X241" s="1">
        <f t="shared" si="122"/>
        <v>0</v>
      </c>
      <c r="Y241" s="1">
        <f t="shared" si="123"/>
        <v>0</v>
      </c>
      <c r="Z241" s="1">
        <f t="shared" si="124"/>
        <v>0</v>
      </c>
      <c r="AA241" s="1">
        <f t="shared" si="125"/>
        <v>0</v>
      </c>
      <c r="AB241" s="1">
        <f t="shared" si="126"/>
        <v>0</v>
      </c>
      <c r="AD241" s="1">
        <f t="shared" si="127"/>
        <v>0</v>
      </c>
      <c r="AE241" s="1">
        <f t="shared" si="128"/>
        <v>0</v>
      </c>
      <c r="AF241" s="1">
        <f t="shared" si="113"/>
        <v>0</v>
      </c>
      <c r="AG241" s="1">
        <f t="shared" si="114"/>
        <v>0</v>
      </c>
      <c r="AH241" s="1">
        <f t="shared" si="115"/>
        <v>1</v>
      </c>
      <c r="AI241" s="1">
        <f t="shared" si="116"/>
        <v>0</v>
      </c>
    </row>
    <row r="242" spans="1:35" ht="14.25" customHeight="1" x14ac:dyDescent="0.25">
      <c r="A242" s="34">
        <v>0</v>
      </c>
      <c r="B242" s="34">
        <v>1</v>
      </c>
      <c r="C242" s="34">
        <v>7</v>
      </c>
      <c r="D242" s="35" t="s">
        <v>859</v>
      </c>
      <c r="E242" s="35" t="s">
        <v>29</v>
      </c>
      <c r="F242" s="35" t="s">
        <v>860</v>
      </c>
      <c r="G242" s="35" t="s">
        <v>202</v>
      </c>
      <c r="H242" s="35" t="s">
        <v>354</v>
      </c>
      <c r="I242" s="34" t="s">
        <v>861</v>
      </c>
      <c r="J242" s="34">
        <v>10</v>
      </c>
      <c r="K242" s="36" t="s">
        <v>713</v>
      </c>
      <c r="L242" s="36" t="s">
        <v>693</v>
      </c>
      <c r="M242" s="37" t="s">
        <v>1405</v>
      </c>
      <c r="N242" s="37" t="s">
        <v>1755</v>
      </c>
      <c r="O242" s="38">
        <v>1</v>
      </c>
      <c r="P242" s="38"/>
      <c r="Q242" s="35"/>
      <c r="S242" s="1">
        <f t="shared" si="117"/>
        <v>0</v>
      </c>
      <c r="T242" s="1">
        <f t="shared" si="118"/>
        <v>0</v>
      </c>
      <c r="U242" s="1">
        <f t="shared" si="119"/>
        <v>0</v>
      </c>
      <c r="V242" s="1">
        <f t="shared" si="120"/>
        <v>0</v>
      </c>
      <c r="W242" s="1">
        <f t="shared" si="121"/>
        <v>0</v>
      </c>
      <c r="X242" s="1">
        <f t="shared" si="122"/>
        <v>0</v>
      </c>
      <c r="Y242" s="1">
        <f t="shared" si="123"/>
        <v>0</v>
      </c>
      <c r="Z242" s="1">
        <f t="shared" si="124"/>
        <v>0</v>
      </c>
      <c r="AA242" s="1">
        <f t="shared" si="125"/>
        <v>0</v>
      </c>
      <c r="AB242" s="1">
        <f t="shared" si="126"/>
        <v>1</v>
      </c>
      <c r="AD242" s="1">
        <f t="shared" si="127"/>
        <v>0</v>
      </c>
      <c r="AE242" s="1">
        <f t="shared" si="128"/>
        <v>1</v>
      </c>
      <c r="AF242" s="1">
        <f t="shared" si="113"/>
        <v>0</v>
      </c>
      <c r="AG242" s="1">
        <f t="shared" si="114"/>
        <v>1</v>
      </c>
      <c r="AH242" s="1">
        <f t="shared" si="115"/>
        <v>0</v>
      </c>
      <c r="AI242" s="1">
        <f t="shared" si="116"/>
        <v>1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5" t="s">
        <v>40</v>
      </c>
      <c r="E243" s="35" t="s">
        <v>29</v>
      </c>
      <c r="F243" s="35" t="s">
        <v>280</v>
      </c>
      <c r="G243" s="35" t="s">
        <v>230</v>
      </c>
      <c r="H243" s="35" t="s">
        <v>354</v>
      </c>
      <c r="I243" s="34" t="s">
        <v>435</v>
      </c>
      <c r="J243" s="34">
        <v>7</v>
      </c>
      <c r="K243" s="36" t="s">
        <v>713</v>
      </c>
      <c r="L243" s="36" t="s">
        <v>696</v>
      </c>
      <c r="M243" s="37" t="s">
        <v>973</v>
      </c>
      <c r="N243" s="37" t="s">
        <v>1727</v>
      </c>
      <c r="O243" s="38">
        <v>1</v>
      </c>
      <c r="P243" s="38">
        <v>1</v>
      </c>
      <c r="Q243" s="35"/>
      <c r="S243" s="1">
        <f t="shared" si="117"/>
        <v>0</v>
      </c>
      <c r="T243" s="1">
        <f t="shared" si="118"/>
        <v>0</v>
      </c>
      <c r="U243" s="1">
        <f t="shared" si="119"/>
        <v>0</v>
      </c>
      <c r="V243" s="1">
        <f t="shared" si="120"/>
        <v>0</v>
      </c>
      <c r="W243" s="1">
        <f t="shared" si="121"/>
        <v>0</v>
      </c>
      <c r="X243" s="1">
        <f t="shared" si="122"/>
        <v>0</v>
      </c>
      <c r="Y243" s="1">
        <f t="shared" si="123"/>
        <v>1</v>
      </c>
      <c r="Z243" s="1">
        <f t="shared" si="124"/>
        <v>0</v>
      </c>
      <c r="AA243" s="1">
        <f t="shared" si="125"/>
        <v>0</v>
      </c>
      <c r="AB243" s="1">
        <f t="shared" si="126"/>
        <v>0</v>
      </c>
      <c r="AD243" s="1">
        <f t="shared" si="127"/>
        <v>1</v>
      </c>
      <c r="AE243" s="1">
        <f t="shared" si="128"/>
        <v>0</v>
      </c>
      <c r="AF243" s="1">
        <f t="shared" si="113"/>
        <v>1</v>
      </c>
      <c r="AG243" s="1">
        <f t="shared" si="114"/>
        <v>0</v>
      </c>
      <c r="AH243" s="1">
        <f t="shared" si="115"/>
        <v>1</v>
      </c>
      <c r="AI243" s="1">
        <f t="shared" si="116"/>
        <v>0</v>
      </c>
    </row>
    <row r="244" spans="1:35" ht="14.25" customHeight="1" x14ac:dyDescent="0.25">
      <c r="A244" s="34">
        <v>1</v>
      </c>
      <c r="B244" s="34">
        <v>1</v>
      </c>
      <c r="C244" s="34">
        <v>7</v>
      </c>
      <c r="D244" s="35" t="s">
        <v>40</v>
      </c>
      <c r="E244" s="35" t="s">
        <v>29</v>
      </c>
      <c r="F244" s="35" t="s">
        <v>1601</v>
      </c>
      <c r="G244" s="35" t="s">
        <v>39</v>
      </c>
      <c r="H244" s="35" t="s">
        <v>354</v>
      </c>
      <c r="I244" s="34" t="s">
        <v>1602</v>
      </c>
      <c r="J244" s="34">
        <v>99</v>
      </c>
      <c r="K244" s="36" t="s">
        <v>713</v>
      </c>
      <c r="L244" s="36" t="s">
        <v>696</v>
      </c>
      <c r="M244" s="37" t="s">
        <v>973</v>
      </c>
      <c r="N244" s="37" t="s">
        <v>1727</v>
      </c>
      <c r="O244" s="38">
        <v>1</v>
      </c>
      <c r="P244" s="38">
        <v>1</v>
      </c>
      <c r="Q244" s="35"/>
      <c r="S244" s="1">
        <f t="shared" si="117"/>
        <v>0</v>
      </c>
      <c r="T244" s="1">
        <f t="shared" si="118"/>
        <v>0</v>
      </c>
      <c r="U244" s="1">
        <f t="shared" si="119"/>
        <v>0</v>
      </c>
      <c r="V244" s="1">
        <f t="shared" si="120"/>
        <v>0</v>
      </c>
      <c r="W244" s="1">
        <f t="shared" si="121"/>
        <v>0</v>
      </c>
      <c r="X244" s="1">
        <f t="shared" si="122"/>
        <v>0</v>
      </c>
      <c r="Y244" s="1">
        <f t="shared" si="123"/>
        <v>0</v>
      </c>
      <c r="Z244" s="1">
        <f t="shared" si="124"/>
        <v>0</v>
      </c>
      <c r="AA244" s="1">
        <f t="shared" si="125"/>
        <v>0</v>
      </c>
      <c r="AB244" s="1">
        <f t="shared" si="126"/>
        <v>0</v>
      </c>
      <c r="AD244" s="1">
        <f t="shared" si="127"/>
        <v>1</v>
      </c>
      <c r="AE244" s="1">
        <f t="shared" si="128"/>
        <v>0</v>
      </c>
      <c r="AF244" s="1">
        <f t="shared" si="113"/>
        <v>0</v>
      </c>
      <c r="AG244" s="1">
        <f t="shared" si="114"/>
        <v>0</v>
      </c>
      <c r="AH244" s="1">
        <f t="shared" si="115"/>
        <v>0</v>
      </c>
      <c r="AI244" s="1">
        <f t="shared" si="116"/>
        <v>0</v>
      </c>
    </row>
    <row r="245" spans="1:35" ht="14.25" customHeight="1" x14ac:dyDescent="0.25">
      <c r="A245" s="52">
        <v>0</v>
      </c>
      <c r="B245" s="52">
        <v>1</v>
      </c>
      <c r="C245" s="52">
        <v>7</v>
      </c>
      <c r="D245" s="58" t="s">
        <v>1484</v>
      </c>
      <c r="E245" s="53" t="s">
        <v>29</v>
      </c>
      <c r="F245" s="58" t="s">
        <v>1004</v>
      </c>
      <c r="G245" s="58" t="s">
        <v>1102</v>
      </c>
      <c r="H245" s="58" t="s">
        <v>354</v>
      </c>
      <c r="I245" s="66" t="s">
        <v>1110</v>
      </c>
      <c r="J245" s="52">
        <v>10</v>
      </c>
      <c r="K245" s="54" t="s">
        <v>713</v>
      </c>
      <c r="L245" s="54" t="s">
        <v>694</v>
      </c>
      <c r="M245" s="55" t="s">
        <v>973</v>
      </c>
      <c r="N245" s="55" t="s">
        <v>1743</v>
      </c>
      <c r="O245" s="56">
        <v>1</v>
      </c>
      <c r="P245" s="56"/>
      <c r="Q245" s="58"/>
      <c r="S245" s="1">
        <f t="shared" si="117"/>
        <v>0</v>
      </c>
      <c r="T245" s="1">
        <f t="shared" si="118"/>
        <v>0</v>
      </c>
      <c r="U245" s="1">
        <f t="shared" si="119"/>
        <v>0</v>
      </c>
      <c r="V245" s="1">
        <f t="shared" si="120"/>
        <v>0</v>
      </c>
      <c r="W245" s="1">
        <f t="shared" si="121"/>
        <v>0</v>
      </c>
      <c r="X245" s="1">
        <f t="shared" si="122"/>
        <v>0</v>
      </c>
      <c r="Y245" s="1">
        <f t="shared" si="123"/>
        <v>0</v>
      </c>
      <c r="Z245" s="1">
        <f t="shared" si="124"/>
        <v>0</v>
      </c>
      <c r="AA245" s="1">
        <f t="shared" si="125"/>
        <v>0</v>
      </c>
      <c r="AB245" s="1">
        <f t="shared" si="126"/>
        <v>1</v>
      </c>
      <c r="AD245" s="1">
        <f t="shared" si="127"/>
        <v>0</v>
      </c>
      <c r="AE245" s="1">
        <f t="shared" si="128"/>
        <v>1</v>
      </c>
      <c r="AF245" s="1">
        <f t="shared" si="113"/>
        <v>0</v>
      </c>
      <c r="AG245" s="1">
        <f t="shared" si="114"/>
        <v>1</v>
      </c>
      <c r="AH245" s="1">
        <f t="shared" si="115"/>
        <v>0</v>
      </c>
      <c r="AI245" s="1">
        <f t="shared" si="116"/>
        <v>1</v>
      </c>
    </row>
    <row r="246" spans="1:35" ht="14.25" customHeight="1" x14ac:dyDescent="0.25">
      <c r="A246" s="34">
        <v>0</v>
      </c>
      <c r="B246" s="34">
        <v>1</v>
      </c>
      <c r="C246" s="34">
        <v>7</v>
      </c>
      <c r="D246" s="39" t="s">
        <v>1485</v>
      </c>
      <c r="E246" s="35" t="s">
        <v>29</v>
      </c>
      <c r="F246" s="39" t="s">
        <v>1002</v>
      </c>
      <c r="G246" s="39" t="s">
        <v>240</v>
      </c>
      <c r="H246" s="39" t="s">
        <v>354</v>
      </c>
      <c r="I246" s="40" t="s">
        <v>1003</v>
      </c>
      <c r="J246" s="34">
        <v>1</v>
      </c>
      <c r="K246" s="36" t="s">
        <v>961</v>
      </c>
      <c r="L246" s="36" t="s">
        <v>694</v>
      </c>
      <c r="M246" s="37" t="s">
        <v>973</v>
      </c>
      <c r="N246" s="37" t="s">
        <v>1801</v>
      </c>
      <c r="O246" s="38">
        <v>1</v>
      </c>
      <c r="P246" s="38"/>
      <c r="Q246" s="39"/>
      <c r="S246" s="1">
        <f t="shared" si="117"/>
        <v>1</v>
      </c>
      <c r="T246" s="1">
        <f t="shared" si="118"/>
        <v>0</v>
      </c>
      <c r="U246" s="1">
        <f t="shared" si="119"/>
        <v>0</v>
      </c>
      <c r="V246" s="1">
        <f t="shared" si="120"/>
        <v>0</v>
      </c>
      <c r="W246" s="1">
        <f t="shared" si="121"/>
        <v>0</v>
      </c>
      <c r="X246" s="1">
        <f t="shared" si="122"/>
        <v>0</v>
      </c>
      <c r="Y246" s="1">
        <f t="shared" si="123"/>
        <v>0</v>
      </c>
      <c r="Z246" s="1">
        <f t="shared" si="124"/>
        <v>0</v>
      </c>
      <c r="AA246" s="1">
        <f t="shared" si="125"/>
        <v>0</v>
      </c>
      <c r="AB246" s="1">
        <f t="shared" si="126"/>
        <v>0</v>
      </c>
      <c r="AD246" s="1">
        <f t="shared" si="127"/>
        <v>0</v>
      </c>
      <c r="AE246" s="1">
        <f t="shared" si="128"/>
        <v>1</v>
      </c>
      <c r="AF246" s="1">
        <f t="shared" si="113"/>
        <v>0</v>
      </c>
      <c r="AG246" s="1">
        <f t="shared" si="114"/>
        <v>1</v>
      </c>
      <c r="AH246" s="1">
        <f t="shared" si="115"/>
        <v>0</v>
      </c>
      <c r="AI246" s="1">
        <f t="shared" si="116"/>
        <v>1</v>
      </c>
    </row>
    <row r="247" spans="1:35" ht="14.25" customHeight="1" x14ac:dyDescent="0.25">
      <c r="A247" s="47">
        <v>0</v>
      </c>
      <c r="B247" s="47">
        <v>1</v>
      </c>
      <c r="C247" s="47">
        <v>7</v>
      </c>
      <c r="D247" s="48" t="s">
        <v>898</v>
      </c>
      <c r="E247" s="48" t="s">
        <v>29</v>
      </c>
      <c r="F247" s="48" t="s">
        <v>899</v>
      </c>
      <c r="G247" s="48" t="s">
        <v>39</v>
      </c>
      <c r="H247" s="48" t="s">
        <v>355</v>
      </c>
      <c r="I247" s="47" t="s">
        <v>900</v>
      </c>
      <c r="J247" s="47">
        <v>11</v>
      </c>
      <c r="K247" s="49" t="s">
        <v>703</v>
      </c>
      <c r="L247" s="49">
        <v>35</v>
      </c>
      <c r="M247" s="50" t="s">
        <v>1405</v>
      </c>
      <c r="N247" s="50" t="s">
        <v>1747</v>
      </c>
      <c r="O247" s="51"/>
      <c r="P247" s="51"/>
      <c r="Q247" s="68" t="s">
        <v>1903</v>
      </c>
      <c r="S247" s="1">
        <f t="shared" si="117"/>
        <v>0</v>
      </c>
      <c r="T247" s="1">
        <f t="shared" si="118"/>
        <v>0</v>
      </c>
      <c r="U247" s="1">
        <f t="shared" si="119"/>
        <v>0</v>
      </c>
      <c r="V247" s="1">
        <f t="shared" si="120"/>
        <v>0</v>
      </c>
      <c r="W247" s="1">
        <f t="shared" si="121"/>
        <v>0</v>
      </c>
      <c r="X247" s="1">
        <f t="shared" si="122"/>
        <v>0</v>
      </c>
      <c r="Y247" s="1">
        <f t="shared" si="123"/>
        <v>0</v>
      </c>
      <c r="Z247" s="1">
        <f t="shared" si="124"/>
        <v>0</v>
      </c>
      <c r="AA247" s="1">
        <f t="shared" si="125"/>
        <v>0</v>
      </c>
      <c r="AB247" s="1">
        <f t="shared" si="126"/>
        <v>0</v>
      </c>
      <c r="AD247" s="1">
        <f t="shared" si="127"/>
        <v>0</v>
      </c>
      <c r="AE247" s="1">
        <f t="shared" si="128"/>
        <v>0</v>
      </c>
      <c r="AF247" s="1">
        <f t="shared" si="113"/>
        <v>0</v>
      </c>
      <c r="AG247" s="1">
        <f t="shared" si="114"/>
        <v>0</v>
      </c>
      <c r="AH247" s="1">
        <f t="shared" si="115"/>
        <v>0</v>
      </c>
      <c r="AI247" s="1">
        <f t="shared" si="116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1084</v>
      </c>
      <c r="E248" s="35" t="s">
        <v>29</v>
      </c>
      <c r="F248" s="39" t="s">
        <v>986</v>
      </c>
      <c r="G248" s="39" t="s">
        <v>203</v>
      </c>
      <c r="H248" s="39" t="s">
        <v>354</v>
      </c>
      <c r="I248" s="40" t="s">
        <v>987</v>
      </c>
      <c r="J248" s="34">
        <v>99</v>
      </c>
      <c r="K248" s="36" t="s">
        <v>713</v>
      </c>
      <c r="L248" s="36" t="s">
        <v>694</v>
      </c>
      <c r="M248" s="37" t="s">
        <v>1442</v>
      </c>
      <c r="N248" s="37" t="s">
        <v>1727</v>
      </c>
      <c r="O248" s="38">
        <v>1</v>
      </c>
      <c r="P248" s="38">
        <v>1</v>
      </c>
      <c r="Q248" s="39"/>
      <c r="S248" s="1">
        <f t="shared" si="117"/>
        <v>0</v>
      </c>
      <c r="T248" s="1">
        <f t="shared" si="118"/>
        <v>0</v>
      </c>
      <c r="U248" s="1">
        <f t="shared" si="119"/>
        <v>0</v>
      </c>
      <c r="V248" s="1">
        <f t="shared" si="120"/>
        <v>0</v>
      </c>
      <c r="W248" s="1">
        <f t="shared" si="121"/>
        <v>0</v>
      </c>
      <c r="X248" s="1">
        <f t="shared" si="122"/>
        <v>0</v>
      </c>
      <c r="Y248" s="1">
        <f t="shared" si="123"/>
        <v>0</v>
      </c>
      <c r="Z248" s="1">
        <f t="shared" si="124"/>
        <v>0</v>
      </c>
      <c r="AA248" s="1">
        <f t="shared" si="125"/>
        <v>0</v>
      </c>
      <c r="AB248" s="1">
        <f t="shared" si="126"/>
        <v>0</v>
      </c>
      <c r="AD248" s="1">
        <f t="shared" si="127"/>
        <v>1</v>
      </c>
      <c r="AE248" s="1">
        <f t="shared" si="128"/>
        <v>0</v>
      </c>
      <c r="AF248" s="1">
        <f t="shared" si="113"/>
        <v>1</v>
      </c>
      <c r="AG248" s="1">
        <f t="shared" si="114"/>
        <v>0</v>
      </c>
      <c r="AH248" s="1">
        <f t="shared" si="115"/>
        <v>1</v>
      </c>
      <c r="AI248" s="1">
        <f t="shared" si="116"/>
        <v>0</v>
      </c>
    </row>
    <row r="249" spans="1:35" ht="14.25" customHeight="1" x14ac:dyDescent="0.25">
      <c r="A249" s="15">
        <v>0</v>
      </c>
      <c r="B249" s="15">
        <v>1</v>
      </c>
      <c r="C249" s="15">
        <v>7</v>
      </c>
      <c r="D249" s="16" t="s">
        <v>751</v>
      </c>
      <c r="E249" s="16" t="s">
        <v>29</v>
      </c>
      <c r="F249" s="16" t="s">
        <v>752</v>
      </c>
      <c r="G249" s="16" t="s">
        <v>753</v>
      </c>
      <c r="H249" s="16" t="s">
        <v>354</v>
      </c>
      <c r="I249" s="15" t="s">
        <v>754</v>
      </c>
      <c r="J249" s="15">
        <v>99</v>
      </c>
      <c r="K249" s="10" t="s">
        <v>703</v>
      </c>
      <c r="L249" s="10">
        <v>20</v>
      </c>
      <c r="M249" s="19" t="s">
        <v>1120</v>
      </c>
      <c r="N249" s="17"/>
      <c r="Q249" s="16"/>
      <c r="S249" s="1">
        <f t="shared" si="117"/>
        <v>0</v>
      </c>
      <c r="T249" s="1">
        <f t="shared" si="118"/>
        <v>0</v>
      </c>
      <c r="U249" s="1">
        <f t="shared" si="119"/>
        <v>0</v>
      </c>
      <c r="V249" s="1">
        <f t="shared" si="120"/>
        <v>0</v>
      </c>
      <c r="W249" s="1">
        <f t="shared" si="121"/>
        <v>0</v>
      </c>
      <c r="X249" s="1">
        <f t="shared" si="122"/>
        <v>0</v>
      </c>
      <c r="Y249" s="1">
        <f t="shared" si="123"/>
        <v>0</v>
      </c>
      <c r="Z249" s="1">
        <f t="shared" si="124"/>
        <v>0</v>
      </c>
      <c r="AA249" s="1">
        <f t="shared" si="125"/>
        <v>0</v>
      </c>
      <c r="AB249" s="1">
        <f t="shared" si="126"/>
        <v>0</v>
      </c>
      <c r="AD249" s="1">
        <f t="shared" si="127"/>
        <v>0</v>
      </c>
      <c r="AE249" s="1">
        <f t="shared" si="128"/>
        <v>0</v>
      </c>
      <c r="AF249" s="1">
        <f t="shared" si="113"/>
        <v>0</v>
      </c>
      <c r="AG249" s="1">
        <f t="shared" si="114"/>
        <v>0</v>
      </c>
      <c r="AH249" s="1">
        <f t="shared" si="115"/>
        <v>0</v>
      </c>
      <c r="AI249" s="1">
        <f t="shared" si="116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828</v>
      </c>
      <c r="E250" s="35" t="s">
        <v>29</v>
      </c>
      <c r="F250" s="39" t="s">
        <v>829</v>
      </c>
      <c r="G250" s="39" t="s">
        <v>928</v>
      </c>
      <c r="H250" s="39" t="s">
        <v>354</v>
      </c>
      <c r="I250" s="40" t="s">
        <v>830</v>
      </c>
      <c r="J250" s="34">
        <v>99</v>
      </c>
      <c r="K250" s="36" t="s">
        <v>955</v>
      </c>
      <c r="L250" s="36" t="s">
        <v>694</v>
      </c>
      <c r="M250" s="37" t="s">
        <v>973</v>
      </c>
      <c r="N250" s="37" t="s">
        <v>1825</v>
      </c>
      <c r="O250" s="38">
        <v>1</v>
      </c>
      <c r="P250" s="38"/>
      <c r="Q250" s="39"/>
      <c r="S250" s="1">
        <f t="shared" si="117"/>
        <v>0</v>
      </c>
      <c r="T250" s="1">
        <f t="shared" si="118"/>
        <v>0</v>
      </c>
      <c r="U250" s="1">
        <f t="shared" si="119"/>
        <v>0</v>
      </c>
      <c r="V250" s="1">
        <f t="shared" si="120"/>
        <v>0</v>
      </c>
      <c r="W250" s="1">
        <f t="shared" si="121"/>
        <v>0</v>
      </c>
      <c r="X250" s="1">
        <f t="shared" si="122"/>
        <v>0</v>
      </c>
      <c r="Y250" s="1">
        <f t="shared" si="123"/>
        <v>0</v>
      </c>
      <c r="Z250" s="1">
        <f t="shared" si="124"/>
        <v>0</v>
      </c>
      <c r="AA250" s="1">
        <f t="shared" si="125"/>
        <v>0</v>
      </c>
      <c r="AB250" s="1">
        <f t="shared" si="126"/>
        <v>0</v>
      </c>
      <c r="AD250" s="1">
        <f t="shared" si="127"/>
        <v>0</v>
      </c>
      <c r="AE250" s="1">
        <f t="shared" si="128"/>
        <v>1</v>
      </c>
      <c r="AF250" s="1">
        <f t="shared" si="113"/>
        <v>0</v>
      </c>
      <c r="AG250" s="1">
        <f t="shared" si="114"/>
        <v>1</v>
      </c>
      <c r="AH250" s="1">
        <f t="shared" si="115"/>
        <v>0</v>
      </c>
      <c r="AI250" s="1">
        <f t="shared" si="116"/>
        <v>1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9" t="s">
        <v>1720</v>
      </c>
      <c r="E251" s="35" t="s">
        <v>29</v>
      </c>
      <c r="F251" s="39" t="s">
        <v>1721</v>
      </c>
      <c r="G251" s="39" t="s">
        <v>249</v>
      </c>
      <c r="H251" s="39" t="s">
        <v>354</v>
      </c>
      <c r="I251" s="40" t="s">
        <v>1722</v>
      </c>
      <c r="J251" s="34"/>
      <c r="K251" s="36" t="s">
        <v>703</v>
      </c>
      <c r="L251" s="36"/>
      <c r="M251" s="37"/>
      <c r="N251" s="37" t="s">
        <v>1727</v>
      </c>
      <c r="O251" s="38">
        <v>1</v>
      </c>
      <c r="P251" s="38">
        <v>1</v>
      </c>
      <c r="Q251" s="39"/>
      <c r="S251" s="1">
        <f t="shared" si="117"/>
        <v>0</v>
      </c>
      <c r="T251" s="1">
        <f t="shared" si="118"/>
        <v>0</v>
      </c>
      <c r="U251" s="1">
        <f t="shared" si="119"/>
        <v>0</v>
      </c>
      <c r="V251" s="1">
        <f t="shared" si="120"/>
        <v>0</v>
      </c>
      <c r="W251" s="1">
        <f t="shared" si="121"/>
        <v>0</v>
      </c>
      <c r="X251" s="1">
        <f t="shared" si="122"/>
        <v>0</v>
      </c>
      <c r="Y251" s="1">
        <f t="shared" si="123"/>
        <v>0</v>
      </c>
      <c r="Z251" s="1">
        <f t="shared" si="124"/>
        <v>0</v>
      </c>
      <c r="AA251" s="1">
        <f t="shared" si="125"/>
        <v>0</v>
      </c>
      <c r="AB251" s="1">
        <f t="shared" si="126"/>
        <v>0</v>
      </c>
      <c r="AD251" s="1">
        <f t="shared" si="127"/>
        <v>1</v>
      </c>
      <c r="AE251" s="1">
        <f t="shared" si="128"/>
        <v>0</v>
      </c>
      <c r="AF251" s="1">
        <f t="shared" si="113"/>
        <v>1</v>
      </c>
      <c r="AG251" s="1">
        <f t="shared" si="114"/>
        <v>0</v>
      </c>
      <c r="AH251" s="1">
        <f t="shared" si="115"/>
        <v>1</v>
      </c>
      <c r="AI251" s="1">
        <f t="shared" si="116"/>
        <v>0</v>
      </c>
    </row>
    <row r="252" spans="1:35" ht="14.25" customHeight="1" x14ac:dyDescent="0.25">
      <c r="A252" s="34">
        <v>0</v>
      </c>
      <c r="B252" s="34">
        <v>1</v>
      </c>
      <c r="C252" s="34">
        <v>7</v>
      </c>
      <c r="D252" s="35" t="s">
        <v>901</v>
      </c>
      <c r="E252" s="35" t="s">
        <v>29</v>
      </c>
      <c r="F252" s="35" t="s">
        <v>902</v>
      </c>
      <c r="G252" s="35" t="s">
        <v>228</v>
      </c>
      <c r="H252" s="35" t="s">
        <v>354</v>
      </c>
      <c r="I252" s="34" t="s">
        <v>903</v>
      </c>
      <c r="J252" s="34">
        <v>99</v>
      </c>
      <c r="K252" s="36" t="s">
        <v>713</v>
      </c>
      <c r="L252" s="36" t="s">
        <v>694</v>
      </c>
      <c r="M252" s="37" t="s">
        <v>1406</v>
      </c>
      <c r="N252" s="37" t="s">
        <v>1748</v>
      </c>
      <c r="O252" s="38">
        <v>1</v>
      </c>
      <c r="P252" s="38"/>
      <c r="Q252" s="35"/>
      <c r="S252" s="1">
        <f t="shared" si="117"/>
        <v>0</v>
      </c>
      <c r="T252" s="1">
        <f t="shared" si="118"/>
        <v>0</v>
      </c>
      <c r="U252" s="1">
        <f t="shared" si="119"/>
        <v>0</v>
      </c>
      <c r="V252" s="1">
        <f t="shared" si="120"/>
        <v>0</v>
      </c>
      <c r="W252" s="1">
        <f t="shared" si="121"/>
        <v>0</v>
      </c>
      <c r="X252" s="1">
        <f t="shared" si="122"/>
        <v>0</v>
      </c>
      <c r="Y252" s="1">
        <f t="shared" si="123"/>
        <v>0</v>
      </c>
      <c r="Z252" s="1">
        <f t="shared" si="124"/>
        <v>0</v>
      </c>
      <c r="AA252" s="1">
        <f t="shared" si="125"/>
        <v>0</v>
      </c>
      <c r="AB252" s="1">
        <f t="shared" si="126"/>
        <v>0</v>
      </c>
      <c r="AD252" s="1">
        <f t="shared" si="127"/>
        <v>0</v>
      </c>
      <c r="AE252" s="1">
        <f t="shared" si="128"/>
        <v>1</v>
      </c>
      <c r="AF252" s="1">
        <f t="shared" si="113"/>
        <v>0</v>
      </c>
      <c r="AG252" s="1">
        <f t="shared" si="114"/>
        <v>1</v>
      </c>
      <c r="AH252" s="1">
        <f t="shared" si="115"/>
        <v>0</v>
      </c>
      <c r="AI252" s="1">
        <f t="shared" si="116"/>
        <v>1</v>
      </c>
    </row>
    <row r="253" spans="1:35" ht="14.25" customHeight="1" x14ac:dyDescent="0.25">
      <c r="A253" s="34">
        <v>0</v>
      </c>
      <c r="B253" s="34">
        <v>1</v>
      </c>
      <c r="C253" s="34">
        <v>7</v>
      </c>
      <c r="D253" s="35" t="s">
        <v>88</v>
      </c>
      <c r="E253" s="35" t="s">
        <v>29</v>
      </c>
      <c r="F253" s="35" t="s">
        <v>281</v>
      </c>
      <c r="G253" s="35" t="s">
        <v>238</v>
      </c>
      <c r="H253" s="35" t="s">
        <v>354</v>
      </c>
      <c r="I253" s="34" t="s">
        <v>437</v>
      </c>
      <c r="J253" s="34">
        <v>4</v>
      </c>
      <c r="K253" s="36" t="s">
        <v>954</v>
      </c>
      <c r="L253" s="36" t="s">
        <v>39</v>
      </c>
      <c r="M253" s="37" t="s">
        <v>39</v>
      </c>
      <c r="N253" s="37" t="s">
        <v>1727</v>
      </c>
      <c r="O253" s="38">
        <v>1</v>
      </c>
      <c r="P253" s="38">
        <v>1</v>
      </c>
      <c r="Q253" s="35"/>
      <c r="S253" s="1">
        <f t="shared" si="117"/>
        <v>0</v>
      </c>
      <c r="T253" s="1">
        <f t="shared" si="118"/>
        <v>0</v>
      </c>
      <c r="U253" s="1">
        <f t="shared" si="119"/>
        <v>0</v>
      </c>
      <c r="V253" s="1">
        <f t="shared" si="120"/>
        <v>1</v>
      </c>
      <c r="W253" s="1">
        <f t="shared" si="121"/>
        <v>0</v>
      </c>
      <c r="X253" s="1">
        <f t="shared" si="122"/>
        <v>0</v>
      </c>
      <c r="Y253" s="1">
        <f t="shared" si="123"/>
        <v>0</v>
      </c>
      <c r="Z253" s="1">
        <f t="shared" si="124"/>
        <v>0</v>
      </c>
      <c r="AA253" s="1">
        <f t="shared" si="125"/>
        <v>0</v>
      </c>
      <c r="AB253" s="1">
        <f t="shared" si="126"/>
        <v>0</v>
      </c>
      <c r="AD253" s="1">
        <f t="shared" si="127"/>
        <v>1</v>
      </c>
      <c r="AE253" s="1">
        <f t="shared" si="128"/>
        <v>0</v>
      </c>
      <c r="AF253" s="1">
        <f t="shared" si="113"/>
        <v>1</v>
      </c>
      <c r="AG253" s="1">
        <f t="shared" si="114"/>
        <v>0</v>
      </c>
      <c r="AH253" s="1">
        <f t="shared" si="115"/>
        <v>1</v>
      </c>
      <c r="AI253" s="1">
        <f t="shared" si="116"/>
        <v>0</v>
      </c>
    </row>
    <row r="254" spans="1:35" ht="14.25" customHeight="1" x14ac:dyDescent="0.25">
      <c r="A254" s="47">
        <v>0</v>
      </c>
      <c r="B254" s="47">
        <v>1</v>
      </c>
      <c r="C254" s="47">
        <v>7</v>
      </c>
      <c r="D254" s="48" t="s">
        <v>89</v>
      </c>
      <c r="E254" s="48" t="s">
        <v>29</v>
      </c>
      <c r="F254" s="48" t="s">
        <v>282</v>
      </c>
      <c r="G254" s="48" t="s">
        <v>283</v>
      </c>
      <c r="H254" s="48" t="s">
        <v>354</v>
      </c>
      <c r="I254" s="47" t="s">
        <v>943</v>
      </c>
      <c r="J254" s="47">
        <v>99</v>
      </c>
      <c r="K254" s="49" t="s">
        <v>955</v>
      </c>
      <c r="L254" s="49" t="s">
        <v>694</v>
      </c>
      <c r="M254" s="50" t="s">
        <v>973</v>
      </c>
      <c r="N254" s="50" t="s">
        <v>1809</v>
      </c>
      <c r="O254" s="51"/>
      <c r="P254" s="51"/>
      <c r="Q254" s="48"/>
      <c r="S254" s="1">
        <f t="shared" si="117"/>
        <v>0</v>
      </c>
      <c r="T254" s="1">
        <f t="shared" si="118"/>
        <v>0</v>
      </c>
      <c r="U254" s="1">
        <f t="shared" si="119"/>
        <v>0</v>
      </c>
      <c r="V254" s="1">
        <f t="shared" si="120"/>
        <v>0</v>
      </c>
      <c r="W254" s="1">
        <f t="shared" si="121"/>
        <v>0</v>
      </c>
      <c r="X254" s="1">
        <f t="shared" si="122"/>
        <v>0</v>
      </c>
      <c r="Y254" s="1">
        <f t="shared" si="123"/>
        <v>0</v>
      </c>
      <c r="Z254" s="1">
        <f t="shared" si="124"/>
        <v>0</v>
      </c>
      <c r="AA254" s="1">
        <f t="shared" si="125"/>
        <v>0</v>
      </c>
      <c r="AB254" s="1">
        <f t="shared" si="126"/>
        <v>0</v>
      </c>
      <c r="AD254" s="1">
        <f t="shared" si="127"/>
        <v>0</v>
      </c>
      <c r="AE254" s="1">
        <f t="shared" si="128"/>
        <v>0</v>
      </c>
      <c r="AF254" s="1">
        <f t="shared" si="113"/>
        <v>0</v>
      </c>
      <c r="AG254" s="1">
        <f t="shared" si="114"/>
        <v>0</v>
      </c>
      <c r="AH254" s="1">
        <f t="shared" si="115"/>
        <v>0</v>
      </c>
      <c r="AI254" s="1">
        <f t="shared" si="116"/>
        <v>1</v>
      </c>
    </row>
    <row r="255" spans="1:35" ht="14.25" customHeight="1" x14ac:dyDescent="0.25">
      <c r="A255" s="34">
        <v>0</v>
      </c>
      <c r="B255" s="34">
        <v>1</v>
      </c>
      <c r="C255" s="34">
        <v>7</v>
      </c>
      <c r="D255" s="39" t="s">
        <v>1636</v>
      </c>
      <c r="E255" s="35" t="s">
        <v>29</v>
      </c>
      <c r="F255" s="39" t="s">
        <v>1535</v>
      </c>
      <c r="G255" s="39" t="s">
        <v>39</v>
      </c>
      <c r="H255" s="39" t="s">
        <v>886</v>
      </c>
      <c r="I255" s="40" t="s">
        <v>1536</v>
      </c>
      <c r="J255" s="34">
        <v>17</v>
      </c>
      <c r="K255" s="36" t="s">
        <v>713</v>
      </c>
      <c r="L255" s="36" t="s">
        <v>697</v>
      </c>
      <c r="M255" s="37" t="s">
        <v>1457</v>
      </c>
      <c r="N255" s="37" t="s">
        <v>1727</v>
      </c>
      <c r="O255" s="38">
        <v>1</v>
      </c>
      <c r="P255" s="38">
        <v>1</v>
      </c>
      <c r="Q255" s="39"/>
      <c r="S255" s="1">
        <f t="shared" si="117"/>
        <v>0</v>
      </c>
      <c r="T255" s="1">
        <f t="shared" si="118"/>
        <v>0</v>
      </c>
      <c r="U255" s="1">
        <f t="shared" si="119"/>
        <v>0</v>
      </c>
      <c r="V255" s="1">
        <f t="shared" si="120"/>
        <v>0</v>
      </c>
      <c r="W255" s="1">
        <f t="shared" si="121"/>
        <v>0</v>
      </c>
      <c r="X255" s="1">
        <f t="shared" si="122"/>
        <v>0</v>
      </c>
      <c r="Y255" s="1">
        <f t="shared" si="123"/>
        <v>0</v>
      </c>
      <c r="Z255" s="1">
        <f t="shared" si="124"/>
        <v>0</v>
      </c>
      <c r="AA255" s="1">
        <f t="shared" si="125"/>
        <v>0</v>
      </c>
      <c r="AB255" s="1">
        <f t="shared" si="126"/>
        <v>0</v>
      </c>
      <c r="AD255" s="1">
        <f t="shared" si="127"/>
        <v>1</v>
      </c>
      <c r="AE255" s="1">
        <f t="shared" si="128"/>
        <v>0</v>
      </c>
      <c r="AF255" s="1">
        <f t="shared" si="113"/>
        <v>1</v>
      </c>
      <c r="AG255" s="1">
        <f t="shared" si="114"/>
        <v>0</v>
      </c>
      <c r="AH255" s="1">
        <f t="shared" si="115"/>
        <v>1</v>
      </c>
      <c r="AI255" s="1">
        <f t="shared" si="116"/>
        <v>0</v>
      </c>
    </row>
    <row r="256" spans="1:35" ht="14.25" customHeight="1" x14ac:dyDescent="0.25">
      <c r="A256" s="47">
        <v>0</v>
      </c>
      <c r="B256" s="47">
        <v>1</v>
      </c>
      <c r="C256" s="47">
        <v>7</v>
      </c>
      <c r="D256" s="48" t="s">
        <v>1454</v>
      </c>
      <c r="E256" s="48" t="s">
        <v>29</v>
      </c>
      <c r="F256" s="48" t="s">
        <v>1455</v>
      </c>
      <c r="G256" s="48" t="s">
        <v>321</v>
      </c>
      <c r="H256" s="48" t="s">
        <v>354</v>
      </c>
      <c r="I256" s="47" t="s">
        <v>1456</v>
      </c>
      <c r="J256" s="47">
        <v>99</v>
      </c>
      <c r="K256" s="49" t="s">
        <v>703</v>
      </c>
      <c r="L256" s="49">
        <v>30</v>
      </c>
      <c r="M256" s="50" t="s">
        <v>1457</v>
      </c>
      <c r="N256" s="50" t="s">
        <v>1802</v>
      </c>
      <c r="O256" s="51"/>
      <c r="P256" s="51"/>
      <c r="Q256" s="48"/>
      <c r="S256" s="1">
        <f t="shared" si="117"/>
        <v>0</v>
      </c>
      <c r="T256" s="1">
        <f t="shared" si="118"/>
        <v>0</v>
      </c>
      <c r="U256" s="1">
        <f t="shared" si="119"/>
        <v>0</v>
      </c>
      <c r="V256" s="1">
        <f t="shared" si="120"/>
        <v>0</v>
      </c>
      <c r="W256" s="1">
        <f t="shared" si="121"/>
        <v>0</v>
      </c>
      <c r="X256" s="1">
        <f t="shared" si="122"/>
        <v>0</v>
      </c>
      <c r="Y256" s="1">
        <f t="shared" si="123"/>
        <v>0</v>
      </c>
      <c r="Z256" s="1">
        <f t="shared" si="124"/>
        <v>0</v>
      </c>
      <c r="AA256" s="1">
        <f t="shared" si="125"/>
        <v>0</v>
      </c>
      <c r="AB256" s="1">
        <f t="shared" si="126"/>
        <v>0</v>
      </c>
      <c r="AD256" s="1">
        <f t="shared" si="127"/>
        <v>0</v>
      </c>
      <c r="AE256" s="1">
        <f t="shared" si="128"/>
        <v>0</v>
      </c>
      <c r="AF256" s="1">
        <f t="shared" si="113"/>
        <v>0</v>
      </c>
      <c r="AG256" s="1">
        <f t="shared" si="114"/>
        <v>0</v>
      </c>
      <c r="AH256" s="1">
        <f t="shared" si="115"/>
        <v>0</v>
      </c>
      <c r="AI256" s="1">
        <f t="shared" si="116"/>
        <v>1</v>
      </c>
    </row>
    <row r="257" spans="1:35" ht="14.25" customHeight="1" x14ac:dyDescent="0.25">
      <c r="A257" s="34">
        <v>0</v>
      </c>
      <c r="B257" s="34">
        <v>1</v>
      </c>
      <c r="C257" s="34">
        <v>7</v>
      </c>
      <c r="D257" s="39" t="s">
        <v>846</v>
      </c>
      <c r="E257" s="35" t="s">
        <v>29</v>
      </c>
      <c r="F257" s="39" t="s">
        <v>847</v>
      </c>
      <c r="G257" s="39" t="s">
        <v>222</v>
      </c>
      <c r="H257" s="39" t="s">
        <v>354</v>
      </c>
      <c r="I257" s="40" t="s">
        <v>848</v>
      </c>
      <c r="J257" s="34">
        <v>99</v>
      </c>
      <c r="K257" s="36" t="s">
        <v>955</v>
      </c>
      <c r="L257" s="36" t="s">
        <v>694</v>
      </c>
      <c r="M257" s="37" t="s">
        <v>973</v>
      </c>
      <c r="N257" s="37" t="s">
        <v>1849</v>
      </c>
      <c r="O257" s="38">
        <v>1</v>
      </c>
      <c r="P257" s="38"/>
      <c r="Q257" s="39"/>
      <c r="S257" s="1">
        <f t="shared" si="117"/>
        <v>0</v>
      </c>
      <c r="T257" s="1">
        <f t="shared" si="118"/>
        <v>0</v>
      </c>
      <c r="U257" s="1">
        <f t="shared" si="119"/>
        <v>0</v>
      </c>
      <c r="V257" s="1">
        <f t="shared" si="120"/>
        <v>0</v>
      </c>
      <c r="W257" s="1">
        <f t="shared" si="121"/>
        <v>0</v>
      </c>
      <c r="X257" s="1">
        <f t="shared" si="122"/>
        <v>0</v>
      </c>
      <c r="Y257" s="1">
        <f t="shared" si="123"/>
        <v>0</v>
      </c>
      <c r="Z257" s="1">
        <f t="shared" si="124"/>
        <v>0</v>
      </c>
      <c r="AA257" s="1">
        <f t="shared" si="125"/>
        <v>0</v>
      </c>
      <c r="AB257" s="1">
        <f t="shared" si="126"/>
        <v>0</v>
      </c>
      <c r="AD257" s="1">
        <f t="shared" si="127"/>
        <v>0</v>
      </c>
      <c r="AE257" s="1">
        <f t="shared" si="128"/>
        <v>1</v>
      </c>
      <c r="AF257" s="1">
        <f t="shared" si="113"/>
        <v>0</v>
      </c>
      <c r="AG257" s="1">
        <f t="shared" si="114"/>
        <v>1</v>
      </c>
      <c r="AH257" s="1">
        <f t="shared" si="115"/>
        <v>0</v>
      </c>
      <c r="AI257" s="1">
        <f t="shared" si="116"/>
        <v>1</v>
      </c>
    </row>
    <row r="258" spans="1:35" ht="14.25" customHeight="1" x14ac:dyDescent="0.25">
      <c r="A258" s="34">
        <v>1</v>
      </c>
      <c r="B258" s="34">
        <v>1</v>
      </c>
      <c r="C258" s="34">
        <v>7</v>
      </c>
      <c r="D258" s="39" t="s">
        <v>846</v>
      </c>
      <c r="E258" s="35" t="s">
        <v>29</v>
      </c>
      <c r="F258" s="39" t="s">
        <v>930</v>
      </c>
      <c r="G258" s="39" t="s">
        <v>279</v>
      </c>
      <c r="H258" s="39" t="s">
        <v>354</v>
      </c>
      <c r="I258" s="40" t="s">
        <v>849</v>
      </c>
      <c r="J258" s="34">
        <v>99</v>
      </c>
      <c r="K258" s="36" t="s">
        <v>955</v>
      </c>
      <c r="L258" s="36" t="s">
        <v>694</v>
      </c>
      <c r="M258" s="37" t="s">
        <v>973</v>
      </c>
      <c r="N258" s="37" t="s">
        <v>1849</v>
      </c>
      <c r="O258" s="38">
        <v>1</v>
      </c>
      <c r="P258" s="38"/>
      <c r="Q258" s="39"/>
      <c r="S258" s="1">
        <f t="shared" si="117"/>
        <v>0</v>
      </c>
      <c r="T258" s="1">
        <f t="shared" si="118"/>
        <v>0</v>
      </c>
      <c r="U258" s="1">
        <f t="shared" si="119"/>
        <v>0</v>
      </c>
      <c r="V258" s="1">
        <f t="shared" si="120"/>
        <v>0</v>
      </c>
      <c r="W258" s="1">
        <f t="shared" si="121"/>
        <v>0</v>
      </c>
      <c r="X258" s="1">
        <f t="shared" si="122"/>
        <v>0</v>
      </c>
      <c r="Y258" s="1">
        <f t="shared" si="123"/>
        <v>0</v>
      </c>
      <c r="Z258" s="1">
        <f t="shared" si="124"/>
        <v>0</v>
      </c>
      <c r="AA258" s="1">
        <f t="shared" si="125"/>
        <v>0</v>
      </c>
      <c r="AB258" s="1">
        <f t="shared" si="126"/>
        <v>0</v>
      </c>
      <c r="AD258" s="1">
        <f t="shared" si="127"/>
        <v>0</v>
      </c>
      <c r="AE258" s="1">
        <f t="shared" si="128"/>
        <v>1</v>
      </c>
      <c r="AF258" s="1">
        <f t="shared" si="113"/>
        <v>0</v>
      </c>
      <c r="AG258" s="1">
        <f t="shared" si="114"/>
        <v>0</v>
      </c>
      <c r="AH258" s="1">
        <f t="shared" si="115"/>
        <v>0</v>
      </c>
      <c r="AI258" s="1">
        <f t="shared" si="116"/>
        <v>0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5" t="s">
        <v>1216</v>
      </c>
      <c r="E259" s="35" t="s">
        <v>29</v>
      </c>
      <c r="F259" s="35" t="s">
        <v>1217</v>
      </c>
      <c r="G259" s="35" t="s">
        <v>238</v>
      </c>
      <c r="H259" s="35" t="s">
        <v>354</v>
      </c>
      <c r="I259" s="34" t="s">
        <v>1361</v>
      </c>
      <c r="J259" s="34">
        <v>99</v>
      </c>
      <c r="K259" s="36" t="s">
        <v>713</v>
      </c>
      <c r="L259" s="36" t="s">
        <v>694</v>
      </c>
      <c r="M259" s="37" t="s">
        <v>1407</v>
      </c>
      <c r="N259" s="37" t="s">
        <v>1755</v>
      </c>
      <c r="O259" s="38">
        <v>1</v>
      </c>
      <c r="P259" s="38"/>
      <c r="Q259" s="35"/>
      <c r="S259" s="1">
        <f t="shared" si="117"/>
        <v>0</v>
      </c>
      <c r="T259" s="1">
        <f t="shared" si="118"/>
        <v>0</v>
      </c>
      <c r="U259" s="1">
        <f t="shared" si="119"/>
        <v>0</v>
      </c>
      <c r="V259" s="1">
        <f t="shared" si="120"/>
        <v>0</v>
      </c>
      <c r="W259" s="1">
        <f t="shared" si="121"/>
        <v>0</v>
      </c>
      <c r="X259" s="1">
        <f t="shared" si="122"/>
        <v>0</v>
      </c>
      <c r="Y259" s="1">
        <f t="shared" si="123"/>
        <v>0</v>
      </c>
      <c r="Z259" s="1">
        <f t="shared" si="124"/>
        <v>0</v>
      </c>
      <c r="AA259" s="1">
        <f t="shared" si="125"/>
        <v>0</v>
      </c>
      <c r="AB259" s="1">
        <f t="shared" si="126"/>
        <v>0</v>
      </c>
      <c r="AD259" s="1">
        <f t="shared" ref="AD259:AD260" si="129">+O259*P259</f>
        <v>0</v>
      </c>
      <c r="AE259" s="1">
        <f t="shared" ref="AE259:AE260" si="130">O259*(1-P259)</f>
        <v>1</v>
      </c>
      <c r="AF259" s="1">
        <f t="shared" ref="AF259:AF260" si="131">+O259*P259*(1-A259)</f>
        <v>0</v>
      </c>
      <c r="AG259" s="1">
        <f t="shared" ref="AG259:AG260" si="132">O259*(1-P259)*(1-A259)</f>
        <v>1</v>
      </c>
      <c r="AH259" s="1">
        <f t="shared" ref="AH259:AH260" si="133">+P259*(1-A259)</f>
        <v>0</v>
      </c>
      <c r="AI259" s="1">
        <f t="shared" ref="AI259:AI260" si="134">+(1-A259)*(1-P259)</f>
        <v>1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9" t="s">
        <v>1233</v>
      </c>
      <c r="E260" s="35" t="s">
        <v>29</v>
      </c>
      <c r="F260" s="39" t="s">
        <v>1234</v>
      </c>
      <c r="G260" s="39" t="s">
        <v>238</v>
      </c>
      <c r="H260" s="39" t="s">
        <v>354</v>
      </c>
      <c r="I260" s="40" t="s">
        <v>1235</v>
      </c>
      <c r="J260" s="34">
        <v>99</v>
      </c>
      <c r="K260" s="36" t="s">
        <v>713</v>
      </c>
      <c r="L260" s="36" t="s">
        <v>693</v>
      </c>
      <c r="M260" s="37" t="s">
        <v>1407</v>
      </c>
      <c r="N260" s="37" t="s">
        <v>1825</v>
      </c>
      <c r="O260" s="38">
        <v>1</v>
      </c>
      <c r="P260" s="38"/>
      <c r="Q260" s="39"/>
      <c r="S260" s="1">
        <f t="shared" si="117"/>
        <v>0</v>
      </c>
      <c r="T260" s="1">
        <f t="shared" si="118"/>
        <v>0</v>
      </c>
      <c r="U260" s="1">
        <f t="shared" si="119"/>
        <v>0</v>
      </c>
      <c r="V260" s="1">
        <f t="shared" si="120"/>
        <v>0</v>
      </c>
      <c r="W260" s="1">
        <f t="shared" si="121"/>
        <v>0</v>
      </c>
      <c r="X260" s="1">
        <f t="shared" si="122"/>
        <v>0</v>
      </c>
      <c r="Y260" s="1">
        <f t="shared" si="123"/>
        <v>0</v>
      </c>
      <c r="Z260" s="1">
        <f t="shared" si="124"/>
        <v>0</v>
      </c>
      <c r="AA260" s="1">
        <f t="shared" si="125"/>
        <v>0</v>
      </c>
      <c r="AB260" s="1">
        <f t="shared" si="126"/>
        <v>0</v>
      </c>
      <c r="AD260" s="1">
        <f t="shared" si="129"/>
        <v>0</v>
      </c>
      <c r="AE260" s="1">
        <f t="shared" si="130"/>
        <v>1</v>
      </c>
      <c r="AF260" s="1">
        <f t="shared" si="131"/>
        <v>0</v>
      </c>
      <c r="AG260" s="1">
        <f t="shared" si="132"/>
        <v>1</v>
      </c>
      <c r="AH260" s="1">
        <f t="shared" si="133"/>
        <v>0</v>
      </c>
      <c r="AI260" s="1">
        <f t="shared" si="134"/>
        <v>1</v>
      </c>
    </row>
    <row r="261" spans="1:35" ht="14.25" customHeight="1" x14ac:dyDescent="0.25">
      <c r="A261" s="34">
        <v>0</v>
      </c>
      <c r="B261" s="34">
        <v>1</v>
      </c>
      <c r="C261" s="34">
        <v>7</v>
      </c>
      <c r="D261" s="39" t="s">
        <v>93</v>
      </c>
      <c r="E261" s="35" t="s">
        <v>29</v>
      </c>
      <c r="F261" s="39" t="s">
        <v>288</v>
      </c>
      <c r="G261" s="39" t="s">
        <v>190</v>
      </c>
      <c r="H261" s="39" t="s">
        <v>354</v>
      </c>
      <c r="I261" s="40" t="s">
        <v>441</v>
      </c>
      <c r="J261" s="34">
        <v>99</v>
      </c>
      <c r="K261" s="36" t="s">
        <v>713</v>
      </c>
      <c r="L261" s="36" t="s">
        <v>694</v>
      </c>
      <c r="M261" s="37" t="s">
        <v>1408</v>
      </c>
      <c r="N261" s="37" t="s">
        <v>1750</v>
      </c>
      <c r="O261" s="38">
        <v>1</v>
      </c>
      <c r="P261" s="38"/>
      <c r="Q261" s="39"/>
      <c r="S261" s="1">
        <f t="shared" si="117"/>
        <v>0</v>
      </c>
      <c r="T261" s="1">
        <f t="shared" si="118"/>
        <v>0</v>
      </c>
      <c r="U261" s="1">
        <f t="shared" si="119"/>
        <v>0</v>
      </c>
      <c r="V261" s="1">
        <f t="shared" si="120"/>
        <v>0</v>
      </c>
      <c r="W261" s="1">
        <f t="shared" si="121"/>
        <v>0</v>
      </c>
      <c r="X261" s="1">
        <f t="shared" si="122"/>
        <v>0</v>
      </c>
      <c r="Y261" s="1">
        <f t="shared" si="123"/>
        <v>0</v>
      </c>
      <c r="Z261" s="1">
        <f t="shared" si="124"/>
        <v>0</v>
      </c>
      <c r="AA261" s="1">
        <f t="shared" si="125"/>
        <v>0</v>
      </c>
      <c r="AB261" s="1">
        <f t="shared" si="126"/>
        <v>0</v>
      </c>
      <c r="AD261" s="1">
        <f t="shared" si="127"/>
        <v>0</v>
      </c>
      <c r="AE261" s="1">
        <f t="shared" si="128"/>
        <v>1</v>
      </c>
      <c r="AF261" s="1">
        <f t="shared" si="113"/>
        <v>0</v>
      </c>
      <c r="AG261" s="1">
        <f t="shared" si="114"/>
        <v>1</v>
      </c>
      <c r="AH261" s="1">
        <f t="shared" si="115"/>
        <v>0</v>
      </c>
      <c r="AI261" s="1">
        <f t="shared" si="116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870</v>
      </c>
      <c r="E262" s="48" t="s">
        <v>29</v>
      </c>
      <c r="F262" s="48" t="s">
        <v>871</v>
      </c>
      <c r="G262" s="48" t="s">
        <v>194</v>
      </c>
      <c r="H262" s="48" t="s">
        <v>354</v>
      </c>
      <c r="I262" s="47" t="s">
        <v>872</v>
      </c>
      <c r="J262" s="47">
        <v>9</v>
      </c>
      <c r="K262" s="49" t="s">
        <v>713</v>
      </c>
      <c r="L262" s="49" t="s">
        <v>696</v>
      </c>
      <c r="M262" s="50" t="s">
        <v>708</v>
      </c>
      <c r="N262" s="50" t="s">
        <v>1735</v>
      </c>
      <c r="O262" s="51"/>
      <c r="P262" s="51"/>
      <c r="Q262" s="48"/>
      <c r="S262" s="1">
        <f t="shared" si="117"/>
        <v>0</v>
      </c>
      <c r="T262" s="1">
        <f t="shared" si="118"/>
        <v>0</v>
      </c>
      <c r="U262" s="1">
        <f t="shared" si="119"/>
        <v>0</v>
      </c>
      <c r="V262" s="1">
        <f t="shared" si="120"/>
        <v>0</v>
      </c>
      <c r="W262" s="1">
        <f t="shared" si="121"/>
        <v>0</v>
      </c>
      <c r="X262" s="1">
        <f t="shared" si="122"/>
        <v>0</v>
      </c>
      <c r="Y262" s="1">
        <f t="shared" si="123"/>
        <v>0</v>
      </c>
      <c r="Z262" s="1">
        <f t="shared" si="124"/>
        <v>0</v>
      </c>
      <c r="AA262" s="1">
        <f t="shared" si="125"/>
        <v>1</v>
      </c>
      <c r="AB262" s="1">
        <f t="shared" si="126"/>
        <v>0</v>
      </c>
      <c r="AD262" s="1">
        <f t="shared" si="127"/>
        <v>0</v>
      </c>
      <c r="AE262" s="1">
        <f t="shared" si="128"/>
        <v>0</v>
      </c>
      <c r="AF262" s="1">
        <f t="shared" si="113"/>
        <v>0</v>
      </c>
      <c r="AG262" s="1">
        <f t="shared" si="114"/>
        <v>0</v>
      </c>
      <c r="AH262" s="1">
        <f t="shared" si="115"/>
        <v>0</v>
      </c>
      <c r="AI262" s="1">
        <f t="shared" si="116"/>
        <v>1</v>
      </c>
    </row>
    <row r="263" spans="1:35" ht="14.25" customHeight="1" x14ac:dyDescent="0.25">
      <c r="A263" s="47">
        <v>1</v>
      </c>
      <c r="B263" s="47">
        <v>1</v>
      </c>
      <c r="C263" s="47">
        <v>7</v>
      </c>
      <c r="D263" s="48" t="s">
        <v>870</v>
      </c>
      <c r="E263" s="48" t="s">
        <v>29</v>
      </c>
      <c r="F263" s="48" t="s">
        <v>1068</v>
      </c>
      <c r="G263" s="48" t="s">
        <v>321</v>
      </c>
      <c r="H263" s="48" t="s">
        <v>354</v>
      </c>
      <c r="I263" s="47" t="s">
        <v>1069</v>
      </c>
      <c r="J263" s="47">
        <v>99</v>
      </c>
      <c r="K263" s="49" t="s">
        <v>713</v>
      </c>
      <c r="L263" s="49" t="s">
        <v>696</v>
      </c>
      <c r="M263" s="50" t="s">
        <v>708</v>
      </c>
      <c r="N263" s="50" t="s">
        <v>1735</v>
      </c>
      <c r="O263" s="51"/>
      <c r="P263" s="51"/>
      <c r="Q263" s="48"/>
      <c r="S263" s="1">
        <f t="shared" si="117"/>
        <v>0</v>
      </c>
      <c r="T263" s="1">
        <f t="shared" si="118"/>
        <v>0</v>
      </c>
      <c r="U263" s="1">
        <f t="shared" si="119"/>
        <v>0</v>
      </c>
      <c r="V263" s="1">
        <f t="shared" si="120"/>
        <v>0</v>
      </c>
      <c r="W263" s="1">
        <f t="shared" si="121"/>
        <v>0</v>
      </c>
      <c r="X263" s="1">
        <f t="shared" si="122"/>
        <v>0</v>
      </c>
      <c r="Y263" s="1">
        <f t="shared" si="123"/>
        <v>0</v>
      </c>
      <c r="Z263" s="1">
        <f t="shared" si="124"/>
        <v>0</v>
      </c>
      <c r="AA263" s="1">
        <f t="shared" si="125"/>
        <v>0</v>
      </c>
      <c r="AB263" s="1">
        <f t="shared" si="126"/>
        <v>0</v>
      </c>
      <c r="AD263" s="1">
        <f t="shared" si="127"/>
        <v>0</v>
      </c>
      <c r="AE263" s="1">
        <f t="shared" si="128"/>
        <v>0</v>
      </c>
      <c r="AF263" s="1">
        <f t="shared" si="113"/>
        <v>0</v>
      </c>
      <c r="AG263" s="1">
        <f t="shared" si="114"/>
        <v>0</v>
      </c>
      <c r="AH263" s="1">
        <f t="shared" si="115"/>
        <v>0</v>
      </c>
      <c r="AI263" s="1">
        <f t="shared" si="116"/>
        <v>0</v>
      </c>
    </row>
    <row r="264" spans="1:35" ht="14.25" customHeight="1" x14ac:dyDescent="0.25">
      <c r="A264" s="47">
        <v>0</v>
      </c>
      <c r="B264" s="47">
        <v>1</v>
      </c>
      <c r="C264" s="47">
        <v>7</v>
      </c>
      <c r="D264" s="48" t="s">
        <v>96</v>
      </c>
      <c r="E264" s="48" t="s">
        <v>29</v>
      </c>
      <c r="F264" s="48" t="s">
        <v>292</v>
      </c>
      <c r="G264" s="48" t="s">
        <v>293</v>
      </c>
      <c r="H264" s="48" t="s">
        <v>354</v>
      </c>
      <c r="I264" s="47" t="s">
        <v>1117</v>
      </c>
      <c r="J264" s="47">
        <v>99</v>
      </c>
      <c r="K264" s="49" t="s">
        <v>713</v>
      </c>
      <c r="L264" s="49" t="s">
        <v>696</v>
      </c>
      <c r="M264" s="50" t="s">
        <v>708</v>
      </c>
      <c r="N264" s="50" t="s">
        <v>1739</v>
      </c>
      <c r="O264" s="51"/>
      <c r="P264" s="51"/>
      <c r="Q264" s="48"/>
      <c r="S264" s="1">
        <f t="shared" si="117"/>
        <v>0</v>
      </c>
      <c r="T264" s="1">
        <f t="shared" si="118"/>
        <v>0</v>
      </c>
      <c r="U264" s="1">
        <f t="shared" si="119"/>
        <v>0</v>
      </c>
      <c r="V264" s="1">
        <f t="shared" si="120"/>
        <v>0</v>
      </c>
      <c r="W264" s="1">
        <f t="shared" si="121"/>
        <v>0</v>
      </c>
      <c r="X264" s="1">
        <f t="shared" si="122"/>
        <v>0</v>
      </c>
      <c r="Y264" s="1">
        <f t="shared" si="123"/>
        <v>0</v>
      </c>
      <c r="Z264" s="1">
        <f t="shared" si="124"/>
        <v>0</v>
      </c>
      <c r="AA264" s="1">
        <f t="shared" si="125"/>
        <v>0</v>
      </c>
      <c r="AB264" s="1">
        <f t="shared" si="126"/>
        <v>0</v>
      </c>
      <c r="AD264" s="1">
        <f t="shared" si="127"/>
        <v>0</v>
      </c>
      <c r="AE264" s="1">
        <f t="shared" si="128"/>
        <v>0</v>
      </c>
      <c r="AF264" s="1">
        <f t="shared" si="113"/>
        <v>0</v>
      </c>
      <c r="AG264" s="1">
        <f t="shared" si="114"/>
        <v>0</v>
      </c>
      <c r="AH264" s="1">
        <f t="shared" si="115"/>
        <v>0</v>
      </c>
      <c r="AI264" s="1">
        <f t="shared" si="116"/>
        <v>1</v>
      </c>
    </row>
    <row r="265" spans="1:35" ht="14.25" customHeight="1" x14ac:dyDescent="0.25">
      <c r="A265" s="47">
        <v>0</v>
      </c>
      <c r="B265" s="47">
        <v>1</v>
      </c>
      <c r="C265" s="47">
        <v>7</v>
      </c>
      <c r="D265" s="48" t="s">
        <v>532</v>
      </c>
      <c r="E265" s="48" t="s">
        <v>29</v>
      </c>
      <c r="F265" s="48" t="s">
        <v>665</v>
      </c>
      <c r="G265" s="48" t="s">
        <v>39</v>
      </c>
      <c r="H265" s="48" t="s">
        <v>533</v>
      </c>
      <c r="I265" s="47" t="s">
        <v>1690</v>
      </c>
      <c r="J265" s="47">
        <v>14</v>
      </c>
      <c r="K265" s="49" t="s">
        <v>954</v>
      </c>
      <c r="L265" s="49">
        <v>40</v>
      </c>
      <c r="M265" s="50" t="s">
        <v>708</v>
      </c>
      <c r="N265" s="50" t="s">
        <v>1735</v>
      </c>
      <c r="O265" s="51"/>
      <c r="P265" s="51"/>
      <c r="Q265" s="48"/>
      <c r="S265" s="1">
        <f t="shared" si="117"/>
        <v>0</v>
      </c>
      <c r="T265" s="1">
        <f t="shared" si="118"/>
        <v>0</v>
      </c>
      <c r="U265" s="1">
        <f t="shared" si="119"/>
        <v>0</v>
      </c>
      <c r="V265" s="1">
        <f t="shared" si="120"/>
        <v>0</v>
      </c>
      <c r="W265" s="1">
        <f t="shared" si="121"/>
        <v>0</v>
      </c>
      <c r="X265" s="1">
        <f t="shared" si="122"/>
        <v>0</v>
      </c>
      <c r="Y265" s="1">
        <f t="shared" si="123"/>
        <v>0</v>
      </c>
      <c r="Z265" s="1">
        <f t="shared" si="124"/>
        <v>0</v>
      </c>
      <c r="AA265" s="1">
        <f t="shared" si="125"/>
        <v>0</v>
      </c>
      <c r="AB265" s="1">
        <f t="shared" si="126"/>
        <v>0</v>
      </c>
      <c r="AD265" s="1">
        <f t="shared" si="127"/>
        <v>0</v>
      </c>
      <c r="AE265" s="1">
        <f t="shared" si="128"/>
        <v>0</v>
      </c>
      <c r="AF265" s="1">
        <f t="shared" si="113"/>
        <v>0</v>
      </c>
      <c r="AG265" s="1">
        <f t="shared" si="114"/>
        <v>0</v>
      </c>
      <c r="AH265" s="1">
        <f t="shared" si="115"/>
        <v>0</v>
      </c>
      <c r="AI265" s="1">
        <f t="shared" si="116"/>
        <v>1</v>
      </c>
    </row>
    <row r="266" spans="1:35" ht="14.25" customHeight="1" x14ac:dyDescent="0.25">
      <c r="A266" s="34">
        <v>0</v>
      </c>
      <c r="B266" s="34">
        <v>1</v>
      </c>
      <c r="C266" s="34">
        <v>7</v>
      </c>
      <c r="D266" s="39" t="s">
        <v>1321</v>
      </c>
      <c r="E266" s="35" t="s">
        <v>29</v>
      </c>
      <c r="F266" s="39" t="s">
        <v>1345</v>
      </c>
      <c r="G266" s="39" t="s">
        <v>39</v>
      </c>
      <c r="H266" s="39" t="s">
        <v>354</v>
      </c>
      <c r="I266" s="40" t="s">
        <v>1150</v>
      </c>
      <c r="J266" s="34">
        <v>99</v>
      </c>
      <c r="K266" s="36" t="s">
        <v>713</v>
      </c>
      <c r="L266" s="36" t="s">
        <v>693</v>
      </c>
      <c r="M266" s="37" t="s">
        <v>1409</v>
      </c>
      <c r="N266" s="37" t="s">
        <v>1733</v>
      </c>
      <c r="O266" s="38">
        <v>1</v>
      </c>
      <c r="P266" s="38">
        <v>1</v>
      </c>
      <c r="Q266" s="39"/>
      <c r="S266" s="1">
        <f t="shared" si="117"/>
        <v>0</v>
      </c>
      <c r="T266" s="1">
        <f t="shared" si="118"/>
        <v>0</v>
      </c>
      <c r="U266" s="1">
        <f t="shared" si="119"/>
        <v>0</v>
      </c>
      <c r="V266" s="1">
        <f t="shared" si="120"/>
        <v>0</v>
      </c>
      <c r="W266" s="1">
        <f t="shared" si="121"/>
        <v>0</v>
      </c>
      <c r="X266" s="1">
        <f t="shared" si="122"/>
        <v>0</v>
      </c>
      <c r="Y266" s="1">
        <f t="shared" si="123"/>
        <v>0</v>
      </c>
      <c r="Z266" s="1">
        <f t="shared" si="124"/>
        <v>0</v>
      </c>
      <c r="AA266" s="1">
        <f t="shared" si="125"/>
        <v>0</v>
      </c>
      <c r="AB266" s="1">
        <f t="shared" si="126"/>
        <v>0</v>
      </c>
      <c r="AD266" s="1">
        <f t="shared" si="127"/>
        <v>1</v>
      </c>
      <c r="AE266" s="1">
        <f t="shared" si="128"/>
        <v>0</v>
      </c>
      <c r="AF266" s="1">
        <f t="shared" si="113"/>
        <v>1</v>
      </c>
      <c r="AG266" s="1">
        <f t="shared" si="114"/>
        <v>0</v>
      </c>
      <c r="AH266" s="1">
        <f t="shared" si="115"/>
        <v>1</v>
      </c>
      <c r="AI266" s="1">
        <f t="shared" si="116"/>
        <v>0</v>
      </c>
    </row>
    <row r="267" spans="1:35" ht="14.25" customHeight="1" x14ac:dyDescent="0.25">
      <c r="A267" s="47">
        <v>0</v>
      </c>
      <c r="B267" s="47">
        <v>1</v>
      </c>
      <c r="C267" s="47">
        <v>7</v>
      </c>
      <c r="D267" s="48" t="s">
        <v>97</v>
      </c>
      <c r="E267" s="48" t="s">
        <v>29</v>
      </c>
      <c r="F267" s="48" t="s">
        <v>295</v>
      </c>
      <c r="G267" s="48" t="s">
        <v>263</v>
      </c>
      <c r="H267" s="48" t="s">
        <v>354</v>
      </c>
      <c r="I267" s="47" t="s">
        <v>445</v>
      </c>
      <c r="J267" s="47">
        <v>1</v>
      </c>
      <c r="K267" s="49" t="s">
        <v>713</v>
      </c>
      <c r="L267" s="49" t="s">
        <v>694</v>
      </c>
      <c r="M267" s="50" t="s">
        <v>708</v>
      </c>
      <c r="N267" s="50" t="s">
        <v>1735</v>
      </c>
      <c r="O267" s="51"/>
      <c r="P267" s="51"/>
      <c r="Q267" s="48"/>
      <c r="S267" s="1">
        <f t="shared" si="117"/>
        <v>1</v>
      </c>
      <c r="T267" s="1">
        <f t="shared" si="118"/>
        <v>0</v>
      </c>
      <c r="U267" s="1">
        <f t="shared" si="119"/>
        <v>0</v>
      </c>
      <c r="V267" s="1">
        <f t="shared" si="120"/>
        <v>0</v>
      </c>
      <c r="W267" s="1">
        <f t="shared" si="121"/>
        <v>0</v>
      </c>
      <c r="X267" s="1">
        <f t="shared" si="122"/>
        <v>0</v>
      </c>
      <c r="Y267" s="1">
        <f t="shared" si="123"/>
        <v>0</v>
      </c>
      <c r="Z267" s="1">
        <f t="shared" si="124"/>
        <v>0</v>
      </c>
      <c r="AA267" s="1">
        <f t="shared" si="125"/>
        <v>0</v>
      </c>
      <c r="AB267" s="1">
        <f t="shared" si="126"/>
        <v>0</v>
      </c>
      <c r="AD267" s="1">
        <f t="shared" si="127"/>
        <v>0</v>
      </c>
      <c r="AE267" s="1">
        <f t="shared" si="128"/>
        <v>0</v>
      </c>
      <c r="AF267" s="1">
        <f t="shared" ref="AF267:AF331" si="135">+O267*P267*(1-A267)</f>
        <v>0</v>
      </c>
      <c r="AG267" s="1">
        <f t="shared" ref="AG267:AG331" si="136">O267*(1-P267)*(1-A267)</f>
        <v>0</v>
      </c>
      <c r="AH267" s="1">
        <f t="shared" ref="AH267:AH331" si="137">+P267*(1-A267)</f>
        <v>0</v>
      </c>
      <c r="AI267" s="1">
        <f t="shared" ref="AI267:AI331" si="138">+(1-A267)*(1-P267)</f>
        <v>1</v>
      </c>
    </row>
    <row r="268" spans="1:35" ht="14.25" customHeight="1" x14ac:dyDescent="0.25">
      <c r="A268" s="15">
        <v>0</v>
      </c>
      <c r="B268" s="15">
        <v>1</v>
      </c>
      <c r="C268" s="15">
        <v>7</v>
      </c>
      <c r="D268" s="16" t="s">
        <v>755</v>
      </c>
      <c r="E268" s="16" t="s">
        <v>29</v>
      </c>
      <c r="F268" s="16" t="s">
        <v>756</v>
      </c>
      <c r="G268" s="16" t="s">
        <v>39</v>
      </c>
      <c r="H268" s="16" t="s">
        <v>757</v>
      </c>
      <c r="I268" s="15" t="s">
        <v>758</v>
      </c>
      <c r="J268" s="15">
        <v>18</v>
      </c>
      <c r="K268" s="10" t="s">
        <v>703</v>
      </c>
      <c r="L268" s="10" t="s">
        <v>697</v>
      </c>
      <c r="M268" s="19" t="s">
        <v>708</v>
      </c>
      <c r="N268" s="17"/>
      <c r="Q268" s="16"/>
      <c r="S268" s="1">
        <f t="shared" si="117"/>
        <v>0</v>
      </c>
      <c r="T268" s="1">
        <f t="shared" si="118"/>
        <v>0</v>
      </c>
      <c r="U268" s="1">
        <f t="shared" si="119"/>
        <v>0</v>
      </c>
      <c r="V268" s="1">
        <f t="shared" si="120"/>
        <v>0</v>
      </c>
      <c r="W268" s="1">
        <f t="shared" si="121"/>
        <v>0</v>
      </c>
      <c r="X268" s="1">
        <f t="shared" si="122"/>
        <v>0</v>
      </c>
      <c r="Y268" s="1">
        <f t="shared" si="123"/>
        <v>0</v>
      </c>
      <c r="Z268" s="1">
        <f t="shared" si="124"/>
        <v>0</v>
      </c>
      <c r="AA268" s="1">
        <f t="shared" si="125"/>
        <v>0</v>
      </c>
      <c r="AB268" s="1">
        <f t="shared" si="126"/>
        <v>0</v>
      </c>
      <c r="AD268" s="1">
        <f t="shared" si="127"/>
        <v>0</v>
      </c>
      <c r="AE268" s="1">
        <f t="shared" si="128"/>
        <v>0</v>
      </c>
      <c r="AF268" s="1">
        <f t="shared" si="135"/>
        <v>0</v>
      </c>
      <c r="AG268" s="1">
        <f t="shared" si="136"/>
        <v>0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15">
        <v>1</v>
      </c>
      <c r="B269" s="15">
        <v>1</v>
      </c>
      <c r="C269" s="15">
        <v>7</v>
      </c>
      <c r="D269" s="16" t="s">
        <v>755</v>
      </c>
      <c r="E269" s="16" t="s">
        <v>29</v>
      </c>
      <c r="F269" s="16" t="s">
        <v>759</v>
      </c>
      <c r="G269" s="16" t="s">
        <v>39</v>
      </c>
      <c r="H269" s="16" t="s">
        <v>745</v>
      </c>
      <c r="I269" s="15" t="s">
        <v>760</v>
      </c>
      <c r="J269" s="15">
        <v>17</v>
      </c>
      <c r="K269" s="10" t="s">
        <v>703</v>
      </c>
      <c r="L269" s="10" t="s">
        <v>697</v>
      </c>
      <c r="M269" s="19" t="s">
        <v>708</v>
      </c>
      <c r="N269" s="17"/>
      <c r="Q269" s="16"/>
      <c r="S269" s="1">
        <f t="shared" si="117"/>
        <v>0</v>
      </c>
      <c r="T269" s="1">
        <f t="shared" si="118"/>
        <v>0</v>
      </c>
      <c r="U269" s="1">
        <f t="shared" si="119"/>
        <v>0</v>
      </c>
      <c r="V269" s="1">
        <f t="shared" si="120"/>
        <v>0</v>
      </c>
      <c r="W269" s="1">
        <f t="shared" si="121"/>
        <v>0</v>
      </c>
      <c r="X269" s="1">
        <f t="shared" si="122"/>
        <v>0</v>
      </c>
      <c r="Y269" s="1">
        <f t="shared" si="123"/>
        <v>0</v>
      </c>
      <c r="Z269" s="1">
        <f t="shared" si="124"/>
        <v>0</v>
      </c>
      <c r="AA269" s="1">
        <f t="shared" si="125"/>
        <v>0</v>
      </c>
      <c r="AB269" s="1">
        <f t="shared" si="126"/>
        <v>0</v>
      </c>
      <c r="AD269" s="1">
        <f t="shared" si="127"/>
        <v>0</v>
      </c>
      <c r="AE269" s="1">
        <f t="shared" si="128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0</v>
      </c>
    </row>
    <row r="270" spans="1:35" ht="14.25" customHeight="1" x14ac:dyDescent="0.25">
      <c r="A270" s="34">
        <v>0</v>
      </c>
      <c r="B270" s="34">
        <v>1</v>
      </c>
      <c r="C270" s="34">
        <v>7</v>
      </c>
      <c r="D270" s="39" t="s">
        <v>1518</v>
      </c>
      <c r="E270" s="35" t="s">
        <v>29</v>
      </c>
      <c r="F270" s="39" t="s">
        <v>1671</v>
      </c>
      <c r="G270" s="39" t="s">
        <v>1672</v>
      </c>
      <c r="H270" s="39" t="s">
        <v>354</v>
      </c>
      <c r="I270" s="40" t="s">
        <v>1519</v>
      </c>
      <c r="J270" s="34">
        <v>99</v>
      </c>
      <c r="K270" s="36" t="s">
        <v>713</v>
      </c>
      <c r="L270" s="36" t="s">
        <v>39</v>
      </c>
      <c r="M270" s="37" t="s">
        <v>39</v>
      </c>
      <c r="N270" s="37" t="s">
        <v>1727</v>
      </c>
      <c r="O270" s="38">
        <v>1</v>
      </c>
      <c r="P270" s="38">
        <v>1</v>
      </c>
      <c r="Q270" s="39"/>
      <c r="S270" s="1">
        <f t="shared" si="117"/>
        <v>0</v>
      </c>
      <c r="T270" s="1">
        <f t="shared" si="118"/>
        <v>0</v>
      </c>
      <c r="U270" s="1">
        <f t="shared" si="119"/>
        <v>0</v>
      </c>
      <c r="V270" s="1">
        <f t="shared" si="120"/>
        <v>0</v>
      </c>
      <c r="W270" s="1">
        <f t="shared" si="121"/>
        <v>0</v>
      </c>
      <c r="X270" s="1">
        <f t="shared" si="122"/>
        <v>0</v>
      </c>
      <c r="Y270" s="1">
        <f t="shared" si="123"/>
        <v>0</v>
      </c>
      <c r="Z270" s="1">
        <f t="shared" si="124"/>
        <v>0</v>
      </c>
      <c r="AA270" s="1">
        <f t="shared" si="125"/>
        <v>0</v>
      </c>
      <c r="AB270" s="1">
        <f t="shared" si="126"/>
        <v>0</v>
      </c>
      <c r="AD270" s="1">
        <f t="shared" si="127"/>
        <v>1</v>
      </c>
      <c r="AE270" s="1">
        <f t="shared" si="128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15">
        <v>0</v>
      </c>
      <c r="B271" s="15">
        <v>1</v>
      </c>
      <c r="C271" s="15">
        <v>7</v>
      </c>
      <c r="D271" s="16" t="s">
        <v>1144</v>
      </c>
      <c r="E271" s="16" t="s">
        <v>29</v>
      </c>
      <c r="F271" s="16" t="s">
        <v>1145</v>
      </c>
      <c r="G271" s="16" t="s">
        <v>1147</v>
      </c>
      <c r="H271" s="16" t="s">
        <v>354</v>
      </c>
      <c r="I271" s="15" t="s">
        <v>1146</v>
      </c>
      <c r="J271" s="15">
        <v>99</v>
      </c>
      <c r="K271" s="10" t="s">
        <v>703</v>
      </c>
      <c r="L271" s="10">
        <v>30</v>
      </c>
      <c r="M271" s="19" t="s">
        <v>1410</v>
      </c>
      <c r="N271" s="19"/>
      <c r="Q271" s="16"/>
      <c r="S271" s="1">
        <f t="shared" ref="S271:S335" si="139">IF(J271=$S$7,1,0)</f>
        <v>0</v>
      </c>
      <c r="T271" s="1">
        <f t="shared" ref="T271:T335" si="140">IF(J271=$T$7,1,0)</f>
        <v>0</v>
      </c>
      <c r="U271" s="1">
        <f t="shared" ref="U271:U335" si="141">IF(J271=$U$7,1,0)</f>
        <v>0</v>
      </c>
      <c r="V271" s="1">
        <f t="shared" ref="V271:V335" si="142">IF(J271=$V$7,1,0)</f>
        <v>0</v>
      </c>
      <c r="W271" s="1">
        <f t="shared" ref="W271:W335" si="143">IF(J271=$W$7,1,0)</f>
        <v>0</v>
      </c>
      <c r="X271" s="1">
        <f t="shared" ref="X271:X335" si="144">IF(J271=$X$7,1,0)</f>
        <v>0</v>
      </c>
      <c r="Y271" s="1">
        <f t="shared" ref="Y271:Y335" si="145">IF(J271=$Y$7,1,0)</f>
        <v>0</v>
      </c>
      <c r="Z271" s="1">
        <f t="shared" ref="Z271:Z335" si="146">IF(J271=$Z$7,1,0)</f>
        <v>0</v>
      </c>
      <c r="AA271" s="1">
        <f t="shared" ref="AA271:AA335" si="147">IF(J271=$AA$7,1,0)</f>
        <v>0</v>
      </c>
      <c r="AB271" s="1">
        <f t="shared" ref="AB271:AB335" si="148">IF(J271=$AB$7,1,0)</f>
        <v>0</v>
      </c>
      <c r="AD271" s="1">
        <f t="shared" ref="AD271:AD335" si="149">+O271*P271</f>
        <v>0</v>
      </c>
      <c r="AE271" s="1">
        <f t="shared" ref="AE271:AE335" si="150">O271*(1-P271)</f>
        <v>0</v>
      </c>
      <c r="AF271" s="1">
        <f t="shared" si="135"/>
        <v>0</v>
      </c>
      <c r="AG271" s="1">
        <f t="shared" si="136"/>
        <v>0</v>
      </c>
      <c r="AH271" s="1">
        <f t="shared" si="137"/>
        <v>0</v>
      </c>
      <c r="AI271" s="1">
        <f t="shared" si="138"/>
        <v>1</v>
      </c>
    </row>
    <row r="272" spans="1:35" ht="14.25" customHeight="1" x14ac:dyDescent="0.25">
      <c r="A272" s="47">
        <v>0</v>
      </c>
      <c r="B272" s="47">
        <v>1</v>
      </c>
      <c r="C272" s="47">
        <v>7</v>
      </c>
      <c r="D272" s="48" t="s">
        <v>99</v>
      </c>
      <c r="E272" s="48" t="s">
        <v>29</v>
      </c>
      <c r="F272" s="48" t="s">
        <v>297</v>
      </c>
      <c r="G272" s="48" t="s">
        <v>197</v>
      </c>
      <c r="H272" s="48" t="s">
        <v>354</v>
      </c>
      <c r="I272" s="47" t="s">
        <v>446</v>
      </c>
      <c r="J272" s="47">
        <v>9</v>
      </c>
      <c r="K272" s="49" t="s">
        <v>703</v>
      </c>
      <c r="L272" s="49">
        <v>30</v>
      </c>
      <c r="M272" s="50" t="s">
        <v>708</v>
      </c>
      <c r="N272" s="50" t="s">
        <v>1735</v>
      </c>
      <c r="O272" s="51"/>
      <c r="P272" s="51"/>
      <c r="Q272" s="48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1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35"/>
        <v>0</v>
      </c>
      <c r="AG272" s="1">
        <f t="shared" si="136"/>
        <v>0</v>
      </c>
      <c r="AH272" s="1">
        <f t="shared" si="137"/>
        <v>0</v>
      </c>
      <c r="AI272" s="1">
        <f t="shared" si="138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803</v>
      </c>
      <c r="E273" s="48" t="s">
        <v>29</v>
      </c>
      <c r="F273" s="48" t="s">
        <v>782</v>
      </c>
      <c r="G273" s="48" t="s">
        <v>804</v>
      </c>
      <c r="H273" s="48" t="s">
        <v>354</v>
      </c>
      <c r="I273" s="47" t="s">
        <v>952</v>
      </c>
      <c r="J273" s="47">
        <v>99</v>
      </c>
      <c r="K273" s="49" t="s">
        <v>713</v>
      </c>
      <c r="L273" s="49" t="s">
        <v>694</v>
      </c>
      <c r="M273" s="50" t="s">
        <v>708</v>
      </c>
      <c r="N273" s="50" t="s">
        <v>1802</v>
      </c>
      <c r="O273" s="51"/>
      <c r="P273" s="51"/>
      <c r="Q273" s="48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35"/>
        <v>0</v>
      </c>
      <c r="AG273" s="1">
        <f t="shared" si="136"/>
        <v>0</v>
      </c>
      <c r="AH273" s="1">
        <f t="shared" si="137"/>
        <v>0</v>
      </c>
      <c r="AI273" s="1">
        <f t="shared" si="138"/>
        <v>1</v>
      </c>
    </row>
    <row r="274" spans="1:35" ht="14.25" customHeight="1" x14ac:dyDescent="0.25">
      <c r="A274" s="47">
        <v>0</v>
      </c>
      <c r="B274" s="47">
        <v>1</v>
      </c>
      <c r="C274" s="47">
        <v>7</v>
      </c>
      <c r="D274" s="48" t="s">
        <v>1324</v>
      </c>
      <c r="E274" s="48" t="s">
        <v>29</v>
      </c>
      <c r="F274" s="48" t="s">
        <v>1347</v>
      </c>
      <c r="G274" s="48" t="s">
        <v>1181</v>
      </c>
      <c r="H274" s="48" t="s">
        <v>354</v>
      </c>
      <c r="I274" s="47" t="s">
        <v>1692</v>
      </c>
      <c r="J274" s="47">
        <v>99</v>
      </c>
      <c r="K274" s="49" t="s">
        <v>713</v>
      </c>
      <c r="L274" s="49" t="s">
        <v>694</v>
      </c>
      <c r="M274" s="50" t="s">
        <v>1411</v>
      </c>
      <c r="N274" s="50" t="s">
        <v>1738</v>
      </c>
      <c r="O274" s="51"/>
      <c r="P274" s="51"/>
      <c r="Q274" s="48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0</v>
      </c>
      <c r="AE274" s="1">
        <f t="shared" si="150"/>
        <v>0</v>
      </c>
      <c r="AF274" s="1">
        <f t="shared" si="135"/>
        <v>0</v>
      </c>
      <c r="AG274" s="1">
        <f t="shared" si="136"/>
        <v>0</v>
      </c>
      <c r="AH274" s="1">
        <f t="shared" si="137"/>
        <v>0</v>
      </c>
      <c r="AI274" s="1">
        <f t="shared" si="138"/>
        <v>1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1279</v>
      </c>
      <c r="E275" s="16" t="s">
        <v>29</v>
      </c>
      <c r="F275" s="16" t="s">
        <v>1280</v>
      </c>
      <c r="G275" s="16" t="s">
        <v>1281</v>
      </c>
      <c r="H275" s="16" t="s">
        <v>354</v>
      </c>
      <c r="I275" s="15" t="s">
        <v>1282</v>
      </c>
      <c r="J275" s="15">
        <v>99</v>
      </c>
      <c r="K275" s="10" t="s">
        <v>713</v>
      </c>
      <c r="L275" s="10" t="s">
        <v>694</v>
      </c>
      <c r="M275" s="19" t="s">
        <v>708</v>
      </c>
      <c r="N275" s="17"/>
      <c r="Q275" s="16"/>
      <c r="S275" s="1">
        <f t="shared" si="139"/>
        <v>0</v>
      </c>
      <c r="T275" s="1">
        <f t="shared" si="140"/>
        <v>0</v>
      </c>
      <c r="U275" s="1">
        <f t="shared" si="141"/>
        <v>0</v>
      </c>
      <c r="V275" s="1">
        <f t="shared" si="142"/>
        <v>0</v>
      </c>
      <c r="W275" s="1">
        <f t="shared" si="143"/>
        <v>0</v>
      </c>
      <c r="X275" s="1">
        <f t="shared" si="144"/>
        <v>0</v>
      </c>
      <c r="Y275" s="1">
        <f t="shared" si="145"/>
        <v>0</v>
      </c>
      <c r="Z275" s="1">
        <f t="shared" si="146"/>
        <v>0</v>
      </c>
      <c r="AA275" s="1">
        <f t="shared" si="147"/>
        <v>0</v>
      </c>
      <c r="AB275" s="1">
        <f t="shared" si="148"/>
        <v>0</v>
      </c>
      <c r="AD275" s="1">
        <f t="shared" si="149"/>
        <v>0</v>
      </c>
      <c r="AE275" s="1">
        <f t="shared" si="150"/>
        <v>0</v>
      </c>
      <c r="AF275" s="1">
        <f t="shared" si="135"/>
        <v>0</v>
      </c>
      <c r="AG275" s="1">
        <f t="shared" si="136"/>
        <v>0</v>
      </c>
      <c r="AH275" s="1">
        <f t="shared" si="137"/>
        <v>0</v>
      </c>
      <c r="AI275" s="1">
        <f t="shared" si="138"/>
        <v>1</v>
      </c>
    </row>
    <row r="276" spans="1:35" ht="14.25" customHeight="1" x14ac:dyDescent="0.25">
      <c r="A276" s="34">
        <v>0</v>
      </c>
      <c r="B276" s="34">
        <v>1</v>
      </c>
      <c r="C276" s="34">
        <v>7</v>
      </c>
      <c r="D276" s="35" t="s">
        <v>709</v>
      </c>
      <c r="E276" s="35" t="s">
        <v>29</v>
      </c>
      <c r="F276" s="35" t="s">
        <v>710</v>
      </c>
      <c r="G276" s="35" t="s">
        <v>184</v>
      </c>
      <c r="H276" s="35" t="s">
        <v>354</v>
      </c>
      <c r="I276" s="34" t="s">
        <v>711</v>
      </c>
      <c r="J276" s="34">
        <v>99</v>
      </c>
      <c r="K276" s="36" t="s">
        <v>955</v>
      </c>
      <c r="L276" s="36" t="s">
        <v>39</v>
      </c>
      <c r="M276" s="37" t="s">
        <v>39</v>
      </c>
      <c r="N276" s="37" t="s">
        <v>1733</v>
      </c>
      <c r="O276" s="38">
        <v>1</v>
      </c>
      <c r="P276" s="38">
        <v>1</v>
      </c>
      <c r="Q276" s="35"/>
      <c r="S276" s="1">
        <f t="shared" si="139"/>
        <v>0</v>
      </c>
      <c r="T276" s="1">
        <f t="shared" si="140"/>
        <v>0</v>
      </c>
      <c r="U276" s="1">
        <f t="shared" si="141"/>
        <v>0</v>
      </c>
      <c r="V276" s="1">
        <f t="shared" si="142"/>
        <v>0</v>
      </c>
      <c r="W276" s="1">
        <f t="shared" si="143"/>
        <v>0</v>
      </c>
      <c r="X276" s="1">
        <f t="shared" si="144"/>
        <v>0</v>
      </c>
      <c r="Y276" s="1">
        <f t="shared" si="145"/>
        <v>0</v>
      </c>
      <c r="Z276" s="1">
        <f t="shared" si="146"/>
        <v>0</v>
      </c>
      <c r="AA276" s="1">
        <f t="shared" si="147"/>
        <v>0</v>
      </c>
      <c r="AB276" s="1">
        <f t="shared" si="148"/>
        <v>0</v>
      </c>
      <c r="AD276" s="1">
        <f t="shared" si="149"/>
        <v>1</v>
      </c>
      <c r="AE276" s="1">
        <f t="shared" si="150"/>
        <v>0</v>
      </c>
      <c r="AF276" s="1">
        <f t="shared" si="135"/>
        <v>1</v>
      </c>
      <c r="AG276" s="1">
        <f t="shared" si="136"/>
        <v>0</v>
      </c>
      <c r="AH276" s="1">
        <f t="shared" si="137"/>
        <v>1</v>
      </c>
      <c r="AI276" s="1">
        <f t="shared" si="138"/>
        <v>0</v>
      </c>
    </row>
    <row r="277" spans="1:35" ht="14.25" customHeight="1" x14ac:dyDescent="0.25">
      <c r="A277" s="34">
        <v>0</v>
      </c>
      <c r="B277" s="34">
        <v>2</v>
      </c>
      <c r="C277" s="34">
        <v>1</v>
      </c>
      <c r="D277" s="35" t="s">
        <v>536</v>
      </c>
      <c r="E277" s="35" t="s">
        <v>34</v>
      </c>
      <c r="F277" s="35" t="s">
        <v>537</v>
      </c>
      <c r="G277" s="35" t="s">
        <v>220</v>
      </c>
      <c r="H277" s="35" t="s">
        <v>354</v>
      </c>
      <c r="I277" s="34" t="s">
        <v>538</v>
      </c>
      <c r="J277" s="34">
        <v>8</v>
      </c>
      <c r="K277" s="36" t="s">
        <v>713</v>
      </c>
      <c r="L277" s="36" t="s">
        <v>713</v>
      </c>
      <c r="M277" s="37" t="s">
        <v>714</v>
      </c>
      <c r="N277" s="37" t="s">
        <v>1748</v>
      </c>
      <c r="O277" s="38">
        <v>1</v>
      </c>
      <c r="P277" s="38"/>
      <c r="Q277" s="35"/>
      <c r="S277" s="1">
        <f t="shared" si="139"/>
        <v>0</v>
      </c>
      <c r="T277" s="1">
        <f t="shared" si="140"/>
        <v>0</v>
      </c>
      <c r="U277" s="1">
        <f t="shared" si="141"/>
        <v>0</v>
      </c>
      <c r="V277" s="1">
        <f t="shared" si="142"/>
        <v>0</v>
      </c>
      <c r="W277" s="1">
        <f t="shared" si="143"/>
        <v>0</v>
      </c>
      <c r="X277" s="1">
        <f t="shared" si="144"/>
        <v>0</v>
      </c>
      <c r="Y277" s="1">
        <f t="shared" si="145"/>
        <v>0</v>
      </c>
      <c r="Z277" s="1">
        <f t="shared" si="146"/>
        <v>1</v>
      </c>
      <c r="AA277" s="1">
        <f t="shared" si="147"/>
        <v>0</v>
      </c>
      <c r="AB277" s="1">
        <f t="shared" si="148"/>
        <v>0</v>
      </c>
      <c r="AD277" s="1">
        <f t="shared" si="149"/>
        <v>0</v>
      </c>
      <c r="AE277" s="1">
        <f t="shared" si="150"/>
        <v>1</v>
      </c>
      <c r="AF277" s="1">
        <f t="shared" si="135"/>
        <v>0</v>
      </c>
      <c r="AG277" s="1">
        <f t="shared" si="136"/>
        <v>1</v>
      </c>
      <c r="AH277" s="1">
        <f t="shared" si="137"/>
        <v>0</v>
      </c>
      <c r="AI277" s="1">
        <f t="shared" si="138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1290</v>
      </c>
      <c r="E278" s="35" t="s">
        <v>561</v>
      </c>
      <c r="F278" s="35" t="s">
        <v>1291</v>
      </c>
      <c r="G278" s="35" t="s">
        <v>230</v>
      </c>
      <c r="H278" s="35" t="s">
        <v>354</v>
      </c>
      <c r="I278" s="34" t="s">
        <v>1292</v>
      </c>
      <c r="J278" s="34">
        <v>7</v>
      </c>
      <c r="K278" s="36" t="s">
        <v>713</v>
      </c>
      <c r="L278" s="36" t="s">
        <v>713</v>
      </c>
      <c r="M278" s="37" t="s">
        <v>714</v>
      </c>
      <c r="N278" s="37" t="s">
        <v>1756</v>
      </c>
      <c r="O278" s="38">
        <v>1</v>
      </c>
      <c r="P278" s="38"/>
      <c r="Q278" s="35"/>
      <c r="S278" s="1">
        <f t="shared" si="139"/>
        <v>0</v>
      </c>
      <c r="T278" s="1">
        <f t="shared" si="140"/>
        <v>0</v>
      </c>
      <c r="U278" s="1">
        <f t="shared" si="141"/>
        <v>0</v>
      </c>
      <c r="V278" s="1">
        <f t="shared" si="142"/>
        <v>0</v>
      </c>
      <c r="W278" s="1">
        <f t="shared" si="143"/>
        <v>0</v>
      </c>
      <c r="X278" s="1">
        <f t="shared" si="144"/>
        <v>0</v>
      </c>
      <c r="Y278" s="1">
        <f t="shared" si="145"/>
        <v>1</v>
      </c>
      <c r="Z278" s="1">
        <f t="shared" si="146"/>
        <v>0</v>
      </c>
      <c r="AA278" s="1">
        <f t="shared" si="147"/>
        <v>0</v>
      </c>
      <c r="AB278" s="1">
        <f t="shared" si="148"/>
        <v>0</v>
      </c>
      <c r="AD278" s="1">
        <f t="shared" si="149"/>
        <v>0</v>
      </c>
      <c r="AE278" s="1">
        <f t="shared" si="150"/>
        <v>1</v>
      </c>
      <c r="AF278" s="1">
        <f t="shared" si="135"/>
        <v>0</v>
      </c>
      <c r="AG278" s="1">
        <f t="shared" si="136"/>
        <v>1</v>
      </c>
      <c r="AH278" s="1">
        <f t="shared" si="137"/>
        <v>0</v>
      </c>
      <c r="AI278" s="1">
        <f t="shared" si="138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1326</v>
      </c>
      <c r="E279" s="35" t="s">
        <v>561</v>
      </c>
      <c r="F279" s="35" t="s">
        <v>1988</v>
      </c>
      <c r="G279" s="35" t="s">
        <v>213</v>
      </c>
      <c r="H279" s="35" t="s">
        <v>354</v>
      </c>
      <c r="I279" s="34" t="s">
        <v>1156</v>
      </c>
      <c r="J279" s="34">
        <v>1</v>
      </c>
      <c r="K279" s="36" t="s">
        <v>954</v>
      </c>
      <c r="L279" s="36" t="s">
        <v>713</v>
      </c>
      <c r="M279" s="37" t="s">
        <v>714</v>
      </c>
      <c r="N279" s="37" t="s">
        <v>1761</v>
      </c>
      <c r="O279" s="38">
        <v>1</v>
      </c>
      <c r="P279" s="38"/>
      <c r="Q279" s="35"/>
      <c r="S279" s="1">
        <f t="shared" si="139"/>
        <v>1</v>
      </c>
      <c r="T279" s="1">
        <f t="shared" si="140"/>
        <v>0</v>
      </c>
      <c r="U279" s="1">
        <f t="shared" si="141"/>
        <v>0</v>
      </c>
      <c r="V279" s="1">
        <f t="shared" si="142"/>
        <v>0</v>
      </c>
      <c r="W279" s="1">
        <f t="shared" si="143"/>
        <v>0</v>
      </c>
      <c r="X279" s="1">
        <f t="shared" si="144"/>
        <v>0</v>
      </c>
      <c r="Y279" s="1">
        <f t="shared" si="145"/>
        <v>0</v>
      </c>
      <c r="Z279" s="1">
        <f t="shared" si="146"/>
        <v>0</v>
      </c>
      <c r="AA279" s="1">
        <f t="shared" si="147"/>
        <v>0</v>
      </c>
      <c r="AB279" s="1">
        <f t="shared" si="148"/>
        <v>0</v>
      </c>
      <c r="AD279" s="1">
        <f t="shared" si="149"/>
        <v>0</v>
      </c>
      <c r="AE279" s="1">
        <f t="shared" si="150"/>
        <v>1</v>
      </c>
      <c r="AF279" s="1">
        <f t="shared" si="135"/>
        <v>0</v>
      </c>
      <c r="AG279" s="1">
        <f t="shared" si="136"/>
        <v>1</v>
      </c>
      <c r="AH279" s="1">
        <f t="shared" si="137"/>
        <v>0</v>
      </c>
      <c r="AI279" s="1">
        <f t="shared" si="138"/>
        <v>1</v>
      </c>
    </row>
    <row r="280" spans="1:35" ht="14.25" customHeight="1" x14ac:dyDescent="0.25">
      <c r="A280" s="34">
        <v>0</v>
      </c>
      <c r="B280" s="34">
        <v>2</v>
      </c>
      <c r="C280" s="34">
        <v>1</v>
      </c>
      <c r="D280" s="35" t="s">
        <v>1327</v>
      </c>
      <c r="E280" s="35" t="s">
        <v>561</v>
      </c>
      <c r="F280" s="35" t="s">
        <v>1151</v>
      </c>
      <c r="G280" s="35" t="s">
        <v>285</v>
      </c>
      <c r="H280" s="35" t="s">
        <v>354</v>
      </c>
      <c r="I280" s="34" t="s">
        <v>1152</v>
      </c>
      <c r="J280" s="34">
        <v>10</v>
      </c>
      <c r="K280" s="36" t="s">
        <v>954</v>
      </c>
      <c r="L280" s="36" t="s">
        <v>713</v>
      </c>
      <c r="M280" s="37" t="s">
        <v>714</v>
      </c>
      <c r="N280" s="37" t="s">
        <v>1761</v>
      </c>
      <c r="O280" s="38">
        <v>1</v>
      </c>
      <c r="P280" s="38"/>
      <c r="Q280" s="35"/>
      <c r="S280" s="1">
        <f t="shared" si="139"/>
        <v>0</v>
      </c>
      <c r="T280" s="1">
        <f t="shared" si="140"/>
        <v>0</v>
      </c>
      <c r="U280" s="1">
        <f t="shared" si="141"/>
        <v>0</v>
      </c>
      <c r="V280" s="1">
        <f t="shared" si="142"/>
        <v>0</v>
      </c>
      <c r="W280" s="1">
        <f t="shared" si="143"/>
        <v>0</v>
      </c>
      <c r="X280" s="1">
        <f t="shared" si="144"/>
        <v>0</v>
      </c>
      <c r="Y280" s="1">
        <f t="shared" si="145"/>
        <v>0</v>
      </c>
      <c r="Z280" s="1">
        <f t="shared" si="146"/>
        <v>0</v>
      </c>
      <c r="AA280" s="1">
        <f t="shared" si="147"/>
        <v>0</v>
      </c>
      <c r="AB280" s="1">
        <f t="shared" si="148"/>
        <v>1</v>
      </c>
      <c r="AD280" s="1">
        <f t="shared" si="149"/>
        <v>0</v>
      </c>
      <c r="AE280" s="1">
        <f t="shared" si="150"/>
        <v>1</v>
      </c>
      <c r="AF280" s="1">
        <f t="shared" si="135"/>
        <v>0</v>
      </c>
      <c r="AG280" s="1">
        <f t="shared" si="136"/>
        <v>1</v>
      </c>
      <c r="AH280" s="1">
        <f t="shared" si="137"/>
        <v>0</v>
      </c>
      <c r="AI280" s="1">
        <f t="shared" si="138"/>
        <v>1</v>
      </c>
    </row>
    <row r="281" spans="1:35" ht="14.25" customHeight="1" x14ac:dyDescent="0.25">
      <c r="A281" s="15">
        <v>0</v>
      </c>
      <c r="B281" s="15">
        <v>2</v>
      </c>
      <c r="C281" s="15">
        <v>1</v>
      </c>
      <c r="D281" s="16" t="s">
        <v>512</v>
      </c>
      <c r="E281" s="16" t="s">
        <v>34</v>
      </c>
      <c r="F281" s="16" t="s">
        <v>511</v>
      </c>
      <c r="G281" s="16" t="s">
        <v>546</v>
      </c>
      <c r="H281" s="16" t="s">
        <v>354</v>
      </c>
      <c r="I281" s="15" t="s">
        <v>1364</v>
      </c>
      <c r="J281" s="15">
        <v>99</v>
      </c>
      <c r="K281" s="10" t="s">
        <v>955</v>
      </c>
      <c r="L281" s="10" t="s">
        <v>713</v>
      </c>
      <c r="M281" s="19" t="s">
        <v>714</v>
      </c>
      <c r="N281" s="19"/>
      <c r="Q281" s="16"/>
      <c r="S281" s="1">
        <f t="shared" si="139"/>
        <v>0</v>
      </c>
      <c r="T281" s="1">
        <f t="shared" si="140"/>
        <v>0</v>
      </c>
      <c r="U281" s="1">
        <f t="shared" si="141"/>
        <v>0</v>
      </c>
      <c r="V281" s="1">
        <f t="shared" si="142"/>
        <v>0</v>
      </c>
      <c r="W281" s="1">
        <f t="shared" si="143"/>
        <v>0</v>
      </c>
      <c r="X281" s="1">
        <f t="shared" si="144"/>
        <v>0</v>
      </c>
      <c r="Y281" s="1">
        <f t="shared" si="145"/>
        <v>0</v>
      </c>
      <c r="Z281" s="1">
        <f t="shared" si="146"/>
        <v>0</v>
      </c>
      <c r="AA281" s="1">
        <f t="shared" si="147"/>
        <v>0</v>
      </c>
      <c r="AB281" s="1">
        <f t="shared" si="148"/>
        <v>0</v>
      </c>
      <c r="AD281" s="1">
        <f t="shared" si="149"/>
        <v>0</v>
      </c>
      <c r="AE281" s="1">
        <f t="shared" si="150"/>
        <v>0</v>
      </c>
      <c r="AF281" s="1">
        <f t="shared" si="135"/>
        <v>0</v>
      </c>
      <c r="AG281" s="1">
        <f t="shared" si="136"/>
        <v>0</v>
      </c>
      <c r="AH281" s="1">
        <f t="shared" si="137"/>
        <v>0</v>
      </c>
      <c r="AI281" s="1">
        <f t="shared" si="138"/>
        <v>1</v>
      </c>
    </row>
    <row r="282" spans="1:35" ht="14.25" customHeight="1" x14ac:dyDescent="0.25">
      <c r="A282" s="41">
        <v>0</v>
      </c>
      <c r="B282" s="41">
        <v>2</v>
      </c>
      <c r="C282" s="41">
        <v>1</v>
      </c>
      <c r="D282" s="42" t="s">
        <v>1042</v>
      </c>
      <c r="E282" s="42" t="s">
        <v>36</v>
      </c>
      <c r="F282" s="42" t="s">
        <v>1659</v>
      </c>
      <c r="G282" s="42" t="s">
        <v>628</v>
      </c>
      <c r="H282" s="42" t="s">
        <v>354</v>
      </c>
      <c r="I282" s="41" t="s">
        <v>1043</v>
      </c>
      <c r="J282" s="41">
        <v>99</v>
      </c>
      <c r="K282" s="43" t="s">
        <v>959</v>
      </c>
      <c r="L282" s="43" t="s">
        <v>713</v>
      </c>
      <c r="M282" s="44" t="s">
        <v>714</v>
      </c>
      <c r="N282" s="45"/>
      <c r="O282" s="46"/>
      <c r="P282" s="46">
        <v>1</v>
      </c>
      <c r="Q282" s="57" t="s">
        <v>1899</v>
      </c>
      <c r="S282" s="1">
        <f t="shared" si="139"/>
        <v>0</v>
      </c>
      <c r="T282" s="1">
        <f t="shared" si="140"/>
        <v>0</v>
      </c>
      <c r="U282" s="1">
        <f t="shared" si="141"/>
        <v>0</v>
      </c>
      <c r="V282" s="1">
        <f t="shared" si="142"/>
        <v>0</v>
      </c>
      <c r="W282" s="1">
        <f t="shared" si="143"/>
        <v>0</v>
      </c>
      <c r="X282" s="1">
        <f t="shared" si="144"/>
        <v>0</v>
      </c>
      <c r="Y282" s="1">
        <f t="shared" si="145"/>
        <v>0</v>
      </c>
      <c r="Z282" s="1">
        <f t="shared" si="146"/>
        <v>0</v>
      </c>
      <c r="AA282" s="1">
        <f t="shared" si="147"/>
        <v>0</v>
      </c>
      <c r="AB282" s="1">
        <f t="shared" si="148"/>
        <v>0</v>
      </c>
      <c r="AD282" s="1">
        <f t="shared" si="149"/>
        <v>0</v>
      </c>
      <c r="AE282" s="1">
        <f t="shared" si="150"/>
        <v>0</v>
      </c>
      <c r="AF282" s="1">
        <f t="shared" si="135"/>
        <v>0</v>
      </c>
      <c r="AG282" s="1">
        <f t="shared" si="136"/>
        <v>0</v>
      </c>
      <c r="AH282" s="1">
        <f t="shared" si="137"/>
        <v>1</v>
      </c>
      <c r="AI282" s="1">
        <f t="shared" si="138"/>
        <v>0</v>
      </c>
    </row>
    <row r="283" spans="1:35" ht="14.25" customHeight="1" x14ac:dyDescent="0.25">
      <c r="A283" s="34">
        <v>1</v>
      </c>
      <c r="B283" s="34">
        <v>2</v>
      </c>
      <c r="C283" s="34">
        <v>1</v>
      </c>
      <c r="D283" s="35" t="s">
        <v>49</v>
      </c>
      <c r="E283" s="35" t="s">
        <v>1314</v>
      </c>
      <c r="F283" s="35" t="s">
        <v>191</v>
      </c>
      <c r="G283" s="35" t="s">
        <v>192</v>
      </c>
      <c r="H283" s="35" t="s">
        <v>354</v>
      </c>
      <c r="I283" s="34" t="s">
        <v>386</v>
      </c>
      <c r="J283" s="34">
        <v>99</v>
      </c>
      <c r="K283" s="36" t="s">
        <v>712</v>
      </c>
      <c r="L283" s="36" t="s">
        <v>713</v>
      </c>
      <c r="M283" s="37" t="s">
        <v>714</v>
      </c>
      <c r="N283" s="37" t="s">
        <v>1756</v>
      </c>
      <c r="O283" s="38">
        <v>1</v>
      </c>
      <c r="P283" s="38"/>
      <c r="Q283" s="35"/>
      <c r="S283" s="1">
        <f t="shared" si="139"/>
        <v>0</v>
      </c>
      <c r="T283" s="1">
        <f t="shared" si="140"/>
        <v>0</v>
      </c>
      <c r="U283" s="1">
        <f t="shared" si="141"/>
        <v>0</v>
      </c>
      <c r="V283" s="1">
        <f t="shared" si="142"/>
        <v>0</v>
      </c>
      <c r="W283" s="1">
        <f t="shared" si="143"/>
        <v>0</v>
      </c>
      <c r="X283" s="1">
        <f t="shared" si="144"/>
        <v>0</v>
      </c>
      <c r="Y283" s="1">
        <f t="shared" si="145"/>
        <v>0</v>
      </c>
      <c r="Z283" s="1">
        <f t="shared" si="146"/>
        <v>0</v>
      </c>
      <c r="AA283" s="1">
        <f t="shared" si="147"/>
        <v>0</v>
      </c>
      <c r="AB283" s="1">
        <f t="shared" si="148"/>
        <v>0</v>
      </c>
      <c r="AD283" s="1">
        <f t="shared" si="149"/>
        <v>0</v>
      </c>
      <c r="AE283" s="1">
        <f t="shared" si="150"/>
        <v>1</v>
      </c>
      <c r="AF283" s="1">
        <f t="shared" si="135"/>
        <v>0</v>
      </c>
      <c r="AG283" s="1">
        <f t="shared" si="136"/>
        <v>0</v>
      </c>
      <c r="AH283" s="1">
        <f t="shared" si="137"/>
        <v>0</v>
      </c>
      <c r="AI283" s="1">
        <f t="shared" si="138"/>
        <v>0</v>
      </c>
    </row>
    <row r="284" spans="1:35" ht="14.25" customHeight="1" x14ac:dyDescent="0.25">
      <c r="A284" s="34">
        <v>0</v>
      </c>
      <c r="B284" s="34">
        <v>2</v>
      </c>
      <c r="C284" s="34">
        <v>1</v>
      </c>
      <c r="D284" s="35" t="s">
        <v>1074</v>
      </c>
      <c r="E284" s="35" t="s">
        <v>1314</v>
      </c>
      <c r="F284" s="35" t="s">
        <v>1089</v>
      </c>
      <c r="G284" s="35" t="s">
        <v>202</v>
      </c>
      <c r="H284" s="35" t="s">
        <v>354</v>
      </c>
      <c r="I284" s="34" t="s">
        <v>386</v>
      </c>
      <c r="J284" s="34">
        <v>10</v>
      </c>
      <c r="K284" s="36" t="s">
        <v>712</v>
      </c>
      <c r="L284" s="36" t="s">
        <v>713</v>
      </c>
      <c r="M284" s="37" t="s">
        <v>714</v>
      </c>
      <c r="N284" s="37" t="s">
        <v>1756</v>
      </c>
      <c r="O284" s="38">
        <v>1</v>
      </c>
      <c r="P284" s="38"/>
      <c r="Q284" s="35"/>
      <c r="S284" s="1">
        <f t="shared" si="139"/>
        <v>0</v>
      </c>
      <c r="T284" s="1">
        <f t="shared" si="140"/>
        <v>0</v>
      </c>
      <c r="U284" s="1">
        <f t="shared" si="141"/>
        <v>0</v>
      </c>
      <c r="V284" s="1">
        <f t="shared" si="142"/>
        <v>0</v>
      </c>
      <c r="W284" s="1">
        <f t="shared" si="143"/>
        <v>0</v>
      </c>
      <c r="X284" s="1">
        <f t="shared" si="144"/>
        <v>0</v>
      </c>
      <c r="Y284" s="1">
        <f t="shared" si="145"/>
        <v>0</v>
      </c>
      <c r="Z284" s="1">
        <f t="shared" si="146"/>
        <v>0</v>
      </c>
      <c r="AA284" s="1">
        <f t="shared" si="147"/>
        <v>0</v>
      </c>
      <c r="AB284" s="1">
        <f t="shared" si="148"/>
        <v>1</v>
      </c>
      <c r="AD284" s="1">
        <f t="shared" si="149"/>
        <v>0</v>
      </c>
      <c r="AE284" s="1">
        <f t="shared" si="150"/>
        <v>1</v>
      </c>
      <c r="AF284" s="1">
        <f t="shared" si="135"/>
        <v>0</v>
      </c>
      <c r="AG284" s="1">
        <f t="shared" si="136"/>
        <v>1</v>
      </c>
      <c r="AH284" s="1">
        <f t="shared" si="137"/>
        <v>0</v>
      </c>
      <c r="AI284" s="1">
        <f t="shared" si="138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1273</v>
      </c>
      <c r="E285" s="35" t="s">
        <v>561</v>
      </c>
      <c r="F285" s="35" t="s">
        <v>1274</v>
      </c>
      <c r="G285" s="35" t="s">
        <v>258</v>
      </c>
      <c r="H285" s="35" t="s">
        <v>354</v>
      </c>
      <c r="I285" s="34" t="s">
        <v>1275</v>
      </c>
      <c r="J285" s="34">
        <v>8</v>
      </c>
      <c r="K285" s="36" t="s">
        <v>954</v>
      </c>
      <c r="L285" s="36" t="s">
        <v>713</v>
      </c>
      <c r="M285" s="37" t="s">
        <v>714</v>
      </c>
      <c r="N285" s="37" t="s">
        <v>1748</v>
      </c>
      <c r="O285" s="38">
        <v>1</v>
      </c>
      <c r="P285" s="38"/>
      <c r="Q285" s="35"/>
      <c r="S285" s="1">
        <f t="shared" si="139"/>
        <v>0</v>
      </c>
      <c r="T285" s="1">
        <f t="shared" si="140"/>
        <v>0</v>
      </c>
      <c r="U285" s="1">
        <f t="shared" si="141"/>
        <v>0</v>
      </c>
      <c r="V285" s="1">
        <f t="shared" si="142"/>
        <v>0</v>
      </c>
      <c r="W285" s="1">
        <f t="shared" si="143"/>
        <v>0</v>
      </c>
      <c r="X285" s="1">
        <f t="shared" si="144"/>
        <v>0</v>
      </c>
      <c r="Y285" s="1">
        <f t="shared" si="145"/>
        <v>0</v>
      </c>
      <c r="Z285" s="1">
        <f t="shared" si="146"/>
        <v>1</v>
      </c>
      <c r="AA285" s="1">
        <f t="shared" si="147"/>
        <v>0</v>
      </c>
      <c r="AB285" s="1">
        <f t="shared" si="148"/>
        <v>0</v>
      </c>
      <c r="AD285" s="1">
        <f t="shared" si="149"/>
        <v>0</v>
      </c>
      <c r="AE285" s="1">
        <f t="shared" si="150"/>
        <v>1</v>
      </c>
      <c r="AF285" s="1">
        <f t="shared" si="135"/>
        <v>0</v>
      </c>
      <c r="AG285" s="1">
        <f t="shared" si="136"/>
        <v>1</v>
      </c>
      <c r="AH285" s="1">
        <f t="shared" si="137"/>
        <v>0</v>
      </c>
      <c r="AI285" s="1">
        <f t="shared" si="138"/>
        <v>1</v>
      </c>
    </row>
    <row r="286" spans="1:35" ht="14.25" customHeight="1" x14ac:dyDescent="0.25">
      <c r="A286" s="47">
        <v>0</v>
      </c>
      <c r="B286" s="47">
        <v>2</v>
      </c>
      <c r="C286" s="47">
        <v>1</v>
      </c>
      <c r="D286" s="48" t="s">
        <v>48</v>
      </c>
      <c r="E286" s="48" t="s">
        <v>578</v>
      </c>
      <c r="F286" s="48" t="s">
        <v>189</v>
      </c>
      <c r="G286" s="48" t="s">
        <v>300</v>
      </c>
      <c r="H286" s="48" t="s">
        <v>354</v>
      </c>
      <c r="I286" s="47" t="s">
        <v>385</v>
      </c>
      <c r="J286" s="47">
        <v>99</v>
      </c>
      <c r="K286" s="49" t="s">
        <v>713</v>
      </c>
      <c r="L286" s="49" t="s">
        <v>713</v>
      </c>
      <c r="M286" s="50" t="s">
        <v>714</v>
      </c>
      <c r="N286" s="50" t="s">
        <v>1747</v>
      </c>
      <c r="O286" s="51"/>
      <c r="P286" s="51"/>
      <c r="Q286" s="48"/>
      <c r="S286" s="1">
        <f t="shared" si="139"/>
        <v>0</v>
      </c>
      <c r="T286" s="1">
        <f t="shared" si="140"/>
        <v>0</v>
      </c>
      <c r="U286" s="1">
        <f t="shared" si="141"/>
        <v>0</v>
      </c>
      <c r="V286" s="1">
        <f t="shared" si="142"/>
        <v>0</v>
      </c>
      <c r="W286" s="1">
        <f t="shared" si="143"/>
        <v>0</v>
      </c>
      <c r="X286" s="1">
        <f t="shared" si="144"/>
        <v>0</v>
      </c>
      <c r="Y286" s="1">
        <f t="shared" si="145"/>
        <v>0</v>
      </c>
      <c r="Z286" s="1">
        <f t="shared" si="146"/>
        <v>0</v>
      </c>
      <c r="AA286" s="1">
        <f t="shared" si="147"/>
        <v>0</v>
      </c>
      <c r="AB286" s="1">
        <f t="shared" si="148"/>
        <v>0</v>
      </c>
      <c r="AD286" s="1">
        <f t="shared" si="149"/>
        <v>0</v>
      </c>
      <c r="AE286" s="1">
        <f t="shared" si="150"/>
        <v>0</v>
      </c>
      <c r="AF286" s="1">
        <f t="shared" si="135"/>
        <v>0</v>
      </c>
      <c r="AG286" s="1">
        <f t="shared" si="136"/>
        <v>0</v>
      </c>
      <c r="AH286" s="1">
        <f t="shared" si="137"/>
        <v>0</v>
      </c>
      <c r="AI286" s="1">
        <f t="shared" si="138"/>
        <v>1</v>
      </c>
    </row>
    <row r="287" spans="1:35" ht="14.25" customHeight="1" x14ac:dyDescent="0.25">
      <c r="A287" s="15">
        <v>0</v>
      </c>
      <c r="B287" s="15">
        <v>2</v>
      </c>
      <c r="C287" s="15">
        <v>1</v>
      </c>
      <c r="D287" s="16" t="s">
        <v>57</v>
      </c>
      <c r="E287" s="16" t="s">
        <v>162</v>
      </c>
      <c r="F287" s="16" t="s">
        <v>666</v>
      </c>
      <c r="G287" s="16" t="s">
        <v>221</v>
      </c>
      <c r="H287" s="16" t="s">
        <v>354</v>
      </c>
      <c r="I287" s="15" t="s">
        <v>396</v>
      </c>
      <c r="J287" s="15">
        <v>99</v>
      </c>
      <c r="K287" s="10" t="s">
        <v>961</v>
      </c>
      <c r="L287" s="10" t="s">
        <v>713</v>
      </c>
      <c r="M287" s="19" t="s">
        <v>714</v>
      </c>
      <c r="N287" s="19"/>
      <c r="Q287" s="16"/>
      <c r="S287" s="1">
        <f t="shared" si="139"/>
        <v>0</v>
      </c>
      <c r="T287" s="1">
        <f t="shared" si="140"/>
        <v>0</v>
      </c>
      <c r="U287" s="1">
        <f t="shared" si="141"/>
        <v>0</v>
      </c>
      <c r="V287" s="1">
        <f t="shared" si="142"/>
        <v>0</v>
      </c>
      <c r="W287" s="1">
        <f t="shared" si="143"/>
        <v>0</v>
      </c>
      <c r="X287" s="1">
        <f t="shared" si="144"/>
        <v>0</v>
      </c>
      <c r="Y287" s="1">
        <f t="shared" si="145"/>
        <v>0</v>
      </c>
      <c r="Z287" s="1">
        <f t="shared" si="146"/>
        <v>0</v>
      </c>
      <c r="AA287" s="1">
        <f t="shared" si="147"/>
        <v>0</v>
      </c>
      <c r="AB287" s="1">
        <f t="shared" si="148"/>
        <v>0</v>
      </c>
      <c r="AD287" s="1">
        <f t="shared" si="149"/>
        <v>0</v>
      </c>
      <c r="AE287" s="1">
        <f t="shared" si="150"/>
        <v>0</v>
      </c>
      <c r="AF287" s="1">
        <f t="shared" si="135"/>
        <v>0</v>
      </c>
      <c r="AG287" s="1">
        <f t="shared" si="136"/>
        <v>0</v>
      </c>
      <c r="AH287" s="1">
        <f t="shared" si="137"/>
        <v>0</v>
      </c>
      <c r="AI287" s="1">
        <f t="shared" si="138"/>
        <v>1</v>
      </c>
    </row>
    <row r="288" spans="1:35" ht="14.25" customHeight="1" x14ac:dyDescent="0.25">
      <c r="A288" s="34">
        <v>0</v>
      </c>
      <c r="B288" s="34">
        <v>2</v>
      </c>
      <c r="C288" s="34">
        <v>1</v>
      </c>
      <c r="D288" s="35" t="s">
        <v>515</v>
      </c>
      <c r="E288" s="35" t="s">
        <v>561</v>
      </c>
      <c r="F288" s="35" t="s">
        <v>229</v>
      </c>
      <c r="G288" s="35" t="s">
        <v>230</v>
      </c>
      <c r="H288" s="35" t="s">
        <v>354</v>
      </c>
      <c r="I288" s="34" t="s">
        <v>400</v>
      </c>
      <c r="J288" s="34">
        <v>7</v>
      </c>
      <c r="K288" s="36" t="s">
        <v>954</v>
      </c>
      <c r="L288" s="36" t="s">
        <v>713</v>
      </c>
      <c r="M288" s="37" t="s">
        <v>714</v>
      </c>
      <c r="N288" s="37" t="s">
        <v>1749</v>
      </c>
      <c r="O288" s="38">
        <v>1</v>
      </c>
      <c r="P288" s="38"/>
      <c r="Q288" s="35"/>
      <c r="S288" s="1">
        <f t="shared" si="139"/>
        <v>0</v>
      </c>
      <c r="T288" s="1">
        <f t="shared" si="140"/>
        <v>0</v>
      </c>
      <c r="U288" s="1">
        <f t="shared" si="141"/>
        <v>0</v>
      </c>
      <c r="V288" s="1">
        <f t="shared" si="142"/>
        <v>0</v>
      </c>
      <c r="W288" s="1">
        <f t="shared" si="143"/>
        <v>0</v>
      </c>
      <c r="X288" s="1">
        <f t="shared" si="144"/>
        <v>0</v>
      </c>
      <c r="Y288" s="1">
        <f t="shared" si="145"/>
        <v>1</v>
      </c>
      <c r="Z288" s="1">
        <f t="shared" si="146"/>
        <v>0</v>
      </c>
      <c r="AA288" s="1">
        <f t="shared" si="147"/>
        <v>0</v>
      </c>
      <c r="AB288" s="1">
        <f t="shared" si="148"/>
        <v>0</v>
      </c>
      <c r="AD288" s="1">
        <f t="shared" si="149"/>
        <v>0</v>
      </c>
      <c r="AE288" s="1">
        <f t="shared" si="150"/>
        <v>1</v>
      </c>
      <c r="AF288" s="1">
        <f t="shared" si="135"/>
        <v>0</v>
      </c>
      <c r="AG288" s="1">
        <f t="shared" si="136"/>
        <v>1</v>
      </c>
      <c r="AH288" s="1">
        <f t="shared" si="137"/>
        <v>0</v>
      </c>
      <c r="AI288" s="1">
        <f t="shared" si="138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560</v>
      </c>
      <c r="E289" s="48" t="s">
        <v>561</v>
      </c>
      <c r="F289" s="48" t="s">
        <v>562</v>
      </c>
      <c r="G289" s="48" t="s">
        <v>208</v>
      </c>
      <c r="H289" s="48" t="s">
        <v>354</v>
      </c>
      <c r="I289" s="47" t="s">
        <v>563</v>
      </c>
      <c r="J289" s="47">
        <v>3</v>
      </c>
      <c r="K289" s="49" t="s">
        <v>712</v>
      </c>
      <c r="L289" s="49" t="s">
        <v>713</v>
      </c>
      <c r="M289" s="50" t="s">
        <v>714</v>
      </c>
      <c r="N289" s="50" t="s">
        <v>1747</v>
      </c>
      <c r="O289" s="51"/>
      <c r="P289" s="51"/>
      <c r="Q289" s="48"/>
      <c r="S289" s="1">
        <f t="shared" si="139"/>
        <v>0</v>
      </c>
      <c r="T289" s="1">
        <f t="shared" si="140"/>
        <v>0</v>
      </c>
      <c r="U289" s="1">
        <f t="shared" si="141"/>
        <v>1</v>
      </c>
      <c r="V289" s="1">
        <f t="shared" si="142"/>
        <v>0</v>
      </c>
      <c r="W289" s="1">
        <f t="shared" si="143"/>
        <v>0</v>
      </c>
      <c r="X289" s="1">
        <f t="shared" si="144"/>
        <v>0</v>
      </c>
      <c r="Y289" s="1">
        <f t="shared" si="145"/>
        <v>0</v>
      </c>
      <c r="Z289" s="1">
        <f t="shared" si="146"/>
        <v>0</v>
      </c>
      <c r="AA289" s="1">
        <f t="shared" si="147"/>
        <v>0</v>
      </c>
      <c r="AB289" s="1">
        <f t="shared" si="148"/>
        <v>0</v>
      </c>
      <c r="AD289" s="1">
        <f t="shared" si="149"/>
        <v>0</v>
      </c>
      <c r="AE289" s="1">
        <f t="shared" si="150"/>
        <v>0</v>
      </c>
      <c r="AF289" s="1">
        <f t="shared" si="135"/>
        <v>0</v>
      </c>
      <c r="AG289" s="1">
        <f t="shared" si="136"/>
        <v>0</v>
      </c>
      <c r="AH289" s="1">
        <f t="shared" si="137"/>
        <v>0</v>
      </c>
      <c r="AI289" s="1">
        <f t="shared" si="138"/>
        <v>1</v>
      </c>
    </row>
    <row r="290" spans="1:35" ht="14.25" customHeight="1" x14ac:dyDescent="0.25">
      <c r="A290" s="40">
        <v>0</v>
      </c>
      <c r="B290" s="40">
        <v>2</v>
      </c>
      <c r="C290" s="40">
        <v>1</v>
      </c>
      <c r="D290" s="39" t="s">
        <v>1053</v>
      </c>
      <c r="E290" s="39" t="s">
        <v>32</v>
      </c>
      <c r="F290" s="39" t="s">
        <v>1277</v>
      </c>
      <c r="G290" s="39" t="s">
        <v>535</v>
      </c>
      <c r="H290" s="39" t="s">
        <v>354</v>
      </c>
      <c r="I290" s="40" t="s">
        <v>1278</v>
      </c>
      <c r="J290" s="40">
        <v>6</v>
      </c>
      <c r="K290" s="59" t="s">
        <v>713</v>
      </c>
      <c r="L290" s="36" t="s">
        <v>713</v>
      </c>
      <c r="M290" s="37" t="s">
        <v>714</v>
      </c>
      <c r="N290" s="37" t="s">
        <v>1748</v>
      </c>
      <c r="O290" s="38">
        <v>1</v>
      </c>
      <c r="P290" s="38"/>
      <c r="Q290" s="39"/>
      <c r="S290" s="1">
        <f t="shared" si="139"/>
        <v>0</v>
      </c>
      <c r="T290" s="1">
        <f t="shared" si="140"/>
        <v>0</v>
      </c>
      <c r="U290" s="1">
        <f t="shared" si="141"/>
        <v>0</v>
      </c>
      <c r="V290" s="1">
        <f t="shared" si="142"/>
        <v>0</v>
      </c>
      <c r="W290" s="1">
        <f t="shared" si="143"/>
        <v>0</v>
      </c>
      <c r="X290" s="1">
        <f t="shared" si="144"/>
        <v>1</v>
      </c>
      <c r="Y290" s="1">
        <f t="shared" si="145"/>
        <v>0</v>
      </c>
      <c r="Z290" s="1">
        <f t="shared" si="146"/>
        <v>0</v>
      </c>
      <c r="AA290" s="1">
        <f t="shared" si="147"/>
        <v>0</v>
      </c>
      <c r="AB290" s="1">
        <f t="shared" si="148"/>
        <v>0</v>
      </c>
      <c r="AD290" s="1">
        <f t="shared" si="149"/>
        <v>0</v>
      </c>
      <c r="AE290" s="1">
        <f t="shared" si="150"/>
        <v>1</v>
      </c>
      <c r="AF290" s="1">
        <f t="shared" si="135"/>
        <v>0</v>
      </c>
      <c r="AG290" s="1">
        <f t="shared" si="136"/>
        <v>1</v>
      </c>
      <c r="AH290" s="1">
        <f t="shared" si="137"/>
        <v>0</v>
      </c>
      <c r="AI290" s="1">
        <f t="shared" si="138"/>
        <v>1</v>
      </c>
    </row>
    <row r="291" spans="1:35" ht="14.25" customHeight="1" x14ac:dyDescent="0.25">
      <c r="A291" s="47">
        <v>0</v>
      </c>
      <c r="B291" s="47">
        <v>2</v>
      </c>
      <c r="C291" s="47">
        <v>1</v>
      </c>
      <c r="D291" s="48" t="s">
        <v>917</v>
      </c>
      <c r="E291" s="48" t="s">
        <v>1333</v>
      </c>
      <c r="F291" s="48" t="s">
        <v>789</v>
      </c>
      <c r="G291" s="48" t="s">
        <v>257</v>
      </c>
      <c r="H291" s="48" t="s">
        <v>354</v>
      </c>
      <c r="I291" s="47" t="s">
        <v>944</v>
      </c>
      <c r="J291" s="47">
        <v>99</v>
      </c>
      <c r="K291" s="49" t="s">
        <v>712</v>
      </c>
      <c r="L291" s="49" t="s">
        <v>713</v>
      </c>
      <c r="M291" s="50" t="s">
        <v>714</v>
      </c>
      <c r="N291" s="50" t="s">
        <v>1734</v>
      </c>
      <c r="O291" s="51"/>
      <c r="P291" s="51"/>
      <c r="Q291" s="48"/>
      <c r="S291" s="1">
        <f t="shared" si="139"/>
        <v>0</v>
      </c>
      <c r="T291" s="1">
        <f t="shared" si="140"/>
        <v>0</v>
      </c>
      <c r="U291" s="1">
        <f t="shared" si="141"/>
        <v>0</v>
      </c>
      <c r="V291" s="1">
        <f t="shared" si="142"/>
        <v>0</v>
      </c>
      <c r="W291" s="1">
        <f t="shared" si="143"/>
        <v>0</v>
      </c>
      <c r="X291" s="1">
        <f t="shared" si="144"/>
        <v>0</v>
      </c>
      <c r="Y291" s="1">
        <f t="shared" si="145"/>
        <v>0</v>
      </c>
      <c r="Z291" s="1">
        <f t="shared" si="146"/>
        <v>0</v>
      </c>
      <c r="AA291" s="1">
        <f t="shared" si="147"/>
        <v>0</v>
      </c>
      <c r="AB291" s="1">
        <f t="shared" si="148"/>
        <v>0</v>
      </c>
      <c r="AD291" s="1">
        <f t="shared" si="149"/>
        <v>0</v>
      </c>
      <c r="AE291" s="1">
        <f t="shared" si="150"/>
        <v>0</v>
      </c>
      <c r="AF291" s="1">
        <f t="shared" si="135"/>
        <v>0</v>
      </c>
      <c r="AG291" s="1">
        <f t="shared" si="136"/>
        <v>0</v>
      </c>
      <c r="AH291" s="1">
        <f t="shared" si="137"/>
        <v>0</v>
      </c>
      <c r="AI291" s="1">
        <f t="shared" si="138"/>
        <v>1</v>
      </c>
    </row>
    <row r="292" spans="1:35" ht="14.25" customHeight="1" x14ac:dyDescent="0.25">
      <c r="A292" s="40">
        <v>0</v>
      </c>
      <c r="B292" s="40">
        <v>2</v>
      </c>
      <c r="C292" s="40">
        <v>1</v>
      </c>
      <c r="D292" s="39" t="s">
        <v>1771</v>
      </c>
      <c r="E292" s="39" t="s">
        <v>1772</v>
      </c>
      <c r="F292" s="39" t="s">
        <v>1773</v>
      </c>
      <c r="G292" s="39" t="s">
        <v>180</v>
      </c>
      <c r="H292" s="39" t="s">
        <v>354</v>
      </c>
      <c r="I292" s="40" t="s">
        <v>1774</v>
      </c>
      <c r="J292" s="40"/>
      <c r="K292" s="59" t="s">
        <v>703</v>
      </c>
      <c r="L292" s="36">
        <v>4</v>
      </c>
      <c r="M292" s="37" t="s">
        <v>714</v>
      </c>
      <c r="N292" s="37" t="s">
        <v>1743</v>
      </c>
      <c r="O292" s="38">
        <v>1</v>
      </c>
      <c r="P292" s="38"/>
      <c r="Q292" s="39"/>
      <c r="S292" s="1">
        <f t="shared" si="139"/>
        <v>0</v>
      </c>
      <c r="T292" s="1">
        <f t="shared" si="140"/>
        <v>0</v>
      </c>
      <c r="U292" s="1">
        <f t="shared" si="141"/>
        <v>0</v>
      </c>
      <c r="V292" s="1">
        <f t="shared" si="142"/>
        <v>0</v>
      </c>
      <c r="W292" s="1">
        <f t="shared" si="143"/>
        <v>0</v>
      </c>
      <c r="X292" s="1">
        <f t="shared" si="144"/>
        <v>0</v>
      </c>
      <c r="Y292" s="1">
        <f t="shared" si="145"/>
        <v>0</v>
      </c>
      <c r="Z292" s="1">
        <f t="shared" si="146"/>
        <v>0</v>
      </c>
      <c r="AA292" s="1">
        <f t="shared" si="147"/>
        <v>0</v>
      </c>
      <c r="AB292" s="1">
        <f t="shared" si="148"/>
        <v>0</v>
      </c>
      <c r="AD292" s="1">
        <f t="shared" si="149"/>
        <v>0</v>
      </c>
      <c r="AE292" s="1">
        <f t="shared" si="150"/>
        <v>1</v>
      </c>
      <c r="AF292" s="1">
        <f t="shared" si="135"/>
        <v>0</v>
      </c>
      <c r="AG292" s="1">
        <f t="shared" si="136"/>
        <v>1</v>
      </c>
      <c r="AH292" s="1">
        <f t="shared" si="137"/>
        <v>0</v>
      </c>
      <c r="AI292" s="1">
        <f t="shared" si="138"/>
        <v>1</v>
      </c>
    </row>
    <row r="293" spans="1:35" ht="14.25" customHeight="1" x14ac:dyDescent="0.25">
      <c r="A293" s="34">
        <v>0</v>
      </c>
      <c r="B293" s="34">
        <v>2</v>
      </c>
      <c r="C293" s="34">
        <v>1</v>
      </c>
      <c r="D293" s="35" t="s">
        <v>619</v>
      </c>
      <c r="E293" s="35" t="s">
        <v>620</v>
      </c>
      <c r="F293" s="35" t="s">
        <v>621</v>
      </c>
      <c r="G293" s="35" t="s">
        <v>622</v>
      </c>
      <c r="H293" s="35" t="s">
        <v>354</v>
      </c>
      <c r="I293" s="34" t="s">
        <v>623</v>
      </c>
      <c r="J293" s="34">
        <v>99</v>
      </c>
      <c r="K293" s="36" t="s">
        <v>712</v>
      </c>
      <c r="L293" s="36" t="s">
        <v>713</v>
      </c>
      <c r="M293" s="37" t="s">
        <v>714</v>
      </c>
      <c r="N293" s="37" t="s">
        <v>1756</v>
      </c>
      <c r="O293" s="38">
        <v>1</v>
      </c>
      <c r="P293" s="38"/>
      <c r="Q293" s="35"/>
      <c r="S293" s="1">
        <f t="shared" si="139"/>
        <v>0</v>
      </c>
      <c r="T293" s="1">
        <f t="shared" si="140"/>
        <v>0</v>
      </c>
      <c r="U293" s="1">
        <f t="shared" si="141"/>
        <v>0</v>
      </c>
      <c r="V293" s="1">
        <f t="shared" si="142"/>
        <v>0</v>
      </c>
      <c r="W293" s="1">
        <f t="shared" si="143"/>
        <v>0</v>
      </c>
      <c r="X293" s="1">
        <f t="shared" si="144"/>
        <v>0</v>
      </c>
      <c r="Y293" s="1">
        <f t="shared" si="145"/>
        <v>0</v>
      </c>
      <c r="Z293" s="1">
        <f t="shared" si="146"/>
        <v>0</v>
      </c>
      <c r="AA293" s="1">
        <f t="shared" si="147"/>
        <v>0</v>
      </c>
      <c r="AB293" s="1">
        <f t="shared" si="148"/>
        <v>0</v>
      </c>
      <c r="AD293" s="1">
        <f t="shared" si="149"/>
        <v>0</v>
      </c>
      <c r="AE293" s="1">
        <f t="shared" si="150"/>
        <v>1</v>
      </c>
      <c r="AF293" s="1">
        <f t="shared" si="135"/>
        <v>0</v>
      </c>
      <c r="AG293" s="1">
        <f t="shared" si="136"/>
        <v>1</v>
      </c>
      <c r="AH293" s="1">
        <f t="shared" si="137"/>
        <v>0</v>
      </c>
      <c r="AI293" s="1">
        <f t="shared" si="138"/>
        <v>1</v>
      </c>
    </row>
    <row r="294" spans="1:35" ht="14.25" customHeight="1" x14ac:dyDescent="0.25">
      <c r="A294" s="47">
        <v>0</v>
      </c>
      <c r="B294" s="47">
        <v>2</v>
      </c>
      <c r="C294" s="47">
        <v>1</v>
      </c>
      <c r="D294" s="48" t="s">
        <v>1080</v>
      </c>
      <c r="E294" s="48" t="s">
        <v>1334</v>
      </c>
      <c r="F294" s="48" t="s">
        <v>1663</v>
      </c>
      <c r="G294" s="48" t="s">
        <v>190</v>
      </c>
      <c r="H294" s="48" t="s">
        <v>354</v>
      </c>
      <c r="I294" s="67" t="s">
        <v>1861</v>
      </c>
      <c r="J294" s="47">
        <v>99</v>
      </c>
      <c r="K294" s="49" t="s">
        <v>712</v>
      </c>
      <c r="L294" s="49" t="s">
        <v>713</v>
      </c>
      <c r="M294" s="50" t="s">
        <v>714</v>
      </c>
      <c r="N294" s="50" t="s">
        <v>1735</v>
      </c>
      <c r="O294" s="51"/>
      <c r="P294" s="51"/>
      <c r="Q294" s="48"/>
      <c r="S294" s="1">
        <f t="shared" si="139"/>
        <v>0</v>
      </c>
      <c r="T294" s="1">
        <f t="shared" si="140"/>
        <v>0</v>
      </c>
      <c r="U294" s="1">
        <f t="shared" si="141"/>
        <v>0</v>
      </c>
      <c r="V294" s="1">
        <f t="shared" si="142"/>
        <v>0</v>
      </c>
      <c r="W294" s="1">
        <f t="shared" si="143"/>
        <v>0</v>
      </c>
      <c r="X294" s="1">
        <f t="shared" si="144"/>
        <v>0</v>
      </c>
      <c r="Y294" s="1">
        <f t="shared" si="145"/>
        <v>0</v>
      </c>
      <c r="Z294" s="1">
        <f t="shared" si="146"/>
        <v>0</v>
      </c>
      <c r="AA294" s="1">
        <f t="shared" si="147"/>
        <v>0</v>
      </c>
      <c r="AB294" s="1">
        <f t="shared" si="148"/>
        <v>0</v>
      </c>
      <c r="AD294" s="1">
        <f t="shared" si="149"/>
        <v>0</v>
      </c>
      <c r="AE294" s="1">
        <f t="shared" si="150"/>
        <v>0</v>
      </c>
      <c r="AF294" s="1">
        <f t="shared" si="135"/>
        <v>0</v>
      </c>
      <c r="AG294" s="1">
        <f t="shared" si="136"/>
        <v>0</v>
      </c>
      <c r="AH294" s="1">
        <f t="shared" si="137"/>
        <v>0</v>
      </c>
      <c r="AI294" s="1">
        <f t="shared" si="138"/>
        <v>1</v>
      </c>
    </row>
    <row r="295" spans="1:35" ht="14.25" customHeight="1" x14ac:dyDescent="0.25">
      <c r="A295" s="15">
        <v>0</v>
      </c>
      <c r="B295" s="15">
        <v>2</v>
      </c>
      <c r="C295" s="15">
        <v>1</v>
      </c>
      <c r="D295" s="16" t="s">
        <v>651</v>
      </c>
      <c r="E295" s="16" t="s">
        <v>36</v>
      </c>
      <c r="F295" s="16" t="s">
        <v>667</v>
      </c>
      <c r="G295" s="16" t="s">
        <v>201</v>
      </c>
      <c r="H295" s="16" t="s">
        <v>354</v>
      </c>
      <c r="I295" s="15" t="s">
        <v>1005</v>
      </c>
      <c r="J295" s="15">
        <v>99</v>
      </c>
      <c r="K295" s="10" t="s">
        <v>703</v>
      </c>
      <c r="L295" s="10">
        <v>4</v>
      </c>
      <c r="M295" s="19" t="s">
        <v>714</v>
      </c>
      <c r="N295" s="17"/>
      <c r="Q295" s="16"/>
      <c r="S295" s="1">
        <f t="shared" si="139"/>
        <v>0</v>
      </c>
      <c r="T295" s="1">
        <f t="shared" si="140"/>
        <v>0</v>
      </c>
      <c r="U295" s="1">
        <f t="shared" si="141"/>
        <v>0</v>
      </c>
      <c r="V295" s="1">
        <f t="shared" si="142"/>
        <v>0</v>
      </c>
      <c r="W295" s="1">
        <f t="shared" si="143"/>
        <v>0</v>
      </c>
      <c r="X295" s="1">
        <f t="shared" si="144"/>
        <v>0</v>
      </c>
      <c r="Y295" s="1">
        <f t="shared" si="145"/>
        <v>0</v>
      </c>
      <c r="Z295" s="1">
        <f t="shared" si="146"/>
        <v>0</v>
      </c>
      <c r="AA295" s="1">
        <f t="shared" si="147"/>
        <v>0</v>
      </c>
      <c r="AB295" s="1">
        <f t="shared" si="148"/>
        <v>0</v>
      </c>
      <c r="AD295" s="1">
        <f t="shared" si="149"/>
        <v>0</v>
      </c>
      <c r="AE295" s="1">
        <f t="shared" si="150"/>
        <v>0</v>
      </c>
      <c r="AF295" s="1">
        <f t="shared" si="135"/>
        <v>0</v>
      </c>
      <c r="AG295" s="1">
        <f t="shared" si="136"/>
        <v>0</v>
      </c>
      <c r="AH295" s="1">
        <f t="shared" si="137"/>
        <v>0</v>
      </c>
      <c r="AI295" s="1">
        <f t="shared" si="138"/>
        <v>1</v>
      </c>
    </row>
    <row r="296" spans="1:35" ht="14.25" customHeight="1" x14ac:dyDescent="0.25">
      <c r="A296" s="47">
        <v>0</v>
      </c>
      <c r="B296" s="47">
        <v>2</v>
      </c>
      <c r="C296" s="47">
        <v>1</v>
      </c>
      <c r="D296" s="48" t="s">
        <v>1264</v>
      </c>
      <c r="E296" s="48" t="s">
        <v>1265</v>
      </c>
      <c r="F296" s="48" t="s">
        <v>1266</v>
      </c>
      <c r="G296" s="48" t="s">
        <v>1165</v>
      </c>
      <c r="H296" s="48" t="s">
        <v>354</v>
      </c>
      <c r="I296" s="47" t="s">
        <v>1267</v>
      </c>
      <c r="J296" s="47">
        <v>11</v>
      </c>
      <c r="K296" s="49" t="s">
        <v>703</v>
      </c>
      <c r="L296" s="49">
        <v>6</v>
      </c>
      <c r="M296" s="50" t="s">
        <v>1728</v>
      </c>
      <c r="N296" s="50" t="s">
        <v>1809</v>
      </c>
      <c r="O296" s="51"/>
      <c r="P296" s="51"/>
      <c r="Q296" s="48"/>
      <c r="S296" s="1">
        <f t="shared" si="139"/>
        <v>0</v>
      </c>
      <c r="T296" s="1">
        <f t="shared" si="140"/>
        <v>0</v>
      </c>
      <c r="U296" s="1">
        <f t="shared" si="141"/>
        <v>0</v>
      </c>
      <c r="V296" s="1">
        <f t="shared" si="142"/>
        <v>0</v>
      </c>
      <c r="W296" s="1">
        <f t="shared" si="143"/>
        <v>0</v>
      </c>
      <c r="X296" s="1">
        <f t="shared" si="144"/>
        <v>0</v>
      </c>
      <c r="Y296" s="1">
        <f t="shared" si="145"/>
        <v>0</v>
      </c>
      <c r="Z296" s="1">
        <f t="shared" si="146"/>
        <v>0</v>
      </c>
      <c r="AA296" s="1">
        <f t="shared" si="147"/>
        <v>0</v>
      </c>
      <c r="AB296" s="1">
        <f t="shared" si="148"/>
        <v>0</v>
      </c>
      <c r="AD296" s="1">
        <f t="shared" si="149"/>
        <v>0</v>
      </c>
      <c r="AE296" s="1">
        <f t="shared" si="150"/>
        <v>0</v>
      </c>
      <c r="AF296" s="1">
        <f t="shared" si="135"/>
        <v>0</v>
      </c>
      <c r="AG296" s="1">
        <f t="shared" si="136"/>
        <v>0</v>
      </c>
      <c r="AH296" s="1">
        <f t="shared" si="137"/>
        <v>0</v>
      </c>
      <c r="AI296" s="1">
        <f t="shared" si="138"/>
        <v>1</v>
      </c>
    </row>
    <row r="297" spans="1:35" ht="14.25" customHeight="1" x14ac:dyDescent="0.25">
      <c r="A297" s="34">
        <v>0</v>
      </c>
      <c r="B297" s="34">
        <v>2</v>
      </c>
      <c r="C297" s="34">
        <v>1</v>
      </c>
      <c r="D297" s="35" t="s">
        <v>1123</v>
      </c>
      <c r="E297" s="35" t="s">
        <v>1314</v>
      </c>
      <c r="F297" s="35" t="s">
        <v>1121</v>
      </c>
      <c r="G297" s="35" t="s">
        <v>230</v>
      </c>
      <c r="H297" s="35" t="s">
        <v>354</v>
      </c>
      <c r="I297" s="34" t="s">
        <v>1122</v>
      </c>
      <c r="J297" s="34">
        <v>7</v>
      </c>
      <c r="K297" s="36" t="s">
        <v>713</v>
      </c>
      <c r="L297" s="36" t="s">
        <v>1709</v>
      </c>
      <c r="M297" s="37" t="s">
        <v>714</v>
      </c>
      <c r="N297" s="37" t="s">
        <v>1756</v>
      </c>
      <c r="O297" s="38">
        <v>1</v>
      </c>
      <c r="P297" s="38"/>
      <c r="Q297" s="35"/>
      <c r="S297" s="1">
        <f t="shared" si="139"/>
        <v>0</v>
      </c>
      <c r="T297" s="1">
        <f t="shared" si="140"/>
        <v>0</v>
      </c>
      <c r="U297" s="1">
        <f t="shared" si="141"/>
        <v>0</v>
      </c>
      <c r="V297" s="1">
        <f t="shared" si="142"/>
        <v>0</v>
      </c>
      <c r="W297" s="1">
        <f t="shared" si="143"/>
        <v>0</v>
      </c>
      <c r="X297" s="1">
        <f t="shared" si="144"/>
        <v>0</v>
      </c>
      <c r="Y297" s="1">
        <f t="shared" si="145"/>
        <v>1</v>
      </c>
      <c r="Z297" s="1">
        <f t="shared" si="146"/>
        <v>0</v>
      </c>
      <c r="AA297" s="1">
        <f t="shared" si="147"/>
        <v>0</v>
      </c>
      <c r="AB297" s="1">
        <f t="shared" si="148"/>
        <v>0</v>
      </c>
      <c r="AD297" s="1">
        <f t="shared" si="149"/>
        <v>0</v>
      </c>
      <c r="AE297" s="1">
        <f t="shared" si="150"/>
        <v>1</v>
      </c>
      <c r="AF297" s="1">
        <f t="shared" si="135"/>
        <v>0</v>
      </c>
      <c r="AG297" s="1">
        <f t="shared" si="136"/>
        <v>1</v>
      </c>
      <c r="AH297" s="1">
        <f t="shared" si="137"/>
        <v>0</v>
      </c>
      <c r="AI297" s="1">
        <f t="shared" si="138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1008</v>
      </c>
      <c r="E298" s="35" t="s">
        <v>1336</v>
      </c>
      <c r="F298" s="35" t="s">
        <v>1009</v>
      </c>
      <c r="G298" s="35" t="s">
        <v>1100</v>
      </c>
      <c r="H298" s="35" t="s">
        <v>354</v>
      </c>
      <c r="I298" s="34" t="s">
        <v>408</v>
      </c>
      <c r="J298" s="34">
        <v>99</v>
      </c>
      <c r="K298" s="36" t="s">
        <v>713</v>
      </c>
      <c r="L298" s="36" t="s">
        <v>713</v>
      </c>
      <c r="M298" s="37" t="s">
        <v>714</v>
      </c>
      <c r="N298" s="37" t="s">
        <v>1743</v>
      </c>
      <c r="O298" s="38">
        <v>1</v>
      </c>
      <c r="P298" s="38"/>
      <c r="Q298" s="35"/>
      <c r="S298" s="1">
        <f t="shared" si="139"/>
        <v>0</v>
      </c>
      <c r="T298" s="1">
        <f t="shared" si="140"/>
        <v>0</v>
      </c>
      <c r="U298" s="1">
        <f t="shared" si="141"/>
        <v>0</v>
      </c>
      <c r="V298" s="1">
        <f t="shared" si="142"/>
        <v>0</v>
      </c>
      <c r="W298" s="1">
        <f t="shared" si="143"/>
        <v>0</v>
      </c>
      <c r="X298" s="1">
        <f t="shared" si="144"/>
        <v>0</v>
      </c>
      <c r="Y298" s="1">
        <f t="shared" si="145"/>
        <v>0</v>
      </c>
      <c r="Z298" s="1">
        <f t="shared" si="146"/>
        <v>0</v>
      </c>
      <c r="AA298" s="1">
        <f t="shared" si="147"/>
        <v>0</v>
      </c>
      <c r="AB298" s="1">
        <f t="shared" si="148"/>
        <v>0</v>
      </c>
      <c r="AD298" s="1">
        <f t="shared" si="149"/>
        <v>0</v>
      </c>
      <c r="AE298" s="1">
        <f t="shared" si="150"/>
        <v>1</v>
      </c>
      <c r="AF298" s="1">
        <f t="shared" si="135"/>
        <v>0</v>
      </c>
      <c r="AG298" s="1">
        <f t="shared" si="136"/>
        <v>1</v>
      </c>
      <c r="AH298" s="1">
        <f t="shared" si="137"/>
        <v>0</v>
      </c>
      <c r="AI298" s="1">
        <f t="shared" si="138"/>
        <v>1</v>
      </c>
    </row>
    <row r="299" spans="1:35" ht="14.25" customHeight="1" x14ac:dyDescent="0.25">
      <c r="A299" s="52">
        <v>0</v>
      </c>
      <c r="B299" s="52">
        <v>2</v>
      </c>
      <c r="C299" s="52">
        <v>1</v>
      </c>
      <c r="D299" s="53" t="s">
        <v>1130</v>
      </c>
      <c r="E299" s="53" t="s">
        <v>561</v>
      </c>
      <c r="F299" s="53" t="s">
        <v>1354</v>
      </c>
      <c r="G299" s="53" t="s">
        <v>265</v>
      </c>
      <c r="H299" s="53" t="s">
        <v>354</v>
      </c>
      <c r="I299" s="52" t="s">
        <v>1131</v>
      </c>
      <c r="J299" s="52">
        <v>8</v>
      </c>
      <c r="K299" s="54" t="s">
        <v>712</v>
      </c>
      <c r="L299" s="54" t="s">
        <v>1709</v>
      </c>
      <c r="M299" s="55" t="s">
        <v>714</v>
      </c>
      <c r="N299" s="55" t="s">
        <v>1748</v>
      </c>
      <c r="O299" s="56">
        <v>1</v>
      </c>
      <c r="P299" s="56"/>
      <c r="Q299" s="53"/>
      <c r="S299" s="1">
        <f t="shared" si="139"/>
        <v>0</v>
      </c>
      <c r="T299" s="1">
        <f t="shared" si="140"/>
        <v>0</v>
      </c>
      <c r="U299" s="1">
        <f t="shared" si="141"/>
        <v>0</v>
      </c>
      <c r="V299" s="1">
        <f t="shared" si="142"/>
        <v>0</v>
      </c>
      <c r="W299" s="1">
        <f t="shared" si="143"/>
        <v>0</v>
      </c>
      <c r="X299" s="1">
        <f t="shared" si="144"/>
        <v>0</v>
      </c>
      <c r="Y299" s="1">
        <f t="shared" si="145"/>
        <v>0</v>
      </c>
      <c r="Z299" s="1">
        <f t="shared" si="146"/>
        <v>1</v>
      </c>
      <c r="AA299" s="1">
        <f t="shared" si="147"/>
        <v>0</v>
      </c>
      <c r="AB299" s="1">
        <f t="shared" si="148"/>
        <v>0</v>
      </c>
      <c r="AD299" s="1">
        <f t="shared" si="149"/>
        <v>0</v>
      </c>
      <c r="AE299" s="1">
        <f t="shared" si="150"/>
        <v>1</v>
      </c>
      <c r="AF299" s="1">
        <f t="shared" si="135"/>
        <v>0</v>
      </c>
      <c r="AG299" s="1">
        <f t="shared" si="136"/>
        <v>1</v>
      </c>
      <c r="AH299" s="1">
        <f t="shared" si="137"/>
        <v>0</v>
      </c>
      <c r="AI299" s="1">
        <f t="shared" si="138"/>
        <v>1</v>
      </c>
    </row>
    <row r="300" spans="1:35" ht="14.25" customHeight="1" x14ac:dyDescent="0.25">
      <c r="A300" s="34">
        <v>0</v>
      </c>
      <c r="B300" s="34">
        <v>2</v>
      </c>
      <c r="C300" s="34">
        <v>1</v>
      </c>
      <c r="D300" s="35" t="s">
        <v>1286</v>
      </c>
      <c r="E300" s="35" t="s">
        <v>1334</v>
      </c>
      <c r="F300" s="35" t="s">
        <v>1283</v>
      </c>
      <c r="G300" s="35" t="s">
        <v>1284</v>
      </c>
      <c r="H300" s="35" t="s">
        <v>354</v>
      </c>
      <c r="I300" s="34" t="s">
        <v>1285</v>
      </c>
      <c r="J300" s="34">
        <v>1</v>
      </c>
      <c r="K300" s="36" t="s">
        <v>712</v>
      </c>
      <c r="L300" s="36" t="s">
        <v>713</v>
      </c>
      <c r="M300" s="37" t="s">
        <v>714</v>
      </c>
      <c r="N300" s="37" t="s">
        <v>1761</v>
      </c>
      <c r="O300" s="38">
        <v>1</v>
      </c>
      <c r="P300" s="38"/>
      <c r="Q300" s="35" t="s">
        <v>1902</v>
      </c>
      <c r="S300" s="1">
        <f t="shared" si="139"/>
        <v>1</v>
      </c>
      <c r="T300" s="1">
        <f t="shared" si="140"/>
        <v>0</v>
      </c>
      <c r="U300" s="1">
        <f t="shared" si="141"/>
        <v>0</v>
      </c>
      <c r="V300" s="1">
        <f t="shared" si="142"/>
        <v>0</v>
      </c>
      <c r="W300" s="1">
        <f t="shared" si="143"/>
        <v>0</v>
      </c>
      <c r="X300" s="1">
        <f t="shared" si="144"/>
        <v>0</v>
      </c>
      <c r="Y300" s="1">
        <f t="shared" si="145"/>
        <v>0</v>
      </c>
      <c r="Z300" s="1">
        <f t="shared" si="146"/>
        <v>0</v>
      </c>
      <c r="AA300" s="1">
        <f t="shared" si="147"/>
        <v>0</v>
      </c>
      <c r="AB300" s="1">
        <f t="shared" si="148"/>
        <v>0</v>
      </c>
      <c r="AD300" s="1">
        <f t="shared" si="149"/>
        <v>0</v>
      </c>
      <c r="AE300" s="1">
        <f t="shared" si="150"/>
        <v>1</v>
      </c>
      <c r="AF300" s="1">
        <f t="shared" si="135"/>
        <v>0</v>
      </c>
      <c r="AG300" s="1">
        <f t="shared" si="136"/>
        <v>1</v>
      </c>
      <c r="AH300" s="1">
        <f t="shared" si="137"/>
        <v>0</v>
      </c>
      <c r="AI300" s="1">
        <f t="shared" si="138"/>
        <v>1</v>
      </c>
    </row>
    <row r="301" spans="1:35" ht="14.25" customHeight="1" x14ac:dyDescent="0.25">
      <c r="A301" s="47">
        <v>0</v>
      </c>
      <c r="B301" s="47">
        <v>2</v>
      </c>
      <c r="C301" s="47">
        <v>1</v>
      </c>
      <c r="D301" s="48" t="s">
        <v>52</v>
      </c>
      <c r="E301" s="48" t="s">
        <v>32</v>
      </c>
      <c r="F301" s="48" t="s">
        <v>206</v>
      </c>
      <c r="G301" s="48" t="s">
        <v>207</v>
      </c>
      <c r="H301" s="48" t="s">
        <v>354</v>
      </c>
      <c r="I301" s="47" t="s">
        <v>391</v>
      </c>
      <c r="J301" s="47">
        <v>99</v>
      </c>
      <c r="K301" s="49" t="s">
        <v>712</v>
      </c>
      <c r="L301" s="49" t="s">
        <v>713</v>
      </c>
      <c r="M301" s="50" t="s">
        <v>714</v>
      </c>
      <c r="N301" s="50" t="s">
        <v>1747</v>
      </c>
      <c r="O301" s="51"/>
      <c r="P301" s="51"/>
      <c r="Q301" s="48"/>
      <c r="S301" s="1">
        <f t="shared" si="139"/>
        <v>0</v>
      </c>
      <c r="T301" s="1">
        <f t="shared" si="140"/>
        <v>0</v>
      </c>
      <c r="U301" s="1">
        <f t="shared" si="141"/>
        <v>0</v>
      </c>
      <c r="V301" s="1">
        <f t="shared" si="142"/>
        <v>0</v>
      </c>
      <c r="W301" s="1">
        <f t="shared" si="143"/>
        <v>0</v>
      </c>
      <c r="X301" s="1">
        <f t="shared" si="144"/>
        <v>0</v>
      </c>
      <c r="Y301" s="1">
        <f t="shared" si="145"/>
        <v>0</v>
      </c>
      <c r="Z301" s="1">
        <f t="shared" si="146"/>
        <v>0</v>
      </c>
      <c r="AA301" s="1">
        <f t="shared" si="147"/>
        <v>0</v>
      </c>
      <c r="AB301" s="1">
        <f t="shared" si="148"/>
        <v>0</v>
      </c>
      <c r="AD301" s="1">
        <f t="shared" si="149"/>
        <v>0</v>
      </c>
      <c r="AE301" s="1">
        <f t="shared" si="150"/>
        <v>0</v>
      </c>
      <c r="AF301" s="1">
        <f t="shared" si="135"/>
        <v>0</v>
      </c>
      <c r="AG301" s="1">
        <f t="shared" si="136"/>
        <v>0</v>
      </c>
      <c r="AH301" s="1">
        <f t="shared" si="137"/>
        <v>0</v>
      </c>
      <c r="AI301" s="1">
        <f t="shared" si="138"/>
        <v>1</v>
      </c>
    </row>
    <row r="302" spans="1:35" ht="14.25" customHeight="1" x14ac:dyDescent="0.25">
      <c r="A302" s="47">
        <v>0</v>
      </c>
      <c r="B302" s="47">
        <v>2</v>
      </c>
      <c r="C302" s="47">
        <v>1</v>
      </c>
      <c r="D302" s="48" t="s">
        <v>73</v>
      </c>
      <c r="E302" s="48" t="s">
        <v>561</v>
      </c>
      <c r="F302" s="48" t="s">
        <v>1050</v>
      </c>
      <c r="G302" s="48" t="s">
        <v>190</v>
      </c>
      <c r="H302" s="48" t="s">
        <v>354</v>
      </c>
      <c r="I302" s="47" t="s">
        <v>421</v>
      </c>
      <c r="J302" s="47">
        <v>99</v>
      </c>
      <c r="K302" s="49" t="s">
        <v>954</v>
      </c>
      <c r="L302" s="49" t="s">
        <v>713</v>
      </c>
      <c r="M302" s="50" t="s">
        <v>714</v>
      </c>
      <c r="N302" s="50" t="s">
        <v>1735</v>
      </c>
      <c r="O302" s="51"/>
      <c r="P302" s="51"/>
      <c r="Q302" s="48"/>
      <c r="S302" s="1">
        <f t="shared" si="139"/>
        <v>0</v>
      </c>
      <c r="T302" s="1">
        <f t="shared" si="140"/>
        <v>0</v>
      </c>
      <c r="U302" s="1">
        <f t="shared" si="141"/>
        <v>0</v>
      </c>
      <c r="V302" s="1">
        <f t="shared" si="142"/>
        <v>0</v>
      </c>
      <c r="W302" s="1">
        <f t="shared" si="143"/>
        <v>0</v>
      </c>
      <c r="X302" s="1">
        <f t="shared" si="144"/>
        <v>0</v>
      </c>
      <c r="Y302" s="1">
        <f t="shared" si="145"/>
        <v>0</v>
      </c>
      <c r="Z302" s="1">
        <f t="shared" si="146"/>
        <v>0</v>
      </c>
      <c r="AA302" s="1">
        <f t="shared" si="147"/>
        <v>0</v>
      </c>
      <c r="AB302" s="1">
        <f t="shared" si="148"/>
        <v>0</v>
      </c>
      <c r="AD302" s="1">
        <f t="shared" si="149"/>
        <v>0</v>
      </c>
      <c r="AE302" s="1">
        <f t="shared" si="150"/>
        <v>0</v>
      </c>
      <c r="AF302" s="1">
        <f t="shared" si="135"/>
        <v>0</v>
      </c>
      <c r="AG302" s="1">
        <f t="shared" si="136"/>
        <v>0</v>
      </c>
      <c r="AH302" s="1">
        <f t="shared" si="137"/>
        <v>0</v>
      </c>
      <c r="AI302" s="1">
        <f t="shared" si="138"/>
        <v>1</v>
      </c>
    </row>
    <row r="303" spans="1:35" ht="14.25" customHeight="1" x14ac:dyDescent="0.25">
      <c r="A303" s="34">
        <v>0</v>
      </c>
      <c r="B303" s="34">
        <v>2</v>
      </c>
      <c r="C303" s="34">
        <v>1</v>
      </c>
      <c r="D303" s="35" t="s">
        <v>47</v>
      </c>
      <c r="E303" s="35" t="s">
        <v>32</v>
      </c>
      <c r="F303" s="35" t="s">
        <v>187</v>
      </c>
      <c r="G303" s="35" t="s">
        <v>180</v>
      </c>
      <c r="H303" s="35" t="s">
        <v>354</v>
      </c>
      <c r="I303" s="34" t="s">
        <v>383</v>
      </c>
      <c r="J303" s="34">
        <v>10</v>
      </c>
      <c r="K303" s="36" t="s">
        <v>955</v>
      </c>
      <c r="L303" s="36" t="s">
        <v>713</v>
      </c>
      <c r="M303" s="37" t="s">
        <v>714</v>
      </c>
      <c r="N303" s="37" t="s">
        <v>1743</v>
      </c>
      <c r="O303" s="38">
        <v>1</v>
      </c>
      <c r="P303" s="38"/>
      <c r="Q303" s="35"/>
      <c r="S303" s="1">
        <f t="shared" si="139"/>
        <v>0</v>
      </c>
      <c r="T303" s="1">
        <f t="shared" si="140"/>
        <v>0</v>
      </c>
      <c r="U303" s="1">
        <f t="shared" si="141"/>
        <v>0</v>
      </c>
      <c r="V303" s="1">
        <f t="shared" si="142"/>
        <v>0</v>
      </c>
      <c r="W303" s="1">
        <f t="shared" si="143"/>
        <v>0</v>
      </c>
      <c r="X303" s="1">
        <f t="shared" si="144"/>
        <v>0</v>
      </c>
      <c r="Y303" s="1">
        <f t="shared" si="145"/>
        <v>0</v>
      </c>
      <c r="Z303" s="1">
        <f t="shared" si="146"/>
        <v>0</v>
      </c>
      <c r="AA303" s="1">
        <f t="shared" si="147"/>
        <v>0</v>
      </c>
      <c r="AB303" s="1">
        <f t="shared" si="148"/>
        <v>1</v>
      </c>
      <c r="AD303" s="1">
        <f t="shared" si="149"/>
        <v>0</v>
      </c>
      <c r="AE303" s="1">
        <f t="shared" si="150"/>
        <v>1</v>
      </c>
      <c r="AF303" s="1">
        <f t="shared" si="135"/>
        <v>0</v>
      </c>
      <c r="AG303" s="1">
        <f t="shared" si="136"/>
        <v>1</v>
      </c>
      <c r="AH303" s="1">
        <f t="shared" si="137"/>
        <v>0</v>
      </c>
      <c r="AI303" s="1">
        <f t="shared" si="138"/>
        <v>1</v>
      </c>
    </row>
    <row r="304" spans="1:35" ht="14.25" customHeight="1" x14ac:dyDescent="0.25">
      <c r="A304" s="47">
        <v>0</v>
      </c>
      <c r="B304" s="47">
        <v>2</v>
      </c>
      <c r="C304" s="47">
        <v>1</v>
      </c>
      <c r="D304" s="48" t="s">
        <v>652</v>
      </c>
      <c r="E304" s="48" t="s">
        <v>160</v>
      </c>
      <c r="F304" s="48" t="s">
        <v>188</v>
      </c>
      <c r="G304" s="48" t="s">
        <v>668</v>
      </c>
      <c r="H304" s="48" t="s">
        <v>354</v>
      </c>
      <c r="I304" s="47" t="s">
        <v>384</v>
      </c>
      <c r="J304" s="47">
        <v>99</v>
      </c>
      <c r="K304" s="49" t="s">
        <v>712</v>
      </c>
      <c r="L304" s="49" t="s">
        <v>713</v>
      </c>
      <c r="M304" s="50" t="s">
        <v>714</v>
      </c>
      <c r="N304" s="50" t="s">
        <v>1737</v>
      </c>
      <c r="O304" s="51"/>
      <c r="P304" s="51"/>
      <c r="Q304" s="48"/>
      <c r="S304" s="1">
        <f t="shared" si="139"/>
        <v>0</v>
      </c>
      <c r="T304" s="1">
        <f t="shared" si="140"/>
        <v>0</v>
      </c>
      <c r="U304" s="1">
        <f t="shared" si="141"/>
        <v>0</v>
      </c>
      <c r="V304" s="1">
        <f t="shared" si="142"/>
        <v>0</v>
      </c>
      <c r="W304" s="1">
        <f t="shared" si="143"/>
        <v>0</v>
      </c>
      <c r="X304" s="1">
        <f t="shared" si="144"/>
        <v>0</v>
      </c>
      <c r="Y304" s="1">
        <f t="shared" si="145"/>
        <v>0</v>
      </c>
      <c r="Z304" s="1">
        <f t="shared" si="146"/>
        <v>0</v>
      </c>
      <c r="AA304" s="1">
        <f t="shared" si="147"/>
        <v>0</v>
      </c>
      <c r="AB304" s="1">
        <f t="shared" si="148"/>
        <v>0</v>
      </c>
      <c r="AD304" s="1">
        <f t="shared" si="149"/>
        <v>0</v>
      </c>
      <c r="AE304" s="1">
        <f t="shared" si="150"/>
        <v>0</v>
      </c>
      <c r="AF304" s="1">
        <f t="shared" si="135"/>
        <v>0</v>
      </c>
      <c r="AG304" s="1">
        <f t="shared" si="136"/>
        <v>0</v>
      </c>
      <c r="AH304" s="1">
        <f t="shared" si="137"/>
        <v>0</v>
      </c>
      <c r="AI304" s="1">
        <f t="shared" si="138"/>
        <v>1</v>
      </c>
    </row>
    <row r="305" spans="1:35" ht="14.25" customHeight="1" x14ac:dyDescent="0.25">
      <c r="A305" s="41">
        <v>0</v>
      </c>
      <c r="B305" s="41">
        <v>2</v>
      </c>
      <c r="C305" s="41">
        <v>1</v>
      </c>
      <c r="D305" s="42" t="s">
        <v>1304</v>
      </c>
      <c r="E305" s="42" t="s">
        <v>36</v>
      </c>
      <c r="F305" s="42" t="s">
        <v>1305</v>
      </c>
      <c r="G305" s="42" t="s">
        <v>258</v>
      </c>
      <c r="H305" s="42" t="s">
        <v>354</v>
      </c>
      <c r="I305" s="41" t="s">
        <v>1306</v>
      </c>
      <c r="J305" s="41">
        <v>8</v>
      </c>
      <c r="K305" s="43" t="s">
        <v>959</v>
      </c>
      <c r="L305" s="43" t="s">
        <v>713</v>
      </c>
      <c r="M305" s="44" t="s">
        <v>714</v>
      </c>
      <c r="N305" s="45"/>
      <c r="O305" s="46"/>
      <c r="P305" s="46">
        <v>1</v>
      </c>
      <c r="Q305" s="42"/>
      <c r="S305" s="1">
        <f t="shared" si="139"/>
        <v>0</v>
      </c>
      <c r="T305" s="1">
        <f t="shared" si="140"/>
        <v>0</v>
      </c>
      <c r="U305" s="1">
        <f t="shared" si="141"/>
        <v>0</v>
      </c>
      <c r="V305" s="1">
        <f t="shared" si="142"/>
        <v>0</v>
      </c>
      <c r="W305" s="1">
        <f t="shared" si="143"/>
        <v>0</v>
      </c>
      <c r="X305" s="1">
        <f t="shared" si="144"/>
        <v>0</v>
      </c>
      <c r="Y305" s="1">
        <f t="shared" si="145"/>
        <v>0</v>
      </c>
      <c r="Z305" s="1">
        <f t="shared" si="146"/>
        <v>1</v>
      </c>
      <c r="AA305" s="1">
        <f t="shared" si="147"/>
        <v>0</v>
      </c>
      <c r="AB305" s="1">
        <f t="shared" si="148"/>
        <v>0</v>
      </c>
      <c r="AD305" s="1">
        <f t="shared" si="149"/>
        <v>0</v>
      </c>
      <c r="AE305" s="1">
        <f t="shared" si="150"/>
        <v>0</v>
      </c>
      <c r="AF305" s="1">
        <f t="shared" si="135"/>
        <v>0</v>
      </c>
      <c r="AG305" s="1">
        <f t="shared" si="136"/>
        <v>0</v>
      </c>
      <c r="AH305" s="1">
        <f t="shared" si="137"/>
        <v>1</v>
      </c>
      <c r="AI305" s="1">
        <f t="shared" si="138"/>
        <v>0</v>
      </c>
    </row>
    <row r="306" spans="1:35" ht="14.25" customHeight="1" x14ac:dyDescent="0.25">
      <c r="A306" s="34">
        <v>0</v>
      </c>
      <c r="B306" s="34">
        <v>2</v>
      </c>
      <c r="C306" s="34">
        <v>1</v>
      </c>
      <c r="D306" s="35" t="s">
        <v>54</v>
      </c>
      <c r="E306" s="35" t="s">
        <v>561</v>
      </c>
      <c r="F306" s="35" t="s">
        <v>212</v>
      </c>
      <c r="G306" s="35" t="s">
        <v>213</v>
      </c>
      <c r="H306" s="35" t="s">
        <v>354</v>
      </c>
      <c r="I306" s="34" t="s">
        <v>393</v>
      </c>
      <c r="J306" s="34">
        <v>1</v>
      </c>
      <c r="K306" s="36" t="s">
        <v>955</v>
      </c>
      <c r="L306" s="36" t="s">
        <v>713</v>
      </c>
      <c r="M306" s="37" t="s">
        <v>39</v>
      </c>
      <c r="N306" s="37" t="s">
        <v>1743</v>
      </c>
      <c r="O306" s="38">
        <v>1</v>
      </c>
      <c r="P306" s="38"/>
      <c r="Q306" s="35"/>
      <c r="S306" s="1">
        <f t="shared" si="139"/>
        <v>1</v>
      </c>
      <c r="T306" s="1">
        <f t="shared" si="140"/>
        <v>0</v>
      </c>
      <c r="U306" s="1">
        <f t="shared" si="141"/>
        <v>0</v>
      </c>
      <c r="V306" s="1">
        <f t="shared" si="142"/>
        <v>0</v>
      </c>
      <c r="W306" s="1">
        <f t="shared" si="143"/>
        <v>0</v>
      </c>
      <c r="X306" s="1">
        <f t="shared" si="144"/>
        <v>0</v>
      </c>
      <c r="Y306" s="1">
        <f t="shared" si="145"/>
        <v>0</v>
      </c>
      <c r="Z306" s="1">
        <f t="shared" si="146"/>
        <v>0</v>
      </c>
      <c r="AA306" s="1">
        <f t="shared" si="147"/>
        <v>0</v>
      </c>
      <c r="AB306" s="1">
        <f t="shared" si="148"/>
        <v>0</v>
      </c>
      <c r="AD306" s="1">
        <f t="shared" si="149"/>
        <v>0</v>
      </c>
      <c r="AE306" s="1">
        <f t="shared" si="150"/>
        <v>1</v>
      </c>
      <c r="AF306" s="1">
        <f t="shared" si="135"/>
        <v>0</v>
      </c>
      <c r="AG306" s="1">
        <f t="shared" si="136"/>
        <v>1</v>
      </c>
      <c r="AH306" s="1">
        <f t="shared" si="137"/>
        <v>0</v>
      </c>
      <c r="AI306" s="1">
        <f t="shared" si="138"/>
        <v>1</v>
      </c>
    </row>
    <row r="307" spans="1:35" ht="14.25" customHeight="1" x14ac:dyDescent="0.25">
      <c r="A307" s="47">
        <v>0</v>
      </c>
      <c r="B307" s="47">
        <v>2</v>
      </c>
      <c r="C307" s="47">
        <v>1</v>
      </c>
      <c r="D307" s="48" t="s">
        <v>61</v>
      </c>
      <c r="E307" s="48" t="s">
        <v>543</v>
      </c>
      <c r="F307" s="48" t="s">
        <v>233</v>
      </c>
      <c r="G307" s="48" t="s">
        <v>204</v>
      </c>
      <c r="H307" s="48" t="s">
        <v>354</v>
      </c>
      <c r="I307" s="47" t="s">
        <v>401</v>
      </c>
      <c r="J307" s="47">
        <v>7</v>
      </c>
      <c r="K307" s="49" t="s">
        <v>712</v>
      </c>
      <c r="L307" s="49" t="s">
        <v>713</v>
      </c>
      <c r="M307" s="50" t="s">
        <v>714</v>
      </c>
      <c r="N307" s="50" t="s">
        <v>1738</v>
      </c>
      <c r="O307" s="51"/>
      <c r="P307" s="51"/>
      <c r="Q307" s="48"/>
      <c r="S307" s="1">
        <f t="shared" si="139"/>
        <v>0</v>
      </c>
      <c r="T307" s="1">
        <f t="shared" si="140"/>
        <v>0</v>
      </c>
      <c r="U307" s="1">
        <f t="shared" si="141"/>
        <v>0</v>
      </c>
      <c r="V307" s="1">
        <f t="shared" si="142"/>
        <v>0</v>
      </c>
      <c r="W307" s="1">
        <f t="shared" si="143"/>
        <v>0</v>
      </c>
      <c r="X307" s="1">
        <f t="shared" si="144"/>
        <v>0</v>
      </c>
      <c r="Y307" s="1">
        <f t="shared" si="145"/>
        <v>1</v>
      </c>
      <c r="Z307" s="1">
        <f t="shared" si="146"/>
        <v>0</v>
      </c>
      <c r="AA307" s="1">
        <f t="shared" si="147"/>
        <v>0</v>
      </c>
      <c r="AB307" s="1">
        <f t="shared" si="148"/>
        <v>0</v>
      </c>
      <c r="AD307" s="1">
        <f t="shared" si="149"/>
        <v>0</v>
      </c>
      <c r="AE307" s="1">
        <f t="shared" si="150"/>
        <v>0</v>
      </c>
      <c r="AF307" s="1">
        <f t="shared" si="135"/>
        <v>0</v>
      </c>
      <c r="AG307" s="1">
        <f t="shared" si="136"/>
        <v>0</v>
      </c>
      <c r="AH307" s="1">
        <f t="shared" si="137"/>
        <v>0</v>
      </c>
      <c r="AI307" s="1">
        <f t="shared" si="138"/>
        <v>1</v>
      </c>
    </row>
    <row r="308" spans="1:35" ht="14.25" customHeight="1" x14ac:dyDescent="0.25">
      <c r="A308" s="52">
        <v>0</v>
      </c>
      <c r="B308" s="52">
        <v>2</v>
      </c>
      <c r="C308" s="52">
        <v>1</v>
      </c>
      <c r="D308" s="53" t="s">
        <v>1647</v>
      </c>
      <c r="E308" s="53" t="s">
        <v>561</v>
      </c>
      <c r="F308" s="53" t="s">
        <v>1358</v>
      </c>
      <c r="G308" s="53" t="s">
        <v>1284</v>
      </c>
      <c r="H308" s="53" t="s">
        <v>354</v>
      </c>
      <c r="I308" s="52" t="s">
        <v>1167</v>
      </c>
      <c r="J308" s="52">
        <v>99</v>
      </c>
      <c r="K308" s="54" t="s">
        <v>712</v>
      </c>
      <c r="L308" s="54" t="s">
        <v>713</v>
      </c>
      <c r="M308" s="55" t="s">
        <v>714</v>
      </c>
      <c r="N308" s="55" t="s">
        <v>1748</v>
      </c>
      <c r="O308" s="56">
        <v>1</v>
      </c>
      <c r="P308" s="56"/>
      <c r="Q308" s="58" t="s">
        <v>1901</v>
      </c>
      <c r="S308" s="1">
        <f t="shared" si="139"/>
        <v>0</v>
      </c>
      <c r="T308" s="1">
        <f t="shared" si="140"/>
        <v>0</v>
      </c>
      <c r="U308" s="1">
        <f t="shared" si="141"/>
        <v>0</v>
      </c>
      <c r="V308" s="1">
        <f t="shared" si="142"/>
        <v>0</v>
      </c>
      <c r="W308" s="1">
        <f t="shared" si="143"/>
        <v>0</v>
      </c>
      <c r="X308" s="1">
        <f t="shared" si="144"/>
        <v>0</v>
      </c>
      <c r="Y308" s="1">
        <f t="shared" si="145"/>
        <v>0</v>
      </c>
      <c r="Z308" s="1">
        <f t="shared" si="146"/>
        <v>0</v>
      </c>
      <c r="AA308" s="1">
        <f t="shared" si="147"/>
        <v>0</v>
      </c>
      <c r="AB308" s="1">
        <f t="shared" si="148"/>
        <v>0</v>
      </c>
      <c r="AD308" s="1">
        <f t="shared" si="149"/>
        <v>0</v>
      </c>
      <c r="AE308" s="1">
        <f t="shared" si="150"/>
        <v>1</v>
      </c>
      <c r="AF308" s="1">
        <f t="shared" si="135"/>
        <v>0</v>
      </c>
      <c r="AG308" s="1">
        <f t="shared" si="136"/>
        <v>1</v>
      </c>
      <c r="AH308" s="1">
        <f t="shared" si="137"/>
        <v>0</v>
      </c>
      <c r="AI308" s="1">
        <f t="shared" si="138"/>
        <v>1</v>
      </c>
    </row>
    <row r="309" spans="1:35" ht="14.25" customHeight="1" x14ac:dyDescent="0.25">
      <c r="A309" s="52">
        <v>0</v>
      </c>
      <c r="B309" s="52">
        <v>2</v>
      </c>
      <c r="C309" s="52">
        <v>1</v>
      </c>
      <c r="D309" s="53" t="s">
        <v>1782</v>
      </c>
      <c r="E309" s="53" t="s">
        <v>1783</v>
      </c>
      <c r="F309" s="53" t="s">
        <v>1784</v>
      </c>
      <c r="G309" s="53" t="s">
        <v>1785</v>
      </c>
      <c r="H309" s="53" t="s">
        <v>354</v>
      </c>
      <c r="I309" s="52"/>
      <c r="J309" s="52">
        <v>1</v>
      </c>
      <c r="K309" s="54" t="s">
        <v>703</v>
      </c>
      <c r="L309" s="54"/>
      <c r="M309" s="55"/>
      <c r="N309" s="55" t="s">
        <v>1743</v>
      </c>
      <c r="O309" s="56">
        <v>1</v>
      </c>
      <c r="P309" s="56"/>
      <c r="Q309" s="58" t="s">
        <v>1909</v>
      </c>
      <c r="S309" s="1">
        <f t="shared" si="139"/>
        <v>1</v>
      </c>
      <c r="T309" s="1">
        <f t="shared" si="140"/>
        <v>0</v>
      </c>
      <c r="U309" s="1">
        <f t="shared" si="141"/>
        <v>0</v>
      </c>
      <c r="V309" s="1">
        <f t="shared" si="142"/>
        <v>0</v>
      </c>
      <c r="W309" s="1">
        <f t="shared" si="143"/>
        <v>0</v>
      </c>
      <c r="X309" s="1">
        <f t="shared" si="144"/>
        <v>0</v>
      </c>
      <c r="Y309" s="1">
        <f t="shared" si="145"/>
        <v>0</v>
      </c>
      <c r="Z309" s="1">
        <f t="shared" si="146"/>
        <v>0</v>
      </c>
      <c r="AA309" s="1">
        <f t="shared" si="147"/>
        <v>0</v>
      </c>
      <c r="AB309" s="1">
        <f t="shared" si="148"/>
        <v>0</v>
      </c>
      <c r="AD309" s="1">
        <f t="shared" si="149"/>
        <v>0</v>
      </c>
      <c r="AE309" s="1">
        <f t="shared" si="150"/>
        <v>1</v>
      </c>
      <c r="AF309" s="1">
        <f t="shared" si="135"/>
        <v>0</v>
      </c>
      <c r="AG309" s="1">
        <f t="shared" si="136"/>
        <v>1</v>
      </c>
      <c r="AH309" s="1">
        <f t="shared" si="137"/>
        <v>0</v>
      </c>
      <c r="AI309" s="1">
        <f t="shared" si="138"/>
        <v>1</v>
      </c>
    </row>
    <row r="310" spans="1:35" ht="14.25" customHeight="1" x14ac:dyDescent="0.25">
      <c r="A310" s="34">
        <v>0</v>
      </c>
      <c r="B310" s="34">
        <v>2</v>
      </c>
      <c r="C310" s="34">
        <v>1</v>
      </c>
      <c r="D310" s="35" t="s">
        <v>1318</v>
      </c>
      <c r="E310" s="35" t="s">
        <v>1338</v>
      </c>
      <c r="F310" s="35" t="s">
        <v>1301</v>
      </c>
      <c r="G310" s="35" t="s">
        <v>1302</v>
      </c>
      <c r="H310" s="35" t="s">
        <v>354</v>
      </c>
      <c r="I310" s="34" t="s">
        <v>1303</v>
      </c>
      <c r="J310" s="34">
        <v>99</v>
      </c>
      <c r="K310" s="36" t="s">
        <v>955</v>
      </c>
      <c r="L310" s="36" t="s">
        <v>713</v>
      </c>
      <c r="M310" s="37" t="s">
        <v>714</v>
      </c>
      <c r="N310" s="37" t="s">
        <v>1919</v>
      </c>
      <c r="O310" s="38">
        <v>1</v>
      </c>
      <c r="P310" s="38"/>
      <c r="Q310" s="35"/>
      <c r="S310" s="1">
        <f t="shared" si="139"/>
        <v>0</v>
      </c>
      <c r="T310" s="1">
        <f t="shared" si="140"/>
        <v>0</v>
      </c>
      <c r="U310" s="1">
        <f t="shared" si="141"/>
        <v>0</v>
      </c>
      <c r="V310" s="1">
        <f t="shared" si="142"/>
        <v>0</v>
      </c>
      <c r="W310" s="1">
        <f t="shared" si="143"/>
        <v>0</v>
      </c>
      <c r="X310" s="1">
        <f t="shared" si="144"/>
        <v>0</v>
      </c>
      <c r="Y310" s="1">
        <f t="shared" si="145"/>
        <v>0</v>
      </c>
      <c r="Z310" s="1">
        <f t="shared" si="146"/>
        <v>0</v>
      </c>
      <c r="AA310" s="1">
        <f t="shared" si="147"/>
        <v>0</v>
      </c>
      <c r="AB310" s="1">
        <f t="shared" si="148"/>
        <v>0</v>
      </c>
      <c r="AD310" s="1">
        <f t="shared" si="149"/>
        <v>0</v>
      </c>
      <c r="AE310" s="1">
        <f t="shared" si="150"/>
        <v>1</v>
      </c>
      <c r="AF310" s="1">
        <f t="shared" si="135"/>
        <v>0</v>
      </c>
      <c r="AG310" s="1">
        <f t="shared" si="136"/>
        <v>1</v>
      </c>
      <c r="AH310" s="1">
        <f t="shared" si="137"/>
        <v>0</v>
      </c>
      <c r="AI310" s="1">
        <f t="shared" si="138"/>
        <v>1</v>
      </c>
    </row>
    <row r="311" spans="1:35" ht="14.25" customHeight="1" x14ac:dyDescent="0.25">
      <c r="A311" s="47">
        <v>0</v>
      </c>
      <c r="B311" s="47">
        <v>2</v>
      </c>
      <c r="C311" s="47">
        <v>1</v>
      </c>
      <c r="D311" s="48" t="s">
        <v>1313</v>
      </c>
      <c r="E311" s="48" t="s">
        <v>160</v>
      </c>
      <c r="F311" s="48" t="s">
        <v>1315</v>
      </c>
      <c r="G311" s="48" t="s">
        <v>1316</v>
      </c>
      <c r="H311" s="48" t="s">
        <v>354</v>
      </c>
      <c r="I311" s="47" t="s">
        <v>1317</v>
      </c>
      <c r="J311" s="47">
        <v>8</v>
      </c>
      <c r="K311" s="49" t="s">
        <v>713</v>
      </c>
      <c r="L311" s="49" t="s">
        <v>713</v>
      </c>
      <c r="M311" s="50" t="s">
        <v>714</v>
      </c>
      <c r="N311" s="50" t="s">
        <v>1747</v>
      </c>
      <c r="O311" s="51"/>
      <c r="P311" s="51"/>
      <c r="Q311" s="48"/>
      <c r="S311" s="1">
        <f t="shared" si="139"/>
        <v>0</v>
      </c>
      <c r="T311" s="1">
        <f t="shared" si="140"/>
        <v>0</v>
      </c>
      <c r="U311" s="1">
        <f t="shared" si="141"/>
        <v>0</v>
      </c>
      <c r="V311" s="1">
        <f t="shared" si="142"/>
        <v>0</v>
      </c>
      <c r="W311" s="1">
        <f t="shared" si="143"/>
        <v>0</v>
      </c>
      <c r="X311" s="1">
        <f t="shared" si="144"/>
        <v>0</v>
      </c>
      <c r="Y311" s="1">
        <f t="shared" si="145"/>
        <v>0</v>
      </c>
      <c r="Z311" s="1">
        <f t="shared" si="146"/>
        <v>1</v>
      </c>
      <c r="AA311" s="1">
        <f t="shared" si="147"/>
        <v>0</v>
      </c>
      <c r="AB311" s="1">
        <f t="shared" si="148"/>
        <v>0</v>
      </c>
      <c r="AD311" s="1">
        <f t="shared" si="149"/>
        <v>0</v>
      </c>
      <c r="AE311" s="1">
        <f t="shared" si="150"/>
        <v>0</v>
      </c>
      <c r="AF311" s="1">
        <f t="shared" si="135"/>
        <v>0</v>
      </c>
      <c r="AG311" s="1">
        <f t="shared" si="136"/>
        <v>0</v>
      </c>
      <c r="AH311" s="1">
        <f t="shared" si="137"/>
        <v>0</v>
      </c>
      <c r="AI311" s="1">
        <f t="shared" si="138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1646</v>
      </c>
      <c r="E312" s="48" t="s">
        <v>1168</v>
      </c>
      <c r="F312" s="48" t="s">
        <v>1680</v>
      </c>
      <c r="G312" s="48" t="s">
        <v>190</v>
      </c>
      <c r="H312" s="48" t="s">
        <v>354</v>
      </c>
      <c r="I312" s="47" t="s">
        <v>1607</v>
      </c>
      <c r="J312" s="47">
        <v>99</v>
      </c>
      <c r="K312" s="49" t="s">
        <v>713</v>
      </c>
      <c r="L312" s="49" t="s">
        <v>696</v>
      </c>
      <c r="M312" s="50" t="s">
        <v>1608</v>
      </c>
      <c r="N312" s="50" t="s">
        <v>1738</v>
      </c>
      <c r="O312" s="51"/>
      <c r="P312" s="51"/>
      <c r="Q312" s="48"/>
      <c r="S312" s="1">
        <f t="shared" si="139"/>
        <v>0</v>
      </c>
      <c r="T312" s="1">
        <f t="shared" si="140"/>
        <v>0</v>
      </c>
      <c r="U312" s="1">
        <f t="shared" si="141"/>
        <v>0</v>
      </c>
      <c r="V312" s="1">
        <f t="shared" si="142"/>
        <v>0</v>
      </c>
      <c r="W312" s="1">
        <f t="shared" si="143"/>
        <v>0</v>
      </c>
      <c r="X312" s="1">
        <f t="shared" si="144"/>
        <v>0</v>
      </c>
      <c r="Y312" s="1">
        <f t="shared" si="145"/>
        <v>0</v>
      </c>
      <c r="Z312" s="1">
        <f t="shared" si="146"/>
        <v>0</v>
      </c>
      <c r="AA312" s="1">
        <f t="shared" si="147"/>
        <v>0</v>
      </c>
      <c r="AB312" s="1">
        <f t="shared" si="148"/>
        <v>0</v>
      </c>
      <c r="AD312" s="1">
        <f t="shared" si="149"/>
        <v>0</v>
      </c>
      <c r="AE312" s="1">
        <f t="shared" si="150"/>
        <v>0</v>
      </c>
      <c r="AF312" s="1">
        <f t="shared" si="135"/>
        <v>0</v>
      </c>
      <c r="AG312" s="1">
        <f t="shared" si="136"/>
        <v>0</v>
      </c>
      <c r="AH312" s="1">
        <f t="shared" si="137"/>
        <v>0</v>
      </c>
      <c r="AI312" s="1">
        <f t="shared" si="138"/>
        <v>1</v>
      </c>
    </row>
    <row r="313" spans="1:35" ht="14.25" customHeight="1" x14ac:dyDescent="0.25">
      <c r="A313" s="52">
        <v>0</v>
      </c>
      <c r="B313" s="52">
        <v>2</v>
      </c>
      <c r="C313" s="52">
        <v>2</v>
      </c>
      <c r="D313" s="53" t="s">
        <v>65</v>
      </c>
      <c r="E313" s="53" t="s">
        <v>164</v>
      </c>
      <c r="F313" s="53" t="s">
        <v>243</v>
      </c>
      <c r="G313" s="53" t="s">
        <v>200</v>
      </c>
      <c r="H313" s="53" t="s">
        <v>354</v>
      </c>
      <c r="I313" s="52" t="s">
        <v>407</v>
      </c>
      <c r="J313" s="52">
        <v>2</v>
      </c>
      <c r="K313" s="54" t="s">
        <v>955</v>
      </c>
      <c r="L313" s="54" t="s">
        <v>696</v>
      </c>
      <c r="M313" s="55" t="s">
        <v>715</v>
      </c>
      <c r="N313" s="55" t="s">
        <v>1743</v>
      </c>
      <c r="O313" s="56">
        <v>1</v>
      </c>
      <c r="P313" s="56"/>
      <c r="Q313" s="53"/>
      <c r="S313" s="1">
        <f t="shared" si="139"/>
        <v>0</v>
      </c>
      <c r="T313" s="1">
        <f t="shared" si="140"/>
        <v>1</v>
      </c>
      <c r="U313" s="1">
        <f t="shared" si="141"/>
        <v>0</v>
      </c>
      <c r="V313" s="1">
        <f t="shared" si="142"/>
        <v>0</v>
      </c>
      <c r="W313" s="1">
        <f t="shared" si="143"/>
        <v>0</v>
      </c>
      <c r="X313" s="1">
        <f t="shared" si="144"/>
        <v>0</v>
      </c>
      <c r="Y313" s="1">
        <f t="shared" si="145"/>
        <v>0</v>
      </c>
      <c r="Z313" s="1">
        <f t="shared" si="146"/>
        <v>0</v>
      </c>
      <c r="AA313" s="1">
        <f t="shared" si="147"/>
        <v>0</v>
      </c>
      <c r="AB313" s="1">
        <f t="shared" si="148"/>
        <v>0</v>
      </c>
      <c r="AD313" s="1">
        <f t="shared" si="149"/>
        <v>0</v>
      </c>
      <c r="AE313" s="1">
        <f t="shared" si="150"/>
        <v>1</v>
      </c>
      <c r="AF313" s="1">
        <f t="shared" si="135"/>
        <v>0</v>
      </c>
      <c r="AG313" s="1">
        <f t="shared" si="136"/>
        <v>1</v>
      </c>
      <c r="AH313" s="1">
        <f t="shared" si="137"/>
        <v>0</v>
      </c>
      <c r="AI313" s="1">
        <f t="shared" si="138"/>
        <v>1</v>
      </c>
    </row>
    <row r="314" spans="1:35" ht="14.25" customHeight="1" x14ac:dyDescent="0.25">
      <c r="A314" s="47">
        <v>0</v>
      </c>
      <c r="B314" s="47">
        <v>2</v>
      </c>
      <c r="C314" s="47">
        <v>2</v>
      </c>
      <c r="D314" s="48" t="s">
        <v>1182</v>
      </c>
      <c r="E314" s="48" t="s">
        <v>1183</v>
      </c>
      <c r="F314" s="48" t="s">
        <v>1348</v>
      </c>
      <c r="G314" s="48" t="s">
        <v>1056</v>
      </c>
      <c r="H314" s="48" t="s">
        <v>354</v>
      </c>
      <c r="I314" s="47" t="s">
        <v>1184</v>
      </c>
      <c r="J314" s="47">
        <v>1</v>
      </c>
      <c r="K314" s="49" t="s">
        <v>712</v>
      </c>
      <c r="L314" s="49" t="s">
        <v>704</v>
      </c>
      <c r="M314" s="50" t="s">
        <v>1412</v>
      </c>
      <c r="N314" s="50" t="s">
        <v>1735</v>
      </c>
      <c r="O314" s="51"/>
      <c r="P314" s="51"/>
      <c r="Q314" s="48"/>
      <c r="S314" s="1">
        <f t="shared" si="139"/>
        <v>1</v>
      </c>
      <c r="T314" s="1">
        <f t="shared" si="140"/>
        <v>0</v>
      </c>
      <c r="U314" s="1">
        <f t="shared" si="141"/>
        <v>0</v>
      </c>
      <c r="V314" s="1">
        <f t="shared" si="142"/>
        <v>0</v>
      </c>
      <c r="W314" s="1">
        <f t="shared" si="143"/>
        <v>0</v>
      </c>
      <c r="X314" s="1">
        <f t="shared" si="144"/>
        <v>0</v>
      </c>
      <c r="Y314" s="1">
        <f t="shared" si="145"/>
        <v>0</v>
      </c>
      <c r="Z314" s="1">
        <f t="shared" si="146"/>
        <v>0</v>
      </c>
      <c r="AA314" s="1">
        <f t="shared" si="147"/>
        <v>0</v>
      </c>
      <c r="AB314" s="1">
        <f t="shared" si="148"/>
        <v>0</v>
      </c>
      <c r="AD314" s="1">
        <f t="shared" si="149"/>
        <v>0</v>
      </c>
      <c r="AE314" s="1">
        <f t="shared" si="150"/>
        <v>0</v>
      </c>
      <c r="AF314" s="1">
        <f t="shared" si="135"/>
        <v>0</v>
      </c>
      <c r="AG314" s="1">
        <f t="shared" si="136"/>
        <v>0</v>
      </c>
      <c r="AH314" s="1">
        <f t="shared" si="137"/>
        <v>0</v>
      </c>
      <c r="AI314" s="1">
        <f t="shared" si="138"/>
        <v>1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1828</v>
      </c>
      <c r="E315" s="35" t="s">
        <v>1829</v>
      </c>
      <c r="F315" s="35" t="s">
        <v>1830</v>
      </c>
      <c r="G315" s="35" t="s">
        <v>196</v>
      </c>
      <c r="H315" s="35" t="s">
        <v>354</v>
      </c>
      <c r="I315" s="34" t="s">
        <v>1831</v>
      </c>
      <c r="J315" s="34"/>
      <c r="K315" s="36" t="s">
        <v>703</v>
      </c>
      <c r="L315" s="36">
        <v>20</v>
      </c>
      <c r="M315" s="37" t="s">
        <v>1832</v>
      </c>
      <c r="N315" s="37" t="s">
        <v>1748</v>
      </c>
      <c r="O315" s="38">
        <v>1</v>
      </c>
      <c r="P315" s="38"/>
      <c r="Q315" s="35"/>
      <c r="S315" s="1">
        <f t="shared" si="139"/>
        <v>0</v>
      </c>
      <c r="T315" s="1">
        <f t="shared" si="140"/>
        <v>0</v>
      </c>
      <c r="U315" s="1">
        <f t="shared" si="141"/>
        <v>0</v>
      </c>
      <c r="V315" s="1">
        <f t="shared" si="142"/>
        <v>0</v>
      </c>
      <c r="W315" s="1">
        <f t="shared" si="143"/>
        <v>0</v>
      </c>
      <c r="X315" s="1">
        <f t="shared" si="144"/>
        <v>0</v>
      </c>
      <c r="Y315" s="1">
        <f t="shared" si="145"/>
        <v>0</v>
      </c>
      <c r="Z315" s="1">
        <f t="shared" si="146"/>
        <v>0</v>
      </c>
      <c r="AA315" s="1">
        <f t="shared" si="147"/>
        <v>0</v>
      </c>
      <c r="AB315" s="1">
        <f t="shared" si="148"/>
        <v>0</v>
      </c>
      <c r="AD315" s="1">
        <f t="shared" si="149"/>
        <v>0</v>
      </c>
      <c r="AE315" s="1">
        <f t="shared" si="150"/>
        <v>1</v>
      </c>
      <c r="AF315" s="1">
        <f t="shared" si="135"/>
        <v>0</v>
      </c>
      <c r="AG315" s="1">
        <f t="shared" si="136"/>
        <v>1</v>
      </c>
      <c r="AH315" s="1">
        <f t="shared" si="137"/>
        <v>0</v>
      </c>
      <c r="AI315" s="1">
        <f t="shared" si="138"/>
        <v>1</v>
      </c>
    </row>
    <row r="316" spans="1:35" ht="14.25" customHeight="1" x14ac:dyDescent="0.25">
      <c r="A316" s="15">
        <v>0</v>
      </c>
      <c r="B316" s="15">
        <v>2</v>
      </c>
      <c r="C316" s="15">
        <v>2</v>
      </c>
      <c r="D316" s="16" t="s">
        <v>1576</v>
      </c>
      <c r="E316" s="16" t="s">
        <v>1577</v>
      </c>
      <c r="F316" s="16" t="s">
        <v>1579</v>
      </c>
      <c r="G316" s="16" t="s">
        <v>1580</v>
      </c>
      <c r="H316" s="16" t="s">
        <v>354</v>
      </c>
      <c r="I316" s="15" t="s">
        <v>1578</v>
      </c>
      <c r="J316" s="15">
        <v>99</v>
      </c>
      <c r="K316" s="10" t="s">
        <v>703</v>
      </c>
      <c r="L316" s="10">
        <v>18</v>
      </c>
      <c r="M316" s="19" t="s">
        <v>1581</v>
      </c>
      <c r="N316" s="17"/>
      <c r="Q316" s="16"/>
      <c r="S316" s="1">
        <f t="shared" si="139"/>
        <v>0</v>
      </c>
      <c r="T316" s="1">
        <f t="shared" si="140"/>
        <v>0</v>
      </c>
      <c r="U316" s="1">
        <f t="shared" si="141"/>
        <v>0</v>
      </c>
      <c r="V316" s="1">
        <f t="shared" si="142"/>
        <v>0</v>
      </c>
      <c r="W316" s="1">
        <f t="shared" si="143"/>
        <v>0</v>
      </c>
      <c r="X316" s="1">
        <f t="shared" si="144"/>
        <v>0</v>
      </c>
      <c r="Y316" s="1">
        <f t="shared" si="145"/>
        <v>0</v>
      </c>
      <c r="Z316" s="1">
        <f t="shared" si="146"/>
        <v>0</v>
      </c>
      <c r="AA316" s="1">
        <f t="shared" si="147"/>
        <v>0</v>
      </c>
      <c r="AB316" s="1">
        <f t="shared" si="148"/>
        <v>0</v>
      </c>
      <c r="AD316" s="1">
        <f t="shared" si="149"/>
        <v>0</v>
      </c>
      <c r="AE316" s="1">
        <f t="shared" si="150"/>
        <v>0</v>
      </c>
      <c r="AF316" s="1">
        <f t="shared" si="135"/>
        <v>0</v>
      </c>
      <c r="AG316" s="1">
        <f t="shared" si="136"/>
        <v>0</v>
      </c>
      <c r="AH316" s="1">
        <f t="shared" si="137"/>
        <v>0</v>
      </c>
      <c r="AI316" s="1">
        <f t="shared" si="138"/>
        <v>1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64</v>
      </c>
      <c r="E317" s="53" t="s">
        <v>33</v>
      </c>
      <c r="F317" s="53" t="s">
        <v>241</v>
      </c>
      <c r="G317" s="53" t="s">
        <v>242</v>
      </c>
      <c r="H317" s="53" t="s">
        <v>354</v>
      </c>
      <c r="I317" s="52" t="s">
        <v>406</v>
      </c>
      <c r="J317" s="52">
        <v>1</v>
      </c>
      <c r="K317" s="54" t="s">
        <v>961</v>
      </c>
      <c r="L317" s="54" t="s">
        <v>716</v>
      </c>
      <c r="M317" s="55" t="s">
        <v>717</v>
      </c>
      <c r="N317" s="55" t="s">
        <v>1743</v>
      </c>
      <c r="O317" s="56">
        <v>1</v>
      </c>
      <c r="P317" s="56"/>
      <c r="Q317" s="53"/>
      <c r="S317" s="1">
        <f t="shared" si="139"/>
        <v>1</v>
      </c>
      <c r="T317" s="1">
        <f t="shared" si="140"/>
        <v>0</v>
      </c>
      <c r="U317" s="1">
        <f t="shared" si="141"/>
        <v>0</v>
      </c>
      <c r="V317" s="1">
        <f t="shared" si="142"/>
        <v>0</v>
      </c>
      <c r="W317" s="1">
        <f t="shared" si="143"/>
        <v>0</v>
      </c>
      <c r="X317" s="1">
        <f t="shared" si="144"/>
        <v>0</v>
      </c>
      <c r="Y317" s="1">
        <f t="shared" si="145"/>
        <v>0</v>
      </c>
      <c r="Z317" s="1">
        <f t="shared" si="146"/>
        <v>0</v>
      </c>
      <c r="AA317" s="1">
        <f t="shared" si="147"/>
        <v>0</v>
      </c>
      <c r="AB317" s="1">
        <f t="shared" si="148"/>
        <v>0</v>
      </c>
      <c r="AD317" s="1">
        <f t="shared" si="149"/>
        <v>0</v>
      </c>
      <c r="AE317" s="1">
        <f t="shared" si="150"/>
        <v>1</v>
      </c>
      <c r="AF317" s="1">
        <f t="shared" si="135"/>
        <v>0</v>
      </c>
      <c r="AG317" s="1">
        <f t="shared" si="136"/>
        <v>1</v>
      </c>
      <c r="AH317" s="1">
        <f t="shared" si="137"/>
        <v>0</v>
      </c>
      <c r="AI317" s="1">
        <f t="shared" si="138"/>
        <v>1</v>
      </c>
    </row>
    <row r="318" spans="1:35" ht="14.25" customHeight="1" x14ac:dyDescent="0.25">
      <c r="A318" s="52">
        <v>0</v>
      </c>
      <c r="B318" s="52">
        <v>2</v>
      </c>
      <c r="C318" s="52">
        <v>2</v>
      </c>
      <c r="D318" s="53" t="s">
        <v>62</v>
      </c>
      <c r="E318" s="53" t="s">
        <v>1086</v>
      </c>
      <c r="F318" s="53" t="s">
        <v>234</v>
      </c>
      <c r="G318" s="53" t="s">
        <v>235</v>
      </c>
      <c r="H318" s="53" t="s">
        <v>354</v>
      </c>
      <c r="I318" s="52" t="s">
        <v>1365</v>
      </c>
      <c r="J318" s="52">
        <v>99</v>
      </c>
      <c r="K318" s="54" t="s">
        <v>955</v>
      </c>
      <c r="L318" s="54" t="s">
        <v>716</v>
      </c>
      <c r="M318" s="55" t="s">
        <v>718</v>
      </c>
      <c r="N318" s="55" t="s">
        <v>1743</v>
      </c>
      <c r="O318" s="56">
        <v>1</v>
      </c>
      <c r="P318" s="56"/>
      <c r="Q318" s="53"/>
      <c r="S318" s="1">
        <f t="shared" si="139"/>
        <v>0</v>
      </c>
      <c r="T318" s="1">
        <f t="shared" si="140"/>
        <v>0</v>
      </c>
      <c r="U318" s="1">
        <f t="shared" si="141"/>
        <v>0</v>
      </c>
      <c r="V318" s="1">
        <f t="shared" si="142"/>
        <v>0</v>
      </c>
      <c r="W318" s="1">
        <f t="shared" si="143"/>
        <v>0</v>
      </c>
      <c r="X318" s="1">
        <f t="shared" si="144"/>
        <v>0</v>
      </c>
      <c r="Y318" s="1">
        <f t="shared" si="145"/>
        <v>0</v>
      </c>
      <c r="Z318" s="1">
        <f t="shared" si="146"/>
        <v>0</v>
      </c>
      <c r="AA318" s="1">
        <f t="shared" si="147"/>
        <v>0</v>
      </c>
      <c r="AB318" s="1">
        <f t="shared" si="148"/>
        <v>0</v>
      </c>
      <c r="AD318" s="1">
        <f t="shared" si="149"/>
        <v>0</v>
      </c>
      <c r="AE318" s="1">
        <f t="shared" si="150"/>
        <v>1</v>
      </c>
      <c r="AF318" s="1">
        <f t="shared" si="135"/>
        <v>0</v>
      </c>
      <c r="AG318" s="1">
        <f t="shared" si="136"/>
        <v>1</v>
      </c>
      <c r="AH318" s="1">
        <f t="shared" si="137"/>
        <v>0</v>
      </c>
      <c r="AI318" s="1">
        <f t="shared" si="138"/>
        <v>1</v>
      </c>
    </row>
    <row r="319" spans="1:35" ht="14.25" customHeight="1" x14ac:dyDescent="0.25">
      <c r="A319" s="34">
        <v>0</v>
      </c>
      <c r="B319" s="34">
        <v>2</v>
      </c>
      <c r="C319" s="34">
        <v>2</v>
      </c>
      <c r="D319" s="35" t="s">
        <v>1716</v>
      </c>
      <c r="E319" s="35" t="s">
        <v>1718</v>
      </c>
      <c r="F319" s="35" t="s">
        <v>1717</v>
      </c>
      <c r="G319" s="35"/>
      <c r="H319" s="35" t="s">
        <v>354</v>
      </c>
      <c r="I319" s="34" t="s">
        <v>1719</v>
      </c>
      <c r="J319" s="34"/>
      <c r="K319" s="36" t="s">
        <v>703</v>
      </c>
      <c r="L319" s="36"/>
      <c r="M319" s="37"/>
      <c r="N319" s="37" t="s">
        <v>1727</v>
      </c>
      <c r="O319" s="38">
        <v>1</v>
      </c>
      <c r="P319" s="38">
        <v>1</v>
      </c>
      <c r="Q319" s="35"/>
      <c r="S319" s="1">
        <f t="shared" si="139"/>
        <v>0</v>
      </c>
      <c r="T319" s="1">
        <f t="shared" si="140"/>
        <v>0</v>
      </c>
      <c r="U319" s="1">
        <f t="shared" si="141"/>
        <v>0</v>
      </c>
      <c r="V319" s="1">
        <f t="shared" si="142"/>
        <v>0</v>
      </c>
      <c r="W319" s="1">
        <f t="shared" si="143"/>
        <v>0</v>
      </c>
      <c r="X319" s="1">
        <f t="shared" si="144"/>
        <v>0</v>
      </c>
      <c r="Y319" s="1">
        <f t="shared" si="145"/>
        <v>0</v>
      </c>
      <c r="Z319" s="1">
        <f t="shared" si="146"/>
        <v>0</v>
      </c>
      <c r="AA319" s="1">
        <f t="shared" si="147"/>
        <v>0</v>
      </c>
      <c r="AB319" s="1">
        <f t="shared" si="148"/>
        <v>0</v>
      </c>
      <c r="AD319" s="1">
        <f t="shared" si="149"/>
        <v>1</v>
      </c>
      <c r="AE319" s="1">
        <f t="shared" si="150"/>
        <v>0</v>
      </c>
      <c r="AF319" s="1">
        <f t="shared" si="135"/>
        <v>1</v>
      </c>
      <c r="AG319" s="1">
        <f t="shared" si="136"/>
        <v>0</v>
      </c>
      <c r="AH319" s="1">
        <f t="shared" si="137"/>
        <v>1</v>
      </c>
      <c r="AI319" s="1">
        <f t="shared" si="138"/>
        <v>0</v>
      </c>
    </row>
    <row r="320" spans="1:35" ht="14.25" customHeight="1" x14ac:dyDescent="0.25">
      <c r="A320" s="47">
        <v>0</v>
      </c>
      <c r="B320" s="47">
        <v>2</v>
      </c>
      <c r="C320" s="47">
        <v>2</v>
      </c>
      <c r="D320" s="48" t="s">
        <v>787</v>
      </c>
      <c r="E320" s="48" t="s">
        <v>909</v>
      </c>
      <c r="F320" s="48" t="s">
        <v>1571</v>
      </c>
      <c r="G320" s="48" t="s">
        <v>230</v>
      </c>
      <c r="H320" s="48" t="s">
        <v>354</v>
      </c>
      <c r="I320" s="47" t="s">
        <v>1694</v>
      </c>
      <c r="J320" s="47">
        <v>7</v>
      </c>
      <c r="K320" s="49" t="s">
        <v>713</v>
      </c>
      <c r="L320" s="49">
        <v>20</v>
      </c>
      <c r="M320" s="50" t="s">
        <v>39</v>
      </c>
      <c r="N320" s="50" t="s">
        <v>1734</v>
      </c>
      <c r="O320" s="51"/>
      <c r="P320" s="51"/>
      <c r="Q320" s="48"/>
      <c r="S320" s="1">
        <f t="shared" si="139"/>
        <v>0</v>
      </c>
      <c r="T320" s="1">
        <f t="shared" si="140"/>
        <v>0</v>
      </c>
      <c r="U320" s="1">
        <f t="shared" si="141"/>
        <v>0</v>
      </c>
      <c r="V320" s="1">
        <f t="shared" si="142"/>
        <v>0</v>
      </c>
      <c r="W320" s="1">
        <f t="shared" si="143"/>
        <v>0</v>
      </c>
      <c r="X320" s="1">
        <f t="shared" si="144"/>
        <v>0</v>
      </c>
      <c r="Y320" s="1">
        <f t="shared" si="145"/>
        <v>1</v>
      </c>
      <c r="Z320" s="1">
        <f t="shared" si="146"/>
        <v>0</v>
      </c>
      <c r="AA320" s="1">
        <f t="shared" si="147"/>
        <v>0</v>
      </c>
      <c r="AB320" s="1">
        <f t="shared" si="148"/>
        <v>0</v>
      </c>
      <c r="AD320" s="1">
        <f t="shared" si="149"/>
        <v>0</v>
      </c>
      <c r="AE320" s="1">
        <f t="shared" si="150"/>
        <v>0</v>
      </c>
      <c r="AF320" s="1">
        <f t="shared" si="135"/>
        <v>0</v>
      </c>
      <c r="AG320" s="1">
        <f t="shared" si="136"/>
        <v>0</v>
      </c>
      <c r="AH320" s="1">
        <f t="shared" si="137"/>
        <v>0</v>
      </c>
      <c r="AI320" s="1">
        <f t="shared" si="138"/>
        <v>1</v>
      </c>
    </row>
    <row r="321" spans="1:35" ht="14.25" customHeight="1" x14ac:dyDescent="0.25">
      <c r="A321" s="34">
        <v>0</v>
      </c>
      <c r="B321" s="34">
        <v>2</v>
      </c>
      <c r="C321" s="34">
        <v>2</v>
      </c>
      <c r="D321" s="35" t="s">
        <v>852</v>
      </c>
      <c r="E321" s="35" t="s">
        <v>541</v>
      </c>
      <c r="F321" s="35" t="s">
        <v>854</v>
      </c>
      <c r="G321" s="35" t="s">
        <v>220</v>
      </c>
      <c r="H321" s="35" t="s">
        <v>354</v>
      </c>
      <c r="I321" s="34" t="s">
        <v>855</v>
      </c>
      <c r="J321" s="34">
        <v>8</v>
      </c>
      <c r="K321" s="36" t="s">
        <v>713</v>
      </c>
      <c r="L321" s="36" t="s">
        <v>716</v>
      </c>
      <c r="M321" s="37" t="s">
        <v>1413</v>
      </c>
      <c r="N321" s="37" t="s">
        <v>1743</v>
      </c>
      <c r="O321" s="38">
        <v>1</v>
      </c>
      <c r="P321" s="38"/>
      <c r="Q321" s="35"/>
      <c r="S321" s="1">
        <f t="shared" si="139"/>
        <v>0</v>
      </c>
      <c r="T321" s="1">
        <f t="shared" si="140"/>
        <v>0</v>
      </c>
      <c r="U321" s="1">
        <f t="shared" si="141"/>
        <v>0</v>
      </c>
      <c r="V321" s="1">
        <f t="shared" si="142"/>
        <v>0</v>
      </c>
      <c r="W321" s="1">
        <f t="shared" si="143"/>
        <v>0</v>
      </c>
      <c r="X321" s="1">
        <f t="shared" si="144"/>
        <v>0</v>
      </c>
      <c r="Y321" s="1">
        <f t="shared" si="145"/>
        <v>0</v>
      </c>
      <c r="Z321" s="1">
        <f t="shared" si="146"/>
        <v>1</v>
      </c>
      <c r="AA321" s="1">
        <f t="shared" si="147"/>
        <v>0</v>
      </c>
      <c r="AB321" s="1">
        <f t="shared" si="148"/>
        <v>0</v>
      </c>
      <c r="AD321" s="1">
        <f t="shared" si="149"/>
        <v>0</v>
      </c>
      <c r="AE321" s="1">
        <f t="shared" si="150"/>
        <v>1</v>
      </c>
      <c r="AF321" s="1">
        <f t="shared" si="135"/>
        <v>0</v>
      </c>
      <c r="AG321" s="1">
        <f t="shared" si="136"/>
        <v>1</v>
      </c>
      <c r="AH321" s="1">
        <f t="shared" si="137"/>
        <v>0</v>
      </c>
      <c r="AI321" s="1">
        <f t="shared" si="138"/>
        <v>1</v>
      </c>
    </row>
    <row r="322" spans="1:35" ht="14.25" customHeight="1" x14ac:dyDescent="0.25">
      <c r="A322" s="34">
        <v>1</v>
      </c>
      <c r="B322" s="34">
        <v>2</v>
      </c>
      <c r="C322" s="34">
        <v>2</v>
      </c>
      <c r="D322" s="35" t="s">
        <v>852</v>
      </c>
      <c r="E322" s="35" t="s">
        <v>541</v>
      </c>
      <c r="F322" s="35" t="s">
        <v>1353</v>
      </c>
      <c r="G322" s="35" t="s">
        <v>194</v>
      </c>
      <c r="H322" s="35" t="s">
        <v>354</v>
      </c>
      <c r="I322" s="34" t="s">
        <v>853</v>
      </c>
      <c r="J322" s="34">
        <v>9</v>
      </c>
      <c r="K322" s="36" t="s">
        <v>713</v>
      </c>
      <c r="L322" s="36" t="s">
        <v>716</v>
      </c>
      <c r="M322" s="37" t="s">
        <v>1413</v>
      </c>
      <c r="N322" s="37" t="s">
        <v>1743</v>
      </c>
      <c r="O322" s="38">
        <v>1</v>
      </c>
      <c r="P322" s="38"/>
      <c r="Q322" s="35"/>
      <c r="S322" s="1">
        <f t="shared" si="139"/>
        <v>0</v>
      </c>
      <c r="T322" s="1">
        <f t="shared" si="140"/>
        <v>0</v>
      </c>
      <c r="U322" s="1">
        <f t="shared" si="141"/>
        <v>0</v>
      </c>
      <c r="V322" s="1">
        <f t="shared" si="142"/>
        <v>0</v>
      </c>
      <c r="W322" s="1">
        <f t="shared" si="143"/>
        <v>0</v>
      </c>
      <c r="X322" s="1">
        <f t="shared" si="144"/>
        <v>0</v>
      </c>
      <c r="Y322" s="1">
        <f t="shared" si="145"/>
        <v>0</v>
      </c>
      <c r="Z322" s="1">
        <f t="shared" si="146"/>
        <v>0</v>
      </c>
      <c r="AA322" s="1">
        <f t="shared" si="147"/>
        <v>1</v>
      </c>
      <c r="AB322" s="1">
        <f t="shared" si="148"/>
        <v>0</v>
      </c>
      <c r="AD322" s="1">
        <f t="shared" si="149"/>
        <v>0</v>
      </c>
      <c r="AE322" s="1">
        <f t="shared" si="150"/>
        <v>1</v>
      </c>
      <c r="AF322" s="1">
        <f t="shared" si="135"/>
        <v>0</v>
      </c>
      <c r="AG322" s="1">
        <f t="shared" si="136"/>
        <v>0</v>
      </c>
      <c r="AH322" s="1">
        <f t="shared" si="137"/>
        <v>0</v>
      </c>
      <c r="AI322" s="1">
        <f t="shared" si="138"/>
        <v>0</v>
      </c>
    </row>
    <row r="323" spans="1:35" ht="14.25" customHeight="1" x14ac:dyDescent="0.25">
      <c r="A323" s="47">
        <v>0</v>
      </c>
      <c r="B323" s="47">
        <v>2</v>
      </c>
      <c r="C323" s="47">
        <v>2</v>
      </c>
      <c r="D323" s="48" t="s">
        <v>918</v>
      </c>
      <c r="E323" s="48" t="s">
        <v>785</v>
      </c>
      <c r="F323" s="48" t="s">
        <v>786</v>
      </c>
      <c r="G323" s="48" t="s">
        <v>230</v>
      </c>
      <c r="H323" s="48" t="s">
        <v>354</v>
      </c>
      <c r="I323" s="47" t="s">
        <v>788</v>
      </c>
      <c r="J323" s="47">
        <v>7</v>
      </c>
      <c r="K323" s="49" t="s">
        <v>712</v>
      </c>
      <c r="L323" s="49">
        <v>15</v>
      </c>
      <c r="M323" s="50" t="s">
        <v>39</v>
      </c>
      <c r="N323" s="50" t="s">
        <v>1735</v>
      </c>
      <c r="O323" s="51"/>
      <c r="P323" s="51"/>
      <c r="Q323" s="48"/>
      <c r="S323" s="1">
        <f t="shared" si="139"/>
        <v>0</v>
      </c>
      <c r="T323" s="1">
        <f t="shared" si="140"/>
        <v>0</v>
      </c>
      <c r="U323" s="1">
        <f t="shared" si="141"/>
        <v>0</v>
      </c>
      <c r="V323" s="1">
        <f t="shared" si="142"/>
        <v>0</v>
      </c>
      <c r="W323" s="1">
        <f t="shared" si="143"/>
        <v>0</v>
      </c>
      <c r="X323" s="1">
        <f t="shared" si="144"/>
        <v>0</v>
      </c>
      <c r="Y323" s="1">
        <f t="shared" si="145"/>
        <v>1</v>
      </c>
      <c r="Z323" s="1">
        <f t="shared" si="146"/>
        <v>0</v>
      </c>
      <c r="AA323" s="1">
        <f t="shared" si="147"/>
        <v>0</v>
      </c>
      <c r="AB323" s="1">
        <f t="shared" si="148"/>
        <v>0</v>
      </c>
      <c r="AD323" s="1">
        <f t="shared" si="149"/>
        <v>0</v>
      </c>
      <c r="AE323" s="1">
        <f t="shared" si="150"/>
        <v>0</v>
      </c>
      <c r="AF323" s="1">
        <f t="shared" si="135"/>
        <v>0</v>
      </c>
      <c r="AG323" s="1">
        <f t="shared" si="136"/>
        <v>0</v>
      </c>
      <c r="AH323" s="1">
        <f t="shared" si="137"/>
        <v>0</v>
      </c>
      <c r="AI323" s="1">
        <f t="shared" si="138"/>
        <v>1</v>
      </c>
    </row>
    <row r="324" spans="1:35" ht="14.25" customHeight="1" x14ac:dyDescent="0.25">
      <c r="A324" s="47">
        <v>0</v>
      </c>
      <c r="B324" s="47">
        <v>2</v>
      </c>
      <c r="C324" s="47">
        <v>2</v>
      </c>
      <c r="D324" s="48" t="s">
        <v>83</v>
      </c>
      <c r="E324" s="48" t="s">
        <v>157</v>
      </c>
      <c r="F324" s="68" t="s">
        <v>1872</v>
      </c>
      <c r="G324" s="48" t="s">
        <v>209</v>
      </c>
      <c r="H324" s="48" t="s">
        <v>354</v>
      </c>
      <c r="I324" s="47" t="s">
        <v>432</v>
      </c>
      <c r="J324" s="47">
        <v>99</v>
      </c>
      <c r="K324" s="49" t="s">
        <v>954</v>
      </c>
      <c r="L324" s="49" t="s">
        <v>704</v>
      </c>
      <c r="M324" s="50" t="s">
        <v>719</v>
      </c>
      <c r="N324" s="50" t="s">
        <v>1735</v>
      </c>
      <c r="O324" s="51"/>
      <c r="P324" s="51"/>
      <c r="Q324" s="48"/>
      <c r="S324" s="1">
        <f t="shared" si="139"/>
        <v>0</v>
      </c>
      <c r="T324" s="1">
        <f t="shared" si="140"/>
        <v>0</v>
      </c>
      <c r="U324" s="1">
        <f t="shared" si="141"/>
        <v>0</v>
      </c>
      <c r="V324" s="1">
        <f t="shared" si="142"/>
        <v>0</v>
      </c>
      <c r="W324" s="1">
        <f t="shared" si="143"/>
        <v>0</v>
      </c>
      <c r="X324" s="1">
        <f t="shared" si="144"/>
        <v>0</v>
      </c>
      <c r="Y324" s="1">
        <f t="shared" si="145"/>
        <v>0</v>
      </c>
      <c r="Z324" s="1">
        <f t="shared" si="146"/>
        <v>0</v>
      </c>
      <c r="AA324" s="1">
        <f t="shared" si="147"/>
        <v>0</v>
      </c>
      <c r="AB324" s="1">
        <f t="shared" si="148"/>
        <v>0</v>
      </c>
      <c r="AD324" s="1">
        <f t="shared" si="149"/>
        <v>0</v>
      </c>
      <c r="AE324" s="1">
        <f t="shared" si="150"/>
        <v>0</v>
      </c>
      <c r="AF324" s="1">
        <f t="shared" si="135"/>
        <v>0</v>
      </c>
      <c r="AG324" s="1">
        <f t="shared" si="136"/>
        <v>0</v>
      </c>
      <c r="AH324" s="1">
        <f t="shared" si="137"/>
        <v>0</v>
      </c>
      <c r="AI324" s="1">
        <f t="shared" si="138"/>
        <v>1</v>
      </c>
    </row>
    <row r="325" spans="1:35" ht="14.25" customHeight="1" x14ac:dyDescent="0.25">
      <c r="A325" s="41">
        <v>0</v>
      </c>
      <c r="B325" s="41">
        <v>2</v>
      </c>
      <c r="C325" s="41">
        <v>2</v>
      </c>
      <c r="D325" s="42" t="s">
        <v>1564</v>
      </c>
      <c r="E325" s="42" t="s">
        <v>1334</v>
      </c>
      <c r="F325" s="42" t="s">
        <v>1565</v>
      </c>
      <c r="G325" s="42" t="s">
        <v>1166</v>
      </c>
      <c r="H325" s="42" t="s">
        <v>354</v>
      </c>
      <c r="I325" s="41" t="s">
        <v>1566</v>
      </c>
      <c r="J325" s="41">
        <v>1</v>
      </c>
      <c r="K325" s="43" t="s">
        <v>713</v>
      </c>
      <c r="L325" s="43" t="s">
        <v>39</v>
      </c>
      <c r="M325" s="44" t="s">
        <v>39</v>
      </c>
      <c r="N325" s="45"/>
      <c r="O325" s="46"/>
      <c r="P325" s="46">
        <v>1</v>
      </c>
      <c r="Q325" s="42"/>
      <c r="S325" s="1">
        <f t="shared" si="139"/>
        <v>1</v>
      </c>
      <c r="T325" s="1">
        <f t="shared" si="140"/>
        <v>0</v>
      </c>
      <c r="U325" s="1">
        <f t="shared" si="141"/>
        <v>0</v>
      </c>
      <c r="V325" s="1">
        <f t="shared" si="142"/>
        <v>0</v>
      </c>
      <c r="W325" s="1">
        <f t="shared" si="143"/>
        <v>0</v>
      </c>
      <c r="X325" s="1">
        <f t="shared" si="144"/>
        <v>0</v>
      </c>
      <c r="Y325" s="1">
        <f t="shared" si="145"/>
        <v>0</v>
      </c>
      <c r="Z325" s="1">
        <f t="shared" si="146"/>
        <v>0</v>
      </c>
      <c r="AA325" s="1">
        <f t="shared" si="147"/>
        <v>0</v>
      </c>
      <c r="AB325" s="1">
        <f t="shared" si="148"/>
        <v>0</v>
      </c>
      <c r="AD325" s="1">
        <f t="shared" si="149"/>
        <v>0</v>
      </c>
      <c r="AE325" s="1">
        <f t="shared" si="150"/>
        <v>0</v>
      </c>
      <c r="AF325" s="1">
        <f t="shared" si="135"/>
        <v>0</v>
      </c>
      <c r="AG325" s="1">
        <f t="shared" si="136"/>
        <v>0</v>
      </c>
      <c r="AH325" s="1">
        <f t="shared" si="137"/>
        <v>1</v>
      </c>
      <c r="AI325" s="1">
        <f t="shared" si="138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1744</v>
      </c>
      <c r="E326" s="35" t="s">
        <v>27</v>
      </c>
      <c r="F326" s="35" t="s">
        <v>1044</v>
      </c>
      <c r="G326" s="35" t="s">
        <v>220</v>
      </c>
      <c r="H326" s="35" t="s">
        <v>354</v>
      </c>
      <c r="I326" s="34" t="s">
        <v>1045</v>
      </c>
      <c r="J326" s="34">
        <v>8</v>
      </c>
      <c r="K326" s="36" t="s">
        <v>713</v>
      </c>
      <c r="L326" s="36">
        <v>25</v>
      </c>
      <c r="M326" s="37" t="s">
        <v>1745</v>
      </c>
      <c r="N326" s="37" t="s">
        <v>1727</v>
      </c>
      <c r="O326" s="38">
        <v>1</v>
      </c>
      <c r="P326" s="38">
        <v>1</v>
      </c>
      <c r="Q326" s="35"/>
      <c r="S326" s="1">
        <f t="shared" si="139"/>
        <v>0</v>
      </c>
      <c r="T326" s="1">
        <f t="shared" si="140"/>
        <v>0</v>
      </c>
      <c r="U326" s="1">
        <f t="shared" si="141"/>
        <v>0</v>
      </c>
      <c r="V326" s="1">
        <f t="shared" si="142"/>
        <v>0</v>
      </c>
      <c r="W326" s="1">
        <f t="shared" si="143"/>
        <v>0</v>
      </c>
      <c r="X326" s="1">
        <f t="shared" si="144"/>
        <v>0</v>
      </c>
      <c r="Y326" s="1">
        <f t="shared" si="145"/>
        <v>0</v>
      </c>
      <c r="Z326" s="1">
        <f t="shared" si="146"/>
        <v>1</v>
      </c>
      <c r="AA326" s="1">
        <f t="shared" si="147"/>
        <v>0</v>
      </c>
      <c r="AB326" s="1">
        <f t="shared" si="148"/>
        <v>0</v>
      </c>
      <c r="AD326" s="1">
        <f t="shared" si="149"/>
        <v>1</v>
      </c>
      <c r="AE326" s="1">
        <f t="shared" si="150"/>
        <v>0</v>
      </c>
      <c r="AF326" s="1">
        <f t="shared" si="135"/>
        <v>1</v>
      </c>
      <c r="AG326" s="1">
        <f t="shared" si="136"/>
        <v>0</v>
      </c>
      <c r="AH326" s="1">
        <f t="shared" si="137"/>
        <v>1</v>
      </c>
      <c r="AI326" s="1">
        <f t="shared" si="138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45</v>
      </c>
      <c r="E327" s="35" t="s">
        <v>44</v>
      </c>
      <c r="F327" s="35" t="s">
        <v>669</v>
      </c>
      <c r="G327" s="35" t="s">
        <v>180</v>
      </c>
      <c r="H327" s="35" t="s">
        <v>354</v>
      </c>
      <c r="I327" s="34" t="s">
        <v>949</v>
      </c>
      <c r="J327" s="34">
        <v>10</v>
      </c>
      <c r="K327" s="36" t="s">
        <v>713</v>
      </c>
      <c r="L327" s="36" t="s">
        <v>720</v>
      </c>
      <c r="M327" s="37" t="s">
        <v>721</v>
      </c>
      <c r="N327" s="37" t="s">
        <v>1727</v>
      </c>
      <c r="O327" s="38">
        <v>1</v>
      </c>
      <c r="P327" s="38">
        <v>1</v>
      </c>
      <c r="Q327" s="35"/>
      <c r="S327" s="1">
        <f t="shared" si="139"/>
        <v>0</v>
      </c>
      <c r="T327" s="1">
        <f t="shared" si="140"/>
        <v>0</v>
      </c>
      <c r="U327" s="1">
        <f t="shared" si="141"/>
        <v>0</v>
      </c>
      <c r="V327" s="1">
        <f t="shared" si="142"/>
        <v>0</v>
      </c>
      <c r="W327" s="1">
        <f t="shared" si="143"/>
        <v>0</v>
      </c>
      <c r="X327" s="1">
        <f t="shared" si="144"/>
        <v>0</v>
      </c>
      <c r="Y327" s="1">
        <f t="shared" si="145"/>
        <v>0</v>
      </c>
      <c r="Z327" s="1">
        <f t="shared" si="146"/>
        <v>0</v>
      </c>
      <c r="AA327" s="1">
        <f t="shared" si="147"/>
        <v>0</v>
      </c>
      <c r="AB327" s="1">
        <f t="shared" si="148"/>
        <v>1</v>
      </c>
      <c r="AD327" s="1">
        <f t="shared" si="149"/>
        <v>1</v>
      </c>
      <c r="AE327" s="1">
        <f t="shared" si="150"/>
        <v>0</v>
      </c>
      <c r="AF327" s="1">
        <f t="shared" si="135"/>
        <v>1</v>
      </c>
      <c r="AG327" s="1">
        <f t="shared" si="136"/>
        <v>0</v>
      </c>
      <c r="AH327" s="1">
        <f t="shared" si="137"/>
        <v>1</v>
      </c>
      <c r="AI327" s="1">
        <f t="shared" si="138"/>
        <v>0</v>
      </c>
    </row>
    <row r="328" spans="1:35" ht="14.25" customHeight="1" x14ac:dyDescent="0.25">
      <c r="A328" s="34">
        <v>0</v>
      </c>
      <c r="B328" s="34">
        <v>2</v>
      </c>
      <c r="C328" s="34">
        <v>2</v>
      </c>
      <c r="D328" s="35" t="s">
        <v>1448</v>
      </c>
      <c r="E328" s="35" t="s">
        <v>1653</v>
      </c>
      <c r="F328" s="35" t="s">
        <v>1668</v>
      </c>
      <c r="G328" s="35" t="s">
        <v>230</v>
      </c>
      <c r="H328" s="35" t="s">
        <v>354</v>
      </c>
      <c r="I328" s="34" t="s">
        <v>1449</v>
      </c>
      <c r="J328" s="34">
        <v>99</v>
      </c>
      <c r="K328" s="36" t="s">
        <v>955</v>
      </c>
      <c r="L328" s="36">
        <v>20</v>
      </c>
      <c r="M328" s="37" t="s">
        <v>39</v>
      </c>
      <c r="N328" s="37" t="s">
        <v>1727</v>
      </c>
      <c r="O328" s="38">
        <v>1</v>
      </c>
      <c r="P328" s="38">
        <v>1</v>
      </c>
      <c r="Q328" s="35"/>
      <c r="S328" s="1">
        <f t="shared" si="139"/>
        <v>0</v>
      </c>
      <c r="T328" s="1">
        <f t="shared" si="140"/>
        <v>0</v>
      </c>
      <c r="U328" s="1">
        <f t="shared" si="141"/>
        <v>0</v>
      </c>
      <c r="V328" s="1">
        <f t="shared" si="142"/>
        <v>0</v>
      </c>
      <c r="W328" s="1">
        <f t="shared" si="143"/>
        <v>0</v>
      </c>
      <c r="X328" s="1">
        <f t="shared" si="144"/>
        <v>0</v>
      </c>
      <c r="Y328" s="1">
        <f t="shared" si="145"/>
        <v>0</v>
      </c>
      <c r="Z328" s="1">
        <f t="shared" si="146"/>
        <v>0</v>
      </c>
      <c r="AA328" s="1">
        <f t="shared" si="147"/>
        <v>0</v>
      </c>
      <c r="AB328" s="1">
        <f t="shared" si="148"/>
        <v>0</v>
      </c>
      <c r="AD328" s="1">
        <f t="shared" si="149"/>
        <v>1</v>
      </c>
      <c r="AE328" s="1">
        <f t="shared" si="150"/>
        <v>0</v>
      </c>
      <c r="AF328" s="1">
        <f t="shared" si="135"/>
        <v>1</v>
      </c>
      <c r="AG328" s="1">
        <f t="shared" si="136"/>
        <v>0</v>
      </c>
      <c r="AH328" s="1">
        <f t="shared" si="137"/>
        <v>1</v>
      </c>
      <c r="AI328" s="1">
        <f t="shared" si="138"/>
        <v>0</v>
      </c>
    </row>
    <row r="329" spans="1:35" ht="14.25" customHeight="1" x14ac:dyDescent="0.25">
      <c r="A329" s="70">
        <v>0</v>
      </c>
      <c r="B329" s="70">
        <v>2</v>
      </c>
      <c r="C329" s="70">
        <v>2</v>
      </c>
      <c r="D329" s="57" t="s">
        <v>1993</v>
      </c>
      <c r="E329" s="57" t="s">
        <v>1994</v>
      </c>
      <c r="F329" s="57" t="s">
        <v>1995</v>
      </c>
      <c r="G329" s="57" t="s">
        <v>179</v>
      </c>
      <c r="H329" s="57" t="s">
        <v>354</v>
      </c>
      <c r="I329" s="70" t="s">
        <v>1996</v>
      </c>
      <c r="J329" s="70"/>
      <c r="K329" s="70" t="s">
        <v>703</v>
      </c>
      <c r="L329" s="70"/>
      <c r="M329" s="57"/>
      <c r="N329" s="57"/>
      <c r="O329" s="71"/>
      <c r="P329" s="71">
        <v>1</v>
      </c>
      <c r="Q329" s="57"/>
      <c r="S329" s="1">
        <f t="shared" si="139"/>
        <v>0</v>
      </c>
      <c r="T329" s="1">
        <f t="shared" si="140"/>
        <v>0</v>
      </c>
      <c r="U329" s="1">
        <f t="shared" si="141"/>
        <v>0</v>
      </c>
      <c r="V329" s="1">
        <f t="shared" si="142"/>
        <v>0</v>
      </c>
      <c r="W329" s="1">
        <f t="shared" si="143"/>
        <v>0</v>
      </c>
      <c r="X329" s="1">
        <f t="shared" si="144"/>
        <v>0</v>
      </c>
      <c r="Y329" s="1">
        <f t="shared" si="145"/>
        <v>0</v>
      </c>
      <c r="Z329" s="1">
        <f t="shared" si="146"/>
        <v>0</v>
      </c>
      <c r="AA329" s="1">
        <f t="shared" si="147"/>
        <v>0</v>
      </c>
      <c r="AB329" s="1">
        <f t="shared" si="148"/>
        <v>0</v>
      </c>
      <c r="AD329" s="1">
        <f t="shared" si="149"/>
        <v>0</v>
      </c>
      <c r="AE329" s="1">
        <f t="shared" si="150"/>
        <v>0</v>
      </c>
      <c r="AF329" s="1">
        <f t="shared" si="135"/>
        <v>0</v>
      </c>
      <c r="AG329" s="1">
        <f t="shared" si="136"/>
        <v>0</v>
      </c>
      <c r="AH329" s="1">
        <f t="shared" si="137"/>
        <v>1</v>
      </c>
      <c r="AI329" s="1">
        <f t="shared" si="138"/>
        <v>0</v>
      </c>
    </row>
    <row r="330" spans="1:35" ht="14.25" customHeight="1" x14ac:dyDescent="0.25">
      <c r="A330" s="52">
        <v>0</v>
      </c>
      <c r="B330" s="52">
        <v>2</v>
      </c>
      <c r="C330" s="52">
        <v>2</v>
      </c>
      <c r="D330" s="53" t="s">
        <v>606</v>
      </c>
      <c r="E330" s="53" t="s">
        <v>607</v>
      </c>
      <c r="F330" s="53" t="s">
        <v>608</v>
      </c>
      <c r="G330" s="53" t="s">
        <v>257</v>
      </c>
      <c r="H330" s="53" t="s">
        <v>354</v>
      </c>
      <c r="I330" s="52" t="s">
        <v>609</v>
      </c>
      <c r="J330" s="52">
        <v>99</v>
      </c>
      <c r="K330" s="54" t="s">
        <v>955</v>
      </c>
      <c r="L330" s="54" t="s">
        <v>704</v>
      </c>
      <c r="M330" s="55" t="s">
        <v>1414</v>
      </c>
      <c r="N330" s="55" t="s">
        <v>1743</v>
      </c>
      <c r="O330" s="56">
        <v>1</v>
      </c>
      <c r="P330" s="56"/>
      <c r="Q330" s="53"/>
      <c r="S330" s="1">
        <f t="shared" si="139"/>
        <v>0</v>
      </c>
      <c r="T330" s="1">
        <f t="shared" si="140"/>
        <v>0</v>
      </c>
      <c r="U330" s="1">
        <f t="shared" si="141"/>
        <v>0</v>
      </c>
      <c r="V330" s="1">
        <f t="shared" si="142"/>
        <v>0</v>
      </c>
      <c r="W330" s="1">
        <f t="shared" si="143"/>
        <v>0</v>
      </c>
      <c r="X330" s="1">
        <f t="shared" si="144"/>
        <v>0</v>
      </c>
      <c r="Y330" s="1">
        <f t="shared" si="145"/>
        <v>0</v>
      </c>
      <c r="Z330" s="1">
        <f t="shared" si="146"/>
        <v>0</v>
      </c>
      <c r="AA330" s="1">
        <f t="shared" si="147"/>
        <v>0</v>
      </c>
      <c r="AB330" s="1">
        <f t="shared" si="148"/>
        <v>0</v>
      </c>
      <c r="AD330" s="1">
        <f t="shared" si="149"/>
        <v>0</v>
      </c>
      <c r="AE330" s="1">
        <f t="shared" si="150"/>
        <v>1</v>
      </c>
      <c r="AF330" s="1">
        <f t="shared" si="135"/>
        <v>0</v>
      </c>
      <c r="AG330" s="1">
        <f t="shared" si="136"/>
        <v>1</v>
      </c>
      <c r="AH330" s="1">
        <f t="shared" si="137"/>
        <v>0</v>
      </c>
      <c r="AI330" s="1">
        <f t="shared" si="138"/>
        <v>1</v>
      </c>
    </row>
    <row r="331" spans="1:35" ht="14.25" customHeight="1" x14ac:dyDescent="0.25">
      <c r="A331" s="34">
        <v>0</v>
      </c>
      <c r="B331" s="34">
        <v>2</v>
      </c>
      <c r="C331" s="34">
        <v>2</v>
      </c>
      <c r="D331" s="35" t="s">
        <v>1925</v>
      </c>
      <c r="E331" s="35" t="s">
        <v>1926</v>
      </c>
      <c r="F331" s="35" t="s">
        <v>1927</v>
      </c>
      <c r="G331" s="35" t="s">
        <v>184</v>
      </c>
      <c r="H331" s="35" t="s">
        <v>354</v>
      </c>
      <c r="I331" s="34" t="s">
        <v>1929</v>
      </c>
      <c r="J331" s="34">
        <v>99</v>
      </c>
      <c r="K331" s="36" t="s">
        <v>703</v>
      </c>
      <c r="L331" s="36"/>
      <c r="M331" s="37"/>
      <c r="N331" s="37" t="s">
        <v>1727</v>
      </c>
      <c r="O331" s="38">
        <v>1</v>
      </c>
      <c r="P331" s="38">
        <v>1</v>
      </c>
      <c r="Q331" s="35" t="s">
        <v>1928</v>
      </c>
      <c r="S331" s="1">
        <f t="shared" si="139"/>
        <v>0</v>
      </c>
      <c r="T331" s="1">
        <f t="shared" si="140"/>
        <v>0</v>
      </c>
      <c r="U331" s="1">
        <f t="shared" si="141"/>
        <v>0</v>
      </c>
      <c r="V331" s="1">
        <f t="shared" si="142"/>
        <v>0</v>
      </c>
      <c r="W331" s="1">
        <f t="shared" si="143"/>
        <v>0</v>
      </c>
      <c r="X331" s="1">
        <f t="shared" si="144"/>
        <v>0</v>
      </c>
      <c r="Y331" s="1">
        <f t="shared" si="145"/>
        <v>0</v>
      </c>
      <c r="Z331" s="1">
        <f t="shared" si="146"/>
        <v>0</v>
      </c>
      <c r="AA331" s="1">
        <f t="shared" si="147"/>
        <v>0</v>
      </c>
      <c r="AB331" s="1">
        <f t="shared" si="148"/>
        <v>0</v>
      </c>
      <c r="AD331" s="1">
        <f t="shared" si="149"/>
        <v>1</v>
      </c>
      <c r="AE331" s="1">
        <f t="shared" si="150"/>
        <v>0</v>
      </c>
      <c r="AF331" s="1">
        <f t="shared" si="135"/>
        <v>1</v>
      </c>
      <c r="AG331" s="1">
        <f t="shared" si="136"/>
        <v>0</v>
      </c>
      <c r="AH331" s="1">
        <f t="shared" si="137"/>
        <v>1</v>
      </c>
      <c r="AI331" s="1">
        <f t="shared" si="138"/>
        <v>0</v>
      </c>
    </row>
    <row r="332" spans="1:35" ht="14.25" customHeight="1" x14ac:dyDescent="0.25">
      <c r="A332" s="47">
        <v>0</v>
      </c>
      <c r="B332" s="47">
        <v>2</v>
      </c>
      <c r="C332" s="47">
        <v>2</v>
      </c>
      <c r="D332" s="48" t="s">
        <v>1643</v>
      </c>
      <c r="E332" s="48" t="s">
        <v>1168</v>
      </c>
      <c r="F332" s="48" t="s">
        <v>1674</v>
      </c>
      <c r="G332" s="48" t="s">
        <v>180</v>
      </c>
      <c r="H332" s="48" t="s">
        <v>354</v>
      </c>
      <c r="I332" s="47" t="s">
        <v>1494</v>
      </c>
      <c r="J332" s="47">
        <v>10</v>
      </c>
      <c r="K332" s="49" t="s">
        <v>712</v>
      </c>
      <c r="L332" s="49">
        <v>15</v>
      </c>
      <c r="M332" s="50" t="s">
        <v>39</v>
      </c>
      <c r="N332" s="50" t="s">
        <v>1740</v>
      </c>
      <c r="O332" s="51"/>
      <c r="P332" s="51"/>
      <c r="Q332" s="48"/>
      <c r="S332" s="1">
        <f t="shared" si="139"/>
        <v>0</v>
      </c>
      <c r="T332" s="1">
        <f t="shared" si="140"/>
        <v>0</v>
      </c>
      <c r="U332" s="1">
        <f t="shared" si="141"/>
        <v>0</v>
      </c>
      <c r="V332" s="1">
        <f t="shared" si="142"/>
        <v>0</v>
      </c>
      <c r="W332" s="1">
        <f t="shared" si="143"/>
        <v>0</v>
      </c>
      <c r="X332" s="1">
        <f t="shared" si="144"/>
        <v>0</v>
      </c>
      <c r="Y332" s="1">
        <f t="shared" si="145"/>
        <v>0</v>
      </c>
      <c r="Z332" s="1">
        <f t="shared" si="146"/>
        <v>0</v>
      </c>
      <c r="AA332" s="1">
        <f t="shared" si="147"/>
        <v>0</v>
      </c>
      <c r="AB332" s="1">
        <f t="shared" si="148"/>
        <v>1</v>
      </c>
      <c r="AD332" s="1">
        <f t="shared" si="149"/>
        <v>0</v>
      </c>
      <c r="AE332" s="1">
        <f t="shared" si="150"/>
        <v>0</v>
      </c>
      <c r="AF332" s="1">
        <f t="shared" ref="AF332:AF394" si="151">+O332*P332*(1-A332)</f>
        <v>0</v>
      </c>
      <c r="AG332" s="1">
        <f t="shared" ref="AG332:AG394" si="152">O332*(1-P332)*(1-A332)</f>
        <v>0</v>
      </c>
      <c r="AH332" s="1">
        <f t="shared" ref="AH332:AH394" si="153">+P332*(1-A332)</f>
        <v>0</v>
      </c>
      <c r="AI332" s="1">
        <f t="shared" ref="AI332:AI394" si="154">+(1-A332)*(1-P332)</f>
        <v>1</v>
      </c>
    </row>
    <row r="333" spans="1:35" ht="14.25" customHeight="1" x14ac:dyDescent="0.25">
      <c r="A333" s="47">
        <v>0</v>
      </c>
      <c r="B333" s="47">
        <v>2</v>
      </c>
      <c r="C333" s="47">
        <v>2</v>
      </c>
      <c r="D333" s="48" t="s">
        <v>862</v>
      </c>
      <c r="E333" s="48" t="s">
        <v>544</v>
      </c>
      <c r="F333" s="48" t="s">
        <v>863</v>
      </c>
      <c r="G333" s="48" t="s">
        <v>314</v>
      </c>
      <c r="H333" s="48" t="s">
        <v>354</v>
      </c>
      <c r="I333" s="47" t="s">
        <v>864</v>
      </c>
      <c r="J333" s="47">
        <v>1</v>
      </c>
      <c r="K333" s="49" t="s">
        <v>712</v>
      </c>
      <c r="L333" s="49">
        <v>25</v>
      </c>
      <c r="M333" s="50" t="s">
        <v>39</v>
      </c>
      <c r="N333" s="50" t="s">
        <v>1735</v>
      </c>
      <c r="O333" s="51"/>
      <c r="P333" s="51"/>
      <c r="Q333" s="48"/>
      <c r="S333" s="1">
        <f t="shared" si="139"/>
        <v>1</v>
      </c>
      <c r="T333" s="1">
        <f t="shared" si="140"/>
        <v>0</v>
      </c>
      <c r="U333" s="1">
        <f t="shared" si="141"/>
        <v>0</v>
      </c>
      <c r="V333" s="1">
        <f t="shared" si="142"/>
        <v>0</v>
      </c>
      <c r="W333" s="1">
        <f t="shared" si="143"/>
        <v>0</v>
      </c>
      <c r="X333" s="1">
        <f t="shared" si="144"/>
        <v>0</v>
      </c>
      <c r="Y333" s="1">
        <f t="shared" si="145"/>
        <v>0</v>
      </c>
      <c r="Z333" s="1">
        <f t="shared" si="146"/>
        <v>0</v>
      </c>
      <c r="AA333" s="1">
        <f t="shared" si="147"/>
        <v>0</v>
      </c>
      <c r="AB333" s="1">
        <f t="shared" si="148"/>
        <v>0</v>
      </c>
      <c r="AD333" s="1">
        <f t="shared" si="149"/>
        <v>0</v>
      </c>
      <c r="AE333" s="1">
        <f t="shared" si="150"/>
        <v>0</v>
      </c>
      <c r="AF333" s="1">
        <f t="shared" si="151"/>
        <v>0</v>
      </c>
      <c r="AG333" s="1">
        <f t="shared" si="152"/>
        <v>0</v>
      </c>
      <c r="AH333" s="1">
        <f t="shared" si="153"/>
        <v>0</v>
      </c>
      <c r="AI333" s="1">
        <f t="shared" si="154"/>
        <v>1</v>
      </c>
    </row>
    <row r="334" spans="1:35" ht="14.25" customHeight="1" x14ac:dyDescent="0.25">
      <c r="A334" s="34">
        <v>0</v>
      </c>
      <c r="B334" s="34">
        <v>2</v>
      </c>
      <c r="C334" s="34">
        <v>3</v>
      </c>
      <c r="D334" s="35" t="s">
        <v>568</v>
      </c>
      <c r="E334" s="35" t="s">
        <v>38</v>
      </c>
      <c r="F334" s="35" t="s">
        <v>237</v>
      </c>
      <c r="G334" s="35" t="s">
        <v>539</v>
      </c>
      <c r="H334" s="35" t="s">
        <v>354</v>
      </c>
      <c r="I334" s="34" t="s">
        <v>403</v>
      </c>
      <c r="J334" s="34">
        <v>1</v>
      </c>
      <c r="K334" s="36" t="s">
        <v>712</v>
      </c>
      <c r="L334" s="36" t="s">
        <v>724</v>
      </c>
      <c r="M334" s="37" t="s">
        <v>725</v>
      </c>
      <c r="N334" s="37" t="s">
        <v>1727</v>
      </c>
      <c r="O334" s="38">
        <v>1</v>
      </c>
      <c r="P334" s="38">
        <v>1</v>
      </c>
      <c r="Q334" s="35"/>
      <c r="S334" s="1">
        <f t="shared" si="139"/>
        <v>1</v>
      </c>
      <c r="T334" s="1">
        <f t="shared" si="140"/>
        <v>0</v>
      </c>
      <c r="U334" s="1">
        <f t="shared" si="141"/>
        <v>0</v>
      </c>
      <c r="V334" s="1">
        <f t="shared" si="142"/>
        <v>0</v>
      </c>
      <c r="W334" s="1">
        <f t="shared" si="143"/>
        <v>0</v>
      </c>
      <c r="X334" s="1">
        <f t="shared" si="144"/>
        <v>0</v>
      </c>
      <c r="Y334" s="1">
        <f t="shared" si="145"/>
        <v>0</v>
      </c>
      <c r="Z334" s="1">
        <f t="shared" si="146"/>
        <v>0</v>
      </c>
      <c r="AA334" s="1">
        <f t="shared" si="147"/>
        <v>0</v>
      </c>
      <c r="AB334" s="1">
        <f t="shared" si="148"/>
        <v>0</v>
      </c>
      <c r="AD334" s="1">
        <f t="shared" si="149"/>
        <v>1</v>
      </c>
      <c r="AE334" s="1">
        <f t="shared" si="150"/>
        <v>0</v>
      </c>
      <c r="AF334" s="1">
        <f t="shared" si="151"/>
        <v>1</v>
      </c>
      <c r="AG334" s="1">
        <f t="shared" si="152"/>
        <v>0</v>
      </c>
      <c r="AH334" s="1">
        <f t="shared" si="153"/>
        <v>1</v>
      </c>
      <c r="AI334" s="1">
        <f t="shared" si="154"/>
        <v>0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850</v>
      </c>
      <c r="E335" s="48" t="s">
        <v>34</v>
      </c>
      <c r="F335" s="48" t="s">
        <v>926</v>
      </c>
      <c r="G335" s="48" t="s">
        <v>638</v>
      </c>
      <c r="H335" s="48" t="s">
        <v>354</v>
      </c>
      <c r="I335" s="47" t="s">
        <v>851</v>
      </c>
      <c r="J335" s="47">
        <v>1</v>
      </c>
      <c r="K335" s="49" t="s">
        <v>954</v>
      </c>
      <c r="L335" s="49" t="s">
        <v>729</v>
      </c>
      <c r="M335" s="50" t="s">
        <v>723</v>
      </c>
      <c r="N335" s="50" t="s">
        <v>1735</v>
      </c>
      <c r="O335" s="51"/>
      <c r="P335" s="51"/>
      <c r="Q335" s="48"/>
      <c r="S335" s="1">
        <f t="shared" si="139"/>
        <v>1</v>
      </c>
      <c r="T335" s="1">
        <f t="shared" si="140"/>
        <v>0</v>
      </c>
      <c r="U335" s="1">
        <f t="shared" si="141"/>
        <v>0</v>
      </c>
      <c r="V335" s="1">
        <f t="shared" si="142"/>
        <v>0</v>
      </c>
      <c r="W335" s="1">
        <f t="shared" si="143"/>
        <v>0</v>
      </c>
      <c r="X335" s="1">
        <f t="shared" si="144"/>
        <v>0</v>
      </c>
      <c r="Y335" s="1">
        <f t="shared" si="145"/>
        <v>0</v>
      </c>
      <c r="Z335" s="1">
        <f t="shared" si="146"/>
        <v>0</v>
      </c>
      <c r="AA335" s="1">
        <f t="shared" si="147"/>
        <v>0</v>
      </c>
      <c r="AB335" s="1">
        <f t="shared" si="148"/>
        <v>0</v>
      </c>
      <c r="AD335" s="1">
        <f t="shared" si="149"/>
        <v>0</v>
      </c>
      <c r="AE335" s="1">
        <f t="shared" si="150"/>
        <v>0</v>
      </c>
      <c r="AF335" s="1">
        <f t="shared" si="151"/>
        <v>0</v>
      </c>
      <c r="AG335" s="1">
        <f t="shared" si="152"/>
        <v>0</v>
      </c>
      <c r="AH335" s="1">
        <f t="shared" si="153"/>
        <v>0</v>
      </c>
      <c r="AI335" s="1">
        <f t="shared" si="154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793</v>
      </c>
      <c r="E336" s="48" t="s">
        <v>32</v>
      </c>
      <c r="F336" s="48" t="s">
        <v>794</v>
      </c>
      <c r="G336" s="48" t="s">
        <v>251</v>
      </c>
      <c r="H336" s="48" t="s">
        <v>354</v>
      </c>
      <c r="I336" s="47" t="s">
        <v>795</v>
      </c>
      <c r="J336" s="47">
        <v>99</v>
      </c>
      <c r="K336" s="49" t="s">
        <v>713</v>
      </c>
      <c r="L336" s="49" t="s">
        <v>722</v>
      </c>
      <c r="M336" s="50" t="s">
        <v>723</v>
      </c>
      <c r="N336" s="50" t="s">
        <v>1737</v>
      </c>
      <c r="O336" s="51"/>
      <c r="P336" s="51"/>
      <c r="Q336" s="48"/>
      <c r="S336" s="1">
        <f t="shared" ref="S336:S398" si="155">IF(J336=$S$7,1,0)</f>
        <v>0</v>
      </c>
      <c r="T336" s="1">
        <f t="shared" ref="T336:T398" si="156">IF(J336=$T$7,1,0)</f>
        <v>0</v>
      </c>
      <c r="U336" s="1">
        <f t="shared" ref="U336:U398" si="157">IF(J336=$U$7,1,0)</f>
        <v>0</v>
      </c>
      <c r="V336" s="1">
        <f t="shared" ref="V336:V398" si="158">IF(J336=$V$7,1,0)</f>
        <v>0</v>
      </c>
      <c r="W336" s="1">
        <f t="shared" ref="W336:W398" si="159">IF(J336=$W$7,1,0)</f>
        <v>0</v>
      </c>
      <c r="X336" s="1">
        <f t="shared" ref="X336:X398" si="160">IF(J336=$X$7,1,0)</f>
        <v>0</v>
      </c>
      <c r="Y336" s="1">
        <f t="shared" ref="Y336:Y398" si="161">IF(J336=$Y$7,1,0)</f>
        <v>0</v>
      </c>
      <c r="Z336" s="1">
        <f t="shared" ref="Z336:Z398" si="162">IF(J336=$Z$7,1,0)</f>
        <v>0</v>
      </c>
      <c r="AA336" s="1">
        <f t="shared" ref="AA336:AA398" si="163">IF(J336=$AA$7,1,0)</f>
        <v>0</v>
      </c>
      <c r="AB336" s="1">
        <f t="shared" ref="AB336:AB398" si="164">IF(J336=$AB$7,1,0)</f>
        <v>0</v>
      </c>
      <c r="AD336" s="1">
        <f t="shared" ref="AD336:AD398" si="165">+O336*P336</f>
        <v>0</v>
      </c>
      <c r="AE336" s="1">
        <f t="shared" ref="AE336:AE398" si="166">O336*(1-P336)</f>
        <v>0</v>
      </c>
      <c r="AF336" s="1">
        <f t="shared" si="151"/>
        <v>0</v>
      </c>
      <c r="AG336" s="1">
        <f t="shared" si="152"/>
        <v>0</v>
      </c>
      <c r="AH336" s="1">
        <f t="shared" si="153"/>
        <v>0</v>
      </c>
      <c r="AI336" s="1">
        <f t="shared" si="154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56</v>
      </c>
      <c r="E337" s="48" t="s">
        <v>161</v>
      </c>
      <c r="F337" s="48" t="s">
        <v>219</v>
      </c>
      <c r="G337" s="48" t="s">
        <v>196</v>
      </c>
      <c r="H337" s="48" t="s">
        <v>354</v>
      </c>
      <c r="I337" s="47" t="s">
        <v>551</v>
      </c>
      <c r="J337" s="47">
        <v>99</v>
      </c>
      <c r="K337" s="49" t="s">
        <v>713</v>
      </c>
      <c r="L337" s="49" t="s">
        <v>722</v>
      </c>
      <c r="M337" s="50" t="s">
        <v>723</v>
      </c>
      <c r="N337" s="50" t="s">
        <v>1802</v>
      </c>
      <c r="O337" s="51"/>
      <c r="P337" s="51"/>
      <c r="Q337" s="48"/>
      <c r="S337" s="1">
        <f t="shared" si="155"/>
        <v>0</v>
      </c>
      <c r="T337" s="1">
        <f t="shared" si="156"/>
        <v>0</v>
      </c>
      <c r="U337" s="1">
        <f t="shared" si="157"/>
        <v>0</v>
      </c>
      <c r="V337" s="1">
        <f t="shared" si="158"/>
        <v>0</v>
      </c>
      <c r="W337" s="1">
        <f t="shared" si="159"/>
        <v>0</v>
      </c>
      <c r="X337" s="1">
        <f t="shared" si="160"/>
        <v>0</v>
      </c>
      <c r="Y337" s="1">
        <f t="shared" si="161"/>
        <v>0</v>
      </c>
      <c r="Z337" s="1">
        <f t="shared" si="162"/>
        <v>0</v>
      </c>
      <c r="AA337" s="1">
        <f t="shared" si="163"/>
        <v>0</v>
      </c>
      <c r="AB337" s="1">
        <f t="shared" si="164"/>
        <v>0</v>
      </c>
      <c r="AD337" s="1">
        <f t="shared" si="165"/>
        <v>0</v>
      </c>
      <c r="AE337" s="1">
        <f t="shared" si="166"/>
        <v>0</v>
      </c>
      <c r="AF337" s="1">
        <f t="shared" si="151"/>
        <v>0</v>
      </c>
      <c r="AG337" s="1">
        <f t="shared" si="152"/>
        <v>0</v>
      </c>
      <c r="AH337" s="1">
        <f t="shared" si="153"/>
        <v>0</v>
      </c>
      <c r="AI337" s="1">
        <f t="shared" si="154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1175</v>
      </c>
      <c r="E338" s="48" t="s">
        <v>1335</v>
      </c>
      <c r="F338" s="48" t="s">
        <v>1176</v>
      </c>
      <c r="G338" s="48" t="s">
        <v>302</v>
      </c>
      <c r="H338" s="48" t="s">
        <v>354</v>
      </c>
      <c r="I338" s="47" t="s">
        <v>1177</v>
      </c>
      <c r="J338" s="47">
        <v>1</v>
      </c>
      <c r="K338" s="49" t="s">
        <v>955</v>
      </c>
      <c r="L338" s="49" t="s">
        <v>693</v>
      </c>
      <c r="M338" s="50" t="s">
        <v>1415</v>
      </c>
      <c r="N338" s="50" t="s">
        <v>1735</v>
      </c>
      <c r="O338" s="51"/>
      <c r="P338" s="51"/>
      <c r="Q338" s="48"/>
      <c r="S338" s="1">
        <f t="shared" si="155"/>
        <v>1</v>
      </c>
      <c r="T338" s="1">
        <f t="shared" si="156"/>
        <v>0</v>
      </c>
      <c r="U338" s="1">
        <f t="shared" si="157"/>
        <v>0</v>
      </c>
      <c r="V338" s="1">
        <f t="shared" si="158"/>
        <v>0</v>
      </c>
      <c r="W338" s="1">
        <f t="shared" si="159"/>
        <v>0</v>
      </c>
      <c r="X338" s="1">
        <f t="shared" si="160"/>
        <v>0</v>
      </c>
      <c r="Y338" s="1">
        <f t="shared" si="161"/>
        <v>0</v>
      </c>
      <c r="Z338" s="1">
        <f t="shared" si="162"/>
        <v>0</v>
      </c>
      <c r="AA338" s="1">
        <f t="shared" si="163"/>
        <v>0</v>
      </c>
      <c r="AB338" s="1">
        <f t="shared" si="164"/>
        <v>0</v>
      </c>
      <c r="AD338" s="1">
        <f t="shared" si="165"/>
        <v>0</v>
      </c>
      <c r="AE338" s="1">
        <f t="shared" si="166"/>
        <v>0</v>
      </c>
      <c r="AF338" s="1">
        <f t="shared" si="151"/>
        <v>0</v>
      </c>
      <c r="AG338" s="1">
        <f t="shared" si="152"/>
        <v>0</v>
      </c>
      <c r="AH338" s="1">
        <f t="shared" si="153"/>
        <v>0</v>
      </c>
      <c r="AI338" s="1">
        <f t="shared" si="154"/>
        <v>1</v>
      </c>
    </row>
    <row r="339" spans="1:35" ht="14.25" customHeight="1" x14ac:dyDescent="0.25">
      <c r="A339" s="47">
        <v>0</v>
      </c>
      <c r="B339" s="47">
        <v>2</v>
      </c>
      <c r="C339" s="47">
        <v>3</v>
      </c>
      <c r="D339" s="48" t="s">
        <v>1172</v>
      </c>
      <c r="E339" s="48" t="s">
        <v>1335</v>
      </c>
      <c r="F339" s="48" t="s">
        <v>1173</v>
      </c>
      <c r="G339" s="48" t="s">
        <v>1056</v>
      </c>
      <c r="H339" s="48" t="s">
        <v>354</v>
      </c>
      <c r="I339" s="47" t="s">
        <v>1174</v>
      </c>
      <c r="J339" s="47">
        <v>1</v>
      </c>
      <c r="K339" s="49" t="s">
        <v>713</v>
      </c>
      <c r="L339" s="49" t="s">
        <v>693</v>
      </c>
      <c r="M339" s="50" t="s">
        <v>1415</v>
      </c>
      <c r="N339" s="50" t="s">
        <v>1735</v>
      </c>
      <c r="O339" s="51"/>
      <c r="P339" s="51"/>
      <c r="Q339" s="48"/>
      <c r="S339" s="1">
        <f t="shared" si="155"/>
        <v>1</v>
      </c>
      <c r="T339" s="1">
        <f t="shared" si="156"/>
        <v>0</v>
      </c>
      <c r="U339" s="1">
        <f t="shared" si="157"/>
        <v>0</v>
      </c>
      <c r="V339" s="1">
        <f t="shared" si="158"/>
        <v>0</v>
      </c>
      <c r="W339" s="1">
        <f t="shared" si="159"/>
        <v>0</v>
      </c>
      <c r="X339" s="1">
        <f t="shared" si="160"/>
        <v>0</v>
      </c>
      <c r="Y339" s="1">
        <f t="shared" si="161"/>
        <v>0</v>
      </c>
      <c r="Z339" s="1">
        <f t="shared" si="162"/>
        <v>0</v>
      </c>
      <c r="AA339" s="1">
        <f t="shared" si="163"/>
        <v>0</v>
      </c>
      <c r="AB339" s="1">
        <f t="shared" si="164"/>
        <v>0</v>
      </c>
      <c r="AD339" s="1">
        <f t="shared" si="165"/>
        <v>0</v>
      </c>
      <c r="AE339" s="1">
        <f t="shared" si="166"/>
        <v>0</v>
      </c>
      <c r="AF339" s="1">
        <f t="shared" si="151"/>
        <v>0</v>
      </c>
      <c r="AG339" s="1">
        <f t="shared" si="152"/>
        <v>0</v>
      </c>
      <c r="AH339" s="1">
        <f t="shared" si="153"/>
        <v>0</v>
      </c>
      <c r="AI339" s="1">
        <f t="shared" si="154"/>
        <v>1</v>
      </c>
    </row>
    <row r="340" spans="1:35" ht="14.25" customHeight="1" x14ac:dyDescent="0.25">
      <c r="A340" s="34">
        <v>0</v>
      </c>
      <c r="B340" s="34">
        <v>2</v>
      </c>
      <c r="C340" s="34">
        <v>3</v>
      </c>
      <c r="D340" s="35" t="s">
        <v>1294</v>
      </c>
      <c r="E340" s="35" t="s">
        <v>32</v>
      </c>
      <c r="F340" s="35" t="s">
        <v>1295</v>
      </c>
      <c r="G340" s="35" t="s">
        <v>222</v>
      </c>
      <c r="H340" s="35" t="s">
        <v>354</v>
      </c>
      <c r="I340" s="34" t="s">
        <v>1689</v>
      </c>
      <c r="J340" s="34">
        <v>99</v>
      </c>
      <c r="K340" s="36" t="s">
        <v>713</v>
      </c>
      <c r="L340" s="36" t="s">
        <v>716</v>
      </c>
      <c r="M340" s="37" t="s">
        <v>1296</v>
      </c>
      <c r="N340" s="37" t="s">
        <v>1727</v>
      </c>
      <c r="O340" s="38">
        <v>1</v>
      </c>
      <c r="P340" s="38">
        <v>1</v>
      </c>
      <c r="Q340" s="35"/>
      <c r="S340" s="1">
        <f t="shared" si="155"/>
        <v>0</v>
      </c>
      <c r="T340" s="1">
        <f t="shared" si="156"/>
        <v>0</v>
      </c>
      <c r="U340" s="1">
        <f t="shared" si="157"/>
        <v>0</v>
      </c>
      <c r="V340" s="1">
        <f t="shared" si="158"/>
        <v>0</v>
      </c>
      <c r="W340" s="1">
        <f t="shared" si="159"/>
        <v>0</v>
      </c>
      <c r="X340" s="1">
        <f t="shared" si="160"/>
        <v>0</v>
      </c>
      <c r="Y340" s="1">
        <f t="shared" si="161"/>
        <v>0</v>
      </c>
      <c r="Z340" s="1">
        <f t="shared" si="162"/>
        <v>0</v>
      </c>
      <c r="AA340" s="1">
        <f t="shared" si="163"/>
        <v>0</v>
      </c>
      <c r="AB340" s="1">
        <f t="shared" si="164"/>
        <v>0</v>
      </c>
      <c r="AD340" s="1">
        <f t="shared" si="165"/>
        <v>1</v>
      </c>
      <c r="AE340" s="1">
        <f t="shared" si="166"/>
        <v>0</v>
      </c>
      <c r="AF340" s="1">
        <f t="shared" si="151"/>
        <v>1</v>
      </c>
      <c r="AG340" s="1">
        <f t="shared" si="152"/>
        <v>0</v>
      </c>
      <c r="AH340" s="1">
        <f t="shared" si="153"/>
        <v>1</v>
      </c>
      <c r="AI340" s="1">
        <f t="shared" si="154"/>
        <v>0</v>
      </c>
    </row>
    <row r="341" spans="1:35" ht="14.25" customHeight="1" x14ac:dyDescent="0.25">
      <c r="A341" s="34">
        <v>0</v>
      </c>
      <c r="B341" s="34">
        <v>2</v>
      </c>
      <c r="C341" s="34">
        <v>3</v>
      </c>
      <c r="D341" s="35" t="s">
        <v>761</v>
      </c>
      <c r="E341" s="35" t="s">
        <v>913</v>
      </c>
      <c r="F341" s="35" t="s">
        <v>762</v>
      </c>
      <c r="G341" s="35" t="s">
        <v>220</v>
      </c>
      <c r="H341" s="35" t="s">
        <v>354</v>
      </c>
      <c r="I341" s="34" t="s">
        <v>763</v>
      </c>
      <c r="J341" s="34">
        <v>8</v>
      </c>
      <c r="K341" s="36" t="s">
        <v>955</v>
      </c>
      <c r="L341" s="36" t="s">
        <v>729</v>
      </c>
      <c r="M341" s="37" t="s">
        <v>723</v>
      </c>
      <c r="N341" s="37" t="s">
        <v>1748</v>
      </c>
      <c r="O341" s="38">
        <v>1</v>
      </c>
      <c r="P341" s="38"/>
      <c r="Q341" s="35"/>
      <c r="S341" s="1">
        <f t="shared" si="155"/>
        <v>0</v>
      </c>
      <c r="T341" s="1">
        <f t="shared" si="156"/>
        <v>0</v>
      </c>
      <c r="U341" s="1">
        <f t="shared" si="157"/>
        <v>0</v>
      </c>
      <c r="V341" s="1">
        <f t="shared" si="158"/>
        <v>0</v>
      </c>
      <c r="W341" s="1">
        <f t="shared" si="159"/>
        <v>0</v>
      </c>
      <c r="X341" s="1">
        <f t="shared" si="160"/>
        <v>0</v>
      </c>
      <c r="Y341" s="1">
        <f t="shared" si="161"/>
        <v>0</v>
      </c>
      <c r="Z341" s="1">
        <f t="shared" si="162"/>
        <v>1</v>
      </c>
      <c r="AA341" s="1">
        <f t="shared" si="163"/>
        <v>0</v>
      </c>
      <c r="AB341" s="1">
        <f t="shared" si="164"/>
        <v>0</v>
      </c>
      <c r="AD341" s="1">
        <f t="shared" si="165"/>
        <v>0</v>
      </c>
      <c r="AE341" s="1">
        <f t="shared" si="166"/>
        <v>1</v>
      </c>
      <c r="AF341" s="1">
        <f t="shared" si="151"/>
        <v>0</v>
      </c>
      <c r="AG341" s="1">
        <f t="shared" si="152"/>
        <v>1</v>
      </c>
      <c r="AH341" s="1">
        <f t="shared" si="153"/>
        <v>0</v>
      </c>
      <c r="AI341" s="1">
        <f t="shared" si="154"/>
        <v>1</v>
      </c>
    </row>
    <row r="342" spans="1:35" ht="14.25" customHeight="1" x14ac:dyDescent="0.25">
      <c r="A342" s="47">
        <v>0</v>
      </c>
      <c r="B342" s="47">
        <v>2</v>
      </c>
      <c r="C342" s="47">
        <v>3</v>
      </c>
      <c r="D342" s="48" t="s">
        <v>1495</v>
      </c>
      <c r="E342" s="48" t="s">
        <v>1496</v>
      </c>
      <c r="F342" s="48" t="s">
        <v>1497</v>
      </c>
      <c r="G342" s="48" t="s">
        <v>238</v>
      </c>
      <c r="H342" s="48" t="s">
        <v>354</v>
      </c>
      <c r="I342" s="47" t="s">
        <v>1498</v>
      </c>
      <c r="J342" s="47">
        <v>4</v>
      </c>
      <c r="K342" s="49" t="s">
        <v>712</v>
      </c>
      <c r="L342" s="49">
        <v>15</v>
      </c>
      <c r="M342" s="50" t="s">
        <v>39</v>
      </c>
      <c r="N342" s="50" t="s">
        <v>1802</v>
      </c>
      <c r="O342" s="51"/>
      <c r="P342" s="51"/>
      <c r="Q342" s="48"/>
      <c r="S342" s="1">
        <f t="shared" si="155"/>
        <v>0</v>
      </c>
      <c r="T342" s="1">
        <f t="shared" si="156"/>
        <v>0</v>
      </c>
      <c r="U342" s="1">
        <f t="shared" si="157"/>
        <v>0</v>
      </c>
      <c r="V342" s="1">
        <f t="shared" si="158"/>
        <v>1</v>
      </c>
      <c r="W342" s="1">
        <f t="shared" si="159"/>
        <v>0</v>
      </c>
      <c r="X342" s="1">
        <f t="shared" si="160"/>
        <v>0</v>
      </c>
      <c r="Y342" s="1">
        <f t="shared" si="161"/>
        <v>0</v>
      </c>
      <c r="Z342" s="1">
        <f t="shared" si="162"/>
        <v>0</v>
      </c>
      <c r="AA342" s="1">
        <f t="shared" si="163"/>
        <v>0</v>
      </c>
      <c r="AB342" s="1">
        <f t="shared" si="164"/>
        <v>0</v>
      </c>
      <c r="AD342" s="1">
        <f t="shared" si="165"/>
        <v>0</v>
      </c>
      <c r="AE342" s="1">
        <f t="shared" si="166"/>
        <v>0</v>
      </c>
      <c r="AF342" s="1">
        <f t="shared" si="151"/>
        <v>0</v>
      </c>
      <c r="AG342" s="1">
        <f t="shared" si="152"/>
        <v>0</v>
      </c>
      <c r="AH342" s="1">
        <f t="shared" si="153"/>
        <v>0</v>
      </c>
      <c r="AI342" s="1">
        <f t="shared" si="154"/>
        <v>1</v>
      </c>
    </row>
    <row r="343" spans="1:35" ht="14.25" customHeight="1" x14ac:dyDescent="0.25">
      <c r="A343" s="34">
        <v>0</v>
      </c>
      <c r="B343" s="34">
        <v>2</v>
      </c>
      <c r="C343" s="34">
        <v>3</v>
      </c>
      <c r="D343" s="35" t="s">
        <v>1553</v>
      </c>
      <c r="E343" s="35" t="s">
        <v>1554</v>
      </c>
      <c r="F343" s="35" t="s">
        <v>1555</v>
      </c>
      <c r="G343" s="35" t="s">
        <v>1556</v>
      </c>
      <c r="H343" s="35" t="s">
        <v>354</v>
      </c>
      <c r="I343" s="34" t="s">
        <v>1557</v>
      </c>
      <c r="J343" s="34">
        <v>7</v>
      </c>
      <c r="K343" s="36" t="s">
        <v>955</v>
      </c>
      <c r="L343" s="36">
        <v>10</v>
      </c>
      <c r="M343" s="37" t="s">
        <v>39</v>
      </c>
      <c r="N343" s="37" t="s">
        <v>1743</v>
      </c>
      <c r="O343" s="38">
        <v>1</v>
      </c>
      <c r="P343" s="38"/>
      <c r="Q343" s="35"/>
      <c r="S343" s="1">
        <f t="shared" si="155"/>
        <v>0</v>
      </c>
      <c r="T343" s="1">
        <f t="shared" si="156"/>
        <v>0</v>
      </c>
      <c r="U343" s="1">
        <f t="shared" si="157"/>
        <v>0</v>
      </c>
      <c r="V343" s="1">
        <f t="shared" si="158"/>
        <v>0</v>
      </c>
      <c r="W343" s="1">
        <f t="shared" si="159"/>
        <v>0</v>
      </c>
      <c r="X343" s="1">
        <f t="shared" si="160"/>
        <v>0</v>
      </c>
      <c r="Y343" s="1">
        <f t="shared" si="161"/>
        <v>1</v>
      </c>
      <c r="Z343" s="1">
        <f t="shared" si="162"/>
        <v>0</v>
      </c>
      <c r="AA343" s="1">
        <f t="shared" si="163"/>
        <v>0</v>
      </c>
      <c r="AB343" s="1">
        <f t="shared" si="164"/>
        <v>0</v>
      </c>
      <c r="AD343" s="1">
        <f t="shared" si="165"/>
        <v>0</v>
      </c>
      <c r="AE343" s="1">
        <f t="shared" si="166"/>
        <v>1</v>
      </c>
      <c r="AF343" s="1">
        <f t="shared" si="151"/>
        <v>0</v>
      </c>
      <c r="AG343" s="1">
        <f t="shared" si="152"/>
        <v>1</v>
      </c>
      <c r="AH343" s="1">
        <f t="shared" si="153"/>
        <v>0</v>
      </c>
      <c r="AI343" s="1">
        <f t="shared" si="154"/>
        <v>1</v>
      </c>
    </row>
    <row r="344" spans="1:35" ht="14.25" customHeight="1" x14ac:dyDescent="0.25">
      <c r="A344" s="47">
        <v>0</v>
      </c>
      <c r="B344" s="47">
        <v>2</v>
      </c>
      <c r="C344" s="47">
        <v>3</v>
      </c>
      <c r="D344" s="48" t="s">
        <v>841</v>
      </c>
      <c r="E344" s="48" t="s">
        <v>32</v>
      </c>
      <c r="F344" s="48" t="s">
        <v>843</v>
      </c>
      <c r="G344" s="48" t="s">
        <v>39</v>
      </c>
      <c r="H344" s="48" t="s">
        <v>354</v>
      </c>
      <c r="I344" s="47" t="s">
        <v>842</v>
      </c>
      <c r="J344" s="47">
        <v>1</v>
      </c>
      <c r="K344" s="49" t="s">
        <v>713</v>
      </c>
      <c r="L344" s="49" t="s">
        <v>694</v>
      </c>
      <c r="M344" s="50" t="s">
        <v>1415</v>
      </c>
      <c r="N344" s="50" t="s">
        <v>1735</v>
      </c>
      <c r="O344" s="51"/>
      <c r="P344" s="51"/>
      <c r="Q344" s="48"/>
      <c r="S344" s="1">
        <f t="shared" si="155"/>
        <v>1</v>
      </c>
      <c r="T344" s="1">
        <f t="shared" si="156"/>
        <v>0</v>
      </c>
      <c r="U344" s="1">
        <f t="shared" si="157"/>
        <v>0</v>
      </c>
      <c r="V344" s="1">
        <f t="shared" si="158"/>
        <v>0</v>
      </c>
      <c r="W344" s="1">
        <f t="shared" si="159"/>
        <v>0</v>
      </c>
      <c r="X344" s="1">
        <f t="shared" si="160"/>
        <v>0</v>
      </c>
      <c r="Y344" s="1">
        <f t="shared" si="161"/>
        <v>0</v>
      </c>
      <c r="Z344" s="1">
        <f t="shared" si="162"/>
        <v>0</v>
      </c>
      <c r="AA344" s="1">
        <f t="shared" si="163"/>
        <v>0</v>
      </c>
      <c r="AB344" s="1">
        <f t="shared" si="164"/>
        <v>0</v>
      </c>
      <c r="AD344" s="1">
        <f t="shared" si="165"/>
        <v>0</v>
      </c>
      <c r="AE344" s="1">
        <f t="shared" si="166"/>
        <v>0</v>
      </c>
      <c r="AF344" s="1">
        <f t="shared" si="151"/>
        <v>0</v>
      </c>
      <c r="AG344" s="1">
        <f t="shared" si="152"/>
        <v>0</v>
      </c>
      <c r="AH344" s="1">
        <f t="shared" si="153"/>
        <v>0</v>
      </c>
      <c r="AI344" s="1">
        <f t="shared" si="154"/>
        <v>1</v>
      </c>
    </row>
    <row r="345" spans="1:35" ht="14.25" customHeight="1" x14ac:dyDescent="0.25">
      <c r="A345" s="15">
        <v>0</v>
      </c>
      <c r="B345" s="15">
        <v>2</v>
      </c>
      <c r="C345" s="15">
        <v>4</v>
      </c>
      <c r="D345" s="16" t="s">
        <v>764</v>
      </c>
      <c r="E345" s="16" t="s">
        <v>765</v>
      </c>
      <c r="F345" s="16" t="s">
        <v>766</v>
      </c>
      <c r="G345" s="16" t="s">
        <v>767</v>
      </c>
      <c r="H345" s="16" t="s">
        <v>354</v>
      </c>
      <c r="I345" s="15" t="s">
        <v>768</v>
      </c>
      <c r="J345" s="15">
        <v>99</v>
      </c>
      <c r="K345" s="10" t="s">
        <v>703</v>
      </c>
      <c r="L345" s="10">
        <v>15</v>
      </c>
      <c r="M345" s="19" t="s">
        <v>769</v>
      </c>
      <c r="N345" s="19"/>
      <c r="Q345" s="16"/>
      <c r="S345" s="1">
        <f t="shared" si="155"/>
        <v>0</v>
      </c>
      <c r="T345" s="1">
        <f t="shared" si="156"/>
        <v>0</v>
      </c>
      <c r="U345" s="1">
        <f t="shared" si="157"/>
        <v>0</v>
      </c>
      <c r="V345" s="1">
        <f t="shared" si="158"/>
        <v>0</v>
      </c>
      <c r="W345" s="1">
        <f t="shared" si="159"/>
        <v>0</v>
      </c>
      <c r="X345" s="1">
        <f t="shared" si="160"/>
        <v>0</v>
      </c>
      <c r="Y345" s="1">
        <f t="shared" si="161"/>
        <v>0</v>
      </c>
      <c r="Z345" s="1">
        <f t="shared" si="162"/>
        <v>0</v>
      </c>
      <c r="AA345" s="1">
        <f t="shared" si="163"/>
        <v>0</v>
      </c>
      <c r="AB345" s="1">
        <f t="shared" si="164"/>
        <v>0</v>
      </c>
      <c r="AD345" s="1">
        <f t="shared" si="165"/>
        <v>0</v>
      </c>
      <c r="AE345" s="1">
        <f t="shared" si="166"/>
        <v>0</v>
      </c>
      <c r="AF345" s="1">
        <f t="shared" si="151"/>
        <v>0</v>
      </c>
      <c r="AG345" s="1">
        <f t="shared" si="152"/>
        <v>0</v>
      </c>
      <c r="AH345" s="1">
        <f t="shared" si="153"/>
        <v>0</v>
      </c>
      <c r="AI345" s="1">
        <f t="shared" si="154"/>
        <v>1</v>
      </c>
    </row>
    <row r="346" spans="1:35" ht="14.25" customHeight="1" x14ac:dyDescent="0.25">
      <c r="A346" s="47">
        <v>0</v>
      </c>
      <c r="B346" s="47">
        <v>2</v>
      </c>
      <c r="C346" s="47">
        <v>4</v>
      </c>
      <c r="D346" s="48" t="s">
        <v>798</v>
      </c>
      <c r="E346" s="48" t="s">
        <v>908</v>
      </c>
      <c r="F346" s="48" t="s">
        <v>925</v>
      </c>
      <c r="G346" s="48" t="s">
        <v>208</v>
      </c>
      <c r="H346" s="48" t="s">
        <v>354</v>
      </c>
      <c r="I346" s="47" t="s">
        <v>1363</v>
      </c>
      <c r="J346" s="47">
        <v>3</v>
      </c>
      <c r="K346" s="49" t="s">
        <v>703</v>
      </c>
      <c r="L346" s="49">
        <v>20</v>
      </c>
      <c r="M346" s="50" t="s">
        <v>1417</v>
      </c>
      <c r="N346" s="50" t="s">
        <v>1802</v>
      </c>
      <c r="O346" s="51"/>
      <c r="P346" s="51"/>
      <c r="Q346" s="48"/>
      <c r="S346" s="1">
        <f t="shared" si="155"/>
        <v>0</v>
      </c>
      <c r="T346" s="1">
        <f t="shared" si="156"/>
        <v>0</v>
      </c>
      <c r="U346" s="1">
        <f t="shared" si="157"/>
        <v>1</v>
      </c>
      <c r="V346" s="1">
        <f t="shared" si="158"/>
        <v>0</v>
      </c>
      <c r="W346" s="1">
        <f t="shared" si="159"/>
        <v>0</v>
      </c>
      <c r="X346" s="1">
        <f t="shared" si="160"/>
        <v>0</v>
      </c>
      <c r="Y346" s="1">
        <f t="shared" si="161"/>
        <v>0</v>
      </c>
      <c r="Z346" s="1">
        <f t="shared" si="162"/>
        <v>0</v>
      </c>
      <c r="AA346" s="1">
        <f t="shared" si="163"/>
        <v>0</v>
      </c>
      <c r="AB346" s="1">
        <f t="shared" si="164"/>
        <v>0</v>
      </c>
      <c r="AD346" s="1">
        <f t="shared" si="165"/>
        <v>0</v>
      </c>
      <c r="AE346" s="1">
        <f t="shared" si="166"/>
        <v>0</v>
      </c>
      <c r="AF346" s="1">
        <f t="shared" si="151"/>
        <v>0</v>
      </c>
      <c r="AG346" s="1">
        <f t="shared" si="152"/>
        <v>0</v>
      </c>
      <c r="AH346" s="1">
        <f t="shared" si="153"/>
        <v>0</v>
      </c>
      <c r="AI346" s="1">
        <f t="shared" si="154"/>
        <v>1</v>
      </c>
    </row>
    <row r="347" spans="1:35" ht="14.25" customHeight="1" x14ac:dyDescent="0.25">
      <c r="A347" s="60">
        <v>0</v>
      </c>
      <c r="B347" s="60">
        <v>2</v>
      </c>
      <c r="C347" s="60">
        <v>4</v>
      </c>
      <c r="D347" s="61" t="s">
        <v>567</v>
      </c>
      <c r="E347" s="61" t="s">
        <v>37</v>
      </c>
      <c r="F347" s="61" t="s">
        <v>205</v>
      </c>
      <c r="G347" s="61" t="s">
        <v>39</v>
      </c>
      <c r="H347" s="61" t="s">
        <v>354</v>
      </c>
      <c r="I347" s="60" t="s">
        <v>389</v>
      </c>
      <c r="J347" s="60">
        <v>6</v>
      </c>
      <c r="K347" s="62" t="s">
        <v>703</v>
      </c>
      <c r="L347" s="62" t="s">
        <v>39</v>
      </c>
      <c r="M347" s="63" t="s">
        <v>39</v>
      </c>
      <c r="N347" s="64"/>
      <c r="O347" s="65"/>
      <c r="P347" s="65"/>
      <c r="Q347" s="61"/>
      <c r="S347" s="1">
        <f t="shared" si="155"/>
        <v>0</v>
      </c>
      <c r="T347" s="1">
        <f t="shared" si="156"/>
        <v>0</v>
      </c>
      <c r="U347" s="1">
        <f t="shared" si="157"/>
        <v>0</v>
      </c>
      <c r="V347" s="1">
        <f t="shared" si="158"/>
        <v>0</v>
      </c>
      <c r="W347" s="1">
        <f t="shared" si="159"/>
        <v>0</v>
      </c>
      <c r="X347" s="1">
        <f t="shared" si="160"/>
        <v>1</v>
      </c>
      <c r="Y347" s="1">
        <f t="shared" si="161"/>
        <v>0</v>
      </c>
      <c r="Z347" s="1">
        <f t="shared" si="162"/>
        <v>0</v>
      </c>
      <c r="AA347" s="1">
        <f t="shared" si="163"/>
        <v>0</v>
      </c>
      <c r="AB347" s="1">
        <f t="shared" si="164"/>
        <v>0</v>
      </c>
      <c r="AD347" s="1">
        <f t="shared" si="165"/>
        <v>0</v>
      </c>
      <c r="AE347" s="1">
        <f t="shared" si="166"/>
        <v>0</v>
      </c>
      <c r="AF347" s="1">
        <f t="shared" si="151"/>
        <v>0</v>
      </c>
      <c r="AG347" s="1">
        <f t="shared" si="152"/>
        <v>0</v>
      </c>
      <c r="AH347" s="1">
        <f t="shared" si="153"/>
        <v>0</v>
      </c>
      <c r="AI347" s="1">
        <f t="shared" si="154"/>
        <v>1</v>
      </c>
    </row>
    <row r="348" spans="1:35" ht="14.25" customHeight="1" x14ac:dyDescent="0.25">
      <c r="A348" s="47">
        <v>0</v>
      </c>
      <c r="B348" s="47">
        <v>2</v>
      </c>
      <c r="C348" s="47">
        <v>4</v>
      </c>
      <c r="D348" s="48" t="s">
        <v>653</v>
      </c>
      <c r="E348" s="48" t="s">
        <v>910</v>
      </c>
      <c r="F348" s="48" t="s">
        <v>624</v>
      </c>
      <c r="G348" s="48" t="s">
        <v>341</v>
      </c>
      <c r="H348" s="48" t="s">
        <v>354</v>
      </c>
      <c r="I348" s="47" t="s">
        <v>625</v>
      </c>
      <c r="J348" s="47">
        <v>10</v>
      </c>
      <c r="K348" s="49" t="s">
        <v>954</v>
      </c>
      <c r="L348" s="49" t="s">
        <v>704</v>
      </c>
      <c r="M348" s="50" t="s">
        <v>1418</v>
      </c>
      <c r="N348" s="50" t="s">
        <v>1734</v>
      </c>
      <c r="O348" s="51"/>
      <c r="P348" s="51"/>
      <c r="Q348" s="48"/>
      <c r="S348" s="1">
        <f t="shared" si="155"/>
        <v>0</v>
      </c>
      <c r="T348" s="1">
        <f t="shared" si="156"/>
        <v>0</v>
      </c>
      <c r="U348" s="1">
        <f t="shared" si="157"/>
        <v>0</v>
      </c>
      <c r="V348" s="1">
        <f t="shared" si="158"/>
        <v>0</v>
      </c>
      <c r="W348" s="1">
        <f t="shared" si="159"/>
        <v>0</v>
      </c>
      <c r="X348" s="1">
        <f t="shared" si="160"/>
        <v>0</v>
      </c>
      <c r="Y348" s="1">
        <f t="shared" si="161"/>
        <v>0</v>
      </c>
      <c r="Z348" s="1">
        <f t="shared" si="162"/>
        <v>0</v>
      </c>
      <c r="AA348" s="1">
        <f t="shared" si="163"/>
        <v>0</v>
      </c>
      <c r="AB348" s="1">
        <f t="shared" si="164"/>
        <v>1</v>
      </c>
      <c r="AD348" s="1">
        <f t="shared" si="165"/>
        <v>0</v>
      </c>
      <c r="AE348" s="1">
        <f t="shared" si="166"/>
        <v>0</v>
      </c>
      <c r="AF348" s="1">
        <f t="shared" si="151"/>
        <v>0</v>
      </c>
      <c r="AG348" s="1">
        <f t="shared" si="152"/>
        <v>0</v>
      </c>
      <c r="AH348" s="1">
        <f t="shared" si="153"/>
        <v>0</v>
      </c>
      <c r="AI348" s="1">
        <f t="shared" si="154"/>
        <v>1</v>
      </c>
    </row>
    <row r="349" spans="1:35" ht="14.25" customHeight="1" x14ac:dyDescent="0.25">
      <c r="A349" s="34">
        <v>0</v>
      </c>
      <c r="B349" s="34">
        <v>2</v>
      </c>
      <c r="C349" s="34">
        <v>4</v>
      </c>
      <c r="D349" s="35" t="s">
        <v>75</v>
      </c>
      <c r="E349" s="35" t="s">
        <v>35</v>
      </c>
      <c r="F349" s="35" t="s">
        <v>266</v>
      </c>
      <c r="G349" s="35" t="s">
        <v>213</v>
      </c>
      <c r="H349" s="35" t="s">
        <v>354</v>
      </c>
      <c r="I349" s="34" t="s">
        <v>945</v>
      </c>
      <c r="J349" s="34">
        <v>1</v>
      </c>
      <c r="K349" s="36" t="s">
        <v>713</v>
      </c>
      <c r="L349" s="36" t="s">
        <v>704</v>
      </c>
      <c r="M349" s="37" t="s">
        <v>1419</v>
      </c>
      <c r="N349" s="37" t="s">
        <v>1743</v>
      </c>
      <c r="O349" s="38">
        <v>1</v>
      </c>
      <c r="P349" s="38"/>
      <c r="Q349" s="35"/>
      <c r="S349" s="1">
        <f t="shared" si="155"/>
        <v>1</v>
      </c>
      <c r="T349" s="1">
        <f t="shared" si="156"/>
        <v>0</v>
      </c>
      <c r="U349" s="1">
        <f t="shared" si="157"/>
        <v>0</v>
      </c>
      <c r="V349" s="1">
        <f t="shared" si="158"/>
        <v>0</v>
      </c>
      <c r="W349" s="1">
        <f t="shared" si="159"/>
        <v>0</v>
      </c>
      <c r="X349" s="1">
        <f t="shared" si="160"/>
        <v>0</v>
      </c>
      <c r="Y349" s="1">
        <f t="shared" si="161"/>
        <v>0</v>
      </c>
      <c r="Z349" s="1">
        <f t="shared" si="162"/>
        <v>0</v>
      </c>
      <c r="AA349" s="1">
        <f t="shared" si="163"/>
        <v>0</v>
      </c>
      <c r="AB349" s="1">
        <f t="shared" si="164"/>
        <v>0</v>
      </c>
      <c r="AD349" s="1">
        <f t="shared" si="165"/>
        <v>0</v>
      </c>
      <c r="AE349" s="1">
        <f t="shared" si="166"/>
        <v>1</v>
      </c>
      <c r="AF349" s="1">
        <f t="shared" si="151"/>
        <v>0</v>
      </c>
      <c r="AG349" s="1">
        <f t="shared" si="152"/>
        <v>1</v>
      </c>
      <c r="AH349" s="1">
        <f t="shared" si="153"/>
        <v>0</v>
      </c>
      <c r="AI349" s="1">
        <f t="shared" si="154"/>
        <v>1</v>
      </c>
    </row>
    <row r="350" spans="1:35" ht="14.25" customHeight="1" x14ac:dyDescent="0.25">
      <c r="A350" s="34">
        <v>0</v>
      </c>
      <c r="B350" s="34">
        <v>2</v>
      </c>
      <c r="C350" s="34">
        <v>4</v>
      </c>
      <c r="D350" s="35" t="s">
        <v>919</v>
      </c>
      <c r="E350" s="35" t="s">
        <v>912</v>
      </c>
      <c r="F350" s="35" t="s">
        <v>782</v>
      </c>
      <c r="G350" s="35" t="s">
        <v>285</v>
      </c>
      <c r="H350" s="35" t="s">
        <v>354</v>
      </c>
      <c r="I350" s="34" t="s">
        <v>946</v>
      </c>
      <c r="J350" s="34">
        <v>4</v>
      </c>
      <c r="K350" s="36" t="s">
        <v>713</v>
      </c>
      <c r="L350" s="36" t="s">
        <v>696</v>
      </c>
      <c r="M350" s="37" t="s">
        <v>1420</v>
      </c>
      <c r="N350" s="37" t="s">
        <v>1749</v>
      </c>
      <c r="O350" s="38">
        <v>1</v>
      </c>
      <c r="P350" s="38"/>
      <c r="Q350" s="35"/>
      <c r="S350" s="1">
        <f t="shared" si="155"/>
        <v>0</v>
      </c>
      <c r="T350" s="1">
        <f t="shared" si="156"/>
        <v>0</v>
      </c>
      <c r="U350" s="1">
        <f t="shared" si="157"/>
        <v>0</v>
      </c>
      <c r="V350" s="1">
        <f t="shared" si="158"/>
        <v>1</v>
      </c>
      <c r="W350" s="1">
        <f t="shared" si="159"/>
        <v>0</v>
      </c>
      <c r="X350" s="1">
        <f t="shared" si="160"/>
        <v>0</v>
      </c>
      <c r="Y350" s="1">
        <f t="shared" si="161"/>
        <v>0</v>
      </c>
      <c r="Z350" s="1">
        <f t="shared" si="162"/>
        <v>0</v>
      </c>
      <c r="AA350" s="1">
        <f t="shared" si="163"/>
        <v>0</v>
      </c>
      <c r="AB350" s="1">
        <f t="shared" si="164"/>
        <v>0</v>
      </c>
      <c r="AD350" s="1">
        <f t="shared" si="165"/>
        <v>0</v>
      </c>
      <c r="AE350" s="1">
        <f t="shared" si="166"/>
        <v>1</v>
      </c>
      <c r="AF350" s="1">
        <f t="shared" si="151"/>
        <v>0</v>
      </c>
      <c r="AG350" s="1">
        <f t="shared" si="152"/>
        <v>1</v>
      </c>
      <c r="AH350" s="1">
        <f t="shared" si="153"/>
        <v>0</v>
      </c>
      <c r="AI350" s="1">
        <f t="shared" si="154"/>
        <v>1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629</v>
      </c>
      <c r="E351" s="16" t="s">
        <v>685</v>
      </c>
      <c r="F351" s="16" t="s">
        <v>670</v>
      </c>
      <c r="G351" s="16" t="s">
        <v>628</v>
      </c>
      <c r="H351" s="16" t="s">
        <v>354</v>
      </c>
      <c r="I351" s="15" t="s">
        <v>630</v>
      </c>
      <c r="J351" s="15">
        <v>99</v>
      </c>
      <c r="K351" s="10" t="s">
        <v>955</v>
      </c>
      <c r="L351" s="10" t="s">
        <v>39</v>
      </c>
      <c r="M351" s="19" t="s">
        <v>39</v>
      </c>
      <c r="N351" s="17"/>
      <c r="Q351" s="20" t="s">
        <v>1897</v>
      </c>
      <c r="S351" s="1">
        <f t="shared" si="155"/>
        <v>0</v>
      </c>
      <c r="T351" s="1">
        <f t="shared" si="156"/>
        <v>0</v>
      </c>
      <c r="U351" s="1">
        <f t="shared" si="157"/>
        <v>0</v>
      </c>
      <c r="V351" s="1">
        <f t="shared" si="158"/>
        <v>0</v>
      </c>
      <c r="W351" s="1">
        <f t="shared" si="159"/>
        <v>0</v>
      </c>
      <c r="X351" s="1">
        <f t="shared" si="160"/>
        <v>0</v>
      </c>
      <c r="Y351" s="1">
        <f t="shared" si="161"/>
        <v>0</v>
      </c>
      <c r="Z351" s="1">
        <f t="shared" si="162"/>
        <v>0</v>
      </c>
      <c r="AA351" s="1">
        <f t="shared" si="163"/>
        <v>0</v>
      </c>
      <c r="AB351" s="1">
        <f t="shared" si="164"/>
        <v>0</v>
      </c>
      <c r="AD351" s="1">
        <f t="shared" si="165"/>
        <v>0</v>
      </c>
      <c r="AE351" s="1">
        <f t="shared" si="166"/>
        <v>0</v>
      </c>
      <c r="AF351" s="1">
        <f t="shared" si="151"/>
        <v>0</v>
      </c>
      <c r="AG351" s="1">
        <f t="shared" si="152"/>
        <v>0</v>
      </c>
      <c r="AH351" s="1">
        <f t="shared" si="153"/>
        <v>0</v>
      </c>
      <c r="AI351" s="1">
        <f t="shared" si="154"/>
        <v>1</v>
      </c>
    </row>
    <row r="352" spans="1:35" ht="14.25" customHeight="1" x14ac:dyDescent="0.25">
      <c r="A352" s="34">
        <v>0</v>
      </c>
      <c r="B352" s="34">
        <v>2</v>
      </c>
      <c r="C352" s="34">
        <v>4</v>
      </c>
      <c r="D352" s="35" t="s">
        <v>84</v>
      </c>
      <c r="E352" s="35" t="s">
        <v>35</v>
      </c>
      <c r="F352" s="35" t="s">
        <v>277</v>
      </c>
      <c r="G352" s="35" t="s">
        <v>224</v>
      </c>
      <c r="H352" s="35" t="s">
        <v>354</v>
      </c>
      <c r="I352" s="34" t="s">
        <v>433</v>
      </c>
      <c r="J352" s="34">
        <v>99</v>
      </c>
      <c r="K352" s="36" t="s">
        <v>954</v>
      </c>
      <c r="L352" s="36" t="s">
        <v>704</v>
      </c>
      <c r="M352" s="37" t="s">
        <v>726</v>
      </c>
      <c r="N352" s="37" t="s">
        <v>1761</v>
      </c>
      <c r="O352" s="38">
        <v>1</v>
      </c>
      <c r="P352" s="38"/>
      <c r="Q352" s="35"/>
      <c r="S352" s="1">
        <f t="shared" si="155"/>
        <v>0</v>
      </c>
      <c r="T352" s="1">
        <f t="shared" si="156"/>
        <v>0</v>
      </c>
      <c r="U352" s="1">
        <f t="shared" si="157"/>
        <v>0</v>
      </c>
      <c r="V352" s="1">
        <f t="shared" si="158"/>
        <v>0</v>
      </c>
      <c r="W352" s="1">
        <f t="shared" si="159"/>
        <v>0</v>
      </c>
      <c r="X352" s="1">
        <f t="shared" si="160"/>
        <v>0</v>
      </c>
      <c r="Y352" s="1">
        <f t="shared" si="161"/>
        <v>0</v>
      </c>
      <c r="Z352" s="1">
        <f t="shared" si="162"/>
        <v>0</v>
      </c>
      <c r="AA352" s="1">
        <f t="shared" si="163"/>
        <v>0</v>
      </c>
      <c r="AB352" s="1">
        <f t="shared" si="164"/>
        <v>0</v>
      </c>
      <c r="AD352" s="1">
        <f t="shared" si="165"/>
        <v>0</v>
      </c>
      <c r="AE352" s="1">
        <f t="shared" si="166"/>
        <v>1</v>
      </c>
      <c r="AF352" s="1">
        <f t="shared" si="151"/>
        <v>0</v>
      </c>
      <c r="AG352" s="1">
        <f t="shared" si="152"/>
        <v>1</v>
      </c>
      <c r="AH352" s="1">
        <f t="shared" si="153"/>
        <v>0</v>
      </c>
      <c r="AI352" s="1">
        <f t="shared" si="154"/>
        <v>1</v>
      </c>
    </row>
    <row r="353" spans="1:16384" s="2" customFormat="1" ht="14.25" customHeight="1" x14ac:dyDescent="0.25">
      <c r="A353" s="15">
        <v>0</v>
      </c>
      <c r="B353" s="15">
        <v>2</v>
      </c>
      <c r="C353" s="15">
        <v>4</v>
      </c>
      <c r="D353" s="16" t="s">
        <v>879</v>
      </c>
      <c r="E353" s="16" t="s">
        <v>772</v>
      </c>
      <c r="F353" s="16" t="s">
        <v>877</v>
      </c>
      <c r="G353" s="16" t="s">
        <v>279</v>
      </c>
      <c r="H353" s="16" t="s">
        <v>354</v>
      </c>
      <c r="I353" s="15" t="s">
        <v>878</v>
      </c>
      <c r="J353" s="15">
        <v>99</v>
      </c>
      <c r="K353" s="10" t="s">
        <v>703</v>
      </c>
      <c r="L353" s="10">
        <v>25</v>
      </c>
      <c r="M353" s="19" t="s">
        <v>1421</v>
      </c>
      <c r="N353" s="19"/>
      <c r="O353" s="1"/>
      <c r="P353" s="1"/>
      <c r="Q353" s="16"/>
      <c r="R353" s="1"/>
      <c r="S353" s="1">
        <f t="shared" si="155"/>
        <v>0</v>
      </c>
      <c r="T353" s="1">
        <f t="shared" si="156"/>
        <v>0</v>
      </c>
      <c r="U353" s="1">
        <f t="shared" si="157"/>
        <v>0</v>
      </c>
      <c r="V353" s="1">
        <f t="shared" si="158"/>
        <v>0</v>
      </c>
      <c r="W353" s="1">
        <f t="shared" si="159"/>
        <v>0</v>
      </c>
      <c r="X353" s="1">
        <f t="shared" si="160"/>
        <v>0</v>
      </c>
      <c r="Y353" s="1">
        <f t="shared" si="161"/>
        <v>0</v>
      </c>
      <c r="Z353" s="1">
        <f t="shared" si="162"/>
        <v>0</v>
      </c>
      <c r="AA353" s="1">
        <f t="shared" si="163"/>
        <v>0</v>
      </c>
      <c r="AB353" s="1">
        <f t="shared" si="164"/>
        <v>0</v>
      </c>
      <c r="AC353" s="1"/>
      <c r="AD353" s="1">
        <f t="shared" si="165"/>
        <v>0</v>
      </c>
      <c r="AE353" s="1">
        <f t="shared" si="166"/>
        <v>0</v>
      </c>
      <c r="AF353" s="1">
        <f t="shared" si="151"/>
        <v>0</v>
      </c>
      <c r="AG353" s="1">
        <f t="shared" si="152"/>
        <v>0</v>
      </c>
      <c r="AH353" s="1">
        <f t="shared" si="153"/>
        <v>0</v>
      </c>
      <c r="AI353" s="1">
        <f t="shared" si="154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4</v>
      </c>
      <c r="D354" s="35" t="s">
        <v>922</v>
      </c>
      <c r="E354" s="35" t="s">
        <v>772</v>
      </c>
      <c r="F354" s="35" t="s">
        <v>844</v>
      </c>
      <c r="G354" s="35" t="s">
        <v>209</v>
      </c>
      <c r="H354" s="35" t="s">
        <v>354</v>
      </c>
      <c r="I354" s="34" t="s">
        <v>845</v>
      </c>
      <c r="J354" s="34">
        <v>99</v>
      </c>
      <c r="K354" s="36" t="s">
        <v>712</v>
      </c>
      <c r="L354" s="36" t="s">
        <v>704</v>
      </c>
      <c r="M354" s="37" t="s">
        <v>726</v>
      </c>
      <c r="N354" s="37" t="s">
        <v>1756</v>
      </c>
      <c r="O354" s="38">
        <v>1</v>
      </c>
      <c r="P354" s="38"/>
      <c r="Q354" s="35"/>
      <c r="R354" s="1"/>
      <c r="S354" s="1">
        <f t="shared" si="155"/>
        <v>0</v>
      </c>
      <c r="T354" s="1">
        <f t="shared" si="156"/>
        <v>0</v>
      </c>
      <c r="U354" s="1">
        <f t="shared" si="157"/>
        <v>0</v>
      </c>
      <c r="V354" s="1">
        <f t="shared" si="158"/>
        <v>0</v>
      </c>
      <c r="W354" s="1">
        <f t="shared" si="159"/>
        <v>0</v>
      </c>
      <c r="X354" s="1">
        <f t="shared" si="160"/>
        <v>0</v>
      </c>
      <c r="Y354" s="1">
        <f t="shared" si="161"/>
        <v>0</v>
      </c>
      <c r="Z354" s="1">
        <f t="shared" si="162"/>
        <v>0</v>
      </c>
      <c r="AA354" s="1">
        <f t="shared" si="163"/>
        <v>0</v>
      </c>
      <c r="AB354" s="1">
        <f t="shared" si="164"/>
        <v>0</v>
      </c>
      <c r="AC354" s="1"/>
      <c r="AD354" s="1">
        <f t="shared" si="165"/>
        <v>0</v>
      </c>
      <c r="AE354" s="1">
        <f t="shared" si="166"/>
        <v>1</v>
      </c>
      <c r="AF354" s="1">
        <f t="shared" si="151"/>
        <v>0</v>
      </c>
      <c r="AG354" s="1">
        <f t="shared" si="152"/>
        <v>1</v>
      </c>
      <c r="AH354" s="1">
        <f t="shared" si="153"/>
        <v>0</v>
      </c>
      <c r="AI354" s="1">
        <f t="shared" si="154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4</v>
      </c>
      <c r="D355" s="48" t="s">
        <v>1223</v>
      </c>
      <c r="E355" s="48" t="s">
        <v>1222</v>
      </c>
      <c r="F355" s="48" t="s">
        <v>1224</v>
      </c>
      <c r="G355" s="48" t="s">
        <v>535</v>
      </c>
      <c r="H355" s="48" t="s">
        <v>354</v>
      </c>
      <c r="I355" s="47" t="s">
        <v>1225</v>
      </c>
      <c r="J355" s="47">
        <v>99</v>
      </c>
      <c r="K355" s="49" t="s">
        <v>713</v>
      </c>
      <c r="L355" s="49" t="s">
        <v>694</v>
      </c>
      <c r="M355" s="50" t="s">
        <v>1422</v>
      </c>
      <c r="N355" s="50" t="s">
        <v>1747</v>
      </c>
      <c r="O355" s="51"/>
      <c r="P355" s="51"/>
      <c r="Q355" s="48"/>
      <c r="R355" s="1"/>
      <c r="S355" s="1">
        <f t="shared" si="155"/>
        <v>0</v>
      </c>
      <c r="T355" s="1">
        <f t="shared" si="156"/>
        <v>0</v>
      </c>
      <c r="U355" s="1">
        <f t="shared" si="157"/>
        <v>0</v>
      </c>
      <c r="V355" s="1">
        <f t="shared" si="158"/>
        <v>0</v>
      </c>
      <c r="W355" s="1">
        <f t="shared" si="159"/>
        <v>0</v>
      </c>
      <c r="X355" s="1">
        <f t="shared" si="160"/>
        <v>0</v>
      </c>
      <c r="Y355" s="1">
        <f t="shared" si="161"/>
        <v>0</v>
      </c>
      <c r="Z355" s="1">
        <f t="shared" si="162"/>
        <v>0</v>
      </c>
      <c r="AA355" s="1">
        <f t="shared" si="163"/>
        <v>0</v>
      </c>
      <c r="AB355" s="1">
        <f t="shared" si="164"/>
        <v>0</v>
      </c>
      <c r="AC355" s="1"/>
      <c r="AD355" s="1">
        <f t="shared" si="165"/>
        <v>0</v>
      </c>
      <c r="AE355" s="1">
        <f t="shared" si="166"/>
        <v>0</v>
      </c>
      <c r="AF355" s="1">
        <f t="shared" si="151"/>
        <v>0</v>
      </c>
      <c r="AG355" s="1">
        <f t="shared" si="152"/>
        <v>0</v>
      </c>
      <c r="AH355" s="1">
        <f t="shared" si="153"/>
        <v>0</v>
      </c>
      <c r="AI355" s="1">
        <f t="shared" si="154"/>
        <v>1</v>
      </c>
      <c r="AJ355" s="1"/>
    </row>
    <row r="356" spans="1:16384" s="2" customFormat="1" ht="14.25" customHeight="1" x14ac:dyDescent="0.25">
      <c r="A356" s="34">
        <v>0</v>
      </c>
      <c r="B356" s="34">
        <v>2</v>
      </c>
      <c r="C356" s="34">
        <v>4</v>
      </c>
      <c r="D356" s="35" t="s">
        <v>823</v>
      </c>
      <c r="E356" s="35" t="s">
        <v>590</v>
      </c>
      <c r="F356" s="35" t="s">
        <v>824</v>
      </c>
      <c r="G356" s="35" t="s">
        <v>937</v>
      </c>
      <c r="H356" s="35" t="s">
        <v>354</v>
      </c>
      <c r="I356" s="34" t="s">
        <v>951</v>
      </c>
      <c r="J356" s="34">
        <v>7</v>
      </c>
      <c r="K356" s="36" t="s">
        <v>712</v>
      </c>
      <c r="L356" s="36" t="s">
        <v>39</v>
      </c>
      <c r="M356" s="37" t="s">
        <v>39</v>
      </c>
      <c r="N356" s="37" t="s">
        <v>1727</v>
      </c>
      <c r="O356" s="38">
        <v>1</v>
      </c>
      <c r="P356" s="38">
        <v>1</v>
      </c>
      <c r="Q356" s="35"/>
      <c r="R356" s="1"/>
      <c r="S356" s="1">
        <f t="shared" si="155"/>
        <v>0</v>
      </c>
      <c r="T356" s="1">
        <f t="shared" si="156"/>
        <v>0</v>
      </c>
      <c r="U356" s="1">
        <f t="shared" si="157"/>
        <v>0</v>
      </c>
      <c r="V356" s="1">
        <f t="shared" si="158"/>
        <v>0</v>
      </c>
      <c r="W356" s="1">
        <f t="shared" si="159"/>
        <v>0</v>
      </c>
      <c r="X356" s="1">
        <f t="shared" si="160"/>
        <v>0</v>
      </c>
      <c r="Y356" s="1">
        <f t="shared" si="161"/>
        <v>1</v>
      </c>
      <c r="Z356" s="1">
        <f t="shared" si="162"/>
        <v>0</v>
      </c>
      <c r="AA356" s="1">
        <f t="shared" si="163"/>
        <v>0</v>
      </c>
      <c r="AB356" s="1">
        <f t="shared" si="164"/>
        <v>0</v>
      </c>
      <c r="AC356" s="1"/>
      <c r="AD356" s="1">
        <f t="shared" si="165"/>
        <v>1</v>
      </c>
      <c r="AE356" s="1">
        <f t="shared" si="166"/>
        <v>0</v>
      </c>
      <c r="AF356" s="1">
        <f t="shared" si="151"/>
        <v>1</v>
      </c>
      <c r="AG356" s="1">
        <f t="shared" si="152"/>
        <v>0</v>
      </c>
      <c r="AH356" s="1">
        <f t="shared" si="153"/>
        <v>1</v>
      </c>
      <c r="AI356" s="1">
        <f t="shared" si="154"/>
        <v>0</v>
      </c>
      <c r="AJ356" s="1"/>
    </row>
    <row r="357" spans="1:16384" s="2" customFormat="1" ht="14.25" customHeight="1" x14ac:dyDescent="0.25">
      <c r="A357" s="47">
        <v>0</v>
      </c>
      <c r="B357" s="47">
        <v>2</v>
      </c>
      <c r="C357" s="47">
        <v>4</v>
      </c>
      <c r="D357" s="48" t="s">
        <v>1605</v>
      </c>
      <c r="E357" s="48" t="s">
        <v>1655</v>
      </c>
      <c r="F357" s="48" t="s">
        <v>1606</v>
      </c>
      <c r="G357" s="48" t="s">
        <v>333</v>
      </c>
      <c r="H357" s="48" t="s">
        <v>354</v>
      </c>
      <c r="I357" s="47" t="s">
        <v>30</v>
      </c>
      <c r="J357" s="47">
        <v>99</v>
      </c>
      <c r="K357" s="49" t="s">
        <v>713</v>
      </c>
      <c r="L357" s="49">
        <v>20</v>
      </c>
      <c r="M357" s="50" t="s">
        <v>39</v>
      </c>
      <c r="N357" s="50" t="s">
        <v>1741</v>
      </c>
      <c r="O357" s="51"/>
      <c r="P357" s="51"/>
      <c r="Q357" s="48"/>
      <c r="R357" s="1"/>
      <c r="S357" s="1">
        <f t="shared" si="155"/>
        <v>0</v>
      </c>
      <c r="T357" s="1">
        <f t="shared" si="156"/>
        <v>0</v>
      </c>
      <c r="U357" s="1">
        <f t="shared" si="157"/>
        <v>0</v>
      </c>
      <c r="V357" s="1">
        <f t="shared" si="158"/>
        <v>0</v>
      </c>
      <c r="W357" s="1">
        <f t="shared" si="159"/>
        <v>0</v>
      </c>
      <c r="X357" s="1">
        <f t="shared" si="160"/>
        <v>0</v>
      </c>
      <c r="Y357" s="1">
        <f t="shared" si="161"/>
        <v>0</v>
      </c>
      <c r="Z357" s="1">
        <f t="shared" si="162"/>
        <v>0</v>
      </c>
      <c r="AA357" s="1">
        <f t="shared" si="163"/>
        <v>0</v>
      </c>
      <c r="AB357" s="1">
        <f t="shared" si="164"/>
        <v>0</v>
      </c>
      <c r="AC357" s="1"/>
      <c r="AD357" s="1">
        <f t="shared" ref="AD357:AD360" si="167">+O357*P357</f>
        <v>0</v>
      </c>
      <c r="AE357" s="1">
        <f t="shared" ref="AE357:AE360" si="168">O357*(1-P357)</f>
        <v>0</v>
      </c>
      <c r="AF357" s="1">
        <f t="shared" ref="AF357:AF360" si="169">+O357*P357*(1-A357)</f>
        <v>0</v>
      </c>
      <c r="AG357" s="1">
        <f t="shared" ref="AG357:AG360" si="170">O357*(1-P357)*(1-A357)</f>
        <v>0</v>
      </c>
      <c r="AH357" s="1">
        <f t="shared" ref="AH357:AH360" si="171">+P357*(1-A357)</f>
        <v>0</v>
      </c>
      <c r="AI357" s="1">
        <f t="shared" ref="AI357:AI360" si="172">+(1-A357)*(1-P357)</f>
        <v>1</v>
      </c>
      <c r="AJ357" s="1"/>
    </row>
    <row r="358" spans="1:16384" s="2" customFormat="1" ht="14.25" customHeight="1" x14ac:dyDescent="0.25">
      <c r="A358" s="34">
        <v>0</v>
      </c>
      <c r="B358" s="34">
        <v>2</v>
      </c>
      <c r="C358" s="34">
        <v>5</v>
      </c>
      <c r="D358" s="35" t="s">
        <v>58</v>
      </c>
      <c r="E358" s="35" t="s">
        <v>44</v>
      </c>
      <c r="F358" s="35" t="s">
        <v>671</v>
      </c>
      <c r="G358" s="35" t="s">
        <v>223</v>
      </c>
      <c r="H358" s="35" t="s">
        <v>354</v>
      </c>
      <c r="I358" s="34" t="s">
        <v>397</v>
      </c>
      <c r="J358" s="34">
        <v>8</v>
      </c>
      <c r="K358" s="36" t="s">
        <v>713</v>
      </c>
      <c r="L358" s="36" t="s">
        <v>716</v>
      </c>
      <c r="M358" s="37" t="s">
        <v>1423</v>
      </c>
      <c r="N358" s="37" t="s">
        <v>1748</v>
      </c>
      <c r="O358" s="38">
        <v>1</v>
      </c>
      <c r="P358" s="38"/>
      <c r="Q358" s="35"/>
      <c r="R358" s="1"/>
      <c r="S358" s="1">
        <f t="shared" si="155"/>
        <v>0</v>
      </c>
      <c r="T358" s="1">
        <f t="shared" si="156"/>
        <v>0</v>
      </c>
      <c r="U358" s="1">
        <f t="shared" si="157"/>
        <v>0</v>
      </c>
      <c r="V358" s="1">
        <f t="shared" si="158"/>
        <v>0</v>
      </c>
      <c r="W358" s="1">
        <f t="shared" si="159"/>
        <v>0</v>
      </c>
      <c r="X358" s="1">
        <f t="shared" si="160"/>
        <v>0</v>
      </c>
      <c r="Y358" s="1">
        <f t="shared" si="161"/>
        <v>0</v>
      </c>
      <c r="Z358" s="1">
        <f t="shared" si="162"/>
        <v>1</v>
      </c>
      <c r="AA358" s="1">
        <f t="shared" si="163"/>
        <v>0</v>
      </c>
      <c r="AB358" s="1">
        <f t="shared" si="164"/>
        <v>0</v>
      </c>
      <c r="AC358" s="1"/>
      <c r="AD358" s="1">
        <f t="shared" si="167"/>
        <v>0</v>
      </c>
      <c r="AE358" s="1">
        <f t="shared" si="168"/>
        <v>1</v>
      </c>
      <c r="AF358" s="1">
        <f t="shared" si="169"/>
        <v>0</v>
      </c>
      <c r="AG358" s="1">
        <f t="shared" si="170"/>
        <v>1</v>
      </c>
      <c r="AH358" s="1">
        <f t="shared" si="171"/>
        <v>0</v>
      </c>
      <c r="AI358" s="1">
        <f t="shared" si="172"/>
        <v>1</v>
      </c>
      <c r="AJ358" s="1"/>
    </row>
    <row r="359" spans="1:16384" s="2" customFormat="1" ht="14.25" customHeight="1" x14ac:dyDescent="0.25">
      <c r="A359" s="47">
        <v>0</v>
      </c>
      <c r="B359" s="47">
        <v>2</v>
      </c>
      <c r="C359" s="47">
        <v>5</v>
      </c>
      <c r="D359" s="48" t="s">
        <v>832</v>
      </c>
      <c r="E359" s="48" t="s">
        <v>831</v>
      </c>
      <c r="F359" s="48" t="s">
        <v>924</v>
      </c>
      <c r="G359" s="48" t="s">
        <v>213</v>
      </c>
      <c r="H359" s="48" t="s">
        <v>354</v>
      </c>
      <c r="I359" s="47" t="s">
        <v>833</v>
      </c>
      <c r="J359" s="47">
        <v>1</v>
      </c>
      <c r="K359" s="49" t="s">
        <v>712</v>
      </c>
      <c r="L359" s="49" t="s">
        <v>693</v>
      </c>
      <c r="M359" s="50" t="s">
        <v>1424</v>
      </c>
      <c r="N359" s="50" t="s">
        <v>1735</v>
      </c>
      <c r="O359" s="51"/>
      <c r="P359" s="51"/>
      <c r="Q359" s="48"/>
      <c r="R359" s="1"/>
      <c r="S359" s="1">
        <f t="shared" si="155"/>
        <v>1</v>
      </c>
      <c r="T359" s="1">
        <f t="shared" si="156"/>
        <v>0</v>
      </c>
      <c r="U359" s="1">
        <f t="shared" si="157"/>
        <v>0</v>
      </c>
      <c r="V359" s="1">
        <f t="shared" si="158"/>
        <v>0</v>
      </c>
      <c r="W359" s="1">
        <f t="shared" si="159"/>
        <v>0</v>
      </c>
      <c r="X359" s="1">
        <f t="shared" si="160"/>
        <v>0</v>
      </c>
      <c r="Y359" s="1">
        <f t="shared" si="161"/>
        <v>0</v>
      </c>
      <c r="Z359" s="1">
        <f t="shared" si="162"/>
        <v>0</v>
      </c>
      <c r="AA359" s="1">
        <f t="shared" si="163"/>
        <v>0</v>
      </c>
      <c r="AB359" s="1">
        <f t="shared" si="164"/>
        <v>0</v>
      </c>
      <c r="AC359" s="1"/>
      <c r="AD359" s="1">
        <f t="shared" si="167"/>
        <v>0</v>
      </c>
      <c r="AE359" s="1">
        <f t="shared" si="168"/>
        <v>0</v>
      </c>
      <c r="AF359" s="1">
        <f t="shared" si="169"/>
        <v>0</v>
      </c>
      <c r="AG359" s="1">
        <f t="shared" si="170"/>
        <v>0</v>
      </c>
      <c r="AH359" s="1">
        <f t="shared" si="171"/>
        <v>0</v>
      </c>
      <c r="AI359" s="1">
        <f t="shared" si="172"/>
        <v>1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65</v>
      </c>
      <c r="E360" s="35" t="s">
        <v>164</v>
      </c>
      <c r="F360" s="35" t="s">
        <v>547</v>
      </c>
      <c r="G360" s="35" t="s">
        <v>194</v>
      </c>
      <c r="H360" s="35" t="s">
        <v>354</v>
      </c>
      <c r="I360" s="34" t="s">
        <v>552</v>
      </c>
      <c r="J360" s="34">
        <v>9</v>
      </c>
      <c r="K360" s="36" t="s">
        <v>713</v>
      </c>
      <c r="L360" s="36" t="s">
        <v>687</v>
      </c>
      <c r="M360" s="37" t="s">
        <v>1443</v>
      </c>
      <c r="N360" s="37" t="s">
        <v>1761</v>
      </c>
      <c r="O360" s="38">
        <v>1</v>
      </c>
      <c r="P360" s="38"/>
      <c r="Q360" s="35"/>
      <c r="R360" s="1"/>
      <c r="S360" s="1">
        <f t="shared" si="155"/>
        <v>0</v>
      </c>
      <c r="T360" s="1">
        <f t="shared" si="156"/>
        <v>0</v>
      </c>
      <c r="U360" s="1">
        <f t="shared" si="157"/>
        <v>0</v>
      </c>
      <c r="V360" s="1">
        <f t="shared" si="158"/>
        <v>0</v>
      </c>
      <c r="W360" s="1">
        <f t="shared" si="159"/>
        <v>0</v>
      </c>
      <c r="X360" s="1">
        <f t="shared" si="160"/>
        <v>0</v>
      </c>
      <c r="Y360" s="1">
        <f t="shared" si="161"/>
        <v>0</v>
      </c>
      <c r="Z360" s="1">
        <f t="shared" si="162"/>
        <v>0</v>
      </c>
      <c r="AA360" s="1">
        <f t="shared" si="163"/>
        <v>1</v>
      </c>
      <c r="AB360" s="1">
        <f t="shared" si="164"/>
        <v>0</v>
      </c>
      <c r="AC360" s="1"/>
      <c r="AD360" s="1">
        <f t="shared" si="167"/>
        <v>0</v>
      </c>
      <c r="AE360" s="1">
        <f t="shared" si="168"/>
        <v>1</v>
      </c>
      <c r="AF360" s="1">
        <f t="shared" si="169"/>
        <v>0</v>
      </c>
      <c r="AG360" s="1">
        <f t="shared" si="170"/>
        <v>1</v>
      </c>
      <c r="AH360" s="1">
        <f t="shared" si="171"/>
        <v>0</v>
      </c>
      <c r="AI360" s="1">
        <f t="shared" si="172"/>
        <v>1</v>
      </c>
      <c r="AJ360" s="1"/>
    </row>
    <row r="361" spans="1:16384" s="2" customFormat="1" ht="14.25" customHeight="1" x14ac:dyDescent="0.25">
      <c r="A361" s="47">
        <v>0</v>
      </c>
      <c r="B361" s="47">
        <v>2</v>
      </c>
      <c r="C361" s="47">
        <v>5</v>
      </c>
      <c r="D361" s="48" t="s">
        <v>1486</v>
      </c>
      <c r="E361" s="48" t="s">
        <v>35</v>
      </c>
      <c r="F361" s="68" t="s">
        <v>1873</v>
      </c>
      <c r="G361" s="48" t="s">
        <v>222</v>
      </c>
      <c r="H361" s="48" t="s">
        <v>354</v>
      </c>
      <c r="I361" s="47" t="s">
        <v>1686</v>
      </c>
      <c r="J361" s="47">
        <v>99</v>
      </c>
      <c r="K361" s="49" t="s">
        <v>713</v>
      </c>
      <c r="L361" s="49">
        <v>25</v>
      </c>
      <c r="M361" s="50" t="s">
        <v>39</v>
      </c>
      <c r="N361" s="50" t="s">
        <v>1737</v>
      </c>
      <c r="O361" s="51"/>
      <c r="P361" s="51"/>
      <c r="Q361" s="48"/>
      <c r="R361" s="1"/>
      <c r="S361" s="1">
        <f t="shared" si="155"/>
        <v>0</v>
      </c>
      <c r="T361" s="1">
        <f t="shared" si="156"/>
        <v>0</v>
      </c>
      <c r="U361" s="1">
        <f t="shared" si="157"/>
        <v>0</v>
      </c>
      <c r="V361" s="1">
        <f t="shared" si="158"/>
        <v>0</v>
      </c>
      <c r="W361" s="1">
        <f t="shared" si="159"/>
        <v>0</v>
      </c>
      <c r="X361" s="1">
        <f t="shared" si="160"/>
        <v>0</v>
      </c>
      <c r="Y361" s="1">
        <f t="shared" si="161"/>
        <v>0</v>
      </c>
      <c r="Z361" s="1">
        <f t="shared" si="162"/>
        <v>0</v>
      </c>
      <c r="AA361" s="1">
        <f t="shared" si="163"/>
        <v>0</v>
      </c>
      <c r="AB361" s="1">
        <f t="shared" si="164"/>
        <v>0</v>
      </c>
      <c r="AC361" s="1"/>
      <c r="AD361" s="1">
        <f t="shared" si="165"/>
        <v>0</v>
      </c>
      <c r="AE361" s="1">
        <f t="shared" si="166"/>
        <v>0</v>
      </c>
      <c r="AF361" s="1">
        <f t="shared" si="151"/>
        <v>0</v>
      </c>
      <c r="AG361" s="1">
        <f t="shared" si="152"/>
        <v>0</v>
      </c>
      <c r="AH361" s="1">
        <f t="shared" si="153"/>
        <v>0</v>
      </c>
      <c r="AI361" s="1">
        <f t="shared" si="154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1819</v>
      </c>
      <c r="E362" s="48" t="s">
        <v>772</v>
      </c>
      <c r="F362" s="48" t="s">
        <v>1820</v>
      </c>
      <c r="G362" s="48" t="s">
        <v>224</v>
      </c>
      <c r="H362" s="48" t="s">
        <v>354</v>
      </c>
      <c r="I362" s="47" t="s">
        <v>1821</v>
      </c>
      <c r="J362" s="47">
        <v>99</v>
      </c>
      <c r="K362" s="49" t="s">
        <v>1822</v>
      </c>
      <c r="L362" s="49">
        <v>40</v>
      </c>
      <c r="M362" s="50" t="s">
        <v>1823</v>
      </c>
      <c r="N362" s="50" t="s">
        <v>1809</v>
      </c>
      <c r="O362" s="51"/>
      <c r="P362" s="51"/>
      <c r="Q362" s="48"/>
      <c r="R362" s="1"/>
      <c r="S362" s="1">
        <f t="shared" si="155"/>
        <v>0</v>
      </c>
      <c r="T362" s="1">
        <f t="shared" si="156"/>
        <v>0</v>
      </c>
      <c r="U362" s="1">
        <f t="shared" si="157"/>
        <v>0</v>
      </c>
      <c r="V362" s="1">
        <f t="shared" si="158"/>
        <v>0</v>
      </c>
      <c r="W362" s="1">
        <f t="shared" si="159"/>
        <v>0</v>
      </c>
      <c r="X362" s="1">
        <f t="shared" si="160"/>
        <v>0</v>
      </c>
      <c r="Y362" s="1">
        <f t="shared" si="161"/>
        <v>0</v>
      </c>
      <c r="Z362" s="1">
        <f t="shared" si="162"/>
        <v>0</v>
      </c>
      <c r="AA362" s="1">
        <f t="shared" si="163"/>
        <v>0</v>
      </c>
      <c r="AB362" s="1">
        <f t="shared" si="164"/>
        <v>0</v>
      </c>
      <c r="AC362" s="1"/>
      <c r="AD362" s="1">
        <f t="shared" si="165"/>
        <v>0</v>
      </c>
      <c r="AE362" s="1">
        <f t="shared" si="166"/>
        <v>0</v>
      </c>
      <c r="AF362" s="1">
        <f t="shared" si="151"/>
        <v>0</v>
      </c>
      <c r="AG362" s="1">
        <f t="shared" si="152"/>
        <v>0</v>
      </c>
      <c r="AH362" s="1">
        <f t="shared" si="153"/>
        <v>0</v>
      </c>
      <c r="AI362" s="1">
        <f t="shared" si="154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616</v>
      </c>
      <c r="E363" s="35" t="s">
        <v>686</v>
      </c>
      <c r="F363" s="35" t="s">
        <v>617</v>
      </c>
      <c r="G363" s="35" t="s">
        <v>287</v>
      </c>
      <c r="H363" s="35" t="s">
        <v>354</v>
      </c>
      <c r="I363" s="34" t="s">
        <v>618</v>
      </c>
      <c r="J363" s="34">
        <v>99</v>
      </c>
      <c r="K363" s="36" t="s">
        <v>712</v>
      </c>
      <c r="L363" s="36" t="s">
        <v>704</v>
      </c>
      <c r="M363" s="37" t="s">
        <v>1425</v>
      </c>
      <c r="N363" s="37" t="s">
        <v>1743</v>
      </c>
      <c r="O363" s="38">
        <v>1</v>
      </c>
      <c r="P363" s="38"/>
      <c r="Q363" s="35"/>
      <c r="R363" s="1"/>
      <c r="S363" s="1">
        <f t="shared" si="155"/>
        <v>0</v>
      </c>
      <c r="T363" s="1">
        <f t="shared" si="156"/>
        <v>0</v>
      </c>
      <c r="U363" s="1">
        <f t="shared" si="157"/>
        <v>0</v>
      </c>
      <c r="V363" s="1">
        <f t="shared" si="158"/>
        <v>0</v>
      </c>
      <c r="W363" s="1">
        <f t="shared" si="159"/>
        <v>0</v>
      </c>
      <c r="X363" s="1">
        <f t="shared" si="160"/>
        <v>0</v>
      </c>
      <c r="Y363" s="1">
        <f t="shared" si="161"/>
        <v>0</v>
      </c>
      <c r="Z363" s="1">
        <f t="shared" si="162"/>
        <v>0</v>
      </c>
      <c r="AA363" s="1">
        <f t="shared" si="163"/>
        <v>0</v>
      </c>
      <c r="AB363" s="1">
        <f t="shared" si="164"/>
        <v>0</v>
      </c>
      <c r="AC363" s="1"/>
      <c r="AD363" s="1">
        <f t="shared" si="165"/>
        <v>0</v>
      </c>
      <c r="AE363" s="1">
        <f t="shared" si="166"/>
        <v>1</v>
      </c>
      <c r="AF363" s="1">
        <f t="shared" si="151"/>
        <v>0</v>
      </c>
      <c r="AG363" s="1">
        <f t="shared" si="152"/>
        <v>1</v>
      </c>
      <c r="AH363" s="1">
        <f t="shared" si="153"/>
        <v>0</v>
      </c>
      <c r="AI363" s="1">
        <f t="shared" si="154"/>
        <v>1</v>
      </c>
      <c r="AJ363" s="1"/>
    </row>
    <row r="364" spans="1:16384" s="2" customFormat="1" ht="14.25" customHeight="1" x14ac:dyDescent="0.25">
      <c r="A364" s="47">
        <v>0</v>
      </c>
      <c r="B364" s="47">
        <v>2</v>
      </c>
      <c r="C364" s="47">
        <v>5</v>
      </c>
      <c r="D364" s="48" t="s">
        <v>1488</v>
      </c>
      <c r="E364" s="48" t="s">
        <v>772</v>
      </c>
      <c r="F364" s="48" t="s">
        <v>1489</v>
      </c>
      <c r="G364" s="48" t="s">
        <v>196</v>
      </c>
      <c r="H364" s="48" t="s">
        <v>354</v>
      </c>
      <c r="I364" s="47" t="s">
        <v>1490</v>
      </c>
      <c r="J364" s="47">
        <v>99</v>
      </c>
      <c r="K364" s="49" t="s">
        <v>954</v>
      </c>
      <c r="L364" s="49" t="s">
        <v>693</v>
      </c>
      <c r="M364" s="50" t="s">
        <v>1416</v>
      </c>
      <c r="N364" s="50" t="s">
        <v>1735</v>
      </c>
      <c r="O364" s="51"/>
      <c r="P364" s="51"/>
      <c r="Q364" s="48"/>
      <c r="R364" s="1"/>
      <c r="S364" s="1">
        <f t="shared" si="155"/>
        <v>0</v>
      </c>
      <c r="T364" s="1">
        <f t="shared" si="156"/>
        <v>0</v>
      </c>
      <c r="U364" s="1">
        <f t="shared" si="157"/>
        <v>0</v>
      </c>
      <c r="V364" s="1">
        <f t="shared" si="158"/>
        <v>0</v>
      </c>
      <c r="W364" s="1">
        <f t="shared" si="159"/>
        <v>0</v>
      </c>
      <c r="X364" s="1">
        <f t="shared" si="160"/>
        <v>0</v>
      </c>
      <c r="Y364" s="1">
        <f t="shared" si="161"/>
        <v>0</v>
      </c>
      <c r="Z364" s="1">
        <f t="shared" si="162"/>
        <v>0</v>
      </c>
      <c r="AA364" s="1">
        <f t="shared" si="163"/>
        <v>0</v>
      </c>
      <c r="AB364" s="1">
        <f t="shared" si="164"/>
        <v>0</v>
      </c>
      <c r="AC364" s="1"/>
      <c r="AD364" s="1">
        <f t="shared" si="165"/>
        <v>0</v>
      </c>
      <c r="AE364" s="1">
        <f t="shared" si="166"/>
        <v>0</v>
      </c>
      <c r="AF364" s="1">
        <f t="shared" si="151"/>
        <v>0</v>
      </c>
      <c r="AG364" s="1">
        <f t="shared" si="152"/>
        <v>0</v>
      </c>
      <c r="AH364" s="1">
        <f t="shared" si="153"/>
        <v>0</v>
      </c>
      <c r="AI364" s="1">
        <f t="shared" si="154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775</v>
      </c>
      <c r="E365" s="48" t="s">
        <v>772</v>
      </c>
      <c r="F365" s="48" t="s">
        <v>777</v>
      </c>
      <c r="G365" s="48" t="s">
        <v>207</v>
      </c>
      <c r="H365" s="48" t="s">
        <v>354</v>
      </c>
      <c r="I365" s="47" t="s">
        <v>776</v>
      </c>
      <c r="J365" s="47">
        <v>99</v>
      </c>
      <c r="K365" s="49" t="s">
        <v>712</v>
      </c>
      <c r="L365" s="49" t="s">
        <v>694</v>
      </c>
      <c r="M365" s="50" t="s">
        <v>1426</v>
      </c>
      <c r="N365" s="50" t="s">
        <v>1735</v>
      </c>
      <c r="O365" s="51"/>
      <c r="P365" s="51"/>
      <c r="Q365" s="48"/>
      <c r="R365" s="34"/>
      <c r="S365" s="34">
        <f t="shared" si="155"/>
        <v>0</v>
      </c>
      <c r="T365" s="34">
        <f t="shared" si="156"/>
        <v>0</v>
      </c>
      <c r="U365" s="35">
        <f t="shared" si="157"/>
        <v>0</v>
      </c>
      <c r="V365" s="35">
        <f t="shared" si="158"/>
        <v>0</v>
      </c>
      <c r="W365" s="35">
        <f t="shared" si="159"/>
        <v>0</v>
      </c>
      <c r="X365" s="35">
        <f t="shared" si="160"/>
        <v>0</v>
      </c>
      <c r="Y365" s="35">
        <f t="shared" si="161"/>
        <v>0</v>
      </c>
      <c r="Z365" s="34">
        <f t="shared" si="162"/>
        <v>0</v>
      </c>
      <c r="AA365" s="34">
        <f t="shared" si="163"/>
        <v>0</v>
      </c>
      <c r="AB365" s="36">
        <f t="shared" si="164"/>
        <v>0</v>
      </c>
      <c r="AC365" s="36"/>
      <c r="AD365" s="37">
        <f t="shared" si="165"/>
        <v>0</v>
      </c>
      <c r="AE365" s="37">
        <f t="shared" si="166"/>
        <v>0</v>
      </c>
      <c r="AF365" s="38">
        <f t="shared" si="151"/>
        <v>0</v>
      </c>
      <c r="AG365" s="38">
        <f t="shared" si="152"/>
        <v>0</v>
      </c>
      <c r="AH365" s="39">
        <f t="shared" si="153"/>
        <v>0</v>
      </c>
      <c r="AI365" s="34">
        <f t="shared" si="154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1</v>
      </c>
      <c r="B366" s="47">
        <v>2</v>
      </c>
      <c r="C366" s="47">
        <v>5</v>
      </c>
      <c r="D366" s="48" t="s">
        <v>775</v>
      </c>
      <c r="E366" s="48" t="s">
        <v>772</v>
      </c>
      <c r="F366" s="48" t="s">
        <v>1006</v>
      </c>
      <c r="G366" s="48" t="s">
        <v>190</v>
      </c>
      <c r="H366" s="48" t="s">
        <v>354</v>
      </c>
      <c r="I366" s="47" t="s">
        <v>1007</v>
      </c>
      <c r="J366" s="47">
        <v>99</v>
      </c>
      <c r="K366" s="49" t="s">
        <v>712</v>
      </c>
      <c r="L366" s="49" t="s">
        <v>694</v>
      </c>
      <c r="M366" s="50" t="s">
        <v>1426</v>
      </c>
      <c r="N366" s="50" t="s">
        <v>1735</v>
      </c>
      <c r="O366" s="51"/>
      <c r="P366" s="51"/>
      <c r="Q366" s="48"/>
      <c r="R366" s="1"/>
      <c r="S366" s="1">
        <f t="shared" si="155"/>
        <v>0</v>
      </c>
      <c r="T366" s="1">
        <f t="shared" si="156"/>
        <v>0</v>
      </c>
      <c r="U366" s="1">
        <f t="shared" si="157"/>
        <v>0</v>
      </c>
      <c r="V366" s="1">
        <f t="shared" si="158"/>
        <v>0</v>
      </c>
      <c r="W366" s="1">
        <f t="shared" si="159"/>
        <v>0</v>
      </c>
      <c r="X366" s="1">
        <f t="shared" si="160"/>
        <v>0</v>
      </c>
      <c r="Y366" s="1">
        <f t="shared" si="161"/>
        <v>0</v>
      </c>
      <c r="Z366" s="1">
        <f t="shared" si="162"/>
        <v>0</v>
      </c>
      <c r="AA366" s="1">
        <f t="shared" si="163"/>
        <v>0</v>
      </c>
      <c r="AB366" s="1">
        <f t="shared" si="164"/>
        <v>0</v>
      </c>
      <c r="AC366" s="1"/>
      <c r="AD366" s="1">
        <f t="shared" si="165"/>
        <v>0</v>
      </c>
      <c r="AE366" s="1">
        <f t="shared" si="166"/>
        <v>0</v>
      </c>
      <c r="AF366" s="1">
        <f t="shared" si="151"/>
        <v>0</v>
      </c>
      <c r="AG366" s="1">
        <f t="shared" si="152"/>
        <v>0</v>
      </c>
      <c r="AH366" s="1">
        <f t="shared" si="153"/>
        <v>0</v>
      </c>
      <c r="AI366" s="1">
        <f t="shared" si="154"/>
        <v>0</v>
      </c>
      <c r="AJ366" s="1"/>
    </row>
    <row r="367" spans="1:16384" s="2" customFormat="1" ht="14.25" customHeight="1" x14ac:dyDescent="0.25">
      <c r="A367" s="15">
        <v>0</v>
      </c>
      <c r="B367" s="15">
        <v>2</v>
      </c>
      <c r="C367" s="15">
        <v>5</v>
      </c>
      <c r="D367" s="16" t="s">
        <v>916</v>
      </c>
      <c r="E367" s="16" t="s">
        <v>911</v>
      </c>
      <c r="F367" s="16" t="s">
        <v>929</v>
      </c>
      <c r="G367" s="16" t="s">
        <v>1350</v>
      </c>
      <c r="H367" s="16" t="s">
        <v>354</v>
      </c>
      <c r="I367" s="15" t="s">
        <v>770</v>
      </c>
      <c r="J367" s="15">
        <v>99</v>
      </c>
      <c r="K367" s="10" t="s">
        <v>703</v>
      </c>
      <c r="L367" s="10">
        <v>20</v>
      </c>
      <c r="M367" s="19" t="s">
        <v>1427</v>
      </c>
      <c r="N367" s="19"/>
      <c r="O367" s="1"/>
      <c r="P367" s="1"/>
      <c r="Q367" s="16"/>
      <c r="R367" s="1"/>
      <c r="S367" s="1">
        <f t="shared" si="155"/>
        <v>0</v>
      </c>
      <c r="T367" s="1">
        <f t="shared" si="156"/>
        <v>0</v>
      </c>
      <c r="U367" s="1">
        <f t="shared" si="157"/>
        <v>0</v>
      </c>
      <c r="V367" s="1">
        <f t="shared" si="158"/>
        <v>0</v>
      </c>
      <c r="W367" s="1">
        <f t="shared" si="159"/>
        <v>0</v>
      </c>
      <c r="X367" s="1">
        <f t="shared" si="160"/>
        <v>0</v>
      </c>
      <c r="Y367" s="1">
        <f t="shared" si="161"/>
        <v>0</v>
      </c>
      <c r="Z367" s="1">
        <f t="shared" si="162"/>
        <v>0</v>
      </c>
      <c r="AA367" s="1">
        <f t="shared" si="163"/>
        <v>0</v>
      </c>
      <c r="AB367" s="1">
        <f t="shared" si="164"/>
        <v>0</v>
      </c>
      <c r="AC367" s="1"/>
      <c r="AD367" s="1">
        <f t="shared" si="165"/>
        <v>0</v>
      </c>
      <c r="AE367" s="1">
        <f t="shared" si="166"/>
        <v>0</v>
      </c>
      <c r="AF367" s="1">
        <f t="shared" si="151"/>
        <v>0</v>
      </c>
      <c r="AG367" s="1">
        <f t="shared" si="152"/>
        <v>0</v>
      </c>
      <c r="AH367" s="1">
        <f t="shared" si="153"/>
        <v>0</v>
      </c>
      <c r="AI367" s="1">
        <f t="shared" si="154"/>
        <v>1</v>
      </c>
      <c r="AJ367" s="1"/>
    </row>
    <row r="368" spans="1:16384" s="2" customFormat="1" ht="14.25" customHeight="1" x14ac:dyDescent="0.25">
      <c r="A368" s="52">
        <v>0</v>
      </c>
      <c r="B368" s="52">
        <v>2</v>
      </c>
      <c r="C368" s="52">
        <v>5</v>
      </c>
      <c r="D368" s="58" t="s">
        <v>1790</v>
      </c>
      <c r="E368" s="53" t="s">
        <v>167</v>
      </c>
      <c r="F368" s="53" t="s">
        <v>1768</v>
      </c>
      <c r="G368" s="53"/>
      <c r="H368" s="53" t="s">
        <v>354</v>
      </c>
      <c r="I368" s="52" t="s">
        <v>1769</v>
      </c>
      <c r="J368" s="52"/>
      <c r="K368" s="54" t="s">
        <v>703</v>
      </c>
      <c r="L368" s="54">
        <v>30</v>
      </c>
      <c r="M368" s="55" t="s">
        <v>1770</v>
      </c>
      <c r="N368" s="55" t="s">
        <v>1748</v>
      </c>
      <c r="O368" s="56">
        <v>1</v>
      </c>
      <c r="P368" s="56"/>
      <c r="Q368" s="53"/>
      <c r="R368" s="1"/>
      <c r="S368" s="1">
        <f t="shared" si="155"/>
        <v>0</v>
      </c>
      <c r="T368" s="1">
        <f t="shared" si="156"/>
        <v>0</v>
      </c>
      <c r="U368" s="1">
        <f t="shared" si="157"/>
        <v>0</v>
      </c>
      <c r="V368" s="1">
        <f t="shared" si="158"/>
        <v>0</v>
      </c>
      <c r="W368" s="1">
        <f t="shared" si="159"/>
        <v>0</v>
      </c>
      <c r="X368" s="1">
        <f t="shared" si="160"/>
        <v>0</v>
      </c>
      <c r="Y368" s="1">
        <f t="shared" si="161"/>
        <v>0</v>
      </c>
      <c r="Z368" s="1">
        <f t="shared" si="162"/>
        <v>0</v>
      </c>
      <c r="AA368" s="1">
        <f t="shared" si="163"/>
        <v>0</v>
      </c>
      <c r="AB368" s="1">
        <f t="shared" si="164"/>
        <v>0</v>
      </c>
      <c r="AC368" s="1"/>
      <c r="AD368" s="1">
        <f t="shared" si="165"/>
        <v>0</v>
      </c>
      <c r="AE368" s="1">
        <f t="shared" si="166"/>
        <v>1</v>
      </c>
      <c r="AF368" s="1">
        <f t="shared" si="151"/>
        <v>0</v>
      </c>
      <c r="AG368" s="1">
        <f t="shared" si="152"/>
        <v>1</v>
      </c>
      <c r="AH368" s="1">
        <f t="shared" si="153"/>
        <v>0</v>
      </c>
      <c r="AI368" s="1">
        <f t="shared" si="154"/>
        <v>1</v>
      </c>
      <c r="AJ368" s="1"/>
    </row>
    <row r="369" spans="1:35" ht="14.25" customHeight="1" x14ac:dyDescent="0.25">
      <c r="A369" s="34"/>
      <c r="B369" s="34">
        <v>2</v>
      </c>
      <c r="C369" s="34">
        <v>5</v>
      </c>
      <c r="D369" s="35" t="s">
        <v>1921</v>
      </c>
      <c r="E369" s="35"/>
      <c r="F369" s="35" t="s">
        <v>1922</v>
      </c>
      <c r="G369" s="35" t="s">
        <v>208</v>
      </c>
      <c r="H369" s="35" t="s">
        <v>354</v>
      </c>
      <c r="I369" s="34" t="s">
        <v>1923</v>
      </c>
      <c r="J369" s="34">
        <v>3</v>
      </c>
      <c r="K369" s="36" t="s">
        <v>703</v>
      </c>
      <c r="L369" s="36"/>
      <c r="M369" s="37"/>
      <c r="N369" s="37" t="s">
        <v>1727</v>
      </c>
      <c r="O369" s="38">
        <v>1</v>
      </c>
      <c r="P369" s="38">
        <v>1</v>
      </c>
      <c r="Q369" s="35" t="s">
        <v>1924</v>
      </c>
      <c r="S369" s="1">
        <f t="shared" si="155"/>
        <v>0</v>
      </c>
      <c r="T369" s="1">
        <f t="shared" si="156"/>
        <v>0</v>
      </c>
      <c r="U369" s="1">
        <f t="shared" si="157"/>
        <v>1</v>
      </c>
      <c r="V369" s="1">
        <f t="shared" si="158"/>
        <v>0</v>
      </c>
      <c r="W369" s="1">
        <f t="shared" si="159"/>
        <v>0</v>
      </c>
      <c r="X369" s="1">
        <f t="shared" si="160"/>
        <v>0</v>
      </c>
      <c r="Y369" s="1">
        <f t="shared" si="161"/>
        <v>0</v>
      </c>
      <c r="Z369" s="1">
        <f t="shared" si="162"/>
        <v>0</v>
      </c>
      <c r="AA369" s="1">
        <f t="shared" si="163"/>
        <v>0</v>
      </c>
      <c r="AB369" s="1">
        <f t="shared" si="164"/>
        <v>0</v>
      </c>
      <c r="AD369" s="1">
        <f t="shared" si="165"/>
        <v>1</v>
      </c>
      <c r="AE369" s="1">
        <f t="shared" si="166"/>
        <v>0</v>
      </c>
      <c r="AF369" s="1">
        <f t="shared" si="151"/>
        <v>1</v>
      </c>
      <c r="AG369" s="1">
        <f t="shared" si="152"/>
        <v>0</v>
      </c>
      <c r="AH369" s="1">
        <f t="shared" si="153"/>
        <v>1</v>
      </c>
      <c r="AI369" s="1">
        <f t="shared" si="154"/>
        <v>0</v>
      </c>
    </row>
    <row r="370" spans="1:35" ht="14.25" customHeight="1" x14ac:dyDescent="0.25">
      <c r="A370" s="34">
        <v>0</v>
      </c>
      <c r="B370" s="34">
        <v>2</v>
      </c>
      <c r="C370" s="34">
        <v>5</v>
      </c>
      <c r="D370" s="35" t="s">
        <v>1270</v>
      </c>
      <c r="E370" s="35" t="s">
        <v>1271</v>
      </c>
      <c r="F370" s="35" t="s">
        <v>1272</v>
      </c>
      <c r="G370" s="35" t="s">
        <v>220</v>
      </c>
      <c r="H370" s="35" t="s">
        <v>354</v>
      </c>
      <c r="I370" s="34" t="s">
        <v>1723</v>
      </c>
      <c r="J370" s="34">
        <v>8</v>
      </c>
      <c r="K370" s="36" t="s">
        <v>713</v>
      </c>
      <c r="L370" s="36" t="s">
        <v>39</v>
      </c>
      <c r="M370" s="37" t="s">
        <v>39</v>
      </c>
      <c r="N370" s="37" t="s">
        <v>1727</v>
      </c>
      <c r="O370" s="38">
        <v>1</v>
      </c>
      <c r="P370" s="38">
        <v>1</v>
      </c>
      <c r="Q370" s="35"/>
      <c r="S370" s="1">
        <f t="shared" si="155"/>
        <v>0</v>
      </c>
      <c r="T370" s="1">
        <f t="shared" si="156"/>
        <v>0</v>
      </c>
      <c r="U370" s="1">
        <f t="shared" si="157"/>
        <v>0</v>
      </c>
      <c r="V370" s="1">
        <f t="shared" si="158"/>
        <v>0</v>
      </c>
      <c r="W370" s="1">
        <f t="shared" si="159"/>
        <v>0</v>
      </c>
      <c r="X370" s="1">
        <f t="shared" si="160"/>
        <v>0</v>
      </c>
      <c r="Y370" s="1">
        <f t="shared" si="161"/>
        <v>0</v>
      </c>
      <c r="Z370" s="1">
        <f t="shared" si="162"/>
        <v>1</v>
      </c>
      <c r="AA370" s="1">
        <f t="shared" si="163"/>
        <v>0</v>
      </c>
      <c r="AB370" s="1">
        <f t="shared" si="164"/>
        <v>0</v>
      </c>
      <c r="AD370" s="1">
        <f t="shared" si="165"/>
        <v>1</v>
      </c>
      <c r="AE370" s="1">
        <f t="shared" si="166"/>
        <v>0</v>
      </c>
      <c r="AF370" s="1">
        <f t="shared" si="151"/>
        <v>1</v>
      </c>
      <c r="AG370" s="1">
        <f t="shared" si="152"/>
        <v>0</v>
      </c>
      <c r="AH370" s="1">
        <f t="shared" si="153"/>
        <v>1</v>
      </c>
      <c r="AI370" s="1">
        <f t="shared" si="154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1082</v>
      </c>
      <c r="E371" s="35" t="s">
        <v>155</v>
      </c>
      <c r="F371" s="35" t="s">
        <v>1066</v>
      </c>
      <c r="G371" s="35" t="s">
        <v>321</v>
      </c>
      <c r="H371" s="35" t="s">
        <v>354</v>
      </c>
      <c r="I371" s="34" t="s">
        <v>1067</v>
      </c>
      <c r="J371" s="34">
        <v>99</v>
      </c>
      <c r="K371" s="36" t="s">
        <v>713</v>
      </c>
      <c r="L371" s="36" t="s">
        <v>694</v>
      </c>
      <c r="M371" s="37" t="s">
        <v>1428</v>
      </c>
      <c r="N371" s="37" t="s">
        <v>1756</v>
      </c>
      <c r="O371" s="38">
        <v>1</v>
      </c>
      <c r="P371" s="38"/>
      <c r="Q371" s="35"/>
      <c r="S371" s="1">
        <f t="shared" si="155"/>
        <v>0</v>
      </c>
      <c r="T371" s="1">
        <f t="shared" si="156"/>
        <v>0</v>
      </c>
      <c r="U371" s="1">
        <f t="shared" si="157"/>
        <v>0</v>
      </c>
      <c r="V371" s="1">
        <f t="shared" si="158"/>
        <v>0</v>
      </c>
      <c r="W371" s="1">
        <f t="shared" si="159"/>
        <v>0</v>
      </c>
      <c r="X371" s="1">
        <f t="shared" si="160"/>
        <v>0</v>
      </c>
      <c r="Y371" s="1">
        <f t="shared" si="161"/>
        <v>0</v>
      </c>
      <c r="Z371" s="1">
        <f t="shared" si="162"/>
        <v>0</v>
      </c>
      <c r="AA371" s="1">
        <f t="shared" si="163"/>
        <v>0</v>
      </c>
      <c r="AB371" s="1">
        <f t="shared" si="164"/>
        <v>0</v>
      </c>
      <c r="AD371" s="1">
        <f t="shared" si="165"/>
        <v>0</v>
      </c>
      <c r="AE371" s="1">
        <f t="shared" si="166"/>
        <v>1</v>
      </c>
      <c r="AF371" s="1">
        <f t="shared" si="151"/>
        <v>0</v>
      </c>
      <c r="AG371" s="1">
        <f t="shared" si="152"/>
        <v>1</v>
      </c>
      <c r="AH371" s="1">
        <f t="shared" si="153"/>
        <v>0</v>
      </c>
      <c r="AI371" s="1">
        <f t="shared" si="154"/>
        <v>1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796</v>
      </c>
      <c r="E372" s="35" t="s">
        <v>772</v>
      </c>
      <c r="F372" s="35" t="s">
        <v>932</v>
      </c>
      <c r="G372" s="35" t="s">
        <v>220</v>
      </c>
      <c r="H372" s="35" t="s">
        <v>354</v>
      </c>
      <c r="I372" s="34" t="s">
        <v>797</v>
      </c>
      <c r="J372" s="34">
        <v>8</v>
      </c>
      <c r="K372" s="36" t="s">
        <v>703</v>
      </c>
      <c r="L372" s="36">
        <v>20</v>
      </c>
      <c r="M372" s="37" t="s">
        <v>1419</v>
      </c>
      <c r="N372" s="37" t="s">
        <v>1825</v>
      </c>
      <c r="O372" s="38">
        <v>1</v>
      </c>
      <c r="P372" s="38"/>
      <c r="Q372" s="35"/>
      <c r="S372" s="1">
        <f t="shared" ref="S372:S374" si="173">IF(J372=$S$7,1,0)</f>
        <v>0</v>
      </c>
      <c r="T372" s="1">
        <f t="shared" ref="T372:T374" si="174">IF(J372=$T$7,1,0)</f>
        <v>0</v>
      </c>
      <c r="U372" s="1">
        <f t="shared" ref="U372:U374" si="175">IF(J372=$U$7,1,0)</f>
        <v>0</v>
      </c>
      <c r="V372" s="1">
        <f t="shared" ref="V372:V374" si="176">IF(J372=$V$7,1,0)</f>
        <v>0</v>
      </c>
      <c r="W372" s="1">
        <f t="shared" ref="W372:W374" si="177">IF(J372=$W$7,1,0)</f>
        <v>0</v>
      </c>
      <c r="X372" s="1">
        <f t="shared" ref="X372:X374" si="178">IF(J372=$X$7,1,0)</f>
        <v>0</v>
      </c>
      <c r="Y372" s="1">
        <f t="shared" ref="Y372:Y374" si="179">IF(J372=$Y$7,1,0)</f>
        <v>0</v>
      </c>
      <c r="Z372" s="1">
        <f t="shared" ref="Z372:Z374" si="180">IF(J372=$Z$7,1,0)</f>
        <v>1</v>
      </c>
      <c r="AA372" s="1">
        <f t="shared" ref="AA372:AA374" si="181">IF(J372=$AA$7,1,0)</f>
        <v>0</v>
      </c>
      <c r="AB372" s="1">
        <f t="shared" ref="AB372:AB374" si="182">IF(J372=$AB$7,1,0)</f>
        <v>0</v>
      </c>
      <c r="AD372" s="1">
        <f t="shared" ref="AD372:AD374" si="183">+O372*P372</f>
        <v>0</v>
      </c>
      <c r="AE372" s="1">
        <f t="shared" ref="AE372:AE374" si="184">O372*(1-P372)</f>
        <v>1</v>
      </c>
      <c r="AF372" s="1">
        <f t="shared" si="151"/>
        <v>0</v>
      </c>
      <c r="AG372" s="1">
        <f t="shared" si="152"/>
        <v>1</v>
      </c>
      <c r="AH372" s="1">
        <f t="shared" si="153"/>
        <v>0</v>
      </c>
      <c r="AI372" s="1">
        <f t="shared" si="154"/>
        <v>1</v>
      </c>
    </row>
    <row r="373" spans="1:35" ht="14.25" customHeight="1" x14ac:dyDescent="0.25">
      <c r="A373" s="52">
        <v>0</v>
      </c>
      <c r="B373" s="52">
        <v>2</v>
      </c>
      <c r="C373" s="52">
        <v>5</v>
      </c>
      <c r="D373" s="53" t="s">
        <v>79</v>
      </c>
      <c r="E373" s="53" t="s">
        <v>159</v>
      </c>
      <c r="F373" s="53" t="s">
        <v>268</v>
      </c>
      <c r="G373" s="53" t="s">
        <v>213</v>
      </c>
      <c r="H373" s="53" t="s">
        <v>354</v>
      </c>
      <c r="I373" s="52" t="s">
        <v>425</v>
      </c>
      <c r="J373" s="52">
        <v>1</v>
      </c>
      <c r="K373" s="54" t="s">
        <v>955</v>
      </c>
      <c r="L373" s="54" t="s">
        <v>704</v>
      </c>
      <c r="M373" s="55" t="s">
        <v>727</v>
      </c>
      <c r="N373" s="55" t="s">
        <v>1743</v>
      </c>
      <c r="O373" s="56">
        <v>1</v>
      </c>
      <c r="P373" s="56"/>
      <c r="Q373" s="53"/>
      <c r="S373" s="1">
        <f t="shared" si="173"/>
        <v>1</v>
      </c>
      <c r="T373" s="1">
        <f t="shared" si="174"/>
        <v>0</v>
      </c>
      <c r="U373" s="1">
        <f t="shared" si="175"/>
        <v>0</v>
      </c>
      <c r="V373" s="1">
        <f t="shared" si="176"/>
        <v>0</v>
      </c>
      <c r="W373" s="1">
        <f t="shared" si="177"/>
        <v>0</v>
      </c>
      <c r="X373" s="1">
        <f t="shared" si="178"/>
        <v>0</v>
      </c>
      <c r="Y373" s="1">
        <f t="shared" si="179"/>
        <v>0</v>
      </c>
      <c r="Z373" s="1">
        <f t="shared" si="180"/>
        <v>0</v>
      </c>
      <c r="AA373" s="1">
        <f t="shared" si="181"/>
        <v>0</v>
      </c>
      <c r="AB373" s="1">
        <f t="shared" si="182"/>
        <v>0</v>
      </c>
      <c r="AD373" s="1">
        <f t="shared" si="183"/>
        <v>0</v>
      </c>
      <c r="AE373" s="1">
        <f t="shared" si="184"/>
        <v>1</v>
      </c>
      <c r="AF373" s="1">
        <f t="shared" si="151"/>
        <v>0</v>
      </c>
      <c r="AG373" s="1">
        <f t="shared" si="152"/>
        <v>1</v>
      </c>
      <c r="AH373" s="1">
        <f t="shared" si="153"/>
        <v>0</v>
      </c>
      <c r="AI373" s="1">
        <f t="shared" si="154"/>
        <v>1</v>
      </c>
    </row>
    <row r="374" spans="1:35" ht="14.25" customHeight="1" x14ac:dyDescent="0.25">
      <c r="A374" s="34">
        <v>0</v>
      </c>
      <c r="B374" s="34">
        <v>2</v>
      </c>
      <c r="C374" s="34">
        <v>5</v>
      </c>
      <c r="D374" s="35" t="s">
        <v>1642</v>
      </c>
      <c r="E374" s="35" t="s">
        <v>1654</v>
      </c>
      <c r="F374" s="35" t="s">
        <v>1551</v>
      </c>
      <c r="G374" s="35" t="s">
        <v>262</v>
      </c>
      <c r="H374" s="35" t="s">
        <v>354</v>
      </c>
      <c r="I374" s="34" t="s">
        <v>1552</v>
      </c>
      <c r="J374" s="34">
        <v>99</v>
      </c>
      <c r="K374" s="36" t="s">
        <v>955</v>
      </c>
      <c r="L374" s="36">
        <v>40</v>
      </c>
      <c r="M374" s="37" t="s">
        <v>39</v>
      </c>
      <c r="N374" s="37" t="s">
        <v>1825</v>
      </c>
      <c r="O374" s="38">
        <v>1</v>
      </c>
      <c r="P374" s="38"/>
      <c r="Q374" s="35"/>
      <c r="S374" s="1">
        <f t="shared" si="173"/>
        <v>0</v>
      </c>
      <c r="T374" s="1">
        <f t="shared" si="174"/>
        <v>0</v>
      </c>
      <c r="U374" s="1">
        <f t="shared" si="175"/>
        <v>0</v>
      </c>
      <c r="V374" s="1">
        <f t="shared" si="176"/>
        <v>0</v>
      </c>
      <c r="W374" s="1">
        <f t="shared" si="177"/>
        <v>0</v>
      </c>
      <c r="X374" s="1">
        <f t="shared" si="178"/>
        <v>0</v>
      </c>
      <c r="Y374" s="1">
        <f t="shared" si="179"/>
        <v>0</v>
      </c>
      <c r="Z374" s="1">
        <f t="shared" si="180"/>
        <v>0</v>
      </c>
      <c r="AA374" s="1">
        <f t="shared" si="181"/>
        <v>0</v>
      </c>
      <c r="AB374" s="1">
        <f t="shared" si="182"/>
        <v>0</v>
      </c>
      <c r="AD374" s="1">
        <f t="shared" si="183"/>
        <v>0</v>
      </c>
      <c r="AE374" s="1">
        <f t="shared" si="184"/>
        <v>1</v>
      </c>
      <c r="AF374" s="1">
        <f t="shared" si="151"/>
        <v>0</v>
      </c>
      <c r="AG374" s="1">
        <f t="shared" si="152"/>
        <v>1</v>
      </c>
      <c r="AH374" s="1">
        <f t="shared" si="153"/>
        <v>0</v>
      </c>
      <c r="AI374" s="1">
        <f t="shared" si="154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1297</v>
      </c>
      <c r="E375" s="35" t="s">
        <v>27</v>
      </c>
      <c r="F375" s="35" t="s">
        <v>1298</v>
      </c>
      <c r="G375" s="35" t="s">
        <v>1299</v>
      </c>
      <c r="H375" s="35" t="s">
        <v>354</v>
      </c>
      <c r="I375" s="34" t="s">
        <v>1300</v>
      </c>
      <c r="J375" s="34">
        <v>99</v>
      </c>
      <c r="K375" s="36" t="s">
        <v>955</v>
      </c>
      <c r="L375" s="36" t="s">
        <v>39</v>
      </c>
      <c r="M375" s="37" t="s">
        <v>39</v>
      </c>
      <c r="N375" s="37" t="s">
        <v>1727</v>
      </c>
      <c r="O375" s="38">
        <v>1</v>
      </c>
      <c r="P375" s="38">
        <v>1</v>
      </c>
      <c r="Q375" s="39"/>
      <c r="S375" s="1">
        <f t="shared" si="155"/>
        <v>0</v>
      </c>
      <c r="T375" s="1">
        <f t="shared" si="156"/>
        <v>0</v>
      </c>
      <c r="U375" s="1">
        <f t="shared" si="157"/>
        <v>0</v>
      </c>
      <c r="V375" s="1">
        <f t="shared" si="158"/>
        <v>0</v>
      </c>
      <c r="W375" s="1">
        <f t="shared" si="159"/>
        <v>0</v>
      </c>
      <c r="X375" s="1">
        <f t="shared" si="160"/>
        <v>0</v>
      </c>
      <c r="Y375" s="1">
        <f t="shared" si="161"/>
        <v>0</v>
      </c>
      <c r="Z375" s="1">
        <f t="shared" si="162"/>
        <v>0</v>
      </c>
      <c r="AA375" s="1">
        <f t="shared" si="163"/>
        <v>0</v>
      </c>
      <c r="AB375" s="1">
        <f t="shared" si="164"/>
        <v>0</v>
      </c>
      <c r="AD375" s="1">
        <f t="shared" si="165"/>
        <v>1</v>
      </c>
      <c r="AE375" s="1">
        <f t="shared" si="166"/>
        <v>0</v>
      </c>
      <c r="AF375" s="1">
        <f t="shared" si="151"/>
        <v>1</v>
      </c>
      <c r="AG375" s="1">
        <f t="shared" si="152"/>
        <v>0</v>
      </c>
      <c r="AH375" s="1">
        <f t="shared" si="153"/>
        <v>1</v>
      </c>
      <c r="AI375" s="1">
        <f t="shared" si="154"/>
        <v>0</v>
      </c>
    </row>
    <row r="376" spans="1:35" ht="14.25" customHeight="1" x14ac:dyDescent="0.25">
      <c r="A376" s="47">
        <v>0</v>
      </c>
      <c r="B376" s="47">
        <v>2</v>
      </c>
      <c r="C376" s="47">
        <v>5</v>
      </c>
      <c r="D376" s="48" t="s">
        <v>1603</v>
      </c>
      <c r="E376" s="48" t="s">
        <v>159</v>
      </c>
      <c r="F376" s="48" t="s">
        <v>1675</v>
      </c>
      <c r="G376" s="48" t="s">
        <v>1468</v>
      </c>
      <c r="H376" s="48" t="s">
        <v>354</v>
      </c>
      <c r="I376" s="47" t="s">
        <v>1469</v>
      </c>
      <c r="J376" s="47">
        <v>99</v>
      </c>
      <c r="K376" s="49" t="s">
        <v>713</v>
      </c>
      <c r="L376" s="49" t="s">
        <v>696</v>
      </c>
      <c r="M376" s="50" t="s">
        <v>1470</v>
      </c>
      <c r="N376" s="50" t="s">
        <v>1747</v>
      </c>
      <c r="O376" s="51"/>
      <c r="P376" s="51"/>
      <c r="Q376" s="48"/>
      <c r="S376" s="1">
        <f t="shared" si="155"/>
        <v>0</v>
      </c>
      <c r="T376" s="1">
        <f t="shared" si="156"/>
        <v>0</v>
      </c>
      <c r="U376" s="1">
        <f t="shared" si="157"/>
        <v>0</v>
      </c>
      <c r="V376" s="1">
        <f t="shared" si="158"/>
        <v>0</v>
      </c>
      <c r="W376" s="1">
        <f t="shared" si="159"/>
        <v>0</v>
      </c>
      <c r="X376" s="1">
        <f t="shared" si="160"/>
        <v>0</v>
      </c>
      <c r="Y376" s="1">
        <f t="shared" si="161"/>
        <v>0</v>
      </c>
      <c r="Z376" s="1">
        <f t="shared" si="162"/>
        <v>0</v>
      </c>
      <c r="AA376" s="1">
        <f t="shared" si="163"/>
        <v>0</v>
      </c>
      <c r="AB376" s="1">
        <f t="shared" si="164"/>
        <v>0</v>
      </c>
      <c r="AD376" s="1">
        <f t="shared" si="165"/>
        <v>0</v>
      </c>
      <c r="AE376" s="1">
        <f t="shared" si="166"/>
        <v>0</v>
      </c>
      <c r="AF376" s="1">
        <f t="shared" si="151"/>
        <v>0</v>
      </c>
      <c r="AG376" s="1">
        <f t="shared" si="152"/>
        <v>0</v>
      </c>
      <c r="AH376" s="1">
        <f t="shared" si="153"/>
        <v>0</v>
      </c>
      <c r="AI376" s="1">
        <f t="shared" si="154"/>
        <v>1</v>
      </c>
    </row>
    <row r="377" spans="1:35" ht="14.25" customHeight="1" x14ac:dyDescent="0.25">
      <c r="A377" s="34">
        <v>0</v>
      </c>
      <c r="B377" s="34">
        <v>2</v>
      </c>
      <c r="C377" s="34">
        <v>5</v>
      </c>
      <c r="D377" s="35" t="s">
        <v>1778</v>
      </c>
      <c r="E377" s="35" t="s">
        <v>155</v>
      </c>
      <c r="F377" s="35" t="s">
        <v>1779</v>
      </c>
      <c r="G377" s="35" t="s">
        <v>656</v>
      </c>
      <c r="H377" s="35" t="s">
        <v>354</v>
      </c>
      <c r="I377" s="34" t="s">
        <v>1780</v>
      </c>
      <c r="J377" s="34"/>
      <c r="K377" s="36" t="s">
        <v>703</v>
      </c>
      <c r="L377" s="36">
        <v>40</v>
      </c>
      <c r="M377" s="37" t="s">
        <v>1781</v>
      </c>
      <c r="N377" s="37" t="s">
        <v>1743</v>
      </c>
      <c r="O377" s="38">
        <v>1</v>
      </c>
      <c r="P377" s="38"/>
      <c r="Q377" s="35"/>
      <c r="S377" s="1">
        <f t="shared" si="155"/>
        <v>0</v>
      </c>
      <c r="T377" s="1">
        <f t="shared" si="156"/>
        <v>0</v>
      </c>
      <c r="U377" s="1">
        <f t="shared" si="157"/>
        <v>0</v>
      </c>
      <c r="V377" s="1">
        <f t="shared" si="158"/>
        <v>0</v>
      </c>
      <c r="W377" s="1">
        <f t="shared" si="159"/>
        <v>0</v>
      </c>
      <c r="X377" s="1">
        <f t="shared" si="160"/>
        <v>0</v>
      </c>
      <c r="Y377" s="1">
        <f t="shared" si="161"/>
        <v>0</v>
      </c>
      <c r="Z377" s="1">
        <f t="shared" si="162"/>
        <v>0</v>
      </c>
      <c r="AA377" s="1">
        <f t="shared" si="163"/>
        <v>0</v>
      </c>
      <c r="AB377" s="1">
        <f t="shared" si="164"/>
        <v>0</v>
      </c>
      <c r="AD377" s="1">
        <f t="shared" si="165"/>
        <v>0</v>
      </c>
      <c r="AE377" s="1">
        <f t="shared" si="166"/>
        <v>1</v>
      </c>
      <c r="AF377" s="1">
        <f t="shared" si="151"/>
        <v>0</v>
      </c>
      <c r="AG377" s="1">
        <f t="shared" si="152"/>
        <v>1</v>
      </c>
      <c r="AH377" s="1">
        <f t="shared" si="153"/>
        <v>0</v>
      </c>
      <c r="AI377" s="1">
        <f t="shared" si="154"/>
        <v>1</v>
      </c>
    </row>
    <row r="378" spans="1:35" ht="14.25" customHeight="1" x14ac:dyDescent="0.25">
      <c r="A378" s="47">
        <v>0</v>
      </c>
      <c r="B378" s="47">
        <v>2</v>
      </c>
      <c r="C378" s="47">
        <v>5</v>
      </c>
      <c r="D378" s="48" t="s">
        <v>837</v>
      </c>
      <c r="E378" s="48" t="s">
        <v>831</v>
      </c>
      <c r="F378" s="48" t="s">
        <v>941</v>
      </c>
      <c r="G378" s="48" t="s">
        <v>180</v>
      </c>
      <c r="H378" s="48" t="s">
        <v>354</v>
      </c>
      <c r="I378" s="47" t="s">
        <v>1109</v>
      </c>
      <c r="J378" s="47">
        <v>10</v>
      </c>
      <c r="K378" s="49" t="s">
        <v>712</v>
      </c>
      <c r="L378" s="49" t="s">
        <v>693</v>
      </c>
      <c r="M378" s="50" t="s">
        <v>1429</v>
      </c>
      <c r="N378" s="50" t="s">
        <v>1741</v>
      </c>
      <c r="O378" s="51"/>
      <c r="P378" s="51"/>
      <c r="Q378" s="48"/>
      <c r="S378" s="1">
        <f t="shared" si="155"/>
        <v>0</v>
      </c>
      <c r="T378" s="1">
        <f t="shared" si="156"/>
        <v>0</v>
      </c>
      <c r="U378" s="1">
        <f t="shared" si="157"/>
        <v>0</v>
      </c>
      <c r="V378" s="1">
        <f t="shared" si="158"/>
        <v>0</v>
      </c>
      <c r="W378" s="1">
        <f t="shared" si="159"/>
        <v>0</v>
      </c>
      <c r="X378" s="1">
        <f t="shared" si="160"/>
        <v>0</v>
      </c>
      <c r="Y378" s="1">
        <f t="shared" si="161"/>
        <v>0</v>
      </c>
      <c r="Z378" s="1">
        <f t="shared" si="162"/>
        <v>0</v>
      </c>
      <c r="AA378" s="1">
        <f t="shared" si="163"/>
        <v>0</v>
      </c>
      <c r="AB378" s="1">
        <f t="shared" si="164"/>
        <v>1</v>
      </c>
      <c r="AD378" s="1">
        <f t="shared" si="165"/>
        <v>0</v>
      </c>
      <c r="AE378" s="1">
        <f t="shared" si="166"/>
        <v>0</v>
      </c>
      <c r="AF378" s="1">
        <f t="shared" si="151"/>
        <v>0</v>
      </c>
      <c r="AG378" s="1">
        <f t="shared" si="152"/>
        <v>0</v>
      </c>
      <c r="AH378" s="1">
        <f t="shared" si="153"/>
        <v>0</v>
      </c>
      <c r="AI378" s="1">
        <f t="shared" si="154"/>
        <v>1</v>
      </c>
    </row>
    <row r="379" spans="1:35" ht="14.25" customHeight="1" x14ac:dyDescent="0.25">
      <c r="A379" s="60">
        <v>0</v>
      </c>
      <c r="B379" s="60">
        <v>2</v>
      </c>
      <c r="C379" s="60">
        <v>6</v>
      </c>
      <c r="D379" s="61" t="s">
        <v>1543</v>
      </c>
      <c r="E379" s="61" t="s">
        <v>27</v>
      </c>
      <c r="F379" s="61" t="s">
        <v>1545</v>
      </c>
      <c r="G379" s="61" t="s">
        <v>1534</v>
      </c>
      <c r="H379" s="61" t="s">
        <v>354</v>
      </c>
      <c r="I379" s="60" t="s">
        <v>1544</v>
      </c>
      <c r="J379" s="60">
        <v>5</v>
      </c>
      <c r="K379" s="62" t="s">
        <v>955</v>
      </c>
      <c r="L379" s="62" t="s">
        <v>39</v>
      </c>
      <c r="M379" s="63" t="s">
        <v>39</v>
      </c>
      <c r="N379" s="64"/>
      <c r="O379" s="65"/>
      <c r="P379" s="65"/>
      <c r="Q379" s="69" t="s">
        <v>1900</v>
      </c>
      <c r="S379" s="1">
        <f t="shared" si="155"/>
        <v>0</v>
      </c>
      <c r="T379" s="1">
        <f t="shared" si="156"/>
        <v>0</v>
      </c>
      <c r="U379" s="1">
        <f t="shared" si="157"/>
        <v>0</v>
      </c>
      <c r="V379" s="1">
        <f t="shared" si="158"/>
        <v>0</v>
      </c>
      <c r="W379" s="1">
        <f t="shared" si="159"/>
        <v>1</v>
      </c>
      <c r="X379" s="1">
        <f t="shared" si="160"/>
        <v>0</v>
      </c>
      <c r="Y379" s="1">
        <f t="shared" si="161"/>
        <v>0</v>
      </c>
      <c r="Z379" s="1">
        <f t="shared" si="162"/>
        <v>0</v>
      </c>
      <c r="AA379" s="1">
        <f t="shared" si="163"/>
        <v>0</v>
      </c>
      <c r="AB379" s="1">
        <f t="shared" si="164"/>
        <v>0</v>
      </c>
      <c r="AD379" s="1">
        <f t="shared" si="165"/>
        <v>0</v>
      </c>
      <c r="AE379" s="1">
        <f t="shared" si="166"/>
        <v>0</v>
      </c>
      <c r="AF379" s="1">
        <f t="shared" si="151"/>
        <v>0</v>
      </c>
      <c r="AG379" s="1">
        <f t="shared" si="152"/>
        <v>0</v>
      </c>
      <c r="AH379" s="1">
        <f t="shared" si="153"/>
        <v>0</v>
      </c>
      <c r="AI379" s="1">
        <f t="shared" si="154"/>
        <v>1</v>
      </c>
    </row>
    <row r="380" spans="1:35" ht="14.25" customHeight="1" x14ac:dyDescent="0.25">
      <c r="A380" s="47">
        <v>0</v>
      </c>
      <c r="B380" s="47">
        <v>2</v>
      </c>
      <c r="C380" s="47">
        <v>6</v>
      </c>
      <c r="D380" s="48" t="s">
        <v>519</v>
      </c>
      <c r="E380" s="48" t="s">
        <v>31</v>
      </c>
      <c r="F380" s="48" t="s">
        <v>672</v>
      </c>
      <c r="G380" s="48" t="s">
        <v>200</v>
      </c>
      <c r="H380" s="48" t="s">
        <v>354</v>
      </c>
      <c r="I380" s="47" t="s">
        <v>520</v>
      </c>
      <c r="J380" s="47">
        <v>2</v>
      </c>
      <c r="K380" s="49" t="s">
        <v>954</v>
      </c>
      <c r="L380" s="49" t="s">
        <v>694</v>
      </c>
      <c r="M380" s="50" t="s">
        <v>1430</v>
      </c>
      <c r="N380" s="50" t="s">
        <v>1735</v>
      </c>
      <c r="O380" s="51"/>
      <c r="P380" s="51"/>
      <c r="Q380" s="48"/>
      <c r="S380" s="1">
        <f t="shared" si="155"/>
        <v>0</v>
      </c>
      <c r="T380" s="1">
        <f t="shared" si="156"/>
        <v>1</v>
      </c>
      <c r="U380" s="1">
        <f t="shared" si="157"/>
        <v>0</v>
      </c>
      <c r="V380" s="1">
        <f t="shared" si="158"/>
        <v>0</v>
      </c>
      <c r="W380" s="1">
        <f t="shared" si="159"/>
        <v>0</v>
      </c>
      <c r="X380" s="1">
        <f t="shared" si="160"/>
        <v>0</v>
      </c>
      <c r="Y380" s="1">
        <f t="shared" si="161"/>
        <v>0</v>
      </c>
      <c r="Z380" s="1">
        <f t="shared" si="162"/>
        <v>0</v>
      </c>
      <c r="AA380" s="1">
        <f t="shared" si="163"/>
        <v>0</v>
      </c>
      <c r="AB380" s="1">
        <f t="shared" si="164"/>
        <v>0</v>
      </c>
      <c r="AD380" s="1">
        <f t="shared" si="165"/>
        <v>0</v>
      </c>
      <c r="AE380" s="1">
        <f t="shared" si="166"/>
        <v>0</v>
      </c>
      <c r="AF380" s="1">
        <f t="shared" si="151"/>
        <v>0</v>
      </c>
      <c r="AG380" s="1">
        <f t="shared" si="152"/>
        <v>0</v>
      </c>
      <c r="AH380" s="1">
        <f t="shared" si="153"/>
        <v>0</v>
      </c>
      <c r="AI380" s="1">
        <f t="shared" si="154"/>
        <v>1</v>
      </c>
    </row>
    <row r="381" spans="1:35" ht="14.25" customHeight="1" x14ac:dyDescent="0.25">
      <c r="A381" s="34">
        <v>0</v>
      </c>
      <c r="B381" s="34">
        <v>2</v>
      </c>
      <c r="C381" s="34">
        <v>6</v>
      </c>
      <c r="D381" s="35" t="s">
        <v>53</v>
      </c>
      <c r="E381" s="35" t="s">
        <v>31</v>
      </c>
      <c r="F381" s="35" t="s">
        <v>210</v>
      </c>
      <c r="G381" s="35" t="s">
        <v>211</v>
      </c>
      <c r="H381" s="35" t="s">
        <v>354</v>
      </c>
      <c r="I381" s="34" t="s">
        <v>392</v>
      </c>
      <c r="J381" s="34">
        <v>1</v>
      </c>
      <c r="K381" s="36" t="s">
        <v>712</v>
      </c>
      <c r="L381" s="36" t="s">
        <v>704</v>
      </c>
      <c r="M381" s="37" t="s">
        <v>728</v>
      </c>
      <c r="N381" s="37" t="s">
        <v>1743</v>
      </c>
      <c r="O381" s="38">
        <v>1</v>
      </c>
      <c r="P381" s="38"/>
      <c r="Q381" s="35"/>
      <c r="S381" s="1">
        <f t="shared" si="155"/>
        <v>1</v>
      </c>
      <c r="T381" s="1">
        <f t="shared" si="156"/>
        <v>0</v>
      </c>
      <c r="U381" s="1">
        <f t="shared" si="157"/>
        <v>0</v>
      </c>
      <c r="V381" s="1">
        <f t="shared" si="158"/>
        <v>0</v>
      </c>
      <c r="W381" s="1">
        <f t="shared" si="159"/>
        <v>0</v>
      </c>
      <c r="X381" s="1">
        <f t="shared" si="160"/>
        <v>0</v>
      </c>
      <c r="Y381" s="1">
        <f t="shared" si="161"/>
        <v>0</v>
      </c>
      <c r="Z381" s="1">
        <f t="shared" si="162"/>
        <v>0</v>
      </c>
      <c r="AA381" s="1">
        <f t="shared" si="163"/>
        <v>0</v>
      </c>
      <c r="AB381" s="1">
        <f t="shared" si="164"/>
        <v>0</v>
      </c>
      <c r="AD381" s="1">
        <f t="shared" si="165"/>
        <v>0</v>
      </c>
      <c r="AE381" s="1">
        <f t="shared" si="166"/>
        <v>1</v>
      </c>
      <c r="AF381" s="1">
        <f t="shared" si="151"/>
        <v>0</v>
      </c>
      <c r="AG381" s="1">
        <f t="shared" si="152"/>
        <v>1</v>
      </c>
      <c r="AH381" s="1">
        <f t="shared" si="153"/>
        <v>0</v>
      </c>
      <c r="AI381" s="1">
        <f t="shared" si="154"/>
        <v>1</v>
      </c>
    </row>
    <row r="382" spans="1:35" ht="14.25" customHeight="1" x14ac:dyDescent="0.25">
      <c r="A382" s="15">
        <v>0</v>
      </c>
      <c r="B382" s="15">
        <v>2</v>
      </c>
      <c r="C382" s="15">
        <v>6</v>
      </c>
      <c r="D382" s="16" t="s">
        <v>1862</v>
      </c>
      <c r="E382" s="16" t="s">
        <v>1863</v>
      </c>
      <c r="F382" s="20" t="s">
        <v>1864</v>
      </c>
      <c r="G382" s="16"/>
      <c r="H382" s="20" t="s">
        <v>354</v>
      </c>
      <c r="I382" s="21" t="s">
        <v>1865</v>
      </c>
      <c r="J382" s="15">
        <v>99</v>
      </c>
      <c r="K382" s="10" t="s">
        <v>703</v>
      </c>
      <c r="L382" s="10">
        <v>25</v>
      </c>
      <c r="M382" s="19" t="s">
        <v>1866</v>
      </c>
      <c r="N382" s="19"/>
      <c r="Q382" s="20"/>
      <c r="S382" s="1">
        <f t="shared" si="155"/>
        <v>0</v>
      </c>
      <c r="T382" s="1">
        <f t="shared" si="156"/>
        <v>0</v>
      </c>
      <c r="U382" s="1">
        <f t="shared" si="157"/>
        <v>0</v>
      </c>
      <c r="V382" s="1">
        <f t="shared" si="158"/>
        <v>0</v>
      </c>
      <c r="W382" s="1">
        <f t="shared" si="159"/>
        <v>0</v>
      </c>
      <c r="X382" s="1">
        <f t="shared" si="160"/>
        <v>0</v>
      </c>
      <c r="Y382" s="1">
        <f t="shared" si="161"/>
        <v>0</v>
      </c>
      <c r="Z382" s="1">
        <f t="shared" si="162"/>
        <v>0</v>
      </c>
      <c r="AA382" s="1">
        <f t="shared" si="163"/>
        <v>0</v>
      </c>
      <c r="AB382" s="1">
        <f t="shared" si="164"/>
        <v>0</v>
      </c>
      <c r="AD382" s="1">
        <f t="shared" si="165"/>
        <v>0</v>
      </c>
      <c r="AE382" s="1">
        <f t="shared" si="166"/>
        <v>0</v>
      </c>
      <c r="AF382" s="1">
        <f t="shared" si="151"/>
        <v>0</v>
      </c>
      <c r="AG382" s="1">
        <f t="shared" si="152"/>
        <v>0</v>
      </c>
      <c r="AH382" s="1">
        <f t="shared" si="153"/>
        <v>0</v>
      </c>
      <c r="AI382" s="1">
        <f t="shared" si="154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80</v>
      </c>
      <c r="E383" s="16" t="s">
        <v>31</v>
      </c>
      <c r="F383" s="16" t="s">
        <v>270</v>
      </c>
      <c r="G383" s="16" t="s">
        <v>224</v>
      </c>
      <c r="H383" s="16" t="s">
        <v>354</v>
      </c>
      <c r="I383" s="15" t="s">
        <v>678</v>
      </c>
      <c r="J383" s="15">
        <v>99</v>
      </c>
      <c r="K383" s="10" t="s">
        <v>955</v>
      </c>
      <c r="L383" s="10" t="s">
        <v>694</v>
      </c>
      <c r="M383" s="19" t="s">
        <v>1431</v>
      </c>
      <c r="N383" s="19"/>
      <c r="Q383" s="16"/>
      <c r="S383" s="1">
        <f t="shared" si="155"/>
        <v>0</v>
      </c>
      <c r="T383" s="1">
        <f t="shared" si="156"/>
        <v>0</v>
      </c>
      <c r="U383" s="1">
        <f t="shared" si="157"/>
        <v>0</v>
      </c>
      <c r="V383" s="1">
        <f t="shared" si="158"/>
        <v>0</v>
      </c>
      <c r="W383" s="1">
        <f t="shared" si="159"/>
        <v>0</v>
      </c>
      <c r="X383" s="1">
        <f t="shared" si="160"/>
        <v>0</v>
      </c>
      <c r="Y383" s="1">
        <f t="shared" si="161"/>
        <v>0</v>
      </c>
      <c r="Z383" s="1">
        <f t="shared" si="162"/>
        <v>0</v>
      </c>
      <c r="AA383" s="1">
        <f t="shared" si="163"/>
        <v>0</v>
      </c>
      <c r="AB383" s="1">
        <f t="shared" si="164"/>
        <v>0</v>
      </c>
      <c r="AD383" s="1">
        <f t="shared" si="165"/>
        <v>0</v>
      </c>
      <c r="AE383" s="1">
        <f t="shared" si="166"/>
        <v>0</v>
      </c>
      <c r="AF383" s="1">
        <f t="shared" si="151"/>
        <v>0</v>
      </c>
      <c r="AG383" s="1">
        <f t="shared" si="152"/>
        <v>0</v>
      </c>
      <c r="AH383" s="1">
        <f t="shared" si="153"/>
        <v>0</v>
      </c>
      <c r="AI383" s="1">
        <f t="shared" si="154"/>
        <v>1</v>
      </c>
    </row>
    <row r="384" spans="1:35" ht="14.25" customHeight="1" x14ac:dyDescent="0.25">
      <c r="A384" s="47">
        <v>0</v>
      </c>
      <c r="B384" s="47">
        <v>2</v>
      </c>
      <c r="C384" s="47">
        <v>6</v>
      </c>
      <c r="D384" s="48" t="s">
        <v>639</v>
      </c>
      <c r="E384" s="48" t="s">
        <v>31</v>
      </c>
      <c r="F384" s="48" t="s">
        <v>640</v>
      </c>
      <c r="G384" s="48" t="s">
        <v>240</v>
      </c>
      <c r="H384" s="48" t="s">
        <v>354</v>
      </c>
      <c r="I384" s="47" t="s">
        <v>641</v>
      </c>
      <c r="J384" s="47">
        <v>1</v>
      </c>
      <c r="K384" s="49" t="s">
        <v>713</v>
      </c>
      <c r="L384" s="49" t="s">
        <v>694</v>
      </c>
      <c r="M384" s="50" t="s">
        <v>1432</v>
      </c>
      <c r="N384" s="50" t="s">
        <v>1735</v>
      </c>
      <c r="O384" s="51"/>
      <c r="P384" s="51"/>
      <c r="Q384" s="48"/>
      <c r="S384" s="1">
        <f t="shared" si="155"/>
        <v>1</v>
      </c>
      <c r="T384" s="1">
        <f t="shared" si="156"/>
        <v>0</v>
      </c>
      <c r="U384" s="1">
        <f t="shared" si="157"/>
        <v>0</v>
      </c>
      <c r="V384" s="1">
        <f t="shared" si="158"/>
        <v>0</v>
      </c>
      <c r="W384" s="1">
        <f t="shared" si="159"/>
        <v>0</v>
      </c>
      <c r="X384" s="1">
        <f t="shared" si="160"/>
        <v>0</v>
      </c>
      <c r="Y384" s="1">
        <f t="shared" si="161"/>
        <v>0</v>
      </c>
      <c r="Z384" s="1">
        <f t="shared" si="162"/>
        <v>0</v>
      </c>
      <c r="AA384" s="1">
        <f t="shared" si="163"/>
        <v>0</v>
      </c>
      <c r="AB384" s="1">
        <f t="shared" si="164"/>
        <v>0</v>
      </c>
      <c r="AD384" s="1">
        <f t="shared" si="165"/>
        <v>0</v>
      </c>
      <c r="AE384" s="1">
        <f t="shared" si="166"/>
        <v>0</v>
      </c>
      <c r="AF384" s="1">
        <f t="shared" si="151"/>
        <v>0</v>
      </c>
      <c r="AG384" s="1">
        <f t="shared" si="152"/>
        <v>0</v>
      </c>
      <c r="AH384" s="1">
        <f t="shared" si="153"/>
        <v>0</v>
      </c>
      <c r="AI384" s="1">
        <f t="shared" si="154"/>
        <v>1</v>
      </c>
    </row>
    <row r="385" spans="1:35" ht="14.25" customHeight="1" x14ac:dyDescent="0.25">
      <c r="A385" s="47">
        <v>0</v>
      </c>
      <c r="B385" s="47">
        <v>2</v>
      </c>
      <c r="C385" s="47">
        <v>6</v>
      </c>
      <c r="D385" s="48" t="s">
        <v>1135</v>
      </c>
      <c r="E385" s="48" t="s">
        <v>31</v>
      </c>
      <c r="F385" s="48" t="s">
        <v>672</v>
      </c>
      <c r="G385" s="48" t="s">
        <v>200</v>
      </c>
      <c r="H385" s="48" t="s">
        <v>354</v>
      </c>
      <c r="I385" s="47" t="s">
        <v>520</v>
      </c>
      <c r="J385" s="47">
        <v>2</v>
      </c>
      <c r="K385" s="49" t="s">
        <v>712</v>
      </c>
      <c r="L385" s="49" t="s">
        <v>694</v>
      </c>
      <c r="M385" s="50" t="s">
        <v>728</v>
      </c>
      <c r="N385" s="50" t="s">
        <v>1735</v>
      </c>
      <c r="O385" s="51"/>
      <c r="P385" s="51"/>
      <c r="Q385" s="48"/>
      <c r="S385" s="1">
        <f t="shared" si="155"/>
        <v>0</v>
      </c>
      <c r="T385" s="1">
        <f t="shared" si="156"/>
        <v>1</v>
      </c>
      <c r="U385" s="1">
        <f t="shared" si="157"/>
        <v>0</v>
      </c>
      <c r="V385" s="1">
        <f t="shared" si="158"/>
        <v>0</v>
      </c>
      <c r="W385" s="1">
        <f t="shared" si="159"/>
        <v>0</v>
      </c>
      <c r="X385" s="1">
        <f t="shared" si="160"/>
        <v>0</v>
      </c>
      <c r="Y385" s="1">
        <f t="shared" si="161"/>
        <v>0</v>
      </c>
      <c r="Z385" s="1">
        <f t="shared" si="162"/>
        <v>0</v>
      </c>
      <c r="AA385" s="1">
        <f t="shared" si="163"/>
        <v>0</v>
      </c>
      <c r="AB385" s="1">
        <f t="shared" si="164"/>
        <v>0</v>
      </c>
      <c r="AD385" s="1">
        <f t="shared" si="165"/>
        <v>0</v>
      </c>
      <c r="AE385" s="1">
        <f t="shared" si="166"/>
        <v>0</v>
      </c>
      <c r="AF385" s="1">
        <f t="shared" si="151"/>
        <v>0</v>
      </c>
      <c r="AG385" s="1">
        <f t="shared" si="152"/>
        <v>0</v>
      </c>
      <c r="AH385" s="1">
        <f t="shared" si="153"/>
        <v>0</v>
      </c>
      <c r="AI385" s="1">
        <f t="shared" si="154"/>
        <v>1</v>
      </c>
    </row>
    <row r="386" spans="1:35" ht="14.25" customHeight="1" x14ac:dyDescent="0.25">
      <c r="A386" s="47">
        <v>0</v>
      </c>
      <c r="B386" s="47">
        <v>2</v>
      </c>
      <c r="C386" s="47">
        <v>6</v>
      </c>
      <c r="D386" s="48" t="s">
        <v>1083</v>
      </c>
      <c r="E386" s="48" t="s">
        <v>159</v>
      </c>
      <c r="F386" s="48" t="s">
        <v>198</v>
      </c>
      <c r="G386" s="48" t="s">
        <v>199</v>
      </c>
      <c r="H386" s="48" t="s">
        <v>354</v>
      </c>
      <c r="I386" s="47" t="s">
        <v>388</v>
      </c>
      <c r="J386" s="47">
        <v>99</v>
      </c>
      <c r="K386" s="49" t="s">
        <v>712</v>
      </c>
      <c r="L386" s="49" t="s">
        <v>716</v>
      </c>
      <c r="M386" s="50" t="s">
        <v>730</v>
      </c>
      <c r="N386" s="50" t="s">
        <v>1734</v>
      </c>
      <c r="O386" s="51"/>
      <c r="P386" s="51"/>
      <c r="Q386" s="48"/>
      <c r="S386" s="1">
        <f t="shared" si="155"/>
        <v>0</v>
      </c>
      <c r="T386" s="1">
        <f t="shared" si="156"/>
        <v>0</v>
      </c>
      <c r="U386" s="1">
        <f t="shared" si="157"/>
        <v>0</v>
      </c>
      <c r="V386" s="1">
        <f t="shared" si="158"/>
        <v>0</v>
      </c>
      <c r="W386" s="1">
        <f t="shared" si="159"/>
        <v>0</v>
      </c>
      <c r="X386" s="1">
        <f t="shared" si="160"/>
        <v>0</v>
      </c>
      <c r="Y386" s="1">
        <f t="shared" si="161"/>
        <v>0</v>
      </c>
      <c r="Z386" s="1">
        <f t="shared" si="162"/>
        <v>0</v>
      </c>
      <c r="AA386" s="1">
        <f t="shared" si="163"/>
        <v>0</v>
      </c>
      <c r="AB386" s="1">
        <f t="shared" si="164"/>
        <v>0</v>
      </c>
      <c r="AD386" s="1">
        <f t="shared" si="165"/>
        <v>0</v>
      </c>
      <c r="AE386" s="1">
        <f t="shared" si="166"/>
        <v>0</v>
      </c>
      <c r="AF386" s="1">
        <f t="shared" si="151"/>
        <v>0</v>
      </c>
      <c r="AG386" s="1">
        <f t="shared" si="152"/>
        <v>0</v>
      </c>
      <c r="AH386" s="1">
        <f t="shared" si="153"/>
        <v>0</v>
      </c>
      <c r="AI386" s="1">
        <f t="shared" si="154"/>
        <v>1</v>
      </c>
    </row>
    <row r="387" spans="1:35" ht="14.25" customHeight="1" x14ac:dyDescent="0.25">
      <c r="A387" s="34">
        <v>0</v>
      </c>
      <c r="B387" s="34">
        <v>2</v>
      </c>
      <c r="C387" s="34">
        <v>7</v>
      </c>
      <c r="D387" s="35" t="s">
        <v>509</v>
      </c>
      <c r="E387" s="35" t="s">
        <v>156</v>
      </c>
      <c r="F387" s="35" t="s">
        <v>510</v>
      </c>
      <c r="G387" s="35" t="s">
        <v>39</v>
      </c>
      <c r="H387" s="35" t="s">
        <v>354</v>
      </c>
      <c r="I387" s="34" t="s">
        <v>942</v>
      </c>
      <c r="J387" s="34">
        <v>7</v>
      </c>
      <c r="K387" s="36" t="s">
        <v>955</v>
      </c>
      <c r="L387" s="36" t="s">
        <v>39</v>
      </c>
      <c r="M387" s="37" t="s">
        <v>39</v>
      </c>
      <c r="N387" s="37" t="s">
        <v>1727</v>
      </c>
      <c r="O387" s="38">
        <v>1</v>
      </c>
      <c r="P387" s="38">
        <v>1</v>
      </c>
      <c r="Q387" s="35"/>
      <c r="S387" s="1">
        <f t="shared" si="155"/>
        <v>0</v>
      </c>
      <c r="T387" s="1">
        <f t="shared" si="156"/>
        <v>0</v>
      </c>
      <c r="U387" s="1">
        <f t="shared" si="157"/>
        <v>0</v>
      </c>
      <c r="V387" s="1">
        <f t="shared" si="158"/>
        <v>0</v>
      </c>
      <c r="W387" s="1">
        <f t="shared" si="159"/>
        <v>0</v>
      </c>
      <c r="X387" s="1">
        <f t="shared" si="160"/>
        <v>0</v>
      </c>
      <c r="Y387" s="1">
        <f t="shared" si="161"/>
        <v>1</v>
      </c>
      <c r="Z387" s="1">
        <f t="shared" si="162"/>
        <v>0</v>
      </c>
      <c r="AA387" s="1">
        <f t="shared" si="163"/>
        <v>0</v>
      </c>
      <c r="AB387" s="1">
        <f t="shared" si="164"/>
        <v>0</v>
      </c>
      <c r="AD387" s="1">
        <f t="shared" si="165"/>
        <v>1</v>
      </c>
      <c r="AE387" s="1">
        <f t="shared" si="166"/>
        <v>0</v>
      </c>
      <c r="AF387" s="1">
        <f t="shared" si="151"/>
        <v>1</v>
      </c>
      <c r="AG387" s="1">
        <f t="shared" si="152"/>
        <v>0</v>
      </c>
      <c r="AH387" s="1">
        <f t="shared" si="153"/>
        <v>1</v>
      </c>
      <c r="AI387" s="1">
        <f t="shared" si="154"/>
        <v>0</v>
      </c>
    </row>
    <row r="388" spans="1:35" ht="14.25" customHeight="1" x14ac:dyDescent="0.25">
      <c r="A388" s="34">
        <v>0</v>
      </c>
      <c r="B388" s="34">
        <v>2</v>
      </c>
      <c r="C388" s="34">
        <v>7</v>
      </c>
      <c r="D388" s="35" t="s">
        <v>70</v>
      </c>
      <c r="E388" s="35" t="s">
        <v>28</v>
      </c>
      <c r="F388" s="35" t="s">
        <v>673</v>
      </c>
      <c r="G388" s="35" t="s">
        <v>258</v>
      </c>
      <c r="H388" s="35" t="s">
        <v>354</v>
      </c>
      <c r="I388" s="34" t="s">
        <v>417</v>
      </c>
      <c r="J388" s="34">
        <v>8</v>
      </c>
      <c r="K388" s="36" t="s">
        <v>713</v>
      </c>
      <c r="L388" s="36" t="s">
        <v>713</v>
      </c>
      <c r="M388" s="37" t="s">
        <v>731</v>
      </c>
      <c r="N388" s="37" t="s">
        <v>1743</v>
      </c>
      <c r="O388" s="38">
        <v>1</v>
      </c>
      <c r="P388" s="38"/>
      <c r="Q388" s="35"/>
      <c r="S388" s="1">
        <f t="shared" si="155"/>
        <v>0</v>
      </c>
      <c r="T388" s="1">
        <f t="shared" si="156"/>
        <v>0</v>
      </c>
      <c r="U388" s="1">
        <f t="shared" si="157"/>
        <v>0</v>
      </c>
      <c r="V388" s="1">
        <f t="shared" si="158"/>
        <v>0</v>
      </c>
      <c r="W388" s="1">
        <f t="shared" si="159"/>
        <v>0</v>
      </c>
      <c r="X388" s="1">
        <f t="shared" si="160"/>
        <v>0</v>
      </c>
      <c r="Y388" s="1">
        <f t="shared" si="161"/>
        <v>0</v>
      </c>
      <c r="Z388" s="1">
        <f t="shared" si="162"/>
        <v>1</v>
      </c>
      <c r="AA388" s="1">
        <f t="shared" si="163"/>
        <v>0</v>
      </c>
      <c r="AB388" s="1">
        <f t="shared" si="164"/>
        <v>0</v>
      </c>
      <c r="AD388" s="1">
        <f t="shared" si="165"/>
        <v>0</v>
      </c>
      <c r="AE388" s="1">
        <f t="shared" si="166"/>
        <v>1</v>
      </c>
      <c r="AF388" s="1">
        <f t="shared" si="151"/>
        <v>0</v>
      </c>
      <c r="AG388" s="1">
        <f t="shared" si="152"/>
        <v>1</v>
      </c>
      <c r="AH388" s="1">
        <f t="shared" si="153"/>
        <v>0</v>
      </c>
      <c r="AI388" s="1">
        <f t="shared" si="154"/>
        <v>1</v>
      </c>
    </row>
    <row r="389" spans="1:35" ht="14.25" customHeight="1" x14ac:dyDescent="0.25">
      <c r="A389" s="34">
        <v>0</v>
      </c>
      <c r="B389" s="34">
        <v>2</v>
      </c>
      <c r="C389" s="34">
        <v>7</v>
      </c>
      <c r="D389" s="35" t="s">
        <v>654</v>
      </c>
      <c r="E389" s="35" t="s">
        <v>156</v>
      </c>
      <c r="F389" s="35" t="s">
        <v>585</v>
      </c>
      <c r="G389" s="35" t="s">
        <v>249</v>
      </c>
      <c r="H389" s="35" t="s">
        <v>354</v>
      </c>
      <c r="I389" s="34" t="s">
        <v>679</v>
      </c>
      <c r="J389" s="34">
        <v>7</v>
      </c>
      <c r="K389" s="36" t="s">
        <v>955</v>
      </c>
      <c r="L389" s="36" t="s">
        <v>39</v>
      </c>
      <c r="M389" s="37" t="s">
        <v>39</v>
      </c>
      <c r="N389" s="37" t="s">
        <v>1727</v>
      </c>
      <c r="O389" s="38">
        <v>1</v>
      </c>
      <c r="P389" s="38">
        <v>1</v>
      </c>
      <c r="Q389" s="35"/>
      <c r="S389" s="1">
        <f t="shared" si="155"/>
        <v>0</v>
      </c>
      <c r="T389" s="1">
        <f t="shared" si="156"/>
        <v>0</v>
      </c>
      <c r="U389" s="1">
        <f t="shared" si="157"/>
        <v>0</v>
      </c>
      <c r="V389" s="1">
        <f t="shared" si="158"/>
        <v>0</v>
      </c>
      <c r="W389" s="1">
        <f t="shared" si="159"/>
        <v>0</v>
      </c>
      <c r="X389" s="1">
        <f t="shared" si="160"/>
        <v>0</v>
      </c>
      <c r="Y389" s="1">
        <f t="shared" si="161"/>
        <v>1</v>
      </c>
      <c r="Z389" s="1">
        <f t="shared" si="162"/>
        <v>0</v>
      </c>
      <c r="AA389" s="1">
        <f t="shared" si="163"/>
        <v>0</v>
      </c>
      <c r="AB389" s="1">
        <f t="shared" si="164"/>
        <v>0</v>
      </c>
      <c r="AD389" s="1">
        <f t="shared" si="165"/>
        <v>1</v>
      </c>
      <c r="AE389" s="1">
        <f t="shared" si="166"/>
        <v>0</v>
      </c>
      <c r="AF389" s="1">
        <f t="shared" si="151"/>
        <v>1</v>
      </c>
      <c r="AG389" s="1">
        <f t="shared" si="152"/>
        <v>0</v>
      </c>
      <c r="AH389" s="1">
        <f t="shared" si="153"/>
        <v>1</v>
      </c>
      <c r="AI389" s="1">
        <f t="shared" si="154"/>
        <v>0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1634</v>
      </c>
      <c r="E390" s="48" t="s">
        <v>156</v>
      </c>
      <c r="F390" s="48" t="s">
        <v>1657</v>
      </c>
      <c r="G390" s="48" t="s">
        <v>213</v>
      </c>
      <c r="H390" s="48" t="s">
        <v>354</v>
      </c>
      <c r="I390" s="47" t="s">
        <v>594</v>
      </c>
      <c r="J390" s="47">
        <v>1</v>
      </c>
      <c r="K390" s="49" t="s">
        <v>712</v>
      </c>
      <c r="L390" s="49" t="s">
        <v>722</v>
      </c>
      <c r="M390" s="50" t="s">
        <v>1433</v>
      </c>
      <c r="N390" s="50" t="s">
        <v>1735</v>
      </c>
      <c r="O390" s="51"/>
      <c r="P390" s="51"/>
      <c r="Q390" s="48"/>
      <c r="S390" s="1">
        <f t="shared" si="155"/>
        <v>1</v>
      </c>
      <c r="T390" s="1">
        <f t="shared" si="156"/>
        <v>0</v>
      </c>
      <c r="U390" s="1">
        <f t="shared" si="157"/>
        <v>0</v>
      </c>
      <c r="V390" s="1">
        <f t="shared" si="158"/>
        <v>0</v>
      </c>
      <c r="W390" s="1">
        <f t="shared" si="159"/>
        <v>0</v>
      </c>
      <c r="X390" s="1">
        <f t="shared" si="160"/>
        <v>0</v>
      </c>
      <c r="Y390" s="1">
        <f t="shared" si="161"/>
        <v>0</v>
      </c>
      <c r="Z390" s="1">
        <f t="shared" si="162"/>
        <v>0</v>
      </c>
      <c r="AA390" s="1">
        <f t="shared" si="163"/>
        <v>0</v>
      </c>
      <c r="AB390" s="1">
        <f t="shared" si="164"/>
        <v>0</v>
      </c>
      <c r="AD390" s="1">
        <f t="shared" si="165"/>
        <v>0</v>
      </c>
      <c r="AE390" s="1">
        <f t="shared" si="166"/>
        <v>0</v>
      </c>
      <c r="AF390" s="1">
        <f t="shared" si="151"/>
        <v>0</v>
      </c>
      <c r="AG390" s="1">
        <f t="shared" si="152"/>
        <v>0</v>
      </c>
      <c r="AH390" s="1">
        <f t="shared" si="153"/>
        <v>0</v>
      </c>
      <c r="AI390" s="1">
        <f t="shared" si="154"/>
        <v>1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1070</v>
      </c>
      <c r="E391" s="48" t="s">
        <v>1046</v>
      </c>
      <c r="F391" s="48" t="s">
        <v>1071</v>
      </c>
      <c r="G391" s="48" t="s">
        <v>213</v>
      </c>
      <c r="H391" s="48" t="s">
        <v>354</v>
      </c>
      <c r="I391" s="47" t="s">
        <v>1072</v>
      </c>
      <c r="J391" s="47">
        <v>1</v>
      </c>
      <c r="K391" s="49" t="s">
        <v>955</v>
      </c>
      <c r="L391" s="49" t="s">
        <v>722</v>
      </c>
      <c r="M391" s="50" t="s">
        <v>1434</v>
      </c>
      <c r="N391" s="50" t="s">
        <v>1735</v>
      </c>
      <c r="O391" s="51"/>
      <c r="P391" s="51"/>
      <c r="Q391" s="48" t="s">
        <v>1918</v>
      </c>
      <c r="S391" s="1">
        <f t="shared" si="155"/>
        <v>1</v>
      </c>
      <c r="T391" s="1">
        <f t="shared" si="156"/>
        <v>0</v>
      </c>
      <c r="U391" s="1">
        <f t="shared" si="157"/>
        <v>0</v>
      </c>
      <c r="V391" s="1">
        <f t="shared" si="158"/>
        <v>0</v>
      </c>
      <c r="W391" s="1">
        <f t="shared" si="159"/>
        <v>0</v>
      </c>
      <c r="X391" s="1">
        <f t="shared" si="160"/>
        <v>0</v>
      </c>
      <c r="Y391" s="1">
        <f t="shared" si="161"/>
        <v>0</v>
      </c>
      <c r="Z391" s="1">
        <f t="shared" si="162"/>
        <v>0</v>
      </c>
      <c r="AA391" s="1">
        <f t="shared" si="163"/>
        <v>0</v>
      </c>
      <c r="AB391" s="1">
        <f t="shared" si="164"/>
        <v>0</v>
      </c>
      <c r="AD391" s="1">
        <f t="shared" si="165"/>
        <v>0</v>
      </c>
      <c r="AE391" s="1">
        <f t="shared" si="166"/>
        <v>0</v>
      </c>
      <c r="AF391" s="1">
        <f t="shared" si="151"/>
        <v>0</v>
      </c>
      <c r="AG391" s="1">
        <f t="shared" si="152"/>
        <v>0</v>
      </c>
      <c r="AH391" s="1">
        <f t="shared" si="153"/>
        <v>0</v>
      </c>
      <c r="AI391" s="1">
        <f t="shared" si="154"/>
        <v>1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1017</v>
      </c>
      <c r="E392" s="35" t="s">
        <v>156</v>
      </c>
      <c r="F392" s="35" t="s">
        <v>1088</v>
      </c>
      <c r="G392" s="35" t="s">
        <v>1098</v>
      </c>
      <c r="H392" s="35" t="s">
        <v>354</v>
      </c>
      <c r="I392" s="34" t="s">
        <v>1018</v>
      </c>
      <c r="J392" s="34">
        <v>99</v>
      </c>
      <c r="K392" s="36" t="s">
        <v>713</v>
      </c>
      <c r="L392" s="36" t="s">
        <v>722</v>
      </c>
      <c r="M392" s="37" t="s">
        <v>1434</v>
      </c>
      <c r="N392" s="37" t="s">
        <v>1748</v>
      </c>
      <c r="O392" s="38">
        <v>1</v>
      </c>
      <c r="P392" s="38"/>
      <c r="Q392" s="35"/>
      <c r="S392" s="1">
        <f t="shared" si="155"/>
        <v>0</v>
      </c>
      <c r="T392" s="1">
        <f t="shared" si="156"/>
        <v>0</v>
      </c>
      <c r="U392" s="1">
        <f t="shared" si="157"/>
        <v>0</v>
      </c>
      <c r="V392" s="1">
        <f t="shared" si="158"/>
        <v>0</v>
      </c>
      <c r="W392" s="1">
        <f t="shared" si="159"/>
        <v>0</v>
      </c>
      <c r="X392" s="1">
        <f t="shared" si="160"/>
        <v>0</v>
      </c>
      <c r="Y392" s="1">
        <f t="shared" si="161"/>
        <v>0</v>
      </c>
      <c r="Z392" s="1">
        <f t="shared" si="162"/>
        <v>0</v>
      </c>
      <c r="AA392" s="1">
        <f t="shared" si="163"/>
        <v>0</v>
      </c>
      <c r="AB392" s="1">
        <f t="shared" si="164"/>
        <v>0</v>
      </c>
      <c r="AD392" s="1">
        <f t="shared" si="165"/>
        <v>0</v>
      </c>
      <c r="AE392" s="1">
        <f t="shared" si="166"/>
        <v>1</v>
      </c>
      <c r="AF392" s="1">
        <f t="shared" si="151"/>
        <v>0</v>
      </c>
      <c r="AG392" s="1">
        <f t="shared" si="152"/>
        <v>1</v>
      </c>
      <c r="AH392" s="1">
        <f t="shared" si="153"/>
        <v>0</v>
      </c>
      <c r="AI392" s="1">
        <f t="shared" si="154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1205</v>
      </c>
      <c r="E393" s="35" t="s">
        <v>1332</v>
      </c>
      <c r="F393" s="35" t="s">
        <v>1206</v>
      </c>
      <c r="G393" s="35" t="s">
        <v>39</v>
      </c>
      <c r="H393" s="35" t="s">
        <v>354</v>
      </c>
      <c r="I393" s="34" t="s">
        <v>1685</v>
      </c>
      <c r="J393" s="34">
        <v>99</v>
      </c>
      <c r="K393" s="36" t="s">
        <v>955</v>
      </c>
      <c r="L393" s="36" t="s">
        <v>729</v>
      </c>
      <c r="M393" s="37" t="s">
        <v>1435</v>
      </c>
      <c r="N393" s="37" t="s">
        <v>1748</v>
      </c>
      <c r="O393" s="38">
        <v>1</v>
      </c>
      <c r="P393" s="38"/>
      <c r="Q393" s="35"/>
      <c r="S393" s="1">
        <f t="shared" si="155"/>
        <v>0</v>
      </c>
      <c r="T393" s="1">
        <f t="shared" si="156"/>
        <v>0</v>
      </c>
      <c r="U393" s="1">
        <f t="shared" si="157"/>
        <v>0</v>
      </c>
      <c r="V393" s="1">
        <f t="shared" si="158"/>
        <v>0</v>
      </c>
      <c r="W393" s="1">
        <f t="shared" si="159"/>
        <v>0</v>
      </c>
      <c r="X393" s="1">
        <f t="shared" si="160"/>
        <v>0</v>
      </c>
      <c r="Y393" s="1">
        <f t="shared" si="161"/>
        <v>0</v>
      </c>
      <c r="Z393" s="1">
        <f t="shared" si="162"/>
        <v>0</v>
      </c>
      <c r="AA393" s="1">
        <f t="shared" si="163"/>
        <v>0</v>
      </c>
      <c r="AB393" s="1">
        <f t="shared" si="164"/>
        <v>0</v>
      </c>
      <c r="AD393" s="1">
        <f t="shared" si="165"/>
        <v>0</v>
      </c>
      <c r="AE393" s="1">
        <f t="shared" si="166"/>
        <v>1</v>
      </c>
      <c r="AF393" s="1">
        <f t="shared" si="151"/>
        <v>0</v>
      </c>
      <c r="AG393" s="1">
        <f t="shared" si="152"/>
        <v>1</v>
      </c>
      <c r="AH393" s="1">
        <f t="shared" si="153"/>
        <v>0</v>
      </c>
      <c r="AI393" s="1">
        <f t="shared" si="154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644</v>
      </c>
      <c r="G394" s="35" t="s">
        <v>535</v>
      </c>
      <c r="H394" s="35" t="s">
        <v>354</v>
      </c>
      <c r="I394" s="34" t="s">
        <v>394</v>
      </c>
      <c r="J394" s="34">
        <v>6</v>
      </c>
      <c r="K394" s="36" t="s">
        <v>712</v>
      </c>
      <c r="L394" s="36" t="s">
        <v>713</v>
      </c>
      <c r="M394" s="37" t="s">
        <v>731</v>
      </c>
      <c r="N394" s="37" t="s">
        <v>1761</v>
      </c>
      <c r="O394" s="38">
        <v>1</v>
      </c>
      <c r="P394" s="38"/>
      <c r="Q394" s="35"/>
      <c r="S394" s="1">
        <f t="shared" si="155"/>
        <v>0</v>
      </c>
      <c r="T394" s="1">
        <f t="shared" si="156"/>
        <v>0</v>
      </c>
      <c r="U394" s="1">
        <f t="shared" si="157"/>
        <v>0</v>
      </c>
      <c r="V394" s="1">
        <f t="shared" si="158"/>
        <v>0</v>
      </c>
      <c r="W394" s="1">
        <f t="shared" si="159"/>
        <v>0</v>
      </c>
      <c r="X394" s="1">
        <f t="shared" si="160"/>
        <v>1</v>
      </c>
      <c r="Y394" s="1">
        <f t="shared" si="161"/>
        <v>0</v>
      </c>
      <c r="Z394" s="1">
        <f t="shared" si="162"/>
        <v>0</v>
      </c>
      <c r="AA394" s="1">
        <f t="shared" si="163"/>
        <v>0</v>
      </c>
      <c r="AB394" s="1">
        <f t="shared" si="164"/>
        <v>0</v>
      </c>
      <c r="AD394" s="1">
        <f t="shared" si="165"/>
        <v>0</v>
      </c>
      <c r="AE394" s="1">
        <f t="shared" si="166"/>
        <v>1</v>
      </c>
      <c r="AF394" s="1">
        <f t="shared" si="151"/>
        <v>0</v>
      </c>
      <c r="AG394" s="1">
        <f t="shared" si="152"/>
        <v>1</v>
      </c>
      <c r="AH394" s="1">
        <f t="shared" si="153"/>
        <v>0</v>
      </c>
      <c r="AI394" s="1">
        <f t="shared" si="154"/>
        <v>1</v>
      </c>
    </row>
    <row r="395" spans="1:35" ht="14.25" customHeight="1" x14ac:dyDescent="0.25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216</v>
      </c>
      <c r="G395" s="35" t="s">
        <v>39</v>
      </c>
      <c r="H395" s="35" t="s">
        <v>354</v>
      </c>
      <c r="I395" s="34" t="s">
        <v>30</v>
      </c>
      <c r="J395" s="34">
        <v>99</v>
      </c>
      <c r="K395" s="36" t="s">
        <v>712</v>
      </c>
      <c r="L395" s="36" t="s">
        <v>713</v>
      </c>
      <c r="M395" s="37" t="s">
        <v>731</v>
      </c>
      <c r="N395" s="37" t="s">
        <v>1761</v>
      </c>
      <c r="O395" s="38">
        <v>1</v>
      </c>
      <c r="P395" s="38"/>
      <c r="Q395" s="35"/>
      <c r="S395" s="1">
        <f t="shared" si="155"/>
        <v>0</v>
      </c>
      <c r="T395" s="1">
        <f t="shared" si="156"/>
        <v>0</v>
      </c>
      <c r="U395" s="1">
        <f t="shared" si="157"/>
        <v>0</v>
      </c>
      <c r="V395" s="1">
        <f t="shared" si="158"/>
        <v>0</v>
      </c>
      <c r="W395" s="1">
        <f t="shared" si="159"/>
        <v>0</v>
      </c>
      <c r="X395" s="1">
        <f t="shared" si="160"/>
        <v>0</v>
      </c>
      <c r="Y395" s="1">
        <f t="shared" si="161"/>
        <v>0</v>
      </c>
      <c r="Z395" s="1">
        <f t="shared" si="162"/>
        <v>0</v>
      </c>
      <c r="AA395" s="1">
        <f t="shared" si="163"/>
        <v>0</v>
      </c>
      <c r="AB395" s="1">
        <f t="shared" si="164"/>
        <v>0</v>
      </c>
      <c r="AD395" s="1">
        <f t="shared" si="165"/>
        <v>0</v>
      </c>
      <c r="AE395" s="1">
        <f t="shared" si="166"/>
        <v>1</v>
      </c>
      <c r="AF395" s="1">
        <f t="shared" ref="AF395:AF458" si="185">+O395*P395*(1-A395)</f>
        <v>0</v>
      </c>
      <c r="AG395" s="1">
        <f t="shared" ref="AG395:AG458" si="186">O395*(1-P395)*(1-A395)</f>
        <v>0</v>
      </c>
      <c r="AH395" s="1">
        <f t="shared" ref="AH395:AH458" si="187">+P395*(1-A395)</f>
        <v>0</v>
      </c>
      <c r="AI395" s="1">
        <f t="shared" ref="AI395:AI458" si="188">+(1-A395)*(1-P395)</f>
        <v>0</v>
      </c>
    </row>
    <row r="396" spans="1:35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215</v>
      </c>
      <c r="G396" s="35" t="s">
        <v>39</v>
      </c>
      <c r="H396" s="35" t="s">
        <v>354</v>
      </c>
      <c r="I396" s="34" t="s">
        <v>394</v>
      </c>
      <c r="J396" s="34">
        <v>99</v>
      </c>
      <c r="K396" s="36" t="s">
        <v>712</v>
      </c>
      <c r="L396" s="36" t="s">
        <v>713</v>
      </c>
      <c r="M396" s="37" t="s">
        <v>731</v>
      </c>
      <c r="N396" s="37" t="s">
        <v>1761</v>
      </c>
      <c r="O396" s="38">
        <v>1</v>
      </c>
      <c r="P396" s="38"/>
      <c r="Q396" s="35"/>
      <c r="S396" s="1">
        <f t="shared" si="155"/>
        <v>0</v>
      </c>
      <c r="T396" s="1">
        <f t="shared" si="156"/>
        <v>0</v>
      </c>
      <c r="U396" s="1">
        <f t="shared" si="157"/>
        <v>0</v>
      </c>
      <c r="V396" s="1">
        <f t="shared" si="158"/>
        <v>0</v>
      </c>
      <c r="W396" s="1">
        <f t="shared" si="159"/>
        <v>0</v>
      </c>
      <c r="X396" s="1">
        <f t="shared" si="160"/>
        <v>0</v>
      </c>
      <c r="Y396" s="1">
        <f t="shared" si="161"/>
        <v>0</v>
      </c>
      <c r="Z396" s="1">
        <f t="shared" si="162"/>
        <v>0</v>
      </c>
      <c r="AA396" s="1">
        <f t="shared" si="163"/>
        <v>0</v>
      </c>
      <c r="AB396" s="1">
        <f t="shared" si="164"/>
        <v>0</v>
      </c>
      <c r="AD396" s="1">
        <f t="shared" si="165"/>
        <v>0</v>
      </c>
      <c r="AE396" s="1">
        <f t="shared" si="166"/>
        <v>1</v>
      </c>
      <c r="AF396" s="1">
        <f t="shared" si="185"/>
        <v>0</v>
      </c>
      <c r="AG396" s="1">
        <f t="shared" si="186"/>
        <v>0</v>
      </c>
      <c r="AH396" s="1">
        <f t="shared" si="187"/>
        <v>0</v>
      </c>
      <c r="AI396" s="1">
        <f t="shared" si="188"/>
        <v>0</v>
      </c>
    </row>
    <row r="397" spans="1:35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217</v>
      </c>
      <c r="G397" s="35" t="s">
        <v>218</v>
      </c>
      <c r="H397" s="35" t="s">
        <v>354</v>
      </c>
      <c r="I397" s="34" t="s">
        <v>395</v>
      </c>
      <c r="J397" s="34">
        <v>99</v>
      </c>
      <c r="K397" s="36" t="s">
        <v>712</v>
      </c>
      <c r="L397" s="36" t="s">
        <v>713</v>
      </c>
      <c r="M397" s="37" t="s">
        <v>731</v>
      </c>
      <c r="N397" s="37" t="s">
        <v>1761</v>
      </c>
      <c r="O397" s="38">
        <v>1</v>
      </c>
      <c r="P397" s="38"/>
      <c r="Q397" s="35"/>
      <c r="S397" s="1">
        <f t="shared" si="155"/>
        <v>0</v>
      </c>
      <c r="T397" s="1">
        <f t="shared" si="156"/>
        <v>0</v>
      </c>
      <c r="U397" s="1">
        <f t="shared" si="157"/>
        <v>0</v>
      </c>
      <c r="V397" s="1">
        <f t="shared" si="158"/>
        <v>0</v>
      </c>
      <c r="W397" s="1">
        <f t="shared" si="159"/>
        <v>0</v>
      </c>
      <c r="X397" s="1">
        <f t="shared" si="160"/>
        <v>0</v>
      </c>
      <c r="Y397" s="1">
        <f t="shared" si="161"/>
        <v>0</v>
      </c>
      <c r="Z397" s="1">
        <f t="shared" si="162"/>
        <v>0</v>
      </c>
      <c r="AA397" s="1">
        <f t="shared" si="163"/>
        <v>0</v>
      </c>
      <c r="AB397" s="1">
        <f t="shared" si="164"/>
        <v>0</v>
      </c>
      <c r="AD397" s="1">
        <f t="shared" si="165"/>
        <v>0</v>
      </c>
      <c r="AE397" s="1">
        <f t="shared" si="166"/>
        <v>1</v>
      </c>
      <c r="AF397" s="1">
        <f t="shared" si="185"/>
        <v>0</v>
      </c>
      <c r="AG397" s="1">
        <f t="shared" si="186"/>
        <v>0</v>
      </c>
      <c r="AH397" s="1">
        <f t="shared" si="187"/>
        <v>0</v>
      </c>
      <c r="AI397" s="1">
        <f t="shared" si="188"/>
        <v>0</v>
      </c>
    </row>
    <row r="398" spans="1:35" ht="14.25" customHeight="1" x14ac:dyDescent="0.25">
      <c r="A398" s="47">
        <v>0</v>
      </c>
      <c r="B398" s="47">
        <v>2</v>
      </c>
      <c r="C398" s="47">
        <v>7</v>
      </c>
      <c r="D398" s="48" t="s">
        <v>68</v>
      </c>
      <c r="E398" s="48" t="s">
        <v>28</v>
      </c>
      <c r="F398" s="48" t="s">
        <v>253</v>
      </c>
      <c r="G398" s="48" t="s">
        <v>254</v>
      </c>
      <c r="H398" s="48" t="s">
        <v>354</v>
      </c>
      <c r="I398" s="47" t="s">
        <v>414</v>
      </c>
      <c r="J398" s="47">
        <v>99</v>
      </c>
      <c r="K398" s="49" t="s">
        <v>713</v>
      </c>
      <c r="L398" s="49" t="s">
        <v>713</v>
      </c>
      <c r="M398" s="50" t="s">
        <v>731</v>
      </c>
      <c r="N398" s="50" t="s">
        <v>1802</v>
      </c>
      <c r="O398" s="51"/>
      <c r="P398" s="51"/>
      <c r="Q398" s="48"/>
      <c r="S398" s="1">
        <f t="shared" si="155"/>
        <v>0</v>
      </c>
      <c r="T398" s="1">
        <f t="shared" si="156"/>
        <v>0</v>
      </c>
      <c r="U398" s="1">
        <f t="shared" si="157"/>
        <v>0</v>
      </c>
      <c r="V398" s="1">
        <f t="shared" si="158"/>
        <v>0</v>
      </c>
      <c r="W398" s="1">
        <f t="shared" si="159"/>
        <v>0</v>
      </c>
      <c r="X398" s="1">
        <f t="shared" si="160"/>
        <v>0</v>
      </c>
      <c r="Y398" s="1">
        <f t="shared" si="161"/>
        <v>0</v>
      </c>
      <c r="Z398" s="1">
        <f t="shared" si="162"/>
        <v>0</v>
      </c>
      <c r="AA398" s="1">
        <f t="shared" si="163"/>
        <v>0</v>
      </c>
      <c r="AB398" s="1">
        <f t="shared" si="164"/>
        <v>0</v>
      </c>
      <c r="AD398" s="1">
        <f t="shared" si="165"/>
        <v>0</v>
      </c>
      <c r="AE398" s="1">
        <f t="shared" si="166"/>
        <v>0</v>
      </c>
      <c r="AF398" s="1">
        <f t="shared" si="185"/>
        <v>0</v>
      </c>
      <c r="AG398" s="1">
        <f t="shared" si="186"/>
        <v>0</v>
      </c>
      <c r="AH398" s="1">
        <f t="shared" si="187"/>
        <v>0</v>
      </c>
      <c r="AI398" s="1">
        <f t="shared" si="188"/>
        <v>1</v>
      </c>
    </row>
    <row r="399" spans="1:35" ht="14.25" customHeight="1" x14ac:dyDescent="0.25">
      <c r="A399" s="15">
        <v>0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255</v>
      </c>
      <c r="G399" s="16" t="s">
        <v>207</v>
      </c>
      <c r="H399" s="16" t="s">
        <v>354</v>
      </c>
      <c r="I399" s="15" t="s">
        <v>415</v>
      </c>
      <c r="J399" s="15">
        <v>99</v>
      </c>
      <c r="K399" s="10" t="s">
        <v>955</v>
      </c>
      <c r="L399" s="10" t="s">
        <v>713</v>
      </c>
      <c r="M399" s="19" t="s">
        <v>731</v>
      </c>
      <c r="N399" s="17"/>
      <c r="Q399" s="16"/>
      <c r="S399" s="1">
        <f t="shared" ref="S399:S465" si="189">IF(J399=$S$7,1,0)</f>
        <v>0</v>
      </c>
      <c r="T399" s="1">
        <f t="shared" ref="T399:T465" si="190">IF(J399=$T$7,1,0)</f>
        <v>0</v>
      </c>
      <c r="U399" s="1">
        <f t="shared" ref="U399:U465" si="191">IF(J399=$U$7,1,0)</f>
        <v>0</v>
      </c>
      <c r="V399" s="1">
        <f t="shared" ref="V399:V465" si="192">IF(J399=$V$7,1,0)</f>
        <v>0</v>
      </c>
      <c r="W399" s="1">
        <f t="shared" ref="W399:W465" si="193">IF(J399=$W$7,1,0)</f>
        <v>0</v>
      </c>
      <c r="X399" s="1">
        <f t="shared" ref="X399:X465" si="194">IF(J399=$X$7,1,0)</f>
        <v>0</v>
      </c>
      <c r="Y399" s="1">
        <f t="shared" ref="Y399:Y465" si="195">IF(J399=$Y$7,1,0)</f>
        <v>0</v>
      </c>
      <c r="Z399" s="1">
        <f t="shared" ref="Z399:Z465" si="196">IF(J399=$Z$7,1,0)</f>
        <v>0</v>
      </c>
      <c r="AA399" s="1">
        <f t="shared" ref="AA399:AA465" si="197">IF(J399=$AA$7,1,0)</f>
        <v>0</v>
      </c>
      <c r="AB399" s="1">
        <f t="shared" ref="AB399:AB465" si="198">IF(J399=$AB$7,1,0)</f>
        <v>0</v>
      </c>
      <c r="AD399" s="1">
        <f t="shared" ref="AD399:AD465" si="199">+O399*P399</f>
        <v>0</v>
      </c>
      <c r="AE399" s="1">
        <f t="shared" ref="AE399:AE465" si="200">O399*(1-P399)</f>
        <v>0</v>
      </c>
      <c r="AF399" s="1">
        <f t="shared" si="185"/>
        <v>0</v>
      </c>
      <c r="AG399" s="1">
        <f t="shared" si="186"/>
        <v>0</v>
      </c>
      <c r="AH399" s="1">
        <f t="shared" si="187"/>
        <v>0</v>
      </c>
      <c r="AI399" s="1">
        <f t="shared" si="188"/>
        <v>1</v>
      </c>
    </row>
    <row r="400" spans="1:35" ht="14.25" customHeight="1" x14ac:dyDescent="0.25">
      <c r="A400" s="15">
        <v>1</v>
      </c>
      <c r="B400" s="15">
        <v>2</v>
      </c>
      <c r="C400" s="15">
        <v>7</v>
      </c>
      <c r="D400" s="16" t="s">
        <v>69</v>
      </c>
      <c r="E400" s="16" t="s">
        <v>28</v>
      </c>
      <c r="F400" s="20" t="s">
        <v>1874</v>
      </c>
      <c r="G400" s="16" t="s">
        <v>256</v>
      </c>
      <c r="H400" s="16" t="s">
        <v>354</v>
      </c>
      <c r="I400" s="15" t="s">
        <v>416</v>
      </c>
      <c r="J400" s="15">
        <v>99</v>
      </c>
      <c r="K400" s="10" t="s">
        <v>955</v>
      </c>
      <c r="L400" s="10" t="s">
        <v>713</v>
      </c>
      <c r="M400" s="19" t="s">
        <v>731</v>
      </c>
      <c r="N400" s="17"/>
      <c r="Q400" s="16"/>
      <c r="S400" s="1">
        <f t="shared" si="189"/>
        <v>0</v>
      </c>
      <c r="T400" s="1">
        <f t="shared" si="190"/>
        <v>0</v>
      </c>
      <c r="U400" s="1">
        <f t="shared" si="191"/>
        <v>0</v>
      </c>
      <c r="V400" s="1">
        <f t="shared" si="192"/>
        <v>0</v>
      </c>
      <c r="W400" s="1">
        <f t="shared" si="193"/>
        <v>0</v>
      </c>
      <c r="X400" s="1">
        <f t="shared" si="194"/>
        <v>0</v>
      </c>
      <c r="Y400" s="1">
        <f t="shared" si="195"/>
        <v>0</v>
      </c>
      <c r="Z400" s="1">
        <f t="shared" si="196"/>
        <v>0</v>
      </c>
      <c r="AA400" s="1">
        <f t="shared" si="197"/>
        <v>0</v>
      </c>
      <c r="AB400" s="1">
        <f t="shared" si="198"/>
        <v>0</v>
      </c>
      <c r="AD400" s="1">
        <f t="shared" si="199"/>
        <v>0</v>
      </c>
      <c r="AE400" s="1">
        <f t="shared" si="200"/>
        <v>0</v>
      </c>
      <c r="AF400" s="1">
        <f t="shared" si="185"/>
        <v>0</v>
      </c>
      <c r="AG400" s="1">
        <f t="shared" si="186"/>
        <v>0</v>
      </c>
      <c r="AH400" s="1">
        <f t="shared" si="187"/>
        <v>0</v>
      </c>
      <c r="AI400" s="1">
        <f t="shared" si="188"/>
        <v>0</v>
      </c>
    </row>
    <row r="401" spans="1:35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16" t="s">
        <v>570</v>
      </c>
      <c r="G401" s="16" t="s">
        <v>571</v>
      </c>
      <c r="H401" s="16" t="s">
        <v>354</v>
      </c>
      <c r="I401" s="15" t="s">
        <v>580</v>
      </c>
      <c r="J401" s="15">
        <v>99</v>
      </c>
      <c r="K401" s="10" t="s">
        <v>955</v>
      </c>
      <c r="L401" s="10" t="s">
        <v>713</v>
      </c>
      <c r="M401" s="19" t="s">
        <v>731</v>
      </c>
      <c r="N401" s="17"/>
      <c r="Q401" s="16"/>
      <c r="S401" s="1">
        <f t="shared" si="189"/>
        <v>0</v>
      </c>
      <c r="T401" s="1">
        <f t="shared" si="190"/>
        <v>0</v>
      </c>
      <c r="U401" s="1">
        <f t="shared" si="191"/>
        <v>0</v>
      </c>
      <c r="V401" s="1">
        <f t="shared" si="192"/>
        <v>0</v>
      </c>
      <c r="W401" s="1">
        <f t="shared" si="193"/>
        <v>0</v>
      </c>
      <c r="X401" s="1">
        <f t="shared" si="194"/>
        <v>0</v>
      </c>
      <c r="Y401" s="1">
        <f t="shared" si="195"/>
        <v>0</v>
      </c>
      <c r="Z401" s="1">
        <f t="shared" si="196"/>
        <v>0</v>
      </c>
      <c r="AA401" s="1">
        <f t="shared" si="197"/>
        <v>0</v>
      </c>
      <c r="AB401" s="1">
        <f t="shared" si="198"/>
        <v>0</v>
      </c>
      <c r="AD401" s="1">
        <f t="shared" si="199"/>
        <v>0</v>
      </c>
      <c r="AE401" s="1">
        <f t="shared" si="200"/>
        <v>0</v>
      </c>
      <c r="AF401" s="1">
        <f t="shared" si="185"/>
        <v>0</v>
      </c>
      <c r="AG401" s="1">
        <f t="shared" si="186"/>
        <v>0</v>
      </c>
      <c r="AH401" s="1">
        <f t="shared" si="187"/>
        <v>0</v>
      </c>
      <c r="AI401" s="1">
        <f t="shared" si="188"/>
        <v>0</v>
      </c>
    </row>
    <row r="402" spans="1:35" ht="14.25" customHeight="1" x14ac:dyDescent="0.25">
      <c r="A402" s="47">
        <v>0</v>
      </c>
      <c r="B402" s="47">
        <v>2</v>
      </c>
      <c r="C402" s="47">
        <v>7</v>
      </c>
      <c r="D402" s="48" t="s">
        <v>71</v>
      </c>
      <c r="E402" s="48" t="s">
        <v>28</v>
      </c>
      <c r="F402" s="48" t="s">
        <v>1349</v>
      </c>
      <c r="G402" s="48" t="s">
        <v>259</v>
      </c>
      <c r="H402" s="48" t="s">
        <v>354</v>
      </c>
      <c r="I402" s="47" t="s">
        <v>418</v>
      </c>
      <c r="J402" s="47">
        <v>99</v>
      </c>
      <c r="K402" s="49" t="s">
        <v>713</v>
      </c>
      <c r="L402" s="49" t="s">
        <v>713</v>
      </c>
      <c r="M402" s="50" t="s">
        <v>731</v>
      </c>
      <c r="N402" s="50" t="s">
        <v>1802</v>
      </c>
      <c r="O402" s="51"/>
      <c r="P402" s="51"/>
      <c r="Q402" s="48"/>
      <c r="S402" s="1">
        <f t="shared" si="189"/>
        <v>0</v>
      </c>
      <c r="T402" s="1">
        <f t="shared" si="190"/>
        <v>0</v>
      </c>
      <c r="U402" s="1">
        <f t="shared" si="191"/>
        <v>0</v>
      </c>
      <c r="V402" s="1">
        <f t="shared" si="192"/>
        <v>0</v>
      </c>
      <c r="W402" s="1">
        <f t="shared" si="193"/>
        <v>0</v>
      </c>
      <c r="X402" s="1">
        <f t="shared" si="194"/>
        <v>0</v>
      </c>
      <c r="Y402" s="1">
        <f t="shared" si="195"/>
        <v>0</v>
      </c>
      <c r="Z402" s="1">
        <f t="shared" si="196"/>
        <v>0</v>
      </c>
      <c r="AA402" s="1">
        <f t="shared" si="197"/>
        <v>0</v>
      </c>
      <c r="AB402" s="1">
        <f t="shared" si="198"/>
        <v>0</v>
      </c>
      <c r="AD402" s="1">
        <f t="shared" si="199"/>
        <v>0</v>
      </c>
      <c r="AE402" s="1">
        <f t="shared" si="200"/>
        <v>0</v>
      </c>
      <c r="AF402" s="1">
        <f t="shared" si="185"/>
        <v>0</v>
      </c>
      <c r="AG402" s="1">
        <f t="shared" si="186"/>
        <v>0</v>
      </c>
      <c r="AH402" s="1">
        <f t="shared" si="187"/>
        <v>0</v>
      </c>
      <c r="AI402" s="1">
        <f t="shared" si="188"/>
        <v>1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1062</v>
      </c>
      <c r="E403" s="48" t="s">
        <v>28</v>
      </c>
      <c r="F403" s="48" t="s">
        <v>1063</v>
      </c>
      <c r="G403" s="48" t="s">
        <v>1064</v>
      </c>
      <c r="H403" s="48" t="s">
        <v>354</v>
      </c>
      <c r="I403" s="47" t="s">
        <v>1065</v>
      </c>
      <c r="J403" s="47">
        <v>99</v>
      </c>
      <c r="K403" s="49" t="s">
        <v>713</v>
      </c>
      <c r="L403" s="49" t="s">
        <v>713</v>
      </c>
      <c r="M403" s="50" t="s">
        <v>731</v>
      </c>
      <c r="N403" s="50" t="s">
        <v>1802</v>
      </c>
      <c r="O403" s="51"/>
      <c r="P403" s="51"/>
      <c r="Q403" s="48"/>
      <c r="S403" s="1">
        <f t="shared" si="189"/>
        <v>0</v>
      </c>
      <c r="T403" s="1">
        <f t="shared" si="190"/>
        <v>0</v>
      </c>
      <c r="U403" s="1">
        <f t="shared" si="191"/>
        <v>0</v>
      </c>
      <c r="V403" s="1">
        <f t="shared" si="192"/>
        <v>0</v>
      </c>
      <c r="W403" s="1">
        <f t="shared" si="193"/>
        <v>0</v>
      </c>
      <c r="X403" s="1">
        <f t="shared" si="194"/>
        <v>0</v>
      </c>
      <c r="Y403" s="1">
        <f t="shared" si="195"/>
        <v>0</v>
      </c>
      <c r="Z403" s="1">
        <f t="shared" si="196"/>
        <v>0</v>
      </c>
      <c r="AA403" s="1">
        <f t="shared" si="197"/>
        <v>0</v>
      </c>
      <c r="AB403" s="1">
        <f t="shared" si="198"/>
        <v>0</v>
      </c>
      <c r="AD403" s="1">
        <f t="shared" si="199"/>
        <v>0</v>
      </c>
      <c r="AE403" s="1">
        <f t="shared" si="200"/>
        <v>0</v>
      </c>
      <c r="AF403" s="1">
        <f t="shared" si="185"/>
        <v>0</v>
      </c>
      <c r="AG403" s="1">
        <f t="shared" si="186"/>
        <v>0</v>
      </c>
      <c r="AH403" s="1">
        <f t="shared" si="187"/>
        <v>0</v>
      </c>
      <c r="AI403" s="1">
        <f t="shared" si="188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1806</v>
      </c>
      <c r="E404" s="35" t="s">
        <v>156</v>
      </c>
      <c r="F404" s="35" t="s">
        <v>1807</v>
      </c>
      <c r="G404" s="35"/>
      <c r="H404" s="35" t="s">
        <v>354</v>
      </c>
      <c r="I404" s="34" t="s">
        <v>1808</v>
      </c>
      <c r="J404" s="34">
        <v>99</v>
      </c>
      <c r="K404" s="36" t="s">
        <v>703</v>
      </c>
      <c r="L404" s="36"/>
      <c r="M404" s="37"/>
      <c r="N404" s="37" t="s">
        <v>1727</v>
      </c>
      <c r="O404" s="38">
        <v>1</v>
      </c>
      <c r="P404" s="38">
        <v>1</v>
      </c>
      <c r="Q404" s="35"/>
      <c r="S404" s="1">
        <f t="shared" si="189"/>
        <v>0</v>
      </c>
      <c r="T404" s="1">
        <f t="shared" si="190"/>
        <v>0</v>
      </c>
      <c r="U404" s="1">
        <f t="shared" si="191"/>
        <v>0</v>
      </c>
      <c r="V404" s="1">
        <f t="shared" si="192"/>
        <v>0</v>
      </c>
      <c r="W404" s="1">
        <f t="shared" si="193"/>
        <v>0</v>
      </c>
      <c r="X404" s="1">
        <f t="shared" si="194"/>
        <v>0</v>
      </c>
      <c r="Y404" s="1">
        <f t="shared" si="195"/>
        <v>0</v>
      </c>
      <c r="Z404" s="1">
        <f t="shared" si="196"/>
        <v>0</v>
      </c>
      <c r="AA404" s="1">
        <f t="shared" si="197"/>
        <v>0</v>
      </c>
      <c r="AB404" s="1">
        <f t="shared" si="198"/>
        <v>0</v>
      </c>
      <c r="AD404" s="1">
        <f t="shared" si="199"/>
        <v>1</v>
      </c>
      <c r="AE404" s="1">
        <f t="shared" si="200"/>
        <v>0</v>
      </c>
      <c r="AF404" s="1">
        <f t="shared" si="185"/>
        <v>1</v>
      </c>
      <c r="AG404" s="1">
        <f t="shared" si="186"/>
        <v>0</v>
      </c>
      <c r="AH404" s="1">
        <f t="shared" si="187"/>
        <v>1</v>
      </c>
      <c r="AI404" s="1">
        <f t="shared" si="188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1178</v>
      </c>
      <c r="E405" s="35" t="s">
        <v>156</v>
      </c>
      <c r="F405" s="35" t="s">
        <v>1179</v>
      </c>
      <c r="G405" s="35" t="s">
        <v>293</v>
      </c>
      <c r="H405" s="35" t="s">
        <v>354</v>
      </c>
      <c r="I405" s="34" t="s">
        <v>1180</v>
      </c>
      <c r="J405" s="34">
        <v>99</v>
      </c>
      <c r="K405" s="36" t="s">
        <v>713</v>
      </c>
      <c r="L405" s="36" t="s">
        <v>722</v>
      </c>
      <c r="M405" s="37" t="s">
        <v>1434</v>
      </c>
      <c r="N405" s="37" t="s">
        <v>1748</v>
      </c>
      <c r="O405" s="38">
        <v>1</v>
      </c>
      <c r="P405" s="38"/>
      <c r="Q405" s="35"/>
      <c r="S405" s="1">
        <f t="shared" si="189"/>
        <v>0</v>
      </c>
      <c r="T405" s="1">
        <f t="shared" si="190"/>
        <v>0</v>
      </c>
      <c r="U405" s="1">
        <f t="shared" si="191"/>
        <v>0</v>
      </c>
      <c r="V405" s="1">
        <f t="shared" si="192"/>
        <v>0</v>
      </c>
      <c r="W405" s="1">
        <f t="shared" si="193"/>
        <v>0</v>
      </c>
      <c r="X405" s="1">
        <f t="shared" si="194"/>
        <v>0</v>
      </c>
      <c r="Y405" s="1">
        <f t="shared" si="195"/>
        <v>0</v>
      </c>
      <c r="Z405" s="1">
        <f t="shared" si="196"/>
        <v>0</v>
      </c>
      <c r="AA405" s="1">
        <f t="shared" si="197"/>
        <v>0</v>
      </c>
      <c r="AB405" s="1">
        <f t="shared" si="198"/>
        <v>0</v>
      </c>
      <c r="AD405" s="1">
        <f t="shared" si="199"/>
        <v>0</v>
      </c>
      <c r="AE405" s="1">
        <f t="shared" si="200"/>
        <v>1</v>
      </c>
      <c r="AF405" s="1">
        <f t="shared" si="185"/>
        <v>0</v>
      </c>
      <c r="AG405" s="1">
        <f t="shared" si="186"/>
        <v>1</v>
      </c>
      <c r="AH405" s="1">
        <f t="shared" si="187"/>
        <v>0</v>
      </c>
      <c r="AI405" s="1">
        <f t="shared" si="188"/>
        <v>1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1153</v>
      </c>
      <c r="E406" s="35" t="s">
        <v>1154</v>
      </c>
      <c r="F406" s="39" t="s">
        <v>1878</v>
      </c>
      <c r="G406" s="35" t="s">
        <v>628</v>
      </c>
      <c r="H406" s="35" t="s">
        <v>354</v>
      </c>
      <c r="I406" s="34" t="s">
        <v>1155</v>
      </c>
      <c r="J406" s="34">
        <v>99</v>
      </c>
      <c r="K406" s="36" t="s">
        <v>713</v>
      </c>
      <c r="L406" s="36" t="s">
        <v>713</v>
      </c>
      <c r="M406" s="37" t="s">
        <v>731</v>
      </c>
      <c r="N406" s="37" t="s">
        <v>1743</v>
      </c>
      <c r="O406" s="38">
        <v>1</v>
      </c>
      <c r="P406" s="38"/>
      <c r="Q406" s="39" t="s">
        <v>1898</v>
      </c>
      <c r="S406" s="1">
        <f t="shared" si="189"/>
        <v>0</v>
      </c>
      <c r="T406" s="1">
        <f t="shared" si="190"/>
        <v>0</v>
      </c>
      <c r="U406" s="1">
        <f t="shared" si="191"/>
        <v>0</v>
      </c>
      <c r="V406" s="1">
        <f t="shared" si="192"/>
        <v>0</v>
      </c>
      <c r="W406" s="1">
        <f t="shared" si="193"/>
        <v>0</v>
      </c>
      <c r="X406" s="1">
        <f t="shared" si="194"/>
        <v>0</v>
      </c>
      <c r="Y406" s="1">
        <f t="shared" si="195"/>
        <v>0</v>
      </c>
      <c r="Z406" s="1">
        <f t="shared" si="196"/>
        <v>0</v>
      </c>
      <c r="AA406" s="1">
        <f t="shared" si="197"/>
        <v>0</v>
      </c>
      <c r="AB406" s="1">
        <f t="shared" si="198"/>
        <v>0</v>
      </c>
      <c r="AD406" s="1">
        <f t="shared" si="199"/>
        <v>0</v>
      </c>
      <c r="AE406" s="1">
        <f t="shared" si="200"/>
        <v>1</v>
      </c>
      <c r="AF406" s="1">
        <f t="shared" si="185"/>
        <v>0</v>
      </c>
      <c r="AG406" s="1">
        <f t="shared" si="186"/>
        <v>1</v>
      </c>
      <c r="AH406" s="1">
        <f t="shared" si="187"/>
        <v>0</v>
      </c>
      <c r="AI406" s="1">
        <f t="shared" si="188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542</v>
      </c>
      <c r="E407" s="35" t="s">
        <v>158</v>
      </c>
      <c r="F407" s="35" t="s">
        <v>195</v>
      </c>
      <c r="G407" s="35" t="s">
        <v>196</v>
      </c>
      <c r="H407" s="35" t="s">
        <v>354</v>
      </c>
      <c r="I407" s="34" t="s">
        <v>550</v>
      </c>
      <c r="J407" s="34">
        <v>99</v>
      </c>
      <c r="K407" s="36" t="s">
        <v>955</v>
      </c>
      <c r="L407" s="36" t="s">
        <v>696</v>
      </c>
      <c r="M407" s="37" t="s">
        <v>1436</v>
      </c>
      <c r="N407" s="37" t="s">
        <v>1748</v>
      </c>
      <c r="O407" s="38">
        <v>1</v>
      </c>
      <c r="P407" s="38"/>
      <c r="Q407" s="35"/>
      <c r="S407" s="1">
        <f t="shared" si="189"/>
        <v>0</v>
      </c>
      <c r="T407" s="1">
        <f t="shared" si="190"/>
        <v>0</v>
      </c>
      <c r="U407" s="1">
        <f t="shared" si="191"/>
        <v>0</v>
      </c>
      <c r="V407" s="1">
        <f t="shared" si="192"/>
        <v>0</v>
      </c>
      <c r="W407" s="1">
        <f t="shared" si="193"/>
        <v>0</v>
      </c>
      <c r="X407" s="1">
        <f t="shared" si="194"/>
        <v>0</v>
      </c>
      <c r="Y407" s="1">
        <f t="shared" si="195"/>
        <v>0</v>
      </c>
      <c r="Z407" s="1">
        <f t="shared" si="196"/>
        <v>0</v>
      </c>
      <c r="AA407" s="1">
        <f t="shared" si="197"/>
        <v>0</v>
      </c>
      <c r="AB407" s="1">
        <f t="shared" si="198"/>
        <v>0</v>
      </c>
      <c r="AD407" s="1">
        <f t="shared" si="199"/>
        <v>0</v>
      </c>
      <c r="AE407" s="1">
        <f t="shared" si="200"/>
        <v>1</v>
      </c>
      <c r="AF407" s="1">
        <f t="shared" si="185"/>
        <v>0</v>
      </c>
      <c r="AG407" s="1">
        <f t="shared" si="186"/>
        <v>1</v>
      </c>
      <c r="AH407" s="1">
        <f t="shared" si="187"/>
        <v>0</v>
      </c>
      <c r="AI407" s="1">
        <f t="shared" si="188"/>
        <v>1</v>
      </c>
    </row>
    <row r="408" spans="1:35" ht="14.25" customHeight="1" x14ac:dyDescent="0.25">
      <c r="A408" s="15">
        <v>0</v>
      </c>
      <c r="B408" s="15">
        <v>2</v>
      </c>
      <c r="C408" s="15">
        <v>7</v>
      </c>
      <c r="D408" s="16" t="s">
        <v>46</v>
      </c>
      <c r="E408" s="16" t="s">
        <v>156</v>
      </c>
      <c r="F408" s="16" t="s">
        <v>183</v>
      </c>
      <c r="G408" s="16" t="s">
        <v>179</v>
      </c>
      <c r="H408" s="16" t="s">
        <v>354</v>
      </c>
      <c r="I408" s="15" t="s">
        <v>382</v>
      </c>
      <c r="J408" s="15">
        <v>10</v>
      </c>
      <c r="K408" s="10" t="s">
        <v>955</v>
      </c>
      <c r="L408" s="10" t="s">
        <v>722</v>
      </c>
      <c r="M408" s="19" t="s">
        <v>1434</v>
      </c>
      <c r="N408" s="19"/>
      <c r="Q408" s="16"/>
      <c r="S408" s="1">
        <f t="shared" si="189"/>
        <v>0</v>
      </c>
      <c r="T408" s="1">
        <f t="shared" si="190"/>
        <v>0</v>
      </c>
      <c r="U408" s="1">
        <f t="shared" si="191"/>
        <v>0</v>
      </c>
      <c r="V408" s="1">
        <f t="shared" si="192"/>
        <v>0</v>
      </c>
      <c r="W408" s="1">
        <f t="shared" si="193"/>
        <v>0</v>
      </c>
      <c r="X408" s="1">
        <f t="shared" si="194"/>
        <v>0</v>
      </c>
      <c r="Y408" s="1">
        <f t="shared" si="195"/>
        <v>0</v>
      </c>
      <c r="Z408" s="1">
        <f t="shared" si="196"/>
        <v>0</v>
      </c>
      <c r="AA408" s="1">
        <f t="shared" si="197"/>
        <v>0</v>
      </c>
      <c r="AB408" s="1">
        <f t="shared" si="198"/>
        <v>1</v>
      </c>
      <c r="AD408" s="1">
        <f t="shared" si="199"/>
        <v>0</v>
      </c>
      <c r="AE408" s="1">
        <f t="shared" si="200"/>
        <v>0</v>
      </c>
      <c r="AF408" s="1">
        <f t="shared" si="185"/>
        <v>0</v>
      </c>
      <c r="AG408" s="1">
        <f t="shared" si="186"/>
        <v>0</v>
      </c>
      <c r="AH408" s="1">
        <f t="shared" si="187"/>
        <v>0</v>
      </c>
      <c r="AI408" s="1">
        <f t="shared" si="188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248</v>
      </c>
      <c r="G409" s="48" t="s">
        <v>249</v>
      </c>
      <c r="H409" s="48" t="s">
        <v>354</v>
      </c>
      <c r="I409" s="47" t="s">
        <v>411</v>
      </c>
      <c r="J409" s="47">
        <v>7</v>
      </c>
      <c r="K409" s="49" t="s">
        <v>713</v>
      </c>
      <c r="L409" s="49" t="s">
        <v>713</v>
      </c>
      <c r="M409" s="50" t="s">
        <v>731</v>
      </c>
      <c r="N409" s="50" t="s">
        <v>1734</v>
      </c>
      <c r="O409" s="51"/>
      <c r="P409" s="51"/>
      <c r="Q409" s="48"/>
      <c r="S409" s="1">
        <f t="shared" si="189"/>
        <v>0</v>
      </c>
      <c r="T409" s="1">
        <f t="shared" si="190"/>
        <v>0</v>
      </c>
      <c r="U409" s="1">
        <f t="shared" si="191"/>
        <v>0</v>
      </c>
      <c r="V409" s="1">
        <f t="shared" si="192"/>
        <v>0</v>
      </c>
      <c r="W409" s="1">
        <f t="shared" si="193"/>
        <v>0</v>
      </c>
      <c r="X409" s="1">
        <f t="shared" si="194"/>
        <v>0</v>
      </c>
      <c r="Y409" s="1">
        <f t="shared" si="195"/>
        <v>1</v>
      </c>
      <c r="Z409" s="1">
        <f t="shared" si="196"/>
        <v>0</v>
      </c>
      <c r="AA409" s="1">
        <f t="shared" si="197"/>
        <v>0</v>
      </c>
      <c r="AB409" s="1">
        <f t="shared" si="198"/>
        <v>0</v>
      </c>
      <c r="AD409" s="1">
        <f t="shared" si="199"/>
        <v>0</v>
      </c>
      <c r="AE409" s="1">
        <f t="shared" si="200"/>
        <v>0</v>
      </c>
      <c r="AF409" s="1">
        <f t="shared" si="185"/>
        <v>0</v>
      </c>
      <c r="AG409" s="1">
        <f t="shared" si="186"/>
        <v>0</v>
      </c>
      <c r="AH409" s="1">
        <f t="shared" si="187"/>
        <v>0</v>
      </c>
      <c r="AI409" s="1">
        <f t="shared" si="188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1039</v>
      </c>
      <c r="G410" s="48" t="s">
        <v>539</v>
      </c>
      <c r="H410" s="48" t="s">
        <v>354</v>
      </c>
      <c r="I410" s="47" t="s">
        <v>30</v>
      </c>
      <c r="J410" s="47">
        <v>1</v>
      </c>
      <c r="K410" s="49" t="s">
        <v>713</v>
      </c>
      <c r="L410" s="49" t="s">
        <v>713</v>
      </c>
      <c r="M410" s="50" t="s">
        <v>731</v>
      </c>
      <c r="N410" s="50" t="s">
        <v>1734</v>
      </c>
      <c r="O410" s="51"/>
      <c r="P410" s="51"/>
      <c r="Q410" s="48"/>
      <c r="S410" s="1">
        <f t="shared" si="189"/>
        <v>1</v>
      </c>
      <c r="T410" s="1">
        <f t="shared" si="190"/>
        <v>0</v>
      </c>
      <c r="U410" s="1">
        <f t="shared" si="191"/>
        <v>0</v>
      </c>
      <c r="V410" s="1">
        <f t="shared" si="192"/>
        <v>0</v>
      </c>
      <c r="W410" s="1">
        <f t="shared" si="193"/>
        <v>0</v>
      </c>
      <c r="X410" s="1">
        <f t="shared" si="194"/>
        <v>0</v>
      </c>
      <c r="Y410" s="1">
        <f t="shared" si="195"/>
        <v>0</v>
      </c>
      <c r="Z410" s="1">
        <f t="shared" si="196"/>
        <v>0</v>
      </c>
      <c r="AA410" s="1">
        <f t="shared" si="197"/>
        <v>0</v>
      </c>
      <c r="AB410" s="1">
        <f t="shared" si="198"/>
        <v>0</v>
      </c>
      <c r="AD410" s="1">
        <f t="shared" si="199"/>
        <v>0</v>
      </c>
      <c r="AE410" s="1">
        <f t="shared" si="200"/>
        <v>0</v>
      </c>
      <c r="AF410" s="1">
        <f t="shared" si="185"/>
        <v>0</v>
      </c>
      <c r="AG410" s="1">
        <f t="shared" si="186"/>
        <v>0</v>
      </c>
      <c r="AH410" s="1">
        <f t="shared" si="187"/>
        <v>0</v>
      </c>
      <c r="AI410" s="1">
        <f t="shared" si="188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250</v>
      </c>
      <c r="G411" s="48" t="s">
        <v>200</v>
      </c>
      <c r="H411" s="48" t="s">
        <v>354</v>
      </c>
      <c r="I411" s="47" t="s">
        <v>412</v>
      </c>
      <c r="J411" s="47">
        <v>2</v>
      </c>
      <c r="K411" s="49" t="s">
        <v>713</v>
      </c>
      <c r="L411" s="49" t="s">
        <v>713</v>
      </c>
      <c r="M411" s="50" t="s">
        <v>731</v>
      </c>
      <c r="N411" s="50" t="s">
        <v>1734</v>
      </c>
      <c r="O411" s="51"/>
      <c r="P411" s="51"/>
      <c r="Q411" s="48"/>
      <c r="S411" s="1">
        <f t="shared" si="189"/>
        <v>0</v>
      </c>
      <c r="T411" s="1">
        <f t="shared" si="190"/>
        <v>1</v>
      </c>
      <c r="U411" s="1">
        <f t="shared" si="191"/>
        <v>0</v>
      </c>
      <c r="V411" s="1">
        <f t="shared" si="192"/>
        <v>0</v>
      </c>
      <c r="W411" s="1">
        <f t="shared" si="193"/>
        <v>0</v>
      </c>
      <c r="X411" s="1">
        <f t="shared" si="194"/>
        <v>0</v>
      </c>
      <c r="Y411" s="1">
        <f t="shared" si="195"/>
        <v>0</v>
      </c>
      <c r="Z411" s="1">
        <f t="shared" si="196"/>
        <v>0</v>
      </c>
      <c r="AA411" s="1">
        <f t="shared" si="197"/>
        <v>0</v>
      </c>
      <c r="AB411" s="1">
        <f t="shared" si="198"/>
        <v>0</v>
      </c>
      <c r="AD411" s="1">
        <f t="shared" si="199"/>
        <v>0</v>
      </c>
      <c r="AE411" s="1">
        <f t="shared" si="200"/>
        <v>0</v>
      </c>
      <c r="AF411" s="1">
        <f t="shared" si="185"/>
        <v>0</v>
      </c>
      <c r="AG411" s="1">
        <f t="shared" si="186"/>
        <v>0</v>
      </c>
      <c r="AH411" s="1">
        <f t="shared" si="187"/>
        <v>0</v>
      </c>
      <c r="AI411" s="1">
        <f t="shared" si="188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247</v>
      </c>
      <c r="G412" s="48" t="s">
        <v>1351</v>
      </c>
      <c r="H412" s="48" t="s">
        <v>354</v>
      </c>
      <c r="I412" s="47" t="s">
        <v>30</v>
      </c>
      <c r="J412" s="47">
        <v>1</v>
      </c>
      <c r="K412" s="49" t="s">
        <v>713</v>
      </c>
      <c r="L412" s="49" t="s">
        <v>713</v>
      </c>
      <c r="M412" s="50" t="s">
        <v>731</v>
      </c>
      <c r="N412" s="50" t="s">
        <v>1734</v>
      </c>
      <c r="O412" s="51"/>
      <c r="P412" s="51"/>
      <c r="Q412" s="48" t="s">
        <v>1917</v>
      </c>
      <c r="S412" s="1">
        <f t="shared" si="189"/>
        <v>1</v>
      </c>
      <c r="T412" s="1">
        <f t="shared" si="190"/>
        <v>0</v>
      </c>
      <c r="U412" s="1">
        <f t="shared" si="191"/>
        <v>0</v>
      </c>
      <c r="V412" s="1">
        <f t="shared" si="192"/>
        <v>0</v>
      </c>
      <c r="W412" s="1">
        <f t="shared" si="193"/>
        <v>0</v>
      </c>
      <c r="X412" s="1">
        <f t="shared" si="194"/>
        <v>0</v>
      </c>
      <c r="Y412" s="1">
        <f t="shared" si="195"/>
        <v>0</v>
      </c>
      <c r="Z412" s="1">
        <f t="shared" si="196"/>
        <v>0</v>
      </c>
      <c r="AA412" s="1">
        <f t="shared" si="197"/>
        <v>0</v>
      </c>
      <c r="AB412" s="1">
        <f t="shared" si="198"/>
        <v>0</v>
      </c>
      <c r="AD412" s="1">
        <f t="shared" si="199"/>
        <v>0</v>
      </c>
      <c r="AE412" s="1">
        <f t="shared" si="200"/>
        <v>0</v>
      </c>
      <c r="AF412" s="1">
        <f t="shared" si="185"/>
        <v>0</v>
      </c>
      <c r="AG412" s="1">
        <f t="shared" si="186"/>
        <v>0</v>
      </c>
      <c r="AH412" s="1">
        <f t="shared" si="187"/>
        <v>0</v>
      </c>
      <c r="AI412" s="1">
        <f t="shared" si="188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252</v>
      </c>
      <c r="G413" s="48" t="s">
        <v>194</v>
      </c>
      <c r="H413" s="48" t="s">
        <v>354</v>
      </c>
      <c r="I413" s="47" t="s">
        <v>413</v>
      </c>
      <c r="J413" s="47">
        <v>9</v>
      </c>
      <c r="K413" s="49" t="s">
        <v>713</v>
      </c>
      <c r="L413" s="49" t="s">
        <v>713</v>
      </c>
      <c r="M413" s="50" t="s">
        <v>731</v>
      </c>
      <c r="N413" s="50" t="s">
        <v>1734</v>
      </c>
      <c r="O413" s="51"/>
      <c r="P413" s="51"/>
      <c r="Q413" s="48"/>
      <c r="S413" s="1">
        <f t="shared" si="189"/>
        <v>0</v>
      </c>
      <c r="T413" s="1">
        <f t="shared" si="190"/>
        <v>0</v>
      </c>
      <c r="U413" s="1">
        <f t="shared" si="191"/>
        <v>0</v>
      </c>
      <c r="V413" s="1">
        <f t="shared" si="192"/>
        <v>0</v>
      </c>
      <c r="W413" s="1">
        <f t="shared" si="193"/>
        <v>0</v>
      </c>
      <c r="X413" s="1">
        <f t="shared" si="194"/>
        <v>0</v>
      </c>
      <c r="Y413" s="1">
        <f t="shared" si="195"/>
        <v>0</v>
      </c>
      <c r="Z413" s="1">
        <f t="shared" si="196"/>
        <v>0</v>
      </c>
      <c r="AA413" s="1">
        <f t="shared" si="197"/>
        <v>1</v>
      </c>
      <c r="AB413" s="1">
        <f t="shared" si="198"/>
        <v>0</v>
      </c>
      <c r="AD413" s="1">
        <f t="shared" si="199"/>
        <v>0</v>
      </c>
      <c r="AE413" s="1">
        <f t="shared" si="200"/>
        <v>0</v>
      </c>
      <c r="AF413" s="1">
        <f t="shared" si="185"/>
        <v>0</v>
      </c>
      <c r="AG413" s="1">
        <f t="shared" si="186"/>
        <v>0</v>
      </c>
      <c r="AH413" s="1">
        <f t="shared" si="187"/>
        <v>0</v>
      </c>
      <c r="AI413" s="1">
        <f t="shared" si="188"/>
        <v>0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1023</v>
      </c>
      <c r="E414" s="48" t="s">
        <v>28</v>
      </c>
      <c r="F414" s="48" t="s">
        <v>1024</v>
      </c>
      <c r="G414" s="48" t="s">
        <v>194</v>
      </c>
      <c r="H414" s="48" t="s">
        <v>354</v>
      </c>
      <c r="I414" s="47" t="s">
        <v>1025</v>
      </c>
      <c r="J414" s="47">
        <v>9</v>
      </c>
      <c r="K414" s="49" t="s">
        <v>712</v>
      </c>
      <c r="L414" s="49" t="s">
        <v>713</v>
      </c>
      <c r="M414" s="50" t="s">
        <v>731</v>
      </c>
      <c r="N414" s="50" t="s">
        <v>1735</v>
      </c>
      <c r="O414" s="51"/>
      <c r="P414" s="51"/>
      <c r="Q414" s="48"/>
      <c r="S414" s="1">
        <f t="shared" si="189"/>
        <v>0</v>
      </c>
      <c r="T414" s="1">
        <f t="shared" si="190"/>
        <v>0</v>
      </c>
      <c r="U414" s="1">
        <f t="shared" si="191"/>
        <v>0</v>
      </c>
      <c r="V414" s="1">
        <f t="shared" si="192"/>
        <v>0</v>
      </c>
      <c r="W414" s="1">
        <f t="shared" si="193"/>
        <v>0</v>
      </c>
      <c r="X414" s="1">
        <f t="shared" si="194"/>
        <v>0</v>
      </c>
      <c r="Y414" s="1">
        <f t="shared" si="195"/>
        <v>0</v>
      </c>
      <c r="Z414" s="1">
        <f t="shared" si="196"/>
        <v>0</v>
      </c>
      <c r="AA414" s="1">
        <f t="shared" si="197"/>
        <v>1</v>
      </c>
      <c r="AB414" s="1">
        <f t="shared" si="198"/>
        <v>0</v>
      </c>
      <c r="AD414" s="1">
        <f t="shared" si="199"/>
        <v>0</v>
      </c>
      <c r="AE414" s="1">
        <f t="shared" si="200"/>
        <v>0</v>
      </c>
      <c r="AF414" s="1">
        <f t="shared" si="185"/>
        <v>0</v>
      </c>
      <c r="AG414" s="1">
        <f t="shared" si="186"/>
        <v>0</v>
      </c>
      <c r="AH414" s="1">
        <f t="shared" si="187"/>
        <v>0</v>
      </c>
      <c r="AI414" s="1">
        <f t="shared" si="188"/>
        <v>1</v>
      </c>
    </row>
    <row r="415" spans="1:35" ht="14.25" customHeight="1" x14ac:dyDescent="0.25">
      <c r="A415" s="34">
        <v>0</v>
      </c>
      <c r="B415" s="34">
        <v>2</v>
      </c>
      <c r="C415" s="34">
        <v>7</v>
      </c>
      <c r="D415" s="35" t="s">
        <v>1833</v>
      </c>
      <c r="E415" s="35" t="s">
        <v>1834</v>
      </c>
      <c r="F415" s="35" t="s">
        <v>1835</v>
      </c>
      <c r="G415" s="35" t="s">
        <v>207</v>
      </c>
      <c r="H415" s="35" t="s">
        <v>354</v>
      </c>
      <c r="I415" s="34" t="s">
        <v>30</v>
      </c>
      <c r="J415" s="34"/>
      <c r="K415" s="36" t="s">
        <v>703</v>
      </c>
      <c r="L415" s="36">
        <v>20</v>
      </c>
      <c r="M415" s="37" t="s">
        <v>1836</v>
      </c>
      <c r="N415" s="37" t="s">
        <v>1743</v>
      </c>
      <c r="O415" s="38">
        <v>1</v>
      </c>
      <c r="P415" s="38"/>
      <c r="Q415" s="35"/>
      <c r="S415" s="1">
        <f t="shared" si="189"/>
        <v>0</v>
      </c>
      <c r="T415" s="1">
        <f t="shared" si="190"/>
        <v>0</v>
      </c>
      <c r="U415" s="1">
        <f t="shared" si="191"/>
        <v>0</v>
      </c>
      <c r="V415" s="1">
        <f t="shared" si="192"/>
        <v>0</v>
      </c>
      <c r="W415" s="1">
        <f t="shared" si="193"/>
        <v>0</v>
      </c>
      <c r="X415" s="1">
        <f t="shared" si="194"/>
        <v>0</v>
      </c>
      <c r="Y415" s="1">
        <f t="shared" si="195"/>
        <v>0</v>
      </c>
      <c r="Z415" s="1">
        <f t="shared" si="196"/>
        <v>0</v>
      </c>
      <c r="AA415" s="1">
        <f t="shared" si="197"/>
        <v>0</v>
      </c>
      <c r="AB415" s="1">
        <f t="shared" si="198"/>
        <v>0</v>
      </c>
      <c r="AD415" s="1">
        <f t="shared" si="199"/>
        <v>0</v>
      </c>
      <c r="AE415" s="1">
        <f t="shared" si="200"/>
        <v>1</v>
      </c>
      <c r="AF415" s="1">
        <f t="shared" si="185"/>
        <v>0</v>
      </c>
      <c r="AG415" s="1">
        <f t="shared" si="186"/>
        <v>1</v>
      </c>
      <c r="AH415" s="1">
        <f t="shared" si="187"/>
        <v>0</v>
      </c>
      <c r="AI415" s="1">
        <f t="shared" si="188"/>
        <v>1</v>
      </c>
    </row>
    <row r="416" spans="1:35" ht="14.25" customHeight="1" x14ac:dyDescent="0.25">
      <c r="A416" s="52">
        <v>0</v>
      </c>
      <c r="B416" s="52">
        <v>2</v>
      </c>
      <c r="C416" s="52">
        <v>7</v>
      </c>
      <c r="D416" s="53" t="s">
        <v>1079</v>
      </c>
      <c r="E416" s="53" t="s">
        <v>544</v>
      </c>
      <c r="F416" s="53" t="s">
        <v>1060</v>
      </c>
      <c r="G416" s="53" t="s">
        <v>238</v>
      </c>
      <c r="H416" s="53" t="s">
        <v>354</v>
      </c>
      <c r="I416" s="52" t="s">
        <v>1061</v>
      </c>
      <c r="J416" s="52">
        <v>99</v>
      </c>
      <c r="K416" s="54" t="s">
        <v>955</v>
      </c>
      <c r="L416" s="54" t="s">
        <v>722</v>
      </c>
      <c r="M416" s="55" t="s">
        <v>1437</v>
      </c>
      <c r="N416" s="55" t="s">
        <v>1743</v>
      </c>
      <c r="O416" s="56">
        <v>1</v>
      </c>
      <c r="P416" s="56"/>
      <c r="Q416" s="53"/>
      <c r="S416" s="1">
        <f t="shared" ref="S416:S420" si="201">IF(J416=$S$7,1,0)</f>
        <v>0</v>
      </c>
      <c r="T416" s="1">
        <f t="shared" ref="T416:T420" si="202">IF(J416=$T$7,1,0)</f>
        <v>0</v>
      </c>
      <c r="U416" s="1">
        <f t="shared" ref="U416:U420" si="203">IF(J416=$U$7,1,0)</f>
        <v>0</v>
      </c>
      <c r="V416" s="1">
        <f t="shared" ref="V416:V420" si="204">IF(J416=$V$7,1,0)</f>
        <v>0</v>
      </c>
      <c r="W416" s="1">
        <f t="shared" ref="W416:W420" si="205">IF(J416=$W$7,1,0)</f>
        <v>0</v>
      </c>
      <c r="X416" s="1">
        <f t="shared" ref="X416:X420" si="206">IF(J416=$X$7,1,0)</f>
        <v>0</v>
      </c>
      <c r="Y416" s="1">
        <f t="shared" ref="Y416:Y420" si="207">IF(J416=$Y$7,1,0)</f>
        <v>0</v>
      </c>
      <c r="Z416" s="1">
        <f t="shared" ref="Z416:Z420" si="208">IF(J416=$Z$7,1,0)</f>
        <v>0</v>
      </c>
      <c r="AA416" s="1">
        <f t="shared" ref="AA416:AA420" si="209">IF(J416=$AA$7,1,0)</f>
        <v>0</v>
      </c>
      <c r="AB416" s="1">
        <f t="shared" ref="AB416:AB420" si="210">IF(J416=$AB$7,1,0)</f>
        <v>0</v>
      </c>
      <c r="AD416" s="1">
        <f t="shared" ref="AD416:AD420" si="211">+O416*P416</f>
        <v>0</v>
      </c>
      <c r="AE416" s="1">
        <f t="shared" ref="AE416:AE420" si="212">O416*(1-P416)</f>
        <v>1</v>
      </c>
      <c r="AF416" s="1">
        <f t="shared" ref="AF416:AF420" si="213">+O416*P416*(1-A416)</f>
        <v>0</v>
      </c>
      <c r="AG416" s="1">
        <f t="shared" ref="AG416:AG420" si="214">O416*(1-P416)*(1-A416)</f>
        <v>1</v>
      </c>
      <c r="AH416" s="1">
        <f t="shared" ref="AH416:AH420" si="215">+P416*(1-A416)</f>
        <v>0</v>
      </c>
      <c r="AI416" s="1">
        <f t="shared" ref="AI416:AI420" si="216">+(1-A416)*(1-P416)</f>
        <v>1</v>
      </c>
    </row>
    <row r="417" spans="1:35" ht="14.25" customHeight="1" x14ac:dyDescent="0.25">
      <c r="A417" s="34">
        <v>0</v>
      </c>
      <c r="B417" s="34">
        <v>2</v>
      </c>
      <c r="C417" s="34">
        <v>7</v>
      </c>
      <c r="D417" s="35" t="s">
        <v>1226</v>
      </c>
      <c r="E417" s="35" t="s">
        <v>156</v>
      </c>
      <c r="F417" s="35" t="s">
        <v>1227</v>
      </c>
      <c r="G417" s="35" t="s">
        <v>251</v>
      </c>
      <c r="H417" s="35" t="s">
        <v>354</v>
      </c>
      <c r="I417" s="34" t="s">
        <v>1228</v>
      </c>
      <c r="J417" s="34">
        <v>99</v>
      </c>
      <c r="K417" s="36" t="s">
        <v>713</v>
      </c>
      <c r="L417" s="36">
        <v>10</v>
      </c>
      <c r="M417" s="37" t="s">
        <v>1746</v>
      </c>
      <c r="N417" s="37" t="s">
        <v>1727</v>
      </c>
      <c r="O417" s="38">
        <v>1</v>
      </c>
      <c r="P417" s="38">
        <v>1</v>
      </c>
      <c r="Q417" s="35"/>
      <c r="S417" s="1">
        <f t="shared" si="201"/>
        <v>0</v>
      </c>
      <c r="T417" s="1">
        <f t="shared" si="202"/>
        <v>0</v>
      </c>
      <c r="U417" s="1">
        <f t="shared" si="203"/>
        <v>0</v>
      </c>
      <c r="V417" s="1">
        <f t="shared" si="204"/>
        <v>0</v>
      </c>
      <c r="W417" s="1">
        <f t="shared" si="205"/>
        <v>0</v>
      </c>
      <c r="X417" s="1">
        <f t="shared" si="206"/>
        <v>0</v>
      </c>
      <c r="Y417" s="1">
        <f t="shared" si="207"/>
        <v>0</v>
      </c>
      <c r="Z417" s="1">
        <f t="shared" si="208"/>
        <v>0</v>
      </c>
      <c r="AA417" s="1">
        <f t="shared" si="209"/>
        <v>0</v>
      </c>
      <c r="AB417" s="1">
        <f t="shared" si="210"/>
        <v>0</v>
      </c>
      <c r="AD417" s="1">
        <f t="shared" si="211"/>
        <v>1</v>
      </c>
      <c r="AE417" s="1">
        <f t="shared" si="212"/>
        <v>0</v>
      </c>
      <c r="AF417" s="1">
        <f t="shared" si="213"/>
        <v>1</v>
      </c>
      <c r="AG417" s="1">
        <f t="shared" si="214"/>
        <v>0</v>
      </c>
      <c r="AH417" s="1">
        <f t="shared" si="215"/>
        <v>1</v>
      </c>
      <c r="AI417" s="1">
        <f t="shared" si="216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9" t="s">
        <v>1803</v>
      </c>
      <c r="E418" s="39" t="s">
        <v>28</v>
      </c>
      <c r="F418" s="39" t="s">
        <v>1804</v>
      </c>
      <c r="G418" s="39" t="s">
        <v>180</v>
      </c>
      <c r="H418" s="39" t="s">
        <v>354</v>
      </c>
      <c r="I418" s="40" t="s">
        <v>1805</v>
      </c>
      <c r="J418" s="34">
        <v>10</v>
      </c>
      <c r="K418" s="36" t="s">
        <v>703</v>
      </c>
      <c r="L418" s="36">
        <v>10</v>
      </c>
      <c r="M418" s="37"/>
      <c r="N418" s="37" t="s">
        <v>1727</v>
      </c>
      <c r="O418" s="38">
        <v>1</v>
      </c>
      <c r="P418" s="38">
        <v>1</v>
      </c>
      <c r="Q418" s="39"/>
      <c r="S418" s="1">
        <f t="shared" si="201"/>
        <v>0</v>
      </c>
      <c r="T418" s="1">
        <f t="shared" si="202"/>
        <v>0</v>
      </c>
      <c r="U418" s="1">
        <f t="shared" si="203"/>
        <v>0</v>
      </c>
      <c r="V418" s="1">
        <f t="shared" si="204"/>
        <v>0</v>
      </c>
      <c r="W418" s="1">
        <f t="shared" si="205"/>
        <v>0</v>
      </c>
      <c r="X418" s="1">
        <f t="shared" si="206"/>
        <v>0</v>
      </c>
      <c r="Y418" s="1">
        <f t="shared" si="207"/>
        <v>0</v>
      </c>
      <c r="Z418" s="1">
        <f t="shared" si="208"/>
        <v>0</v>
      </c>
      <c r="AA418" s="1">
        <f t="shared" si="209"/>
        <v>0</v>
      </c>
      <c r="AB418" s="1">
        <f t="shared" si="210"/>
        <v>1</v>
      </c>
      <c r="AD418" s="1">
        <f t="shared" si="211"/>
        <v>1</v>
      </c>
      <c r="AE418" s="1">
        <f t="shared" si="212"/>
        <v>0</v>
      </c>
      <c r="AF418" s="1">
        <f t="shared" si="213"/>
        <v>1</v>
      </c>
      <c r="AG418" s="1">
        <f t="shared" si="214"/>
        <v>0</v>
      </c>
      <c r="AH418" s="1">
        <f t="shared" si="215"/>
        <v>1</v>
      </c>
      <c r="AI418" s="1">
        <f t="shared" si="216"/>
        <v>0</v>
      </c>
    </row>
    <row r="419" spans="1:35" ht="14.25" customHeight="1" x14ac:dyDescent="0.25">
      <c r="A419" s="40">
        <v>0</v>
      </c>
      <c r="B419" s="40">
        <v>2</v>
      </c>
      <c r="C419" s="40">
        <v>7</v>
      </c>
      <c r="D419" s="39" t="s">
        <v>1585</v>
      </c>
      <c r="E419" s="39" t="s">
        <v>1651</v>
      </c>
      <c r="F419" s="39" t="s">
        <v>1586</v>
      </c>
      <c r="G419" s="39" t="s">
        <v>656</v>
      </c>
      <c r="H419" s="39" t="s">
        <v>354</v>
      </c>
      <c r="I419" s="40" t="s">
        <v>1587</v>
      </c>
      <c r="J419" s="40">
        <v>99</v>
      </c>
      <c r="K419" s="36" t="s">
        <v>713</v>
      </c>
      <c r="L419" s="36" t="s">
        <v>39</v>
      </c>
      <c r="M419" s="37" t="s">
        <v>39</v>
      </c>
      <c r="N419" s="37" t="s">
        <v>1727</v>
      </c>
      <c r="O419" s="38">
        <v>1</v>
      </c>
      <c r="P419" s="38">
        <v>1</v>
      </c>
      <c r="Q419" s="39"/>
      <c r="S419" s="1">
        <f t="shared" si="201"/>
        <v>0</v>
      </c>
      <c r="T419" s="1">
        <f t="shared" si="202"/>
        <v>0</v>
      </c>
      <c r="U419" s="1">
        <f t="shared" si="203"/>
        <v>0</v>
      </c>
      <c r="V419" s="1">
        <f t="shared" si="204"/>
        <v>0</v>
      </c>
      <c r="W419" s="1">
        <f t="shared" si="205"/>
        <v>0</v>
      </c>
      <c r="X419" s="1">
        <f t="shared" si="206"/>
        <v>0</v>
      </c>
      <c r="Y419" s="1">
        <f t="shared" si="207"/>
        <v>0</v>
      </c>
      <c r="Z419" s="1">
        <f t="shared" si="208"/>
        <v>0</v>
      </c>
      <c r="AA419" s="1">
        <f t="shared" si="209"/>
        <v>0</v>
      </c>
      <c r="AB419" s="1">
        <f t="shared" si="210"/>
        <v>0</v>
      </c>
      <c r="AD419" s="1">
        <f t="shared" si="211"/>
        <v>1</v>
      </c>
      <c r="AE419" s="1">
        <f t="shared" si="212"/>
        <v>0</v>
      </c>
      <c r="AF419" s="1">
        <f t="shared" si="213"/>
        <v>1</v>
      </c>
      <c r="AG419" s="1">
        <f t="shared" si="214"/>
        <v>0</v>
      </c>
      <c r="AH419" s="1">
        <f t="shared" si="215"/>
        <v>1</v>
      </c>
      <c r="AI419" s="1">
        <f t="shared" si="216"/>
        <v>0</v>
      </c>
    </row>
    <row r="420" spans="1:35" ht="14.25" customHeight="1" x14ac:dyDescent="0.25">
      <c r="A420" s="47">
        <v>0</v>
      </c>
      <c r="B420" s="47">
        <v>2</v>
      </c>
      <c r="C420" s="47">
        <v>7</v>
      </c>
      <c r="D420" s="48" t="s">
        <v>1537</v>
      </c>
      <c r="E420" s="48" t="s">
        <v>28</v>
      </c>
      <c r="F420" s="48" t="s">
        <v>1662</v>
      </c>
      <c r="G420" s="48" t="s">
        <v>287</v>
      </c>
      <c r="H420" s="48" t="s">
        <v>354</v>
      </c>
      <c r="I420" s="47" t="s">
        <v>1688</v>
      </c>
      <c r="J420" s="47">
        <v>99</v>
      </c>
      <c r="K420" s="49" t="s">
        <v>713</v>
      </c>
      <c r="L420" s="49" t="s">
        <v>713</v>
      </c>
      <c r="M420" s="50" t="s">
        <v>731</v>
      </c>
      <c r="N420" s="50" t="s">
        <v>1735</v>
      </c>
      <c r="O420" s="51"/>
      <c r="P420" s="51"/>
      <c r="Q420" s="48"/>
      <c r="S420" s="1">
        <f t="shared" si="201"/>
        <v>0</v>
      </c>
      <c r="T420" s="1">
        <f t="shared" si="202"/>
        <v>0</v>
      </c>
      <c r="U420" s="1">
        <f t="shared" si="203"/>
        <v>0</v>
      </c>
      <c r="V420" s="1">
        <f t="shared" si="204"/>
        <v>0</v>
      </c>
      <c r="W420" s="1">
        <f t="shared" si="205"/>
        <v>0</v>
      </c>
      <c r="X420" s="1">
        <f t="shared" si="206"/>
        <v>0</v>
      </c>
      <c r="Y420" s="1">
        <f t="shared" si="207"/>
        <v>0</v>
      </c>
      <c r="Z420" s="1">
        <f t="shared" si="208"/>
        <v>0</v>
      </c>
      <c r="AA420" s="1">
        <f t="shared" si="209"/>
        <v>0</v>
      </c>
      <c r="AB420" s="1">
        <f t="shared" si="210"/>
        <v>0</v>
      </c>
      <c r="AD420" s="1">
        <f t="shared" si="211"/>
        <v>0</v>
      </c>
      <c r="AE420" s="1">
        <f t="shared" si="212"/>
        <v>0</v>
      </c>
      <c r="AF420" s="1">
        <f t="shared" si="213"/>
        <v>0</v>
      </c>
      <c r="AG420" s="1">
        <f t="shared" si="214"/>
        <v>0</v>
      </c>
      <c r="AH420" s="1">
        <f t="shared" si="215"/>
        <v>0</v>
      </c>
      <c r="AI420" s="1">
        <f t="shared" si="216"/>
        <v>1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1328</v>
      </c>
      <c r="E421" s="48" t="s">
        <v>28</v>
      </c>
      <c r="F421" s="48" t="s">
        <v>572</v>
      </c>
      <c r="G421" s="48" t="s">
        <v>181</v>
      </c>
      <c r="H421" s="48" t="s">
        <v>354</v>
      </c>
      <c r="I421" s="47" t="s">
        <v>430</v>
      </c>
      <c r="J421" s="47">
        <v>7</v>
      </c>
      <c r="K421" s="49" t="s">
        <v>712</v>
      </c>
      <c r="L421" s="49" t="s">
        <v>713</v>
      </c>
      <c r="M421" s="50" t="s">
        <v>731</v>
      </c>
      <c r="N421" s="50" t="s">
        <v>1735</v>
      </c>
      <c r="O421" s="51"/>
      <c r="P421" s="51"/>
      <c r="Q421" s="48"/>
      <c r="S421" s="1">
        <f t="shared" si="189"/>
        <v>0</v>
      </c>
      <c r="T421" s="1">
        <f t="shared" si="190"/>
        <v>0</v>
      </c>
      <c r="U421" s="1">
        <f t="shared" si="191"/>
        <v>0</v>
      </c>
      <c r="V421" s="1">
        <f t="shared" si="192"/>
        <v>0</v>
      </c>
      <c r="W421" s="1">
        <f t="shared" si="193"/>
        <v>0</v>
      </c>
      <c r="X421" s="1">
        <f t="shared" si="194"/>
        <v>0</v>
      </c>
      <c r="Y421" s="1">
        <f t="shared" si="195"/>
        <v>1</v>
      </c>
      <c r="Z421" s="1">
        <f t="shared" si="196"/>
        <v>0</v>
      </c>
      <c r="AA421" s="1">
        <f t="shared" si="197"/>
        <v>0</v>
      </c>
      <c r="AB421" s="1">
        <f t="shared" si="198"/>
        <v>0</v>
      </c>
      <c r="AD421" s="1">
        <f t="shared" si="199"/>
        <v>0</v>
      </c>
      <c r="AE421" s="1">
        <f t="shared" si="200"/>
        <v>0</v>
      </c>
      <c r="AF421" s="1">
        <f t="shared" si="185"/>
        <v>0</v>
      </c>
      <c r="AG421" s="1">
        <f t="shared" si="186"/>
        <v>0</v>
      </c>
      <c r="AH421" s="1">
        <f t="shared" si="187"/>
        <v>0</v>
      </c>
      <c r="AI421" s="1">
        <f t="shared" si="188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72</v>
      </c>
      <c r="E422" s="48" t="s">
        <v>28</v>
      </c>
      <c r="F422" s="68" t="s">
        <v>1875</v>
      </c>
      <c r="G422" s="48" t="s">
        <v>235</v>
      </c>
      <c r="H422" s="48" t="s">
        <v>354</v>
      </c>
      <c r="I422" s="47" t="s">
        <v>680</v>
      </c>
      <c r="J422" s="47">
        <v>99</v>
      </c>
      <c r="K422" s="49" t="s">
        <v>713</v>
      </c>
      <c r="L422" s="49" t="s">
        <v>713</v>
      </c>
      <c r="M422" s="50" t="s">
        <v>731</v>
      </c>
      <c r="N422" s="50" t="s">
        <v>1735</v>
      </c>
      <c r="O422" s="51"/>
      <c r="P422" s="51"/>
      <c r="Q422" s="48"/>
      <c r="S422" s="1">
        <f t="shared" si="189"/>
        <v>0</v>
      </c>
      <c r="T422" s="1">
        <f t="shared" si="190"/>
        <v>0</v>
      </c>
      <c r="U422" s="1">
        <f t="shared" si="191"/>
        <v>0</v>
      </c>
      <c r="V422" s="1">
        <f t="shared" si="192"/>
        <v>0</v>
      </c>
      <c r="W422" s="1">
        <f t="shared" si="193"/>
        <v>0</v>
      </c>
      <c r="X422" s="1">
        <f t="shared" si="194"/>
        <v>0</v>
      </c>
      <c r="Y422" s="1">
        <f t="shared" si="195"/>
        <v>0</v>
      </c>
      <c r="Z422" s="1">
        <f t="shared" si="196"/>
        <v>0</v>
      </c>
      <c r="AA422" s="1">
        <f t="shared" si="197"/>
        <v>0</v>
      </c>
      <c r="AB422" s="1">
        <f t="shared" si="198"/>
        <v>0</v>
      </c>
      <c r="AD422" s="1">
        <f t="shared" si="199"/>
        <v>0</v>
      </c>
      <c r="AE422" s="1">
        <f t="shared" si="200"/>
        <v>0</v>
      </c>
      <c r="AF422" s="1">
        <f t="shared" si="185"/>
        <v>0</v>
      </c>
      <c r="AG422" s="1">
        <f t="shared" si="186"/>
        <v>0</v>
      </c>
      <c r="AH422" s="1">
        <f t="shared" si="187"/>
        <v>0</v>
      </c>
      <c r="AI422" s="1">
        <f t="shared" si="188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72</v>
      </c>
      <c r="E423" s="48" t="s">
        <v>28</v>
      </c>
      <c r="F423" s="48" t="s">
        <v>261</v>
      </c>
      <c r="G423" s="48" t="s">
        <v>220</v>
      </c>
      <c r="H423" s="48" t="s">
        <v>354</v>
      </c>
      <c r="I423" s="47" t="s">
        <v>420</v>
      </c>
      <c r="J423" s="47">
        <v>8</v>
      </c>
      <c r="K423" s="49" t="s">
        <v>713</v>
      </c>
      <c r="L423" s="49" t="s">
        <v>713</v>
      </c>
      <c r="M423" s="50" t="s">
        <v>731</v>
      </c>
      <c r="N423" s="50" t="s">
        <v>1735</v>
      </c>
      <c r="O423" s="51"/>
      <c r="P423" s="51"/>
      <c r="Q423" s="48"/>
      <c r="S423" s="1">
        <f t="shared" si="189"/>
        <v>0</v>
      </c>
      <c r="T423" s="1">
        <f t="shared" si="190"/>
        <v>0</v>
      </c>
      <c r="U423" s="1">
        <f t="shared" si="191"/>
        <v>0</v>
      </c>
      <c r="V423" s="1">
        <f t="shared" si="192"/>
        <v>0</v>
      </c>
      <c r="W423" s="1">
        <f t="shared" si="193"/>
        <v>0</v>
      </c>
      <c r="X423" s="1">
        <f t="shared" si="194"/>
        <v>0</v>
      </c>
      <c r="Y423" s="1">
        <f t="shared" si="195"/>
        <v>0</v>
      </c>
      <c r="Z423" s="1">
        <f t="shared" si="196"/>
        <v>1</v>
      </c>
      <c r="AA423" s="1">
        <f t="shared" si="197"/>
        <v>0</v>
      </c>
      <c r="AB423" s="1">
        <f t="shared" si="198"/>
        <v>0</v>
      </c>
      <c r="AD423" s="1">
        <f t="shared" si="199"/>
        <v>0</v>
      </c>
      <c r="AE423" s="1">
        <f t="shared" si="200"/>
        <v>0</v>
      </c>
      <c r="AF423" s="1">
        <f t="shared" si="185"/>
        <v>0</v>
      </c>
      <c r="AG423" s="1">
        <f t="shared" si="186"/>
        <v>0</v>
      </c>
      <c r="AH423" s="1">
        <f t="shared" si="187"/>
        <v>0</v>
      </c>
      <c r="AI423" s="1">
        <f t="shared" si="188"/>
        <v>0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260</v>
      </c>
      <c r="G424" s="48" t="s">
        <v>178</v>
      </c>
      <c r="H424" s="48" t="s">
        <v>354</v>
      </c>
      <c r="I424" s="47" t="s">
        <v>419</v>
      </c>
      <c r="J424" s="47">
        <v>1</v>
      </c>
      <c r="K424" s="49" t="s">
        <v>713</v>
      </c>
      <c r="L424" s="49" t="s">
        <v>713</v>
      </c>
      <c r="M424" s="50" t="s">
        <v>731</v>
      </c>
      <c r="N424" s="50" t="s">
        <v>1735</v>
      </c>
      <c r="O424" s="51"/>
      <c r="P424" s="51"/>
      <c r="Q424" s="48"/>
      <c r="S424" s="1">
        <f t="shared" si="189"/>
        <v>1</v>
      </c>
      <c r="T424" s="1">
        <f t="shared" si="190"/>
        <v>0</v>
      </c>
      <c r="U424" s="1">
        <f t="shared" si="191"/>
        <v>0</v>
      </c>
      <c r="V424" s="1">
        <f t="shared" si="192"/>
        <v>0</v>
      </c>
      <c r="W424" s="1">
        <f t="shared" si="193"/>
        <v>0</v>
      </c>
      <c r="X424" s="1">
        <f t="shared" si="194"/>
        <v>0</v>
      </c>
      <c r="Y424" s="1">
        <f t="shared" si="195"/>
        <v>0</v>
      </c>
      <c r="Z424" s="1">
        <f t="shared" si="196"/>
        <v>0</v>
      </c>
      <c r="AA424" s="1">
        <f t="shared" si="197"/>
        <v>0</v>
      </c>
      <c r="AB424" s="1">
        <f t="shared" si="198"/>
        <v>0</v>
      </c>
      <c r="AD424" s="1">
        <f t="shared" si="199"/>
        <v>0</v>
      </c>
      <c r="AE424" s="1">
        <f t="shared" si="200"/>
        <v>0</v>
      </c>
      <c r="AF424" s="1">
        <f t="shared" si="185"/>
        <v>0</v>
      </c>
      <c r="AG424" s="1">
        <f t="shared" si="186"/>
        <v>0</v>
      </c>
      <c r="AH424" s="1">
        <f t="shared" si="187"/>
        <v>0</v>
      </c>
      <c r="AI424" s="1">
        <f t="shared" si="188"/>
        <v>0</v>
      </c>
    </row>
    <row r="425" spans="1:35" ht="14.25" customHeight="1" x14ac:dyDescent="0.25">
      <c r="A425" s="15">
        <v>0</v>
      </c>
      <c r="B425" s="15">
        <v>2</v>
      </c>
      <c r="C425" s="15">
        <v>7</v>
      </c>
      <c r="D425" s="16" t="s">
        <v>778</v>
      </c>
      <c r="E425" s="16" t="s">
        <v>28</v>
      </c>
      <c r="F425" s="16" t="s">
        <v>779</v>
      </c>
      <c r="G425" s="16" t="s">
        <v>279</v>
      </c>
      <c r="H425" s="16" t="s">
        <v>354</v>
      </c>
      <c r="I425" s="15" t="s">
        <v>780</v>
      </c>
      <c r="J425" s="15">
        <v>99</v>
      </c>
      <c r="K425" s="10" t="s">
        <v>713</v>
      </c>
      <c r="L425" s="10" t="s">
        <v>713</v>
      </c>
      <c r="M425" s="19" t="s">
        <v>731</v>
      </c>
      <c r="N425" s="17"/>
      <c r="Q425" s="16"/>
      <c r="S425" s="1">
        <f t="shared" si="189"/>
        <v>0</v>
      </c>
      <c r="T425" s="1">
        <f t="shared" si="190"/>
        <v>0</v>
      </c>
      <c r="U425" s="1">
        <f t="shared" si="191"/>
        <v>0</v>
      </c>
      <c r="V425" s="1">
        <f t="shared" si="192"/>
        <v>0</v>
      </c>
      <c r="W425" s="1">
        <f t="shared" si="193"/>
        <v>0</v>
      </c>
      <c r="X425" s="1">
        <f t="shared" si="194"/>
        <v>0</v>
      </c>
      <c r="Y425" s="1">
        <f t="shared" si="195"/>
        <v>0</v>
      </c>
      <c r="Z425" s="1">
        <f t="shared" si="196"/>
        <v>0</v>
      </c>
      <c r="AA425" s="1">
        <f t="shared" si="197"/>
        <v>0</v>
      </c>
      <c r="AB425" s="1">
        <f t="shared" si="198"/>
        <v>0</v>
      </c>
      <c r="AD425" s="1">
        <f t="shared" si="199"/>
        <v>0</v>
      </c>
      <c r="AE425" s="1">
        <f t="shared" si="200"/>
        <v>0</v>
      </c>
      <c r="AF425" s="1">
        <f t="shared" si="185"/>
        <v>0</v>
      </c>
      <c r="AG425" s="1">
        <f t="shared" si="186"/>
        <v>0</v>
      </c>
      <c r="AH425" s="1">
        <f t="shared" si="187"/>
        <v>0</v>
      </c>
      <c r="AI425" s="1">
        <f t="shared" si="188"/>
        <v>1</v>
      </c>
    </row>
    <row r="426" spans="1:35" ht="14.25" customHeight="1" x14ac:dyDescent="0.25">
      <c r="A426" s="15">
        <v>0</v>
      </c>
      <c r="B426" s="15">
        <v>2</v>
      </c>
      <c r="C426" s="15">
        <v>7</v>
      </c>
      <c r="D426" s="16" t="s">
        <v>85</v>
      </c>
      <c r="E426" s="16" t="s">
        <v>28</v>
      </c>
      <c r="F426" s="16" t="s">
        <v>278</v>
      </c>
      <c r="G426" s="16" t="s">
        <v>279</v>
      </c>
      <c r="H426" s="16" t="s">
        <v>354</v>
      </c>
      <c r="I426" s="15" t="s">
        <v>434</v>
      </c>
      <c r="J426" s="15">
        <v>99</v>
      </c>
      <c r="K426" s="10" t="s">
        <v>713</v>
      </c>
      <c r="L426" s="10" t="s">
        <v>713</v>
      </c>
      <c r="M426" s="19" t="s">
        <v>731</v>
      </c>
      <c r="N426" s="17"/>
      <c r="Q426" s="16"/>
      <c r="S426" s="1">
        <f t="shared" si="189"/>
        <v>0</v>
      </c>
      <c r="T426" s="1">
        <f t="shared" si="190"/>
        <v>0</v>
      </c>
      <c r="U426" s="1">
        <f t="shared" si="191"/>
        <v>0</v>
      </c>
      <c r="V426" s="1">
        <f t="shared" si="192"/>
        <v>0</v>
      </c>
      <c r="W426" s="1">
        <f t="shared" si="193"/>
        <v>0</v>
      </c>
      <c r="X426" s="1">
        <f t="shared" si="194"/>
        <v>0</v>
      </c>
      <c r="Y426" s="1">
        <f t="shared" si="195"/>
        <v>0</v>
      </c>
      <c r="Z426" s="1">
        <f t="shared" si="196"/>
        <v>0</v>
      </c>
      <c r="AA426" s="1">
        <f t="shared" si="197"/>
        <v>0</v>
      </c>
      <c r="AB426" s="1">
        <f t="shared" si="198"/>
        <v>0</v>
      </c>
      <c r="AD426" s="1">
        <f t="shared" si="199"/>
        <v>0</v>
      </c>
      <c r="AE426" s="1">
        <f t="shared" si="200"/>
        <v>0</v>
      </c>
      <c r="AF426" s="1">
        <f t="shared" si="185"/>
        <v>0</v>
      </c>
      <c r="AG426" s="1">
        <f t="shared" si="186"/>
        <v>0</v>
      </c>
      <c r="AH426" s="1">
        <f t="shared" si="187"/>
        <v>0</v>
      </c>
      <c r="AI426" s="1">
        <f t="shared" si="188"/>
        <v>1</v>
      </c>
    </row>
    <row r="427" spans="1:35" ht="14.25" customHeight="1" x14ac:dyDescent="0.25">
      <c r="A427" s="40">
        <v>0</v>
      </c>
      <c r="B427" s="40">
        <v>2</v>
      </c>
      <c r="C427" s="40">
        <v>7</v>
      </c>
      <c r="D427" s="39" t="s">
        <v>1937</v>
      </c>
      <c r="E427" s="39" t="s">
        <v>28</v>
      </c>
      <c r="F427" s="39" t="s">
        <v>1938</v>
      </c>
      <c r="G427" s="39" t="s">
        <v>185</v>
      </c>
      <c r="H427" s="39" t="s">
        <v>354</v>
      </c>
      <c r="I427" s="40" t="s">
        <v>1939</v>
      </c>
      <c r="J427" s="40">
        <v>99</v>
      </c>
      <c r="K427" s="36" t="s">
        <v>703</v>
      </c>
      <c r="L427" s="36">
        <v>4</v>
      </c>
      <c r="M427" s="37" t="s">
        <v>731</v>
      </c>
      <c r="N427" s="37" t="s">
        <v>1743</v>
      </c>
      <c r="O427" s="38">
        <v>1</v>
      </c>
      <c r="P427" s="38"/>
      <c r="Q427" s="39" t="s">
        <v>1940</v>
      </c>
      <c r="S427" s="1">
        <f t="shared" si="189"/>
        <v>0</v>
      </c>
      <c r="T427" s="1">
        <f t="shared" si="190"/>
        <v>0</v>
      </c>
      <c r="U427" s="1">
        <f t="shared" si="191"/>
        <v>0</v>
      </c>
      <c r="V427" s="1">
        <f t="shared" si="192"/>
        <v>0</v>
      </c>
      <c r="W427" s="1">
        <f t="shared" si="193"/>
        <v>0</v>
      </c>
      <c r="X427" s="1">
        <f t="shared" si="194"/>
        <v>0</v>
      </c>
      <c r="Y427" s="1">
        <f t="shared" si="195"/>
        <v>0</v>
      </c>
      <c r="Z427" s="1">
        <f t="shared" si="196"/>
        <v>0</v>
      </c>
      <c r="AA427" s="1">
        <f t="shared" si="197"/>
        <v>0</v>
      </c>
      <c r="AB427" s="1">
        <f t="shared" si="198"/>
        <v>0</v>
      </c>
      <c r="AD427" s="1">
        <f t="shared" si="199"/>
        <v>0</v>
      </c>
      <c r="AE427" s="1">
        <f t="shared" si="200"/>
        <v>1</v>
      </c>
      <c r="AF427" s="1">
        <f t="shared" si="185"/>
        <v>0</v>
      </c>
      <c r="AG427" s="1">
        <f t="shared" si="186"/>
        <v>1</v>
      </c>
      <c r="AH427" s="1">
        <f t="shared" si="187"/>
        <v>0</v>
      </c>
      <c r="AI427" s="1">
        <f t="shared" si="188"/>
        <v>1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553</v>
      </c>
      <c r="E428" s="48" t="s">
        <v>28</v>
      </c>
      <c r="F428" s="68" t="s">
        <v>1876</v>
      </c>
      <c r="G428" s="48" t="s">
        <v>556</v>
      </c>
      <c r="H428" s="48" t="s">
        <v>354</v>
      </c>
      <c r="I428" s="47" t="s">
        <v>557</v>
      </c>
      <c r="J428" s="47">
        <v>99</v>
      </c>
      <c r="K428" s="49" t="s">
        <v>713</v>
      </c>
      <c r="L428" s="49" t="s">
        <v>713</v>
      </c>
      <c r="M428" s="50" t="s">
        <v>731</v>
      </c>
      <c r="N428" s="50" t="s">
        <v>1802</v>
      </c>
      <c r="O428" s="51"/>
      <c r="P428" s="51"/>
      <c r="Q428" s="48"/>
      <c r="S428" s="1">
        <f t="shared" si="189"/>
        <v>0</v>
      </c>
      <c r="T428" s="1">
        <f t="shared" si="190"/>
        <v>0</v>
      </c>
      <c r="U428" s="1">
        <f t="shared" si="191"/>
        <v>0</v>
      </c>
      <c r="V428" s="1">
        <f t="shared" si="192"/>
        <v>0</v>
      </c>
      <c r="W428" s="1">
        <f t="shared" si="193"/>
        <v>0</v>
      </c>
      <c r="X428" s="1">
        <f t="shared" si="194"/>
        <v>0</v>
      </c>
      <c r="Y428" s="1">
        <f t="shared" si="195"/>
        <v>0</v>
      </c>
      <c r="Z428" s="1">
        <f t="shared" si="196"/>
        <v>0</v>
      </c>
      <c r="AA428" s="1">
        <f t="shared" si="197"/>
        <v>0</v>
      </c>
      <c r="AB428" s="1">
        <f t="shared" si="198"/>
        <v>0</v>
      </c>
      <c r="AD428" s="1">
        <f t="shared" si="199"/>
        <v>0</v>
      </c>
      <c r="AE428" s="1">
        <f t="shared" si="200"/>
        <v>0</v>
      </c>
      <c r="AF428" s="1">
        <f t="shared" si="185"/>
        <v>0</v>
      </c>
      <c r="AG428" s="1">
        <f t="shared" si="186"/>
        <v>0</v>
      </c>
      <c r="AH428" s="1">
        <f t="shared" si="187"/>
        <v>0</v>
      </c>
      <c r="AI428" s="1">
        <f t="shared" si="188"/>
        <v>1</v>
      </c>
    </row>
    <row r="429" spans="1:35" ht="14.25" customHeight="1" x14ac:dyDescent="0.25">
      <c r="A429" s="47">
        <v>1</v>
      </c>
      <c r="B429" s="47">
        <v>2</v>
      </c>
      <c r="C429" s="47">
        <v>7</v>
      </c>
      <c r="D429" s="48" t="s">
        <v>553</v>
      </c>
      <c r="E429" s="48" t="s">
        <v>28</v>
      </c>
      <c r="F429" s="68" t="s">
        <v>1877</v>
      </c>
      <c r="G429" s="48" t="s">
        <v>554</v>
      </c>
      <c r="H429" s="48" t="s">
        <v>354</v>
      </c>
      <c r="I429" s="47" t="s">
        <v>555</v>
      </c>
      <c r="J429" s="47">
        <v>99</v>
      </c>
      <c r="K429" s="49" t="s">
        <v>713</v>
      </c>
      <c r="L429" s="49" t="s">
        <v>713</v>
      </c>
      <c r="M429" s="50" t="s">
        <v>731</v>
      </c>
      <c r="N429" s="50" t="s">
        <v>1802</v>
      </c>
      <c r="O429" s="51"/>
      <c r="P429" s="51"/>
      <c r="Q429" s="48"/>
      <c r="S429" s="1">
        <f t="shared" si="189"/>
        <v>0</v>
      </c>
      <c r="T429" s="1">
        <f t="shared" si="190"/>
        <v>0</v>
      </c>
      <c r="U429" s="1">
        <f t="shared" si="191"/>
        <v>0</v>
      </c>
      <c r="V429" s="1">
        <f t="shared" si="192"/>
        <v>0</v>
      </c>
      <c r="W429" s="1">
        <f t="shared" si="193"/>
        <v>0</v>
      </c>
      <c r="X429" s="1">
        <f t="shared" si="194"/>
        <v>0</v>
      </c>
      <c r="Y429" s="1">
        <f t="shared" si="195"/>
        <v>0</v>
      </c>
      <c r="Z429" s="1">
        <f t="shared" si="196"/>
        <v>0</v>
      </c>
      <c r="AA429" s="1">
        <f t="shared" si="197"/>
        <v>0</v>
      </c>
      <c r="AB429" s="1">
        <f t="shared" si="198"/>
        <v>0</v>
      </c>
      <c r="AD429" s="1">
        <f t="shared" si="199"/>
        <v>0</v>
      </c>
      <c r="AE429" s="1">
        <f t="shared" si="200"/>
        <v>0</v>
      </c>
      <c r="AF429" s="1">
        <f t="shared" si="185"/>
        <v>0</v>
      </c>
      <c r="AG429" s="1">
        <f t="shared" si="186"/>
        <v>0</v>
      </c>
      <c r="AH429" s="1">
        <f t="shared" si="187"/>
        <v>0</v>
      </c>
      <c r="AI429" s="1">
        <f t="shared" si="188"/>
        <v>0</v>
      </c>
    </row>
    <row r="430" spans="1:35" ht="14.25" customHeight="1" x14ac:dyDescent="0.25">
      <c r="A430" s="47">
        <v>0</v>
      </c>
      <c r="B430" s="47">
        <v>2</v>
      </c>
      <c r="C430" s="47">
        <v>7</v>
      </c>
      <c r="D430" s="48" t="s">
        <v>1185</v>
      </c>
      <c r="E430" s="48" t="s">
        <v>28</v>
      </c>
      <c r="F430" s="48" t="s">
        <v>1678</v>
      </c>
      <c r="G430" s="48" t="s">
        <v>235</v>
      </c>
      <c r="H430" s="48" t="s">
        <v>354</v>
      </c>
      <c r="I430" s="47" t="s">
        <v>1366</v>
      </c>
      <c r="J430" s="47">
        <v>99</v>
      </c>
      <c r="K430" s="49" t="s">
        <v>712</v>
      </c>
      <c r="L430" s="49" t="s">
        <v>713</v>
      </c>
      <c r="M430" s="50" t="s">
        <v>731</v>
      </c>
      <c r="N430" s="50" t="s">
        <v>1735</v>
      </c>
      <c r="O430" s="51"/>
      <c r="P430" s="51"/>
      <c r="Q430" s="48"/>
      <c r="S430" s="1">
        <f t="shared" si="189"/>
        <v>0</v>
      </c>
      <c r="T430" s="1">
        <f t="shared" si="190"/>
        <v>0</v>
      </c>
      <c r="U430" s="1">
        <f t="shared" si="191"/>
        <v>0</v>
      </c>
      <c r="V430" s="1">
        <f t="shared" si="192"/>
        <v>0</v>
      </c>
      <c r="W430" s="1">
        <f t="shared" si="193"/>
        <v>0</v>
      </c>
      <c r="X430" s="1">
        <f t="shared" si="194"/>
        <v>0</v>
      </c>
      <c r="Y430" s="1">
        <f t="shared" si="195"/>
        <v>0</v>
      </c>
      <c r="Z430" s="1">
        <f t="shared" si="196"/>
        <v>0</v>
      </c>
      <c r="AA430" s="1">
        <f t="shared" si="197"/>
        <v>0</v>
      </c>
      <c r="AB430" s="1">
        <f t="shared" si="198"/>
        <v>0</v>
      </c>
      <c r="AD430" s="1">
        <f t="shared" si="199"/>
        <v>0</v>
      </c>
      <c r="AE430" s="1">
        <f t="shared" si="200"/>
        <v>0</v>
      </c>
      <c r="AF430" s="1">
        <f t="shared" si="185"/>
        <v>0</v>
      </c>
      <c r="AG430" s="1">
        <f t="shared" si="186"/>
        <v>0</v>
      </c>
      <c r="AH430" s="1">
        <f t="shared" si="187"/>
        <v>0</v>
      </c>
      <c r="AI430" s="1">
        <f t="shared" si="188"/>
        <v>1</v>
      </c>
    </row>
    <row r="431" spans="1:35" ht="14.25" customHeight="1" x14ac:dyDescent="0.25">
      <c r="A431" s="47">
        <v>1</v>
      </c>
      <c r="B431" s="47">
        <v>2</v>
      </c>
      <c r="C431" s="47">
        <v>7</v>
      </c>
      <c r="D431" s="48" t="s">
        <v>1185</v>
      </c>
      <c r="E431" s="48" t="s">
        <v>28</v>
      </c>
      <c r="F431" s="48" t="s">
        <v>1679</v>
      </c>
      <c r="G431" s="48" t="s">
        <v>1352</v>
      </c>
      <c r="H431" s="48" t="s">
        <v>354</v>
      </c>
      <c r="I431" s="47" t="s">
        <v>1367</v>
      </c>
      <c r="J431" s="47">
        <v>99</v>
      </c>
      <c r="K431" s="49" t="s">
        <v>712</v>
      </c>
      <c r="L431" s="49" t="s">
        <v>713</v>
      </c>
      <c r="M431" s="50" t="s">
        <v>731</v>
      </c>
      <c r="N431" s="50" t="s">
        <v>1735</v>
      </c>
      <c r="O431" s="51"/>
      <c r="P431" s="51"/>
      <c r="Q431" s="48"/>
      <c r="S431" s="1">
        <f t="shared" si="189"/>
        <v>0</v>
      </c>
      <c r="T431" s="1">
        <f t="shared" si="190"/>
        <v>0</v>
      </c>
      <c r="U431" s="1">
        <f t="shared" si="191"/>
        <v>0</v>
      </c>
      <c r="V431" s="1">
        <f t="shared" si="192"/>
        <v>0</v>
      </c>
      <c r="W431" s="1">
        <f t="shared" si="193"/>
        <v>0</v>
      </c>
      <c r="X431" s="1">
        <f t="shared" si="194"/>
        <v>0</v>
      </c>
      <c r="Y431" s="1">
        <f t="shared" si="195"/>
        <v>0</v>
      </c>
      <c r="Z431" s="1">
        <f t="shared" si="196"/>
        <v>0</v>
      </c>
      <c r="AA431" s="1">
        <f t="shared" si="197"/>
        <v>0</v>
      </c>
      <c r="AB431" s="1">
        <f t="shared" si="198"/>
        <v>0</v>
      </c>
      <c r="AD431" s="1">
        <f t="shared" si="199"/>
        <v>0</v>
      </c>
      <c r="AE431" s="1">
        <f t="shared" si="200"/>
        <v>0</v>
      </c>
      <c r="AF431" s="1">
        <f t="shared" si="185"/>
        <v>0</v>
      </c>
      <c r="AG431" s="1">
        <f t="shared" si="186"/>
        <v>0</v>
      </c>
      <c r="AH431" s="1">
        <f t="shared" si="187"/>
        <v>0</v>
      </c>
      <c r="AI431" s="1">
        <f t="shared" si="188"/>
        <v>0</v>
      </c>
    </row>
    <row r="432" spans="1:35" ht="14.25" customHeight="1" x14ac:dyDescent="0.25">
      <c r="A432" s="34">
        <v>0</v>
      </c>
      <c r="B432" s="34">
        <v>2</v>
      </c>
      <c r="C432" s="34">
        <v>7</v>
      </c>
      <c r="D432" s="35" t="s">
        <v>1253</v>
      </c>
      <c r="E432" s="35" t="s">
        <v>28</v>
      </c>
      <c r="F432" s="35" t="s">
        <v>1252</v>
      </c>
      <c r="G432" s="35" t="s">
        <v>1237</v>
      </c>
      <c r="H432" s="35" t="s">
        <v>354</v>
      </c>
      <c r="I432" s="34" t="s">
        <v>1254</v>
      </c>
      <c r="J432" s="34">
        <v>99</v>
      </c>
      <c r="K432" s="36" t="s">
        <v>703</v>
      </c>
      <c r="L432" s="36" t="s">
        <v>713</v>
      </c>
      <c r="M432" s="37" t="s">
        <v>731</v>
      </c>
      <c r="N432" s="37" t="s">
        <v>1743</v>
      </c>
      <c r="O432" s="38">
        <v>1</v>
      </c>
      <c r="P432" s="38"/>
      <c r="Q432" s="35"/>
      <c r="S432" s="1">
        <f t="shared" si="189"/>
        <v>0</v>
      </c>
      <c r="T432" s="1">
        <f t="shared" si="190"/>
        <v>0</v>
      </c>
      <c r="U432" s="1">
        <f t="shared" si="191"/>
        <v>0</v>
      </c>
      <c r="V432" s="1">
        <f t="shared" si="192"/>
        <v>0</v>
      </c>
      <c r="W432" s="1">
        <f t="shared" si="193"/>
        <v>0</v>
      </c>
      <c r="X432" s="1">
        <f t="shared" si="194"/>
        <v>0</v>
      </c>
      <c r="Y432" s="1">
        <f t="shared" si="195"/>
        <v>0</v>
      </c>
      <c r="Z432" s="1">
        <f t="shared" si="196"/>
        <v>0</v>
      </c>
      <c r="AA432" s="1">
        <f t="shared" si="197"/>
        <v>0</v>
      </c>
      <c r="AB432" s="1">
        <f t="shared" si="198"/>
        <v>0</v>
      </c>
      <c r="AD432" s="1">
        <f t="shared" si="199"/>
        <v>0</v>
      </c>
      <c r="AE432" s="1">
        <f t="shared" si="200"/>
        <v>1</v>
      </c>
      <c r="AF432" s="1">
        <f t="shared" si="185"/>
        <v>0</v>
      </c>
      <c r="AG432" s="1">
        <f t="shared" si="186"/>
        <v>1</v>
      </c>
      <c r="AH432" s="1">
        <f t="shared" si="187"/>
        <v>0</v>
      </c>
      <c r="AI432" s="1">
        <f t="shared" si="188"/>
        <v>1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1253</v>
      </c>
      <c r="E433" s="35" t="s">
        <v>28</v>
      </c>
      <c r="F433" s="35" t="s">
        <v>1251</v>
      </c>
      <c r="G433" s="35" t="s">
        <v>39</v>
      </c>
      <c r="H433" s="35" t="s">
        <v>354</v>
      </c>
      <c r="I433" s="34" t="s">
        <v>1255</v>
      </c>
      <c r="J433" s="34">
        <v>9</v>
      </c>
      <c r="K433" s="36" t="s">
        <v>703</v>
      </c>
      <c r="L433" s="36" t="s">
        <v>713</v>
      </c>
      <c r="M433" s="37" t="s">
        <v>731</v>
      </c>
      <c r="N433" s="37" t="s">
        <v>1743</v>
      </c>
      <c r="O433" s="38">
        <v>1</v>
      </c>
      <c r="P433" s="38"/>
      <c r="Q433" s="35"/>
      <c r="S433" s="1">
        <f t="shared" si="189"/>
        <v>0</v>
      </c>
      <c r="T433" s="1">
        <f t="shared" si="190"/>
        <v>0</v>
      </c>
      <c r="U433" s="1">
        <f t="shared" si="191"/>
        <v>0</v>
      </c>
      <c r="V433" s="1">
        <f t="shared" si="192"/>
        <v>0</v>
      </c>
      <c r="W433" s="1">
        <f t="shared" si="193"/>
        <v>0</v>
      </c>
      <c r="X433" s="1">
        <f t="shared" si="194"/>
        <v>0</v>
      </c>
      <c r="Y433" s="1">
        <f t="shared" si="195"/>
        <v>0</v>
      </c>
      <c r="Z433" s="1">
        <f t="shared" si="196"/>
        <v>0</v>
      </c>
      <c r="AA433" s="1">
        <f t="shared" si="197"/>
        <v>1</v>
      </c>
      <c r="AB433" s="1">
        <f t="shared" si="198"/>
        <v>0</v>
      </c>
      <c r="AD433" s="1">
        <f t="shared" si="199"/>
        <v>0</v>
      </c>
      <c r="AE433" s="1">
        <f t="shared" si="200"/>
        <v>1</v>
      </c>
      <c r="AF433" s="1">
        <f t="shared" si="185"/>
        <v>0</v>
      </c>
      <c r="AG433" s="1">
        <f t="shared" si="186"/>
        <v>0</v>
      </c>
      <c r="AH433" s="1">
        <f t="shared" si="187"/>
        <v>0</v>
      </c>
      <c r="AI433" s="1">
        <f t="shared" si="188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1253</v>
      </c>
      <c r="E434" s="35" t="s">
        <v>28</v>
      </c>
      <c r="F434" s="39" t="s">
        <v>1824</v>
      </c>
      <c r="G434" s="39" t="s">
        <v>258</v>
      </c>
      <c r="H434" s="35" t="s">
        <v>354</v>
      </c>
      <c r="I434" s="40" t="s">
        <v>30</v>
      </c>
      <c r="J434" s="34">
        <v>8</v>
      </c>
      <c r="K434" s="36" t="s">
        <v>703</v>
      </c>
      <c r="L434" s="36" t="s">
        <v>713</v>
      </c>
      <c r="M434" s="37" t="s">
        <v>731</v>
      </c>
      <c r="N434" s="37" t="s">
        <v>1743</v>
      </c>
      <c r="O434" s="38">
        <v>1</v>
      </c>
      <c r="P434" s="38"/>
      <c r="Q434" s="35"/>
      <c r="S434" s="1">
        <f t="shared" si="189"/>
        <v>0</v>
      </c>
      <c r="T434" s="1">
        <f t="shared" si="190"/>
        <v>0</v>
      </c>
      <c r="U434" s="1">
        <f t="shared" si="191"/>
        <v>0</v>
      </c>
      <c r="V434" s="1">
        <f t="shared" si="192"/>
        <v>0</v>
      </c>
      <c r="W434" s="1">
        <f t="shared" si="193"/>
        <v>0</v>
      </c>
      <c r="X434" s="1">
        <f t="shared" si="194"/>
        <v>0</v>
      </c>
      <c r="Y434" s="1">
        <f t="shared" si="195"/>
        <v>0</v>
      </c>
      <c r="Z434" s="1">
        <f t="shared" si="196"/>
        <v>1</v>
      </c>
      <c r="AA434" s="1">
        <f t="shared" si="197"/>
        <v>0</v>
      </c>
      <c r="AB434" s="1">
        <f t="shared" si="198"/>
        <v>0</v>
      </c>
      <c r="AD434" s="1">
        <f t="shared" si="199"/>
        <v>0</v>
      </c>
      <c r="AE434" s="1">
        <f t="shared" si="200"/>
        <v>1</v>
      </c>
      <c r="AF434" s="1">
        <f t="shared" si="185"/>
        <v>0</v>
      </c>
      <c r="AG434" s="1">
        <f t="shared" si="186"/>
        <v>0</v>
      </c>
      <c r="AH434" s="1">
        <f t="shared" si="187"/>
        <v>0</v>
      </c>
      <c r="AI434" s="1">
        <f t="shared" si="188"/>
        <v>0</v>
      </c>
    </row>
    <row r="435" spans="1:35" ht="14.25" customHeight="1" x14ac:dyDescent="0.25">
      <c r="A435" s="34">
        <v>0</v>
      </c>
      <c r="B435" s="34">
        <v>2</v>
      </c>
      <c r="C435" s="34">
        <v>7</v>
      </c>
      <c r="D435" s="35" t="s">
        <v>51</v>
      </c>
      <c r="E435" s="35" t="s">
        <v>28</v>
      </c>
      <c r="F435" s="35" t="s">
        <v>674</v>
      </c>
      <c r="G435" s="35" t="s">
        <v>185</v>
      </c>
      <c r="H435" s="35" t="s">
        <v>354</v>
      </c>
      <c r="I435" s="34" t="s">
        <v>390</v>
      </c>
      <c r="J435" s="34">
        <v>99</v>
      </c>
      <c r="K435" s="36" t="s">
        <v>712</v>
      </c>
      <c r="L435" s="36" t="s">
        <v>713</v>
      </c>
      <c r="M435" s="37" t="s">
        <v>731</v>
      </c>
      <c r="N435" s="37" t="s">
        <v>1749</v>
      </c>
      <c r="O435" s="38">
        <v>1</v>
      </c>
      <c r="P435" s="38"/>
      <c r="Q435" s="35"/>
      <c r="S435" s="1">
        <f t="shared" si="189"/>
        <v>0</v>
      </c>
      <c r="T435" s="1">
        <f t="shared" si="190"/>
        <v>0</v>
      </c>
      <c r="U435" s="1">
        <f t="shared" si="191"/>
        <v>0</v>
      </c>
      <c r="V435" s="1">
        <f t="shared" si="192"/>
        <v>0</v>
      </c>
      <c r="W435" s="1">
        <f t="shared" si="193"/>
        <v>0</v>
      </c>
      <c r="X435" s="1">
        <f t="shared" si="194"/>
        <v>0</v>
      </c>
      <c r="Y435" s="1">
        <f t="shared" si="195"/>
        <v>0</v>
      </c>
      <c r="Z435" s="1">
        <f t="shared" si="196"/>
        <v>0</v>
      </c>
      <c r="AA435" s="1">
        <f t="shared" si="197"/>
        <v>0</v>
      </c>
      <c r="AB435" s="1">
        <f t="shared" si="198"/>
        <v>0</v>
      </c>
      <c r="AD435" s="1">
        <f t="shared" si="199"/>
        <v>0</v>
      </c>
      <c r="AE435" s="1">
        <f t="shared" si="200"/>
        <v>1</v>
      </c>
      <c r="AF435" s="1">
        <f t="shared" si="185"/>
        <v>0</v>
      </c>
      <c r="AG435" s="1">
        <f t="shared" si="186"/>
        <v>1</v>
      </c>
      <c r="AH435" s="1">
        <f t="shared" si="187"/>
        <v>0</v>
      </c>
      <c r="AI435" s="1">
        <f t="shared" si="188"/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1081</v>
      </c>
      <c r="E436" s="48" t="s">
        <v>28</v>
      </c>
      <c r="F436" s="48" t="s">
        <v>998</v>
      </c>
      <c r="G436" s="48" t="s">
        <v>240</v>
      </c>
      <c r="H436" s="48" t="s">
        <v>354</v>
      </c>
      <c r="I436" s="47" t="s">
        <v>1106</v>
      </c>
      <c r="J436" s="47">
        <v>1</v>
      </c>
      <c r="K436" s="49" t="s">
        <v>712</v>
      </c>
      <c r="L436" s="49" t="s">
        <v>713</v>
      </c>
      <c r="M436" s="50" t="s">
        <v>731</v>
      </c>
      <c r="N436" s="50" t="s">
        <v>1735</v>
      </c>
      <c r="O436" s="51"/>
      <c r="P436" s="51"/>
      <c r="Q436" s="48"/>
      <c r="S436" s="1">
        <f t="shared" si="189"/>
        <v>1</v>
      </c>
      <c r="T436" s="1">
        <f t="shared" si="190"/>
        <v>0</v>
      </c>
      <c r="U436" s="1">
        <f t="shared" si="191"/>
        <v>0</v>
      </c>
      <c r="V436" s="1">
        <f t="shared" si="192"/>
        <v>0</v>
      </c>
      <c r="W436" s="1">
        <f t="shared" si="193"/>
        <v>0</v>
      </c>
      <c r="X436" s="1">
        <f t="shared" si="194"/>
        <v>0</v>
      </c>
      <c r="Y436" s="1">
        <f t="shared" si="195"/>
        <v>0</v>
      </c>
      <c r="Z436" s="1">
        <f t="shared" si="196"/>
        <v>0</v>
      </c>
      <c r="AA436" s="1">
        <f t="shared" si="197"/>
        <v>0</v>
      </c>
      <c r="AB436" s="1">
        <f t="shared" si="198"/>
        <v>0</v>
      </c>
      <c r="AD436" s="1">
        <f t="shared" si="199"/>
        <v>0</v>
      </c>
      <c r="AE436" s="1">
        <f t="shared" si="200"/>
        <v>0</v>
      </c>
      <c r="AF436" s="1">
        <f t="shared" si="185"/>
        <v>0</v>
      </c>
      <c r="AG436" s="1">
        <f t="shared" si="186"/>
        <v>0</v>
      </c>
      <c r="AH436" s="1">
        <f t="shared" si="187"/>
        <v>0</v>
      </c>
      <c r="AI436" s="1">
        <f t="shared" si="188"/>
        <v>1</v>
      </c>
    </row>
    <row r="437" spans="1:35" ht="14.25" customHeight="1" x14ac:dyDescent="0.25">
      <c r="A437" s="47">
        <v>1</v>
      </c>
      <c r="B437" s="47">
        <v>2</v>
      </c>
      <c r="C437" s="47">
        <v>7</v>
      </c>
      <c r="D437" s="48" t="s">
        <v>1081</v>
      </c>
      <c r="E437" s="48" t="s">
        <v>28</v>
      </c>
      <c r="F437" s="48" t="s">
        <v>999</v>
      </c>
      <c r="G437" s="48" t="s">
        <v>1099</v>
      </c>
      <c r="H437" s="48" t="s">
        <v>354</v>
      </c>
      <c r="I437" s="47" t="s">
        <v>1107</v>
      </c>
      <c r="J437" s="47">
        <v>1</v>
      </c>
      <c r="K437" s="49" t="s">
        <v>712</v>
      </c>
      <c r="L437" s="49" t="s">
        <v>713</v>
      </c>
      <c r="M437" s="50" t="s">
        <v>731</v>
      </c>
      <c r="N437" s="50" t="s">
        <v>1735</v>
      </c>
      <c r="O437" s="51"/>
      <c r="P437" s="51"/>
      <c r="Q437" s="48"/>
      <c r="S437" s="1">
        <f t="shared" si="189"/>
        <v>1</v>
      </c>
      <c r="T437" s="1">
        <f t="shared" si="190"/>
        <v>0</v>
      </c>
      <c r="U437" s="1">
        <f t="shared" si="191"/>
        <v>0</v>
      </c>
      <c r="V437" s="1">
        <f t="shared" si="192"/>
        <v>0</v>
      </c>
      <c r="W437" s="1">
        <f t="shared" si="193"/>
        <v>0</v>
      </c>
      <c r="X437" s="1">
        <f t="shared" si="194"/>
        <v>0</v>
      </c>
      <c r="Y437" s="1">
        <f t="shared" si="195"/>
        <v>0</v>
      </c>
      <c r="Z437" s="1">
        <f t="shared" si="196"/>
        <v>0</v>
      </c>
      <c r="AA437" s="1">
        <f t="shared" si="197"/>
        <v>0</v>
      </c>
      <c r="AB437" s="1">
        <f t="shared" si="198"/>
        <v>0</v>
      </c>
      <c r="AD437" s="1">
        <f t="shared" si="199"/>
        <v>0</v>
      </c>
      <c r="AE437" s="1">
        <f t="shared" si="200"/>
        <v>0</v>
      </c>
      <c r="AF437" s="1">
        <f t="shared" si="185"/>
        <v>0</v>
      </c>
      <c r="AG437" s="1">
        <f t="shared" si="186"/>
        <v>0</v>
      </c>
      <c r="AH437" s="1">
        <f t="shared" si="187"/>
        <v>0</v>
      </c>
      <c r="AI437" s="1">
        <f t="shared" si="188"/>
        <v>0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1638</v>
      </c>
      <c r="E438" s="35" t="s">
        <v>156</v>
      </c>
      <c r="F438" s="35" t="s">
        <v>1491</v>
      </c>
      <c r="G438" s="35" t="s">
        <v>1492</v>
      </c>
      <c r="H438" s="35" t="s">
        <v>354</v>
      </c>
      <c r="I438" s="34" t="s">
        <v>1493</v>
      </c>
      <c r="J438" s="34">
        <v>99</v>
      </c>
      <c r="K438" s="36" t="s">
        <v>955</v>
      </c>
      <c r="L438" s="36" t="s">
        <v>722</v>
      </c>
      <c r="M438" s="37" t="s">
        <v>732</v>
      </c>
      <c r="N438" s="37" t="s">
        <v>1748</v>
      </c>
      <c r="O438" s="38">
        <v>1</v>
      </c>
      <c r="P438" s="38"/>
      <c r="Q438" s="35"/>
      <c r="S438" s="1">
        <f t="shared" si="189"/>
        <v>0</v>
      </c>
      <c r="T438" s="1">
        <f t="shared" si="190"/>
        <v>0</v>
      </c>
      <c r="U438" s="1">
        <f t="shared" si="191"/>
        <v>0</v>
      </c>
      <c r="V438" s="1">
        <f t="shared" si="192"/>
        <v>0</v>
      </c>
      <c r="W438" s="1">
        <f t="shared" si="193"/>
        <v>0</v>
      </c>
      <c r="X438" s="1">
        <f t="shared" si="194"/>
        <v>0</v>
      </c>
      <c r="Y438" s="1">
        <f t="shared" si="195"/>
        <v>0</v>
      </c>
      <c r="Z438" s="1">
        <f t="shared" si="196"/>
        <v>0</v>
      </c>
      <c r="AA438" s="1">
        <f t="shared" si="197"/>
        <v>0</v>
      </c>
      <c r="AB438" s="1">
        <f t="shared" si="198"/>
        <v>0</v>
      </c>
      <c r="AD438" s="1">
        <f t="shared" si="199"/>
        <v>0</v>
      </c>
      <c r="AE438" s="1">
        <f t="shared" si="200"/>
        <v>1</v>
      </c>
      <c r="AF438" s="1">
        <f t="shared" si="185"/>
        <v>0</v>
      </c>
      <c r="AG438" s="1">
        <f t="shared" si="186"/>
        <v>1</v>
      </c>
      <c r="AH438" s="1">
        <f t="shared" si="187"/>
        <v>0</v>
      </c>
      <c r="AI438" s="1">
        <f t="shared" si="188"/>
        <v>1</v>
      </c>
    </row>
    <row r="439" spans="1:35" ht="14.25" customHeight="1" x14ac:dyDescent="0.25">
      <c r="A439" s="47">
        <v>0</v>
      </c>
      <c r="B439" s="47">
        <v>2</v>
      </c>
      <c r="C439" s="47">
        <v>7</v>
      </c>
      <c r="D439" s="48" t="s">
        <v>82</v>
      </c>
      <c r="E439" s="48" t="s">
        <v>28</v>
      </c>
      <c r="F439" s="48" t="s">
        <v>274</v>
      </c>
      <c r="G439" s="48" t="s">
        <v>275</v>
      </c>
      <c r="H439" s="48" t="s">
        <v>354</v>
      </c>
      <c r="I439" s="47" t="s">
        <v>429</v>
      </c>
      <c r="J439" s="47">
        <v>7</v>
      </c>
      <c r="K439" s="49" t="s">
        <v>955</v>
      </c>
      <c r="L439" s="49" t="s">
        <v>954</v>
      </c>
      <c r="M439" s="50" t="s">
        <v>968</v>
      </c>
      <c r="N439" s="50" t="s">
        <v>1809</v>
      </c>
      <c r="O439" s="51"/>
      <c r="P439" s="51"/>
      <c r="Q439" s="48"/>
      <c r="S439" s="1">
        <f t="shared" si="189"/>
        <v>0</v>
      </c>
      <c r="T439" s="1">
        <f t="shared" si="190"/>
        <v>0</v>
      </c>
      <c r="U439" s="1">
        <f t="shared" si="191"/>
        <v>0</v>
      </c>
      <c r="V439" s="1">
        <f t="shared" si="192"/>
        <v>0</v>
      </c>
      <c r="W439" s="1">
        <f t="shared" si="193"/>
        <v>0</v>
      </c>
      <c r="X439" s="1">
        <f t="shared" si="194"/>
        <v>0</v>
      </c>
      <c r="Y439" s="1">
        <f t="shared" si="195"/>
        <v>1</v>
      </c>
      <c r="Z439" s="1">
        <f t="shared" si="196"/>
        <v>0</v>
      </c>
      <c r="AA439" s="1">
        <f t="shared" si="197"/>
        <v>0</v>
      </c>
      <c r="AB439" s="1">
        <f t="shared" si="198"/>
        <v>0</v>
      </c>
      <c r="AD439" s="1">
        <f t="shared" si="199"/>
        <v>0</v>
      </c>
      <c r="AE439" s="1">
        <f t="shared" si="200"/>
        <v>0</v>
      </c>
      <c r="AF439" s="1">
        <f t="shared" si="185"/>
        <v>0</v>
      </c>
      <c r="AG439" s="1">
        <f t="shared" si="186"/>
        <v>0</v>
      </c>
      <c r="AH439" s="1">
        <f t="shared" si="187"/>
        <v>0</v>
      </c>
      <c r="AI439" s="1">
        <f t="shared" si="188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76</v>
      </c>
      <c r="E440" s="48" t="s">
        <v>28</v>
      </c>
      <c r="F440" s="48" t="s">
        <v>1681</v>
      </c>
      <c r="G440" s="48" t="s">
        <v>190</v>
      </c>
      <c r="H440" s="48" t="s">
        <v>354</v>
      </c>
      <c r="I440" s="47" t="s">
        <v>423</v>
      </c>
      <c r="J440" s="47">
        <v>99</v>
      </c>
      <c r="K440" s="49" t="s">
        <v>954</v>
      </c>
      <c r="L440" s="49" t="s">
        <v>713</v>
      </c>
      <c r="M440" s="50" t="s">
        <v>731</v>
      </c>
      <c r="N440" s="50" t="s">
        <v>1735</v>
      </c>
      <c r="O440" s="51"/>
      <c r="P440" s="51"/>
      <c r="Q440" s="48"/>
      <c r="S440" s="1">
        <f t="shared" si="189"/>
        <v>0</v>
      </c>
      <c r="T440" s="1">
        <f t="shared" si="190"/>
        <v>0</v>
      </c>
      <c r="U440" s="1">
        <f t="shared" si="191"/>
        <v>0</v>
      </c>
      <c r="V440" s="1">
        <f t="shared" si="192"/>
        <v>0</v>
      </c>
      <c r="W440" s="1">
        <f t="shared" si="193"/>
        <v>0</v>
      </c>
      <c r="X440" s="1">
        <f t="shared" si="194"/>
        <v>0</v>
      </c>
      <c r="Y440" s="1">
        <f t="shared" si="195"/>
        <v>0</v>
      </c>
      <c r="Z440" s="1">
        <f t="shared" si="196"/>
        <v>0</v>
      </c>
      <c r="AA440" s="1">
        <f t="shared" si="197"/>
        <v>0</v>
      </c>
      <c r="AB440" s="1">
        <f t="shared" si="198"/>
        <v>0</v>
      </c>
      <c r="AD440" s="1">
        <f t="shared" si="199"/>
        <v>0</v>
      </c>
      <c r="AE440" s="1">
        <f t="shared" si="200"/>
        <v>0</v>
      </c>
      <c r="AF440" s="1">
        <f t="shared" si="185"/>
        <v>0</v>
      </c>
      <c r="AG440" s="1">
        <f t="shared" si="186"/>
        <v>0</v>
      </c>
      <c r="AH440" s="1">
        <f t="shared" si="187"/>
        <v>0</v>
      </c>
      <c r="AI440" s="1">
        <f t="shared" si="188"/>
        <v>1</v>
      </c>
    </row>
    <row r="441" spans="1:35" ht="14.25" customHeight="1" x14ac:dyDescent="0.25">
      <c r="A441" s="34">
        <v>0</v>
      </c>
      <c r="B441" s="34">
        <v>2</v>
      </c>
      <c r="C441" s="34">
        <v>7</v>
      </c>
      <c r="D441" s="35" t="s">
        <v>1640</v>
      </c>
      <c r="E441" s="35" t="s">
        <v>163</v>
      </c>
      <c r="F441" s="35" t="s">
        <v>244</v>
      </c>
      <c r="G441" s="35" t="s">
        <v>218</v>
      </c>
      <c r="H441" s="35" t="s">
        <v>354</v>
      </c>
      <c r="I441" s="34" t="s">
        <v>408</v>
      </c>
      <c r="J441" s="34">
        <v>99</v>
      </c>
      <c r="K441" s="36" t="s">
        <v>713</v>
      </c>
      <c r="L441" s="36" t="s">
        <v>722</v>
      </c>
      <c r="M441" s="37" t="s">
        <v>732</v>
      </c>
      <c r="N441" s="37" t="s">
        <v>1727</v>
      </c>
      <c r="O441" s="38">
        <v>1</v>
      </c>
      <c r="P441" s="38">
        <v>1</v>
      </c>
      <c r="Q441" s="35"/>
      <c r="S441" s="1">
        <f t="shared" si="189"/>
        <v>0</v>
      </c>
      <c r="T441" s="1">
        <f t="shared" si="190"/>
        <v>0</v>
      </c>
      <c r="U441" s="1">
        <f t="shared" si="191"/>
        <v>0</v>
      </c>
      <c r="V441" s="1">
        <f t="shared" si="192"/>
        <v>0</v>
      </c>
      <c r="W441" s="1">
        <f t="shared" si="193"/>
        <v>0</v>
      </c>
      <c r="X441" s="1">
        <f t="shared" si="194"/>
        <v>0</v>
      </c>
      <c r="Y441" s="1">
        <f t="shared" si="195"/>
        <v>0</v>
      </c>
      <c r="Z441" s="1">
        <f t="shared" si="196"/>
        <v>0</v>
      </c>
      <c r="AA441" s="1">
        <f t="shared" si="197"/>
        <v>0</v>
      </c>
      <c r="AB441" s="1">
        <f t="shared" si="198"/>
        <v>0</v>
      </c>
      <c r="AD441" s="1">
        <f t="shared" si="199"/>
        <v>1</v>
      </c>
      <c r="AE441" s="1">
        <f t="shared" si="200"/>
        <v>0</v>
      </c>
      <c r="AF441" s="1">
        <f t="shared" si="185"/>
        <v>1</v>
      </c>
      <c r="AG441" s="1">
        <f t="shared" si="186"/>
        <v>0</v>
      </c>
      <c r="AH441" s="1">
        <f t="shared" si="187"/>
        <v>1</v>
      </c>
      <c r="AI441" s="1">
        <f t="shared" si="188"/>
        <v>0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1538</v>
      </c>
      <c r="E442" s="35" t="s">
        <v>156</v>
      </c>
      <c r="F442" s="35" t="s">
        <v>1539</v>
      </c>
      <c r="G442" s="35" t="s">
        <v>39</v>
      </c>
      <c r="H442" s="35" t="s">
        <v>354</v>
      </c>
      <c r="I442" s="34" t="s">
        <v>1540</v>
      </c>
      <c r="J442" s="34">
        <v>99</v>
      </c>
      <c r="K442" s="36" t="s">
        <v>713</v>
      </c>
      <c r="L442" s="36" t="s">
        <v>722</v>
      </c>
      <c r="M442" s="37" t="s">
        <v>732</v>
      </c>
      <c r="N442" s="37" t="s">
        <v>1748</v>
      </c>
      <c r="O442" s="38">
        <v>1</v>
      </c>
      <c r="P442" s="38"/>
      <c r="Q442" s="35"/>
      <c r="S442" s="1">
        <f t="shared" si="189"/>
        <v>0</v>
      </c>
      <c r="T442" s="1">
        <f t="shared" si="190"/>
        <v>0</v>
      </c>
      <c r="U442" s="1">
        <f t="shared" si="191"/>
        <v>0</v>
      </c>
      <c r="V442" s="1">
        <f t="shared" si="192"/>
        <v>0</v>
      </c>
      <c r="W442" s="1">
        <f t="shared" si="193"/>
        <v>0</v>
      </c>
      <c r="X442" s="1">
        <f t="shared" si="194"/>
        <v>0</v>
      </c>
      <c r="Y442" s="1">
        <f t="shared" si="195"/>
        <v>0</v>
      </c>
      <c r="Z442" s="1">
        <f t="shared" si="196"/>
        <v>0</v>
      </c>
      <c r="AA442" s="1">
        <f t="shared" si="197"/>
        <v>0</v>
      </c>
      <c r="AB442" s="1">
        <f t="shared" si="198"/>
        <v>0</v>
      </c>
      <c r="AD442" s="1">
        <f t="shared" si="199"/>
        <v>0</v>
      </c>
      <c r="AE442" s="1">
        <f t="shared" si="200"/>
        <v>1</v>
      </c>
      <c r="AF442" s="1">
        <f t="shared" si="185"/>
        <v>0</v>
      </c>
      <c r="AG442" s="1">
        <f t="shared" si="186"/>
        <v>1</v>
      </c>
      <c r="AH442" s="1">
        <f t="shared" si="187"/>
        <v>0</v>
      </c>
      <c r="AI442" s="1">
        <f t="shared" si="188"/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1262</v>
      </c>
      <c r="E443" s="48" t="s">
        <v>1524</v>
      </c>
      <c r="F443" s="48" t="s">
        <v>1355</v>
      </c>
      <c r="G443" s="48" t="s">
        <v>186</v>
      </c>
      <c r="H443" s="48" t="s">
        <v>354</v>
      </c>
      <c r="I443" s="47" t="s">
        <v>1368</v>
      </c>
      <c r="J443" s="47">
        <v>1</v>
      </c>
      <c r="K443" s="49" t="s">
        <v>713</v>
      </c>
      <c r="L443" s="49" t="s">
        <v>716</v>
      </c>
      <c r="M443" s="50" t="s">
        <v>1438</v>
      </c>
      <c r="N443" s="50" t="s">
        <v>1735</v>
      </c>
      <c r="O443" s="51"/>
      <c r="P443" s="51"/>
      <c r="Q443" s="48"/>
      <c r="S443" s="1">
        <f t="shared" si="189"/>
        <v>1</v>
      </c>
      <c r="T443" s="1">
        <f t="shared" si="190"/>
        <v>0</v>
      </c>
      <c r="U443" s="1">
        <f t="shared" si="191"/>
        <v>0</v>
      </c>
      <c r="V443" s="1">
        <f t="shared" si="192"/>
        <v>0</v>
      </c>
      <c r="W443" s="1">
        <f t="shared" si="193"/>
        <v>0</v>
      </c>
      <c r="X443" s="1">
        <f t="shared" si="194"/>
        <v>0</v>
      </c>
      <c r="Y443" s="1">
        <f t="shared" si="195"/>
        <v>0</v>
      </c>
      <c r="Z443" s="1">
        <f t="shared" si="196"/>
        <v>0</v>
      </c>
      <c r="AA443" s="1">
        <f t="shared" si="197"/>
        <v>0</v>
      </c>
      <c r="AB443" s="1">
        <f t="shared" si="198"/>
        <v>0</v>
      </c>
      <c r="AD443" s="1">
        <f t="shared" si="199"/>
        <v>0</v>
      </c>
      <c r="AE443" s="1">
        <f t="shared" si="200"/>
        <v>0</v>
      </c>
      <c r="AF443" s="1">
        <f t="shared" si="185"/>
        <v>0</v>
      </c>
      <c r="AG443" s="1">
        <f t="shared" si="186"/>
        <v>0</v>
      </c>
      <c r="AH443" s="1">
        <f t="shared" si="187"/>
        <v>0</v>
      </c>
      <c r="AI443" s="1">
        <f t="shared" si="188"/>
        <v>1</v>
      </c>
    </row>
    <row r="444" spans="1:35" ht="14.25" customHeight="1" x14ac:dyDescent="0.25">
      <c r="A444" s="34">
        <v>0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974</v>
      </c>
      <c r="G444" s="35" t="s">
        <v>1101</v>
      </c>
      <c r="H444" s="35" t="s">
        <v>354</v>
      </c>
      <c r="I444" s="34" t="s">
        <v>1108</v>
      </c>
      <c r="J444" s="34">
        <v>99</v>
      </c>
      <c r="K444" s="36" t="s">
        <v>713</v>
      </c>
      <c r="L444" s="36" t="s">
        <v>713</v>
      </c>
      <c r="M444" s="37" t="s">
        <v>731</v>
      </c>
      <c r="N444" s="37" t="s">
        <v>1743</v>
      </c>
      <c r="O444" s="38">
        <v>1</v>
      </c>
      <c r="P444" s="38"/>
      <c r="Q444" s="35"/>
      <c r="S444" s="1">
        <f t="shared" si="189"/>
        <v>0</v>
      </c>
      <c r="T444" s="1">
        <f t="shared" si="190"/>
        <v>0</v>
      </c>
      <c r="U444" s="1">
        <f t="shared" si="191"/>
        <v>0</v>
      </c>
      <c r="V444" s="1">
        <f t="shared" si="192"/>
        <v>0</v>
      </c>
      <c r="W444" s="1">
        <f t="shared" si="193"/>
        <v>0</v>
      </c>
      <c r="X444" s="1">
        <f t="shared" si="194"/>
        <v>0</v>
      </c>
      <c r="Y444" s="1">
        <f t="shared" si="195"/>
        <v>0</v>
      </c>
      <c r="Z444" s="1">
        <f t="shared" si="196"/>
        <v>0</v>
      </c>
      <c r="AA444" s="1">
        <f t="shared" si="197"/>
        <v>0</v>
      </c>
      <c r="AB444" s="1">
        <f t="shared" si="198"/>
        <v>0</v>
      </c>
      <c r="AD444" s="1">
        <f t="shared" si="199"/>
        <v>0</v>
      </c>
      <c r="AE444" s="1">
        <f t="shared" si="200"/>
        <v>1</v>
      </c>
      <c r="AF444" s="1">
        <f t="shared" si="185"/>
        <v>0</v>
      </c>
      <c r="AG444" s="1">
        <f t="shared" si="186"/>
        <v>1</v>
      </c>
      <c r="AH444" s="1">
        <f t="shared" si="187"/>
        <v>0</v>
      </c>
      <c r="AI444" s="1">
        <f t="shared" si="188"/>
        <v>1</v>
      </c>
    </row>
    <row r="445" spans="1:35" ht="14.25" customHeight="1" x14ac:dyDescent="0.25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245</v>
      </c>
      <c r="G445" s="35" t="s">
        <v>224</v>
      </c>
      <c r="H445" s="35" t="s">
        <v>354</v>
      </c>
      <c r="I445" s="34" t="s">
        <v>409</v>
      </c>
      <c r="J445" s="34">
        <v>99</v>
      </c>
      <c r="K445" s="36" t="s">
        <v>713</v>
      </c>
      <c r="L445" s="36" t="s">
        <v>713</v>
      </c>
      <c r="M445" s="37" t="s">
        <v>731</v>
      </c>
      <c r="N445" s="37" t="s">
        <v>1743</v>
      </c>
      <c r="O445" s="38">
        <v>1</v>
      </c>
      <c r="P445" s="38"/>
      <c r="Q445" s="35"/>
      <c r="S445" s="1">
        <f t="shared" si="189"/>
        <v>0</v>
      </c>
      <c r="T445" s="1">
        <f t="shared" si="190"/>
        <v>0</v>
      </c>
      <c r="U445" s="1">
        <f t="shared" si="191"/>
        <v>0</v>
      </c>
      <c r="V445" s="1">
        <f t="shared" si="192"/>
        <v>0</v>
      </c>
      <c r="W445" s="1">
        <f t="shared" si="193"/>
        <v>0</v>
      </c>
      <c r="X445" s="1">
        <f t="shared" si="194"/>
        <v>0</v>
      </c>
      <c r="Y445" s="1">
        <f t="shared" si="195"/>
        <v>0</v>
      </c>
      <c r="Z445" s="1">
        <f t="shared" si="196"/>
        <v>0</v>
      </c>
      <c r="AA445" s="1">
        <f t="shared" si="197"/>
        <v>0</v>
      </c>
      <c r="AB445" s="1">
        <f t="shared" si="198"/>
        <v>0</v>
      </c>
      <c r="AD445" s="1">
        <f t="shared" si="199"/>
        <v>0</v>
      </c>
      <c r="AE445" s="1">
        <f t="shared" si="200"/>
        <v>1</v>
      </c>
      <c r="AF445" s="1">
        <f t="shared" si="185"/>
        <v>0</v>
      </c>
      <c r="AG445" s="1">
        <f t="shared" si="186"/>
        <v>0</v>
      </c>
      <c r="AH445" s="1">
        <f t="shared" si="187"/>
        <v>0</v>
      </c>
      <c r="AI445" s="1">
        <f t="shared" si="188"/>
        <v>0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246</v>
      </c>
      <c r="G446" s="35" t="s">
        <v>220</v>
      </c>
      <c r="H446" s="35" t="s">
        <v>354</v>
      </c>
      <c r="I446" s="34" t="s">
        <v>410</v>
      </c>
      <c r="J446" s="34">
        <v>8</v>
      </c>
      <c r="K446" s="36" t="s">
        <v>713</v>
      </c>
      <c r="L446" s="36" t="s">
        <v>713</v>
      </c>
      <c r="M446" s="37" t="s">
        <v>731</v>
      </c>
      <c r="N446" s="37" t="s">
        <v>1743</v>
      </c>
      <c r="O446" s="38">
        <v>1</v>
      </c>
      <c r="P446" s="38"/>
      <c r="Q446" s="35"/>
      <c r="S446" s="1">
        <f t="shared" si="189"/>
        <v>0</v>
      </c>
      <c r="T446" s="1">
        <f t="shared" si="190"/>
        <v>0</v>
      </c>
      <c r="U446" s="1">
        <f t="shared" si="191"/>
        <v>0</v>
      </c>
      <c r="V446" s="1">
        <f t="shared" si="192"/>
        <v>0</v>
      </c>
      <c r="W446" s="1">
        <f t="shared" si="193"/>
        <v>0</v>
      </c>
      <c r="X446" s="1">
        <f t="shared" si="194"/>
        <v>0</v>
      </c>
      <c r="Y446" s="1">
        <f t="shared" si="195"/>
        <v>0</v>
      </c>
      <c r="Z446" s="1">
        <f t="shared" si="196"/>
        <v>1</v>
      </c>
      <c r="AA446" s="1">
        <f t="shared" si="197"/>
        <v>0</v>
      </c>
      <c r="AB446" s="1">
        <f t="shared" si="198"/>
        <v>0</v>
      </c>
      <c r="AD446" s="1">
        <f t="shared" si="199"/>
        <v>0</v>
      </c>
      <c r="AE446" s="1">
        <f t="shared" si="200"/>
        <v>1</v>
      </c>
      <c r="AF446" s="1">
        <f t="shared" si="185"/>
        <v>0</v>
      </c>
      <c r="AG446" s="1">
        <f t="shared" si="186"/>
        <v>0</v>
      </c>
      <c r="AH446" s="1">
        <f t="shared" si="187"/>
        <v>0</v>
      </c>
      <c r="AI446" s="1">
        <f t="shared" si="188"/>
        <v>0</v>
      </c>
    </row>
    <row r="447" spans="1:35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1034</v>
      </c>
      <c r="G447" s="35" t="s">
        <v>39</v>
      </c>
      <c r="H447" s="35" t="s">
        <v>354</v>
      </c>
      <c r="I447" s="34" t="s">
        <v>1035</v>
      </c>
      <c r="J447" s="34">
        <v>1</v>
      </c>
      <c r="K447" s="36" t="s">
        <v>713</v>
      </c>
      <c r="L447" s="36" t="s">
        <v>713</v>
      </c>
      <c r="M447" s="37" t="s">
        <v>731</v>
      </c>
      <c r="N447" s="37" t="s">
        <v>1743</v>
      </c>
      <c r="O447" s="38">
        <v>1</v>
      </c>
      <c r="P447" s="38"/>
      <c r="Q447" s="35"/>
      <c r="S447" s="1">
        <f t="shared" si="189"/>
        <v>1</v>
      </c>
      <c r="T447" s="1">
        <f t="shared" si="190"/>
        <v>0</v>
      </c>
      <c r="U447" s="1">
        <f t="shared" si="191"/>
        <v>0</v>
      </c>
      <c r="V447" s="1">
        <f t="shared" si="192"/>
        <v>0</v>
      </c>
      <c r="W447" s="1">
        <f t="shared" si="193"/>
        <v>0</v>
      </c>
      <c r="X447" s="1">
        <f t="shared" si="194"/>
        <v>0</v>
      </c>
      <c r="Y447" s="1">
        <f t="shared" si="195"/>
        <v>0</v>
      </c>
      <c r="Z447" s="1">
        <f t="shared" si="196"/>
        <v>0</v>
      </c>
      <c r="AA447" s="1">
        <f t="shared" si="197"/>
        <v>0</v>
      </c>
      <c r="AB447" s="1">
        <f t="shared" si="198"/>
        <v>0</v>
      </c>
      <c r="AD447" s="1">
        <f t="shared" si="199"/>
        <v>0</v>
      </c>
      <c r="AE447" s="1">
        <f t="shared" si="200"/>
        <v>1</v>
      </c>
      <c r="AF447" s="1">
        <f t="shared" si="185"/>
        <v>0</v>
      </c>
      <c r="AG447" s="1">
        <f t="shared" si="186"/>
        <v>0</v>
      </c>
      <c r="AH447" s="1">
        <f t="shared" si="187"/>
        <v>0</v>
      </c>
      <c r="AI447" s="1">
        <f t="shared" si="188"/>
        <v>0</v>
      </c>
    </row>
    <row r="448" spans="1:35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1036</v>
      </c>
      <c r="G448" s="35" t="s">
        <v>302</v>
      </c>
      <c r="H448" s="35" t="s">
        <v>354</v>
      </c>
      <c r="I448" s="34" t="s">
        <v>1037</v>
      </c>
      <c r="J448" s="34">
        <v>1</v>
      </c>
      <c r="K448" s="36" t="s">
        <v>713</v>
      </c>
      <c r="L448" s="36" t="s">
        <v>713</v>
      </c>
      <c r="M448" s="37" t="s">
        <v>731</v>
      </c>
      <c r="N448" s="37" t="s">
        <v>1743</v>
      </c>
      <c r="O448" s="38">
        <v>1</v>
      </c>
      <c r="P448" s="38"/>
      <c r="Q448" s="35"/>
      <c r="S448" s="1">
        <f t="shared" si="189"/>
        <v>1</v>
      </c>
      <c r="T448" s="1">
        <f t="shared" si="190"/>
        <v>0</v>
      </c>
      <c r="U448" s="1">
        <f t="shared" si="191"/>
        <v>0</v>
      </c>
      <c r="V448" s="1">
        <f t="shared" si="192"/>
        <v>0</v>
      </c>
      <c r="W448" s="1">
        <f t="shared" si="193"/>
        <v>0</v>
      </c>
      <c r="X448" s="1">
        <f t="shared" si="194"/>
        <v>0</v>
      </c>
      <c r="Y448" s="1">
        <f t="shared" si="195"/>
        <v>0</v>
      </c>
      <c r="Z448" s="1">
        <f t="shared" si="196"/>
        <v>0</v>
      </c>
      <c r="AA448" s="1">
        <f t="shared" si="197"/>
        <v>0</v>
      </c>
      <c r="AB448" s="1">
        <f t="shared" si="198"/>
        <v>0</v>
      </c>
      <c r="AD448" s="1">
        <f t="shared" ref="AD448:AD449" si="217">+O448*P448</f>
        <v>0</v>
      </c>
      <c r="AE448" s="1">
        <f t="shared" ref="AE448:AE449" si="218">O448*(1-P448)</f>
        <v>1</v>
      </c>
      <c r="AF448" s="1">
        <f t="shared" si="185"/>
        <v>0</v>
      </c>
      <c r="AG448" s="1">
        <f t="shared" si="186"/>
        <v>0</v>
      </c>
      <c r="AH448" s="1">
        <f t="shared" si="187"/>
        <v>0</v>
      </c>
      <c r="AI448" s="1">
        <f t="shared" si="188"/>
        <v>0</v>
      </c>
    </row>
    <row r="449" spans="1:35" ht="14.25" customHeight="1" x14ac:dyDescent="0.25">
      <c r="A449" s="34">
        <v>0</v>
      </c>
      <c r="B449" s="34">
        <v>2</v>
      </c>
      <c r="C449" s="34">
        <v>7</v>
      </c>
      <c r="D449" s="35" t="s">
        <v>1573</v>
      </c>
      <c r="E449" s="35" t="s">
        <v>156</v>
      </c>
      <c r="F449" s="35" t="s">
        <v>1574</v>
      </c>
      <c r="G449" s="35" t="s">
        <v>207</v>
      </c>
      <c r="H449" s="35" t="s">
        <v>354</v>
      </c>
      <c r="I449" s="34" t="s">
        <v>1575</v>
      </c>
      <c r="J449" s="34">
        <v>99</v>
      </c>
      <c r="K449" s="36" t="s">
        <v>712</v>
      </c>
      <c r="L449" s="36" t="s">
        <v>722</v>
      </c>
      <c r="M449" s="37" t="s">
        <v>732</v>
      </c>
      <c r="N449" s="37" t="s">
        <v>1946</v>
      </c>
      <c r="O449" s="38">
        <v>1</v>
      </c>
      <c r="P449" s="38"/>
      <c r="Q449" s="35"/>
      <c r="S449" s="1">
        <f t="shared" si="189"/>
        <v>0</v>
      </c>
      <c r="T449" s="1">
        <f t="shared" si="190"/>
        <v>0</v>
      </c>
      <c r="U449" s="1">
        <f t="shared" si="191"/>
        <v>0</v>
      </c>
      <c r="V449" s="1">
        <f t="shared" si="192"/>
        <v>0</v>
      </c>
      <c r="W449" s="1">
        <f t="shared" si="193"/>
        <v>0</v>
      </c>
      <c r="X449" s="1">
        <f t="shared" si="194"/>
        <v>0</v>
      </c>
      <c r="Y449" s="1">
        <f t="shared" si="195"/>
        <v>0</v>
      </c>
      <c r="Z449" s="1">
        <f t="shared" si="196"/>
        <v>0</v>
      </c>
      <c r="AA449" s="1">
        <f t="shared" si="197"/>
        <v>0</v>
      </c>
      <c r="AB449" s="1">
        <f t="shared" si="198"/>
        <v>0</v>
      </c>
      <c r="AD449" s="1">
        <f t="shared" si="217"/>
        <v>0</v>
      </c>
      <c r="AE449" s="1">
        <f t="shared" si="218"/>
        <v>1</v>
      </c>
      <c r="AF449" s="1">
        <f t="shared" si="185"/>
        <v>0</v>
      </c>
      <c r="AG449" s="1">
        <f t="shared" si="186"/>
        <v>1</v>
      </c>
      <c r="AH449" s="1">
        <f t="shared" si="187"/>
        <v>0</v>
      </c>
      <c r="AI449" s="1">
        <f t="shared" si="188"/>
        <v>1</v>
      </c>
    </row>
    <row r="450" spans="1:35" ht="14.25" customHeight="1" x14ac:dyDescent="0.25">
      <c r="A450" s="47">
        <v>0</v>
      </c>
      <c r="B450" s="47">
        <v>2</v>
      </c>
      <c r="C450" s="47">
        <v>7</v>
      </c>
      <c r="D450" s="48" t="s">
        <v>1132</v>
      </c>
      <c r="E450" s="48" t="s">
        <v>28</v>
      </c>
      <c r="F450" s="48" t="s">
        <v>1133</v>
      </c>
      <c r="G450" s="48" t="s">
        <v>220</v>
      </c>
      <c r="H450" s="48" t="s">
        <v>354</v>
      </c>
      <c r="I450" s="47" t="s">
        <v>1134</v>
      </c>
      <c r="J450" s="47">
        <v>8</v>
      </c>
      <c r="K450" s="49" t="s">
        <v>955</v>
      </c>
      <c r="L450" s="49" t="s">
        <v>713</v>
      </c>
      <c r="M450" s="50" t="s">
        <v>731</v>
      </c>
      <c r="N450" s="50" t="s">
        <v>1802</v>
      </c>
      <c r="O450" s="51"/>
      <c r="P450" s="51"/>
      <c r="Q450" s="48"/>
      <c r="S450" s="1">
        <f t="shared" si="189"/>
        <v>0</v>
      </c>
      <c r="T450" s="1">
        <f t="shared" si="190"/>
        <v>0</v>
      </c>
      <c r="U450" s="1">
        <f t="shared" si="191"/>
        <v>0</v>
      </c>
      <c r="V450" s="1">
        <f t="shared" si="192"/>
        <v>0</v>
      </c>
      <c r="W450" s="1">
        <f t="shared" si="193"/>
        <v>0</v>
      </c>
      <c r="X450" s="1">
        <f t="shared" si="194"/>
        <v>0</v>
      </c>
      <c r="Y450" s="1">
        <f t="shared" si="195"/>
        <v>0</v>
      </c>
      <c r="Z450" s="1">
        <f t="shared" si="196"/>
        <v>1</v>
      </c>
      <c r="AA450" s="1">
        <f t="shared" si="197"/>
        <v>0</v>
      </c>
      <c r="AB450" s="1">
        <f t="shared" si="198"/>
        <v>0</v>
      </c>
      <c r="AD450" s="1">
        <f t="shared" si="199"/>
        <v>0</v>
      </c>
      <c r="AE450" s="1">
        <f t="shared" si="200"/>
        <v>0</v>
      </c>
      <c r="AF450" s="1">
        <f t="shared" si="185"/>
        <v>0</v>
      </c>
      <c r="AG450" s="1">
        <f t="shared" si="186"/>
        <v>0</v>
      </c>
      <c r="AH450" s="1">
        <f t="shared" si="187"/>
        <v>0</v>
      </c>
      <c r="AI450" s="1">
        <f t="shared" si="188"/>
        <v>1</v>
      </c>
    </row>
    <row r="451" spans="1:35" ht="14.25" customHeight="1" x14ac:dyDescent="0.25">
      <c r="A451" s="47">
        <v>0</v>
      </c>
      <c r="B451" s="47">
        <v>2</v>
      </c>
      <c r="C451" s="47">
        <v>7</v>
      </c>
      <c r="D451" s="48" t="s">
        <v>73</v>
      </c>
      <c r="E451" s="48" t="s">
        <v>28</v>
      </c>
      <c r="F451" s="48" t="s">
        <v>264</v>
      </c>
      <c r="G451" s="48" t="s">
        <v>194</v>
      </c>
      <c r="H451" s="48" t="s">
        <v>354</v>
      </c>
      <c r="I451" s="47" t="s">
        <v>421</v>
      </c>
      <c r="J451" s="47">
        <v>9</v>
      </c>
      <c r="K451" s="49" t="s">
        <v>712</v>
      </c>
      <c r="L451" s="49" t="s">
        <v>713</v>
      </c>
      <c r="M451" s="50" t="s">
        <v>731</v>
      </c>
      <c r="N451" s="50" t="s">
        <v>1735</v>
      </c>
      <c r="O451" s="51"/>
      <c r="P451" s="51"/>
      <c r="Q451" s="48"/>
      <c r="S451" s="1">
        <f t="shared" si="189"/>
        <v>0</v>
      </c>
      <c r="T451" s="1">
        <f t="shared" si="190"/>
        <v>0</v>
      </c>
      <c r="U451" s="1">
        <f t="shared" si="191"/>
        <v>0</v>
      </c>
      <c r="V451" s="1">
        <f t="shared" si="192"/>
        <v>0</v>
      </c>
      <c r="W451" s="1">
        <f t="shared" si="193"/>
        <v>0</v>
      </c>
      <c r="X451" s="1">
        <f t="shared" si="194"/>
        <v>0</v>
      </c>
      <c r="Y451" s="1">
        <f t="shared" si="195"/>
        <v>0</v>
      </c>
      <c r="Z451" s="1">
        <f t="shared" si="196"/>
        <v>0</v>
      </c>
      <c r="AA451" s="1">
        <f t="shared" si="197"/>
        <v>1</v>
      </c>
      <c r="AB451" s="1">
        <f t="shared" si="198"/>
        <v>0</v>
      </c>
      <c r="AD451" s="1">
        <f t="shared" si="199"/>
        <v>0</v>
      </c>
      <c r="AE451" s="1">
        <f t="shared" si="200"/>
        <v>0</v>
      </c>
      <c r="AF451" s="1">
        <f t="shared" si="185"/>
        <v>0</v>
      </c>
      <c r="AG451" s="1">
        <f t="shared" si="186"/>
        <v>0</v>
      </c>
      <c r="AH451" s="1">
        <f t="shared" si="187"/>
        <v>0</v>
      </c>
      <c r="AI451" s="1">
        <f t="shared" si="188"/>
        <v>1</v>
      </c>
    </row>
    <row r="452" spans="1:35" ht="14.25" customHeight="1" x14ac:dyDescent="0.25">
      <c r="A452" s="34">
        <v>0</v>
      </c>
      <c r="B452" s="34">
        <v>2</v>
      </c>
      <c r="C452" s="34">
        <v>7</v>
      </c>
      <c r="D452" s="35" t="s">
        <v>59</v>
      </c>
      <c r="E452" s="35" t="s">
        <v>163</v>
      </c>
      <c r="F452" s="35" t="s">
        <v>225</v>
      </c>
      <c r="G452" s="35" t="s">
        <v>226</v>
      </c>
      <c r="H452" s="35" t="s">
        <v>354</v>
      </c>
      <c r="I452" s="34" t="s">
        <v>398</v>
      </c>
      <c r="J452" s="34">
        <v>99</v>
      </c>
      <c r="K452" s="36" t="s">
        <v>713</v>
      </c>
      <c r="L452" s="36" t="s">
        <v>722</v>
      </c>
      <c r="M452" s="37" t="s">
        <v>732</v>
      </c>
      <c r="N452" s="37" t="s">
        <v>1750</v>
      </c>
      <c r="O452" s="38">
        <v>1</v>
      </c>
      <c r="P452" s="38"/>
      <c r="Q452" s="35"/>
      <c r="S452" s="1">
        <f t="shared" si="189"/>
        <v>0</v>
      </c>
      <c r="T452" s="1">
        <f t="shared" si="190"/>
        <v>0</v>
      </c>
      <c r="U452" s="1">
        <f t="shared" si="191"/>
        <v>0</v>
      </c>
      <c r="V452" s="1">
        <f t="shared" si="192"/>
        <v>0</v>
      </c>
      <c r="W452" s="1">
        <f t="shared" si="193"/>
        <v>0</v>
      </c>
      <c r="X452" s="1">
        <f t="shared" si="194"/>
        <v>0</v>
      </c>
      <c r="Y452" s="1">
        <f t="shared" si="195"/>
        <v>0</v>
      </c>
      <c r="Z452" s="1">
        <f t="shared" si="196"/>
        <v>0</v>
      </c>
      <c r="AA452" s="1">
        <f t="shared" si="197"/>
        <v>0</v>
      </c>
      <c r="AB452" s="1">
        <f t="shared" si="198"/>
        <v>0</v>
      </c>
      <c r="AD452" s="1">
        <f t="shared" si="199"/>
        <v>0</v>
      </c>
      <c r="AE452" s="1">
        <f t="shared" si="200"/>
        <v>1</v>
      </c>
      <c r="AF452" s="1">
        <f t="shared" si="185"/>
        <v>0</v>
      </c>
      <c r="AG452" s="1">
        <f t="shared" si="186"/>
        <v>1</v>
      </c>
      <c r="AH452" s="1">
        <f t="shared" si="187"/>
        <v>0</v>
      </c>
      <c r="AI452" s="1">
        <f t="shared" si="188"/>
        <v>1</v>
      </c>
    </row>
    <row r="453" spans="1:35" ht="14.25" customHeight="1" x14ac:dyDescent="0.25">
      <c r="A453" s="34">
        <v>0</v>
      </c>
      <c r="B453" s="34">
        <v>2</v>
      </c>
      <c r="C453" s="34">
        <v>7</v>
      </c>
      <c r="D453" s="35" t="s">
        <v>1075</v>
      </c>
      <c r="E453" s="35" t="s">
        <v>156</v>
      </c>
      <c r="F453" s="35" t="s">
        <v>1076</v>
      </c>
      <c r="G453" s="35" t="s">
        <v>220</v>
      </c>
      <c r="H453" s="35" t="s">
        <v>354</v>
      </c>
      <c r="I453" s="34" t="s">
        <v>1077</v>
      </c>
      <c r="J453" s="34">
        <v>8</v>
      </c>
      <c r="K453" s="36" t="s">
        <v>712</v>
      </c>
      <c r="L453" s="36" t="s">
        <v>722</v>
      </c>
      <c r="M453" s="37" t="s">
        <v>732</v>
      </c>
      <c r="N453" s="37" t="s">
        <v>1748</v>
      </c>
      <c r="O453" s="38">
        <v>1</v>
      </c>
      <c r="P453" s="38"/>
      <c r="Q453" s="35"/>
      <c r="S453" s="1">
        <f t="shared" si="189"/>
        <v>0</v>
      </c>
      <c r="T453" s="1">
        <f t="shared" si="190"/>
        <v>0</v>
      </c>
      <c r="U453" s="1">
        <f t="shared" si="191"/>
        <v>0</v>
      </c>
      <c r="V453" s="1">
        <f t="shared" si="192"/>
        <v>0</v>
      </c>
      <c r="W453" s="1">
        <f t="shared" si="193"/>
        <v>0</v>
      </c>
      <c r="X453" s="1">
        <f t="shared" si="194"/>
        <v>0</v>
      </c>
      <c r="Y453" s="1">
        <f t="shared" si="195"/>
        <v>0</v>
      </c>
      <c r="Z453" s="1">
        <f t="shared" si="196"/>
        <v>1</v>
      </c>
      <c r="AA453" s="1">
        <f t="shared" si="197"/>
        <v>0</v>
      </c>
      <c r="AB453" s="1">
        <f t="shared" si="198"/>
        <v>0</v>
      </c>
      <c r="AD453" s="1">
        <f t="shared" si="199"/>
        <v>0</v>
      </c>
      <c r="AE453" s="1">
        <f t="shared" si="200"/>
        <v>1</v>
      </c>
      <c r="AF453" s="1">
        <f t="shared" si="185"/>
        <v>0</v>
      </c>
      <c r="AG453" s="1">
        <f t="shared" si="186"/>
        <v>1</v>
      </c>
      <c r="AH453" s="1">
        <f t="shared" si="187"/>
        <v>0</v>
      </c>
      <c r="AI453" s="1">
        <f t="shared" si="188"/>
        <v>1</v>
      </c>
    </row>
    <row r="454" spans="1:35" ht="14.25" customHeight="1" x14ac:dyDescent="0.25">
      <c r="A454" s="34">
        <v>0</v>
      </c>
      <c r="B454" s="34">
        <v>2</v>
      </c>
      <c r="C454" s="34">
        <v>7</v>
      </c>
      <c r="D454" s="35" t="s">
        <v>81</v>
      </c>
      <c r="E454" s="35" t="s">
        <v>156</v>
      </c>
      <c r="F454" s="35" t="s">
        <v>273</v>
      </c>
      <c r="G454" s="35" t="s">
        <v>254</v>
      </c>
      <c r="H454" s="35" t="s">
        <v>354</v>
      </c>
      <c r="I454" s="34" t="s">
        <v>428</v>
      </c>
      <c r="J454" s="34">
        <v>99</v>
      </c>
      <c r="K454" s="36" t="s">
        <v>713</v>
      </c>
      <c r="L454" s="36" t="s">
        <v>733</v>
      </c>
      <c r="M454" s="37" t="s">
        <v>734</v>
      </c>
      <c r="N454" s="37" t="s">
        <v>1756</v>
      </c>
      <c r="O454" s="38">
        <v>1</v>
      </c>
      <c r="P454" s="38"/>
      <c r="Q454" s="35"/>
      <c r="S454" s="1">
        <f t="shared" si="189"/>
        <v>0</v>
      </c>
      <c r="T454" s="1">
        <f t="shared" si="190"/>
        <v>0</v>
      </c>
      <c r="U454" s="1">
        <f t="shared" si="191"/>
        <v>0</v>
      </c>
      <c r="V454" s="1">
        <f t="shared" si="192"/>
        <v>0</v>
      </c>
      <c r="W454" s="1">
        <f t="shared" si="193"/>
        <v>0</v>
      </c>
      <c r="X454" s="1">
        <f t="shared" si="194"/>
        <v>0</v>
      </c>
      <c r="Y454" s="1">
        <f t="shared" si="195"/>
        <v>0</v>
      </c>
      <c r="Z454" s="1">
        <f t="shared" si="196"/>
        <v>0</v>
      </c>
      <c r="AA454" s="1">
        <f t="shared" si="197"/>
        <v>0</v>
      </c>
      <c r="AB454" s="1">
        <f t="shared" si="198"/>
        <v>0</v>
      </c>
      <c r="AD454" s="1">
        <f t="shared" si="199"/>
        <v>0</v>
      </c>
      <c r="AE454" s="1">
        <f t="shared" si="200"/>
        <v>1</v>
      </c>
      <c r="AF454" s="1">
        <f t="shared" si="185"/>
        <v>0</v>
      </c>
      <c r="AG454" s="1">
        <f t="shared" si="186"/>
        <v>1</v>
      </c>
      <c r="AH454" s="1">
        <f t="shared" si="187"/>
        <v>0</v>
      </c>
      <c r="AI454" s="1">
        <f t="shared" si="188"/>
        <v>1</v>
      </c>
    </row>
    <row r="455" spans="1:35" ht="14.25" customHeight="1" x14ac:dyDescent="0.25">
      <c r="A455" s="40">
        <v>0</v>
      </c>
      <c r="B455" s="40">
        <v>2</v>
      </c>
      <c r="C455" s="40">
        <v>7</v>
      </c>
      <c r="D455" s="39" t="s">
        <v>1775</v>
      </c>
      <c r="E455" s="39" t="s">
        <v>1776</v>
      </c>
      <c r="F455" s="39" t="s">
        <v>1777</v>
      </c>
      <c r="G455" s="39" t="s">
        <v>190</v>
      </c>
      <c r="H455" s="39" t="s">
        <v>354</v>
      </c>
      <c r="I455" s="40"/>
      <c r="J455" s="40"/>
      <c r="K455" s="36" t="s">
        <v>703</v>
      </c>
      <c r="L455" s="36"/>
      <c r="M455" s="37"/>
      <c r="N455" s="37" t="s">
        <v>1727</v>
      </c>
      <c r="O455" s="38">
        <v>1</v>
      </c>
      <c r="P455" s="38">
        <v>1</v>
      </c>
      <c r="Q455" s="39"/>
      <c r="S455" s="1">
        <f t="shared" si="189"/>
        <v>0</v>
      </c>
      <c r="T455" s="1">
        <f t="shared" si="190"/>
        <v>0</v>
      </c>
      <c r="U455" s="1">
        <f t="shared" si="191"/>
        <v>0</v>
      </c>
      <c r="V455" s="1">
        <f t="shared" si="192"/>
        <v>0</v>
      </c>
      <c r="W455" s="1">
        <f t="shared" si="193"/>
        <v>0</v>
      </c>
      <c r="X455" s="1">
        <f t="shared" si="194"/>
        <v>0</v>
      </c>
      <c r="Y455" s="1">
        <f t="shared" si="195"/>
        <v>0</v>
      </c>
      <c r="Z455" s="1">
        <f t="shared" si="196"/>
        <v>0</v>
      </c>
      <c r="AA455" s="1">
        <f t="shared" si="197"/>
        <v>0</v>
      </c>
      <c r="AB455" s="1">
        <f t="shared" si="198"/>
        <v>0</v>
      </c>
      <c r="AD455" s="1">
        <f t="shared" si="199"/>
        <v>1</v>
      </c>
      <c r="AE455" s="1">
        <f t="shared" si="200"/>
        <v>0</v>
      </c>
      <c r="AF455" s="1">
        <f t="shared" si="185"/>
        <v>1</v>
      </c>
      <c r="AG455" s="1">
        <f t="shared" si="186"/>
        <v>0</v>
      </c>
      <c r="AH455" s="1">
        <f t="shared" si="187"/>
        <v>1</v>
      </c>
      <c r="AI455" s="1">
        <f t="shared" si="188"/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514</v>
      </c>
      <c r="E456" s="48" t="s">
        <v>156</v>
      </c>
      <c r="F456" s="48" t="s">
        <v>574</v>
      </c>
      <c r="G456" s="48" t="s">
        <v>321</v>
      </c>
      <c r="H456" s="48" t="s">
        <v>354</v>
      </c>
      <c r="I456" s="47" t="s">
        <v>581</v>
      </c>
      <c r="J456" s="47">
        <v>99</v>
      </c>
      <c r="K456" s="49" t="s">
        <v>954</v>
      </c>
      <c r="L456" s="49" t="s">
        <v>722</v>
      </c>
      <c r="M456" s="50" t="s">
        <v>732</v>
      </c>
      <c r="N456" s="50" t="s">
        <v>1738</v>
      </c>
      <c r="O456" s="51"/>
      <c r="P456" s="51"/>
      <c r="Q456" s="48"/>
      <c r="S456" s="1">
        <f t="shared" si="189"/>
        <v>0</v>
      </c>
      <c r="T456" s="1">
        <f t="shared" si="190"/>
        <v>0</v>
      </c>
      <c r="U456" s="1">
        <f t="shared" si="191"/>
        <v>0</v>
      </c>
      <c r="V456" s="1">
        <f t="shared" si="192"/>
        <v>0</v>
      </c>
      <c r="W456" s="1">
        <f t="shared" si="193"/>
        <v>0</v>
      </c>
      <c r="X456" s="1">
        <f t="shared" si="194"/>
        <v>0</v>
      </c>
      <c r="Y456" s="1">
        <f t="shared" si="195"/>
        <v>0</v>
      </c>
      <c r="Z456" s="1">
        <f t="shared" si="196"/>
        <v>0</v>
      </c>
      <c r="AA456" s="1">
        <f t="shared" si="197"/>
        <v>0</v>
      </c>
      <c r="AB456" s="1">
        <f t="shared" si="198"/>
        <v>0</v>
      </c>
      <c r="AD456" s="1">
        <f t="shared" si="199"/>
        <v>0</v>
      </c>
      <c r="AE456" s="1">
        <f t="shared" si="200"/>
        <v>0</v>
      </c>
      <c r="AF456" s="1">
        <f t="shared" si="185"/>
        <v>0</v>
      </c>
      <c r="AG456" s="1">
        <f t="shared" si="186"/>
        <v>0</v>
      </c>
      <c r="AH456" s="1">
        <f t="shared" si="187"/>
        <v>0</v>
      </c>
      <c r="AI456" s="1">
        <f t="shared" si="188"/>
        <v>1</v>
      </c>
    </row>
    <row r="457" spans="1:35" ht="14.25" customHeight="1" x14ac:dyDescent="0.25">
      <c r="A457" s="47">
        <v>0</v>
      </c>
      <c r="B457" s="47">
        <v>2</v>
      </c>
      <c r="C457" s="47">
        <v>7</v>
      </c>
      <c r="D457" s="48" t="s">
        <v>74</v>
      </c>
      <c r="E457" s="48" t="s">
        <v>156</v>
      </c>
      <c r="F457" s="48" t="s">
        <v>675</v>
      </c>
      <c r="G457" s="48" t="s">
        <v>265</v>
      </c>
      <c r="H457" s="48" t="s">
        <v>354</v>
      </c>
      <c r="I457" s="47" t="s">
        <v>422</v>
      </c>
      <c r="J457" s="47">
        <v>99</v>
      </c>
      <c r="K457" s="49" t="s">
        <v>712</v>
      </c>
      <c r="L457" s="49" t="s">
        <v>729</v>
      </c>
      <c r="M457" s="50" t="s">
        <v>732</v>
      </c>
      <c r="N457" s="50" t="s">
        <v>1735</v>
      </c>
      <c r="O457" s="51"/>
      <c r="P457" s="51"/>
      <c r="Q457" s="48"/>
      <c r="S457" s="1">
        <f t="shared" si="189"/>
        <v>0</v>
      </c>
      <c r="T457" s="1">
        <f t="shared" si="190"/>
        <v>0</v>
      </c>
      <c r="U457" s="1">
        <f t="shared" si="191"/>
        <v>0</v>
      </c>
      <c r="V457" s="1">
        <f t="shared" si="192"/>
        <v>0</v>
      </c>
      <c r="W457" s="1">
        <f t="shared" si="193"/>
        <v>0</v>
      </c>
      <c r="X457" s="1">
        <f t="shared" si="194"/>
        <v>0</v>
      </c>
      <c r="Y457" s="1">
        <f t="shared" si="195"/>
        <v>0</v>
      </c>
      <c r="Z457" s="1">
        <f t="shared" si="196"/>
        <v>0</v>
      </c>
      <c r="AA457" s="1">
        <f t="shared" si="197"/>
        <v>0</v>
      </c>
      <c r="AB457" s="1">
        <f t="shared" si="198"/>
        <v>0</v>
      </c>
      <c r="AD457" s="1">
        <f t="shared" ref="AD457:AD460" si="219">+O457*P457</f>
        <v>0</v>
      </c>
      <c r="AE457" s="1">
        <f t="shared" ref="AE457:AE460" si="220">O457*(1-P457)</f>
        <v>0</v>
      </c>
      <c r="AF457" s="1">
        <f t="shared" si="185"/>
        <v>0</v>
      </c>
      <c r="AG457" s="1">
        <f t="shared" si="186"/>
        <v>0</v>
      </c>
      <c r="AH457" s="1">
        <f t="shared" si="187"/>
        <v>0</v>
      </c>
      <c r="AI457" s="1">
        <f t="shared" si="188"/>
        <v>1</v>
      </c>
    </row>
    <row r="458" spans="1:35" ht="14.25" customHeight="1" x14ac:dyDescent="0.25">
      <c r="A458" s="15">
        <v>0</v>
      </c>
      <c r="B458" s="15">
        <v>2</v>
      </c>
      <c r="C458" s="15">
        <v>7</v>
      </c>
      <c r="D458" s="20" t="s">
        <v>1858</v>
      </c>
      <c r="E458" s="16" t="s">
        <v>156</v>
      </c>
      <c r="F458" s="20" t="s">
        <v>1859</v>
      </c>
      <c r="G458" s="20" t="s">
        <v>283</v>
      </c>
      <c r="H458" s="20" t="s">
        <v>354</v>
      </c>
      <c r="I458" s="21" t="s">
        <v>1860</v>
      </c>
      <c r="J458" s="15">
        <v>99</v>
      </c>
      <c r="K458" s="10" t="s">
        <v>703</v>
      </c>
      <c r="L458" s="10" t="s">
        <v>722</v>
      </c>
      <c r="M458" s="19" t="s">
        <v>732</v>
      </c>
      <c r="N458" s="19"/>
      <c r="Q458" s="20"/>
      <c r="S458" s="1">
        <f t="shared" si="189"/>
        <v>0</v>
      </c>
      <c r="T458" s="1">
        <f t="shared" si="190"/>
        <v>0</v>
      </c>
      <c r="U458" s="1">
        <f t="shared" si="191"/>
        <v>0</v>
      </c>
      <c r="V458" s="1">
        <f t="shared" si="192"/>
        <v>0</v>
      </c>
      <c r="W458" s="1">
        <f t="shared" si="193"/>
        <v>0</v>
      </c>
      <c r="X458" s="1">
        <f t="shared" si="194"/>
        <v>0</v>
      </c>
      <c r="Y458" s="1">
        <f t="shared" si="195"/>
        <v>0</v>
      </c>
      <c r="Z458" s="1">
        <f t="shared" si="196"/>
        <v>0</v>
      </c>
      <c r="AA458" s="1">
        <f t="shared" si="197"/>
        <v>0</v>
      </c>
      <c r="AB458" s="1">
        <f t="shared" si="198"/>
        <v>0</v>
      </c>
      <c r="AD458" s="1">
        <f t="shared" si="219"/>
        <v>0</v>
      </c>
      <c r="AE458" s="1">
        <f t="shared" si="220"/>
        <v>0</v>
      </c>
      <c r="AF458" s="1">
        <f t="shared" si="185"/>
        <v>0</v>
      </c>
      <c r="AG458" s="1">
        <f t="shared" si="186"/>
        <v>0</v>
      </c>
      <c r="AH458" s="1">
        <f t="shared" si="187"/>
        <v>0</v>
      </c>
      <c r="AI458" s="1">
        <f t="shared" si="188"/>
        <v>1</v>
      </c>
    </row>
    <row r="459" spans="1:35" ht="14.25" customHeight="1" x14ac:dyDescent="0.25">
      <c r="A459" s="34">
        <v>0</v>
      </c>
      <c r="B459" s="34">
        <v>2</v>
      </c>
      <c r="C459" s="34">
        <v>7</v>
      </c>
      <c r="D459" s="35" t="s">
        <v>60</v>
      </c>
      <c r="E459" s="35" t="s">
        <v>163</v>
      </c>
      <c r="F459" s="35" t="s">
        <v>227</v>
      </c>
      <c r="G459" s="35" t="s">
        <v>190</v>
      </c>
      <c r="H459" s="35" t="s">
        <v>354</v>
      </c>
      <c r="I459" s="34" t="s">
        <v>399</v>
      </c>
      <c r="J459" s="34">
        <v>99</v>
      </c>
      <c r="K459" s="36" t="s">
        <v>713</v>
      </c>
      <c r="L459" s="36" t="s">
        <v>722</v>
      </c>
      <c r="M459" s="37" t="s">
        <v>732</v>
      </c>
      <c r="N459" s="37" t="s">
        <v>1748</v>
      </c>
      <c r="O459" s="38">
        <v>1</v>
      </c>
      <c r="P459" s="38"/>
      <c r="Q459" s="35"/>
      <c r="S459" s="1">
        <f t="shared" si="189"/>
        <v>0</v>
      </c>
      <c r="T459" s="1">
        <f t="shared" si="190"/>
        <v>0</v>
      </c>
      <c r="U459" s="1">
        <f t="shared" si="191"/>
        <v>0</v>
      </c>
      <c r="V459" s="1">
        <f t="shared" si="192"/>
        <v>0</v>
      </c>
      <c r="W459" s="1">
        <f t="shared" si="193"/>
        <v>0</v>
      </c>
      <c r="X459" s="1">
        <f t="shared" si="194"/>
        <v>0</v>
      </c>
      <c r="Y459" s="1">
        <f t="shared" si="195"/>
        <v>0</v>
      </c>
      <c r="Z459" s="1">
        <f t="shared" si="196"/>
        <v>0</v>
      </c>
      <c r="AA459" s="1">
        <f t="shared" si="197"/>
        <v>0</v>
      </c>
      <c r="AB459" s="1">
        <f t="shared" si="198"/>
        <v>0</v>
      </c>
      <c r="AD459" s="1">
        <f t="shared" si="219"/>
        <v>0</v>
      </c>
      <c r="AE459" s="1">
        <f t="shared" si="220"/>
        <v>1</v>
      </c>
      <c r="AF459" s="1">
        <f t="shared" ref="AF459:AF476" si="221">+O459*P459*(1-A459)</f>
        <v>0</v>
      </c>
      <c r="AG459" s="1">
        <f t="shared" ref="AG459:AG476" si="222">O459*(1-P459)*(1-A459)</f>
        <v>1</v>
      </c>
      <c r="AH459" s="1">
        <f t="shared" ref="AH459:AH476" si="223">+P459*(1-A459)</f>
        <v>0</v>
      </c>
      <c r="AI459" s="1">
        <f t="shared" ref="AI459:AI476" si="224">+(1-A459)*(1-P459)</f>
        <v>1</v>
      </c>
    </row>
    <row r="460" spans="1:35" ht="14.25" customHeight="1" x14ac:dyDescent="0.25">
      <c r="A460" s="34">
        <v>0</v>
      </c>
      <c r="B460" s="34">
        <v>2</v>
      </c>
      <c r="C460" s="34">
        <v>7</v>
      </c>
      <c r="D460" s="35" t="s">
        <v>1329</v>
      </c>
      <c r="E460" s="35" t="s">
        <v>156</v>
      </c>
      <c r="F460" s="35" t="s">
        <v>1143</v>
      </c>
      <c r="G460" s="35" t="s">
        <v>192</v>
      </c>
      <c r="H460" s="35" t="s">
        <v>354</v>
      </c>
      <c r="I460" s="34" t="s">
        <v>1369</v>
      </c>
      <c r="J460" s="34">
        <v>99</v>
      </c>
      <c r="K460" s="36" t="s">
        <v>712</v>
      </c>
      <c r="L460" s="36" t="s">
        <v>39</v>
      </c>
      <c r="M460" s="37" t="s">
        <v>39</v>
      </c>
      <c r="N460" s="37" t="s">
        <v>1727</v>
      </c>
      <c r="O460" s="38">
        <v>1</v>
      </c>
      <c r="P460" s="38">
        <v>1</v>
      </c>
      <c r="Q460" s="35"/>
      <c r="S460" s="1">
        <f t="shared" si="189"/>
        <v>0</v>
      </c>
      <c r="T460" s="1">
        <f t="shared" si="190"/>
        <v>0</v>
      </c>
      <c r="U460" s="1">
        <f t="shared" si="191"/>
        <v>0</v>
      </c>
      <c r="V460" s="1">
        <f t="shared" si="192"/>
        <v>0</v>
      </c>
      <c r="W460" s="1">
        <f t="shared" si="193"/>
        <v>0</v>
      </c>
      <c r="X460" s="1">
        <f t="shared" si="194"/>
        <v>0</v>
      </c>
      <c r="Y460" s="1">
        <f t="shared" si="195"/>
        <v>0</v>
      </c>
      <c r="Z460" s="1">
        <f t="shared" si="196"/>
        <v>0</v>
      </c>
      <c r="AA460" s="1">
        <f t="shared" si="197"/>
        <v>0</v>
      </c>
      <c r="AB460" s="1">
        <f t="shared" si="198"/>
        <v>0</v>
      </c>
      <c r="AD460" s="1">
        <f t="shared" si="219"/>
        <v>1</v>
      </c>
      <c r="AE460" s="1">
        <f t="shared" si="220"/>
        <v>0</v>
      </c>
      <c r="AF460" s="1">
        <f t="shared" si="221"/>
        <v>1</v>
      </c>
      <c r="AG460" s="1">
        <f t="shared" si="222"/>
        <v>0</v>
      </c>
      <c r="AH460" s="1">
        <f t="shared" si="223"/>
        <v>1</v>
      </c>
      <c r="AI460" s="1">
        <f t="shared" si="224"/>
        <v>0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589</v>
      </c>
      <c r="E461" s="35" t="s">
        <v>1337</v>
      </c>
      <c r="F461" s="35" t="s">
        <v>676</v>
      </c>
      <c r="G461" s="35" t="s">
        <v>240</v>
      </c>
      <c r="H461" s="35" t="s">
        <v>354</v>
      </c>
      <c r="I461" s="34" t="s">
        <v>405</v>
      </c>
      <c r="J461" s="34">
        <v>1</v>
      </c>
      <c r="K461" s="36" t="s">
        <v>713</v>
      </c>
      <c r="L461" s="36" t="s">
        <v>1711</v>
      </c>
      <c r="M461" s="37" t="s">
        <v>1439</v>
      </c>
      <c r="N461" s="37" t="s">
        <v>1748</v>
      </c>
      <c r="O461" s="38">
        <v>1</v>
      </c>
      <c r="P461" s="38"/>
      <c r="Q461" s="35"/>
      <c r="S461" s="1">
        <f t="shared" si="189"/>
        <v>1</v>
      </c>
      <c r="T461" s="1">
        <f t="shared" si="190"/>
        <v>0</v>
      </c>
      <c r="U461" s="1">
        <f t="shared" si="191"/>
        <v>0</v>
      </c>
      <c r="V461" s="1">
        <f t="shared" si="192"/>
        <v>0</v>
      </c>
      <c r="W461" s="1">
        <f t="shared" si="193"/>
        <v>0</v>
      </c>
      <c r="X461" s="1">
        <f t="shared" si="194"/>
        <v>0</v>
      </c>
      <c r="Y461" s="1">
        <f t="shared" si="195"/>
        <v>0</v>
      </c>
      <c r="Z461" s="1">
        <f t="shared" si="196"/>
        <v>0</v>
      </c>
      <c r="AA461" s="1">
        <f t="shared" si="197"/>
        <v>0</v>
      </c>
      <c r="AB461" s="1">
        <f t="shared" si="198"/>
        <v>0</v>
      </c>
      <c r="AD461" s="1">
        <f t="shared" ref="AD461" si="225">+O461*P461</f>
        <v>0</v>
      </c>
      <c r="AE461" s="1">
        <f t="shared" ref="AE461" si="226">O461*(1-P461)</f>
        <v>1</v>
      </c>
      <c r="AF461" s="1">
        <f t="shared" si="221"/>
        <v>0</v>
      </c>
      <c r="AG461" s="1">
        <f t="shared" si="222"/>
        <v>1</v>
      </c>
      <c r="AH461" s="1">
        <f t="shared" si="223"/>
        <v>0</v>
      </c>
      <c r="AI461" s="1">
        <f t="shared" si="224"/>
        <v>1</v>
      </c>
    </row>
    <row r="462" spans="1:35" ht="14.25" customHeight="1" x14ac:dyDescent="0.25">
      <c r="A462" s="34">
        <v>1</v>
      </c>
      <c r="B462" s="34">
        <v>2</v>
      </c>
      <c r="C462" s="34">
        <v>7</v>
      </c>
      <c r="D462" s="35" t="s">
        <v>589</v>
      </c>
      <c r="E462" s="35" t="s">
        <v>1337</v>
      </c>
      <c r="F462" s="35" t="s">
        <v>239</v>
      </c>
      <c r="G462" s="35" t="s">
        <v>178</v>
      </c>
      <c r="H462" s="35" t="s">
        <v>354</v>
      </c>
      <c r="I462" s="34" t="s">
        <v>404</v>
      </c>
      <c r="J462" s="34">
        <v>1</v>
      </c>
      <c r="K462" s="36" t="s">
        <v>713</v>
      </c>
      <c r="L462" s="36" t="s">
        <v>1711</v>
      </c>
      <c r="M462" s="37" t="s">
        <v>1439</v>
      </c>
      <c r="N462" s="37" t="s">
        <v>1748</v>
      </c>
      <c r="O462" s="38">
        <v>1</v>
      </c>
      <c r="P462" s="38"/>
      <c r="Q462" s="39" t="s">
        <v>1911</v>
      </c>
      <c r="S462" s="1">
        <f t="shared" si="189"/>
        <v>1</v>
      </c>
      <c r="T462" s="1">
        <f t="shared" si="190"/>
        <v>0</v>
      </c>
      <c r="U462" s="1">
        <f t="shared" si="191"/>
        <v>0</v>
      </c>
      <c r="V462" s="1">
        <f t="shared" si="192"/>
        <v>0</v>
      </c>
      <c r="W462" s="1">
        <f t="shared" si="193"/>
        <v>0</v>
      </c>
      <c r="X462" s="1">
        <f t="shared" si="194"/>
        <v>0</v>
      </c>
      <c r="Y462" s="1">
        <f t="shared" si="195"/>
        <v>0</v>
      </c>
      <c r="Z462" s="1">
        <f t="shared" si="196"/>
        <v>0</v>
      </c>
      <c r="AA462" s="1">
        <f t="shared" si="197"/>
        <v>0</v>
      </c>
      <c r="AB462" s="1">
        <f t="shared" si="198"/>
        <v>0</v>
      </c>
      <c r="AD462" s="1">
        <f t="shared" si="199"/>
        <v>0</v>
      </c>
      <c r="AE462" s="1">
        <f t="shared" si="200"/>
        <v>1</v>
      </c>
      <c r="AF462" s="1">
        <f t="shared" si="221"/>
        <v>0</v>
      </c>
      <c r="AG462" s="1">
        <f t="shared" si="222"/>
        <v>0</v>
      </c>
      <c r="AH462" s="1">
        <f t="shared" si="223"/>
        <v>0</v>
      </c>
      <c r="AI462" s="1">
        <f t="shared" si="224"/>
        <v>0</v>
      </c>
    </row>
    <row r="463" spans="1:35" ht="14.25" customHeight="1" x14ac:dyDescent="0.25">
      <c r="A463" s="34">
        <v>0</v>
      </c>
      <c r="B463" s="34">
        <v>2</v>
      </c>
      <c r="C463" s="34">
        <v>7</v>
      </c>
      <c r="D463" s="35" t="s">
        <v>1330</v>
      </c>
      <c r="E463" s="35" t="s">
        <v>156</v>
      </c>
      <c r="F463" s="35" t="s">
        <v>1356</v>
      </c>
      <c r="G463" s="35" t="s">
        <v>258</v>
      </c>
      <c r="H463" s="35" t="s">
        <v>354</v>
      </c>
      <c r="I463" s="34" t="s">
        <v>1239</v>
      </c>
      <c r="J463" s="34">
        <v>8</v>
      </c>
      <c r="K463" s="36" t="s">
        <v>955</v>
      </c>
      <c r="L463" s="36" t="s">
        <v>722</v>
      </c>
      <c r="M463" s="37" t="s">
        <v>732</v>
      </c>
      <c r="N463" s="37" t="s">
        <v>1748</v>
      </c>
      <c r="O463" s="38">
        <v>1</v>
      </c>
      <c r="P463" s="38"/>
      <c r="Q463" s="35"/>
      <c r="S463" s="1">
        <f t="shared" si="189"/>
        <v>0</v>
      </c>
      <c r="T463" s="1">
        <f t="shared" si="190"/>
        <v>0</v>
      </c>
      <c r="U463" s="1">
        <f t="shared" si="191"/>
        <v>0</v>
      </c>
      <c r="V463" s="1">
        <f t="shared" si="192"/>
        <v>0</v>
      </c>
      <c r="W463" s="1">
        <f t="shared" si="193"/>
        <v>0</v>
      </c>
      <c r="X463" s="1">
        <f t="shared" si="194"/>
        <v>0</v>
      </c>
      <c r="Y463" s="1">
        <f t="shared" si="195"/>
        <v>0</v>
      </c>
      <c r="Z463" s="1">
        <f t="shared" si="196"/>
        <v>1</v>
      </c>
      <c r="AA463" s="1">
        <f t="shared" si="197"/>
        <v>0</v>
      </c>
      <c r="AB463" s="1">
        <f t="shared" si="198"/>
        <v>0</v>
      </c>
      <c r="AD463" s="1">
        <f t="shared" si="199"/>
        <v>0</v>
      </c>
      <c r="AE463" s="1">
        <f t="shared" si="200"/>
        <v>1</v>
      </c>
      <c r="AF463" s="1">
        <f t="shared" si="221"/>
        <v>0</v>
      </c>
      <c r="AG463" s="1">
        <f t="shared" si="222"/>
        <v>1</v>
      </c>
      <c r="AH463" s="1">
        <f t="shared" si="223"/>
        <v>0</v>
      </c>
      <c r="AI463" s="1">
        <f t="shared" si="224"/>
        <v>1</v>
      </c>
    </row>
    <row r="464" spans="1:35" ht="14.25" customHeight="1" x14ac:dyDescent="0.25">
      <c r="A464" s="34">
        <v>1</v>
      </c>
      <c r="B464" s="34">
        <v>2</v>
      </c>
      <c r="C464" s="34">
        <v>7</v>
      </c>
      <c r="D464" s="35" t="s">
        <v>1330</v>
      </c>
      <c r="E464" s="35" t="s">
        <v>156</v>
      </c>
      <c r="F464" s="35" t="s">
        <v>1218</v>
      </c>
      <c r="G464" s="35" t="s">
        <v>218</v>
      </c>
      <c r="H464" s="35" t="s">
        <v>354</v>
      </c>
      <c r="I464" s="34" t="s">
        <v>1239</v>
      </c>
      <c r="J464" s="34">
        <v>99</v>
      </c>
      <c r="K464" s="36" t="s">
        <v>955</v>
      </c>
      <c r="L464" s="36" t="s">
        <v>722</v>
      </c>
      <c r="M464" s="37" t="s">
        <v>732</v>
      </c>
      <c r="N464" s="37" t="s">
        <v>1748</v>
      </c>
      <c r="O464" s="38">
        <v>1</v>
      </c>
      <c r="P464" s="38"/>
      <c r="Q464" s="35"/>
      <c r="S464" s="1">
        <f t="shared" si="189"/>
        <v>0</v>
      </c>
      <c r="T464" s="1">
        <f t="shared" si="190"/>
        <v>0</v>
      </c>
      <c r="U464" s="1">
        <f t="shared" si="191"/>
        <v>0</v>
      </c>
      <c r="V464" s="1">
        <f t="shared" si="192"/>
        <v>0</v>
      </c>
      <c r="W464" s="1">
        <f t="shared" si="193"/>
        <v>0</v>
      </c>
      <c r="X464" s="1">
        <f t="shared" si="194"/>
        <v>0</v>
      </c>
      <c r="Y464" s="1">
        <f t="shared" si="195"/>
        <v>0</v>
      </c>
      <c r="Z464" s="1">
        <f t="shared" si="196"/>
        <v>0</v>
      </c>
      <c r="AA464" s="1">
        <f t="shared" si="197"/>
        <v>0</v>
      </c>
      <c r="AB464" s="1">
        <f t="shared" si="198"/>
        <v>0</v>
      </c>
      <c r="AD464" s="1">
        <f t="shared" si="199"/>
        <v>0</v>
      </c>
      <c r="AE464" s="1">
        <f t="shared" si="200"/>
        <v>1</v>
      </c>
      <c r="AF464" s="1">
        <f t="shared" si="221"/>
        <v>0</v>
      </c>
      <c r="AG464" s="1">
        <f t="shared" si="222"/>
        <v>0</v>
      </c>
      <c r="AH464" s="1">
        <f t="shared" si="223"/>
        <v>0</v>
      </c>
      <c r="AI464" s="1">
        <f t="shared" si="224"/>
        <v>0</v>
      </c>
    </row>
    <row r="465" spans="1:35" ht="14.25" customHeight="1" x14ac:dyDescent="0.25">
      <c r="A465" s="47">
        <v>0</v>
      </c>
      <c r="B465" s="47">
        <v>2</v>
      </c>
      <c r="C465" s="47">
        <v>7</v>
      </c>
      <c r="D465" s="48" t="s">
        <v>1248</v>
      </c>
      <c r="E465" s="48" t="s">
        <v>156</v>
      </c>
      <c r="F465" s="48" t="s">
        <v>1250</v>
      </c>
      <c r="G465" s="48" t="s">
        <v>220</v>
      </c>
      <c r="H465" s="48" t="s">
        <v>354</v>
      </c>
      <c r="I465" s="47" t="s">
        <v>1370</v>
      </c>
      <c r="J465" s="47">
        <v>8</v>
      </c>
      <c r="K465" s="49" t="s">
        <v>954</v>
      </c>
      <c r="L465" s="49" t="s">
        <v>722</v>
      </c>
      <c r="M465" s="50" t="s">
        <v>732</v>
      </c>
      <c r="N465" s="50" t="s">
        <v>1735</v>
      </c>
      <c r="O465" s="51"/>
      <c r="P465" s="51"/>
      <c r="Q465" s="48"/>
      <c r="S465" s="1">
        <f t="shared" si="189"/>
        <v>0</v>
      </c>
      <c r="T465" s="1">
        <f t="shared" si="190"/>
        <v>0</v>
      </c>
      <c r="U465" s="1">
        <f t="shared" si="191"/>
        <v>0</v>
      </c>
      <c r="V465" s="1">
        <f t="shared" si="192"/>
        <v>0</v>
      </c>
      <c r="W465" s="1">
        <f t="shared" si="193"/>
        <v>0</v>
      </c>
      <c r="X465" s="1">
        <f t="shared" si="194"/>
        <v>0</v>
      </c>
      <c r="Y465" s="1">
        <f t="shared" si="195"/>
        <v>0</v>
      </c>
      <c r="Z465" s="1">
        <f t="shared" si="196"/>
        <v>1</v>
      </c>
      <c r="AA465" s="1">
        <f t="shared" si="197"/>
        <v>0</v>
      </c>
      <c r="AB465" s="1">
        <f t="shared" si="198"/>
        <v>0</v>
      </c>
      <c r="AD465" s="1">
        <f t="shared" si="199"/>
        <v>0</v>
      </c>
      <c r="AE465" s="1">
        <f t="shared" si="200"/>
        <v>0</v>
      </c>
      <c r="AF465" s="1">
        <f t="shared" si="221"/>
        <v>0</v>
      </c>
      <c r="AG465" s="1">
        <f t="shared" si="222"/>
        <v>0</v>
      </c>
      <c r="AH465" s="1">
        <f t="shared" si="223"/>
        <v>0</v>
      </c>
      <c r="AI465" s="1">
        <f t="shared" si="224"/>
        <v>1</v>
      </c>
    </row>
    <row r="466" spans="1:35" ht="14.25" customHeight="1" x14ac:dyDescent="0.25">
      <c r="A466" s="47">
        <v>1</v>
      </c>
      <c r="B466" s="47">
        <v>2</v>
      </c>
      <c r="C466" s="47">
        <v>7</v>
      </c>
      <c r="D466" s="48" t="s">
        <v>1248</v>
      </c>
      <c r="E466" s="48" t="s">
        <v>156</v>
      </c>
      <c r="F466" s="48" t="s">
        <v>1357</v>
      </c>
      <c r="G466" s="48" t="s">
        <v>39</v>
      </c>
      <c r="H466" s="48" t="s">
        <v>355</v>
      </c>
      <c r="I466" s="47" t="s">
        <v>1249</v>
      </c>
      <c r="J466" s="47">
        <v>99</v>
      </c>
      <c r="K466" s="49" t="s">
        <v>954</v>
      </c>
      <c r="L466" s="49" t="s">
        <v>722</v>
      </c>
      <c r="M466" s="50" t="s">
        <v>732</v>
      </c>
      <c r="N466" s="50" t="s">
        <v>1735</v>
      </c>
      <c r="O466" s="51"/>
      <c r="P466" s="51"/>
      <c r="Q466" s="68" t="s">
        <v>1904</v>
      </c>
      <c r="S466" s="1">
        <f t="shared" ref="S466:S476" si="227">IF(J466=$S$7,1,0)</f>
        <v>0</v>
      </c>
      <c r="T466" s="1">
        <f t="shared" ref="T466:T476" si="228">IF(J466=$T$7,1,0)</f>
        <v>0</v>
      </c>
      <c r="U466" s="1">
        <f t="shared" ref="U466:U476" si="229">IF(J466=$U$7,1,0)</f>
        <v>0</v>
      </c>
      <c r="V466" s="1">
        <f t="shared" ref="V466:V476" si="230">IF(J466=$V$7,1,0)</f>
        <v>0</v>
      </c>
      <c r="W466" s="1">
        <f t="shared" ref="W466:W476" si="231">IF(J466=$W$7,1,0)</f>
        <v>0</v>
      </c>
      <c r="X466" s="1">
        <f t="shared" ref="X466:X476" si="232">IF(J466=$X$7,1,0)</f>
        <v>0</v>
      </c>
      <c r="Y466" s="1">
        <f t="shared" ref="Y466:Y476" si="233">IF(J466=$Y$7,1,0)</f>
        <v>0</v>
      </c>
      <c r="Z466" s="1">
        <f t="shared" ref="Z466:Z476" si="234">IF(J466=$Z$7,1,0)</f>
        <v>0</v>
      </c>
      <c r="AA466" s="1">
        <f t="shared" ref="AA466:AA476" si="235">IF(J466=$AA$7,1,0)</f>
        <v>0</v>
      </c>
      <c r="AB466" s="1">
        <f t="shared" ref="AB466:AB476" si="236">IF(J466=$AB$7,1,0)</f>
        <v>0</v>
      </c>
      <c r="AD466" s="1">
        <f>+O466*P466</f>
        <v>0</v>
      </c>
      <c r="AE466" s="1">
        <f>O466*(1-P466)</f>
        <v>0</v>
      </c>
      <c r="AF466" s="1">
        <f t="shared" si="221"/>
        <v>0</v>
      </c>
      <c r="AG466" s="1">
        <f t="shared" si="222"/>
        <v>0</v>
      </c>
      <c r="AH466" s="1">
        <f t="shared" si="223"/>
        <v>0</v>
      </c>
      <c r="AI466" s="1">
        <f t="shared" si="224"/>
        <v>0</v>
      </c>
    </row>
    <row r="467" spans="1:35" ht="14.25" customHeight="1" x14ac:dyDescent="0.25">
      <c r="A467" s="47">
        <v>1</v>
      </c>
      <c r="B467" s="47">
        <v>2</v>
      </c>
      <c r="C467" s="47">
        <v>7</v>
      </c>
      <c r="D467" s="48" t="s">
        <v>1248</v>
      </c>
      <c r="E467" s="48" t="s">
        <v>156</v>
      </c>
      <c r="F467" s="48" t="s">
        <v>1523</v>
      </c>
      <c r="G467" s="48" t="s">
        <v>235</v>
      </c>
      <c r="H467" s="48" t="s">
        <v>354</v>
      </c>
      <c r="I467" s="47" t="s">
        <v>1691</v>
      </c>
      <c r="J467" s="47">
        <v>99</v>
      </c>
      <c r="K467" s="49" t="s">
        <v>954</v>
      </c>
      <c r="L467" s="49" t="s">
        <v>722</v>
      </c>
      <c r="M467" s="50" t="s">
        <v>732</v>
      </c>
      <c r="N467" s="50" t="s">
        <v>1735</v>
      </c>
      <c r="O467" s="51"/>
      <c r="P467" s="51"/>
      <c r="Q467" s="48"/>
      <c r="S467" s="1">
        <f t="shared" si="227"/>
        <v>0</v>
      </c>
      <c r="T467" s="1">
        <f t="shared" si="228"/>
        <v>0</v>
      </c>
      <c r="U467" s="1">
        <f t="shared" si="229"/>
        <v>0</v>
      </c>
      <c r="V467" s="1">
        <f t="shared" si="230"/>
        <v>0</v>
      </c>
      <c r="W467" s="1">
        <f t="shared" si="231"/>
        <v>0</v>
      </c>
      <c r="X467" s="1">
        <f t="shared" si="232"/>
        <v>0</v>
      </c>
      <c r="Y467" s="1">
        <f t="shared" si="233"/>
        <v>0</v>
      </c>
      <c r="Z467" s="1">
        <f t="shared" si="234"/>
        <v>0</v>
      </c>
      <c r="AA467" s="1">
        <f t="shared" si="235"/>
        <v>0</v>
      </c>
      <c r="AB467" s="1">
        <f t="shared" si="236"/>
        <v>0</v>
      </c>
      <c r="AD467" s="1">
        <f>+O467*P467</f>
        <v>0</v>
      </c>
      <c r="AE467" s="1">
        <f>O467*(1-P467)</f>
        <v>0</v>
      </c>
      <c r="AF467" s="1">
        <f t="shared" si="221"/>
        <v>0</v>
      </c>
      <c r="AG467" s="1">
        <f t="shared" si="222"/>
        <v>0</v>
      </c>
      <c r="AH467" s="1">
        <f t="shared" si="223"/>
        <v>0</v>
      </c>
      <c r="AI467" s="1">
        <f t="shared" si="224"/>
        <v>0</v>
      </c>
    </row>
    <row r="468" spans="1:35" ht="14.25" customHeight="1" x14ac:dyDescent="0.25">
      <c r="A468" s="34">
        <v>0</v>
      </c>
      <c r="B468" s="34">
        <v>2</v>
      </c>
      <c r="C468" s="34">
        <v>7</v>
      </c>
      <c r="D468" s="35" t="s">
        <v>1850</v>
      </c>
      <c r="E468" s="35" t="s">
        <v>1851</v>
      </c>
      <c r="F468" s="35" t="s">
        <v>1852</v>
      </c>
      <c r="G468" s="35" t="s">
        <v>265</v>
      </c>
      <c r="H468" s="35" t="s">
        <v>354</v>
      </c>
      <c r="I468" s="34" t="s">
        <v>1853</v>
      </c>
      <c r="J468" s="34">
        <v>99</v>
      </c>
      <c r="K468" s="36" t="s">
        <v>703</v>
      </c>
      <c r="L468" s="36"/>
      <c r="M468" s="37"/>
      <c r="N468" s="37" t="s">
        <v>1727</v>
      </c>
      <c r="O468" s="38">
        <v>1</v>
      </c>
      <c r="P468" s="38">
        <v>1</v>
      </c>
      <c r="Q468" s="35"/>
      <c r="S468" s="1">
        <f t="shared" si="227"/>
        <v>0</v>
      </c>
      <c r="T468" s="1">
        <f t="shared" si="228"/>
        <v>0</v>
      </c>
      <c r="U468" s="1">
        <f t="shared" si="229"/>
        <v>0</v>
      </c>
      <c r="V468" s="1">
        <f t="shared" si="230"/>
        <v>0</v>
      </c>
      <c r="W468" s="1">
        <f t="shared" si="231"/>
        <v>0</v>
      </c>
      <c r="X468" s="1">
        <f t="shared" si="232"/>
        <v>0</v>
      </c>
      <c r="Y468" s="1">
        <f t="shared" si="233"/>
        <v>0</v>
      </c>
      <c r="Z468" s="1">
        <f t="shared" si="234"/>
        <v>0</v>
      </c>
      <c r="AA468" s="1">
        <f t="shared" si="235"/>
        <v>0</v>
      </c>
      <c r="AB468" s="1">
        <f t="shared" si="236"/>
        <v>0</v>
      </c>
      <c r="AD468" s="1">
        <f>+O468*P468</f>
        <v>1</v>
      </c>
      <c r="AE468" s="1">
        <f>O468*(1-P468)</f>
        <v>0</v>
      </c>
      <c r="AF468" s="1">
        <f t="shared" si="221"/>
        <v>1</v>
      </c>
      <c r="AG468" s="1">
        <f t="shared" si="222"/>
        <v>0</v>
      </c>
      <c r="AH468" s="1">
        <f t="shared" si="223"/>
        <v>1</v>
      </c>
      <c r="AI468" s="1">
        <f t="shared" si="224"/>
        <v>0</v>
      </c>
    </row>
    <row r="469" spans="1:35" ht="14.25" customHeight="1" x14ac:dyDescent="0.25">
      <c r="A469" s="47">
        <v>0</v>
      </c>
      <c r="B469" s="47">
        <v>2</v>
      </c>
      <c r="C469" s="47">
        <v>7</v>
      </c>
      <c r="D469" s="48" t="s">
        <v>1243</v>
      </c>
      <c r="E469" s="48" t="s">
        <v>28</v>
      </c>
      <c r="F469" s="48" t="s">
        <v>1236</v>
      </c>
      <c r="G469" s="48" t="s">
        <v>1237</v>
      </c>
      <c r="H469" s="48" t="s">
        <v>354</v>
      </c>
      <c r="I469" s="47" t="s">
        <v>1238</v>
      </c>
      <c r="J469" s="47">
        <v>99</v>
      </c>
      <c r="K469" s="49" t="s">
        <v>712</v>
      </c>
      <c r="L469" s="49" t="s">
        <v>713</v>
      </c>
      <c r="M469" s="50" t="s">
        <v>731</v>
      </c>
      <c r="N469" s="50" t="s">
        <v>1735</v>
      </c>
      <c r="O469" s="51"/>
      <c r="P469" s="51"/>
      <c r="Q469" s="48"/>
      <c r="S469" s="1">
        <f t="shared" si="227"/>
        <v>0</v>
      </c>
      <c r="T469" s="1">
        <f t="shared" si="228"/>
        <v>0</v>
      </c>
      <c r="U469" s="1">
        <f t="shared" si="229"/>
        <v>0</v>
      </c>
      <c r="V469" s="1">
        <f t="shared" si="230"/>
        <v>0</v>
      </c>
      <c r="W469" s="1">
        <f t="shared" si="231"/>
        <v>0</v>
      </c>
      <c r="X469" s="1">
        <f t="shared" si="232"/>
        <v>0</v>
      </c>
      <c r="Y469" s="1">
        <f t="shared" si="233"/>
        <v>0</v>
      </c>
      <c r="Z469" s="1">
        <f t="shared" si="234"/>
        <v>0</v>
      </c>
      <c r="AA469" s="1">
        <f t="shared" si="235"/>
        <v>0</v>
      </c>
      <c r="AB469" s="1">
        <f t="shared" si="236"/>
        <v>0</v>
      </c>
      <c r="AD469" s="1">
        <f t="shared" ref="AD469:AD476" si="237">+O469*P469</f>
        <v>0</v>
      </c>
      <c r="AE469" s="1">
        <f t="shared" ref="AE469:AE476" si="238">O469*(1-P469)</f>
        <v>0</v>
      </c>
      <c r="AF469" s="1">
        <f t="shared" si="221"/>
        <v>0</v>
      </c>
      <c r="AG469" s="1">
        <f t="shared" si="222"/>
        <v>0</v>
      </c>
      <c r="AH469" s="1">
        <f t="shared" si="223"/>
        <v>0</v>
      </c>
      <c r="AI469" s="1">
        <f t="shared" si="224"/>
        <v>1</v>
      </c>
    </row>
    <row r="470" spans="1:35" ht="14.25" customHeight="1" x14ac:dyDescent="0.25">
      <c r="A470" s="47">
        <v>1</v>
      </c>
      <c r="B470" s="47">
        <v>2</v>
      </c>
      <c r="C470" s="47">
        <v>7</v>
      </c>
      <c r="D470" s="48" t="s">
        <v>1240</v>
      </c>
      <c r="E470" s="48" t="s">
        <v>28</v>
      </c>
      <c r="F470" s="48" t="s">
        <v>1241</v>
      </c>
      <c r="G470" s="48" t="s">
        <v>523</v>
      </c>
      <c r="H470" s="48" t="s">
        <v>354</v>
      </c>
      <c r="I470" s="47" t="s">
        <v>1242</v>
      </c>
      <c r="J470" s="47">
        <v>99</v>
      </c>
      <c r="K470" s="49" t="s">
        <v>712</v>
      </c>
      <c r="L470" s="49" t="s">
        <v>713</v>
      </c>
      <c r="M470" s="50" t="s">
        <v>731</v>
      </c>
      <c r="N470" s="50" t="s">
        <v>1735</v>
      </c>
      <c r="O470" s="51"/>
      <c r="P470" s="51"/>
      <c r="Q470" s="48"/>
      <c r="S470" s="1">
        <f t="shared" si="227"/>
        <v>0</v>
      </c>
      <c r="T470" s="1">
        <f t="shared" si="228"/>
        <v>0</v>
      </c>
      <c r="U470" s="1">
        <f t="shared" si="229"/>
        <v>0</v>
      </c>
      <c r="V470" s="1">
        <f t="shared" si="230"/>
        <v>0</v>
      </c>
      <c r="W470" s="1">
        <f t="shared" si="231"/>
        <v>0</v>
      </c>
      <c r="X470" s="1">
        <f t="shared" si="232"/>
        <v>0</v>
      </c>
      <c r="Y470" s="1">
        <f t="shared" si="233"/>
        <v>0</v>
      </c>
      <c r="Z470" s="1">
        <f t="shared" si="234"/>
        <v>0</v>
      </c>
      <c r="AA470" s="1">
        <f t="shared" si="235"/>
        <v>0</v>
      </c>
      <c r="AB470" s="1">
        <f t="shared" si="236"/>
        <v>0</v>
      </c>
      <c r="AD470" s="1">
        <f t="shared" si="237"/>
        <v>0</v>
      </c>
      <c r="AE470" s="1">
        <f t="shared" si="238"/>
        <v>0</v>
      </c>
      <c r="AF470" s="1">
        <f t="shared" si="221"/>
        <v>0</v>
      </c>
      <c r="AG470" s="1">
        <f t="shared" si="222"/>
        <v>0</v>
      </c>
      <c r="AH470" s="1">
        <f t="shared" si="223"/>
        <v>0</v>
      </c>
      <c r="AI470" s="1">
        <f t="shared" si="224"/>
        <v>0</v>
      </c>
    </row>
    <row r="471" spans="1:35" ht="14.25" customHeight="1" x14ac:dyDescent="0.25">
      <c r="A471" s="34">
        <v>0</v>
      </c>
      <c r="B471" s="34">
        <v>2</v>
      </c>
      <c r="C471" s="34">
        <v>7</v>
      </c>
      <c r="D471" s="35" t="s">
        <v>1846</v>
      </c>
      <c r="E471" s="35" t="s">
        <v>1168</v>
      </c>
      <c r="F471" s="35" t="s">
        <v>1847</v>
      </c>
      <c r="G471" s="35"/>
      <c r="H471" s="35" t="s">
        <v>354</v>
      </c>
      <c r="I471" s="34" t="s">
        <v>1848</v>
      </c>
      <c r="J471" s="34">
        <v>6</v>
      </c>
      <c r="K471" s="36" t="s">
        <v>703</v>
      </c>
      <c r="L471" s="36"/>
      <c r="M471" s="37"/>
      <c r="N471" s="37" t="s">
        <v>1748</v>
      </c>
      <c r="O471" s="38">
        <v>1</v>
      </c>
      <c r="P471" s="38"/>
      <c r="Q471" s="35"/>
      <c r="S471" s="1">
        <f t="shared" si="227"/>
        <v>0</v>
      </c>
      <c r="T471" s="1">
        <f t="shared" si="228"/>
        <v>0</v>
      </c>
      <c r="U471" s="1">
        <f t="shared" si="229"/>
        <v>0</v>
      </c>
      <c r="V471" s="1">
        <f t="shared" si="230"/>
        <v>0</v>
      </c>
      <c r="W471" s="1">
        <f t="shared" si="231"/>
        <v>0</v>
      </c>
      <c r="X471" s="1">
        <f t="shared" si="232"/>
        <v>1</v>
      </c>
      <c r="Y471" s="1">
        <f t="shared" si="233"/>
        <v>0</v>
      </c>
      <c r="Z471" s="1">
        <f t="shared" si="234"/>
        <v>0</v>
      </c>
      <c r="AA471" s="1">
        <f t="shared" si="235"/>
        <v>0</v>
      </c>
      <c r="AB471" s="1">
        <f t="shared" si="236"/>
        <v>0</v>
      </c>
      <c r="AD471" s="1">
        <f t="shared" si="237"/>
        <v>0</v>
      </c>
      <c r="AE471" s="1">
        <f t="shared" si="238"/>
        <v>1</v>
      </c>
      <c r="AF471" s="1">
        <f t="shared" si="221"/>
        <v>0</v>
      </c>
      <c r="AG471" s="1">
        <f t="shared" si="222"/>
        <v>1</v>
      </c>
      <c r="AH471" s="1">
        <f t="shared" si="223"/>
        <v>0</v>
      </c>
      <c r="AI471" s="1">
        <f t="shared" si="224"/>
        <v>1</v>
      </c>
    </row>
    <row r="472" spans="1:35" ht="14.25" customHeight="1" x14ac:dyDescent="0.25">
      <c r="A472" s="47">
        <v>0</v>
      </c>
      <c r="B472" s="47">
        <v>2</v>
      </c>
      <c r="C472" s="47">
        <v>7</v>
      </c>
      <c r="D472" s="48" t="s">
        <v>1458</v>
      </c>
      <c r="E472" s="48" t="s">
        <v>28</v>
      </c>
      <c r="F472" s="48" t="s">
        <v>1459</v>
      </c>
      <c r="G472" s="48" t="s">
        <v>1460</v>
      </c>
      <c r="H472" s="48" t="s">
        <v>354</v>
      </c>
      <c r="I472" s="47" t="s">
        <v>1461</v>
      </c>
      <c r="J472" s="47">
        <v>99</v>
      </c>
      <c r="K472" s="49" t="s">
        <v>712</v>
      </c>
      <c r="L472" s="49" t="s">
        <v>713</v>
      </c>
      <c r="M472" s="50" t="s">
        <v>731</v>
      </c>
      <c r="N472" s="50" t="s">
        <v>1735</v>
      </c>
      <c r="O472" s="51"/>
      <c r="P472" s="51"/>
      <c r="Q472" s="48" t="s">
        <v>1931</v>
      </c>
      <c r="S472" s="1">
        <f t="shared" si="227"/>
        <v>0</v>
      </c>
      <c r="T472" s="1">
        <f t="shared" si="228"/>
        <v>0</v>
      </c>
      <c r="U472" s="1">
        <f t="shared" si="229"/>
        <v>0</v>
      </c>
      <c r="V472" s="1">
        <f t="shared" si="230"/>
        <v>0</v>
      </c>
      <c r="W472" s="1">
        <f t="shared" si="231"/>
        <v>0</v>
      </c>
      <c r="X472" s="1">
        <f t="shared" si="232"/>
        <v>0</v>
      </c>
      <c r="Y472" s="1">
        <f t="shared" si="233"/>
        <v>0</v>
      </c>
      <c r="Z472" s="1">
        <f t="shared" si="234"/>
        <v>0</v>
      </c>
      <c r="AA472" s="1">
        <f t="shared" si="235"/>
        <v>0</v>
      </c>
      <c r="AB472" s="1">
        <f t="shared" si="236"/>
        <v>0</v>
      </c>
      <c r="AD472" s="1">
        <f t="shared" si="237"/>
        <v>0</v>
      </c>
      <c r="AE472" s="1">
        <f t="shared" si="238"/>
        <v>0</v>
      </c>
      <c r="AF472" s="1">
        <f t="shared" si="221"/>
        <v>0</v>
      </c>
      <c r="AG472" s="1">
        <f t="shared" si="222"/>
        <v>0</v>
      </c>
      <c r="AH472" s="1">
        <f t="shared" si="223"/>
        <v>0</v>
      </c>
      <c r="AI472" s="1">
        <f t="shared" si="224"/>
        <v>1</v>
      </c>
    </row>
    <row r="473" spans="1:35" ht="14.25" customHeight="1" x14ac:dyDescent="0.25">
      <c r="A473" s="34">
        <v>0</v>
      </c>
      <c r="B473" s="34">
        <v>2</v>
      </c>
      <c r="C473" s="34">
        <v>7</v>
      </c>
      <c r="D473" s="35" t="s">
        <v>43</v>
      </c>
      <c r="E473" s="35" t="s">
        <v>541</v>
      </c>
      <c r="F473" s="35" t="s">
        <v>575</v>
      </c>
      <c r="G473" s="35" t="s">
        <v>235</v>
      </c>
      <c r="H473" s="35" t="s">
        <v>354</v>
      </c>
      <c r="I473" s="34" t="s">
        <v>582</v>
      </c>
      <c r="J473" s="34">
        <v>99</v>
      </c>
      <c r="K473" s="36" t="s">
        <v>712</v>
      </c>
      <c r="L473" s="36" t="s">
        <v>729</v>
      </c>
      <c r="M473" s="37" t="s">
        <v>1440</v>
      </c>
      <c r="N473" s="37" t="s">
        <v>1748</v>
      </c>
      <c r="O473" s="38">
        <v>1</v>
      </c>
      <c r="P473" s="38"/>
      <c r="Q473" s="35"/>
      <c r="S473" s="1">
        <f t="shared" si="227"/>
        <v>0</v>
      </c>
      <c r="T473" s="1">
        <f t="shared" si="228"/>
        <v>0</v>
      </c>
      <c r="U473" s="1">
        <f t="shared" si="229"/>
        <v>0</v>
      </c>
      <c r="V473" s="1">
        <f t="shared" si="230"/>
        <v>0</v>
      </c>
      <c r="W473" s="1">
        <f t="shared" si="231"/>
        <v>0</v>
      </c>
      <c r="X473" s="1">
        <f t="shared" si="232"/>
        <v>0</v>
      </c>
      <c r="Y473" s="1">
        <f t="shared" si="233"/>
        <v>0</v>
      </c>
      <c r="Z473" s="1">
        <f t="shared" si="234"/>
        <v>0</v>
      </c>
      <c r="AA473" s="1">
        <f t="shared" si="235"/>
        <v>0</v>
      </c>
      <c r="AB473" s="1">
        <f t="shared" si="236"/>
        <v>0</v>
      </c>
      <c r="AD473" s="1">
        <f t="shared" si="237"/>
        <v>0</v>
      </c>
      <c r="AE473" s="1">
        <f t="shared" si="238"/>
        <v>1</v>
      </c>
      <c r="AF473" s="1">
        <f t="shared" si="221"/>
        <v>0</v>
      </c>
      <c r="AG473" s="1">
        <f t="shared" si="222"/>
        <v>1</v>
      </c>
      <c r="AH473" s="1">
        <f t="shared" si="223"/>
        <v>0</v>
      </c>
      <c r="AI473" s="1">
        <f t="shared" si="224"/>
        <v>1</v>
      </c>
    </row>
    <row r="474" spans="1:35" ht="14.25" customHeight="1" x14ac:dyDescent="0.25">
      <c r="A474" s="34">
        <v>1</v>
      </c>
      <c r="B474" s="34">
        <v>2</v>
      </c>
      <c r="C474" s="34">
        <v>7</v>
      </c>
      <c r="D474" s="35" t="s">
        <v>43</v>
      </c>
      <c r="E474" s="35" t="s">
        <v>541</v>
      </c>
      <c r="F474" s="35" t="s">
        <v>271</v>
      </c>
      <c r="G474" s="35" t="s">
        <v>180</v>
      </c>
      <c r="H474" s="35" t="s">
        <v>354</v>
      </c>
      <c r="I474" s="34" t="s">
        <v>426</v>
      </c>
      <c r="J474" s="34">
        <v>10</v>
      </c>
      <c r="K474" s="36" t="s">
        <v>712</v>
      </c>
      <c r="L474" s="36" t="s">
        <v>729</v>
      </c>
      <c r="M474" s="37" t="s">
        <v>1440</v>
      </c>
      <c r="N474" s="37" t="s">
        <v>1748</v>
      </c>
      <c r="O474" s="38">
        <v>1</v>
      </c>
      <c r="P474" s="38"/>
      <c r="Q474" s="35"/>
      <c r="S474" s="1">
        <f t="shared" si="227"/>
        <v>0</v>
      </c>
      <c r="T474" s="1">
        <f t="shared" si="228"/>
        <v>0</v>
      </c>
      <c r="U474" s="1">
        <f t="shared" si="229"/>
        <v>0</v>
      </c>
      <c r="V474" s="1">
        <f t="shared" si="230"/>
        <v>0</v>
      </c>
      <c r="W474" s="1">
        <f t="shared" si="231"/>
        <v>0</v>
      </c>
      <c r="X474" s="1">
        <f t="shared" si="232"/>
        <v>0</v>
      </c>
      <c r="Y474" s="1">
        <f t="shared" si="233"/>
        <v>0</v>
      </c>
      <c r="Z474" s="1">
        <f t="shared" si="234"/>
        <v>0</v>
      </c>
      <c r="AA474" s="1">
        <f t="shared" si="235"/>
        <v>0</v>
      </c>
      <c r="AB474" s="1">
        <f t="shared" si="236"/>
        <v>1</v>
      </c>
      <c r="AD474" s="1">
        <f t="shared" si="237"/>
        <v>0</v>
      </c>
      <c r="AE474" s="1">
        <f t="shared" si="238"/>
        <v>1</v>
      </c>
      <c r="AF474" s="1">
        <f t="shared" si="221"/>
        <v>0</v>
      </c>
      <c r="AG474" s="1">
        <f t="shared" si="222"/>
        <v>0</v>
      </c>
      <c r="AH474" s="1">
        <f t="shared" si="223"/>
        <v>0</v>
      </c>
      <c r="AI474" s="1">
        <f t="shared" si="224"/>
        <v>0</v>
      </c>
    </row>
    <row r="475" spans="1:35" ht="14.25" customHeight="1" x14ac:dyDescent="0.25">
      <c r="A475" s="34">
        <v>1</v>
      </c>
      <c r="B475" s="34">
        <v>2</v>
      </c>
      <c r="C475" s="34">
        <v>7</v>
      </c>
      <c r="D475" s="35" t="s">
        <v>43</v>
      </c>
      <c r="E475" s="35" t="s">
        <v>541</v>
      </c>
      <c r="F475" s="35" t="s">
        <v>272</v>
      </c>
      <c r="G475" s="35" t="s">
        <v>39</v>
      </c>
      <c r="H475" s="35" t="s">
        <v>354</v>
      </c>
      <c r="I475" s="34" t="s">
        <v>427</v>
      </c>
      <c r="J475" s="34">
        <v>5</v>
      </c>
      <c r="K475" s="36" t="s">
        <v>712</v>
      </c>
      <c r="L475" s="36" t="s">
        <v>729</v>
      </c>
      <c r="M475" s="37" t="s">
        <v>1440</v>
      </c>
      <c r="N475" s="37" t="s">
        <v>1748</v>
      </c>
      <c r="O475" s="38">
        <v>1</v>
      </c>
      <c r="P475" s="38"/>
      <c r="Q475" s="35"/>
      <c r="S475" s="1">
        <f t="shared" si="227"/>
        <v>0</v>
      </c>
      <c r="T475" s="1">
        <f t="shared" si="228"/>
        <v>0</v>
      </c>
      <c r="U475" s="1">
        <f t="shared" si="229"/>
        <v>0</v>
      </c>
      <c r="V475" s="1">
        <f t="shared" si="230"/>
        <v>0</v>
      </c>
      <c r="W475" s="1">
        <f t="shared" si="231"/>
        <v>1</v>
      </c>
      <c r="X475" s="1">
        <f t="shared" si="232"/>
        <v>0</v>
      </c>
      <c r="Y475" s="1">
        <f t="shared" si="233"/>
        <v>0</v>
      </c>
      <c r="Z475" s="1">
        <f t="shared" si="234"/>
        <v>0</v>
      </c>
      <c r="AA475" s="1">
        <f t="shared" si="235"/>
        <v>0</v>
      </c>
      <c r="AB475" s="1">
        <f t="shared" si="236"/>
        <v>0</v>
      </c>
      <c r="AD475" s="1">
        <f t="shared" si="237"/>
        <v>0</v>
      </c>
      <c r="AE475" s="1">
        <f t="shared" si="238"/>
        <v>1</v>
      </c>
      <c r="AF475" s="1">
        <f t="shared" si="221"/>
        <v>0</v>
      </c>
      <c r="AG475" s="1">
        <f t="shared" si="222"/>
        <v>0</v>
      </c>
      <c r="AH475" s="1">
        <f t="shared" si="223"/>
        <v>0</v>
      </c>
      <c r="AI475" s="1">
        <f t="shared" si="224"/>
        <v>0</v>
      </c>
    </row>
    <row r="476" spans="1:35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541</v>
      </c>
      <c r="F476" s="35" t="s">
        <v>276</v>
      </c>
      <c r="G476" s="35" t="s">
        <v>194</v>
      </c>
      <c r="H476" s="35" t="s">
        <v>354</v>
      </c>
      <c r="I476" s="34" t="s">
        <v>431</v>
      </c>
      <c r="J476" s="34">
        <v>9</v>
      </c>
      <c r="K476" s="36" t="s">
        <v>712</v>
      </c>
      <c r="L476" s="36" t="s">
        <v>729</v>
      </c>
      <c r="M476" s="37" t="s">
        <v>1440</v>
      </c>
      <c r="N476" s="37" t="s">
        <v>1748</v>
      </c>
      <c r="O476" s="38">
        <v>1</v>
      </c>
      <c r="P476" s="38"/>
      <c r="Q476" s="35"/>
      <c r="S476" s="1">
        <f t="shared" si="227"/>
        <v>0</v>
      </c>
      <c r="T476" s="1">
        <f t="shared" si="228"/>
        <v>0</v>
      </c>
      <c r="U476" s="1">
        <f t="shared" si="229"/>
        <v>0</v>
      </c>
      <c r="V476" s="1">
        <f t="shared" si="230"/>
        <v>0</v>
      </c>
      <c r="W476" s="1">
        <f t="shared" si="231"/>
        <v>0</v>
      </c>
      <c r="X476" s="1">
        <f t="shared" si="232"/>
        <v>0</v>
      </c>
      <c r="Y476" s="1">
        <f t="shared" si="233"/>
        <v>0</v>
      </c>
      <c r="Z476" s="1">
        <f t="shared" si="234"/>
        <v>0</v>
      </c>
      <c r="AA476" s="1">
        <f t="shared" si="235"/>
        <v>1</v>
      </c>
      <c r="AB476" s="1">
        <f t="shared" si="236"/>
        <v>0</v>
      </c>
      <c r="AD476" s="1">
        <f t="shared" si="237"/>
        <v>0</v>
      </c>
      <c r="AE476" s="1">
        <f t="shared" si="238"/>
        <v>1</v>
      </c>
      <c r="AF476" s="1">
        <f t="shared" si="221"/>
        <v>0</v>
      </c>
      <c r="AG476" s="1">
        <f t="shared" si="222"/>
        <v>0</v>
      </c>
      <c r="AH476" s="1">
        <f t="shared" si="223"/>
        <v>0</v>
      </c>
      <c r="AI476" s="1">
        <f t="shared" si="224"/>
        <v>0</v>
      </c>
    </row>
    <row r="477" spans="1:35" ht="14.25" customHeight="1" x14ac:dyDescent="0.25">
      <c r="A477" s="47">
        <v>0</v>
      </c>
      <c r="B477" s="47">
        <v>2</v>
      </c>
      <c r="C477" s="47">
        <v>7</v>
      </c>
      <c r="D477" s="48" t="s">
        <v>1561</v>
      </c>
      <c r="E477" s="48" t="s">
        <v>28</v>
      </c>
      <c r="F477" s="48" t="s">
        <v>1562</v>
      </c>
      <c r="G477" s="48" t="s">
        <v>238</v>
      </c>
      <c r="H477" s="48" t="s">
        <v>354</v>
      </c>
      <c r="I477" s="47" t="s">
        <v>1695</v>
      </c>
      <c r="J477" s="47">
        <v>4</v>
      </c>
      <c r="K477" s="49" t="s">
        <v>713</v>
      </c>
      <c r="L477" s="49" t="s">
        <v>713</v>
      </c>
      <c r="M477" s="50" t="s">
        <v>731</v>
      </c>
      <c r="N477" s="50" t="s">
        <v>1735</v>
      </c>
      <c r="O477" s="51"/>
      <c r="P477" s="51"/>
      <c r="Q477" s="48"/>
      <c r="S477" s="1">
        <f t="shared" ref="S477:S478" si="239">IF(J477=$S$7,1,0)</f>
        <v>0</v>
      </c>
      <c r="T477" s="1">
        <f t="shared" ref="T477:T478" si="240">IF(J477=$T$7,1,0)</f>
        <v>0</v>
      </c>
      <c r="U477" s="1">
        <f t="shared" ref="U477:U478" si="241">IF(J477=$U$7,1,0)</f>
        <v>0</v>
      </c>
      <c r="V477" s="1">
        <f t="shared" ref="V477:V478" si="242">IF(J477=$V$7,1,0)</f>
        <v>1</v>
      </c>
      <c r="W477" s="1">
        <f t="shared" ref="W477:W478" si="243">IF(J477=$W$7,1,0)</f>
        <v>0</v>
      </c>
      <c r="X477" s="1">
        <f t="shared" ref="X477:X478" si="244">IF(J477=$X$7,1,0)</f>
        <v>0</v>
      </c>
      <c r="Y477" s="1">
        <f t="shared" ref="Y477:Y478" si="245">IF(J477=$Y$7,1,0)</f>
        <v>0</v>
      </c>
      <c r="Z477" s="1">
        <f t="shared" ref="Z477:Z478" si="246">IF(J477=$Z$7,1,0)</f>
        <v>0</v>
      </c>
      <c r="AA477" s="1">
        <f t="shared" ref="AA477:AA478" si="247">IF(J477=$AA$7,1,0)</f>
        <v>0</v>
      </c>
      <c r="AB477" s="1">
        <f t="shared" ref="AB477:AB478" si="248">IF(J477=$AB$7,1,0)</f>
        <v>0</v>
      </c>
      <c r="AD477" s="1">
        <f t="shared" ref="AD477:AD478" si="249">+O477*P477</f>
        <v>0</v>
      </c>
      <c r="AE477" s="1">
        <f t="shared" ref="AE477:AE478" si="250">O477*(1-P477)</f>
        <v>0</v>
      </c>
      <c r="AF477" s="1">
        <f t="shared" ref="AF477:AF478" si="251">+O477*P477*(1-A477)</f>
        <v>0</v>
      </c>
      <c r="AG477" s="1">
        <f t="shared" ref="AG477:AG478" si="252">O477*(1-P477)*(1-A477)</f>
        <v>0</v>
      </c>
      <c r="AH477" s="1">
        <f t="shared" ref="AH477:AH478" si="253">+P477*(1-A477)</f>
        <v>0</v>
      </c>
      <c r="AI477" s="1">
        <f t="shared" ref="AI477:AI478" si="254">+(1-A477)*(1-P477)</f>
        <v>1</v>
      </c>
    </row>
    <row r="478" spans="1:35" ht="14.25" customHeight="1" x14ac:dyDescent="0.25">
      <c r="A478" s="47">
        <v>0</v>
      </c>
      <c r="B478" s="47">
        <v>2</v>
      </c>
      <c r="C478" s="47">
        <v>7</v>
      </c>
      <c r="D478" s="48" t="s">
        <v>63</v>
      </c>
      <c r="E478" s="48" t="s">
        <v>44</v>
      </c>
      <c r="F478" s="48" t="s">
        <v>236</v>
      </c>
      <c r="G478" s="48" t="s">
        <v>200</v>
      </c>
      <c r="H478" s="48" t="s">
        <v>354</v>
      </c>
      <c r="I478" s="47" t="s">
        <v>402</v>
      </c>
      <c r="J478" s="47">
        <v>2</v>
      </c>
      <c r="K478" s="49" t="s">
        <v>713</v>
      </c>
      <c r="L478" s="49" t="s">
        <v>722</v>
      </c>
      <c r="M478" s="50" t="s">
        <v>735</v>
      </c>
      <c r="N478" s="50" t="s">
        <v>1735</v>
      </c>
      <c r="O478" s="51"/>
      <c r="P478" s="51"/>
      <c r="Q478" s="48"/>
      <c r="S478" s="1">
        <f t="shared" si="239"/>
        <v>0</v>
      </c>
      <c r="T478" s="1">
        <f t="shared" si="240"/>
        <v>1</v>
      </c>
      <c r="U478" s="1">
        <f t="shared" si="241"/>
        <v>0</v>
      </c>
      <c r="V478" s="1">
        <f t="shared" si="242"/>
        <v>0</v>
      </c>
      <c r="W478" s="1">
        <f t="shared" si="243"/>
        <v>0</v>
      </c>
      <c r="X478" s="1">
        <f t="shared" si="244"/>
        <v>0</v>
      </c>
      <c r="Y478" s="1">
        <f t="shared" si="245"/>
        <v>0</v>
      </c>
      <c r="Z478" s="1">
        <f t="shared" si="246"/>
        <v>0</v>
      </c>
      <c r="AA478" s="1">
        <f t="shared" si="247"/>
        <v>0</v>
      </c>
      <c r="AB478" s="1">
        <f t="shared" si="248"/>
        <v>0</v>
      </c>
      <c r="AD478" s="1">
        <f t="shared" si="249"/>
        <v>0</v>
      </c>
      <c r="AE478" s="1">
        <f t="shared" si="250"/>
        <v>0</v>
      </c>
      <c r="AF478" s="1">
        <f t="shared" si="251"/>
        <v>0</v>
      </c>
      <c r="AG478" s="1">
        <f t="shared" si="252"/>
        <v>0</v>
      </c>
      <c r="AH478" s="1">
        <f t="shared" si="253"/>
        <v>0</v>
      </c>
      <c r="AI478" s="1">
        <f t="shared" si="254"/>
        <v>1</v>
      </c>
    </row>
    <row r="479" spans="1:35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M770" s="19"/>
      <c r="N770" s="17"/>
      <c r="Q770" s="16"/>
    </row>
    <row r="771" spans="1:17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7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</sheetData>
  <autoFilter ref="A7:Q478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78">
    <sortCondition ref="B8:B478"/>
    <sortCondition ref="C8:C478"/>
    <sortCondition ref="D8:D478"/>
    <sortCondition ref="A8:A478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2026-06-11T07:39:28Z</dcterms:modified>
</cp:coreProperties>
</file>