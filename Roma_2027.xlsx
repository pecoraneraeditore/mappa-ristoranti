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2568144-6D70-4E69-8C53-94B1B05C0507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golose'!$A$7:$Q$498</definedName>
    <definedName name="_xlnm.Print_Area" localSheetId="0">'Tavole e pause golose'!$D$7:$I$183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8" i="6" l="1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3" i="6" l="1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108" i="6"/>
  <c r="T124" i="6"/>
  <c r="T132" i="6"/>
  <c r="T167" i="6"/>
  <c r="T101" i="6"/>
  <c r="T117" i="6"/>
  <c r="T141" i="6"/>
  <c r="T145" i="6"/>
  <c r="T110" i="6"/>
  <c r="T129" i="6"/>
  <c r="T161" i="6"/>
  <c r="T103" i="6"/>
  <c r="T119" i="6"/>
  <c r="T137" i="6"/>
  <c r="T166" i="6"/>
  <c r="T112" i="6"/>
  <c r="T126" i="6"/>
  <c r="T134" i="6"/>
  <c r="T105" i="6"/>
  <c r="T121" i="6"/>
  <c r="T140" i="6"/>
  <c r="T144" i="6"/>
  <c r="T148" i="6"/>
  <c r="T152" i="6"/>
  <c r="T156" i="6"/>
  <c r="T160" i="6"/>
  <c r="T98" i="6"/>
  <c r="T114" i="6"/>
  <c r="T131" i="6"/>
  <c r="T165" i="6"/>
  <c r="T107" i="6"/>
  <c r="T123" i="6"/>
  <c r="T100" i="6"/>
  <c r="T116" i="6"/>
  <c r="T128" i="6"/>
  <c r="T136" i="6"/>
  <c r="T109" i="6"/>
  <c r="T139" i="6"/>
  <c r="T143" i="6"/>
  <c r="T147" i="6"/>
  <c r="T151" i="6"/>
  <c r="T155" i="6"/>
  <c r="T159" i="6"/>
  <c r="T164" i="6"/>
  <c r="T102" i="6"/>
  <c r="T118" i="6"/>
  <c r="T125" i="6"/>
  <c r="T133" i="6"/>
  <c r="T111" i="6"/>
  <c r="T104" i="6"/>
  <c r="T120" i="6"/>
  <c r="T130" i="6"/>
  <c r="T163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113" i="6"/>
  <c r="T142" i="6"/>
  <c r="T146" i="6"/>
  <c r="T150" i="6"/>
  <c r="T154" i="6"/>
  <c r="T158" i="6"/>
  <c r="T168" i="6"/>
  <c r="T106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115" i="6"/>
  <c r="T122" i="6"/>
  <c r="T135" i="6"/>
  <c r="T162" i="6"/>
  <c r="T127" i="6"/>
  <c r="T138" i="6"/>
  <c r="T99" i="6"/>
  <c r="T157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153" i="6"/>
  <c r="T149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377" i="6"/>
  <c r="T376" i="6"/>
  <c r="T375" i="6"/>
  <c r="T374" i="6"/>
  <c r="T373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420" i="6"/>
  <c r="T419" i="6"/>
  <c r="T418" i="6"/>
  <c r="T417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3" i="6" l="1"/>
  <c r="U14" i="6"/>
  <c r="U15" i="6"/>
  <c r="U16" i="6"/>
  <c r="U17" i="6"/>
  <c r="U18" i="6"/>
  <c r="U19" i="6"/>
  <c r="U20" i="6"/>
  <c r="U21" i="6"/>
  <c r="U22" i="6"/>
  <c r="U52" i="6"/>
  <c r="U60" i="6"/>
  <c r="U68" i="6"/>
  <c r="U76" i="6"/>
  <c r="U84" i="6"/>
  <c r="U44" i="6"/>
  <c r="U96" i="6"/>
  <c r="U49" i="6"/>
  <c r="U57" i="6"/>
  <c r="U65" i="6"/>
  <c r="U73" i="6"/>
  <c r="U81" i="6"/>
  <c r="U89" i="6"/>
  <c r="U95" i="6"/>
  <c r="U46" i="6"/>
  <c r="U54" i="6"/>
  <c r="U62" i="6"/>
  <c r="U70" i="6"/>
  <c r="U78" i="6"/>
  <c r="U86" i="6"/>
  <c r="U94" i="6"/>
  <c r="U51" i="6"/>
  <c r="U59" i="6"/>
  <c r="U67" i="6"/>
  <c r="U75" i="6"/>
  <c r="U83" i="6"/>
  <c r="U23" i="6"/>
  <c r="U25" i="6"/>
  <c r="U27" i="6"/>
  <c r="U29" i="6"/>
  <c r="U31" i="6"/>
  <c r="U33" i="6"/>
  <c r="U35" i="6"/>
  <c r="U37" i="6"/>
  <c r="U39" i="6"/>
  <c r="U41" i="6"/>
  <c r="U93" i="6"/>
  <c r="U43" i="6"/>
  <c r="U48" i="6"/>
  <c r="U56" i="6"/>
  <c r="U64" i="6"/>
  <c r="U72" i="6"/>
  <c r="U80" i="6"/>
  <c r="U88" i="6"/>
  <c r="U92" i="6"/>
  <c r="U45" i="6"/>
  <c r="U53" i="6"/>
  <c r="U61" i="6"/>
  <c r="U69" i="6"/>
  <c r="U77" i="6"/>
  <c r="U85" i="6"/>
  <c r="U91" i="6"/>
  <c r="U50" i="6"/>
  <c r="U58" i="6"/>
  <c r="U66" i="6"/>
  <c r="U74" i="6"/>
  <c r="U82" i="6"/>
  <c r="U90" i="6"/>
  <c r="U87" i="6"/>
  <c r="U99" i="6"/>
  <c r="U115" i="6"/>
  <c r="U162" i="6"/>
  <c r="U108" i="6"/>
  <c r="U124" i="6"/>
  <c r="U132" i="6"/>
  <c r="U101" i="6"/>
  <c r="U117" i="6"/>
  <c r="U141" i="6"/>
  <c r="U145" i="6"/>
  <c r="U149" i="6"/>
  <c r="U153" i="6"/>
  <c r="U157" i="6"/>
  <c r="U110" i="6"/>
  <c r="U129" i="6"/>
  <c r="U161" i="6"/>
  <c r="U55" i="6"/>
  <c r="U103" i="6"/>
  <c r="U119" i="6"/>
  <c r="U137" i="6"/>
  <c r="U166" i="6"/>
  <c r="U42" i="6"/>
  <c r="U79" i="6"/>
  <c r="U112" i="6"/>
  <c r="U126" i="6"/>
  <c r="U134" i="6"/>
  <c r="U40" i="6"/>
  <c r="U105" i="6"/>
  <c r="U121" i="6"/>
  <c r="U140" i="6"/>
  <c r="U144" i="6"/>
  <c r="U148" i="6"/>
  <c r="U152" i="6"/>
  <c r="U156" i="6"/>
  <c r="U160" i="6"/>
  <c r="U38" i="6"/>
  <c r="U98" i="6"/>
  <c r="U114" i="6"/>
  <c r="U131" i="6"/>
  <c r="U165" i="6"/>
  <c r="U36" i="6"/>
  <c r="U107" i="6"/>
  <c r="U123" i="6"/>
  <c r="U34" i="6"/>
  <c r="U47" i="6"/>
  <c r="U100" i="6"/>
  <c r="U116" i="6"/>
  <c r="U128" i="6"/>
  <c r="U136" i="6"/>
  <c r="U32" i="6"/>
  <c r="U71" i="6"/>
  <c r="U109" i="6"/>
  <c r="U139" i="6"/>
  <c r="U143" i="6"/>
  <c r="U147" i="6"/>
  <c r="U151" i="6"/>
  <c r="U155" i="6"/>
  <c r="U159" i="6"/>
  <c r="U164" i="6"/>
  <c r="U30" i="6"/>
  <c r="U102" i="6"/>
  <c r="U118" i="6"/>
  <c r="U125" i="6"/>
  <c r="U133" i="6"/>
  <c r="U28" i="6"/>
  <c r="U111" i="6"/>
  <c r="U26" i="6"/>
  <c r="U104" i="6"/>
  <c r="U120" i="6"/>
  <c r="U130" i="6"/>
  <c r="U163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202" i="6"/>
  <c r="U203" i="6"/>
  <c r="U204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63" i="6"/>
  <c r="U106" i="6"/>
  <c r="U236" i="6"/>
  <c r="U237" i="6"/>
  <c r="U238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2" i="6"/>
  <c r="U293" i="6"/>
  <c r="U294" i="6"/>
  <c r="U295" i="6"/>
  <c r="U113" i="6"/>
  <c r="U122" i="6"/>
  <c r="U135" i="6"/>
  <c r="U146" i="6"/>
  <c r="U150" i="6"/>
  <c r="U154" i="6"/>
  <c r="U158" i="6"/>
  <c r="U168" i="6"/>
  <c r="U142" i="6"/>
  <c r="U127" i="6"/>
  <c r="U138" i="6"/>
  <c r="U24" i="6"/>
  <c r="U296" i="6"/>
  <c r="U297" i="6"/>
  <c r="U298" i="6"/>
  <c r="U299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167" i="6"/>
  <c r="U97" i="6"/>
  <c r="U354" i="6"/>
  <c r="U370" i="6"/>
  <c r="U359" i="6"/>
  <c r="U364" i="6"/>
  <c r="U369" i="6"/>
  <c r="U350" i="6"/>
  <c r="U358" i="6"/>
  <c r="U353" i="6"/>
  <c r="U363" i="6"/>
  <c r="U368" i="6"/>
  <c r="U365" i="6"/>
  <c r="U357" i="6"/>
  <c r="U362" i="6"/>
  <c r="U373" i="6"/>
  <c r="U374" i="6"/>
  <c r="U37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349" i="6"/>
  <c r="U367" i="6"/>
  <c r="U352" i="6"/>
  <c r="U356" i="6"/>
  <c r="U372" i="6"/>
  <c r="U361" i="6"/>
  <c r="U366" i="6"/>
  <c r="U355" i="6"/>
  <c r="U371" i="6"/>
  <c r="U360" i="6"/>
  <c r="U351" i="6"/>
  <c r="U483" i="6"/>
  <c r="U487" i="6"/>
  <c r="U489" i="6"/>
  <c r="U491" i="6"/>
  <c r="U493" i="6"/>
  <c r="U494" i="6"/>
  <c r="U495" i="6"/>
  <c r="U497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4" i="6"/>
  <c r="U485" i="6"/>
  <c r="U486" i="6"/>
  <c r="U488" i="6"/>
  <c r="U490" i="6"/>
  <c r="U492" i="6"/>
  <c r="U496" i="6"/>
  <c r="U498" i="6"/>
  <c r="V7" i="6"/>
  <c r="U9" i="6"/>
  <c r="U11" i="6"/>
  <c r="U10" i="6"/>
  <c r="U8" i="6"/>
  <c r="U12" i="6"/>
  <c r="F5" i="6"/>
  <c r="G5" i="6"/>
  <c r="E5" i="6"/>
  <c r="H4" i="6"/>
  <c r="H3" i="6"/>
  <c r="T5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96" i="6"/>
  <c r="V95" i="6"/>
  <c r="V94" i="6"/>
  <c r="V93" i="6"/>
  <c r="V92" i="6"/>
  <c r="V91" i="6"/>
  <c r="V167" i="6"/>
  <c r="V161" i="6"/>
  <c r="V166" i="6"/>
  <c r="V90" i="6"/>
  <c r="V160" i="6"/>
  <c r="V165" i="6"/>
  <c r="V164" i="6"/>
  <c r="V231" i="6"/>
  <c r="V169" i="6"/>
  <c r="V177" i="6"/>
  <c r="V185" i="6"/>
  <c r="V193" i="6"/>
  <c r="V202" i="6"/>
  <c r="V210" i="6"/>
  <c r="V218" i="6"/>
  <c r="V174" i="6"/>
  <c r="V182" i="6"/>
  <c r="V190" i="6"/>
  <c r="V207" i="6"/>
  <c r="V215" i="6"/>
  <c r="V223" i="6"/>
  <c r="V230" i="6"/>
  <c r="V236" i="6"/>
  <c r="V237" i="6"/>
  <c r="V238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26" i="6"/>
  <c r="V235" i="6"/>
  <c r="V171" i="6"/>
  <c r="V179" i="6"/>
  <c r="V187" i="6"/>
  <c r="V195" i="6"/>
  <c r="V204" i="6"/>
  <c r="V212" i="6"/>
  <c r="V162" i="6"/>
  <c r="V176" i="6"/>
  <c r="V184" i="6"/>
  <c r="V192" i="6"/>
  <c r="V209" i="6"/>
  <c r="V217" i="6"/>
  <c r="V229" i="6"/>
  <c r="V234" i="6"/>
  <c r="V168" i="6"/>
  <c r="V173" i="6"/>
  <c r="V181" i="6"/>
  <c r="V189" i="6"/>
  <c r="V197" i="6"/>
  <c r="V206" i="6"/>
  <c r="V214" i="6"/>
  <c r="V222" i="6"/>
  <c r="V225" i="6"/>
  <c r="V233" i="6"/>
  <c r="V170" i="6"/>
  <c r="V178" i="6"/>
  <c r="V186" i="6"/>
  <c r="V194" i="6"/>
  <c r="V203" i="6"/>
  <c r="V211" i="6"/>
  <c r="V219" i="6"/>
  <c r="V228" i="6"/>
  <c r="V175" i="6"/>
  <c r="V183" i="6"/>
  <c r="V191" i="6"/>
  <c r="V224" i="6"/>
  <c r="V172" i="6"/>
  <c r="V227" i="6"/>
  <c r="V291" i="6"/>
  <c r="V288" i="6"/>
  <c r="V294" i="6"/>
  <c r="V221" i="6"/>
  <c r="V285" i="6"/>
  <c r="V188" i="6"/>
  <c r="V213" i="6"/>
  <c r="V293" i="6"/>
  <c r="V287" i="6"/>
  <c r="V205" i="6"/>
  <c r="V232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180" i="6"/>
  <c r="V220" i="6"/>
  <c r="V216" i="6"/>
  <c r="V289" i="6"/>
  <c r="V292" i="6"/>
  <c r="V295" i="6"/>
  <c r="V196" i="6"/>
  <c r="V208" i="6"/>
  <c r="V290" i="6"/>
  <c r="V286" i="6"/>
  <c r="V373" i="6"/>
  <c r="V374" i="6"/>
  <c r="V375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163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12" i="6"/>
  <c r="V9" i="6"/>
  <c r="W7" i="6"/>
  <c r="V10" i="6"/>
  <c r="V11" i="6"/>
  <c r="V8" i="6"/>
  <c r="U5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89" i="6"/>
  <c r="W96" i="6"/>
  <c r="W95" i="6"/>
  <c r="W94" i="6"/>
  <c r="W93" i="6"/>
  <c r="W92" i="6"/>
  <c r="W91" i="6"/>
  <c r="W90" i="6"/>
  <c r="W172" i="6"/>
  <c r="W180" i="6"/>
  <c r="W188" i="6"/>
  <c r="W196" i="6"/>
  <c r="W205" i="6"/>
  <c r="W213" i="6"/>
  <c r="W221" i="6"/>
  <c r="W227" i="6"/>
  <c r="W231" i="6"/>
  <c r="W169" i="6"/>
  <c r="W177" i="6"/>
  <c r="W185" i="6"/>
  <c r="W193" i="6"/>
  <c r="W202" i="6"/>
  <c r="W210" i="6"/>
  <c r="W218" i="6"/>
  <c r="W174" i="6"/>
  <c r="W182" i="6"/>
  <c r="W190" i="6"/>
  <c r="W207" i="6"/>
  <c r="W215" i="6"/>
  <c r="W223" i="6"/>
  <c r="W230" i="6"/>
  <c r="W236" i="6"/>
  <c r="W237" i="6"/>
  <c r="W238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171" i="6"/>
  <c r="W179" i="6"/>
  <c r="W187" i="6"/>
  <c r="W195" i="6"/>
  <c r="W204" i="6"/>
  <c r="W212" i="6"/>
  <c r="W220" i="6"/>
  <c r="W176" i="6"/>
  <c r="W184" i="6"/>
  <c r="W192" i="6"/>
  <c r="W209" i="6"/>
  <c r="W217" i="6"/>
  <c r="W229" i="6"/>
  <c r="W234" i="6"/>
  <c r="W173" i="6"/>
  <c r="W181" i="6"/>
  <c r="W189" i="6"/>
  <c r="W197" i="6"/>
  <c r="W206" i="6"/>
  <c r="W214" i="6"/>
  <c r="W222" i="6"/>
  <c r="W225" i="6"/>
  <c r="W233" i="6"/>
  <c r="W170" i="6"/>
  <c r="W178" i="6"/>
  <c r="W186" i="6"/>
  <c r="W194" i="6"/>
  <c r="W203" i="6"/>
  <c r="W211" i="6"/>
  <c r="W219" i="6"/>
  <c r="W228" i="6"/>
  <c r="W175" i="6"/>
  <c r="W183" i="6"/>
  <c r="W191" i="6"/>
  <c r="W208" i="6"/>
  <c r="W216" i="6"/>
  <c r="W232" i="6"/>
  <c r="W235" i="6"/>
  <c r="W291" i="6"/>
  <c r="W294" i="6"/>
  <c r="W290" i="6"/>
  <c r="W293" i="6"/>
  <c r="W226" i="6"/>
  <c r="W224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292" i="6"/>
  <c r="W351" i="6"/>
  <c r="W365" i="6"/>
  <c r="W354" i="6"/>
  <c r="W370" i="6"/>
  <c r="W359" i="6"/>
  <c r="W364" i="6"/>
  <c r="W369" i="6"/>
  <c r="W350" i="6"/>
  <c r="W358" i="6"/>
  <c r="W353" i="6"/>
  <c r="W363" i="6"/>
  <c r="W368" i="6"/>
  <c r="W295" i="6"/>
  <c r="W357" i="6"/>
  <c r="W362" i="6"/>
  <c r="W349" i="6"/>
  <c r="W367" i="6"/>
  <c r="W373" i="6"/>
  <c r="W374" i="6"/>
  <c r="W375" i="6"/>
  <c r="W376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352" i="6"/>
  <c r="W356" i="6"/>
  <c r="W372" i="6"/>
  <c r="W361" i="6"/>
  <c r="W366" i="6"/>
  <c r="W355" i="6"/>
  <c r="W371" i="6"/>
  <c r="W360" i="6"/>
  <c r="W483" i="6"/>
  <c r="W486" i="6"/>
  <c r="W488" i="6"/>
  <c r="W490" i="6"/>
  <c r="W491" i="6"/>
  <c r="W493" i="6"/>
  <c r="W495" i="6"/>
  <c r="W496" i="6"/>
  <c r="W498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4" i="6"/>
  <c r="W485" i="6"/>
  <c r="W487" i="6"/>
  <c r="W489" i="6"/>
  <c r="W492" i="6"/>
  <c r="W494" i="6"/>
  <c r="W497" i="6"/>
  <c r="W12" i="6"/>
  <c r="W8" i="6"/>
  <c r="V5" i="6"/>
  <c r="X7" i="6"/>
  <c r="W10" i="6"/>
  <c r="W9" i="6"/>
  <c r="W11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96" i="6"/>
  <c r="X95" i="6"/>
  <c r="X94" i="6"/>
  <c r="X93" i="6"/>
  <c r="X92" i="6"/>
  <c r="X91" i="6"/>
  <c r="X127" i="6"/>
  <c r="X135" i="6"/>
  <c r="X138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124" i="6"/>
  <c r="X132" i="6"/>
  <c r="X162" i="6"/>
  <c r="X141" i="6"/>
  <c r="X145" i="6"/>
  <c r="X149" i="6"/>
  <c r="X153" i="6"/>
  <c r="X157" i="6"/>
  <c r="X167" i="6"/>
  <c r="X129" i="6"/>
  <c r="X137" i="6"/>
  <c r="X161" i="6"/>
  <c r="X126" i="6"/>
  <c r="X134" i="6"/>
  <c r="X166" i="6"/>
  <c r="X140" i="6"/>
  <c r="X144" i="6"/>
  <c r="X148" i="6"/>
  <c r="X152" i="6"/>
  <c r="X156" i="6"/>
  <c r="X131" i="6"/>
  <c r="X160" i="6"/>
  <c r="X165" i="6"/>
  <c r="X128" i="6"/>
  <c r="X136" i="6"/>
  <c r="X139" i="6"/>
  <c r="X143" i="6"/>
  <c r="X147" i="6"/>
  <c r="X151" i="6"/>
  <c r="X155" i="6"/>
  <c r="X159" i="6"/>
  <c r="X125" i="6"/>
  <c r="X133" i="6"/>
  <c r="X164" i="6"/>
  <c r="X130" i="6"/>
  <c r="X163" i="6"/>
  <c r="X224" i="6"/>
  <c r="X227" i="6"/>
  <c r="X231" i="6"/>
  <c r="X226" i="6"/>
  <c r="X235" i="6"/>
  <c r="X146" i="6"/>
  <c r="X150" i="6"/>
  <c r="X154" i="6"/>
  <c r="X158" i="6"/>
  <c r="X229" i="6"/>
  <c r="X234" i="6"/>
  <c r="X142" i="6"/>
  <c r="X225" i="6"/>
  <c r="X233" i="6"/>
  <c r="X223" i="6"/>
  <c r="X237" i="6"/>
  <c r="X239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8" i="6"/>
  <c r="X291" i="6"/>
  <c r="X294" i="6"/>
  <c r="X285" i="6"/>
  <c r="X290" i="6"/>
  <c r="X228" i="6"/>
  <c r="X230" i="6"/>
  <c r="X287" i="6"/>
  <c r="X293" i="6"/>
  <c r="X232" i="6"/>
  <c r="X236" i="6"/>
  <c r="X238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96" i="6"/>
  <c r="X297" i="6"/>
  <c r="X298" i="6"/>
  <c r="X299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289" i="6"/>
  <c r="X286" i="6"/>
  <c r="X295" i="6"/>
  <c r="X360" i="6"/>
  <c r="X365" i="6"/>
  <c r="X292" i="6"/>
  <c r="X354" i="6"/>
  <c r="X370" i="6"/>
  <c r="X359" i="6"/>
  <c r="X364" i="6"/>
  <c r="X369" i="6"/>
  <c r="X358" i="6"/>
  <c r="X363" i="6"/>
  <c r="X368" i="6"/>
  <c r="X357" i="6"/>
  <c r="X362" i="6"/>
  <c r="X367" i="6"/>
  <c r="X373" i="6"/>
  <c r="X374" i="6"/>
  <c r="X375" i="6"/>
  <c r="X376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356" i="6"/>
  <c r="X372" i="6"/>
  <c r="X361" i="6"/>
  <c r="X366" i="6"/>
  <c r="X355" i="6"/>
  <c r="X371" i="6"/>
  <c r="X49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7" i="6"/>
  <c r="X498" i="6"/>
  <c r="W5" i="6"/>
  <c r="X10" i="6"/>
  <c r="Y7" i="6"/>
  <c r="X9" i="6"/>
  <c r="X11" i="6"/>
  <c r="X12" i="6"/>
  <c r="X8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0" i="6"/>
  <c r="Y68" i="6"/>
  <c r="Y76" i="6"/>
  <c r="Y84" i="6"/>
  <c r="Y90" i="6"/>
  <c r="Y44" i="6"/>
  <c r="Y49" i="6"/>
  <c r="Y57" i="6"/>
  <c r="Y65" i="6"/>
  <c r="Y73" i="6"/>
  <c r="Y81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89" i="6"/>
  <c r="Y46" i="6"/>
  <c r="Y54" i="6"/>
  <c r="Y62" i="6"/>
  <c r="Y70" i="6"/>
  <c r="Y78" i="6"/>
  <c r="Y86" i="6"/>
  <c r="Y96" i="6"/>
  <c r="Y51" i="6"/>
  <c r="Y59" i="6"/>
  <c r="Y67" i="6"/>
  <c r="Y75" i="6"/>
  <c r="Y83" i="6"/>
  <c r="Y95" i="6"/>
  <c r="Y43" i="6"/>
  <c r="Y48" i="6"/>
  <c r="Y56" i="6"/>
  <c r="Y64" i="6"/>
  <c r="Y72" i="6"/>
  <c r="Y80" i="6"/>
  <c r="Y88" i="6"/>
  <c r="Y94" i="6"/>
  <c r="Y45" i="6"/>
  <c r="Y53" i="6"/>
  <c r="Y61" i="6"/>
  <c r="Y69" i="6"/>
  <c r="Y77" i="6"/>
  <c r="Y85" i="6"/>
  <c r="Y93" i="6"/>
  <c r="Y50" i="6"/>
  <c r="Y58" i="6"/>
  <c r="Y66" i="6"/>
  <c r="Y74" i="6"/>
  <c r="Y82" i="6"/>
  <c r="Y92" i="6"/>
  <c r="Y63" i="6"/>
  <c r="Y142" i="6"/>
  <c r="Y146" i="6"/>
  <c r="Y150" i="6"/>
  <c r="Y154" i="6"/>
  <c r="Y158" i="6"/>
  <c r="Y163" i="6"/>
  <c r="Y87" i="6"/>
  <c r="Y91" i="6"/>
  <c r="Y162" i="6"/>
  <c r="Y141" i="6"/>
  <c r="Y145" i="6"/>
  <c r="Y149" i="6"/>
  <c r="Y153" i="6"/>
  <c r="Y157" i="6"/>
  <c r="Y167" i="6"/>
  <c r="Y55" i="6"/>
  <c r="Y79" i="6"/>
  <c r="Y161" i="6"/>
  <c r="Y166" i="6"/>
  <c r="Y140" i="6"/>
  <c r="Y144" i="6"/>
  <c r="Y148" i="6"/>
  <c r="Y152" i="6"/>
  <c r="Y156" i="6"/>
  <c r="Y160" i="6"/>
  <c r="Y47" i="6"/>
  <c r="Y165" i="6"/>
  <c r="Y71" i="6"/>
  <c r="Y139" i="6"/>
  <c r="Y143" i="6"/>
  <c r="Y147" i="6"/>
  <c r="Y151" i="6"/>
  <c r="Y155" i="6"/>
  <c r="Y159" i="6"/>
  <c r="Y164" i="6"/>
  <c r="Y232" i="6"/>
  <c r="Y172" i="6"/>
  <c r="Y180" i="6"/>
  <c r="Y188" i="6"/>
  <c r="Y196" i="6"/>
  <c r="Y205" i="6"/>
  <c r="Y213" i="6"/>
  <c r="Y221" i="6"/>
  <c r="Y224" i="6"/>
  <c r="Y227" i="6"/>
  <c r="Y169" i="6"/>
  <c r="Y177" i="6"/>
  <c r="Y185" i="6"/>
  <c r="Y193" i="6"/>
  <c r="Y202" i="6"/>
  <c r="Y210" i="6"/>
  <c r="Y218" i="6"/>
  <c r="Y231" i="6"/>
  <c r="Y174" i="6"/>
  <c r="Y182" i="6"/>
  <c r="Y190" i="6"/>
  <c r="Y207" i="6"/>
  <c r="Y223" i="6"/>
  <c r="Y230" i="6"/>
  <c r="Y236" i="6"/>
  <c r="Y237" i="6"/>
  <c r="Y238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171" i="6"/>
  <c r="Y179" i="6"/>
  <c r="Y187" i="6"/>
  <c r="Y195" i="6"/>
  <c r="Y204" i="6"/>
  <c r="Y212" i="6"/>
  <c r="Y220" i="6"/>
  <c r="Y226" i="6"/>
  <c r="Y235" i="6"/>
  <c r="Y168" i="6"/>
  <c r="Y176" i="6"/>
  <c r="Y184" i="6"/>
  <c r="Y192" i="6"/>
  <c r="Y209" i="6"/>
  <c r="Y217" i="6"/>
  <c r="Y229" i="6"/>
  <c r="Y234" i="6"/>
  <c r="Y173" i="6"/>
  <c r="Y181" i="6"/>
  <c r="Y189" i="6"/>
  <c r="Y197" i="6"/>
  <c r="Y206" i="6"/>
  <c r="Y214" i="6"/>
  <c r="Y222" i="6"/>
  <c r="Y225" i="6"/>
  <c r="Y170" i="6"/>
  <c r="Y178" i="6"/>
  <c r="Y186" i="6"/>
  <c r="Y194" i="6"/>
  <c r="Y203" i="6"/>
  <c r="Y228" i="6"/>
  <c r="Y183" i="6"/>
  <c r="Y233" i="6"/>
  <c r="Y219" i="6"/>
  <c r="Y215" i="6"/>
  <c r="Y211" i="6"/>
  <c r="Y175" i="6"/>
  <c r="Y191" i="6"/>
  <c r="Y296" i="6"/>
  <c r="Y297" i="6"/>
  <c r="Y298" i="6"/>
  <c r="Y299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216" i="6"/>
  <c r="Y208" i="6"/>
  <c r="Y355" i="6"/>
  <c r="Y371" i="6"/>
  <c r="Y360" i="6"/>
  <c r="Y365" i="6"/>
  <c r="Y366" i="6"/>
  <c r="Y354" i="6"/>
  <c r="Y370" i="6"/>
  <c r="Y359" i="6"/>
  <c r="Y364" i="6"/>
  <c r="Y369" i="6"/>
  <c r="Y358" i="6"/>
  <c r="Y363" i="6"/>
  <c r="Y368" i="6"/>
  <c r="Y357" i="6"/>
  <c r="Y362" i="6"/>
  <c r="Y367" i="6"/>
  <c r="Y373" i="6"/>
  <c r="Y374" i="6"/>
  <c r="Y375" i="6"/>
  <c r="Y376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356" i="6"/>
  <c r="Y372" i="6"/>
  <c r="Y361" i="6"/>
  <c r="Y417" i="6"/>
  <c r="Y418" i="6"/>
  <c r="Y419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12" i="6"/>
  <c r="Y9" i="6"/>
  <c r="Y8" i="6"/>
  <c r="Y10" i="6"/>
  <c r="Y11" i="6"/>
  <c r="Z7" i="6"/>
  <c r="X5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1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96" i="6"/>
  <c r="Z95" i="6"/>
  <c r="Z94" i="6"/>
  <c r="Z93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92" i="6"/>
  <c r="Z232" i="6"/>
  <c r="Z227" i="6"/>
  <c r="Z231" i="6"/>
  <c r="Z230" i="6"/>
  <c r="Z236" i="6"/>
  <c r="Z237" i="6"/>
  <c r="Z238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35" i="6"/>
  <c r="Z229" i="6"/>
  <c r="Z234" i="6"/>
  <c r="Z233" i="6"/>
  <c r="Z283" i="6"/>
  <c r="Z288" i="6"/>
  <c r="Z291" i="6"/>
  <c r="Z294" i="6"/>
  <c r="Z290" i="6"/>
  <c r="Z228" i="6"/>
  <c r="Z287" i="6"/>
  <c r="Z293" i="6"/>
  <c r="Z284" i="6"/>
  <c r="Z296" i="6"/>
  <c r="Z297" i="6"/>
  <c r="Z298" i="6"/>
  <c r="Z299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292" i="6"/>
  <c r="Z366" i="6"/>
  <c r="Z361" i="6"/>
  <c r="Z351" i="6"/>
  <c r="Z355" i="6"/>
  <c r="Z371" i="6"/>
  <c r="Z360" i="6"/>
  <c r="Z365" i="6"/>
  <c r="Z354" i="6"/>
  <c r="Z370" i="6"/>
  <c r="Z286" i="6"/>
  <c r="Z359" i="6"/>
  <c r="Z350" i="6"/>
  <c r="Z364" i="6"/>
  <c r="Z405" i="6"/>
  <c r="Z353" i="6"/>
  <c r="Z369" i="6"/>
  <c r="Z408" i="6"/>
  <c r="Z358" i="6"/>
  <c r="Z403" i="6"/>
  <c r="Z295" i="6"/>
  <c r="Z363" i="6"/>
  <c r="Z406" i="6"/>
  <c r="Z368" i="6"/>
  <c r="Z402" i="6"/>
  <c r="Z289" i="6"/>
  <c r="Z349" i="6"/>
  <c r="Z357" i="6"/>
  <c r="Z399" i="6"/>
  <c r="Z285" i="6"/>
  <c r="Z352" i="6"/>
  <c r="Z362" i="6"/>
  <c r="Z400" i="6"/>
  <c r="Z367" i="6"/>
  <c r="Z373" i="6"/>
  <c r="Z374" i="6"/>
  <c r="Z375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401" i="6"/>
  <c r="Z404" i="6"/>
  <c r="Z407" i="6"/>
  <c r="Z409" i="6"/>
  <c r="Z410" i="6"/>
  <c r="Z411" i="6"/>
  <c r="Z412" i="6"/>
  <c r="Z413" i="6"/>
  <c r="Z414" i="6"/>
  <c r="Z415" i="6"/>
  <c r="Z416" i="6"/>
  <c r="Z356" i="6"/>
  <c r="Z372" i="6"/>
  <c r="Z417" i="6"/>
  <c r="Z418" i="6"/>
  <c r="Z419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12" i="6"/>
  <c r="Z8" i="6"/>
  <c r="Y5" i="6"/>
  <c r="AA7" i="6"/>
  <c r="Z10" i="6"/>
  <c r="Z9" i="6"/>
  <c r="Z11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5" i="6"/>
  <c r="AA63" i="6"/>
  <c r="AA71" i="6"/>
  <c r="AA79" i="6"/>
  <c r="AA87" i="6"/>
  <c r="AA91" i="6"/>
  <c r="AA52" i="6"/>
  <c r="AA60" i="6"/>
  <c r="AA68" i="6"/>
  <c r="AA76" i="6"/>
  <c r="AA84" i="6"/>
  <c r="AA90" i="6"/>
  <c r="AA49" i="6"/>
  <c r="AA57" i="6"/>
  <c r="AA65" i="6"/>
  <c r="AA73" i="6"/>
  <c r="AA81" i="6"/>
  <c r="AA89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46" i="6"/>
  <c r="AA54" i="6"/>
  <c r="AA62" i="6"/>
  <c r="AA70" i="6"/>
  <c r="AA78" i="6"/>
  <c r="AA86" i="6"/>
  <c r="AA96" i="6"/>
  <c r="AA51" i="6"/>
  <c r="AA59" i="6"/>
  <c r="AA67" i="6"/>
  <c r="AA75" i="6"/>
  <c r="AA83" i="6"/>
  <c r="AA95" i="6"/>
  <c r="AA48" i="6"/>
  <c r="AA56" i="6"/>
  <c r="AA64" i="6"/>
  <c r="AA72" i="6"/>
  <c r="AA80" i="6"/>
  <c r="AA88" i="6"/>
  <c r="AA94" i="6"/>
  <c r="AA45" i="6"/>
  <c r="AA53" i="6"/>
  <c r="AA61" i="6"/>
  <c r="AA69" i="6"/>
  <c r="AA77" i="6"/>
  <c r="AA85" i="6"/>
  <c r="AA93" i="6"/>
  <c r="AA50" i="6"/>
  <c r="AA74" i="6"/>
  <c r="AA138" i="6"/>
  <c r="AA142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162" i="6"/>
  <c r="AA141" i="6"/>
  <c r="AA145" i="6"/>
  <c r="AA149" i="6"/>
  <c r="AA153" i="6"/>
  <c r="AA157" i="6"/>
  <c r="AA167" i="6"/>
  <c r="AA66" i="6"/>
  <c r="AA137" i="6"/>
  <c r="AA161" i="6"/>
  <c r="AA166" i="6"/>
  <c r="AA140" i="6"/>
  <c r="AA144" i="6"/>
  <c r="AA148" i="6"/>
  <c r="AA152" i="6"/>
  <c r="AA156" i="6"/>
  <c r="AA92" i="6"/>
  <c r="AA160" i="6"/>
  <c r="AA58" i="6"/>
  <c r="AA136" i="6"/>
  <c r="AA165" i="6"/>
  <c r="AA82" i="6"/>
  <c r="AA139" i="6"/>
  <c r="AA143" i="6"/>
  <c r="AA147" i="6"/>
  <c r="AA151" i="6"/>
  <c r="AA155" i="6"/>
  <c r="AA159" i="6"/>
  <c r="AA163" i="6"/>
  <c r="AA232" i="6"/>
  <c r="AA230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146" i="6"/>
  <c r="AA150" i="6"/>
  <c r="AA154" i="6"/>
  <c r="AA158" i="6"/>
  <c r="AA164" i="6"/>
  <c r="AA235" i="6"/>
  <c r="AA234" i="6"/>
  <c r="AA231" i="6"/>
  <c r="AA233" i="6"/>
  <c r="AA361" i="6"/>
  <c r="AA296" i="6"/>
  <c r="AA298" i="6"/>
  <c r="AA300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2" i="6"/>
  <c r="AA334" i="6"/>
  <c r="AA336" i="6"/>
  <c r="AA338" i="6"/>
  <c r="AA340" i="6"/>
  <c r="AA342" i="6"/>
  <c r="AA344" i="6"/>
  <c r="AA346" i="6"/>
  <c r="AA348" i="6"/>
  <c r="AA366" i="6"/>
  <c r="AA351" i="6"/>
  <c r="AA355" i="6"/>
  <c r="AA371" i="6"/>
  <c r="AA360" i="6"/>
  <c r="AA365" i="6"/>
  <c r="AA354" i="6"/>
  <c r="AA370" i="6"/>
  <c r="AA359" i="6"/>
  <c r="AA356" i="6"/>
  <c r="AA372" i="6"/>
  <c r="AA350" i="6"/>
  <c r="AA364" i="6"/>
  <c r="AA353" i="6"/>
  <c r="AA369" i="6"/>
  <c r="AA297" i="6"/>
  <c r="AA299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1" i="6"/>
  <c r="AA333" i="6"/>
  <c r="AA335" i="6"/>
  <c r="AA337" i="6"/>
  <c r="AA339" i="6"/>
  <c r="AA341" i="6"/>
  <c r="AA343" i="6"/>
  <c r="AA345" i="6"/>
  <c r="AA347" i="6"/>
  <c r="AA358" i="6"/>
  <c r="AA363" i="6"/>
  <c r="AA368" i="6"/>
  <c r="AA349" i="6"/>
  <c r="AA357" i="6"/>
  <c r="AA352" i="6"/>
  <c r="AA362" i="6"/>
  <c r="AA367" i="6"/>
  <c r="AA373" i="6"/>
  <c r="AA374" i="6"/>
  <c r="AA375" i="6"/>
  <c r="AA376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82" i="6"/>
  <c r="AA486" i="6"/>
  <c r="AA490" i="6"/>
  <c r="AA492" i="6"/>
  <c r="AA494" i="6"/>
  <c r="AA496" i="6"/>
  <c r="AA498" i="6"/>
  <c r="AA483" i="6"/>
  <c r="AA487" i="6"/>
  <c r="AA489" i="6"/>
  <c r="AA491" i="6"/>
  <c r="AA493" i="6"/>
  <c r="AA497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4" i="6"/>
  <c r="AA485" i="6"/>
  <c r="AA488" i="6"/>
  <c r="AA495" i="6"/>
  <c r="AA11" i="6"/>
  <c r="Z5" i="6"/>
  <c r="AA8" i="6"/>
  <c r="AA10" i="6"/>
  <c r="AA12" i="6"/>
  <c r="AA9" i="6"/>
  <c r="AB7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9" i="6"/>
  <c r="AB386" i="6"/>
  <c r="AB391" i="6"/>
  <c r="AB395" i="6"/>
  <c r="AB399" i="6"/>
  <c r="AB403" i="6"/>
  <c r="AB408" i="6"/>
  <c r="AB413" i="6"/>
  <c r="AB416" i="6"/>
  <c r="AB384" i="6"/>
  <c r="AB410" i="6"/>
  <c r="AB375" i="6"/>
  <c r="AB378" i="6"/>
  <c r="AB381" i="6"/>
  <c r="AB383" i="6"/>
  <c r="AB387" i="6"/>
  <c r="AB392" i="6"/>
  <c r="AB396" i="6"/>
  <c r="AB400" i="6"/>
  <c r="AB404" i="6"/>
  <c r="AB409" i="6"/>
  <c r="AB414" i="6"/>
  <c r="AB376" i="6"/>
  <c r="AB394" i="6"/>
  <c r="AB402" i="6"/>
  <c r="AB406" i="6"/>
  <c r="AB411" i="6"/>
  <c r="AB374" i="6"/>
  <c r="AB390" i="6"/>
  <c r="AB398" i="6"/>
  <c r="AB405" i="6"/>
  <c r="AB412" i="6"/>
  <c r="AB388" i="6"/>
  <c r="AB373" i="6"/>
  <c r="AB377" i="6"/>
  <c r="AB380" i="6"/>
  <c r="AB382" i="6"/>
  <c r="AB385" i="6"/>
  <c r="AB389" i="6"/>
  <c r="AB393" i="6"/>
  <c r="AB397" i="6"/>
  <c r="AB401" i="6"/>
  <c r="AB407" i="6"/>
  <c r="AB415" i="6"/>
  <c r="AB492" i="6"/>
  <c r="AB496" i="6"/>
  <c r="AB490" i="6"/>
  <c r="AB494" i="6"/>
  <c r="AB497" i="6"/>
  <c r="AB498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1" i="6"/>
  <c r="AB493" i="6"/>
  <c r="AB495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<sst xmlns="http://schemas.openxmlformats.org/spreadsheetml/2006/main" count="4787" uniqueCount="2098">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</sst>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7"/>
  <sheetViews>
    <sheetView tabSelected="1" zoomScaleNormal="100" workbookViewId="0">
      <pane ySplit="7" topLeftCell="A194" activePane="bottomLeft" state="frozen"/>
      <selection pane="bottomLeft" activeCell="S196" sqref="S196:AI201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123</v>
      </c>
      <c r="F3" s="5">
        <f>+AD6</f>
        <v>116</v>
      </c>
      <c r="G3" s="5">
        <f>+AF6</f>
        <v>111</v>
      </c>
      <c r="H3" s="5">
        <f>+E3-G3</f>
        <v>12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329</v>
      </c>
      <c r="F4" s="7">
        <f>+AE6</f>
        <v>203</v>
      </c>
      <c r="G4" s="7">
        <f>+AG6</f>
        <v>184</v>
      </c>
      <c r="H4" s="5">
        <f>+E4-G4</f>
        <v>145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452</v>
      </c>
      <c r="F5" s="8">
        <f>+F3+F4</f>
        <v>319</v>
      </c>
      <c r="G5" s="8">
        <f>+G3+G4</f>
        <v>295</v>
      </c>
      <c r="H5" s="8">
        <f>+H3+H4</f>
        <v>157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SUM(S8:S2440)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SUM(AD8:AD1709)</f>
        <v>116</v>
      </c>
      <c r="AE6" s="1">
        <f t="shared" si="1"/>
        <v>203</v>
      </c>
      <c r="AF6" s="1">
        <f t="shared" si="1"/>
        <v>111</v>
      </c>
      <c r="AG6" s="1">
        <f t="shared" si="1"/>
        <v>184</v>
      </c>
      <c r="AH6" s="1">
        <f t="shared" si="1"/>
        <v>123</v>
      </c>
      <c r="AI6" s="1">
        <f t="shared" si="1"/>
        <v>329</v>
      </c>
    </row>
    <row r="7" spans="1:35" s="69" customFormat="1" ht="14.25" customHeight="1" x14ac:dyDescent="0.25">
      <c r="A7" s="27" t="s">
        <v>1355</v>
      </c>
      <c r="B7" s="27" t="s">
        <v>1356</v>
      </c>
      <c r="C7" s="27" t="s">
        <v>1357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1358</v>
      </c>
      <c r="K7" s="27" t="s">
        <v>1617</v>
      </c>
      <c r="L7" s="27" t="s">
        <v>17</v>
      </c>
      <c r="M7" s="29" t="s">
        <v>1359</v>
      </c>
      <c r="N7" s="28" t="s">
        <v>0</v>
      </c>
      <c r="O7" s="18" t="s">
        <v>1</v>
      </c>
      <c r="P7" s="18" t="s">
        <v>2</v>
      </c>
      <c r="Q7" s="29" t="s">
        <v>1865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1727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1575</v>
      </c>
      <c r="E9" s="32" t="s">
        <v>170</v>
      </c>
      <c r="F9" s="32" t="s">
        <v>1525</v>
      </c>
      <c r="G9" s="32" t="s">
        <v>39</v>
      </c>
      <c r="H9" s="32" t="s">
        <v>361</v>
      </c>
      <c r="I9" s="31" t="s">
        <v>1526</v>
      </c>
      <c r="J9" s="31">
        <v>99</v>
      </c>
      <c r="K9" s="33" t="s">
        <v>951</v>
      </c>
      <c r="L9" s="33" t="s">
        <v>1685</v>
      </c>
      <c r="M9" s="34" t="s">
        <v>1363</v>
      </c>
      <c r="N9" s="34" t="s">
        <v>1711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1686</v>
      </c>
      <c r="M10" s="47" t="s">
        <v>1360</v>
      </c>
      <c r="N10" s="47" t="s">
        <v>1731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1361</v>
      </c>
      <c r="N11" s="34" t="s">
        <v>1809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1689</v>
      </c>
      <c r="M12" s="47" t="s">
        <v>1106</v>
      </c>
      <c r="N12" s="47" t="s">
        <v>1720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1690</v>
      </c>
      <c r="M13" s="47" t="s">
        <v>1106</v>
      </c>
      <c r="N13" s="47" t="s">
        <v>1720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6" si="19">+O13*P13*(1-A13)</f>
        <v>0</v>
      </c>
      <c r="AG13" s="1">
        <f t="shared" ref="AG13:AG76" si="20">O13*(1-P13)*(1-A13)</f>
        <v>0</v>
      </c>
      <c r="AH13" s="1">
        <f t="shared" ref="AH13:AH76" si="21">+P13*(1-A13)</f>
        <v>0</v>
      </c>
      <c r="AI13" s="1">
        <f t="shared" ref="AI13:AI76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1277</v>
      </c>
      <c r="G14" s="32" t="s">
        <v>239</v>
      </c>
      <c r="H14" s="32" t="s">
        <v>352</v>
      </c>
      <c r="I14" s="31" t="s">
        <v>1344</v>
      </c>
      <c r="J14" s="31">
        <v>1</v>
      </c>
      <c r="K14" s="33" t="s">
        <v>947</v>
      </c>
      <c r="L14" s="33" t="s">
        <v>1692</v>
      </c>
      <c r="M14" s="34" t="s">
        <v>1362</v>
      </c>
      <c r="N14" s="34" t="s">
        <v>1732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1690</v>
      </c>
      <c r="M15" s="47" t="s">
        <v>1106</v>
      </c>
      <c r="N15" s="47" t="s">
        <v>1731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1682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1078</v>
      </c>
      <c r="G17" s="45" t="s">
        <v>39</v>
      </c>
      <c r="H17" s="45" t="s">
        <v>353</v>
      </c>
      <c r="I17" s="44" t="s">
        <v>1100</v>
      </c>
      <c r="J17" s="44">
        <v>11</v>
      </c>
      <c r="K17" s="46" t="s">
        <v>953</v>
      </c>
      <c r="L17" s="46" t="s">
        <v>1698</v>
      </c>
      <c r="M17" s="47" t="s">
        <v>1363</v>
      </c>
      <c r="N17" s="47" t="s">
        <v>1725</v>
      </c>
      <c r="O17" s="48"/>
      <c r="P17" s="48"/>
      <c r="Q17" s="45"/>
      <c r="S17" s="1">
        <f t="shared" ref="S17:S80" si="23">IF(J17=$S$7,1,0)</f>
        <v>0</v>
      </c>
      <c r="T17" s="1">
        <f t="shared" ref="T17:T80" si="24">IF(J17=$T$7,1,0)</f>
        <v>0</v>
      </c>
      <c r="U17" s="1">
        <f t="shared" ref="U17:U80" si="25">IF(J17=$U$7,1,0)</f>
        <v>0</v>
      </c>
      <c r="V17" s="1">
        <f t="shared" ref="V17:V80" si="26">IF(J17=$V$7,1,0)</f>
        <v>0</v>
      </c>
      <c r="W17" s="1">
        <f t="shared" ref="W17:W80" si="27">IF(J17=$W$7,1,0)</f>
        <v>0</v>
      </c>
      <c r="X17" s="1">
        <f t="shared" ref="X17:X80" si="28">IF(J17=$X$7,1,0)</f>
        <v>0</v>
      </c>
      <c r="Y17" s="1">
        <f t="shared" ref="Y17:Y80" si="29">IF(J17=$Y$7,1,0)</f>
        <v>0</v>
      </c>
      <c r="Z17" s="1">
        <f t="shared" ref="Z17:Z80" si="30">IF(J17=$Z$7,1,0)</f>
        <v>0</v>
      </c>
      <c r="AA17" s="1">
        <f t="shared" ref="AA17:AA80" si="31">IF(J17=$AA$7,1,0)</f>
        <v>0</v>
      </c>
      <c r="AB17" s="1">
        <f t="shared" ref="AB17:AB80" si="32">IF(J17=$AB$7,1,0)</f>
        <v>0</v>
      </c>
      <c r="AD17" s="1">
        <f t="shared" ref="AD17:AD80" si="33">+O17*P17</f>
        <v>0</v>
      </c>
      <c r="AE17" s="1">
        <f t="shared" ref="AE17:AE80" si="34">O17*(1-P17)</f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1363</v>
      </c>
      <c r="N18" s="47" t="s">
        <v>1786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1833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954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1877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0</v>
      </c>
      <c r="AE20" s="1">
        <f t="shared" si="34"/>
        <v>0</v>
      </c>
      <c r="AF20" s="1">
        <f t="shared" si="19"/>
        <v>0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1711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1717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1690</v>
      </c>
      <c r="M23" s="34" t="s">
        <v>1106</v>
      </c>
      <c r="N23" s="34" t="s">
        <v>1727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1572</v>
      </c>
      <c r="E24" s="32" t="s">
        <v>170</v>
      </c>
      <c r="F24" s="32" t="s">
        <v>1573</v>
      </c>
      <c r="G24" s="32" t="s">
        <v>212</v>
      </c>
      <c r="H24" s="32" t="s">
        <v>352</v>
      </c>
      <c r="I24" s="31" t="s">
        <v>1574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1711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1733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1699</v>
      </c>
      <c r="M27" s="47" t="s">
        <v>1364</v>
      </c>
      <c r="N27" s="47" t="s">
        <v>1720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1717</v>
      </c>
      <c r="O28" s="35">
        <v>1</v>
      </c>
      <c r="P28" s="35">
        <v>1</v>
      </c>
      <c r="Q28" s="32" t="s">
        <v>1896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1694</v>
      </c>
      <c r="M29" s="34" t="s">
        <v>1544</v>
      </c>
      <c r="N29" s="34" t="s">
        <v>1740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1717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1365</v>
      </c>
      <c r="N31" s="47" t="s">
        <v>1718</v>
      </c>
      <c r="O31" s="48"/>
      <c r="P31" s="48"/>
      <c r="Q31" s="65" t="s">
        <v>1890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1690</v>
      </c>
      <c r="M32" s="34" t="s">
        <v>1366</v>
      </c>
      <c r="N32" s="34" t="s">
        <v>1740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1533</v>
      </c>
      <c r="E33" s="36" t="s">
        <v>1230</v>
      </c>
      <c r="F33" s="36" t="s">
        <v>1534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1773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1446</v>
      </c>
      <c r="E34" s="36" t="s">
        <v>1448</v>
      </c>
      <c r="F34" s="36" t="s">
        <v>1447</v>
      </c>
      <c r="G34" s="36"/>
      <c r="H34" s="36" t="s">
        <v>1122</v>
      </c>
      <c r="I34" s="37" t="s">
        <v>1449</v>
      </c>
      <c r="J34" s="31">
        <v>99</v>
      </c>
      <c r="K34" s="33" t="s">
        <v>699</v>
      </c>
      <c r="L34" s="33"/>
      <c r="M34" s="34"/>
      <c r="N34" s="34" t="s">
        <v>1711</v>
      </c>
      <c r="O34" s="35">
        <v>1</v>
      </c>
      <c r="P34" s="35">
        <v>1</v>
      </c>
      <c r="Q34" s="36" t="s">
        <v>1904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1367</v>
      </c>
      <c r="N35" s="47" t="s">
        <v>1731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1852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1786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1746</v>
      </c>
      <c r="E37" s="36" t="s">
        <v>154</v>
      </c>
      <c r="F37" s="36" t="s">
        <v>1747</v>
      </c>
      <c r="G37" s="36"/>
      <c r="H37" s="36" t="s">
        <v>1748</v>
      </c>
      <c r="I37" s="37" t="s">
        <v>1749</v>
      </c>
      <c r="J37" s="31">
        <v>18</v>
      </c>
      <c r="K37" s="33" t="s">
        <v>699</v>
      </c>
      <c r="L37" s="33">
        <v>55</v>
      </c>
      <c r="M37" s="34" t="s">
        <v>1461</v>
      </c>
      <c r="N37" s="34" t="s">
        <v>1717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1687</v>
      </c>
      <c r="M38" s="34" t="s">
        <v>1366</v>
      </c>
      <c r="N38" s="34" t="s">
        <v>1732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1735</v>
      </c>
      <c r="E39" s="36" t="s">
        <v>1736</v>
      </c>
      <c r="F39" s="36" t="s">
        <v>1737</v>
      </c>
      <c r="G39" s="36" t="s">
        <v>319</v>
      </c>
      <c r="H39" s="36" t="s">
        <v>352</v>
      </c>
      <c r="I39" s="37" t="s">
        <v>1738</v>
      </c>
      <c r="J39" s="31">
        <v>99</v>
      </c>
      <c r="K39" s="33" t="s">
        <v>699</v>
      </c>
      <c r="L39" s="33"/>
      <c r="M39" s="34"/>
      <c r="N39" s="34" t="s">
        <v>1717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1684</v>
      </c>
      <c r="M40" s="47" t="s">
        <v>1361</v>
      </c>
      <c r="N40" s="47" t="s">
        <v>1721</v>
      </c>
      <c r="O40" s="48"/>
      <c r="P40" s="48"/>
      <c r="Q40" s="4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1496</v>
      </c>
      <c r="E41" s="36" t="s">
        <v>174</v>
      </c>
      <c r="F41" s="36" t="s">
        <v>1644</v>
      </c>
      <c r="G41" s="36" t="s">
        <v>1498</v>
      </c>
      <c r="H41" s="36" t="s">
        <v>352</v>
      </c>
      <c r="I41" s="37" t="s">
        <v>1497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1711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1688</v>
      </c>
      <c r="M42" s="34" t="s">
        <v>1368</v>
      </c>
      <c r="N42" s="34" t="s">
        <v>1809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1799</v>
      </c>
      <c r="E43" s="45" t="s">
        <v>174</v>
      </c>
      <c r="F43" s="45" t="s">
        <v>1800</v>
      </c>
      <c r="G43" s="45" t="s">
        <v>193</v>
      </c>
      <c r="H43" s="45" t="s">
        <v>352</v>
      </c>
      <c r="I43" s="44" t="s">
        <v>1801</v>
      </c>
      <c r="J43" s="44">
        <v>9</v>
      </c>
      <c r="K43" s="46" t="s">
        <v>699</v>
      </c>
      <c r="L43" s="46">
        <v>60</v>
      </c>
      <c r="M43" s="47" t="s">
        <v>1802</v>
      </c>
      <c r="N43" s="47" t="s">
        <v>1793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1863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1722</v>
      </c>
      <c r="O44" s="48"/>
      <c r="P44" s="48"/>
      <c r="Q44" s="65" t="s">
        <v>1891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1717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1683</v>
      </c>
      <c r="M46" s="47" t="s">
        <v>1106</v>
      </c>
      <c r="N46" s="47" t="s">
        <v>1786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1619</v>
      </c>
      <c r="E47" s="32" t="s">
        <v>173</v>
      </c>
      <c r="F47" s="32" t="s">
        <v>1645</v>
      </c>
      <c r="G47" s="32" t="s">
        <v>250</v>
      </c>
      <c r="H47" s="32" t="s">
        <v>352</v>
      </c>
      <c r="I47" s="31" t="s">
        <v>1547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1711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1515</v>
      </c>
      <c r="E48" s="32" t="s">
        <v>1633</v>
      </c>
      <c r="F48" s="32" t="s">
        <v>1516</v>
      </c>
      <c r="G48" s="32" t="s">
        <v>199</v>
      </c>
      <c r="H48" s="32" t="s">
        <v>352</v>
      </c>
      <c r="I48" s="31" t="s">
        <v>1517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1773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1451</v>
      </c>
      <c r="E49" s="45" t="s">
        <v>1634</v>
      </c>
      <c r="F49" s="45" t="s">
        <v>1450</v>
      </c>
      <c r="G49" s="45" t="s">
        <v>219</v>
      </c>
      <c r="H49" s="45" t="s">
        <v>352</v>
      </c>
      <c r="I49" s="44" t="s">
        <v>1671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1721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1930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1455</v>
      </c>
      <c r="E51" s="32"/>
      <c r="F51" s="32" t="s">
        <v>1456</v>
      </c>
      <c r="G51" s="32" t="s">
        <v>1457</v>
      </c>
      <c r="H51" s="32" t="s">
        <v>352</v>
      </c>
      <c r="I51" s="31" t="s">
        <v>1458</v>
      </c>
      <c r="J51" s="31">
        <v>99</v>
      </c>
      <c r="K51" s="33" t="s">
        <v>699</v>
      </c>
      <c r="L51" s="33">
        <v>35</v>
      </c>
      <c r="M51" s="34" t="s">
        <v>1463</v>
      </c>
      <c r="N51" s="34" t="s">
        <v>1732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1981</v>
      </c>
      <c r="E52" s="32" t="s">
        <v>174</v>
      </c>
      <c r="F52" s="32" t="s">
        <v>1982</v>
      </c>
      <c r="G52" s="32" t="s">
        <v>1983</v>
      </c>
      <c r="H52" s="32" t="s">
        <v>352</v>
      </c>
      <c r="I52" s="31" t="s">
        <v>1984</v>
      </c>
      <c r="J52" s="31">
        <v>99</v>
      </c>
      <c r="K52" s="33" t="s">
        <v>699</v>
      </c>
      <c r="L52" s="33"/>
      <c r="M52" s="34"/>
      <c r="N52" s="34" t="s">
        <v>1717</v>
      </c>
      <c r="O52" s="35">
        <v>1</v>
      </c>
      <c r="P52" s="35">
        <v>1</v>
      </c>
      <c r="Q52" s="32" t="s">
        <v>1985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1786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1773</v>
      </c>
      <c r="O54" s="35">
        <v>1</v>
      </c>
      <c r="P54" s="35"/>
      <c r="Q54" s="32" t="s">
        <v>1894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1</v>
      </c>
      <c r="AF54" s="1">
        <f t="shared" si="19"/>
        <v>0</v>
      </c>
      <c r="AG54" s="1">
        <f t="shared" si="20"/>
        <v>1</v>
      </c>
      <c r="AH54" s="1">
        <f t="shared" si="21"/>
        <v>0</v>
      </c>
      <c r="AI54" s="1">
        <f t="shared" si="22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1623</v>
      </c>
      <c r="E55" s="32" t="s">
        <v>174</v>
      </c>
      <c r="F55" s="32" t="s">
        <v>1649</v>
      </c>
      <c r="G55" s="32" t="s">
        <v>1650</v>
      </c>
      <c r="H55" s="32" t="s">
        <v>352</v>
      </c>
      <c r="I55" s="31" t="s">
        <v>1462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1739</v>
      </c>
      <c r="O55" s="35">
        <v>1</v>
      </c>
      <c r="P55" s="35"/>
      <c r="Q55" s="32" t="s">
        <v>2032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19"/>
        <v>0</v>
      </c>
      <c r="AG55" s="1">
        <f t="shared" si="20"/>
        <v>1</v>
      </c>
      <c r="AH55" s="1">
        <f t="shared" si="21"/>
        <v>0</v>
      </c>
      <c r="AI55" s="1">
        <f t="shared" si="22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643</v>
      </c>
      <c r="E56" s="45" t="s">
        <v>174</v>
      </c>
      <c r="F56" s="45" t="s">
        <v>598</v>
      </c>
      <c r="G56" s="45" t="s">
        <v>591</v>
      </c>
      <c r="H56" s="45" t="s">
        <v>352</v>
      </c>
      <c r="I56" s="44" t="s">
        <v>673</v>
      </c>
      <c r="J56" s="44">
        <v>1</v>
      </c>
      <c r="K56" s="46" t="s">
        <v>698</v>
      </c>
      <c r="L56" s="46" t="s">
        <v>1684</v>
      </c>
      <c r="M56" s="47" t="s">
        <v>1369</v>
      </c>
      <c r="N56" s="47" t="s">
        <v>1719</v>
      </c>
      <c r="O56" s="48"/>
      <c r="P56" s="48"/>
      <c r="Q56" s="45"/>
      <c r="S56" s="1">
        <f t="shared" si="23"/>
        <v>1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19"/>
        <v>0</v>
      </c>
      <c r="AG56" s="1">
        <f t="shared" si="20"/>
        <v>0</v>
      </c>
      <c r="AH56" s="1">
        <f t="shared" si="21"/>
        <v>0</v>
      </c>
      <c r="AI56" s="1">
        <f t="shared" si="22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1174</v>
      </c>
      <c r="E57" s="16" t="s">
        <v>173</v>
      </c>
      <c r="F57" s="16" t="s">
        <v>1175</v>
      </c>
      <c r="G57" s="16" t="s">
        <v>39</v>
      </c>
      <c r="H57" s="16" t="s">
        <v>1177</v>
      </c>
      <c r="I57" s="15" t="s">
        <v>1176</v>
      </c>
      <c r="J57" s="15">
        <v>17</v>
      </c>
      <c r="K57" s="10" t="s">
        <v>699</v>
      </c>
      <c r="L57" s="10" t="s">
        <v>1370</v>
      </c>
      <c r="M57" s="19" t="s">
        <v>1371</v>
      </c>
      <c r="N57" s="17"/>
      <c r="Q57" s="16" t="s">
        <v>1870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0</v>
      </c>
      <c r="AF57" s="1">
        <f t="shared" si="19"/>
        <v>0</v>
      </c>
      <c r="AG57" s="1">
        <f t="shared" si="20"/>
        <v>0</v>
      </c>
      <c r="AH57" s="1">
        <f t="shared" si="21"/>
        <v>0</v>
      </c>
      <c r="AI57" s="1">
        <f t="shared" si="22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1185</v>
      </c>
      <c r="E58" s="16" t="s">
        <v>173</v>
      </c>
      <c r="F58" s="16" t="s">
        <v>1186</v>
      </c>
      <c r="G58" s="16" t="s">
        <v>39</v>
      </c>
      <c r="H58" s="16" t="s">
        <v>1187</v>
      </c>
      <c r="I58" s="15" t="s">
        <v>1188</v>
      </c>
      <c r="J58" s="15">
        <v>18</v>
      </c>
      <c r="K58" s="10" t="s">
        <v>944</v>
      </c>
      <c r="L58" s="10" t="s">
        <v>691</v>
      </c>
      <c r="M58" s="19" t="s">
        <v>957</v>
      </c>
      <c r="N58" s="17"/>
      <c r="Q58" s="16" t="s">
        <v>1869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1016</v>
      </c>
      <c r="E59" s="16" t="s">
        <v>174</v>
      </c>
      <c r="F59" s="16" t="s">
        <v>1018</v>
      </c>
      <c r="G59" s="16" t="s">
        <v>39</v>
      </c>
      <c r="H59" s="16" t="s">
        <v>363</v>
      </c>
      <c r="I59" s="15" t="s">
        <v>1017</v>
      </c>
      <c r="J59" s="15">
        <v>18</v>
      </c>
      <c r="K59" s="10" t="s">
        <v>698</v>
      </c>
      <c r="L59" s="10" t="s">
        <v>1125</v>
      </c>
      <c r="M59" s="19" t="s">
        <v>687</v>
      </c>
      <c r="N59" s="17"/>
      <c r="Q59" s="16"/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1576</v>
      </c>
      <c r="E60" s="32" t="s">
        <v>174</v>
      </c>
      <c r="F60" s="32" t="s">
        <v>1577</v>
      </c>
      <c r="G60" s="32" t="s">
        <v>1578</v>
      </c>
      <c r="H60" s="32" t="s">
        <v>352</v>
      </c>
      <c r="I60" s="31" t="s">
        <v>1471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1711</v>
      </c>
      <c r="O60" s="35">
        <v>1</v>
      </c>
      <c r="P60" s="35">
        <v>1</v>
      </c>
      <c r="Q60" s="32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1</v>
      </c>
      <c r="AE60" s="1">
        <f t="shared" si="34"/>
        <v>0</v>
      </c>
      <c r="AF60" s="1">
        <f t="shared" si="19"/>
        <v>1</v>
      </c>
      <c r="AG60" s="1">
        <f t="shared" si="20"/>
        <v>0</v>
      </c>
      <c r="AH60" s="1">
        <f t="shared" si="21"/>
        <v>1</v>
      </c>
      <c r="AI60" s="1">
        <f t="shared" si="22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1604</v>
      </c>
      <c r="E61" s="32" t="s">
        <v>169</v>
      </c>
      <c r="F61" s="32" t="s">
        <v>1605</v>
      </c>
      <c r="G61" s="32" t="s">
        <v>39</v>
      </c>
      <c r="H61" s="32" t="s">
        <v>353</v>
      </c>
      <c r="I61" s="31" t="s">
        <v>1606</v>
      </c>
      <c r="J61" s="31">
        <v>11</v>
      </c>
      <c r="K61" s="33" t="s">
        <v>944</v>
      </c>
      <c r="L61" s="33" t="s">
        <v>39</v>
      </c>
      <c r="M61" s="34" t="s">
        <v>39</v>
      </c>
      <c r="N61" s="34" t="s">
        <v>1711</v>
      </c>
      <c r="O61" s="35">
        <v>1</v>
      </c>
      <c r="P61" s="35">
        <v>1</v>
      </c>
      <c r="Q61" s="36" t="s">
        <v>1889</v>
      </c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1601</v>
      </c>
      <c r="E62" s="32" t="s">
        <v>173</v>
      </c>
      <c r="F62" s="32" t="s">
        <v>1602</v>
      </c>
      <c r="G62" s="32" t="s">
        <v>1467</v>
      </c>
      <c r="H62" s="32" t="s">
        <v>352</v>
      </c>
      <c r="I62" s="31" t="s">
        <v>1603</v>
      </c>
      <c r="J62" s="31">
        <v>99</v>
      </c>
      <c r="K62" s="33" t="s">
        <v>949</v>
      </c>
      <c r="L62" s="33" t="s">
        <v>39</v>
      </c>
      <c r="M62" s="34" t="s">
        <v>39</v>
      </c>
      <c r="N62" s="34" t="s">
        <v>1711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943</v>
      </c>
      <c r="L63" s="33" t="s">
        <v>39</v>
      </c>
      <c r="M63" s="34" t="s">
        <v>39</v>
      </c>
      <c r="N63" s="34" t="s">
        <v>1711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790</v>
      </c>
      <c r="E64" s="32" t="s">
        <v>173</v>
      </c>
      <c r="F64" s="32" t="s">
        <v>792</v>
      </c>
      <c r="G64" s="32" t="s">
        <v>39</v>
      </c>
      <c r="H64" s="32" t="s">
        <v>791</v>
      </c>
      <c r="I64" s="31" t="s">
        <v>793</v>
      </c>
      <c r="J64" s="31">
        <v>14</v>
      </c>
      <c r="K64" s="33" t="s">
        <v>951</v>
      </c>
      <c r="L64" s="33" t="s">
        <v>1690</v>
      </c>
      <c r="M64" s="34" t="s">
        <v>1363</v>
      </c>
      <c r="N64" s="34" t="s">
        <v>1733</v>
      </c>
      <c r="O64" s="35">
        <v>1</v>
      </c>
      <c r="P64" s="35"/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0</v>
      </c>
      <c r="AE64" s="1">
        <f t="shared" si="34"/>
        <v>1</v>
      </c>
      <c r="AF64" s="1">
        <f t="shared" si="19"/>
        <v>0</v>
      </c>
      <c r="AG64" s="1">
        <f t="shared" si="20"/>
        <v>1</v>
      </c>
      <c r="AH64" s="1">
        <f t="shared" si="21"/>
        <v>0</v>
      </c>
      <c r="AI64" s="1">
        <f t="shared" si="22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1306</v>
      </c>
      <c r="E65" s="16" t="s">
        <v>174</v>
      </c>
      <c r="F65" s="16" t="s">
        <v>1330</v>
      </c>
      <c r="G65" s="16" t="s">
        <v>39</v>
      </c>
      <c r="H65" s="16" t="s">
        <v>361</v>
      </c>
      <c r="I65" s="15" t="s">
        <v>1126</v>
      </c>
      <c r="J65" s="15">
        <v>14</v>
      </c>
      <c r="K65" s="10" t="s">
        <v>718</v>
      </c>
      <c r="L65" s="10" t="s">
        <v>1683</v>
      </c>
      <c r="M65" s="19" t="s">
        <v>959</v>
      </c>
      <c r="N65" s="17"/>
      <c r="Q65" s="16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0</v>
      </c>
      <c r="AF65" s="1">
        <f t="shared" si="19"/>
        <v>0</v>
      </c>
      <c r="AG65" s="1">
        <f t="shared" si="20"/>
        <v>0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1499</v>
      </c>
      <c r="E66" s="45" t="s">
        <v>169</v>
      </c>
      <c r="F66" s="45" t="s">
        <v>1501</v>
      </c>
      <c r="G66" s="45" t="s">
        <v>1149</v>
      </c>
      <c r="H66" s="45" t="s">
        <v>352</v>
      </c>
      <c r="I66" s="44" t="s">
        <v>1500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1793</v>
      </c>
      <c r="O66" s="48"/>
      <c r="P66" s="48"/>
      <c r="Q66" s="4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1121</v>
      </c>
      <c r="E67" s="32" t="s">
        <v>174</v>
      </c>
      <c r="F67" s="32" t="s">
        <v>1124</v>
      </c>
      <c r="G67" s="32" t="s">
        <v>39</v>
      </c>
      <c r="H67" s="32" t="s">
        <v>1122</v>
      </c>
      <c r="I67" s="31" t="s">
        <v>1123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1733</v>
      </c>
      <c r="O67" s="35">
        <v>1</v>
      </c>
      <c r="P67" s="35"/>
      <c r="Q67" s="32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1</v>
      </c>
      <c r="AF67" s="1">
        <f t="shared" si="19"/>
        <v>0</v>
      </c>
      <c r="AG67" s="1">
        <f t="shared" si="20"/>
        <v>1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2071</v>
      </c>
      <c r="G68" s="32" t="s">
        <v>2072</v>
      </c>
      <c r="H68" s="32" t="s">
        <v>352</v>
      </c>
      <c r="I68" s="31"/>
      <c r="J68" s="31">
        <v>1</v>
      </c>
      <c r="K68" s="33" t="s">
        <v>947</v>
      </c>
      <c r="L68" s="33" t="s">
        <v>39</v>
      </c>
      <c r="M68" s="34" t="s">
        <v>39</v>
      </c>
      <c r="N68" s="34" t="s">
        <v>1717</v>
      </c>
      <c r="O68" s="35">
        <v>1</v>
      </c>
      <c r="P68" s="35">
        <v>1</v>
      </c>
      <c r="Q68" s="32" t="s">
        <v>2073</v>
      </c>
      <c r="S68" s="1">
        <f t="shared" si="23"/>
        <v>1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1</v>
      </c>
      <c r="AE68" s="1">
        <f t="shared" si="34"/>
        <v>0</v>
      </c>
      <c r="AF68" s="1">
        <f t="shared" si="19"/>
        <v>1</v>
      </c>
      <c r="AG68" s="1">
        <f t="shared" si="20"/>
        <v>0</v>
      </c>
      <c r="AH68" s="1">
        <f t="shared" si="21"/>
        <v>1</v>
      </c>
      <c r="AI68" s="1">
        <f t="shared" si="22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1431</v>
      </c>
      <c r="E69" s="32" t="s">
        <v>174</v>
      </c>
      <c r="F69" s="32" t="s">
        <v>1428</v>
      </c>
      <c r="G69" s="32" t="s">
        <v>39</v>
      </c>
      <c r="H69" s="32" t="s">
        <v>352</v>
      </c>
      <c r="I69" s="31" t="s">
        <v>1429</v>
      </c>
      <c r="J69" s="31">
        <v>99</v>
      </c>
      <c r="K69" s="33" t="s">
        <v>698</v>
      </c>
      <c r="L69" s="33" t="s">
        <v>685</v>
      </c>
      <c r="M69" s="34" t="s">
        <v>1430</v>
      </c>
      <c r="N69" s="34" t="s">
        <v>1711</v>
      </c>
      <c r="O69" s="35">
        <v>1</v>
      </c>
      <c r="P69" s="35">
        <v>1</v>
      </c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806</v>
      </c>
      <c r="E70" s="39" t="s">
        <v>174</v>
      </c>
      <c r="F70" s="39" t="s">
        <v>924</v>
      </c>
      <c r="G70" s="39" t="s">
        <v>212</v>
      </c>
      <c r="H70" s="39" t="s">
        <v>352</v>
      </c>
      <c r="I70" s="38" t="s">
        <v>807</v>
      </c>
      <c r="J70" s="38">
        <v>1</v>
      </c>
      <c r="K70" s="40" t="s">
        <v>943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0</v>
      </c>
      <c r="AF70" s="1">
        <f t="shared" si="19"/>
        <v>0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1307</v>
      </c>
      <c r="E71" s="32" t="s">
        <v>174</v>
      </c>
      <c r="F71" s="32" t="s">
        <v>1113</v>
      </c>
      <c r="G71" s="32" t="s">
        <v>39</v>
      </c>
      <c r="H71" s="32" t="s">
        <v>1112</v>
      </c>
      <c r="I71" s="31" t="s">
        <v>1111</v>
      </c>
      <c r="J71" s="31">
        <v>15</v>
      </c>
      <c r="K71" s="33" t="s">
        <v>944</v>
      </c>
      <c r="L71" s="33">
        <v>75</v>
      </c>
      <c r="M71" s="34" t="s">
        <v>1372</v>
      </c>
      <c r="N71" s="34" t="s">
        <v>1717</v>
      </c>
      <c r="O71" s="35">
        <v>1</v>
      </c>
      <c r="P71" s="35">
        <v>1</v>
      </c>
      <c r="Q71" s="32" t="s">
        <v>1967</v>
      </c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19"/>
        <v>1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1034</v>
      </c>
      <c r="E72" s="32" t="s">
        <v>173</v>
      </c>
      <c r="F72" s="32" t="s">
        <v>1035</v>
      </c>
      <c r="G72" s="32" t="s">
        <v>624</v>
      </c>
      <c r="H72" s="32" t="s">
        <v>352</v>
      </c>
      <c r="I72" s="31" t="s">
        <v>1036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1717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2037</v>
      </c>
      <c r="E73" s="32" t="s">
        <v>1963</v>
      </c>
      <c r="F73" s="32" t="s">
        <v>2038</v>
      </c>
      <c r="G73" s="32" t="s">
        <v>283</v>
      </c>
      <c r="H73" s="32" t="s">
        <v>352</v>
      </c>
      <c r="I73" s="31" t="s">
        <v>2039</v>
      </c>
      <c r="J73" s="31">
        <v>10</v>
      </c>
      <c r="K73" s="33" t="s">
        <v>699</v>
      </c>
      <c r="L73" s="33"/>
      <c r="M73" s="34"/>
      <c r="N73" s="34" t="s">
        <v>1717</v>
      </c>
      <c r="O73" s="35">
        <v>1</v>
      </c>
      <c r="P73" s="35">
        <v>1</v>
      </c>
      <c r="Q73" s="36" t="s">
        <v>2040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1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1993</v>
      </c>
      <c r="E74" s="32" t="s">
        <v>174</v>
      </c>
      <c r="F74" s="36" t="s">
        <v>1994</v>
      </c>
      <c r="G74" s="36" t="s">
        <v>219</v>
      </c>
      <c r="H74" s="36" t="s">
        <v>352</v>
      </c>
      <c r="I74" s="37" t="s">
        <v>1995</v>
      </c>
      <c r="J74" s="31">
        <v>8</v>
      </c>
      <c r="K74" s="33" t="s">
        <v>699</v>
      </c>
      <c r="L74" s="33"/>
      <c r="M74" s="34"/>
      <c r="N74" s="34" t="s">
        <v>1717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1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947</v>
      </c>
      <c r="L75" s="46" t="s">
        <v>1696</v>
      </c>
      <c r="M75" s="47" t="s">
        <v>1363</v>
      </c>
      <c r="N75" s="47" t="s">
        <v>1722</v>
      </c>
      <c r="O75" s="48"/>
      <c r="P75" s="48"/>
      <c r="Q75" s="45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0</v>
      </c>
      <c r="AE75" s="1">
        <f t="shared" si="34"/>
        <v>0</v>
      </c>
      <c r="AF75" s="1">
        <f t="shared" si="19"/>
        <v>0</v>
      </c>
      <c r="AG75" s="1">
        <f t="shared" si="20"/>
        <v>0</v>
      </c>
      <c r="AH75" s="1">
        <f t="shared" si="21"/>
        <v>0</v>
      </c>
      <c r="AI75" s="1">
        <f t="shared" si="22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1826</v>
      </c>
      <c r="E76" s="32" t="s">
        <v>173</v>
      </c>
      <c r="F76" s="32" t="s">
        <v>1827</v>
      </c>
      <c r="G76" s="32"/>
      <c r="H76" s="32" t="s">
        <v>1828</v>
      </c>
      <c r="I76" s="31" t="s">
        <v>1829</v>
      </c>
      <c r="J76" s="31">
        <v>14</v>
      </c>
      <c r="K76" s="33" t="s">
        <v>699</v>
      </c>
      <c r="L76" s="33">
        <v>75</v>
      </c>
      <c r="M76" s="34" t="s">
        <v>958</v>
      </c>
      <c r="N76" s="34" t="s">
        <v>1727</v>
      </c>
      <c r="O76" s="35">
        <v>1</v>
      </c>
      <c r="P76" s="35"/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1708</v>
      </c>
      <c r="E77" s="32" t="s">
        <v>174</v>
      </c>
      <c r="F77" s="36" t="s">
        <v>1709</v>
      </c>
      <c r="G77" s="36" t="s">
        <v>206</v>
      </c>
      <c r="H77" s="36" t="s">
        <v>352</v>
      </c>
      <c r="I77" s="37" t="s">
        <v>1710</v>
      </c>
      <c r="J77" s="31">
        <v>99</v>
      </c>
      <c r="K77" s="33" t="s">
        <v>699</v>
      </c>
      <c r="L77" s="33"/>
      <c r="M77" s="34"/>
      <c r="N77" s="34" t="s">
        <v>1711</v>
      </c>
      <c r="O77" s="35">
        <v>1</v>
      </c>
      <c r="P77" s="35">
        <v>1</v>
      </c>
      <c r="Q77" s="36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ref="AF77:AF140" si="35">+O77*P77*(1-A77)</f>
        <v>1</v>
      </c>
      <c r="AG77" s="1">
        <f t="shared" ref="AG77:AG140" si="36">O77*(1-P77)*(1-A77)</f>
        <v>0</v>
      </c>
      <c r="AH77" s="1">
        <f t="shared" ref="AH77:AH140" si="37">+P77*(1-A77)</f>
        <v>1</v>
      </c>
      <c r="AI77" s="1">
        <f t="shared" ref="AI77:AI140" si="38">+(1-A77)*(1-P77)</f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1045</v>
      </c>
      <c r="E78" s="32" t="s">
        <v>174</v>
      </c>
      <c r="F78" s="36" t="s">
        <v>1084</v>
      </c>
      <c r="G78" s="36" t="s">
        <v>39</v>
      </c>
      <c r="H78" s="36" t="s">
        <v>1046</v>
      </c>
      <c r="I78" s="37" t="s">
        <v>1145</v>
      </c>
      <c r="J78" s="31">
        <v>13</v>
      </c>
      <c r="K78" s="33" t="s">
        <v>698</v>
      </c>
      <c r="L78" s="33" t="s">
        <v>685</v>
      </c>
      <c r="M78" s="34" t="s">
        <v>1425</v>
      </c>
      <c r="N78" s="34" t="s">
        <v>1733</v>
      </c>
      <c r="O78" s="35">
        <v>1</v>
      </c>
      <c r="P78" s="35"/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1579</v>
      </c>
      <c r="E79" s="32" t="s">
        <v>174</v>
      </c>
      <c r="F79" s="36" t="s">
        <v>1580</v>
      </c>
      <c r="G79" s="36" t="s">
        <v>234</v>
      </c>
      <c r="H79" s="36" t="s">
        <v>352</v>
      </c>
      <c r="I79" s="37" t="s">
        <v>1581</v>
      </c>
      <c r="J79" s="31">
        <v>99</v>
      </c>
      <c r="K79" s="33" t="s">
        <v>943</v>
      </c>
      <c r="L79" s="33">
        <v>45</v>
      </c>
      <c r="M79" s="34" t="s">
        <v>39</v>
      </c>
      <c r="N79" s="34" t="s">
        <v>1773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1309</v>
      </c>
      <c r="E80" s="32" t="s">
        <v>173</v>
      </c>
      <c r="F80" s="36" t="s">
        <v>1252</v>
      </c>
      <c r="G80" s="36" t="s">
        <v>206</v>
      </c>
      <c r="H80" s="36" t="s">
        <v>352</v>
      </c>
      <c r="I80" s="37" t="s">
        <v>1253</v>
      </c>
      <c r="J80" s="31">
        <v>99</v>
      </c>
      <c r="K80" s="33" t="s">
        <v>949</v>
      </c>
      <c r="L80" s="33" t="s">
        <v>39</v>
      </c>
      <c r="M80" s="34" t="s">
        <v>39</v>
      </c>
      <c r="N80" s="34" t="s">
        <v>1711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1783</v>
      </c>
      <c r="E81" s="32" t="s">
        <v>169</v>
      </c>
      <c r="F81" s="36" t="s">
        <v>1781</v>
      </c>
      <c r="G81" s="36" t="s">
        <v>231</v>
      </c>
      <c r="H81" s="36" t="s">
        <v>352</v>
      </c>
      <c r="I81" s="37" t="s">
        <v>1782</v>
      </c>
      <c r="J81" s="31">
        <v>99</v>
      </c>
      <c r="K81" s="33" t="s">
        <v>699</v>
      </c>
      <c r="L81" s="33"/>
      <c r="M81" s="34"/>
      <c r="N81" s="34" t="s">
        <v>1711</v>
      </c>
      <c r="O81" s="35">
        <v>1</v>
      </c>
      <c r="P81" s="35">
        <v>1</v>
      </c>
      <c r="Q81" s="36"/>
      <c r="S81" s="1">
        <f t="shared" ref="S81:S144" si="39">IF(J81=$S$7,1,0)</f>
        <v>0</v>
      </c>
      <c r="T81" s="1">
        <f t="shared" ref="T81:T144" si="40">IF(J81=$T$7,1,0)</f>
        <v>0</v>
      </c>
      <c r="U81" s="1">
        <f t="shared" ref="U81:U144" si="41">IF(J81=$U$7,1,0)</f>
        <v>0</v>
      </c>
      <c r="V81" s="1">
        <f t="shared" ref="V81:V144" si="42">IF(J81=$V$7,1,0)</f>
        <v>0</v>
      </c>
      <c r="W81" s="1">
        <f t="shared" ref="W81:W144" si="43">IF(J81=$W$7,1,0)</f>
        <v>0</v>
      </c>
      <c r="X81" s="1">
        <f t="shared" ref="X81:X144" si="44">IF(J81=$X$7,1,0)</f>
        <v>0</v>
      </c>
      <c r="Y81" s="1">
        <f t="shared" ref="Y81:Y144" si="45">IF(J81=$Y$7,1,0)</f>
        <v>0</v>
      </c>
      <c r="Z81" s="1">
        <f t="shared" ref="Z81:Z144" si="46">IF(J81=$Z$7,1,0)</f>
        <v>0</v>
      </c>
      <c r="AA81" s="1">
        <f t="shared" ref="AA81:AA144" si="47">IF(J81=$AA$7,1,0)</f>
        <v>0</v>
      </c>
      <c r="AB81" s="1">
        <f t="shared" ref="AB81:AB144" si="48">IF(J81=$AB$7,1,0)</f>
        <v>0</v>
      </c>
      <c r="AD81" s="1">
        <f t="shared" ref="AD81:AD144" si="49">+O81*P81</f>
        <v>1</v>
      </c>
      <c r="AE81" s="1">
        <f t="shared" ref="AE81:AE144" si="50">O81*(1-P81)</f>
        <v>0</v>
      </c>
      <c r="AF81" s="1">
        <f t="shared" si="35"/>
        <v>1</v>
      </c>
      <c r="AG81" s="1">
        <f t="shared" si="36"/>
        <v>0</v>
      </c>
      <c r="AH81" s="1">
        <f t="shared" si="37"/>
        <v>1</v>
      </c>
      <c r="AI81" s="1">
        <f t="shared" si="38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1142</v>
      </c>
      <c r="E82" s="32" t="s">
        <v>169</v>
      </c>
      <c r="F82" s="36" t="s">
        <v>1143</v>
      </c>
      <c r="G82" s="36" t="s">
        <v>39</v>
      </c>
      <c r="H82" s="36" t="s">
        <v>1343</v>
      </c>
      <c r="I82" s="37" t="s">
        <v>1144</v>
      </c>
      <c r="J82" s="31">
        <v>11</v>
      </c>
      <c r="K82" s="33" t="s">
        <v>698</v>
      </c>
      <c r="L82" s="33" t="s">
        <v>1683</v>
      </c>
      <c r="M82" s="34" t="s">
        <v>1373</v>
      </c>
      <c r="N82" s="34" t="s">
        <v>1733</v>
      </c>
      <c r="O82" s="35">
        <v>1</v>
      </c>
      <c r="P82" s="35"/>
      <c r="Q82" s="36"/>
      <c r="S82" s="1">
        <f t="shared" si="39"/>
        <v>0</v>
      </c>
      <c r="T82" s="1">
        <f t="shared" si="40"/>
        <v>0</v>
      </c>
      <c r="U82" s="1">
        <f t="shared" si="41"/>
        <v>0</v>
      </c>
      <c r="V82" s="1">
        <f t="shared" si="42"/>
        <v>0</v>
      </c>
      <c r="W82" s="1">
        <f t="shared" si="43"/>
        <v>0</v>
      </c>
      <c r="X82" s="1">
        <f t="shared" si="44"/>
        <v>0</v>
      </c>
      <c r="Y82" s="1">
        <f t="shared" si="45"/>
        <v>0</v>
      </c>
      <c r="Z82" s="1">
        <f t="shared" si="46"/>
        <v>0</v>
      </c>
      <c r="AA82" s="1">
        <f t="shared" si="47"/>
        <v>0</v>
      </c>
      <c r="AB82" s="1">
        <f t="shared" si="48"/>
        <v>0</v>
      </c>
      <c r="AD82" s="1">
        <f t="shared" si="49"/>
        <v>0</v>
      </c>
      <c r="AE82" s="1">
        <f t="shared" si="50"/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1809</v>
      </c>
      <c r="O83" s="35">
        <v>1</v>
      </c>
      <c r="P83" s="35"/>
      <c r="Q83" s="36" t="s">
        <v>1866</v>
      </c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0</v>
      </c>
      <c r="AE83" s="1">
        <f t="shared" si="50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997</v>
      </c>
      <c r="E84" s="32" t="s">
        <v>171</v>
      </c>
      <c r="F84" s="36" t="s">
        <v>998</v>
      </c>
      <c r="G84" s="36" t="s">
        <v>999</v>
      </c>
      <c r="H84" s="36" t="s">
        <v>352</v>
      </c>
      <c r="I84" s="37" t="s">
        <v>1000</v>
      </c>
      <c r="J84" s="31">
        <v>99</v>
      </c>
      <c r="K84" s="33" t="s">
        <v>943</v>
      </c>
      <c r="L84" s="33" t="s">
        <v>39</v>
      </c>
      <c r="M84" s="34" t="s">
        <v>39</v>
      </c>
      <c r="N84" s="34" t="s">
        <v>1717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si="35"/>
        <v>1</v>
      </c>
      <c r="AG84" s="1">
        <f t="shared" si="36"/>
        <v>0</v>
      </c>
      <c r="AH84" s="1">
        <f t="shared" si="37"/>
        <v>1</v>
      </c>
      <c r="AI84" s="1">
        <f t="shared" si="38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944</v>
      </c>
      <c r="L85" s="33" t="s">
        <v>683</v>
      </c>
      <c r="M85" s="34" t="s">
        <v>687</v>
      </c>
      <c r="N85" s="34" t="s">
        <v>1727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1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38">
        <v>0</v>
      </c>
      <c r="B86" s="38">
        <v>1</v>
      </c>
      <c r="C86" s="38">
        <v>3</v>
      </c>
      <c r="D86" s="39" t="s">
        <v>2090</v>
      </c>
      <c r="E86" s="39" t="s">
        <v>169</v>
      </c>
      <c r="F86" s="54" t="s">
        <v>2091</v>
      </c>
      <c r="G86" s="39" t="s">
        <v>206</v>
      </c>
      <c r="H86" s="39" t="s">
        <v>352</v>
      </c>
      <c r="I86" s="38" t="s">
        <v>2092</v>
      </c>
      <c r="J86" s="38">
        <v>99</v>
      </c>
      <c r="K86" s="40" t="s">
        <v>699</v>
      </c>
      <c r="L86" s="40"/>
      <c r="M86" s="41"/>
      <c r="N86" s="42"/>
      <c r="O86" s="43"/>
      <c r="P86" s="43">
        <v>1</v>
      </c>
      <c r="Q86" s="54" t="s">
        <v>2093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0</v>
      </c>
      <c r="AF86" s="1">
        <f t="shared" si="35"/>
        <v>0</v>
      </c>
      <c r="AG86" s="1">
        <f t="shared" si="36"/>
        <v>0</v>
      </c>
      <c r="AH86" s="1">
        <f t="shared" si="37"/>
        <v>1</v>
      </c>
      <c r="AI86" s="1">
        <f t="shared" si="38"/>
        <v>0</v>
      </c>
    </row>
    <row r="87" spans="1:35" ht="14.25" customHeight="1" x14ac:dyDescent="0.25">
      <c r="A87" s="15">
        <v>0</v>
      </c>
      <c r="B87" s="15">
        <v>1</v>
      </c>
      <c r="C87" s="15">
        <v>3</v>
      </c>
      <c r="D87" s="16" t="s">
        <v>1770</v>
      </c>
      <c r="E87" s="16" t="s">
        <v>171</v>
      </c>
      <c r="F87" s="16" t="s">
        <v>1772</v>
      </c>
      <c r="G87" s="16"/>
      <c r="H87" s="16" t="s">
        <v>362</v>
      </c>
      <c r="I87" s="15" t="s">
        <v>1771</v>
      </c>
      <c r="J87" s="15">
        <v>17</v>
      </c>
      <c r="K87" s="10" t="s">
        <v>699</v>
      </c>
      <c r="L87" s="10" t="s">
        <v>1726</v>
      </c>
      <c r="M87" s="19" t="s">
        <v>687</v>
      </c>
      <c r="N87" s="17"/>
      <c r="Q87" s="20" t="s">
        <v>1898</v>
      </c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0</v>
      </c>
      <c r="AF87" s="1">
        <f t="shared" si="35"/>
        <v>0</v>
      </c>
      <c r="AG87" s="1">
        <f t="shared" si="36"/>
        <v>0</v>
      </c>
      <c r="AH87" s="1">
        <f t="shared" si="37"/>
        <v>0</v>
      </c>
      <c r="AI87" s="1">
        <f t="shared" si="38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2" t="s">
        <v>1794</v>
      </c>
      <c r="E88" s="32" t="s">
        <v>171</v>
      </c>
      <c r="F88" s="32" t="s">
        <v>1795</v>
      </c>
      <c r="G88" s="32" t="s">
        <v>1796</v>
      </c>
      <c r="H88" s="32" t="s">
        <v>352</v>
      </c>
      <c r="I88" s="31" t="s">
        <v>1797</v>
      </c>
      <c r="J88" s="31">
        <v>1</v>
      </c>
      <c r="K88" s="33" t="s">
        <v>699</v>
      </c>
      <c r="L88" s="33">
        <v>60</v>
      </c>
      <c r="M88" s="34" t="s">
        <v>1798</v>
      </c>
      <c r="N88" s="34" t="s">
        <v>1833</v>
      </c>
      <c r="O88" s="35">
        <v>1</v>
      </c>
      <c r="P88" s="35"/>
      <c r="Q88" s="32"/>
      <c r="S88" s="1">
        <f t="shared" si="39"/>
        <v>1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0</v>
      </c>
      <c r="AE88" s="1">
        <f t="shared" si="50"/>
        <v>1</v>
      </c>
      <c r="AF88" s="1">
        <f t="shared" si="35"/>
        <v>0</v>
      </c>
      <c r="AG88" s="1">
        <f t="shared" si="36"/>
        <v>1</v>
      </c>
      <c r="AH88" s="1">
        <f t="shared" si="37"/>
        <v>0</v>
      </c>
      <c r="AI88" s="1">
        <f t="shared" si="38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2047</v>
      </c>
      <c r="E89" s="36" t="s">
        <v>175</v>
      </c>
      <c r="F89" s="36" t="s">
        <v>2045</v>
      </c>
      <c r="G89" s="36" t="s">
        <v>219</v>
      </c>
      <c r="H89" s="36" t="s">
        <v>352</v>
      </c>
      <c r="I89" s="37" t="s">
        <v>2046</v>
      </c>
      <c r="J89" s="31">
        <v>8</v>
      </c>
      <c r="K89" s="33" t="s">
        <v>699</v>
      </c>
      <c r="L89" s="33"/>
      <c r="M89" s="34"/>
      <c r="N89" s="34" t="s">
        <v>1717</v>
      </c>
      <c r="O89" s="35">
        <v>1</v>
      </c>
      <c r="P89" s="35">
        <v>1</v>
      </c>
      <c r="Q89" s="36"/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1</v>
      </c>
      <c r="AA89" s="1">
        <f t="shared" si="47"/>
        <v>0</v>
      </c>
      <c r="AB89" s="1">
        <f t="shared" si="48"/>
        <v>0</v>
      </c>
      <c r="AD89" s="1">
        <f t="shared" si="49"/>
        <v>1</v>
      </c>
      <c r="AE89" s="1">
        <f t="shared" si="50"/>
        <v>0</v>
      </c>
      <c r="AF89" s="1">
        <f t="shared" si="35"/>
        <v>1</v>
      </c>
      <c r="AG89" s="1">
        <f t="shared" si="36"/>
        <v>0</v>
      </c>
      <c r="AH89" s="1">
        <f t="shared" si="37"/>
        <v>1</v>
      </c>
      <c r="AI89" s="1">
        <f t="shared" si="38"/>
        <v>0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1582</v>
      </c>
      <c r="E90" s="32" t="s">
        <v>174</v>
      </c>
      <c r="F90" s="36" t="s">
        <v>317</v>
      </c>
      <c r="G90" s="36" t="s">
        <v>268</v>
      </c>
      <c r="H90" s="36" t="s">
        <v>352</v>
      </c>
      <c r="I90" s="37" t="s">
        <v>463</v>
      </c>
      <c r="J90" s="31">
        <v>8</v>
      </c>
      <c r="K90" s="33" t="s">
        <v>698</v>
      </c>
      <c r="L90" s="33" t="s">
        <v>685</v>
      </c>
      <c r="M90" s="34" t="s">
        <v>687</v>
      </c>
      <c r="N90" s="34" t="s">
        <v>1739</v>
      </c>
      <c r="O90" s="35">
        <v>1</v>
      </c>
      <c r="P90" s="35"/>
      <c r="Q90" s="36"/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1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35"/>
        <v>0</v>
      </c>
      <c r="AG90" s="1">
        <f t="shared" si="36"/>
        <v>1</v>
      </c>
      <c r="AH90" s="1">
        <f t="shared" si="37"/>
        <v>0</v>
      </c>
      <c r="AI90" s="1">
        <f t="shared" si="38"/>
        <v>1</v>
      </c>
    </row>
    <row r="91" spans="1:35" ht="14.25" customHeight="1" x14ac:dyDescent="0.25">
      <c r="A91" s="38">
        <v>0</v>
      </c>
      <c r="B91" s="38">
        <v>1</v>
      </c>
      <c r="C91" s="38">
        <v>3</v>
      </c>
      <c r="D91" s="39" t="s">
        <v>135</v>
      </c>
      <c r="E91" s="39" t="s">
        <v>171</v>
      </c>
      <c r="F91" s="54" t="s">
        <v>1864</v>
      </c>
      <c r="G91" s="39" t="s">
        <v>239</v>
      </c>
      <c r="H91" s="39" t="s">
        <v>352</v>
      </c>
      <c r="I91" s="38" t="s">
        <v>481</v>
      </c>
      <c r="J91" s="38">
        <v>1</v>
      </c>
      <c r="K91" s="40" t="s">
        <v>943</v>
      </c>
      <c r="L91" s="40" t="s">
        <v>685</v>
      </c>
      <c r="M91" s="41" t="s">
        <v>687</v>
      </c>
      <c r="N91" s="42"/>
      <c r="O91" s="43"/>
      <c r="P91" s="43">
        <v>1</v>
      </c>
      <c r="Q91" s="39"/>
      <c r="S91" s="1">
        <f t="shared" si="39"/>
        <v>1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0</v>
      </c>
      <c r="AF91" s="1">
        <f t="shared" si="35"/>
        <v>0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ht="14.25" customHeight="1" x14ac:dyDescent="0.25">
      <c r="A92" s="44">
        <v>0</v>
      </c>
      <c r="B92" s="44">
        <v>1</v>
      </c>
      <c r="C92" s="44">
        <v>3</v>
      </c>
      <c r="D92" s="45" t="s">
        <v>781</v>
      </c>
      <c r="E92" s="45" t="s">
        <v>606</v>
      </c>
      <c r="F92" s="45" t="s">
        <v>783</v>
      </c>
      <c r="G92" s="45" t="s">
        <v>213</v>
      </c>
      <c r="H92" s="45" t="s">
        <v>352</v>
      </c>
      <c r="I92" s="44" t="s">
        <v>782</v>
      </c>
      <c r="J92" s="44">
        <v>99</v>
      </c>
      <c r="K92" s="46" t="s">
        <v>718</v>
      </c>
      <c r="L92" s="46" t="s">
        <v>1683</v>
      </c>
      <c r="M92" s="47" t="s">
        <v>1374</v>
      </c>
      <c r="N92" s="47" t="s">
        <v>1731</v>
      </c>
      <c r="O92" s="48"/>
      <c r="P92" s="48"/>
      <c r="Q92" s="45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0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0</v>
      </c>
      <c r="AF92" s="1">
        <f t="shared" si="35"/>
        <v>0</v>
      </c>
      <c r="AG92" s="1">
        <f t="shared" si="36"/>
        <v>0</v>
      </c>
      <c r="AH92" s="1">
        <f t="shared" si="37"/>
        <v>0</v>
      </c>
      <c r="AI92" s="1">
        <f t="shared" si="38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2" t="s">
        <v>77</v>
      </c>
      <c r="E93" s="32" t="s">
        <v>171</v>
      </c>
      <c r="F93" s="32" t="s">
        <v>266</v>
      </c>
      <c r="G93" s="32" t="s">
        <v>262</v>
      </c>
      <c r="H93" s="32" t="s">
        <v>352</v>
      </c>
      <c r="I93" s="31" t="s">
        <v>422</v>
      </c>
      <c r="J93" s="31">
        <v>1</v>
      </c>
      <c r="K93" s="33" t="s">
        <v>943</v>
      </c>
      <c r="L93" s="33" t="s">
        <v>1683</v>
      </c>
      <c r="M93" s="34" t="s">
        <v>957</v>
      </c>
      <c r="N93" s="34" t="s">
        <v>1727</v>
      </c>
      <c r="O93" s="35">
        <v>1</v>
      </c>
      <c r="P93" s="35"/>
      <c r="Q93" s="32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35"/>
        <v>0</v>
      </c>
      <c r="AG93" s="1">
        <f t="shared" si="36"/>
        <v>1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20" t="s">
        <v>1935</v>
      </c>
      <c r="E94" s="20" t="s">
        <v>1963</v>
      </c>
      <c r="F94" s="20" t="s">
        <v>1964</v>
      </c>
      <c r="G94" s="20"/>
      <c r="H94" s="20" t="s">
        <v>1962</v>
      </c>
      <c r="I94" s="21" t="s">
        <v>1965</v>
      </c>
      <c r="J94" s="15">
        <v>18</v>
      </c>
      <c r="K94" s="10" t="s">
        <v>699</v>
      </c>
      <c r="L94" s="10" t="s">
        <v>1726</v>
      </c>
      <c r="M94" s="19" t="s">
        <v>958</v>
      </c>
      <c r="N94" s="17"/>
      <c r="Q94" s="20" t="s">
        <v>1966</v>
      </c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35"/>
        <v>0</v>
      </c>
      <c r="AG94" s="1">
        <f t="shared" si="36"/>
        <v>0</v>
      </c>
      <c r="AH94" s="1">
        <f t="shared" si="37"/>
        <v>0</v>
      </c>
      <c r="AI94" s="1">
        <f t="shared" si="38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1509</v>
      </c>
      <c r="E95" s="32" t="s">
        <v>175</v>
      </c>
      <c r="F95" s="36" t="s">
        <v>1510</v>
      </c>
      <c r="G95" s="36" t="s">
        <v>39</v>
      </c>
      <c r="H95" s="36" t="s">
        <v>895</v>
      </c>
      <c r="I95" s="37" t="s">
        <v>1511</v>
      </c>
      <c r="J95" s="31">
        <v>11</v>
      </c>
      <c r="K95" s="33" t="s">
        <v>951</v>
      </c>
      <c r="L95" s="33" t="s">
        <v>39</v>
      </c>
      <c r="M95" s="34" t="s">
        <v>39</v>
      </c>
      <c r="N95" s="34" t="s">
        <v>1717</v>
      </c>
      <c r="O95" s="35">
        <v>1</v>
      </c>
      <c r="P95" s="35">
        <v>1</v>
      </c>
      <c r="Q95" s="36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1</v>
      </c>
      <c r="AE95" s="1">
        <f t="shared" si="50"/>
        <v>0</v>
      </c>
      <c r="AF95" s="1">
        <f t="shared" si="35"/>
        <v>1</v>
      </c>
      <c r="AG95" s="1">
        <f t="shared" si="36"/>
        <v>0</v>
      </c>
      <c r="AH95" s="1">
        <f t="shared" si="37"/>
        <v>1</v>
      </c>
      <c r="AI95" s="1">
        <f t="shared" si="38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1838</v>
      </c>
      <c r="E96" s="36" t="s">
        <v>171</v>
      </c>
      <c r="F96" s="36" t="s">
        <v>1839</v>
      </c>
      <c r="G96" s="36"/>
      <c r="H96" s="36" t="s">
        <v>1840</v>
      </c>
      <c r="I96" s="37" t="s">
        <v>1841</v>
      </c>
      <c r="J96" s="31">
        <v>15</v>
      </c>
      <c r="K96" s="33" t="s">
        <v>699</v>
      </c>
      <c r="L96" s="33"/>
      <c r="M96" s="34"/>
      <c r="N96" s="34" t="s">
        <v>1717</v>
      </c>
      <c r="O96" s="35">
        <v>1</v>
      </c>
      <c r="P96" s="35">
        <v>1</v>
      </c>
      <c r="Q96" s="36" t="s">
        <v>1876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1</v>
      </c>
      <c r="AE96" s="1">
        <f t="shared" si="50"/>
        <v>0</v>
      </c>
      <c r="AF96" s="1">
        <f t="shared" si="35"/>
        <v>1</v>
      </c>
      <c r="AG96" s="1">
        <f t="shared" si="36"/>
        <v>0</v>
      </c>
      <c r="AH96" s="1">
        <f t="shared" si="37"/>
        <v>1</v>
      </c>
      <c r="AI96" s="1">
        <f t="shared" si="38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732</v>
      </c>
      <c r="E97" s="32" t="s">
        <v>1315</v>
      </c>
      <c r="F97" s="32" t="s">
        <v>1642</v>
      </c>
      <c r="G97" s="32" t="s">
        <v>39</v>
      </c>
      <c r="H97" s="32" t="s">
        <v>733</v>
      </c>
      <c r="I97" s="31" t="s">
        <v>734</v>
      </c>
      <c r="J97" s="31">
        <v>18</v>
      </c>
      <c r="K97" s="33" t="s">
        <v>698</v>
      </c>
      <c r="L97" s="33" t="s">
        <v>684</v>
      </c>
      <c r="M97" s="34" t="s">
        <v>957</v>
      </c>
      <c r="N97" s="34" t="s">
        <v>1833</v>
      </c>
      <c r="O97" s="35">
        <v>1</v>
      </c>
      <c r="P97" s="35"/>
      <c r="Q97" s="32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0</v>
      </c>
      <c r="AE97" s="1">
        <f t="shared" si="50"/>
        <v>1</v>
      </c>
      <c r="AF97" s="1">
        <f t="shared" si="35"/>
        <v>0</v>
      </c>
      <c r="AG97" s="1">
        <f t="shared" si="36"/>
        <v>1</v>
      </c>
      <c r="AH97" s="1">
        <f t="shared" si="37"/>
        <v>0</v>
      </c>
      <c r="AI97" s="1">
        <f t="shared" si="38"/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1530</v>
      </c>
      <c r="E98" s="32" t="s">
        <v>171</v>
      </c>
      <c r="F98" s="32" t="s">
        <v>1531</v>
      </c>
      <c r="G98" s="32" t="s">
        <v>39</v>
      </c>
      <c r="H98" s="32" t="s">
        <v>362</v>
      </c>
      <c r="I98" s="31" t="s">
        <v>1532</v>
      </c>
      <c r="J98" s="31">
        <v>17</v>
      </c>
      <c r="K98" s="33" t="s">
        <v>718</v>
      </c>
      <c r="L98" s="33" t="s">
        <v>684</v>
      </c>
      <c r="M98" s="34" t="s">
        <v>39</v>
      </c>
      <c r="N98" s="34" t="s">
        <v>1711</v>
      </c>
      <c r="O98" s="35">
        <v>1</v>
      </c>
      <c r="P98" s="35">
        <v>1</v>
      </c>
      <c r="Q98" s="36" t="s">
        <v>1900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35"/>
        <v>1</v>
      </c>
      <c r="AG98" s="1">
        <f t="shared" si="36"/>
        <v>0</v>
      </c>
      <c r="AH98" s="1">
        <f t="shared" si="37"/>
        <v>1</v>
      </c>
      <c r="AI98" s="1">
        <f t="shared" si="38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118</v>
      </c>
      <c r="E99" s="32" t="s">
        <v>171</v>
      </c>
      <c r="F99" s="36" t="s">
        <v>318</v>
      </c>
      <c r="G99" s="36" t="s">
        <v>39</v>
      </c>
      <c r="H99" s="36" t="s">
        <v>368</v>
      </c>
      <c r="I99" s="37" t="s">
        <v>464</v>
      </c>
      <c r="J99" s="31">
        <v>14</v>
      </c>
      <c r="K99" s="33" t="s">
        <v>943</v>
      </c>
      <c r="L99" s="33" t="s">
        <v>690</v>
      </c>
      <c r="M99" s="34" t="s">
        <v>687</v>
      </c>
      <c r="N99" s="34" t="s">
        <v>1732</v>
      </c>
      <c r="O99" s="35">
        <v>1</v>
      </c>
      <c r="P99" s="35"/>
      <c r="Q99" s="36" t="s">
        <v>1873</v>
      </c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35"/>
        <v>0</v>
      </c>
      <c r="AG99" s="1">
        <f t="shared" si="36"/>
        <v>1</v>
      </c>
      <c r="AH99" s="1">
        <f t="shared" si="37"/>
        <v>0</v>
      </c>
      <c r="AI99" s="1">
        <f t="shared" si="38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114</v>
      </c>
      <c r="E100" s="32" t="s">
        <v>169</v>
      </c>
      <c r="F100" s="36" t="s">
        <v>324</v>
      </c>
      <c r="G100" s="36" t="s">
        <v>229</v>
      </c>
      <c r="H100" s="36" t="s">
        <v>352</v>
      </c>
      <c r="I100" s="37" t="s">
        <v>471</v>
      </c>
      <c r="J100" s="31">
        <v>7</v>
      </c>
      <c r="K100" s="33" t="s">
        <v>698</v>
      </c>
      <c r="L100" s="33" t="s">
        <v>39</v>
      </c>
      <c r="M100" s="34" t="s">
        <v>39</v>
      </c>
      <c r="N100" s="34" t="s">
        <v>1717</v>
      </c>
      <c r="O100" s="35">
        <v>1</v>
      </c>
      <c r="P100" s="35">
        <v>1</v>
      </c>
      <c r="Q100" s="36"/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1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35"/>
        <v>1</v>
      </c>
      <c r="AG100" s="1">
        <f t="shared" si="36"/>
        <v>0</v>
      </c>
      <c r="AH100" s="1">
        <f t="shared" si="37"/>
        <v>1</v>
      </c>
      <c r="AI100" s="1">
        <f t="shared" si="38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1916</v>
      </c>
      <c r="E101" s="32" t="s">
        <v>1917</v>
      </c>
      <c r="F101" s="36" t="s">
        <v>1918</v>
      </c>
      <c r="G101" s="36"/>
      <c r="H101" s="36" t="s">
        <v>364</v>
      </c>
      <c r="I101" s="37" t="s">
        <v>1920</v>
      </c>
      <c r="J101" s="31">
        <v>18</v>
      </c>
      <c r="K101" s="33" t="s">
        <v>699</v>
      </c>
      <c r="L101" s="33"/>
      <c r="M101" s="34"/>
      <c r="N101" s="34" t="s">
        <v>1717</v>
      </c>
      <c r="O101" s="35">
        <v>1</v>
      </c>
      <c r="P101" s="35">
        <v>1</v>
      </c>
      <c r="Q101" s="36" t="s">
        <v>1919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1</v>
      </c>
      <c r="AE101" s="1">
        <f t="shared" si="50"/>
        <v>0</v>
      </c>
      <c r="AF101" s="1">
        <f t="shared" si="35"/>
        <v>1</v>
      </c>
      <c r="AG101" s="1">
        <f t="shared" si="36"/>
        <v>0</v>
      </c>
      <c r="AH101" s="1">
        <f t="shared" si="37"/>
        <v>1</v>
      </c>
      <c r="AI101" s="1">
        <f t="shared" si="38"/>
        <v>0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1191</v>
      </c>
      <c r="E102" s="45" t="s">
        <v>174</v>
      </c>
      <c r="F102" s="45" t="s">
        <v>1323</v>
      </c>
      <c r="G102" s="45" t="s">
        <v>39</v>
      </c>
      <c r="H102" s="45" t="s">
        <v>607</v>
      </c>
      <c r="I102" s="44" t="s">
        <v>1192</v>
      </c>
      <c r="J102" s="44">
        <v>14</v>
      </c>
      <c r="K102" s="46" t="s">
        <v>943</v>
      </c>
      <c r="L102" s="46" t="s">
        <v>1683</v>
      </c>
      <c r="M102" s="47" t="s">
        <v>1375</v>
      </c>
      <c r="N102" s="47" t="s">
        <v>1786</v>
      </c>
      <c r="O102" s="48"/>
      <c r="P102" s="48"/>
      <c r="Q102" s="45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0</v>
      </c>
      <c r="AE102" s="1">
        <f t="shared" si="50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812</v>
      </c>
      <c r="E103" s="32" t="s">
        <v>175</v>
      </c>
      <c r="F103" s="36" t="s">
        <v>916</v>
      </c>
      <c r="G103" s="36" t="s">
        <v>39</v>
      </c>
      <c r="H103" s="36" t="s">
        <v>370</v>
      </c>
      <c r="I103" s="37" t="s">
        <v>813</v>
      </c>
      <c r="J103" s="31">
        <v>16</v>
      </c>
      <c r="K103" s="33" t="s">
        <v>944</v>
      </c>
      <c r="L103" s="33" t="s">
        <v>684</v>
      </c>
      <c r="M103" s="34" t="s">
        <v>957</v>
      </c>
      <c r="N103" s="34" t="s">
        <v>1711</v>
      </c>
      <c r="O103" s="35">
        <v>1</v>
      </c>
      <c r="P103" s="35">
        <v>1</v>
      </c>
      <c r="Q103" s="36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35"/>
        <v>1</v>
      </c>
      <c r="AG103" s="1">
        <f t="shared" si="36"/>
        <v>0</v>
      </c>
      <c r="AH103" s="1">
        <f t="shared" si="37"/>
        <v>1</v>
      </c>
      <c r="AI103" s="1">
        <f t="shared" si="38"/>
        <v>0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103</v>
      </c>
      <c r="E104" s="45" t="s">
        <v>169</v>
      </c>
      <c r="F104" s="45" t="s">
        <v>301</v>
      </c>
      <c r="G104" s="45" t="s">
        <v>39</v>
      </c>
      <c r="H104" s="45" t="s">
        <v>355</v>
      </c>
      <c r="I104" s="44" t="s">
        <v>448</v>
      </c>
      <c r="J104" s="44">
        <v>18</v>
      </c>
      <c r="K104" s="46" t="s">
        <v>698</v>
      </c>
      <c r="L104" s="46" t="s">
        <v>684</v>
      </c>
      <c r="M104" s="47" t="s">
        <v>687</v>
      </c>
      <c r="N104" s="47" t="s">
        <v>1719</v>
      </c>
      <c r="O104" s="48"/>
      <c r="P104" s="48"/>
      <c r="Q104" s="4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0</v>
      </c>
      <c r="AF104" s="1">
        <f t="shared" si="35"/>
        <v>0</v>
      </c>
      <c r="AG104" s="1">
        <f t="shared" si="36"/>
        <v>0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44">
        <v>0</v>
      </c>
      <c r="B105" s="44">
        <v>1</v>
      </c>
      <c r="C105" s="44">
        <v>3</v>
      </c>
      <c r="D105" s="45" t="s">
        <v>512</v>
      </c>
      <c r="E105" s="45" t="s">
        <v>169</v>
      </c>
      <c r="F105" s="45" t="s">
        <v>513</v>
      </c>
      <c r="G105" s="45" t="s">
        <v>500</v>
      </c>
      <c r="H105" s="45" t="s">
        <v>352</v>
      </c>
      <c r="I105" s="44" t="s">
        <v>514</v>
      </c>
      <c r="J105" s="44">
        <v>99</v>
      </c>
      <c r="K105" s="46" t="s">
        <v>943</v>
      </c>
      <c r="L105" s="46" t="s">
        <v>690</v>
      </c>
      <c r="M105" s="47" t="s">
        <v>687</v>
      </c>
      <c r="N105" s="47" t="s">
        <v>1731</v>
      </c>
      <c r="O105" s="48"/>
      <c r="P105" s="48"/>
      <c r="Q105" s="45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0</v>
      </c>
      <c r="AF105" s="1">
        <f t="shared" si="35"/>
        <v>0</v>
      </c>
      <c r="AG105" s="1">
        <f t="shared" si="36"/>
        <v>0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1629</v>
      </c>
      <c r="E106" s="16" t="s">
        <v>1074</v>
      </c>
      <c r="F106" s="16" t="s">
        <v>1203</v>
      </c>
      <c r="G106" s="16" t="s">
        <v>39</v>
      </c>
      <c r="H106" s="16" t="s">
        <v>1204</v>
      </c>
      <c r="I106" s="15" t="s">
        <v>1205</v>
      </c>
      <c r="J106" s="15">
        <v>18</v>
      </c>
      <c r="K106" s="10" t="s">
        <v>945</v>
      </c>
      <c r="L106" s="10" t="s">
        <v>684</v>
      </c>
      <c r="M106" s="19" t="s">
        <v>957</v>
      </c>
      <c r="N106" s="17"/>
      <c r="Q106" s="16" t="s">
        <v>1868</v>
      </c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0</v>
      </c>
      <c r="AF106" s="1">
        <f t="shared" si="35"/>
        <v>0</v>
      </c>
      <c r="AG106" s="1">
        <f t="shared" si="36"/>
        <v>0</v>
      </c>
      <c r="AH106" s="1">
        <f t="shared" si="37"/>
        <v>0</v>
      </c>
      <c r="AI106" s="1">
        <f t="shared" si="38"/>
        <v>1</v>
      </c>
    </row>
    <row r="107" spans="1:35" ht="14.25" customHeight="1" x14ac:dyDescent="0.25">
      <c r="A107" s="44">
        <v>0</v>
      </c>
      <c r="B107" s="44">
        <v>1</v>
      </c>
      <c r="C107" s="44">
        <v>3</v>
      </c>
      <c r="D107" s="45" t="s">
        <v>1542</v>
      </c>
      <c r="E107" s="45" t="s">
        <v>169</v>
      </c>
      <c r="F107" s="45" t="s">
        <v>1661</v>
      </c>
      <c r="G107" s="45" t="s">
        <v>39</v>
      </c>
      <c r="H107" s="45" t="s">
        <v>355</v>
      </c>
      <c r="I107" s="44" t="s">
        <v>1543</v>
      </c>
      <c r="J107" s="44">
        <v>18</v>
      </c>
      <c r="K107" s="46" t="s">
        <v>718</v>
      </c>
      <c r="L107" s="46" t="s">
        <v>684</v>
      </c>
      <c r="M107" s="47" t="s">
        <v>687</v>
      </c>
      <c r="N107" s="47" t="s">
        <v>1719</v>
      </c>
      <c r="O107" s="48"/>
      <c r="P107" s="48"/>
      <c r="Q107" s="45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0</v>
      </c>
      <c r="AF107" s="1">
        <f t="shared" si="35"/>
        <v>0</v>
      </c>
      <c r="AG107" s="1">
        <f t="shared" si="36"/>
        <v>0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1303</v>
      </c>
      <c r="E108" s="32" t="s">
        <v>174</v>
      </c>
      <c r="F108" s="32" t="s">
        <v>1324</v>
      </c>
      <c r="G108" s="32" t="s">
        <v>39</v>
      </c>
      <c r="H108" s="32" t="s">
        <v>352</v>
      </c>
      <c r="I108" s="31" t="s">
        <v>1120</v>
      </c>
      <c r="J108" s="31">
        <v>99</v>
      </c>
      <c r="K108" s="33" t="s">
        <v>698</v>
      </c>
      <c r="L108" s="33" t="s">
        <v>1683</v>
      </c>
      <c r="M108" s="34" t="s">
        <v>1376</v>
      </c>
      <c r="N108" s="34" t="s">
        <v>1733</v>
      </c>
      <c r="O108" s="35">
        <v>1</v>
      </c>
      <c r="P108" s="35"/>
      <c r="Q108" s="32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35"/>
        <v>0</v>
      </c>
      <c r="AG108" s="1">
        <f t="shared" si="36"/>
        <v>1</v>
      </c>
      <c r="AH108" s="1">
        <f t="shared" si="37"/>
        <v>0</v>
      </c>
      <c r="AI108" s="1">
        <f t="shared" si="38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1247</v>
      </c>
      <c r="E109" s="32" t="s">
        <v>169</v>
      </c>
      <c r="F109" s="32" t="s">
        <v>1325</v>
      </c>
      <c r="G109" s="32" t="s">
        <v>1178</v>
      </c>
      <c r="H109" s="32" t="s">
        <v>352</v>
      </c>
      <c r="I109" s="31" t="s">
        <v>1179</v>
      </c>
      <c r="J109" s="31">
        <v>99</v>
      </c>
      <c r="K109" s="33" t="s">
        <v>718</v>
      </c>
      <c r="L109" s="33">
        <v>50</v>
      </c>
      <c r="M109" s="34" t="s">
        <v>39</v>
      </c>
      <c r="N109" s="34" t="s">
        <v>1785</v>
      </c>
      <c r="O109" s="35">
        <v>1</v>
      </c>
      <c r="P109" s="35"/>
      <c r="Q109" s="32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35"/>
        <v>0</v>
      </c>
      <c r="AG109" s="1">
        <f t="shared" si="36"/>
        <v>1</v>
      </c>
      <c r="AH109" s="1">
        <f t="shared" si="37"/>
        <v>0</v>
      </c>
      <c r="AI109" s="1">
        <f t="shared" si="38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1006</v>
      </c>
      <c r="E110" s="32" t="s">
        <v>606</v>
      </c>
      <c r="F110" s="32" t="s">
        <v>1007</v>
      </c>
      <c r="G110" s="32" t="s">
        <v>1008</v>
      </c>
      <c r="H110" s="32" t="s">
        <v>352</v>
      </c>
      <c r="I110" s="31" t="s">
        <v>1009</v>
      </c>
      <c r="J110" s="31">
        <v>99</v>
      </c>
      <c r="K110" s="33" t="s">
        <v>943</v>
      </c>
      <c r="L110" s="33" t="s">
        <v>39</v>
      </c>
      <c r="M110" s="34" t="s">
        <v>39</v>
      </c>
      <c r="N110" s="34" t="s">
        <v>1717</v>
      </c>
      <c r="O110" s="35">
        <v>1</v>
      </c>
      <c r="P110" s="35">
        <v>1</v>
      </c>
      <c r="Q110" s="32"/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1</v>
      </c>
      <c r="AE110" s="1">
        <f t="shared" si="50"/>
        <v>0</v>
      </c>
      <c r="AF110" s="1">
        <f t="shared" si="35"/>
        <v>1</v>
      </c>
      <c r="AG110" s="1">
        <f t="shared" si="36"/>
        <v>0</v>
      </c>
      <c r="AH110" s="1">
        <f t="shared" si="37"/>
        <v>1</v>
      </c>
      <c r="AI110" s="1">
        <f t="shared" si="38"/>
        <v>0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140</v>
      </c>
      <c r="E111" s="32" t="s">
        <v>174</v>
      </c>
      <c r="F111" s="32" t="s">
        <v>340</v>
      </c>
      <c r="G111" s="32" t="s">
        <v>39</v>
      </c>
      <c r="H111" s="32" t="s">
        <v>374</v>
      </c>
      <c r="I111" s="31" t="s">
        <v>486</v>
      </c>
      <c r="J111" s="31">
        <v>16</v>
      </c>
      <c r="K111" s="33" t="s">
        <v>698</v>
      </c>
      <c r="L111" s="33" t="s">
        <v>684</v>
      </c>
      <c r="M111" s="34" t="s">
        <v>1377</v>
      </c>
      <c r="N111" s="34" t="s">
        <v>1732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35"/>
        <v>0</v>
      </c>
      <c r="AG111" s="1">
        <f t="shared" si="36"/>
        <v>1</v>
      </c>
      <c r="AH111" s="1">
        <f t="shared" si="37"/>
        <v>0</v>
      </c>
      <c r="AI111" s="1">
        <f t="shared" si="38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808</v>
      </c>
      <c r="E112" s="32" t="s">
        <v>171</v>
      </c>
      <c r="F112" s="32" t="s">
        <v>809</v>
      </c>
      <c r="G112" s="32" t="s">
        <v>39</v>
      </c>
      <c r="H112" s="32" t="s">
        <v>810</v>
      </c>
      <c r="I112" s="31" t="s">
        <v>811</v>
      </c>
      <c r="J112" s="31">
        <v>16</v>
      </c>
      <c r="K112" s="33" t="s">
        <v>698</v>
      </c>
      <c r="L112" s="33" t="s">
        <v>684</v>
      </c>
      <c r="M112" s="34" t="s">
        <v>1377</v>
      </c>
      <c r="N112" s="34" t="s">
        <v>1711</v>
      </c>
      <c r="O112" s="35">
        <v>1</v>
      </c>
      <c r="P112" s="35">
        <v>1</v>
      </c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1</v>
      </c>
      <c r="AE112" s="1">
        <f t="shared" si="50"/>
        <v>0</v>
      </c>
      <c r="AF112" s="1">
        <f t="shared" si="35"/>
        <v>1</v>
      </c>
      <c r="AG112" s="1">
        <f t="shared" si="36"/>
        <v>0</v>
      </c>
      <c r="AH112" s="1">
        <f t="shared" si="37"/>
        <v>1</v>
      </c>
      <c r="AI112" s="1">
        <f t="shared" si="38"/>
        <v>0</v>
      </c>
    </row>
    <row r="113" spans="1:35" ht="14.25" customHeight="1" x14ac:dyDescent="0.25">
      <c r="A113" s="15">
        <v>0</v>
      </c>
      <c r="B113" s="15">
        <v>1</v>
      </c>
      <c r="C113" s="15">
        <v>3</v>
      </c>
      <c r="D113" s="16" t="s">
        <v>107</v>
      </c>
      <c r="E113" s="16" t="s">
        <v>169</v>
      </c>
      <c r="F113" s="16" t="s">
        <v>304</v>
      </c>
      <c r="G113" s="16" t="s">
        <v>39</v>
      </c>
      <c r="H113" s="16" t="s">
        <v>359</v>
      </c>
      <c r="I113" s="15" t="s">
        <v>452</v>
      </c>
      <c r="J113" s="15">
        <v>18</v>
      </c>
      <c r="K113" s="10" t="s">
        <v>699</v>
      </c>
      <c r="L113" s="10" t="s">
        <v>684</v>
      </c>
      <c r="M113" s="19" t="s">
        <v>687</v>
      </c>
      <c r="N113" s="17"/>
      <c r="Q113" s="20" t="s">
        <v>1867</v>
      </c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1489</v>
      </c>
      <c r="E114" s="32" t="s">
        <v>169</v>
      </c>
      <c r="F114" s="32" t="s">
        <v>1490</v>
      </c>
      <c r="G114" s="32" t="s">
        <v>39</v>
      </c>
      <c r="H114" s="32" t="s">
        <v>372</v>
      </c>
      <c r="I114" s="31" t="s">
        <v>1491</v>
      </c>
      <c r="J114" s="31">
        <v>11</v>
      </c>
      <c r="K114" s="33" t="s">
        <v>718</v>
      </c>
      <c r="L114" s="33">
        <v>50</v>
      </c>
      <c r="M114" s="34" t="s">
        <v>39</v>
      </c>
      <c r="N114" s="34" t="s">
        <v>1733</v>
      </c>
      <c r="O114" s="35">
        <v>1</v>
      </c>
      <c r="P114" s="35"/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1</v>
      </c>
      <c r="AF114" s="1">
        <f t="shared" si="35"/>
        <v>0</v>
      </c>
      <c r="AG114" s="1">
        <f t="shared" si="36"/>
        <v>1</v>
      </c>
      <c r="AH114" s="1">
        <f t="shared" si="37"/>
        <v>0</v>
      </c>
      <c r="AI114" s="1">
        <f t="shared" si="38"/>
        <v>1</v>
      </c>
    </row>
    <row r="115" spans="1:35" ht="14.25" customHeight="1" x14ac:dyDescent="0.25">
      <c r="A115" s="44">
        <v>0</v>
      </c>
      <c r="B115" s="44">
        <v>1</v>
      </c>
      <c r="C115" s="44">
        <v>3</v>
      </c>
      <c r="D115" s="45" t="s">
        <v>106</v>
      </c>
      <c r="E115" s="45" t="s">
        <v>169</v>
      </c>
      <c r="F115" s="45" t="s">
        <v>303</v>
      </c>
      <c r="G115" s="45" t="s">
        <v>39</v>
      </c>
      <c r="H115" s="45" t="s">
        <v>358</v>
      </c>
      <c r="I115" s="44" t="s">
        <v>451</v>
      </c>
      <c r="J115" s="44">
        <v>18</v>
      </c>
      <c r="K115" s="46" t="s">
        <v>698</v>
      </c>
      <c r="L115" s="46">
        <v>55</v>
      </c>
      <c r="M115" s="47" t="s">
        <v>687</v>
      </c>
      <c r="N115" s="47" t="s">
        <v>1718</v>
      </c>
      <c r="O115" s="48"/>
      <c r="P115" s="48"/>
      <c r="Q115" s="45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0</v>
      </c>
      <c r="AF115" s="1">
        <f t="shared" si="35"/>
        <v>0</v>
      </c>
      <c r="AG115" s="1">
        <f t="shared" si="36"/>
        <v>0</v>
      </c>
      <c r="AH115" s="1">
        <f t="shared" si="37"/>
        <v>0</v>
      </c>
      <c r="AI115" s="1">
        <f t="shared" si="38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127</v>
      </c>
      <c r="E116" s="32" t="s">
        <v>174</v>
      </c>
      <c r="F116" s="32" t="s">
        <v>327</v>
      </c>
      <c r="G116" s="32" t="s">
        <v>39</v>
      </c>
      <c r="H116" s="32" t="s">
        <v>373</v>
      </c>
      <c r="I116" s="31" t="s">
        <v>474</v>
      </c>
      <c r="J116" s="31">
        <v>12</v>
      </c>
      <c r="K116" s="33" t="s">
        <v>698</v>
      </c>
      <c r="L116" s="33">
        <v>35</v>
      </c>
      <c r="M116" s="34" t="s">
        <v>687</v>
      </c>
      <c r="N116" s="34" t="s">
        <v>1733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35"/>
        <v>0</v>
      </c>
      <c r="AG116" s="1">
        <f t="shared" si="36"/>
        <v>1</v>
      </c>
      <c r="AH116" s="1">
        <f t="shared" si="37"/>
        <v>0</v>
      </c>
      <c r="AI116" s="1">
        <f t="shared" si="38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981</v>
      </c>
      <c r="E117" s="32" t="s">
        <v>169</v>
      </c>
      <c r="F117" s="32" t="s">
        <v>1080</v>
      </c>
      <c r="G117" s="32" t="s">
        <v>231</v>
      </c>
      <c r="H117" s="32" t="s">
        <v>352</v>
      </c>
      <c r="I117" s="31" t="s">
        <v>982</v>
      </c>
      <c r="J117" s="31">
        <v>99</v>
      </c>
      <c r="K117" s="33" t="s">
        <v>943</v>
      </c>
      <c r="L117" s="33">
        <v>40</v>
      </c>
      <c r="M117" s="34" t="s">
        <v>39</v>
      </c>
      <c r="N117" s="34" t="s">
        <v>1930</v>
      </c>
      <c r="O117" s="35">
        <v>1</v>
      </c>
      <c r="P117" s="35"/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0</v>
      </c>
      <c r="AE117" s="1">
        <f t="shared" si="50"/>
        <v>1</v>
      </c>
      <c r="AF117" s="1">
        <f t="shared" si="35"/>
        <v>0</v>
      </c>
      <c r="AG117" s="1">
        <f t="shared" si="36"/>
        <v>1</v>
      </c>
      <c r="AH117" s="1">
        <f t="shared" si="37"/>
        <v>0</v>
      </c>
      <c r="AI117" s="1">
        <f t="shared" si="38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128</v>
      </c>
      <c r="E118" s="32" t="s">
        <v>169</v>
      </c>
      <c r="F118" s="32" t="s">
        <v>328</v>
      </c>
      <c r="G118" s="32" t="s">
        <v>39</v>
      </c>
      <c r="H118" s="32" t="s">
        <v>369</v>
      </c>
      <c r="I118" s="31" t="s">
        <v>475</v>
      </c>
      <c r="J118" s="31">
        <v>11</v>
      </c>
      <c r="K118" s="33" t="s">
        <v>698</v>
      </c>
      <c r="L118" s="33" t="s">
        <v>39</v>
      </c>
      <c r="M118" s="34" t="s">
        <v>39</v>
      </c>
      <c r="N118" s="34" t="s">
        <v>1711</v>
      </c>
      <c r="O118" s="35">
        <v>1</v>
      </c>
      <c r="P118" s="35">
        <v>1</v>
      </c>
      <c r="Q118" s="32" t="s">
        <v>2020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1</v>
      </c>
      <c r="AE118" s="1">
        <f t="shared" si="50"/>
        <v>0</v>
      </c>
      <c r="AF118" s="1">
        <f t="shared" si="35"/>
        <v>1</v>
      </c>
      <c r="AG118" s="1">
        <f t="shared" si="36"/>
        <v>0</v>
      </c>
      <c r="AH118" s="1">
        <f t="shared" si="37"/>
        <v>1</v>
      </c>
      <c r="AI118" s="1">
        <f t="shared" si="38"/>
        <v>0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1304</v>
      </c>
      <c r="E119" s="32" t="s">
        <v>171</v>
      </c>
      <c r="F119" s="32" t="s">
        <v>1327</v>
      </c>
      <c r="G119" s="32" t="s">
        <v>39</v>
      </c>
      <c r="H119" s="32" t="s">
        <v>975</v>
      </c>
      <c r="I119" s="31" t="s">
        <v>976</v>
      </c>
      <c r="J119" s="31">
        <v>14</v>
      </c>
      <c r="K119" s="33" t="s">
        <v>699</v>
      </c>
      <c r="L119" s="33">
        <v>30</v>
      </c>
      <c r="M119" s="34" t="s">
        <v>958</v>
      </c>
      <c r="N119" s="34" t="s">
        <v>1727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35"/>
        <v>0</v>
      </c>
      <c r="AG119" s="1">
        <f t="shared" si="36"/>
        <v>1</v>
      </c>
      <c r="AH119" s="1">
        <f t="shared" si="37"/>
        <v>0</v>
      </c>
      <c r="AI119" s="1">
        <f t="shared" si="38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695</v>
      </c>
      <c r="E120" s="32" t="s">
        <v>174</v>
      </c>
      <c r="F120" s="32" t="s">
        <v>696</v>
      </c>
      <c r="G120" s="32" t="s">
        <v>39</v>
      </c>
      <c r="H120" s="32" t="s">
        <v>697</v>
      </c>
      <c r="I120" s="31" t="s">
        <v>1102</v>
      </c>
      <c r="J120" s="31">
        <v>13</v>
      </c>
      <c r="K120" s="33" t="s">
        <v>698</v>
      </c>
      <c r="L120" s="33" t="s">
        <v>1683</v>
      </c>
      <c r="M120" s="34" t="s">
        <v>957</v>
      </c>
      <c r="N120" s="34" t="s">
        <v>1809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35"/>
        <v>0</v>
      </c>
      <c r="AG120" s="1">
        <f t="shared" si="36"/>
        <v>1</v>
      </c>
      <c r="AH120" s="1">
        <f t="shared" si="37"/>
        <v>0</v>
      </c>
      <c r="AI120" s="1">
        <f t="shared" si="38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1504</v>
      </c>
      <c r="E121" s="32" t="s">
        <v>169</v>
      </c>
      <c r="F121" s="32" t="s">
        <v>1651</v>
      </c>
      <c r="G121" s="32" t="s">
        <v>39</v>
      </c>
      <c r="H121" s="32" t="s">
        <v>1505</v>
      </c>
      <c r="I121" s="31" t="s">
        <v>1506</v>
      </c>
      <c r="J121" s="31">
        <v>11</v>
      </c>
      <c r="K121" s="33" t="s">
        <v>718</v>
      </c>
      <c r="L121" s="33">
        <v>40</v>
      </c>
      <c r="M121" s="34" t="s">
        <v>39</v>
      </c>
      <c r="N121" s="34" t="s">
        <v>1711</v>
      </c>
      <c r="O121" s="35">
        <v>1</v>
      </c>
      <c r="P121" s="35">
        <v>1</v>
      </c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1</v>
      </c>
      <c r="AE121" s="1">
        <f t="shared" si="50"/>
        <v>0</v>
      </c>
      <c r="AF121" s="1">
        <f t="shared" si="35"/>
        <v>1</v>
      </c>
      <c r="AG121" s="1">
        <f t="shared" si="36"/>
        <v>0</v>
      </c>
      <c r="AH121" s="1">
        <f t="shared" si="37"/>
        <v>1</v>
      </c>
      <c r="AI121" s="1">
        <f t="shared" si="38"/>
        <v>0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145</v>
      </c>
      <c r="E122" s="16" t="s">
        <v>171</v>
      </c>
      <c r="F122" s="16" t="s">
        <v>346</v>
      </c>
      <c r="G122" s="16" t="s">
        <v>39</v>
      </c>
      <c r="H122" s="16" t="s">
        <v>365</v>
      </c>
      <c r="I122" s="15" t="s">
        <v>490</v>
      </c>
      <c r="J122" s="15">
        <v>18</v>
      </c>
      <c r="K122" s="10" t="s">
        <v>943</v>
      </c>
      <c r="L122" s="10" t="s">
        <v>693</v>
      </c>
      <c r="M122" s="19" t="s">
        <v>957</v>
      </c>
      <c r="N122" s="17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35"/>
        <v>0</v>
      </c>
      <c r="AG122" s="1">
        <f t="shared" si="36"/>
        <v>0</v>
      </c>
      <c r="AH122" s="1">
        <f t="shared" si="37"/>
        <v>0</v>
      </c>
      <c r="AI122" s="1">
        <f t="shared" si="38"/>
        <v>1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20" t="s">
        <v>1961</v>
      </c>
      <c r="E123" s="20" t="s">
        <v>171</v>
      </c>
      <c r="F123" s="20" t="s">
        <v>1958</v>
      </c>
      <c r="G123" s="20"/>
      <c r="H123" s="20" t="s">
        <v>1959</v>
      </c>
      <c r="I123" s="21" t="s">
        <v>1957</v>
      </c>
      <c r="J123" s="15">
        <v>17</v>
      </c>
      <c r="K123" s="10" t="s">
        <v>699</v>
      </c>
      <c r="L123" s="10" t="s">
        <v>1726</v>
      </c>
      <c r="M123" s="19" t="s">
        <v>958</v>
      </c>
      <c r="N123" s="17"/>
      <c r="Q123" s="20" t="s">
        <v>1960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0</v>
      </c>
      <c r="AF123" s="1">
        <f t="shared" si="35"/>
        <v>0</v>
      </c>
      <c r="AG123" s="1">
        <f t="shared" si="36"/>
        <v>0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44">
        <v>0</v>
      </c>
      <c r="B124" s="44">
        <v>1</v>
      </c>
      <c r="C124" s="44">
        <v>3</v>
      </c>
      <c r="D124" s="45" t="s">
        <v>987</v>
      </c>
      <c r="E124" s="45" t="s">
        <v>171</v>
      </c>
      <c r="F124" s="65" t="s">
        <v>1851</v>
      </c>
      <c r="G124" s="45" t="s">
        <v>39</v>
      </c>
      <c r="H124" s="45" t="s">
        <v>988</v>
      </c>
      <c r="I124" s="44" t="s">
        <v>1103</v>
      </c>
      <c r="J124" s="44">
        <v>16</v>
      </c>
      <c r="K124" s="46" t="s">
        <v>718</v>
      </c>
      <c r="L124" s="46" t="s">
        <v>1726</v>
      </c>
      <c r="M124" s="47" t="s">
        <v>1378</v>
      </c>
      <c r="N124" s="47" t="s">
        <v>1786</v>
      </c>
      <c r="O124" s="48"/>
      <c r="P124" s="48"/>
      <c r="Q124" s="65" t="s">
        <v>1874</v>
      </c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1114</v>
      </c>
      <c r="E125" s="16" t="s">
        <v>171</v>
      </c>
      <c r="F125" s="16" t="s">
        <v>1328</v>
      </c>
      <c r="G125" s="16" t="s">
        <v>39</v>
      </c>
      <c r="H125" s="16" t="s">
        <v>1116</v>
      </c>
      <c r="I125" s="15" t="s">
        <v>1115</v>
      </c>
      <c r="J125" s="15">
        <v>14</v>
      </c>
      <c r="K125" s="10" t="s">
        <v>945</v>
      </c>
      <c r="L125" s="10" t="s">
        <v>1683</v>
      </c>
      <c r="M125" s="19" t="s">
        <v>1379</v>
      </c>
      <c r="N125" s="17"/>
      <c r="Q125" s="16"/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1065</v>
      </c>
      <c r="E126" s="32" t="s">
        <v>171</v>
      </c>
      <c r="F126" s="32" t="s">
        <v>1027</v>
      </c>
      <c r="G126" s="32" t="s">
        <v>1091</v>
      </c>
      <c r="H126" s="32" t="s">
        <v>352</v>
      </c>
      <c r="I126" s="31" t="s">
        <v>1028</v>
      </c>
      <c r="J126" s="31">
        <v>1</v>
      </c>
      <c r="K126" s="33" t="s">
        <v>945</v>
      </c>
      <c r="L126" s="33" t="s">
        <v>683</v>
      </c>
      <c r="M126" s="34" t="s">
        <v>958</v>
      </c>
      <c r="N126" s="34" t="s">
        <v>1739</v>
      </c>
      <c r="O126" s="35">
        <v>1</v>
      </c>
      <c r="P126" s="35"/>
      <c r="Q126" s="32"/>
      <c r="S126" s="1">
        <f t="shared" si="39"/>
        <v>1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35"/>
        <v>0</v>
      </c>
      <c r="AG126" s="1">
        <f t="shared" si="36"/>
        <v>1</v>
      </c>
      <c r="AH126" s="1">
        <f t="shared" si="37"/>
        <v>0</v>
      </c>
      <c r="AI126" s="1">
        <f t="shared" si="38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6" t="s">
        <v>2078</v>
      </c>
      <c r="E127" s="36" t="s">
        <v>171</v>
      </c>
      <c r="F127" s="36" t="s">
        <v>2079</v>
      </c>
      <c r="G127" s="32"/>
      <c r="H127" s="36" t="s">
        <v>2080</v>
      </c>
      <c r="I127" s="37" t="s">
        <v>2081</v>
      </c>
      <c r="J127" s="31">
        <v>14</v>
      </c>
      <c r="K127" s="33" t="s">
        <v>699</v>
      </c>
      <c r="L127" s="33"/>
      <c r="M127" s="34"/>
      <c r="N127" s="34" t="s">
        <v>1717</v>
      </c>
      <c r="O127" s="35">
        <v>1</v>
      </c>
      <c r="P127" s="35">
        <v>1</v>
      </c>
      <c r="Q127" s="36" t="s">
        <v>2082</v>
      </c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35"/>
        <v>1</v>
      </c>
      <c r="AG127" s="1">
        <f t="shared" si="36"/>
        <v>0</v>
      </c>
      <c r="AH127" s="1">
        <f t="shared" si="37"/>
        <v>1</v>
      </c>
      <c r="AI127" s="1">
        <f t="shared" si="38"/>
        <v>0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1613</v>
      </c>
      <c r="E128" s="32" t="s">
        <v>1074</v>
      </c>
      <c r="F128" s="32" t="s">
        <v>1614</v>
      </c>
      <c r="G128" s="32" t="s">
        <v>39</v>
      </c>
      <c r="H128" s="32" t="s">
        <v>1615</v>
      </c>
      <c r="I128" s="31" t="s">
        <v>1616</v>
      </c>
      <c r="J128" s="31">
        <v>15</v>
      </c>
      <c r="K128" s="33" t="s">
        <v>945</v>
      </c>
      <c r="L128" s="33" t="s">
        <v>39</v>
      </c>
      <c r="M128" s="34" t="s">
        <v>39</v>
      </c>
      <c r="N128" s="34" t="s">
        <v>1732</v>
      </c>
      <c r="O128" s="35">
        <v>1</v>
      </c>
      <c r="P128" s="35"/>
      <c r="Q128" s="36" t="s">
        <v>1879</v>
      </c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1</v>
      </c>
      <c r="AF128" s="1">
        <f t="shared" si="35"/>
        <v>0</v>
      </c>
      <c r="AG128" s="1">
        <f t="shared" si="36"/>
        <v>1</v>
      </c>
      <c r="AH128" s="1">
        <f t="shared" si="37"/>
        <v>0</v>
      </c>
      <c r="AI128" s="1">
        <f t="shared" si="38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16" t="s">
        <v>609</v>
      </c>
      <c r="E129" s="16" t="s">
        <v>169</v>
      </c>
      <c r="F129" s="16" t="s">
        <v>610</v>
      </c>
      <c r="G129" s="16" t="s">
        <v>39</v>
      </c>
      <c r="H129" s="16" t="s">
        <v>364</v>
      </c>
      <c r="I129" s="15" t="s">
        <v>611</v>
      </c>
      <c r="J129" s="15">
        <v>18</v>
      </c>
      <c r="K129" s="10" t="s">
        <v>718</v>
      </c>
      <c r="L129" s="10" t="s">
        <v>1726</v>
      </c>
      <c r="M129" s="19" t="s">
        <v>39</v>
      </c>
      <c r="N129" s="17"/>
      <c r="Q129" s="16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20" t="s">
        <v>2085</v>
      </c>
      <c r="E130" s="20" t="s">
        <v>865</v>
      </c>
      <c r="F130" s="20" t="s">
        <v>2086</v>
      </c>
      <c r="G130" s="16"/>
      <c r="H130" s="20" t="s">
        <v>2087</v>
      </c>
      <c r="I130" s="21" t="s">
        <v>2088</v>
      </c>
      <c r="J130" s="15">
        <v>16</v>
      </c>
      <c r="K130" s="10" t="s">
        <v>699</v>
      </c>
      <c r="L130" s="10" t="s">
        <v>684</v>
      </c>
      <c r="M130" s="19" t="s">
        <v>958</v>
      </c>
      <c r="N130" s="17"/>
      <c r="Q130" s="16" t="s">
        <v>2089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20" t="s">
        <v>1934</v>
      </c>
      <c r="E131" s="20" t="s">
        <v>171</v>
      </c>
      <c r="F131" s="20" t="s">
        <v>1954</v>
      </c>
      <c r="G131" s="20"/>
      <c r="H131" s="20" t="s">
        <v>1953</v>
      </c>
      <c r="I131" s="21" t="s">
        <v>1955</v>
      </c>
      <c r="J131" s="15">
        <v>15</v>
      </c>
      <c r="K131" s="10" t="s">
        <v>699</v>
      </c>
      <c r="L131" s="10" t="s">
        <v>1726</v>
      </c>
      <c r="M131" s="19" t="s">
        <v>958</v>
      </c>
      <c r="N131" s="17"/>
      <c r="Q131" s="20" t="s">
        <v>1956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909</v>
      </c>
      <c r="E132" s="32" t="s">
        <v>171</v>
      </c>
      <c r="F132" s="32" t="s">
        <v>1141</v>
      </c>
      <c r="G132" s="32" t="s">
        <v>39</v>
      </c>
      <c r="H132" s="32" t="s">
        <v>361</v>
      </c>
      <c r="I132" s="31" t="s">
        <v>880</v>
      </c>
      <c r="J132" s="31">
        <v>14</v>
      </c>
      <c r="K132" s="33" t="s">
        <v>944</v>
      </c>
      <c r="L132" s="33" t="s">
        <v>39</v>
      </c>
      <c r="M132" s="34" t="s">
        <v>39</v>
      </c>
      <c r="N132" s="34" t="s">
        <v>1717</v>
      </c>
      <c r="O132" s="35">
        <v>1</v>
      </c>
      <c r="P132" s="35">
        <v>1</v>
      </c>
      <c r="Q132" s="36"/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1</v>
      </c>
      <c r="AE132" s="1">
        <f t="shared" si="50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</row>
    <row r="133" spans="1:35" ht="14.25" customHeight="1" x14ac:dyDescent="0.25">
      <c r="A133" s="44">
        <v>0</v>
      </c>
      <c r="B133" s="44">
        <v>1</v>
      </c>
      <c r="C133" s="44">
        <v>3</v>
      </c>
      <c r="D133" s="45" t="s">
        <v>104</v>
      </c>
      <c r="E133" s="45" t="s">
        <v>171</v>
      </c>
      <c r="F133" s="45" t="s">
        <v>920</v>
      </c>
      <c r="G133" s="45" t="s">
        <v>39</v>
      </c>
      <c r="H133" s="45" t="s">
        <v>356</v>
      </c>
      <c r="I133" s="44" t="s">
        <v>449</v>
      </c>
      <c r="J133" s="44">
        <v>18</v>
      </c>
      <c r="K133" s="46" t="s">
        <v>943</v>
      </c>
      <c r="L133" s="46" t="s">
        <v>693</v>
      </c>
      <c r="M133" s="47" t="s">
        <v>687</v>
      </c>
      <c r="N133" s="47" t="s">
        <v>1719</v>
      </c>
      <c r="O133" s="48"/>
      <c r="P133" s="48"/>
      <c r="Q133" s="45" t="s">
        <v>1872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0</v>
      </c>
      <c r="AE133" s="1">
        <f t="shared" si="50"/>
        <v>0</v>
      </c>
      <c r="AF133" s="1">
        <f t="shared" si="35"/>
        <v>0</v>
      </c>
      <c r="AG133" s="1">
        <f t="shared" si="36"/>
        <v>0</v>
      </c>
      <c r="AH133" s="1">
        <f t="shared" si="37"/>
        <v>0</v>
      </c>
      <c r="AI133" s="1">
        <f t="shared" si="38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1492</v>
      </c>
      <c r="E134" s="32" t="s">
        <v>1636</v>
      </c>
      <c r="F134" s="32" t="s">
        <v>1494</v>
      </c>
      <c r="G134" s="32" t="s">
        <v>39</v>
      </c>
      <c r="H134" s="32" t="s">
        <v>1495</v>
      </c>
      <c r="I134" s="31" t="s">
        <v>1493</v>
      </c>
      <c r="J134" s="31">
        <v>14</v>
      </c>
      <c r="K134" s="33" t="s">
        <v>949</v>
      </c>
      <c r="L134" s="33" t="s">
        <v>683</v>
      </c>
      <c r="M134" s="34" t="s">
        <v>1380</v>
      </c>
      <c r="N134" s="34" t="s">
        <v>1711</v>
      </c>
      <c r="O134" s="35">
        <v>1</v>
      </c>
      <c r="P134" s="35">
        <v>1</v>
      </c>
      <c r="Q134" s="36"/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1</v>
      </c>
      <c r="AE134" s="1">
        <f t="shared" si="50"/>
        <v>0</v>
      </c>
      <c r="AF134" s="1">
        <f t="shared" si="35"/>
        <v>1</v>
      </c>
      <c r="AG134" s="1">
        <f t="shared" si="36"/>
        <v>0</v>
      </c>
      <c r="AH134" s="1">
        <f t="shared" si="37"/>
        <v>1</v>
      </c>
      <c r="AI134" s="1">
        <f t="shared" si="38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1240</v>
      </c>
      <c r="E135" s="32" t="s">
        <v>171</v>
      </c>
      <c r="F135" s="32" t="s">
        <v>1241</v>
      </c>
      <c r="G135" s="32" t="s">
        <v>1243</v>
      </c>
      <c r="H135" s="32" t="s">
        <v>352</v>
      </c>
      <c r="I135" s="31" t="s">
        <v>1242</v>
      </c>
      <c r="J135" s="31">
        <v>99</v>
      </c>
      <c r="K135" s="33" t="s">
        <v>945</v>
      </c>
      <c r="L135" s="33" t="s">
        <v>689</v>
      </c>
      <c r="M135" s="34" t="s">
        <v>958</v>
      </c>
      <c r="N135" s="34" t="s">
        <v>1809</v>
      </c>
      <c r="O135" s="35">
        <v>1</v>
      </c>
      <c r="P135" s="35"/>
      <c r="Q135" s="3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1</v>
      </c>
      <c r="AF135" s="1">
        <f t="shared" si="35"/>
        <v>0</v>
      </c>
      <c r="AG135" s="1">
        <f t="shared" si="36"/>
        <v>1</v>
      </c>
      <c r="AH135" s="1">
        <f t="shared" si="37"/>
        <v>0</v>
      </c>
      <c r="AI135" s="1">
        <f t="shared" si="38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1486</v>
      </c>
      <c r="E136" s="32" t="s">
        <v>171</v>
      </c>
      <c r="F136" s="32" t="s">
        <v>1487</v>
      </c>
      <c r="G136" s="32" t="s">
        <v>39</v>
      </c>
      <c r="H136" s="32" t="s">
        <v>363</v>
      </c>
      <c r="I136" s="31" t="s">
        <v>1488</v>
      </c>
      <c r="J136" s="31">
        <v>18</v>
      </c>
      <c r="K136" s="33" t="s">
        <v>943</v>
      </c>
      <c r="L136" s="33" t="s">
        <v>1726</v>
      </c>
      <c r="M136" s="34" t="s">
        <v>39</v>
      </c>
      <c r="N136" s="34" t="s">
        <v>1732</v>
      </c>
      <c r="O136" s="35">
        <v>1</v>
      </c>
      <c r="P136" s="35"/>
      <c r="Q136" s="32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35"/>
        <v>0</v>
      </c>
      <c r="AG136" s="1">
        <f t="shared" si="36"/>
        <v>1</v>
      </c>
      <c r="AH136" s="1">
        <f t="shared" si="37"/>
        <v>0</v>
      </c>
      <c r="AI136" s="1">
        <f t="shared" si="38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1607</v>
      </c>
      <c r="E137" s="16" t="s">
        <v>171</v>
      </c>
      <c r="F137" s="16" t="s">
        <v>1610</v>
      </c>
      <c r="G137" s="16" t="s">
        <v>39</v>
      </c>
      <c r="H137" s="16" t="s">
        <v>1608</v>
      </c>
      <c r="I137" s="15" t="s">
        <v>1609</v>
      </c>
      <c r="J137" s="15">
        <v>15</v>
      </c>
      <c r="K137" s="10" t="s">
        <v>718</v>
      </c>
      <c r="L137" s="10" t="s">
        <v>39</v>
      </c>
      <c r="M137" s="19" t="s">
        <v>39</v>
      </c>
      <c r="N137" s="17"/>
      <c r="Q137" s="16"/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35"/>
        <v>0</v>
      </c>
      <c r="AG137" s="1">
        <f t="shared" si="36"/>
        <v>0</v>
      </c>
      <c r="AH137" s="1">
        <f t="shared" si="37"/>
        <v>0</v>
      </c>
      <c r="AI137" s="1">
        <f t="shared" si="38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1228</v>
      </c>
      <c r="E138" s="32" t="s">
        <v>1230</v>
      </c>
      <c r="F138" s="32" t="s">
        <v>1231</v>
      </c>
      <c r="G138" s="32" t="s">
        <v>39</v>
      </c>
      <c r="H138" s="32" t="s">
        <v>367</v>
      </c>
      <c r="I138" s="31" t="s">
        <v>1229</v>
      </c>
      <c r="J138" s="31">
        <v>14</v>
      </c>
      <c r="K138" s="33" t="s">
        <v>945</v>
      </c>
      <c r="L138" s="33" t="s">
        <v>683</v>
      </c>
      <c r="M138" s="34" t="s">
        <v>1380</v>
      </c>
      <c r="N138" s="34" t="s">
        <v>1717</v>
      </c>
      <c r="O138" s="35">
        <v>1</v>
      </c>
      <c r="P138" s="35">
        <v>1</v>
      </c>
      <c r="Q138" s="32"/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1</v>
      </c>
      <c r="AE138" s="1">
        <f t="shared" si="50"/>
        <v>0</v>
      </c>
      <c r="AF138" s="1">
        <f t="shared" si="35"/>
        <v>1</v>
      </c>
      <c r="AG138" s="1">
        <f t="shared" si="36"/>
        <v>0</v>
      </c>
      <c r="AH138" s="1">
        <f t="shared" si="37"/>
        <v>1</v>
      </c>
      <c r="AI138" s="1">
        <f t="shared" si="38"/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129</v>
      </c>
      <c r="E139" s="32" t="s">
        <v>175</v>
      </c>
      <c r="F139" s="32" t="s">
        <v>329</v>
      </c>
      <c r="G139" s="32" t="s">
        <v>181</v>
      </c>
      <c r="H139" s="32" t="s">
        <v>352</v>
      </c>
      <c r="I139" s="31" t="s">
        <v>476</v>
      </c>
      <c r="J139" s="31">
        <v>99</v>
      </c>
      <c r="K139" s="33" t="s">
        <v>944</v>
      </c>
      <c r="L139" s="33" t="s">
        <v>39</v>
      </c>
      <c r="M139" s="34" t="s">
        <v>39</v>
      </c>
      <c r="N139" s="34" t="s">
        <v>1717</v>
      </c>
      <c r="O139" s="35">
        <v>1</v>
      </c>
      <c r="P139" s="35">
        <v>1</v>
      </c>
      <c r="Q139" s="32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35"/>
        <v>1</v>
      </c>
      <c r="AG139" s="1">
        <f t="shared" si="36"/>
        <v>0</v>
      </c>
      <c r="AH139" s="1">
        <f t="shared" si="37"/>
        <v>1</v>
      </c>
      <c r="AI139" s="1">
        <f t="shared" si="38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910</v>
      </c>
      <c r="E140" s="32" t="s">
        <v>171</v>
      </c>
      <c r="F140" s="32" t="s">
        <v>922</v>
      </c>
      <c r="G140" s="32" t="s">
        <v>234</v>
      </c>
      <c r="H140" s="32" t="s">
        <v>352</v>
      </c>
      <c r="I140" s="31" t="s">
        <v>935</v>
      </c>
      <c r="J140" s="31">
        <v>99</v>
      </c>
      <c r="K140" s="33" t="s">
        <v>718</v>
      </c>
      <c r="L140" s="33">
        <v>45</v>
      </c>
      <c r="M140" s="34" t="s">
        <v>39</v>
      </c>
      <c r="N140" s="34" t="s">
        <v>1785</v>
      </c>
      <c r="O140" s="35">
        <v>1</v>
      </c>
      <c r="P140" s="35"/>
      <c r="Q140" s="32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35"/>
        <v>0</v>
      </c>
      <c r="AG140" s="1">
        <f t="shared" si="36"/>
        <v>1</v>
      </c>
      <c r="AH140" s="1">
        <f t="shared" si="37"/>
        <v>0</v>
      </c>
      <c r="AI140" s="1">
        <f t="shared" si="38"/>
        <v>1</v>
      </c>
    </row>
    <row r="141" spans="1:35" ht="14.25" customHeight="1" x14ac:dyDescent="0.25">
      <c r="A141" s="44">
        <v>0</v>
      </c>
      <c r="B141" s="44">
        <v>1</v>
      </c>
      <c r="C141" s="44">
        <v>3</v>
      </c>
      <c r="D141" s="45" t="s">
        <v>78</v>
      </c>
      <c r="E141" s="45" t="s">
        <v>606</v>
      </c>
      <c r="F141" s="45" t="s">
        <v>306</v>
      </c>
      <c r="G141" s="45" t="s">
        <v>39</v>
      </c>
      <c r="H141" s="45" t="s">
        <v>360</v>
      </c>
      <c r="I141" s="44" t="s">
        <v>454</v>
      </c>
      <c r="J141" s="44">
        <v>12</v>
      </c>
      <c r="K141" s="46" t="s">
        <v>699</v>
      </c>
      <c r="L141" s="46">
        <v>40</v>
      </c>
      <c r="M141" s="47" t="s">
        <v>958</v>
      </c>
      <c r="N141" s="47" t="s">
        <v>1786</v>
      </c>
      <c r="O141" s="48"/>
      <c r="P141" s="48"/>
      <c r="Q141" s="45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0</v>
      </c>
      <c r="AE141" s="1">
        <f t="shared" si="50"/>
        <v>0</v>
      </c>
      <c r="AF141" s="1">
        <f t="shared" ref="AF141:AF205" si="51">+O141*P141*(1-A141)</f>
        <v>0</v>
      </c>
      <c r="AG141" s="1">
        <f t="shared" ref="AG141:AG205" si="52">O141*(1-P141)*(1-A141)</f>
        <v>0</v>
      </c>
      <c r="AH141" s="1">
        <f t="shared" ref="AH141:AH205" si="53">+P141*(1-A141)</f>
        <v>0</v>
      </c>
      <c r="AI141" s="1">
        <f t="shared" ref="AI141:AI205" si="54">+(1-A141)*(1-P141)</f>
        <v>1</v>
      </c>
    </row>
    <row r="142" spans="1:35" ht="14.25" customHeight="1" x14ac:dyDescent="0.25">
      <c r="A142" s="15">
        <v>0</v>
      </c>
      <c r="B142" s="15">
        <v>1</v>
      </c>
      <c r="C142" s="15">
        <v>3</v>
      </c>
      <c r="D142" s="16" t="s">
        <v>1566</v>
      </c>
      <c r="E142" s="16" t="s">
        <v>169</v>
      </c>
      <c r="F142" s="16" t="s">
        <v>1568</v>
      </c>
      <c r="G142" s="16"/>
      <c r="H142" s="16" t="s">
        <v>363</v>
      </c>
      <c r="I142" s="15" t="s">
        <v>1567</v>
      </c>
      <c r="J142" s="15">
        <v>18</v>
      </c>
      <c r="K142" s="10" t="s">
        <v>699</v>
      </c>
      <c r="L142" s="10" t="s">
        <v>684</v>
      </c>
      <c r="M142" s="19" t="s">
        <v>958</v>
      </c>
      <c r="N142" s="17"/>
      <c r="Q142" s="1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0</v>
      </c>
      <c r="AF142" s="1">
        <f t="shared" si="51"/>
        <v>0</v>
      </c>
      <c r="AG142" s="1">
        <f t="shared" si="52"/>
        <v>0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1271</v>
      </c>
      <c r="E143" s="32" t="s">
        <v>171</v>
      </c>
      <c r="F143" s="32" t="s">
        <v>1272</v>
      </c>
      <c r="G143" s="32" t="s">
        <v>237</v>
      </c>
      <c r="H143" s="32" t="s">
        <v>352</v>
      </c>
      <c r="I143" s="31" t="s">
        <v>1273</v>
      </c>
      <c r="J143" s="31">
        <v>4</v>
      </c>
      <c r="K143" s="33" t="s">
        <v>944</v>
      </c>
      <c r="L143" s="33" t="s">
        <v>39</v>
      </c>
      <c r="M143" s="34" t="s">
        <v>39</v>
      </c>
      <c r="N143" s="34" t="s">
        <v>1711</v>
      </c>
      <c r="O143" s="35">
        <v>1</v>
      </c>
      <c r="P143" s="35">
        <v>1</v>
      </c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1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1</v>
      </c>
      <c r="AE143" s="1">
        <f t="shared" si="50"/>
        <v>0</v>
      </c>
      <c r="AF143" s="1">
        <f t="shared" si="51"/>
        <v>1</v>
      </c>
      <c r="AG143" s="1">
        <f t="shared" si="52"/>
        <v>0</v>
      </c>
      <c r="AH143" s="1">
        <f t="shared" si="53"/>
        <v>1</v>
      </c>
      <c r="AI143" s="1">
        <f t="shared" si="54"/>
        <v>0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644</v>
      </c>
      <c r="E144" s="32" t="s">
        <v>171</v>
      </c>
      <c r="F144" s="32" t="s">
        <v>653</v>
      </c>
      <c r="G144" s="32" t="s">
        <v>231</v>
      </c>
      <c r="H144" s="32" t="s">
        <v>352</v>
      </c>
      <c r="I144" s="31" t="s">
        <v>608</v>
      </c>
      <c r="J144" s="31">
        <v>99</v>
      </c>
      <c r="K144" s="33" t="s">
        <v>698</v>
      </c>
      <c r="L144" s="33" t="s">
        <v>39</v>
      </c>
      <c r="M144" s="34" t="s">
        <v>39</v>
      </c>
      <c r="N144" s="34" t="s">
        <v>1717</v>
      </c>
      <c r="O144" s="35">
        <v>1</v>
      </c>
      <c r="P144" s="35">
        <v>1</v>
      </c>
      <c r="Q144" s="32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1</v>
      </c>
      <c r="AE144" s="1">
        <f t="shared" si="50"/>
        <v>0</v>
      </c>
      <c r="AF144" s="1">
        <f t="shared" si="51"/>
        <v>1</v>
      </c>
      <c r="AG144" s="1">
        <f t="shared" si="52"/>
        <v>0</v>
      </c>
      <c r="AH144" s="1">
        <f t="shared" si="53"/>
        <v>1</v>
      </c>
      <c r="AI144" s="1">
        <f t="shared" si="54"/>
        <v>0</v>
      </c>
    </row>
    <row r="145" spans="1:35" ht="14.25" customHeight="1" x14ac:dyDescent="0.25">
      <c r="A145" s="38">
        <v>0</v>
      </c>
      <c r="B145" s="38">
        <v>1</v>
      </c>
      <c r="C145" s="38">
        <v>3</v>
      </c>
      <c r="D145" s="39" t="s">
        <v>864</v>
      </c>
      <c r="E145" s="39" t="s">
        <v>865</v>
      </c>
      <c r="F145" s="39" t="s">
        <v>866</v>
      </c>
      <c r="G145" s="39" t="s">
        <v>39</v>
      </c>
      <c r="H145" s="39" t="s">
        <v>364</v>
      </c>
      <c r="I145" s="38" t="s">
        <v>867</v>
      </c>
      <c r="J145" s="38">
        <v>18</v>
      </c>
      <c r="K145" s="40" t="s">
        <v>943</v>
      </c>
      <c r="L145" s="40" t="s">
        <v>39</v>
      </c>
      <c r="M145" s="41" t="s">
        <v>39</v>
      </c>
      <c r="N145" s="42"/>
      <c r="O145" s="43"/>
      <c r="P145" s="43">
        <v>1</v>
      </c>
      <c r="Q145" s="39"/>
      <c r="S145" s="1">
        <f t="shared" ref="S145:S209" si="55">IF(J145=$S$7,1,0)</f>
        <v>0</v>
      </c>
      <c r="T145" s="1">
        <f t="shared" ref="T145:T209" si="56">IF(J145=$T$7,1,0)</f>
        <v>0</v>
      </c>
      <c r="U145" s="1">
        <f t="shared" ref="U145:U209" si="57">IF(J145=$U$7,1,0)</f>
        <v>0</v>
      </c>
      <c r="V145" s="1">
        <f t="shared" ref="V145:V209" si="58">IF(J145=$V$7,1,0)</f>
        <v>0</v>
      </c>
      <c r="W145" s="1">
        <f t="shared" ref="W145:W209" si="59">IF(J145=$W$7,1,0)</f>
        <v>0</v>
      </c>
      <c r="X145" s="1">
        <f t="shared" ref="X145:X209" si="60">IF(J145=$X$7,1,0)</f>
        <v>0</v>
      </c>
      <c r="Y145" s="1">
        <f t="shared" ref="Y145:Y209" si="61">IF(J145=$Y$7,1,0)</f>
        <v>0</v>
      </c>
      <c r="Z145" s="1">
        <f t="shared" ref="Z145:Z209" si="62">IF(J145=$Z$7,1,0)</f>
        <v>0</v>
      </c>
      <c r="AA145" s="1">
        <f t="shared" ref="AA145:AA209" si="63">IF(J145=$AA$7,1,0)</f>
        <v>0</v>
      </c>
      <c r="AB145" s="1">
        <f t="shared" ref="AB145:AB209" si="64">IF(J145=$AB$7,1,0)</f>
        <v>0</v>
      </c>
      <c r="AD145" s="1">
        <f t="shared" ref="AD145:AD209" si="65">+O145*P145</f>
        <v>0</v>
      </c>
      <c r="AE145" s="1">
        <f t="shared" ref="AE145:AE209" si="66">O145*(1-P145)</f>
        <v>0</v>
      </c>
      <c r="AF145" s="1">
        <f t="shared" si="51"/>
        <v>0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1291</v>
      </c>
      <c r="E146" s="32" t="s">
        <v>171</v>
      </c>
      <c r="F146" s="32" t="s">
        <v>1292</v>
      </c>
      <c r="G146" s="32" t="s">
        <v>207</v>
      </c>
      <c r="H146" s="32" t="s">
        <v>352</v>
      </c>
      <c r="I146" s="31" t="s">
        <v>1293</v>
      </c>
      <c r="J146" s="31">
        <v>3</v>
      </c>
      <c r="K146" s="33" t="s">
        <v>943</v>
      </c>
      <c r="L146" s="33" t="s">
        <v>39</v>
      </c>
      <c r="M146" s="34" t="s">
        <v>39</v>
      </c>
      <c r="N146" s="34" t="s">
        <v>1717</v>
      </c>
      <c r="O146" s="35">
        <v>1</v>
      </c>
      <c r="P146" s="35">
        <v>1</v>
      </c>
      <c r="Q146" s="32"/>
      <c r="S146" s="1">
        <f t="shared" si="55"/>
        <v>0</v>
      </c>
      <c r="T146" s="1">
        <f t="shared" si="56"/>
        <v>0</v>
      </c>
      <c r="U146" s="1">
        <f t="shared" si="57"/>
        <v>1</v>
      </c>
      <c r="V146" s="1">
        <f t="shared" si="58"/>
        <v>0</v>
      </c>
      <c r="W146" s="1">
        <f t="shared" si="59"/>
        <v>0</v>
      </c>
      <c r="X146" s="1">
        <f t="shared" si="60"/>
        <v>0</v>
      </c>
      <c r="Y146" s="1">
        <f t="shared" si="61"/>
        <v>0</v>
      </c>
      <c r="Z146" s="1">
        <f t="shared" si="62"/>
        <v>0</v>
      </c>
      <c r="AA146" s="1">
        <f t="shared" si="63"/>
        <v>0</v>
      </c>
      <c r="AB146" s="1">
        <f t="shared" si="64"/>
        <v>0</v>
      </c>
      <c r="AD146" s="1">
        <f t="shared" si="65"/>
        <v>1</v>
      </c>
      <c r="AE146" s="1">
        <f t="shared" si="66"/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858</v>
      </c>
      <c r="E147" s="32" t="s">
        <v>169</v>
      </c>
      <c r="F147" s="32" t="s">
        <v>859</v>
      </c>
      <c r="G147" s="32" t="s">
        <v>39</v>
      </c>
      <c r="H147" s="32" t="s">
        <v>860</v>
      </c>
      <c r="I147" s="31" t="s">
        <v>936</v>
      </c>
      <c r="J147" s="31">
        <v>11</v>
      </c>
      <c r="K147" s="33" t="s">
        <v>698</v>
      </c>
      <c r="L147" s="33" t="s">
        <v>685</v>
      </c>
      <c r="M147" s="34" t="s">
        <v>958</v>
      </c>
      <c r="N147" s="34" t="s">
        <v>1739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si="51"/>
        <v>0</v>
      </c>
      <c r="AG147" s="1">
        <f t="shared" si="52"/>
        <v>1</v>
      </c>
      <c r="AH147" s="1">
        <f t="shared" si="53"/>
        <v>0</v>
      </c>
      <c r="AI147" s="1">
        <f t="shared" si="54"/>
        <v>1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6" t="s">
        <v>502</v>
      </c>
      <c r="E148" s="36" t="s">
        <v>169</v>
      </c>
      <c r="F148" s="36" t="s">
        <v>503</v>
      </c>
      <c r="G148" s="36" t="s">
        <v>500</v>
      </c>
      <c r="H148" s="36" t="s">
        <v>352</v>
      </c>
      <c r="I148" s="37" t="s">
        <v>504</v>
      </c>
      <c r="J148" s="31">
        <v>99</v>
      </c>
      <c r="K148" s="33" t="s">
        <v>699</v>
      </c>
      <c r="L148" s="33">
        <v>40</v>
      </c>
      <c r="M148" s="34" t="s">
        <v>958</v>
      </c>
      <c r="N148" s="34" t="s">
        <v>1930</v>
      </c>
      <c r="O148" s="35">
        <v>1</v>
      </c>
      <c r="P148" s="35"/>
      <c r="Q148" s="36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1</v>
      </c>
      <c r="AF148" s="1">
        <f t="shared" si="51"/>
        <v>0</v>
      </c>
      <c r="AG148" s="1">
        <f t="shared" si="52"/>
        <v>1</v>
      </c>
      <c r="AH148" s="1">
        <f t="shared" si="53"/>
        <v>0</v>
      </c>
      <c r="AI148" s="1">
        <f t="shared" si="54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6" t="s">
        <v>1776</v>
      </c>
      <c r="E149" s="36" t="s">
        <v>1777</v>
      </c>
      <c r="F149" s="36" t="s">
        <v>1778</v>
      </c>
      <c r="G149" s="36" t="s">
        <v>1779</v>
      </c>
      <c r="H149" s="36" t="s">
        <v>352</v>
      </c>
      <c r="I149" s="37" t="s">
        <v>1780</v>
      </c>
      <c r="J149" s="31">
        <v>99</v>
      </c>
      <c r="K149" s="33" t="s">
        <v>699</v>
      </c>
      <c r="L149" s="33"/>
      <c r="M149" s="34"/>
      <c r="N149" s="34" t="s">
        <v>1717</v>
      </c>
      <c r="O149" s="35">
        <v>1</v>
      </c>
      <c r="P149" s="35">
        <v>1</v>
      </c>
      <c r="Q149" s="3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1</v>
      </c>
      <c r="AE149" s="1">
        <f t="shared" si="66"/>
        <v>0</v>
      </c>
      <c r="AF149" s="1">
        <f t="shared" si="51"/>
        <v>1</v>
      </c>
      <c r="AG149" s="1">
        <f t="shared" si="52"/>
        <v>0</v>
      </c>
      <c r="AH149" s="1">
        <f t="shared" si="53"/>
        <v>1</v>
      </c>
      <c r="AI149" s="1">
        <f t="shared" si="54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525</v>
      </c>
      <c r="E150" s="32" t="s">
        <v>169</v>
      </c>
      <c r="F150" s="32" t="s">
        <v>654</v>
      </c>
      <c r="G150" s="32" t="s">
        <v>39</v>
      </c>
      <c r="H150" s="32" t="s">
        <v>526</v>
      </c>
      <c r="I150" s="31" t="s">
        <v>527</v>
      </c>
      <c r="J150" s="31">
        <v>18</v>
      </c>
      <c r="K150" s="33" t="s">
        <v>943</v>
      </c>
      <c r="L150" s="33" t="s">
        <v>1726</v>
      </c>
      <c r="M150" s="34" t="s">
        <v>957</v>
      </c>
      <c r="N150" s="34" t="s">
        <v>1717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0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51"/>
        <v>1</v>
      </c>
      <c r="AG150" s="1">
        <f t="shared" si="52"/>
        <v>0</v>
      </c>
      <c r="AH150" s="1">
        <f t="shared" si="53"/>
        <v>1</v>
      </c>
      <c r="AI150" s="1">
        <f t="shared" si="54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962</v>
      </c>
      <c r="E151" s="32" t="s">
        <v>174</v>
      </c>
      <c r="F151" s="32" t="s">
        <v>796</v>
      </c>
      <c r="G151" s="32" t="s">
        <v>39</v>
      </c>
      <c r="H151" s="32" t="s">
        <v>797</v>
      </c>
      <c r="I151" s="31" t="s">
        <v>798</v>
      </c>
      <c r="J151" s="31">
        <v>16</v>
      </c>
      <c r="K151" s="33" t="s">
        <v>944</v>
      </c>
      <c r="L151" s="33" t="s">
        <v>1125</v>
      </c>
      <c r="M151" s="34" t="s">
        <v>957</v>
      </c>
      <c r="N151" s="34" t="s">
        <v>1732</v>
      </c>
      <c r="O151" s="35">
        <v>1</v>
      </c>
      <c r="P151" s="35"/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0</v>
      </c>
      <c r="AE151" s="1">
        <f t="shared" si="66"/>
        <v>1</v>
      </c>
      <c r="AF151" s="1">
        <f t="shared" si="51"/>
        <v>0</v>
      </c>
      <c r="AG151" s="1">
        <f t="shared" si="52"/>
        <v>1</v>
      </c>
      <c r="AH151" s="1">
        <f t="shared" si="53"/>
        <v>0</v>
      </c>
      <c r="AI151" s="1">
        <f t="shared" si="54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1182</v>
      </c>
      <c r="E152" s="32" t="s">
        <v>171</v>
      </c>
      <c r="F152" s="32" t="s">
        <v>1183</v>
      </c>
      <c r="G152" s="32" t="s">
        <v>237</v>
      </c>
      <c r="H152" s="32" t="s">
        <v>352</v>
      </c>
      <c r="I152" s="31" t="s">
        <v>1184</v>
      </c>
      <c r="J152" s="31">
        <v>4</v>
      </c>
      <c r="K152" s="33" t="s">
        <v>950</v>
      </c>
      <c r="L152" s="33" t="s">
        <v>1683</v>
      </c>
      <c r="M152" s="34" t="s">
        <v>1588</v>
      </c>
      <c r="N152" s="34" t="s">
        <v>1711</v>
      </c>
      <c r="O152" s="35">
        <v>1</v>
      </c>
      <c r="P152" s="35">
        <v>1</v>
      </c>
      <c r="Q152" s="32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1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1</v>
      </c>
      <c r="AE152" s="1">
        <f t="shared" si="66"/>
        <v>0</v>
      </c>
      <c r="AF152" s="1">
        <f t="shared" si="51"/>
        <v>1</v>
      </c>
      <c r="AG152" s="1">
        <f t="shared" si="52"/>
        <v>0</v>
      </c>
      <c r="AH152" s="1">
        <f t="shared" si="53"/>
        <v>1</v>
      </c>
      <c r="AI152" s="1">
        <f t="shared" si="54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1625</v>
      </c>
      <c r="E153" s="32" t="s">
        <v>169</v>
      </c>
      <c r="F153" s="32" t="s">
        <v>1460</v>
      </c>
      <c r="G153" s="32" t="s">
        <v>1653</v>
      </c>
      <c r="H153" s="32" t="s">
        <v>352</v>
      </c>
      <c r="I153" s="31" t="s">
        <v>1459</v>
      </c>
      <c r="J153" s="31">
        <v>99</v>
      </c>
      <c r="K153" s="33" t="s">
        <v>698</v>
      </c>
      <c r="L153" s="33" t="s">
        <v>1688</v>
      </c>
      <c r="M153" s="34" t="s">
        <v>1461</v>
      </c>
      <c r="N153" s="34" t="s">
        <v>1733</v>
      </c>
      <c r="O153" s="35">
        <v>1</v>
      </c>
      <c r="P153" s="35"/>
      <c r="Q153" s="32"/>
      <c r="S153" s="1">
        <f t="shared" si="55"/>
        <v>0</v>
      </c>
      <c r="T153" s="1">
        <f t="shared" si="56"/>
        <v>0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0</v>
      </c>
      <c r="AE153" s="1">
        <f t="shared" si="66"/>
        <v>1</v>
      </c>
      <c r="AF153" s="1">
        <f t="shared" si="51"/>
        <v>0</v>
      </c>
      <c r="AG153" s="1">
        <f t="shared" si="52"/>
        <v>1</v>
      </c>
      <c r="AH153" s="1">
        <f t="shared" si="53"/>
        <v>0</v>
      </c>
      <c r="AI153" s="1">
        <f t="shared" si="54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6" t="s">
        <v>2059</v>
      </c>
      <c r="E154" s="36" t="s">
        <v>171</v>
      </c>
      <c r="F154" s="36" t="s">
        <v>2060</v>
      </c>
      <c r="G154" s="32"/>
      <c r="H154" s="36" t="s">
        <v>607</v>
      </c>
      <c r="I154" s="37" t="s">
        <v>2061</v>
      </c>
      <c r="J154" s="31">
        <v>14</v>
      </c>
      <c r="K154" s="33" t="s">
        <v>699</v>
      </c>
      <c r="L154" s="33"/>
      <c r="M154" s="34"/>
      <c r="N154" s="34" t="s">
        <v>1717</v>
      </c>
      <c r="O154" s="35">
        <v>1</v>
      </c>
      <c r="P154" s="35">
        <v>1</v>
      </c>
      <c r="Q154" s="32" t="s">
        <v>2062</v>
      </c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1</v>
      </c>
      <c r="AE154" s="1">
        <f t="shared" si="66"/>
        <v>0</v>
      </c>
      <c r="AF154" s="1">
        <f t="shared" si="51"/>
        <v>1</v>
      </c>
      <c r="AG154" s="1">
        <f t="shared" si="52"/>
        <v>0</v>
      </c>
      <c r="AH154" s="1">
        <f t="shared" si="53"/>
        <v>1</v>
      </c>
      <c r="AI154" s="1">
        <f t="shared" si="54"/>
        <v>0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20" t="s">
        <v>1932</v>
      </c>
      <c r="E155" s="20" t="s">
        <v>171</v>
      </c>
      <c r="F155" s="20" t="s">
        <v>1947</v>
      </c>
      <c r="G155" s="20"/>
      <c r="H155" s="20" t="s">
        <v>1946</v>
      </c>
      <c r="I155" s="21" t="s">
        <v>1945</v>
      </c>
      <c r="J155" s="15">
        <v>14</v>
      </c>
      <c r="K155" s="10" t="s">
        <v>699</v>
      </c>
      <c r="L155" s="10" t="s">
        <v>693</v>
      </c>
      <c r="M155" s="19" t="s">
        <v>958</v>
      </c>
      <c r="N155" s="17"/>
      <c r="Q155" s="20" t="s">
        <v>1948</v>
      </c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51"/>
        <v>0</v>
      </c>
      <c r="AG155" s="1">
        <f t="shared" si="52"/>
        <v>0</v>
      </c>
      <c r="AH155" s="1">
        <f t="shared" si="53"/>
        <v>0</v>
      </c>
      <c r="AI155" s="1">
        <f t="shared" si="54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144</v>
      </c>
      <c r="E156" s="32" t="s">
        <v>171</v>
      </c>
      <c r="F156" s="32" t="s">
        <v>345</v>
      </c>
      <c r="G156" s="32" t="s">
        <v>39</v>
      </c>
      <c r="H156" s="32" t="s">
        <v>376</v>
      </c>
      <c r="I156" s="31" t="s">
        <v>1346</v>
      </c>
      <c r="J156" s="31">
        <v>14</v>
      </c>
      <c r="K156" s="33" t="s">
        <v>943</v>
      </c>
      <c r="L156" s="33" t="s">
        <v>685</v>
      </c>
      <c r="M156" s="34" t="s">
        <v>687</v>
      </c>
      <c r="N156" s="34" t="s">
        <v>1732</v>
      </c>
      <c r="O156" s="35">
        <v>1</v>
      </c>
      <c r="P156" s="35"/>
      <c r="Q156" s="32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0</v>
      </c>
      <c r="AE156" s="1">
        <f t="shared" si="66"/>
        <v>1</v>
      </c>
      <c r="AF156" s="1">
        <f t="shared" si="51"/>
        <v>0</v>
      </c>
      <c r="AG156" s="1">
        <f t="shared" si="52"/>
        <v>1</v>
      </c>
      <c r="AH156" s="1">
        <f t="shared" si="53"/>
        <v>0</v>
      </c>
      <c r="AI156" s="1">
        <f t="shared" si="54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1551</v>
      </c>
      <c r="E157" s="32" t="s">
        <v>171</v>
      </c>
      <c r="F157" s="32" t="s">
        <v>1552</v>
      </c>
      <c r="G157" s="32" t="s">
        <v>39</v>
      </c>
      <c r="H157" s="32" t="s">
        <v>1553</v>
      </c>
      <c r="I157" s="31" t="s">
        <v>1554</v>
      </c>
      <c r="J157" s="31">
        <v>17</v>
      </c>
      <c r="K157" s="33" t="s">
        <v>718</v>
      </c>
      <c r="L157" s="33" t="s">
        <v>39</v>
      </c>
      <c r="M157" s="34" t="s">
        <v>39</v>
      </c>
      <c r="N157" s="34" t="s">
        <v>1717</v>
      </c>
      <c r="O157" s="35">
        <v>1</v>
      </c>
      <c r="P157" s="35">
        <v>1</v>
      </c>
      <c r="Q157" s="32" t="s">
        <v>1897</v>
      </c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51"/>
        <v>1</v>
      </c>
      <c r="AG157" s="1">
        <f t="shared" si="52"/>
        <v>0</v>
      </c>
      <c r="AH157" s="1">
        <f t="shared" si="53"/>
        <v>1</v>
      </c>
      <c r="AI157" s="1">
        <f t="shared" si="54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152</v>
      </c>
      <c r="E158" s="32" t="s">
        <v>171</v>
      </c>
      <c r="F158" s="32" t="s">
        <v>351</v>
      </c>
      <c r="G158" s="32" t="s">
        <v>39</v>
      </c>
      <c r="H158" s="32" t="s">
        <v>1853</v>
      </c>
      <c r="I158" s="31" t="s">
        <v>497</v>
      </c>
      <c r="J158" s="31">
        <v>14</v>
      </c>
      <c r="K158" s="33" t="s">
        <v>698</v>
      </c>
      <c r="L158" s="33" t="s">
        <v>685</v>
      </c>
      <c r="M158" s="34" t="s">
        <v>957</v>
      </c>
      <c r="N158" s="34" t="s">
        <v>1732</v>
      </c>
      <c r="O158" s="35">
        <v>1</v>
      </c>
      <c r="P158" s="35"/>
      <c r="Q158" s="32" t="s">
        <v>1880</v>
      </c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51"/>
        <v>0</v>
      </c>
      <c r="AG158" s="1">
        <f t="shared" si="52"/>
        <v>1</v>
      </c>
      <c r="AH158" s="1">
        <f t="shared" si="53"/>
        <v>0</v>
      </c>
      <c r="AI158" s="1">
        <f t="shared" si="54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16" t="s">
        <v>735</v>
      </c>
      <c r="E159" s="16" t="s">
        <v>171</v>
      </c>
      <c r="F159" s="16" t="s">
        <v>736</v>
      </c>
      <c r="G159" s="16" t="s">
        <v>39</v>
      </c>
      <c r="H159" s="16" t="s">
        <v>737</v>
      </c>
      <c r="I159" s="15" t="s">
        <v>738</v>
      </c>
      <c r="J159" s="15">
        <v>17</v>
      </c>
      <c r="K159" s="10" t="s">
        <v>718</v>
      </c>
      <c r="L159" s="10" t="s">
        <v>693</v>
      </c>
      <c r="M159" s="19" t="s">
        <v>687</v>
      </c>
      <c r="N159" s="17"/>
      <c r="Q159" s="16" t="s">
        <v>1871</v>
      </c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0</v>
      </c>
      <c r="AE159" s="1">
        <f t="shared" si="66"/>
        <v>0</v>
      </c>
      <c r="AF159" s="1">
        <f t="shared" si="51"/>
        <v>0</v>
      </c>
      <c r="AG159" s="1">
        <f t="shared" si="52"/>
        <v>0</v>
      </c>
      <c r="AH159" s="1">
        <f t="shared" si="53"/>
        <v>0</v>
      </c>
      <c r="AI159" s="1">
        <f t="shared" si="54"/>
        <v>1</v>
      </c>
    </row>
    <row r="160" spans="1:35" ht="14.25" customHeight="1" x14ac:dyDescent="0.25">
      <c r="A160" s="44">
        <v>0</v>
      </c>
      <c r="B160" s="44">
        <v>1</v>
      </c>
      <c r="C160" s="44">
        <v>3</v>
      </c>
      <c r="D160" s="45" t="s">
        <v>893</v>
      </c>
      <c r="E160" s="45" t="s">
        <v>171</v>
      </c>
      <c r="F160" s="45" t="s">
        <v>1083</v>
      </c>
      <c r="G160" s="45" t="s">
        <v>39</v>
      </c>
      <c r="H160" s="45" t="s">
        <v>895</v>
      </c>
      <c r="I160" s="44" t="s">
        <v>894</v>
      </c>
      <c r="J160" s="44">
        <v>11</v>
      </c>
      <c r="K160" s="46" t="s">
        <v>944</v>
      </c>
      <c r="L160" s="46">
        <v>60</v>
      </c>
      <c r="M160" s="47" t="s">
        <v>39</v>
      </c>
      <c r="N160" s="47" t="s">
        <v>1723</v>
      </c>
      <c r="O160" s="48"/>
      <c r="P160" s="48"/>
      <c r="Q160" s="45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0</v>
      </c>
      <c r="AF160" s="1">
        <f t="shared" si="51"/>
        <v>0</v>
      </c>
      <c r="AG160" s="1">
        <f t="shared" si="52"/>
        <v>0</v>
      </c>
      <c r="AH160" s="1">
        <f t="shared" si="53"/>
        <v>0</v>
      </c>
      <c r="AI160" s="1">
        <f t="shared" si="54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122</v>
      </c>
      <c r="E161" s="32" t="s">
        <v>174</v>
      </c>
      <c r="F161" s="32" t="s">
        <v>322</v>
      </c>
      <c r="G161" s="32" t="s">
        <v>39</v>
      </c>
      <c r="H161" s="32" t="s">
        <v>361</v>
      </c>
      <c r="I161" s="31" t="s">
        <v>467</v>
      </c>
      <c r="J161" s="31">
        <v>14</v>
      </c>
      <c r="K161" s="33" t="s">
        <v>718</v>
      </c>
      <c r="L161" s="33" t="s">
        <v>689</v>
      </c>
      <c r="M161" s="34" t="s">
        <v>1363</v>
      </c>
      <c r="N161" s="34" t="s">
        <v>1833</v>
      </c>
      <c r="O161" s="35">
        <v>1</v>
      </c>
      <c r="P161" s="35"/>
      <c r="Q161" s="36"/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51"/>
        <v>0</v>
      </c>
      <c r="AG161" s="1">
        <f t="shared" si="52"/>
        <v>1</v>
      </c>
      <c r="AH161" s="1">
        <f t="shared" si="53"/>
        <v>0</v>
      </c>
      <c r="AI161" s="1">
        <f t="shared" si="54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2" t="s">
        <v>1153</v>
      </c>
      <c r="E162" s="32" t="s">
        <v>171</v>
      </c>
      <c r="F162" s="32" t="s">
        <v>1155</v>
      </c>
      <c r="G162" s="32" t="s">
        <v>758</v>
      </c>
      <c r="H162" s="32" t="s">
        <v>352</v>
      </c>
      <c r="I162" s="31" t="s">
        <v>1154</v>
      </c>
      <c r="J162" s="31">
        <v>99</v>
      </c>
      <c r="K162" s="33" t="s">
        <v>699</v>
      </c>
      <c r="L162" s="33">
        <v>30</v>
      </c>
      <c r="M162" s="34" t="s">
        <v>957</v>
      </c>
      <c r="N162" s="34" t="s">
        <v>1809</v>
      </c>
      <c r="O162" s="35">
        <v>1</v>
      </c>
      <c r="P162" s="35"/>
      <c r="Q162" s="36"/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1</v>
      </c>
      <c r="AF162" s="1">
        <f t="shared" si="51"/>
        <v>0</v>
      </c>
      <c r="AG162" s="1">
        <f t="shared" si="52"/>
        <v>1</v>
      </c>
      <c r="AH162" s="1">
        <f t="shared" si="53"/>
        <v>0</v>
      </c>
      <c r="AI162" s="1">
        <f t="shared" si="54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2021</v>
      </c>
      <c r="E163" s="32" t="s">
        <v>171</v>
      </c>
      <c r="F163" s="32" t="s">
        <v>2022</v>
      </c>
      <c r="G163" s="32"/>
      <c r="H163" s="32" t="s">
        <v>352</v>
      </c>
      <c r="I163" s="31" t="s">
        <v>2023</v>
      </c>
      <c r="J163" s="31">
        <v>18</v>
      </c>
      <c r="K163" s="33" t="s">
        <v>699</v>
      </c>
      <c r="L163" s="33"/>
      <c r="M163" s="34"/>
      <c r="N163" s="34" t="s">
        <v>1717</v>
      </c>
      <c r="O163" s="35">
        <v>1</v>
      </c>
      <c r="P163" s="35">
        <v>1</v>
      </c>
      <c r="Q163" s="36" t="s">
        <v>2024</v>
      </c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1</v>
      </c>
      <c r="AE163" s="1">
        <f t="shared" si="66"/>
        <v>0</v>
      </c>
      <c r="AF163" s="1">
        <f t="shared" si="51"/>
        <v>1</v>
      </c>
      <c r="AG163" s="1">
        <f t="shared" si="52"/>
        <v>0</v>
      </c>
      <c r="AH163" s="1">
        <f t="shared" si="53"/>
        <v>1</v>
      </c>
      <c r="AI163" s="1">
        <f t="shared" si="54"/>
        <v>0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739</v>
      </c>
      <c r="E164" s="16" t="s">
        <v>169</v>
      </c>
      <c r="F164" s="16" t="s">
        <v>740</v>
      </c>
      <c r="G164" s="16" t="s">
        <v>39</v>
      </c>
      <c r="H164" s="16" t="s">
        <v>741</v>
      </c>
      <c r="I164" s="15" t="s">
        <v>742</v>
      </c>
      <c r="J164" s="15">
        <v>17</v>
      </c>
      <c r="K164" s="10" t="s">
        <v>699</v>
      </c>
      <c r="L164" s="10" t="s">
        <v>693</v>
      </c>
      <c r="M164" s="19" t="s">
        <v>958</v>
      </c>
      <c r="N164" s="17"/>
      <c r="Q164" s="16"/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0</v>
      </c>
      <c r="AE164" s="1">
        <f t="shared" si="66"/>
        <v>0</v>
      </c>
      <c r="AF164" s="1">
        <f t="shared" si="51"/>
        <v>0</v>
      </c>
      <c r="AG164" s="1">
        <f t="shared" si="52"/>
        <v>0</v>
      </c>
      <c r="AH164" s="1">
        <f t="shared" si="53"/>
        <v>0</v>
      </c>
      <c r="AI164" s="1">
        <f t="shared" si="54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20" t="s">
        <v>1931</v>
      </c>
      <c r="E165" s="20" t="s">
        <v>171</v>
      </c>
      <c r="F165" s="20" t="s">
        <v>1941</v>
      </c>
      <c r="G165" s="20"/>
      <c r="H165" s="20" t="s">
        <v>1942</v>
      </c>
      <c r="I165" s="21" t="s">
        <v>1943</v>
      </c>
      <c r="J165" s="15">
        <v>16</v>
      </c>
      <c r="K165" s="10" t="s">
        <v>699</v>
      </c>
      <c r="L165" s="10" t="s">
        <v>693</v>
      </c>
      <c r="M165" s="19" t="s">
        <v>958</v>
      </c>
      <c r="N165" s="17"/>
      <c r="Q165" s="20" t="s">
        <v>1940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0</v>
      </c>
      <c r="AF165" s="1">
        <f t="shared" si="51"/>
        <v>0</v>
      </c>
      <c r="AG165" s="1">
        <f t="shared" si="52"/>
        <v>0</v>
      </c>
      <c r="AH165" s="1">
        <f t="shared" si="53"/>
        <v>0</v>
      </c>
      <c r="AI165" s="1">
        <f t="shared" si="54"/>
        <v>1</v>
      </c>
    </row>
    <row r="166" spans="1:35" ht="14.25" customHeight="1" x14ac:dyDescent="0.25">
      <c r="A166" s="44">
        <v>0</v>
      </c>
      <c r="B166" s="44">
        <v>1</v>
      </c>
      <c r="C166" s="44">
        <v>3</v>
      </c>
      <c r="D166" s="45" t="s">
        <v>825</v>
      </c>
      <c r="E166" s="45" t="s">
        <v>903</v>
      </c>
      <c r="F166" s="45" t="s">
        <v>826</v>
      </c>
      <c r="G166" s="45" t="s">
        <v>207</v>
      </c>
      <c r="H166" s="45" t="s">
        <v>352</v>
      </c>
      <c r="I166" s="44" t="s">
        <v>827</v>
      </c>
      <c r="J166" s="44">
        <v>3</v>
      </c>
      <c r="K166" s="46" t="s">
        <v>718</v>
      </c>
      <c r="L166" s="46" t="s">
        <v>689</v>
      </c>
      <c r="M166" s="47" t="s">
        <v>694</v>
      </c>
      <c r="N166" s="47" t="s">
        <v>1724</v>
      </c>
      <c r="O166" s="48"/>
      <c r="P166" s="48"/>
      <c r="Q166" s="45"/>
      <c r="S166" s="1">
        <f t="shared" si="55"/>
        <v>0</v>
      </c>
      <c r="T166" s="1">
        <f t="shared" si="56"/>
        <v>0</v>
      </c>
      <c r="U166" s="1">
        <f t="shared" si="57"/>
        <v>1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51"/>
        <v>0</v>
      </c>
      <c r="AG166" s="1">
        <f t="shared" si="52"/>
        <v>0</v>
      </c>
      <c r="AH166" s="1">
        <f t="shared" si="53"/>
        <v>0</v>
      </c>
      <c r="AI166" s="1">
        <f t="shared" si="54"/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20" t="s">
        <v>1936</v>
      </c>
      <c r="E167" s="20" t="s">
        <v>171</v>
      </c>
      <c r="F167" s="20" t="s">
        <v>1938</v>
      </c>
      <c r="G167" s="20"/>
      <c r="H167" s="20" t="s">
        <v>1939</v>
      </c>
      <c r="I167" s="21" t="s">
        <v>1937</v>
      </c>
      <c r="J167" s="15">
        <v>16</v>
      </c>
      <c r="K167" s="10" t="s">
        <v>699</v>
      </c>
      <c r="L167" s="10" t="s">
        <v>693</v>
      </c>
      <c r="M167" s="19" t="s">
        <v>958</v>
      </c>
      <c r="N167" s="17"/>
      <c r="Q167" s="20" t="s">
        <v>1944</v>
      </c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0</v>
      </c>
      <c r="AF167" s="1">
        <f t="shared" si="51"/>
        <v>0</v>
      </c>
      <c r="AG167" s="1">
        <f t="shared" si="52"/>
        <v>0</v>
      </c>
      <c r="AH167" s="1">
        <f t="shared" si="53"/>
        <v>0</v>
      </c>
      <c r="AI167" s="1">
        <f t="shared" si="54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1193</v>
      </c>
      <c r="E168" s="32" t="s">
        <v>171</v>
      </c>
      <c r="F168" s="32" t="s">
        <v>1195</v>
      </c>
      <c r="G168" s="32" t="s">
        <v>184</v>
      </c>
      <c r="H168" s="32" t="s">
        <v>352</v>
      </c>
      <c r="I168" s="31" t="s">
        <v>1194</v>
      </c>
      <c r="J168" s="31">
        <v>99</v>
      </c>
      <c r="K168" s="33" t="s">
        <v>945</v>
      </c>
      <c r="L168" s="33" t="s">
        <v>685</v>
      </c>
      <c r="M168" s="34" t="s">
        <v>958</v>
      </c>
      <c r="N168" s="34" t="s">
        <v>1733</v>
      </c>
      <c r="O168" s="35">
        <v>1</v>
      </c>
      <c r="P168" s="35"/>
      <c r="Q168" s="32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51"/>
        <v>0</v>
      </c>
      <c r="AG168" s="1">
        <f t="shared" si="52"/>
        <v>1</v>
      </c>
      <c r="AH168" s="1">
        <f t="shared" si="53"/>
        <v>0</v>
      </c>
      <c r="AI168" s="1">
        <f t="shared" si="54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628</v>
      </c>
      <c r="E169" s="32" t="s">
        <v>169</v>
      </c>
      <c r="F169" s="32" t="s">
        <v>629</v>
      </c>
      <c r="G169" s="32" t="s">
        <v>193</v>
      </c>
      <c r="H169" s="32" t="s">
        <v>352</v>
      </c>
      <c r="I169" s="31" t="s">
        <v>630</v>
      </c>
      <c r="J169" s="31">
        <v>9</v>
      </c>
      <c r="K169" s="33" t="s">
        <v>944</v>
      </c>
      <c r="L169" s="33" t="s">
        <v>1683</v>
      </c>
      <c r="M169" s="34" t="s">
        <v>957</v>
      </c>
      <c r="N169" s="34" t="s">
        <v>1711</v>
      </c>
      <c r="O169" s="35">
        <v>1</v>
      </c>
      <c r="P169" s="35">
        <v>1</v>
      </c>
      <c r="Q169" s="32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1</v>
      </c>
      <c r="AB169" s="1">
        <f t="shared" si="64"/>
        <v>0</v>
      </c>
      <c r="AD169" s="1">
        <f t="shared" si="65"/>
        <v>1</v>
      </c>
      <c r="AE169" s="1">
        <f t="shared" si="66"/>
        <v>0</v>
      </c>
      <c r="AF169" s="1">
        <f t="shared" si="51"/>
        <v>1</v>
      </c>
      <c r="AG169" s="1">
        <f t="shared" si="52"/>
        <v>0</v>
      </c>
      <c r="AH169" s="1">
        <f t="shared" si="53"/>
        <v>1</v>
      </c>
      <c r="AI169" s="1">
        <f t="shared" si="54"/>
        <v>0</v>
      </c>
    </row>
    <row r="170" spans="1:35" ht="14.25" customHeight="1" x14ac:dyDescent="0.25">
      <c r="A170" s="44">
        <v>0</v>
      </c>
      <c r="B170" s="44">
        <v>1</v>
      </c>
      <c r="C170" s="44">
        <v>3</v>
      </c>
      <c r="D170" s="45" t="s">
        <v>131</v>
      </c>
      <c r="E170" s="45" t="s">
        <v>679</v>
      </c>
      <c r="F170" s="45" t="s">
        <v>332</v>
      </c>
      <c r="G170" s="45" t="s">
        <v>39</v>
      </c>
      <c r="H170" s="45" t="s">
        <v>360</v>
      </c>
      <c r="I170" s="44" t="s">
        <v>478</v>
      </c>
      <c r="J170" s="44">
        <v>12</v>
      </c>
      <c r="K170" s="46" t="s">
        <v>718</v>
      </c>
      <c r="L170" s="46">
        <v>35</v>
      </c>
      <c r="M170" s="47" t="s">
        <v>39</v>
      </c>
      <c r="N170" s="47" t="s">
        <v>1786</v>
      </c>
      <c r="O170" s="48"/>
      <c r="P170" s="48"/>
      <c r="Q170" s="45"/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0</v>
      </c>
      <c r="AE170" s="1">
        <f t="shared" si="66"/>
        <v>0</v>
      </c>
      <c r="AF170" s="1">
        <f t="shared" si="51"/>
        <v>0</v>
      </c>
      <c r="AG170" s="1">
        <f t="shared" si="52"/>
        <v>0</v>
      </c>
      <c r="AH170" s="1">
        <f t="shared" si="53"/>
        <v>0</v>
      </c>
      <c r="AI170" s="1">
        <f t="shared" si="54"/>
        <v>1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2067</v>
      </c>
      <c r="E171" s="16" t="s">
        <v>171</v>
      </c>
      <c r="F171" s="16" t="s">
        <v>2068</v>
      </c>
      <c r="G171" s="16" t="s">
        <v>206</v>
      </c>
      <c r="H171" s="16" t="s">
        <v>352</v>
      </c>
      <c r="I171" s="15" t="s">
        <v>2069</v>
      </c>
      <c r="J171" s="15">
        <v>99</v>
      </c>
      <c r="K171" s="10" t="s">
        <v>699</v>
      </c>
      <c r="L171" s="10">
        <v>30</v>
      </c>
      <c r="M171" s="19" t="s">
        <v>957</v>
      </c>
      <c r="N171" s="19"/>
      <c r="Q171" s="16" t="s">
        <v>2070</v>
      </c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51"/>
        <v>0</v>
      </c>
      <c r="AG171" s="1">
        <f t="shared" si="52"/>
        <v>0</v>
      </c>
      <c r="AH171" s="1">
        <f t="shared" si="53"/>
        <v>0</v>
      </c>
      <c r="AI171" s="1">
        <f t="shared" si="54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16" t="s">
        <v>817</v>
      </c>
      <c r="E172" s="16" t="s">
        <v>171</v>
      </c>
      <c r="F172" s="16" t="s">
        <v>818</v>
      </c>
      <c r="G172" s="16" t="s">
        <v>39</v>
      </c>
      <c r="H172" s="16" t="s">
        <v>373</v>
      </c>
      <c r="I172" s="15" t="s">
        <v>816</v>
      </c>
      <c r="J172" s="15">
        <v>12</v>
      </c>
      <c r="K172" s="10" t="s">
        <v>699</v>
      </c>
      <c r="L172" s="10">
        <v>40</v>
      </c>
      <c r="M172" s="19" t="s">
        <v>957</v>
      </c>
      <c r="N172" s="19"/>
      <c r="Q172" s="16"/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51"/>
        <v>0</v>
      </c>
      <c r="AG172" s="1">
        <f t="shared" si="52"/>
        <v>0</v>
      </c>
      <c r="AH172" s="1">
        <f t="shared" si="53"/>
        <v>0</v>
      </c>
      <c r="AI172" s="1">
        <f t="shared" si="54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141</v>
      </c>
      <c r="E173" s="32" t="s">
        <v>171</v>
      </c>
      <c r="F173" s="32" t="s">
        <v>341</v>
      </c>
      <c r="G173" s="32" t="s">
        <v>39</v>
      </c>
      <c r="H173" s="32" t="s">
        <v>375</v>
      </c>
      <c r="I173" s="31" t="s">
        <v>487</v>
      </c>
      <c r="J173" s="31">
        <v>15</v>
      </c>
      <c r="K173" s="33" t="s">
        <v>698</v>
      </c>
      <c r="L173" s="33" t="s">
        <v>688</v>
      </c>
      <c r="M173" s="34" t="s">
        <v>687</v>
      </c>
      <c r="N173" s="34" t="s">
        <v>1717</v>
      </c>
      <c r="O173" s="35">
        <v>1</v>
      </c>
      <c r="P173" s="35">
        <v>1</v>
      </c>
      <c r="Q173" s="36" t="s">
        <v>1875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1</v>
      </c>
      <c r="AE173" s="1">
        <f t="shared" si="66"/>
        <v>0</v>
      </c>
      <c r="AF173" s="1">
        <f t="shared" si="51"/>
        <v>1</v>
      </c>
      <c r="AG173" s="1">
        <f t="shared" si="52"/>
        <v>0</v>
      </c>
      <c r="AH173" s="1">
        <f t="shared" si="53"/>
        <v>1</v>
      </c>
      <c r="AI173" s="1">
        <f t="shared" si="54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743</v>
      </c>
      <c r="E174" s="32" t="s">
        <v>606</v>
      </c>
      <c r="F174" s="32" t="s">
        <v>744</v>
      </c>
      <c r="G174" s="32" t="s">
        <v>39</v>
      </c>
      <c r="H174" s="32" t="s">
        <v>745</v>
      </c>
      <c r="I174" s="31" t="s">
        <v>746</v>
      </c>
      <c r="J174" s="31">
        <v>18</v>
      </c>
      <c r="K174" s="33" t="s">
        <v>699</v>
      </c>
      <c r="L174" s="33" t="s">
        <v>693</v>
      </c>
      <c r="M174" s="34" t="s">
        <v>687</v>
      </c>
      <c r="N174" s="34" t="s">
        <v>1833</v>
      </c>
      <c r="O174" s="35">
        <v>1</v>
      </c>
      <c r="P174" s="35"/>
      <c r="Q174" s="36"/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0</v>
      </c>
      <c r="AE174" s="1">
        <f t="shared" si="66"/>
        <v>1</v>
      </c>
      <c r="AF174" s="1">
        <f t="shared" si="51"/>
        <v>0</v>
      </c>
      <c r="AG174" s="1">
        <f t="shared" si="52"/>
        <v>1</v>
      </c>
      <c r="AH174" s="1">
        <f t="shared" si="53"/>
        <v>0</v>
      </c>
      <c r="AI174" s="1">
        <f t="shared" si="54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6" t="s">
        <v>1825</v>
      </c>
      <c r="E175" s="32" t="s">
        <v>1074</v>
      </c>
      <c r="F175" s="32" t="s">
        <v>1810</v>
      </c>
      <c r="G175" s="32"/>
      <c r="H175" s="32" t="s">
        <v>370</v>
      </c>
      <c r="I175" s="31" t="s">
        <v>1811</v>
      </c>
      <c r="J175" s="31">
        <v>16</v>
      </c>
      <c r="K175" s="33" t="s">
        <v>699</v>
      </c>
      <c r="L175" s="33"/>
      <c r="M175" s="34"/>
      <c r="N175" s="34" t="s">
        <v>1711</v>
      </c>
      <c r="O175" s="35">
        <v>1</v>
      </c>
      <c r="P175" s="35">
        <v>1</v>
      </c>
      <c r="Q175" s="32"/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1</v>
      </c>
      <c r="AE175" s="1">
        <f t="shared" si="66"/>
        <v>0</v>
      </c>
      <c r="AF175" s="1">
        <f t="shared" si="51"/>
        <v>1</v>
      </c>
      <c r="AG175" s="1">
        <f t="shared" si="52"/>
        <v>0</v>
      </c>
      <c r="AH175" s="1">
        <f t="shared" si="53"/>
        <v>1</v>
      </c>
      <c r="AI175" s="1">
        <f t="shared" si="54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966</v>
      </c>
      <c r="E176" s="32" t="s">
        <v>606</v>
      </c>
      <c r="F176" s="32" t="s">
        <v>967</v>
      </c>
      <c r="G176" s="32" t="s">
        <v>202</v>
      </c>
      <c r="H176" s="32" t="s">
        <v>352</v>
      </c>
      <c r="I176" s="31" t="s">
        <v>968</v>
      </c>
      <c r="J176" s="31">
        <v>99</v>
      </c>
      <c r="K176" s="33" t="s">
        <v>943</v>
      </c>
      <c r="L176" s="33" t="s">
        <v>39</v>
      </c>
      <c r="M176" s="34" t="s">
        <v>39</v>
      </c>
      <c r="N176" s="34" t="s">
        <v>1711</v>
      </c>
      <c r="O176" s="35">
        <v>1</v>
      </c>
      <c r="P176" s="35">
        <v>1</v>
      </c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1</v>
      </c>
      <c r="AE176" s="1">
        <f t="shared" si="66"/>
        <v>0</v>
      </c>
      <c r="AF176" s="1">
        <f t="shared" si="51"/>
        <v>1</v>
      </c>
      <c r="AG176" s="1">
        <f t="shared" si="52"/>
        <v>0</v>
      </c>
      <c r="AH176" s="1">
        <f t="shared" si="53"/>
        <v>1</v>
      </c>
      <c r="AI176" s="1">
        <f t="shared" si="54"/>
        <v>0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148</v>
      </c>
      <c r="E177" s="32" t="s">
        <v>171</v>
      </c>
      <c r="F177" s="32" t="s">
        <v>348</v>
      </c>
      <c r="G177" s="32" t="s">
        <v>39</v>
      </c>
      <c r="H177" s="32" t="s">
        <v>378</v>
      </c>
      <c r="I177" s="31" t="s">
        <v>493</v>
      </c>
      <c r="J177" s="31">
        <v>14</v>
      </c>
      <c r="K177" s="33" t="s">
        <v>951</v>
      </c>
      <c r="L177" s="33" t="s">
        <v>39</v>
      </c>
      <c r="M177" s="34" t="s">
        <v>39</v>
      </c>
      <c r="N177" s="34" t="s">
        <v>1717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51"/>
        <v>1</v>
      </c>
      <c r="AG177" s="1">
        <f t="shared" si="52"/>
        <v>0</v>
      </c>
      <c r="AH177" s="1">
        <f t="shared" si="53"/>
        <v>1</v>
      </c>
      <c r="AI177" s="1">
        <f t="shared" si="54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1969</v>
      </c>
      <c r="E178" s="32" t="s">
        <v>1970</v>
      </c>
      <c r="F178" s="32" t="s">
        <v>1971</v>
      </c>
      <c r="G178" s="32" t="s">
        <v>531</v>
      </c>
      <c r="H178" s="32" t="s">
        <v>352</v>
      </c>
      <c r="I178" s="31" t="s">
        <v>1972</v>
      </c>
      <c r="J178" s="31"/>
      <c r="K178" s="33" t="s">
        <v>699</v>
      </c>
      <c r="L178" s="33"/>
      <c r="M178" s="34"/>
      <c r="N178" s="34" t="s">
        <v>1717</v>
      </c>
      <c r="O178" s="35">
        <v>1</v>
      </c>
      <c r="P178" s="35">
        <v>1</v>
      </c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1</v>
      </c>
      <c r="AE178" s="1">
        <f t="shared" si="66"/>
        <v>0</v>
      </c>
      <c r="AF178" s="1">
        <f t="shared" si="51"/>
        <v>1</v>
      </c>
      <c r="AG178" s="1">
        <f t="shared" si="52"/>
        <v>0</v>
      </c>
      <c r="AH178" s="1">
        <f t="shared" si="53"/>
        <v>1</v>
      </c>
      <c r="AI178" s="1">
        <f t="shared" si="54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631</v>
      </c>
      <c r="E179" s="32" t="s">
        <v>171</v>
      </c>
      <c r="F179" s="32" t="s">
        <v>633</v>
      </c>
      <c r="G179" s="32" t="s">
        <v>237</v>
      </c>
      <c r="H179" s="32" t="s">
        <v>352</v>
      </c>
      <c r="I179" s="31" t="s">
        <v>632</v>
      </c>
      <c r="J179" s="31">
        <v>4</v>
      </c>
      <c r="K179" s="33" t="s">
        <v>943</v>
      </c>
      <c r="L179" s="33" t="s">
        <v>39</v>
      </c>
      <c r="M179" s="34" t="s">
        <v>39</v>
      </c>
      <c r="N179" s="34" t="s">
        <v>1717</v>
      </c>
      <c r="O179" s="35">
        <v>1</v>
      </c>
      <c r="P179" s="35">
        <v>1</v>
      </c>
      <c r="Q179" s="32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1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1</v>
      </c>
      <c r="AE179" s="1">
        <f t="shared" si="66"/>
        <v>0</v>
      </c>
      <c r="AF179" s="1">
        <f t="shared" si="51"/>
        <v>1</v>
      </c>
      <c r="AG179" s="1">
        <f t="shared" si="52"/>
        <v>0</v>
      </c>
      <c r="AH179" s="1">
        <f t="shared" si="53"/>
        <v>1</v>
      </c>
      <c r="AI179" s="1">
        <f t="shared" si="54"/>
        <v>0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1512</v>
      </c>
      <c r="E180" s="16" t="s">
        <v>1074</v>
      </c>
      <c r="F180" s="16" t="s">
        <v>1513</v>
      </c>
      <c r="G180" s="16" t="s">
        <v>217</v>
      </c>
      <c r="H180" s="16" t="s">
        <v>352</v>
      </c>
      <c r="I180" s="15" t="s">
        <v>1514</v>
      </c>
      <c r="J180" s="15">
        <v>99</v>
      </c>
      <c r="K180" s="10" t="s">
        <v>699</v>
      </c>
      <c r="L180" s="10">
        <v>40</v>
      </c>
      <c r="M180" s="19" t="s">
        <v>957</v>
      </c>
      <c r="N180" s="19"/>
      <c r="Q180" s="16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0</v>
      </c>
      <c r="AF180" s="1">
        <f t="shared" si="51"/>
        <v>0</v>
      </c>
      <c r="AG180" s="1">
        <f t="shared" si="52"/>
        <v>0</v>
      </c>
      <c r="AH180" s="1">
        <f t="shared" si="53"/>
        <v>0</v>
      </c>
      <c r="AI180" s="1">
        <f t="shared" si="54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101</v>
      </c>
      <c r="E181" s="32" t="s">
        <v>171</v>
      </c>
      <c r="F181" s="32" t="s">
        <v>297</v>
      </c>
      <c r="G181" s="32" t="s">
        <v>298</v>
      </c>
      <c r="H181" s="32" t="s">
        <v>352</v>
      </c>
      <c r="I181" s="31" t="s">
        <v>446</v>
      </c>
      <c r="J181" s="31">
        <v>99</v>
      </c>
      <c r="K181" s="33" t="s">
        <v>945</v>
      </c>
      <c r="L181" s="33" t="s">
        <v>689</v>
      </c>
      <c r="M181" s="34" t="s">
        <v>687</v>
      </c>
      <c r="N181" s="34" t="s">
        <v>1727</v>
      </c>
      <c r="O181" s="35">
        <v>1</v>
      </c>
      <c r="P181" s="35"/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0</v>
      </c>
      <c r="AE181" s="1">
        <f t="shared" si="66"/>
        <v>1</v>
      </c>
      <c r="AF181" s="1">
        <f t="shared" si="51"/>
        <v>0</v>
      </c>
      <c r="AG181" s="1">
        <f t="shared" si="52"/>
        <v>1</v>
      </c>
      <c r="AH181" s="1">
        <f t="shared" si="53"/>
        <v>0</v>
      </c>
      <c r="AI181" s="1">
        <f t="shared" si="54"/>
        <v>1</v>
      </c>
    </row>
    <row r="182" spans="1:35" ht="14.25" customHeight="1" x14ac:dyDescent="0.25">
      <c r="A182" s="44">
        <v>0</v>
      </c>
      <c r="B182" s="44">
        <v>1</v>
      </c>
      <c r="C182" s="44">
        <v>3</v>
      </c>
      <c r="D182" s="45" t="s">
        <v>977</v>
      </c>
      <c r="E182" s="45" t="s">
        <v>171</v>
      </c>
      <c r="F182" s="45" t="s">
        <v>980</v>
      </c>
      <c r="G182" s="45" t="s">
        <v>39</v>
      </c>
      <c r="H182" s="45" t="s">
        <v>979</v>
      </c>
      <c r="I182" s="44" t="s">
        <v>978</v>
      </c>
      <c r="J182" s="44">
        <v>14</v>
      </c>
      <c r="K182" s="46" t="s">
        <v>718</v>
      </c>
      <c r="L182" s="46" t="s">
        <v>690</v>
      </c>
      <c r="M182" s="47" t="s">
        <v>958</v>
      </c>
      <c r="N182" s="47" t="s">
        <v>1719</v>
      </c>
      <c r="O182" s="48"/>
      <c r="P182" s="48"/>
      <c r="Q182" s="45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0</v>
      </c>
      <c r="AE182" s="1">
        <f t="shared" si="66"/>
        <v>0</v>
      </c>
      <c r="AF182" s="1">
        <f t="shared" si="51"/>
        <v>0</v>
      </c>
      <c r="AG182" s="1">
        <f t="shared" si="52"/>
        <v>0</v>
      </c>
      <c r="AH182" s="1">
        <f t="shared" si="53"/>
        <v>0</v>
      </c>
      <c r="AI182" s="1">
        <f t="shared" si="54"/>
        <v>1</v>
      </c>
    </row>
    <row r="183" spans="1:35" ht="14.25" customHeight="1" x14ac:dyDescent="0.25">
      <c r="A183" s="57">
        <v>0</v>
      </c>
      <c r="B183" s="57">
        <v>1</v>
      </c>
      <c r="C183" s="57">
        <v>3</v>
      </c>
      <c r="D183" s="58" t="s">
        <v>1628</v>
      </c>
      <c r="E183" s="58" t="s">
        <v>171</v>
      </c>
      <c r="F183" s="58" t="s">
        <v>764</v>
      </c>
      <c r="G183" s="58" t="s">
        <v>39</v>
      </c>
      <c r="H183" s="58" t="s">
        <v>365</v>
      </c>
      <c r="I183" s="57" t="s">
        <v>772</v>
      </c>
      <c r="J183" s="57">
        <v>18</v>
      </c>
      <c r="K183" s="59" t="s">
        <v>1681</v>
      </c>
      <c r="L183" s="59" t="s">
        <v>39</v>
      </c>
      <c r="M183" s="60" t="s">
        <v>765</v>
      </c>
      <c r="N183" s="61"/>
      <c r="O183" s="62"/>
      <c r="P183" s="62"/>
      <c r="Q183" s="58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0</v>
      </c>
      <c r="AE183" s="1">
        <f t="shared" si="66"/>
        <v>0</v>
      </c>
      <c r="AF183" s="1">
        <f t="shared" si="51"/>
        <v>0</v>
      </c>
      <c r="AG183" s="1">
        <f t="shared" si="52"/>
        <v>0</v>
      </c>
      <c r="AH183" s="1">
        <f t="shared" si="53"/>
        <v>0</v>
      </c>
      <c r="AI183" s="1">
        <f t="shared" si="54"/>
        <v>1</v>
      </c>
    </row>
    <row r="184" spans="1:35" ht="14.25" customHeight="1" x14ac:dyDescent="0.25">
      <c r="A184" s="49">
        <v>0</v>
      </c>
      <c r="B184" s="49">
        <v>1</v>
      </c>
      <c r="C184" s="49">
        <v>3</v>
      </c>
      <c r="D184" s="50" t="s">
        <v>134</v>
      </c>
      <c r="E184" s="50" t="s">
        <v>171</v>
      </c>
      <c r="F184" s="50" t="s">
        <v>655</v>
      </c>
      <c r="G184" s="50" t="s">
        <v>256</v>
      </c>
      <c r="H184" s="50" t="s">
        <v>352</v>
      </c>
      <c r="I184" s="49" t="s">
        <v>1677</v>
      </c>
      <c r="J184" s="49">
        <v>99</v>
      </c>
      <c r="K184" s="51" t="s">
        <v>718</v>
      </c>
      <c r="L184" s="51" t="s">
        <v>683</v>
      </c>
      <c r="M184" s="52" t="s">
        <v>1381</v>
      </c>
      <c r="N184" s="52" t="s">
        <v>1727</v>
      </c>
      <c r="O184" s="53">
        <v>1</v>
      </c>
      <c r="P184" s="53"/>
      <c r="Q184" s="50" t="s">
        <v>1914</v>
      </c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0</v>
      </c>
      <c r="AE184" s="1">
        <f t="shared" si="66"/>
        <v>1</v>
      </c>
      <c r="AF184" s="1">
        <f t="shared" si="51"/>
        <v>0</v>
      </c>
      <c r="AG184" s="1">
        <f t="shared" si="52"/>
        <v>1</v>
      </c>
      <c r="AH184" s="1">
        <f t="shared" si="53"/>
        <v>0</v>
      </c>
      <c r="AI184" s="1">
        <f t="shared" si="54"/>
        <v>1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912</v>
      </c>
      <c r="E185" s="32" t="s">
        <v>169</v>
      </c>
      <c r="F185" s="32" t="s">
        <v>928</v>
      </c>
      <c r="G185" s="32" t="s">
        <v>39</v>
      </c>
      <c r="H185" s="32" t="s">
        <v>363</v>
      </c>
      <c r="I185" s="31" t="s">
        <v>874</v>
      </c>
      <c r="J185" s="31">
        <v>18</v>
      </c>
      <c r="K185" s="33" t="s">
        <v>698</v>
      </c>
      <c r="L185" s="33" t="s">
        <v>693</v>
      </c>
      <c r="M185" s="34" t="s">
        <v>958</v>
      </c>
      <c r="N185" s="34" t="s">
        <v>1732</v>
      </c>
      <c r="O185" s="35">
        <v>1</v>
      </c>
      <c r="P185" s="35"/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0</v>
      </c>
      <c r="AE185" s="1">
        <f t="shared" si="66"/>
        <v>1</v>
      </c>
      <c r="AF185" s="1">
        <f t="shared" si="51"/>
        <v>0</v>
      </c>
      <c r="AG185" s="1">
        <f t="shared" si="52"/>
        <v>1</v>
      </c>
      <c r="AH185" s="1">
        <f t="shared" si="53"/>
        <v>0</v>
      </c>
      <c r="AI185" s="1">
        <f t="shared" si="54"/>
        <v>1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1244</v>
      </c>
      <c r="E186" s="32" t="s">
        <v>169</v>
      </c>
      <c r="F186" s="32" t="s">
        <v>1660</v>
      </c>
      <c r="G186" s="32" t="s">
        <v>39</v>
      </c>
      <c r="H186" s="32" t="s">
        <v>762</v>
      </c>
      <c r="I186" s="31" t="s">
        <v>1245</v>
      </c>
      <c r="J186" s="31">
        <v>11</v>
      </c>
      <c r="K186" s="33" t="s">
        <v>718</v>
      </c>
      <c r="L186" s="33" t="s">
        <v>685</v>
      </c>
      <c r="M186" s="34" t="s">
        <v>1382</v>
      </c>
      <c r="N186" s="34" t="s">
        <v>1733</v>
      </c>
      <c r="O186" s="35">
        <v>1</v>
      </c>
      <c r="P186" s="35"/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1</v>
      </c>
      <c r="AF186" s="1">
        <f t="shared" si="51"/>
        <v>0</v>
      </c>
      <c r="AG186" s="1">
        <f t="shared" si="52"/>
        <v>1</v>
      </c>
      <c r="AH186" s="1">
        <f t="shared" si="53"/>
        <v>0</v>
      </c>
      <c r="AI186" s="1">
        <f t="shared" si="54"/>
        <v>1</v>
      </c>
    </row>
    <row r="187" spans="1:35" ht="14.25" customHeight="1" x14ac:dyDescent="0.25">
      <c r="A187" s="31">
        <v>0</v>
      </c>
      <c r="B187" s="31">
        <v>1</v>
      </c>
      <c r="C187" s="31">
        <v>4</v>
      </c>
      <c r="D187" s="32" t="s">
        <v>983</v>
      </c>
      <c r="E187" s="32" t="s">
        <v>763</v>
      </c>
      <c r="F187" s="32" t="s">
        <v>1081</v>
      </c>
      <c r="G187" s="32" t="s">
        <v>199</v>
      </c>
      <c r="H187" s="32" t="s">
        <v>352</v>
      </c>
      <c r="I187" s="31" t="s">
        <v>984</v>
      </c>
      <c r="J187" s="31">
        <v>2</v>
      </c>
      <c r="K187" s="33" t="s">
        <v>943</v>
      </c>
      <c r="L187" s="33" t="s">
        <v>689</v>
      </c>
      <c r="M187" s="34" t="s">
        <v>1383</v>
      </c>
      <c r="N187" s="34" t="s">
        <v>1711</v>
      </c>
      <c r="O187" s="35">
        <v>1</v>
      </c>
      <c r="P187" s="35">
        <v>1</v>
      </c>
      <c r="Q187" s="32"/>
      <c r="S187" s="1">
        <f t="shared" si="55"/>
        <v>0</v>
      </c>
      <c r="T187" s="1">
        <f t="shared" si="56"/>
        <v>1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1</v>
      </c>
      <c r="AE187" s="1">
        <f t="shared" si="66"/>
        <v>0</v>
      </c>
      <c r="AF187" s="1">
        <f t="shared" si="51"/>
        <v>1</v>
      </c>
      <c r="AG187" s="1">
        <f t="shared" si="52"/>
        <v>0</v>
      </c>
      <c r="AH187" s="1">
        <f t="shared" si="53"/>
        <v>1</v>
      </c>
      <c r="AI187" s="1">
        <f t="shared" si="54"/>
        <v>0</v>
      </c>
    </row>
    <row r="188" spans="1:35" ht="14.25" customHeight="1" x14ac:dyDescent="0.25">
      <c r="A188" s="31">
        <v>0</v>
      </c>
      <c r="B188" s="31">
        <v>1</v>
      </c>
      <c r="C188" s="31">
        <v>4</v>
      </c>
      <c r="D188" s="32" t="s">
        <v>50</v>
      </c>
      <c r="E188" s="32" t="s">
        <v>763</v>
      </c>
      <c r="F188" s="32" t="s">
        <v>192</v>
      </c>
      <c r="G188" s="32" t="s">
        <v>193</v>
      </c>
      <c r="H188" s="32" t="s">
        <v>352</v>
      </c>
      <c r="I188" s="31" t="s">
        <v>385</v>
      </c>
      <c r="J188" s="31">
        <v>9</v>
      </c>
      <c r="K188" s="33" t="s">
        <v>943</v>
      </c>
      <c r="L188" s="33" t="s">
        <v>690</v>
      </c>
      <c r="M188" s="34" t="s">
        <v>956</v>
      </c>
      <c r="N188" s="34" t="s">
        <v>1785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1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51"/>
        <v>0</v>
      </c>
      <c r="AG188" s="1">
        <f t="shared" si="52"/>
        <v>1</v>
      </c>
      <c r="AH188" s="1">
        <f t="shared" si="53"/>
        <v>0</v>
      </c>
      <c r="AI188" s="1">
        <f t="shared" si="54"/>
        <v>1</v>
      </c>
    </row>
    <row r="189" spans="1:35" ht="14.25" customHeight="1" x14ac:dyDescent="0.25">
      <c r="A189" s="31">
        <v>0</v>
      </c>
      <c r="B189" s="31">
        <v>1</v>
      </c>
      <c r="C189" s="31">
        <v>4</v>
      </c>
      <c r="D189" s="36" t="s">
        <v>2063</v>
      </c>
      <c r="E189" s="32" t="s">
        <v>763</v>
      </c>
      <c r="F189" s="36" t="s">
        <v>2064</v>
      </c>
      <c r="G189" s="36" t="s">
        <v>212</v>
      </c>
      <c r="H189" s="36" t="s">
        <v>352</v>
      </c>
      <c r="I189" s="37" t="s">
        <v>2065</v>
      </c>
      <c r="J189" s="31">
        <v>1</v>
      </c>
      <c r="K189" s="33" t="s">
        <v>699</v>
      </c>
      <c r="L189" s="33"/>
      <c r="M189" s="34"/>
      <c r="N189" s="34" t="s">
        <v>1717</v>
      </c>
      <c r="O189" s="35">
        <v>1</v>
      </c>
      <c r="P189" s="35">
        <v>1</v>
      </c>
      <c r="Q189" s="32" t="s">
        <v>2066</v>
      </c>
      <c r="S189" s="1">
        <f t="shared" si="55"/>
        <v>1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1</v>
      </c>
      <c r="AE189" s="1">
        <f t="shared" si="66"/>
        <v>0</v>
      </c>
      <c r="AF189" s="1">
        <f t="shared" si="51"/>
        <v>1</v>
      </c>
      <c r="AG189" s="1">
        <f t="shared" si="52"/>
        <v>0</v>
      </c>
      <c r="AH189" s="1">
        <f t="shared" si="53"/>
        <v>1</v>
      </c>
      <c r="AI189" s="1">
        <f t="shared" si="54"/>
        <v>0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133</v>
      </c>
      <c r="E190" s="32" t="s">
        <v>176</v>
      </c>
      <c r="F190" s="32" t="s">
        <v>334</v>
      </c>
      <c r="G190" s="32" t="s">
        <v>212</v>
      </c>
      <c r="H190" s="32" t="s">
        <v>352</v>
      </c>
      <c r="I190" s="31" t="s">
        <v>480</v>
      </c>
      <c r="J190" s="31">
        <v>1</v>
      </c>
      <c r="K190" s="33" t="s">
        <v>943</v>
      </c>
      <c r="L190" s="33" t="s">
        <v>685</v>
      </c>
      <c r="M190" s="34" t="s">
        <v>687</v>
      </c>
      <c r="N190" s="34" t="s">
        <v>1727</v>
      </c>
      <c r="O190" s="35">
        <v>1</v>
      </c>
      <c r="P190" s="35"/>
      <c r="Q190" s="32"/>
      <c r="S190" s="1">
        <f t="shared" si="55"/>
        <v>1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51"/>
        <v>0</v>
      </c>
      <c r="AG190" s="1">
        <f t="shared" si="52"/>
        <v>1</v>
      </c>
      <c r="AH190" s="1">
        <f t="shared" si="53"/>
        <v>0</v>
      </c>
      <c r="AI190" s="1">
        <f t="shared" si="54"/>
        <v>1</v>
      </c>
    </row>
    <row r="191" spans="1:35" ht="14.25" customHeight="1" x14ac:dyDescent="0.25">
      <c r="A191" s="31">
        <v>0</v>
      </c>
      <c r="B191" s="31">
        <v>1</v>
      </c>
      <c r="C191" s="31">
        <v>5</v>
      </c>
      <c r="D191" s="32" t="s">
        <v>125</v>
      </c>
      <c r="E191" s="32" t="s">
        <v>522</v>
      </c>
      <c r="F191" s="32" t="s">
        <v>325</v>
      </c>
      <c r="G191" s="32" t="s">
        <v>298</v>
      </c>
      <c r="H191" s="32" t="s">
        <v>352</v>
      </c>
      <c r="I191" s="31" t="s">
        <v>472</v>
      </c>
      <c r="J191" s="31">
        <v>99</v>
      </c>
      <c r="K191" s="33" t="s">
        <v>698</v>
      </c>
      <c r="L191" s="33" t="s">
        <v>685</v>
      </c>
      <c r="M191" s="34" t="s">
        <v>957</v>
      </c>
      <c r="N191" s="34" t="s">
        <v>1727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51"/>
        <v>0</v>
      </c>
      <c r="AG191" s="1">
        <f t="shared" si="52"/>
        <v>1</v>
      </c>
      <c r="AH191" s="1">
        <f t="shared" si="53"/>
        <v>0</v>
      </c>
      <c r="AI191" s="1">
        <f t="shared" si="54"/>
        <v>1</v>
      </c>
    </row>
    <row r="192" spans="1:35" ht="14.25" customHeight="1" x14ac:dyDescent="0.25">
      <c r="A192" s="31">
        <v>0</v>
      </c>
      <c r="B192" s="31">
        <v>1</v>
      </c>
      <c r="C192" s="31">
        <v>5</v>
      </c>
      <c r="D192" s="32" t="s">
        <v>1713</v>
      </c>
      <c r="E192" s="32" t="s">
        <v>165</v>
      </c>
      <c r="F192" s="32" t="s">
        <v>1714</v>
      </c>
      <c r="G192" s="32" t="s">
        <v>1715</v>
      </c>
      <c r="H192" s="32" t="s">
        <v>352</v>
      </c>
      <c r="I192" s="31" t="s">
        <v>1716</v>
      </c>
      <c r="J192" s="31">
        <v>2</v>
      </c>
      <c r="K192" s="33" t="s">
        <v>699</v>
      </c>
      <c r="L192" s="33"/>
      <c r="M192" s="34"/>
      <c r="N192" s="34" t="s">
        <v>1717</v>
      </c>
      <c r="O192" s="35">
        <v>1</v>
      </c>
      <c r="P192" s="35">
        <v>1</v>
      </c>
      <c r="Q192" s="32"/>
      <c r="S192" s="1">
        <f t="shared" si="55"/>
        <v>0</v>
      </c>
      <c r="T192" s="1">
        <f t="shared" si="56"/>
        <v>1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1</v>
      </c>
      <c r="AE192" s="1">
        <f t="shared" si="66"/>
        <v>0</v>
      </c>
      <c r="AF192" s="1">
        <f t="shared" si="51"/>
        <v>1</v>
      </c>
      <c r="AG192" s="1">
        <f t="shared" si="52"/>
        <v>0</v>
      </c>
      <c r="AH192" s="1">
        <f t="shared" si="53"/>
        <v>1</v>
      </c>
      <c r="AI192" s="1">
        <f t="shared" si="54"/>
        <v>0</v>
      </c>
    </row>
    <row r="193" spans="1:35" ht="14.25" customHeight="1" x14ac:dyDescent="0.25">
      <c r="A193" s="44">
        <v>0</v>
      </c>
      <c r="B193" s="44">
        <v>1</v>
      </c>
      <c r="C193" s="44">
        <v>5</v>
      </c>
      <c r="D193" s="45" t="s">
        <v>87</v>
      </c>
      <c r="E193" s="45" t="s">
        <v>165</v>
      </c>
      <c r="F193" s="45" t="s">
        <v>573</v>
      </c>
      <c r="G193" s="45" t="s">
        <v>193</v>
      </c>
      <c r="H193" s="45" t="s">
        <v>352</v>
      </c>
      <c r="I193" s="44" t="s">
        <v>434</v>
      </c>
      <c r="J193" s="44">
        <v>9</v>
      </c>
      <c r="K193" s="46" t="s">
        <v>943</v>
      </c>
      <c r="L193" s="46" t="s">
        <v>692</v>
      </c>
      <c r="M193" s="47" t="s">
        <v>687</v>
      </c>
      <c r="N193" s="47" t="s">
        <v>1719</v>
      </c>
      <c r="O193" s="48"/>
      <c r="P193" s="48"/>
      <c r="Q193" s="45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1</v>
      </c>
      <c r="AB193" s="1">
        <f t="shared" si="64"/>
        <v>0</v>
      </c>
      <c r="AD193" s="1">
        <f t="shared" si="65"/>
        <v>0</v>
      </c>
      <c r="AE193" s="1">
        <f t="shared" si="66"/>
        <v>0</v>
      </c>
      <c r="AF193" s="1">
        <f t="shared" si="51"/>
        <v>0</v>
      </c>
      <c r="AG193" s="1">
        <f t="shared" si="52"/>
        <v>0</v>
      </c>
      <c r="AH193" s="1">
        <f t="shared" si="53"/>
        <v>0</v>
      </c>
      <c r="AI193" s="1">
        <f t="shared" si="54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1976</v>
      </c>
      <c r="E194" s="32" t="s">
        <v>165</v>
      </c>
      <c r="F194" s="32" t="s">
        <v>1977</v>
      </c>
      <c r="G194" s="32" t="s">
        <v>1980</v>
      </c>
      <c r="H194" s="32" t="s">
        <v>352</v>
      </c>
      <c r="I194" s="31" t="s">
        <v>1978</v>
      </c>
      <c r="J194" s="31">
        <v>99</v>
      </c>
      <c r="K194" s="33" t="s">
        <v>699</v>
      </c>
      <c r="L194" s="33">
        <v>25</v>
      </c>
      <c r="M194" s="34" t="s">
        <v>687</v>
      </c>
      <c r="N194" s="34" t="s">
        <v>1727</v>
      </c>
      <c r="O194" s="35">
        <v>1</v>
      </c>
      <c r="P194" s="35"/>
      <c r="Q194" s="32" t="s">
        <v>1979</v>
      </c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51"/>
        <v>0</v>
      </c>
      <c r="AG194" s="1">
        <f t="shared" si="52"/>
        <v>1</v>
      </c>
      <c r="AH194" s="1">
        <f t="shared" si="53"/>
        <v>0</v>
      </c>
      <c r="AI194" s="1">
        <f t="shared" si="54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126</v>
      </c>
      <c r="E195" s="32" t="s">
        <v>165</v>
      </c>
      <c r="F195" s="32" t="s">
        <v>326</v>
      </c>
      <c r="G195" s="32" t="s">
        <v>179</v>
      </c>
      <c r="H195" s="32" t="s">
        <v>352</v>
      </c>
      <c r="I195" s="31" t="s">
        <v>473</v>
      </c>
      <c r="J195" s="31">
        <v>10</v>
      </c>
      <c r="K195" s="33" t="s">
        <v>945</v>
      </c>
      <c r="L195" s="33" t="s">
        <v>690</v>
      </c>
      <c r="M195" s="34" t="s">
        <v>687</v>
      </c>
      <c r="N195" s="34" t="s">
        <v>1773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1</v>
      </c>
      <c r="AD195" s="1">
        <f t="shared" si="65"/>
        <v>0</v>
      </c>
      <c r="AE195" s="1">
        <f t="shared" si="66"/>
        <v>1</v>
      </c>
      <c r="AF195" s="1">
        <f t="shared" si="51"/>
        <v>0</v>
      </c>
      <c r="AG195" s="1">
        <f t="shared" si="52"/>
        <v>1</v>
      </c>
      <c r="AH195" s="1">
        <f t="shared" si="53"/>
        <v>0</v>
      </c>
      <c r="AI195" s="1">
        <f t="shared" si="54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136</v>
      </c>
      <c r="E196" s="32" t="s">
        <v>165</v>
      </c>
      <c r="F196" s="32" t="s">
        <v>544</v>
      </c>
      <c r="G196" s="32" t="s">
        <v>219</v>
      </c>
      <c r="H196" s="32" t="s">
        <v>352</v>
      </c>
      <c r="I196" s="31" t="s">
        <v>536</v>
      </c>
      <c r="J196" s="31">
        <v>8</v>
      </c>
      <c r="K196" s="33" t="s">
        <v>943</v>
      </c>
      <c r="L196" s="33" t="s">
        <v>690</v>
      </c>
      <c r="M196" s="34" t="s">
        <v>687</v>
      </c>
      <c r="N196" s="34" t="s">
        <v>1727</v>
      </c>
      <c r="O196" s="35">
        <v>1</v>
      </c>
      <c r="P196" s="35"/>
      <c r="Q196" s="32"/>
      <c r="S196" s="1">
        <f t="shared" si="55"/>
        <v>0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1</v>
      </c>
      <c r="AA196" s="1">
        <f t="shared" si="63"/>
        <v>0</v>
      </c>
      <c r="AB196" s="1">
        <f t="shared" si="64"/>
        <v>0</v>
      </c>
      <c r="AD196" s="1">
        <f t="shared" si="65"/>
        <v>0</v>
      </c>
      <c r="AE196" s="1">
        <f t="shared" si="66"/>
        <v>1</v>
      </c>
      <c r="AF196" s="1">
        <f t="shared" si="51"/>
        <v>0</v>
      </c>
      <c r="AG196" s="1">
        <f t="shared" si="52"/>
        <v>1</v>
      </c>
      <c r="AH196" s="1">
        <f t="shared" si="53"/>
        <v>0</v>
      </c>
      <c r="AI196" s="1">
        <f t="shared" si="54"/>
        <v>1</v>
      </c>
    </row>
    <row r="197" spans="1:35" ht="14.25" customHeight="1" x14ac:dyDescent="0.25">
      <c r="A197" s="31">
        <v>1</v>
      </c>
      <c r="B197" s="31">
        <v>1</v>
      </c>
      <c r="C197" s="31">
        <v>5</v>
      </c>
      <c r="D197" s="32" t="s">
        <v>136</v>
      </c>
      <c r="E197" s="32" t="s">
        <v>165</v>
      </c>
      <c r="F197" s="32" t="s">
        <v>335</v>
      </c>
      <c r="G197" s="32" t="s">
        <v>336</v>
      </c>
      <c r="H197" s="32" t="s">
        <v>352</v>
      </c>
      <c r="I197" s="31" t="s">
        <v>482</v>
      </c>
      <c r="J197" s="31">
        <v>10</v>
      </c>
      <c r="K197" s="33" t="s">
        <v>943</v>
      </c>
      <c r="L197" s="33" t="s">
        <v>690</v>
      </c>
      <c r="M197" s="34" t="s">
        <v>687</v>
      </c>
      <c r="N197" s="34" t="s">
        <v>1727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1</v>
      </c>
      <c r="AD197" s="1">
        <f t="shared" si="65"/>
        <v>0</v>
      </c>
      <c r="AE197" s="1">
        <f t="shared" si="66"/>
        <v>1</v>
      </c>
      <c r="AF197" s="1">
        <f t="shared" si="51"/>
        <v>0</v>
      </c>
      <c r="AG197" s="1">
        <f t="shared" si="52"/>
        <v>0</v>
      </c>
      <c r="AH197" s="1">
        <f t="shared" si="53"/>
        <v>0</v>
      </c>
      <c r="AI197" s="1">
        <f t="shared" si="54"/>
        <v>0</v>
      </c>
    </row>
    <row r="198" spans="1:35" s="1" customFormat="1" ht="14.25" customHeight="1" x14ac:dyDescent="0.25">
      <c r="A198" s="44">
        <v>0</v>
      </c>
      <c r="B198" s="44">
        <v>1</v>
      </c>
      <c r="C198" s="44">
        <v>5</v>
      </c>
      <c r="D198" s="45" t="s">
        <v>1621</v>
      </c>
      <c r="E198" s="45" t="s">
        <v>165</v>
      </c>
      <c r="F198" s="45" t="s">
        <v>856</v>
      </c>
      <c r="G198" s="45" t="s">
        <v>1648</v>
      </c>
      <c r="H198" s="45" t="s">
        <v>352</v>
      </c>
      <c r="I198" s="44" t="s">
        <v>857</v>
      </c>
      <c r="J198" s="44">
        <v>1</v>
      </c>
      <c r="K198" s="46" t="s">
        <v>718</v>
      </c>
      <c r="L198" s="46" t="s">
        <v>1691</v>
      </c>
      <c r="M198" s="47" t="s">
        <v>1384</v>
      </c>
      <c r="N198" s="47" t="s">
        <v>1719</v>
      </c>
      <c r="O198" s="48"/>
      <c r="P198" s="48"/>
      <c r="Q198" s="45"/>
      <c r="S198" s="1">
        <f t="shared" ref="S198:S201" si="67">IF(J198=$S$7,1,0)</f>
        <v>1</v>
      </c>
      <c r="T198" s="1">
        <f t="shared" ref="T198:T201" si="68">IF(J198=$T$7,1,0)</f>
        <v>0</v>
      </c>
      <c r="U198" s="1">
        <f t="shared" ref="U198:U201" si="69">IF(J198=$U$7,1,0)</f>
        <v>0</v>
      </c>
      <c r="V198" s="1">
        <f t="shared" ref="V198:V201" si="70">IF(J198=$V$7,1,0)</f>
        <v>0</v>
      </c>
      <c r="W198" s="1">
        <f t="shared" ref="W198:W201" si="71">IF(J198=$W$7,1,0)</f>
        <v>0</v>
      </c>
      <c r="X198" s="1">
        <f t="shared" ref="X198:X201" si="72">IF(J198=$X$7,1,0)</f>
        <v>0</v>
      </c>
      <c r="Y198" s="1">
        <f t="shared" ref="Y198:Y201" si="73">IF(J198=$Y$7,1,0)</f>
        <v>0</v>
      </c>
      <c r="Z198" s="1">
        <f t="shared" ref="Z198:Z201" si="74">IF(J198=$Z$7,1,0)</f>
        <v>0</v>
      </c>
      <c r="AA198" s="1">
        <f t="shared" ref="AA198:AA201" si="75">IF(J198=$AA$7,1,0)</f>
        <v>0</v>
      </c>
      <c r="AB198" s="1">
        <f t="shared" ref="AB198:AB201" si="76">IF(J198=$AB$7,1,0)</f>
        <v>0</v>
      </c>
      <c r="AD198" s="1">
        <f t="shared" ref="AD198:AD201" si="77">+O198*P198</f>
        <v>0</v>
      </c>
      <c r="AE198" s="1">
        <f t="shared" ref="AE198:AE201" si="78">O198*(1-P198)</f>
        <v>0</v>
      </c>
      <c r="AF198" s="1">
        <f t="shared" ref="AF198:AF201" si="79">+O198*P198*(1-A198)</f>
        <v>0</v>
      </c>
      <c r="AG198" s="1">
        <f t="shared" ref="AG198:AG201" si="80">O198*(1-P198)*(1-A198)</f>
        <v>0</v>
      </c>
      <c r="AH198" s="1">
        <f t="shared" ref="AH198:AH201" si="81">+P198*(1-A198)</f>
        <v>0</v>
      </c>
      <c r="AI198" s="1">
        <f t="shared" ref="AI198:AI201" si="82">+(1-A198)*(1-P198)</f>
        <v>1</v>
      </c>
    </row>
    <row r="199" spans="1:35" s="1" customFormat="1" ht="14.25" customHeight="1" x14ac:dyDescent="0.25">
      <c r="A199" s="38">
        <v>0</v>
      </c>
      <c r="B199" s="38">
        <v>1</v>
      </c>
      <c r="C199" s="38">
        <v>5</v>
      </c>
      <c r="D199" s="39" t="s">
        <v>2094</v>
      </c>
      <c r="E199" s="39" t="s">
        <v>165</v>
      </c>
      <c r="F199" s="39" t="s">
        <v>2095</v>
      </c>
      <c r="G199" s="39" t="s">
        <v>193</v>
      </c>
      <c r="H199" s="39" t="s">
        <v>352</v>
      </c>
      <c r="I199" s="38" t="s">
        <v>2096</v>
      </c>
      <c r="J199" s="38">
        <v>9</v>
      </c>
      <c r="K199" s="40" t="s">
        <v>699</v>
      </c>
      <c r="L199" s="40"/>
      <c r="M199" s="41"/>
      <c r="N199" s="42"/>
      <c r="O199" s="43"/>
      <c r="P199" s="43"/>
      <c r="Q199" s="54" t="s">
        <v>2097</v>
      </c>
      <c r="S199" s="1">
        <f t="shared" si="67"/>
        <v>0</v>
      </c>
      <c r="T199" s="1">
        <f t="shared" si="68"/>
        <v>0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1</v>
      </c>
      <c r="AB199" s="1">
        <f t="shared" si="76"/>
        <v>0</v>
      </c>
      <c r="AD199" s="1">
        <f t="shared" si="77"/>
        <v>0</v>
      </c>
      <c r="AE199" s="1">
        <f t="shared" si="78"/>
        <v>0</v>
      </c>
      <c r="AF199" s="1">
        <f t="shared" si="79"/>
        <v>0</v>
      </c>
      <c r="AG199" s="1">
        <f t="shared" si="80"/>
        <v>0</v>
      </c>
      <c r="AH199" s="1">
        <f t="shared" si="81"/>
        <v>0</v>
      </c>
      <c r="AI199" s="1">
        <f t="shared" si="82"/>
        <v>1</v>
      </c>
    </row>
    <row r="200" spans="1:35" s="1" customFormat="1" ht="14.25" customHeight="1" x14ac:dyDescent="0.25">
      <c r="A200" s="15">
        <v>0</v>
      </c>
      <c r="B200" s="15">
        <v>1</v>
      </c>
      <c r="C200" s="15">
        <v>5</v>
      </c>
      <c r="D200" s="20" t="s">
        <v>1933</v>
      </c>
      <c r="E200" s="20" t="s">
        <v>882</v>
      </c>
      <c r="F200" s="20" t="s">
        <v>1950</v>
      </c>
      <c r="G200" s="20"/>
      <c r="H200" s="20" t="s">
        <v>1951</v>
      </c>
      <c r="I200" s="21" t="s">
        <v>1949</v>
      </c>
      <c r="J200" s="15">
        <v>15</v>
      </c>
      <c r="K200" s="10" t="s">
        <v>699</v>
      </c>
      <c r="L200" s="10" t="s">
        <v>693</v>
      </c>
      <c r="M200" s="19" t="s">
        <v>958</v>
      </c>
      <c r="N200" s="17"/>
      <c r="Q200" s="20" t="s">
        <v>1952</v>
      </c>
      <c r="S200" s="1">
        <f t="shared" si="67"/>
        <v>0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0</v>
      </c>
      <c r="AB200" s="1">
        <f t="shared" si="76"/>
        <v>0</v>
      </c>
      <c r="AD200" s="1">
        <f t="shared" si="77"/>
        <v>0</v>
      </c>
      <c r="AE200" s="1">
        <f t="shared" si="78"/>
        <v>0</v>
      </c>
      <c r="AF200" s="1">
        <f t="shared" si="79"/>
        <v>0</v>
      </c>
      <c r="AG200" s="1">
        <f t="shared" si="80"/>
        <v>0</v>
      </c>
      <c r="AH200" s="1">
        <f t="shared" si="81"/>
        <v>0</v>
      </c>
      <c r="AI200" s="1">
        <f t="shared" si="82"/>
        <v>1</v>
      </c>
    </row>
    <row r="201" spans="1:35" s="1" customFormat="1" ht="14.25" customHeight="1" x14ac:dyDescent="0.25">
      <c r="A201" s="31">
        <v>0</v>
      </c>
      <c r="B201" s="31">
        <v>1</v>
      </c>
      <c r="C201" s="31">
        <v>5</v>
      </c>
      <c r="D201" s="32" t="s">
        <v>876</v>
      </c>
      <c r="E201" s="32" t="s">
        <v>877</v>
      </c>
      <c r="F201" s="32" t="s">
        <v>1079</v>
      </c>
      <c r="G201" s="32" t="s">
        <v>39</v>
      </c>
      <c r="H201" s="32" t="s">
        <v>878</v>
      </c>
      <c r="I201" s="31" t="s">
        <v>879</v>
      </c>
      <c r="J201" s="31">
        <v>16</v>
      </c>
      <c r="K201" s="33" t="s">
        <v>699</v>
      </c>
      <c r="L201" s="33" t="s">
        <v>688</v>
      </c>
      <c r="M201" s="34" t="s">
        <v>957</v>
      </c>
      <c r="N201" s="34" t="s">
        <v>1717</v>
      </c>
      <c r="O201" s="35">
        <v>1</v>
      </c>
      <c r="P201" s="35">
        <v>1</v>
      </c>
      <c r="Q201" s="36" t="s">
        <v>1878</v>
      </c>
      <c r="S201" s="1">
        <f t="shared" si="67"/>
        <v>0</v>
      </c>
      <c r="T201" s="1">
        <f t="shared" si="68"/>
        <v>0</v>
      </c>
      <c r="U201" s="1">
        <f t="shared" si="69"/>
        <v>0</v>
      </c>
      <c r="V201" s="1">
        <f t="shared" si="70"/>
        <v>0</v>
      </c>
      <c r="W201" s="1">
        <f t="shared" si="71"/>
        <v>0</v>
      </c>
      <c r="X201" s="1">
        <f t="shared" si="72"/>
        <v>0</v>
      </c>
      <c r="Y201" s="1">
        <f t="shared" si="73"/>
        <v>0</v>
      </c>
      <c r="Z201" s="1">
        <f t="shared" si="74"/>
        <v>0</v>
      </c>
      <c r="AA201" s="1">
        <f t="shared" si="75"/>
        <v>0</v>
      </c>
      <c r="AB201" s="1">
        <f t="shared" si="76"/>
        <v>0</v>
      </c>
      <c r="AD201" s="1">
        <f t="shared" si="77"/>
        <v>1</v>
      </c>
      <c r="AE201" s="1">
        <f t="shared" si="78"/>
        <v>0</v>
      </c>
      <c r="AF201" s="1">
        <f t="shared" si="79"/>
        <v>1</v>
      </c>
      <c r="AG201" s="1">
        <f t="shared" si="80"/>
        <v>0</v>
      </c>
      <c r="AH201" s="1">
        <f t="shared" si="81"/>
        <v>1</v>
      </c>
      <c r="AI201" s="1">
        <f t="shared" si="82"/>
        <v>0</v>
      </c>
    </row>
    <row r="202" spans="1:35" s="1" customFormat="1" ht="14.25" customHeight="1" x14ac:dyDescent="0.25">
      <c r="A202" s="31">
        <v>0</v>
      </c>
      <c r="B202" s="31">
        <v>1</v>
      </c>
      <c r="C202" s="31">
        <v>5</v>
      </c>
      <c r="D202" s="32" t="s">
        <v>105</v>
      </c>
      <c r="E202" s="32" t="s">
        <v>172</v>
      </c>
      <c r="F202" s="32" t="s">
        <v>302</v>
      </c>
      <c r="G202" s="32" t="s">
        <v>39</v>
      </c>
      <c r="H202" s="32" t="s">
        <v>357</v>
      </c>
      <c r="I202" s="31" t="s">
        <v>450</v>
      </c>
      <c r="J202" s="31">
        <v>14</v>
      </c>
      <c r="K202" s="33" t="s">
        <v>943</v>
      </c>
      <c r="L202" s="33" t="s">
        <v>689</v>
      </c>
      <c r="M202" s="34" t="s">
        <v>957</v>
      </c>
      <c r="N202" s="34" t="s">
        <v>1727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51"/>
        <v>0</v>
      </c>
      <c r="AG202" s="1">
        <f t="shared" si="52"/>
        <v>1</v>
      </c>
      <c r="AH202" s="1">
        <f t="shared" si="53"/>
        <v>0</v>
      </c>
      <c r="AI202" s="1">
        <f t="shared" si="54"/>
        <v>1</v>
      </c>
    </row>
    <row r="203" spans="1:35" s="1" customFormat="1" ht="14.25" customHeight="1" x14ac:dyDescent="0.25">
      <c r="A203" s="44">
        <v>0</v>
      </c>
      <c r="B203" s="44">
        <v>1</v>
      </c>
      <c r="C203" s="44">
        <v>5</v>
      </c>
      <c r="D203" s="45" t="s">
        <v>509</v>
      </c>
      <c r="E203" s="45" t="s">
        <v>171</v>
      </c>
      <c r="F203" s="45" t="s">
        <v>545</v>
      </c>
      <c r="G203" s="45" t="s">
        <v>39</v>
      </c>
      <c r="H203" s="45" t="s">
        <v>360</v>
      </c>
      <c r="I203" s="44" t="s">
        <v>1101</v>
      </c>
      <c r="J203" s="44">
        <v>12</v>
      </c>
      <c r="K203" s="46" t="s">
        <v>699</v>
      </c>
      <c r="L203" s="46">
        <v>35</v>
      </c>
      <c r="M203" s="47" t="s">
        <v>957</v>
      </c>
      <c r="N203" s="47" t="s">
        <v>1786</v>
      </c>
      <c r="O203" s="48"/>
      <c r="P203" s="48"/>
      <c r="Q203" s="45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0</v>
      </c>
      <c r="AF203" s="1">
        <f t="shared" si="51"/>
        <v>0</v>
      </c>
      <c r="AG203" s="1">
        <f t="shared" si="52"/>
        <v>0</v>
      </c>
      <c r="AH203" s="1">
        <f t="shared" si="53"/>
        <v>0</v>
      </c>
      <c r="AI203" s="1">
        <f t="shared" si="54"/>
        <v>1</v>
      </c>
    </row>
    <row r="204" spans="1:35" s="1" customFormat="1" ht="14.25" customHeight="1" x14ac:dyDescent="0.25">
      <c r="A204" s="31">
        <v>0</v>
      </c>
      <c r="B204" s="31">
        <v>1</v>
      </c>
      <c r="C204" s="31">
        <v>5</v>
      </c>
      <c r="D204" s="32" t="s">
        <v>150</v>
      </c>
      <c r="E204" s="32" t="s">
        <v>165</v>
      </c>
      <c r="F204" s="36" t="s">
        <v>1854</v>
      </c>
      <c r="G204" s="32" t="s">
        <v>196</v>
      </c>
      <c r="H204" s="32" t="s">
        <v>352</v>
      </c>
      <c r="I204" s="31" t="s">
        <v>495</v>
      </c>
      <c r="J204" s="31">
        <v>99</v>
      </c>
      <c r="K204" s="33" t="s">
        <v>943</v>
      </c>
      <c r="L204" s="33" t="s">
        <v>689</v>
      </c>
      <c r="M204" s="34" t="s">
        <v>957</v>
      </c>
      <c r="N204" s="34" t="s">
        <v>1732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51"/>
        <v>0</v>
      </c>
      <c r="AG204" s="1">
        <f t="shared" si="52"/>
        <v>1</v>
      </c>
      <c r="AH204" s="1">
        <f t="shared" si="53"/>
        <v>0</v>
      </c>
      <c r="AI204" s="1">
        <f t="shared" si="54"/>
        <v>1</v>
      </c>
    </row>
    <row r="205" spans="1:35" s="1" customFormat="1" ht="14.25" customHeight="1" x14ac:dyDescent="0.25">
      <c r="A205" s="31">
        <v>0</v>
      </c>
      <c r="B205" s="31">
        <v>1</v>
      </c>
      <c r="C205" s="31">
        <v>5</v>
      </c>
      <c r="D205" s="32" t="s">
        <v>645</v>
      </c>
      <c r="E205" s="32" t="s">
        <v>680</v>
      </c>
      <c r="F205" s="32" t="s">
        <v>641</v>
      </c>
      <c r="G205" s="32" t="s">
        <v>184</v>
      </c>
      <c r="H205" s="32" t="s">
        <v>352</v>
      </c>
      <c r="I205" s="31" t="s">
        <v>642</v>
      </c>
      <c r="J205" s="31">
        <v>99</v>
      </c>
      <c r="K205" s="33" t="s">
        <v>718</v>
      </c>
      <c r="L205" s="33" t="s">
        <v>689</v>
      </c>
      <c r="M205" s="34" t="s">
        <v>957</v>
      </c>
      <c r="N205" s="34" t="s">
        <v>1733</v>
      </c>
      <c r="O205" s="35">
        <v>1</v>
      </c>
      <c r="P205" s="35"/>
      <c r="Q205" s="32"/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1</v>
      </c>
      <c r="AF205" s="1">
        <f t="shared" si="51"/>
        <v>0</v>
      </c>
      <c r="AG205" s="1">
        <f t="shared" si="52"/>
        <v>1</v>
      </c>
      <c r="AH205" s="1">
        <f t="shared" si="53"/>
        <v>0</v>
      </c>
      <c r="AI205" s="1">
        <f t="shared" si="54"/>
        <v>1</v>
      </c>
    </row>
    <row r="206" spans="1:35" s="1" customFormat="1" ht="14.25" customHeight="1" x14ac:dyDescent="0.25">
      <c r="A206" s="31">
        <v>0</v>
      </c>
      <c r="B206" s="31">
        <v>1</v>
      </c>
      <c r="C206" s="31">
        <v>5</v>
      </c>
      <c r="D206" s="32" t="s">
        <v>1294</v>
      </c>
      <c r="E206" s="32" t="s">
        <v>165</v>
      </c>
      <c r="F206" s="32" t="s">
        <v>1295</v>
      </c>
      <c r="G206" s="32" t="s">
        <v>281</v>
      </c>
      <c r="H206" s="32" t="s">
        <v>352</v>
      </c>
      <c r="I206" s="31" t="s">
        <v>1296</v>
      </c>
      <c r="J206" s="31">
        <v>99</v>
      </c>
      <c r="K206" s="33" t="s">
        <v>698</v>
      </c>
      <c r="L206" s="33" t="s">
        <v>39</v>
      </c>
      <c r="M206" s="34" t="s">
        <v>39</v>
      </c>
      <c r="N206" s="34" t="s">
        <v>1717</v>
      </c>
      <c r="O206" s="35">
        <v>1</v>
      </c>
      <c r="P206" s="35">
        <v>1</v>
      </c>
      <c r="Q206" s="32"/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1</v>
      </c>
      <c r="AE206" s="1">
        <f t="shared" si="66"/>
        <v>0</v>
      </c>
      <c r="AF206" s="1">
        <f t="shared" ref="AF206:AF269" si="83">+O206*P206*(1-A206)</f>
        <v>1</v>
      </c>
      <c r="AG206" s="1">
        <f t="shared" ref="AG206:AG269" si="84">O206*(1-P206)*(1-A206)</f>
        <v>0</v>
      </c>
      <c r="AH206" s="1">
        <f t="shared" ref="AH206:AH269" si="85">+P206*(1-A206)</f>
        <v>1</v>
      </c>
      <c r="AI206" s="1">
        <f t="shared" ref="AI206:AI269" si="86">+(1-A206)*(1-P206)</f>
        <v>0</v>
      </c>
    </row>
    <row r="207" spans="1:35" s="1" customFormat="1" ht="14.25" customHeight="1" x14ac:dyDescent="0.25">
      <c r="A207" s="44">
        <v>0</v>
      </c>
      <c r="B207" s="44">
        <v>1</v>
      </c>
      <c r="C207" s="44">
        <v>5</v>
      </c>
      <c r="D207" s="45" t="s">
        <v>881</v>
      </c>
      <c r="E207" s="45" t="s">
        <v>882</v>
      </c>
      <c r="F207" s="45" t="s">
        <v>923</v>
      </c>
      <c r="G207" s="45" t="s">
        <v>39</v>
      </c>
      <c r="H207" s="45" t="s">
        <v>883</v>
      </c>
      <c r="I207" s="44" t="s">
        <v>884</v>
      </c>
      <c r="J207" s="44">
        <v>17</v>
      </c>
      <c r="K207" s="46" t="s">
        <v>699</v>
      </c>
      <c r="L207" s="46" t="s">
        <v>693</v>
      </c>
      <c r="M207" s="47" t="s">
        <v>957</v>
      </c>
      <c r="N207" s="47" t="s">
        <v>1725</v>
      </c>
      <c r="O207" s="48"/>
      <c r="P207" s="48"/>
      <c r="Q207" s="45"/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0</v>
      </c>
      <c r="AF207" s="1">
        <f t="shared" si="83"/>
        <v>0</v>
      </c>
      <c r="AG207" s="1">
        <f t="shared" si="84"/>
        <v>0</v>
      </c>
      <c r="AH207" s="1">
        <f t="shared" si="85"/>
        <v>0</v>
      </c>
      <c r="AI207" s="1">
        <f t="shared" si="86"/>
        <v>1</v>
      </c>
    </row>
    <row r="208" spans="1:35" s="1" customFormat="1" ht="14.25" customHeight="1" x14ac:dyDescent="0.25">
      <c r="A208" s="15">
        <v>0</v>
      </c>
      <c r="B208" s="15">
        <v>1</v>
      </c>
      <c r="C208" s="15">
        <v>5</v>
      </c>
      <c r="D208" s="16" t="s">
        <v>1925</v>
      </c>
      <c r="E208" s="16" t="s">
        <v>882</v>
      </c>
      <c r="F208" s="16" t="s">
        <v>1927</v>
      </c>
      <c r="G208" s="16"/>
      <c r="H208" s="16" t="s">
        <v>1926</v>
      </c>
      <c r="I208" s="15" t="s">
        <v>1928</v>
      </c>
      <c r="J208" s="15">
        <v>16</v>
      </c>
      <c r="K208" s="10" t="s">
        <v>699</v>
      </c>
      <c r="L208" s="10" t="s">
        <v>693</v>
      </c>
      <c r="M208" s="19" t="s">
        <v>957</v>
      </c>
      <c r="N208" s="17"/>
      <c r="Q208" s="20" t="s">
        <v>1929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0</v>
      </c>
      <c r="AF208" s="1">
        <f t="shared" si="83"/>
        <v>0</v>
      </c>
      <c r="AG208" s="1">
        <f t="shared" si="84"/>
        <v>0</v>
      </c>
      <c r="AH208" s="1">
        <f t="shared" si="85"/>
        <v>0</v>
      </c>
      <c r="AI208" s="1">
        <f t="shared" si="86"/>
        <v>1</v>
      </c>
    </row>
    <row r="209" spans="1:35" s="1" customFormat="1" ht="14.25" customHeight="1" x14ac:dyDescent="0.25">
      <c r="A209" s="44">
        <v>0</v>
      </c>
      <c r="B209" s="44">
        <v>1</v>
      </c>
      <c r="C209" s="44">
        <v>5</v>
      </c>
      <c r="D209" s="45" t="s">
        <v>130</v>
      </c>
      <c r="E209" s="45" t="s">
        <v>165</v>
      </c>
      <c r="F209" s="45" t="s">
        <v>330</v>
      </c>
      <c r="G209" s="45" t="s">
        <v>331</v>
      </c>
      <c r="H209" s="45" t="s">
        <v>352</v>
      </c>
      <c r="I209" s="44" t="s">
        <v>477</v>
      </c>
      <c r="J209" s="44">
        <v>99</v>
      </c>
      <c r="K209" s="46" t="s">
        <v>718</v>
      </c>
      <c r="L209" s="46" t="s">
        <v>690</v>
      </c>
      <c r="M209" s="47" t="s">
        <v>957</v>
      </c>
      <c r="N209" s="47" t="s">
        <v>1731</v>
      </c>
      <c r="O209" s="48"/>
      <c r="P209" s="48"/>
      <c r="Q209" s="45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0</v>
      </c>
      <c r="AF209" s="1">
        <f t="shared" si="83"/>
        <v>0</v>
      </c>
      <c r="AG209" s="1">
        <f t="shared" si="84"/>
        <v>0</v>
      </c>
      <c r="AH209" s="1">
        <f t="shared" si="85"/>
        <v>0</v>
      </c>
      <c r="AI209" s="1">
        <f t="shared" si="86"/>
        <v>1</v>
      </c>
    </row>
    <row r="210" spans="1:35" s="1" customFormat="1" ht="14.25" customHeight="1" x14ac:dyDescent="0.25">
      <c r="A210" s="31">
        <v>0</v>
      </c>
      <c r="B210" s="31">
        <v>1</v>
      </c>
      <c r="C210" s="31">
        <v>5</v>
      </c>
      <c r="D210" s="32" t="s">
        <v>108</v>
      </c>
      <c r="E210" s="32" t="s">
        <v>165</v>
      </c>
      <c r="F210" s="32" t="s">
        <v>305</v>
      </c>
      <c r="G210" s="32" t="s">
        <v>230</v>
      </c>
      <c r="H210" s="32" t="s">
        <v>352</v>
      </c>
      <c r="I210" s="31" t="s">
        <v>453</v>
      </c>
      <c r="J210" s="31">
        <v>99</v>
      </c>
      <c r="K210" s="33" t="s">
        <v>718</v>
      </c>
      <c r="L210" s="33" t="s">
        <v>692</v>
      </c>
      <c r="M210" s="34" t="s">
        <v>687</v>
      </c>
      <c r="N210" s="34" t="s">
        <v>1727</v>
      </c>
      <c r="O210" s="35">
        <v>1</v>
      </c>
      <c r="P210" s="35"/>
      <c r="Q210" s="32"/>
      <c r="S210" s="1">
        <f t="shared" ref="S210:S273" si="87">IF(J210=$S$7,1,0)</f>
        <v>0</v>
      </c>
      <c r="T210" s="1">
        <f t="shared" ref="T210:T273" si="88">IF(J210=$T$7,1,0)</f>
        <v>0</v>
      </c>
      <c r="U210" s="1">
        <f t="shared" ref="U210:U273" si="89">IF(J210=$U$7,1,0)</f>
        <v>0</v>
      </c>
      <c r="V210" s="1">
        <f t="shared" ref="V210:V273" si="90">IF(J210=$V$7,1,0)</f>
        <v>0</v>
      </c>
      <c r="W210" s="1">
        <f t="shared" ref="W210:W273" si="91">IF(J210=$W$7,1,0)</f>
        <v>0</v>
      </c>
      <c r="X210" s="1">
        <f t="shared" ref="X210:X273" si="92">IF(J210=$X$7,1,0)</f>
        <v>0</v>
      </c>
      <c r="Y210" s="1">
        <f t="shared" ref="Y210:Y273" si="93">IF(J210=$Y$7,1,0)</f>
        <v>0</v>
      </c>
      <c r="Z210" s="1">
        <f t="shared" ref="Z210:Z273" si="94">IF(J210=$Z$7,1,0)</f>
        <v>0</v>
      </c>
      <c r="AA210" s="1">
        <f t="shared" ref="AA210:AA273" si="95">IF(J210=$AA$7,1,0)</f>
        <v>0</v>
      </c>
      <c r="AB210" s="1">
        <f t="shared" ref="AB210:AB273" si="96">IF(J210=$AB$7,1,0)</f>
        <v>0</v>
      </c>
      <c r="AD210" s="1">
        <f t="shared" ref="AD210:AD273" si="97">+O210*P210</f>
        <v>0</v>
      </c>
      <c r="AE210" s="1">
        <f t="shared" ref="AE210:AE273" si="98">O210*(1-P210)</f>
        <v>1</v>
      </c>
      <c r="AF210" s="1">
        <f t="shared" si="83"/>
        <v>0</v>
      </c>
      <c r="AG210" s="1">
        <f t="shared" si="84"/>
        <v>1</v>
      </c>
      <c r="AH210" s="1">
        <f t="shared" si="85"/>
        <v>0</v>
      </c>
      <c r="AI210" s="1">
        <f t="shared" si="86"/>
        <v>1</v>
      </c>
    </row>
    <row r="211" spans="1:35" s="1" customFormat="1" ht="14.25" customHeight="1" x14ac:dyDescent="0.25">
      <c r="A211" s="31">
        <v>0</v>
      </c>
      <c r="B211" s="31">
        <v>1</v>
      </c>
      <c r="C211" s="31">
        <v>5</v>
      </c>
      <c r="D211" s="32" t="s">
        <v>110</v>
      </c>
      <c r="E211" s="32" t="s">
        <v>171</v>
      </c>
      <c r="F211" s="32" t="s">
        <v>308</v>
      </c>
      <c r="G211" s="32" t="s">
        <v>39</v>
      </c>
      <c r="H211" s="32" t="s">
        <v>362</v>
      </c>
      <c r="I211" s="31" t="s">
        <v>456</v>
      </c>
      <c r="J211" s="31">
        <v>17</v>
      </c>
      <c r="K211" s="33" t="s">
        <v>699</v>
      </c>
      <c r="L211" s="33" t="s">
        <v>693</v>
      </c>
      <c r="M211" s="34" t="s">
        <v>687</v>
      </c>
      <c r="N211" s="34" t="s">
        <v>1717</v>
      </c>
      <c r="O211" s="35">
        <v>1</v>
      </c>
      <c r="P211" s="35">
        <v>1</v>
      </c>
      <c r="Q211" s="32" t="s">
        <v>1899</v>
      </c>
      <c r="S211" s="1">
        <f t="shared" si="87"/>
        <v>0</v>
      </c>
      <c r="T211" s="1">
        <f t="shared" si="88"/>
        <v>0</v>
      </c>
      <c r="U211" s="1">
        <f t="shared" si="89"/>
        <v>0</v>
      </c>
      <c r="V211" s="1">
        <f t="shared" si="90"/>
        <v>0</v>
      </c>
      <c r="W211" s="1">
        <f t="shared" si="91"/>
        <v>0</v>
      </c>
      <c r="X211" s="1">
        <f t="shared" si="92"/>
        <v>0</v>
      </c>
      <c r="Y211" s="1">
        <f t="shared" si="93"/>
        <v>0</v>
      </c>
      <c r="Z211" s="1">
        <f t="shared" si="94"/>
        <v>0</v>
      </c>
      <c r="AA211" s="1">
        <f t="shared" si="95"/>
        <v>0</v>
      </c>
      <c r="AB211" s="1">
        <f t="shared" si="96"/>
        <v>0</v>
      </c>
      <c r="AD211" s="1">
        <f t="shared" si="97"/>
        <v>1</v>
      </c>
      <c r="AE211" s="1">
        <f t="shared" si="98"/>
        <v>0</v>
      </c>
      <c r="AF211" s="1">
        <f t="shared" si="83"/>
        <v>1</v>
      </c>
      <c r="AG211" s="1">
        <f t="shared" si="84"/>
        <v>0</v>
      </c>
      <c r="AH211" s="1">
        <f t="shared" si="85"/>
        <v>1</v>
      </c>
      <c r="AI211" s="1">
        <f t="shared" si="86"/>
        <v>0</v>
      </c>
    </row>
    <row r="212" spans="1:35" s="1" customFormat="1" ht="14.25" customHeight="1" x14ac:dyDescent="0.25">
      <c r="A212" s="31">
        <v>0</v>
      </c>
      <c r="B212" s="31">
        <v>1</v>
      </c>
      <c r="C212" s="31">
        <v>5</v>
      </c>
      <c r="D212" s="32" t="s">
        <v>521</v>
      </c>
      <c r="E212" s="32" t="s">
        <v>522</v>
      </c>
      <c r="F212" s="32" t="s">
        <v>523</v>
      </c>
      <c r="G212" s="32" t="s">
        <v>201</v>
      </c>
      <c r="H212" s="32" t="s">
        <v>352</v>
      </c>
      <c r="I212" s="31" t="s">
        <v>524</v>
      </c>
      <c r="J212" s="31">
        <v>10</v>
      </c>
      <c r="K212" s="33" t="s">
        <v>698</v>
      </c>
      <c r="L212" s="33" t="s">
        <v>689</v>
      </c>
      <c r="M212" s="34" t="s">
        <v>957</v>
      </c>
      <c r="N212" s="34" t="s">
        <v>1717</v>
      </c>
      <c r="O212" s="35">
        <v>1</v>
      </c>
      <c r="P212" s="35">
        <v>1</v>
      </c>
      <c r="Q212" s="32"/>
      <c r="S212" s="1">
        <f t="shared" si="87"/>
        <v>0</v>
      </c>
      <c r="T212" s="1">
        <f t="shared" si="88"/>
        <v>0</v>
      </c>
      <c r="U212" s="1">
        <f t="shared" si="89"/>
        <v>0</v>
      </c>
      <c r="V212" s="1">
        <f t="shared" si="90"/>
        <v>0</v>
      </c>
      <c r="W212" s="1">
        <f t="shared" si="91"/>
        <v>0</v>
      </c>
      <c r="X212" s="1">
        <f t="shared" si="92"/>
        <v>0</v>
      </c>
      <c r="Y212" s="1">
        <f t="shared" si="93"/>
        <v>0</v>
      </c>
      <c r="Z212" s="1">
        <f t="shared" si="94"/>
        <v>0</v>
      </c>
      <c r="AA212" s="1">
        <f t="shared" si="95"/>
        <v>0</v>
      </c>
      <c r="AB212" s="1">
        <f t="shared" si="96"/>
        <v>1</v>
      </c>
      <c r="AD212" s="1">
        <f t="shared" si="97"/>
        <v>1</v>
      </c>
      <c r="AE212" s="1">
        <f t="shared" si="98"/>
        <v>0</v>
      </c>
      <c r="AF212" s="1">
        <f t="shared" si="83"/>
        <v>1</v>
      </c>
      <c r="AG212" s="1">
        <f t="shared" si="84"/>
        <v>0</v>
      </c>
      <c r="AH212" s="1">
        <f t="shared" si="85"/>
        <v>1</v>
      </c>
      <c r="AI212" s="1">
        <f t="shared" si="86"/>
        <v>0</v>
      </c>
    </row>
    <row r="213" spans="1:35" s="1" customFormat="1" ht="14.25" customHeight="1" x14ac:dyDescent="0.25">
      <c r="A213" s="31">
        <v>0</v>
      </c>
      <c r="B213" s="31">
        <v>1</v>
      </c>
      <c r="C213" s="31">
        <v>5</v>
      </c>
      <c r="D213" s="32" t="s">
        <v>1483</v>
      </c>
      <c r="E213" s="32" t="s">
        <v>165</v>
      </c>
      <c r="F213" s="32" t="s">
        <v>1484</v>
      </c>
      <c r="G213" s="32" t="s">
        <v>179</v>
      </c>
      <c r="H213" s="32" t="s">
        <v>352</v>
      </c>
      <c r="I213" s="31" t="s">
        <v>1485</v>
      </c>
      <c r="J213" s="31">
        <v>10</v>
      </c>
      <c r="K213" s="33" t="s">
        <v>943</v>
      </c>
      <c r="L213" s="33" t="s">
        <v>689</v>
      </c>
      <c r="M213" s="34" t="s">
        <v>957</v>
      </c>
      <c r="N213" s="34" t="s">
        <v>1711</v>
      </c>
      <c r="O213" s="35">
        <v>1</v>
      </c>
      <c r="P213" s="35">
        <v>1</v>
      </c>
      <c r="Q213" s="32"/>
      <c r="S213" s="1">
        <f t="shared" si="87"/>
        <v>0</v>
      </c>
      <c r="T213" s="1">
        <f t="shared" si="88"/>
        <v>0</v>
      </c>
      <c r="U213" s="1">
        <f t="shared" si="89"/>
        <v>0</v>
      </c>
      <c r="V213" s="1">
        <f t="shared" si="90"/>
        <v>0</v>
      </c>
      <c r="W213" s="1">
        <f t="shared" si="91"/>
        <v>0</v>
      </c>
      <c r="X213" s="1">
        <f t="shared" si="92"/>
        <v>0</v>
      </c>
      <c r="Y213" s="1">
        <f t="shared" si="93"/>
        <v>0</v>
      </c>
      <c r="Z213" s="1">
        <f t="shared" si="94"/>
        <v>0</v>
      </c>
      <c r="AA213" s="1">
        <f t="shared" si="95"/>
        <v>0</v>
      </c>
      <c r="AB213" s="1">
        <f t="shared" si="96"/>
        <v>1</v>
      </c>
      <c r="AD213" s="1">
        <f t="shared" si="97"/>
        <v>1</v>
      </c>
      <c r="AE213" s="1">
        <f t="shared" si="98"/>
        <v>0</v>
      </c>
      <c r="AF213" s="1">
        <f t="shared" si="83"/>
        <v>1</v>
      </c>
      <c r="AG213" s="1">
        <f t="shared" si="84"/>
        <v>0</v>
      </c>
      <c r="AH213" s="1">
        <f t="shared" si="85"/>
        <v>1</v>
      </c>
      <c r="AI213" s="1">
        <f t="shared" si="86"/>
        <v>0</v>
      </c>
    </row>
    <row r="214" spans="1:35" s="1" customFormat="1" ht="14.25" customHeight="1" x14ac:dyDescent="0.25">
      <c r="A214" s="31">
        <v>0</v>
      </c>
      <c r="B214" s="31">
        <v>1</v>
      </c>
      <c r="C214" s="31">
        <v>5</v>
      </c>
      <c r="D214" s="32" t="s">
        <v>1741</v>
      </c>
      <c r="E214" s="32" t="s">
        <v>165</v>
      </c>
      <c r="F214" s="32" t="s">
        <v>1742</v>
      </c>
      <c r="G214" s="32" t="s">
        <v>1743</v>
      </c>
      <c r="H214" s="32" t="s">
        <v>352</v>
      </c>
      <c r="I214" s="31" t="s">
        <v>1744</v>
      </c>
      <c r="J214" s="31">
        <v>1</v>
      </c>
      <c r="K214" s="33" t="s">
        <v>699</v>
      </c>
      <c r="L214" s="33"/>
      <c r="M214" s="34"/>
      <c r="N214" s="34" t="s">
        <v>1732</v>
      </c>
      <c r="O214" s="35">
        <v>1</v>
      </c>
      <c r="P214" s="35"/>
      <c r="Q214" s="32"/>
      <c r="S214" s="1">
        <f t="shared" si="87"/>
        <v>1</v>
      </c>
      <c r="T214" s="1">
        <f t="shared" si="88"/>
        <v>0</v>
      </c>
      <c r="U214" s="1">
        <f t="shared" si="89"/>
        <v>0</v>
      </c>
      <c r="V214" s="1">
        <f t="shared" si="90"/>
        <v>0</v>
      </c>
      <c r="W214" s="1">
        <f t="shared" si="91"/>
        <v>0</v>
      </c>
      <c r="X214" s="1">
        <f t="shared" si="92"/>
        <v>0</v>
      </c>
      <c r="Y214" s="1">
        <f t="shared" si="93"/>
        <v>0</v>
      </c>
      <c r="Z214" s="1">
        <f t="shared" si="94"/>
        <v>0</v>
      </c>
      <c r="AA214" s="1">
        <f t="shared" si="95"/>
        <v>0</v>
      </c>
      <c r="AB214" s="1">
        <f t="shared" si="96"/>
        <v>0</v>
      </c>
      <c r="AD214" s="1">
        <f t="shared" si="97"/>
        <v>0</v>
      </c>
      <c r="AE214" s="1">
        <f t="shared" si="98"/>
        <v>1</v>
      </c>
      <c r="AF214" s="1">
        <f t="shared" si="83"/>
        <v>0</v>
      </c>
      <c r="AG214" s="1">
        <f t="shared" si="84"/>
        <v>1</v>
      </c>
      <c r="AH214" s="1">
        <f t="shared" si="85"/>
        <v>0</v>
      </c>
      <c r="AI214" s="1">
        <f t="shared" si="86"/>
        <v>1</v>
      </c>
    </row>
    <row r="215" spans="1:35" s="1" customFormat="1" ht="14.25" customHeight="1" x14ac:dyDescent="0.25">
      <c r="A215" s="44">
        <v>0</v>
      </c>
      <c r="B215" s="44">
        <v>1</v>
      </c>
      <c r="C215" s="44">
        <v>5</v>
      </c>
      <c r="D215" s="45" t="s">
        <v>1013</v>
      </c>
      <c r="E215" s="45" t="s">
        <v>1074</v>
      </c>
      <c r="F215" s="45" t="s">
        <v>1014</v>
      </c>
      <c r="G215" s="45" t="s">
        <v>193</v>
      </c>
      <c r="H215" s="45" t="s">
        <v>352</v>
      </c>
      <c r="I215" s="44" t="s">
        <v>1015</v>
      </c>
      <c r="J215" s="44">
        <v>9</v>
      </c>
      <c r="K215" s="46" t="s">
        <v>718</v>
      </c>
      <c r="L215" s="46" t="s">
        <v>1688</v>
      </c>
      <c r="M215" s="47" t="s">
        <v>1588</v>
      </c>
      <c r="N215" s="47" t="s">
        <v>1719</v>
      </c>
      <c r="O215" s="48"/>
      <c r="P215" s="48"/>
      <c r="Q215" s="45"/>
      <c r="S215" s="1">
        <f t="shared" si="87"/>
        <v>0</v>
      </c>
      <c r="T215" s="1">
        <f t="shared" si="88"/>
        <v>0</v>
      </c>
      <c r="U215" s="1">
        <f t="shared" si="89"/>
        <v>0</v>
      </c>
      <c r="V215" s="1">
        <f t="shared" si="90"/>
        <v>0</v>
      </c>
      <c r="W215" s="1">
        <f t="shared" si="91"/>
        <v>0</v>
      </c>
      <c r="X215" s="1">
        <f t="shared" si="92"/>
        <v>0</v>
      </c>
      <c r="Y215" s="1">
        <f t="shared" si="93"/>
        <v>0</v>
      </c>
      <c r="Z215" s="1">
        <f t="shared" si="94"/>
        <v>0</v>
      </c>
      <c r="AA215" s="1">
        <f t="shared" si="95"/>
        <v>1</v>
      </c>
      <c r="AB215" s="1">
        <f t="shared" si="96"/>
        <v>0</v>
      </c>
      <c r="AD215" s="1">
        <f t="shared" si="97"/>
        <v>0</v>
      </c>
      <c r="AE215" s="1">
        <f t="shared" si="98"/>
        <v>0</v>
      </c>
      <c r="AF215" s="1">
        <f t="shared" si="83"/>
        <v>0</v>
      </c>
      <c r="AG215" s="1">
        <f t="shared" si="84"/>
        <v>0</v>
      </c>
      <c r="AH215" s="1">
        <f t="shared" si="85"/>
        <v>0</v>
      </c>
      <c r="AI215" s="1">
        <f t="shared" si="86"/>
        <v>1</v>
      </c>
    </row>
    <row r="216" spans="1:35" s="1" customFormat="1" ht="14.25" customHeight="1" x14ac:dyDescent="0.25">
      <c r="A216" s="44">
        <v>0</v>
      </c>
      <c r="B216" s="44">
        <v>1</v>
      </c>
      <c r="C216" s="44">
        <v>5</v>
      </c>
      <c r="D216" s="45" t="s">
        <v>1598</v>
      </c>
      <c r="E216" s="45" t="s">
        <v>165</v>
      </c>
      <c r="F216" s="45" t="s">
        <v>1599</v>
      </c>
      <c r="G216" s="45" t="s">
        <v>212</v>
      </c>
      <c r="H216" s="45" t="s">
        <v>352</v>
      </c>
      <c r="I216" s="44" t="s">
        <v>1600</v>
      </c>
      <c r="J216" s="44">
        <v>1</v>
      </c>
      <c r="K216" s="46" t="s">
        <v>718</v>
      </c>
      <c r="L216" s="46" t="s">
        <v>690</v>
      </c>
      <c r="M216" s="47" t="s">
        <v>957</v>
      </c>
      <c r="N216" s="47" t="s">
        <v>1720</v>
      </c>
      <c r="O216" s="48"/>
      <c r="P216" s="48"/>
      <c r="Q216" s="45"/>
      <c r="S216" s="1">
        <f t="shared" si="87"/>
        <v>1</v>
      </c>
      <c r="T216" s="1">
        <f t="shared" si="88"/>
        <v>0</v>
      </c>
      <c r="U216" s="1">
        <f t="shared" si="89"/>
        <v>0</v>
      </c>
      <c r="V216" s="1">
        <f t="shared" si="90"/>
        <v>0</v>
      </c>
      <c r="W216" s="1">
        <f t="shared" si="91"/>
        <v>0</v>
      </c>
      <c r="X216" s="1">
        <f t="shared" si="92"/>
        <v>0</v>
      </c>
      <c r="Y216" s="1">
        <f t="shared" si="93"/>
        <v>0</v>
      </c>
      <c r="Z216" s="1">
        <f t="shared" si="94"/>
        <v>0</v>
      </c>
      <c r="AA216" s="1">
        <f t="shared" si="95"/>
        <v>0</v>
      </c>
      <c r="AB216" s="1">
        <f t="shared" si="96"/>
        <v>0</v>
      </c>
      <c r="AD216" s="1">
        <f t="shared" si="97"/>
        <v>0</v>
      </c>
      <c r="AE216" s="1">
        <f t="shared" si="98"/>
        <v>0</v>
      </c>
      <c r="AF216" s="1">
        <f t="shared" si="83"/>
        <v>0</v>
      </c>
      <c r="AG216" s="1">
        <f t="shared" si="84"/>
        <v>0</v>
      </c>
      <c r="AH216" s="1">
        <f t="shared" si="85"/>
        <v>0</v>
      </c>
      <c r="AI216" s="1">
        <f t="shared" si="86"/>
        <v>1</v>
      </c>
    </row>
    <row r="217" spans="1:35" s="1" customFormat="1" ht="14.25" customHeight="1" x14ac:dyDescent="0.25">
      <c r="A217" s="31">
        <v>0</v>
      </c>
      <c r="B217" s="31">
        <v>1</v>
      </c>
      <c r="C217" s="31">
        <v>5</v>
      </c>
      <c r="D217" s="32" t="s">
        <v>146</v>
      </c>
      <c r="E217" s="32" t="s">
        <v>541</v>
      </c>
      <c r="F217" s="32" t="s">
        <v>1583</v>
      </c>
      <c r="G217" s="32" t="s">
        <v>1657</v>
      </c>
      <c r="H217" s="32" t="s">
        <v>352</v>
      </c>
      <c r="I217" s="31" t="s">
        <v>491</v>
      </c>
      <c r="J217" s="31">
        <v>99</v>
      </c>
      <c r="K217" s="33" t="s">
        <v>698</v>
      </c>
      <c r="L217" s="33" t="s">
        <v>685</v>
      </c>
      <c r="M217" s="34" t="s">
        <v>957</v>
      </c>
      <c r="N217" s="34" t="s">
        <v>1809</v>
      </c>
      <c r="O217" s="35">
        <v>1</v>
      </c>
      <c r="P217" s="35"/>
      <c r="Q217" s="32"/>
      <c r="S217" s="1">
        <f t="shared" si="87"/>
        <v>0</v>
      </c>
      <c r="T217" s="1">
        <f t="shared" si="88"/>
        <v>0</v>
      </c>
      <c r="U217" s="1">
        <f t="shared" si="89"/>
        <v>0</v>
      </c>
      <c r="V217" s="1">
        <f t="shared" si="90"/>
        <v>0</v>
      </c>
      <c r="W217" s="1">
        <f t="shared" si="91"/>
        <v>0</v>
      </c>
      <c r="X217" s="1">
        <f t="shared" si="92"/>
        <v>0</v>
      </c>
      <c r="Y217" s="1">
        <f t="shared" si="93"/>
        <v>0</v>
      </c>
      <c r="Z217" s="1">
        <f t="shared" si="94"/>
        <v>0</v>
      </c>
      <c r="AA217" s="1">
        <f t="shared" si="95"/>
        <v>0</v>
      </c>
      <c r="AB217" s="1">
        <f t="shared" si="96"/>
        <v>0</v>
      </c>
      <c r="AD217" s="1">
        <f t="shared" si="97"/>
        <v>0</v>
      </c>
      <c r="AE217" s="1">
        <f t="shared" si="98"/>
        <v>1</v>
      </c>
      <c r="AF217" s="1">
        <f t="shared" si="83"/>
        <v>0</v>
      </c>
      <c r="AG217" s="1">
        <f t="shared" si="84"/>
        <v>1</v>
      </c>
      <c r="AH217" s="1">
        <f t="shared" si="85"/>
        <v>0</v>
      </c>
      <c r="AI217" s="1">
        <f t="shared" si="86"/>
        <v>1</v>
      </c>
    </row>
    <row r="218" spans="1:35" s="1" customFormat="1" ht="14.25" customHeight="1" x14ac:dyDescent="0.25">
      <c r="A218" s="15">
        <v>0</v>
      </c>
      <c r="B218" s="15">
        <v>1</v>
      </c>
      <c r="C218" s="15">
        <v>5</v>
      </c>
      <c r="D218" s="16" t="s">
        <v>1196</v>
      </c>
      <c r="E218" s="16" t="s">
        <v>165</v>
      </c>
      <c r="F218" s="16" t="s">
        <v>1197</v>
      </c>
      <c r="G218" s="16" t="s">
        <v>1198</v>
      </c>
      <c r="H218" s="16" t="s">
        <v>352</v>
      </c>
      <c r="I218" s="15" t="s">
        <v>1199</v>
      </c>
      <c r="J218" s="15">
        <v>99</v>
      </c>
      <c r="K218" s="10" t="s">
        <v>699</v>
      </c>
      <c r="L218" s="10">
        <v>30</v>
      </c>
      <c r="M218" s="19" t="s">
        <v>957</v>
      </c>
      <c r="N218" s="19"/>
      <c r="Q218" s="16"/>
      <c r="S218" s="1">
        <f t="shared" si="87"/>
        <v>0</v>
      </c>
      <c r="T218" s="1">
        <f t="shared" si="88"/>
        <v>0</v>
      </c>
      <c r="U218" s="1">
        <f t="shared" si="89"/>
        <v>0</v>
      </c>
      <c r="V218" s="1">
        <f t="shared" si="90"/>
        <v>0</v>
      </c>
      <c r="W218" s="1">
        <f t="shared" si="91"/>
        <v>0</v>
      </c>
      <c r="X218" s="1">
        <f t="shared" si="92"/>
        <v>0</v>
      </c>
      <c r="Y218" s="1">
        <f t="shared" si="93"/>
        <v>0</v>
      </c>
      <c r="Z218" s="1">
        <f t="shared" si="94"/>
        <v>0</v>
      </c>
      <c r="AA218" s="1">
        <f t="shared" si="95"/>
        <v>0</v>
      </c>
      <c r="AB218" s="1">
        <f t="shared" si="96"/>
        <v>0</v>
      </c>
      <c r="AD218" s="1">
        <f t="shared" si="97"/>
        <v>0</v>
      </c>
      <c r="AE218" s="1">
        <f t="shared" si="98"/>
        <v>0</v>
      </c>
      <c r="AF218" s="1">
        <f t="shared" si="83"/>
        <v>0</v>
      </c>
      <c r="AG218" s="1">
        <f t="shared" si="84"/>
        <v>0</v>
      </c>
      <c r="AH218" s="1">
        <f t="shared" si="85"/>
        <v>0</v>
      </c>
      <c r="AI218" s="1">
        <f t="shared" si="86"/>
        <v>1</v>
      </c>
    </row>
    <row r="219" spans="1:35" s="1" customFormat="1" ht="14.25" customHeight="1" x14ac:dyDescent="0.25">
      <c r="A219" s="31">
        <v>0</v>
      </c>
      <c r="B219" s="31">
        <v>1</v>
      </c>
      <c r="C219" s="31">
        <v>5</v>
      </c>
      <c r="D219" s="32" t="s">
        <v>1584</v>
      </c>
      <c r="E219" s="32" t="s">
        <v>171</v>
      </c>
      <c r="F219" s="32" t="s">
        <v>799</v>
      </c>
      <c r="G219" s="32" t="s">
        <v>39</v>
      </c>
      <c r="H219" s="32" t="s">
        <v>800</v>
      </c>
      <c r="I219" s="31" t="s">
        <v>801</v>
      </c>
      <c r="J219" s="31">
        <v>16</v>
      </c>
      <c r="K219" s="33" t="s">
        <v>944</v>
      </c>
      <c r="L219" s="33" t="s">
        <v>1726</v>
      </c>
      <c r="M219" s="34" t="s">
        <v>957</v>
      </c>
      <c r="N219" s="34" t="s">
        <v>1732</v>
      </c>
      <c r="O219" s="35">
        <v>1</v>
      </c>
      <c r="P219" s="35"/>
      <c r="Q219" s="32"/>
      <c r="S219" s="1">
        <f t="shared" si="87"/>
        <v>0</v>
      </c>
      <c r="T219" s="1">
        <f t="shared" si="88"/>
        <v>0</v>
      </c>
      <c r="U219" s="1">
        <f t="shared" si="89"/>
        <v>0</v>
      </c>
      <c r="V219" s="1">
        <f t="shared" si="90"/>
        <v>0</v>
      </c>
      <c r="W219" s="1">
        <f t="shared" si="91"/>
        <v>0</v>
      </c>
      <c r="X219" s="1">
        <f t="shared" si="92"/>
        <v>0</v>
      </c>
      <c r="Y219" s="1">
        <f t="shared" si="93"/>
        <v>0</v>
      </c>
      <c r="Z219" s="1">
        <f t="shared" si="94"/>
        <v>0</v>
      </c>
      <c r="AA219" s="1">
        <f t="shared" si="95"/>
        <v>0</v>
      </c>
      <c r="AB219" s="1">
        <f t="shared" si="96"/>
        <v>0</v>
      </c>
      <c r="AD219" s="1">
        <f t="shared" si="97"/>
        <v>0</v>
      </c>
      <c r="AE219" s="1">
        <f t="shared" si="98"/>
        <v>1</v>
      </c>
      <c r="AF219" s="1">
        <f t="shared" si="83"/>
        <v>0</v>
      </c>
      <c r="AG219" s="1">
        <f t="shared" si="84"/>
        <v>1</v>
      </c>
      <c r="AH219" s="1">
        <f t="shared" si="85"/>
        <v>0</v>
      </c>
      <c r="AI219" s="1">
        <f t="shared" si="86"/>
        <v>1</v>
      </c>
    </row>
    <row r="220" spans="1:35" s="1" customFormat="1" ht="14.25" customHeight="1" x14ac:dyDescent="0.25">
      <c r="A220" s="31">
        <v>0</v>
      </c>
      <c r="B220" s="31">
        <v>1</v>
      </c>
      <c r="C220" s="31">
        <v>5</v>
      </c>
      <c r="D220" s="32" t="s">
        <v>498</v>
      </c>
      <c r="E220" s="32" t="s">
        <v>165</v>
      </c>
      <c r="F220" s="32" t="s">
        <v>499</v>
      </c>
      <c r="G220" s="32" t="s">
        <v>500</v>
      </c>
      <c r="H220" s="32" t="s">
        <v>352</v>
      </c>
      <c r="I220" s="31" t="s">
        <v>501</v>
      </c>
      <c r="J220" s="31">
        <v>99</v>
      </c>
      <c r="K220" s="33" t="s">
        <v>944</v>
      </c>
      <c r="L220" s="33" t="s">
        <v>690</v>
      </c>
      <c r="M220" s="34" t="s">
        <v>687</v>
      </c>
      <c r="N220" s="34" t="s">
        <v>1711</v>
      </c>
      <c r="O220" s="35">
        <v>1</v>
      </c>
      <c r="P220" s="35">
        <v>1</v>
      </c>
      <c r="Q220" s="32"/>
      <c r="S220" s="1">
        <f t="shared" si="87"/>
        <v>0</v>
      </c>
      <c r="T220" s="1">
        <f t="shared" si="88"/>
        <v>0</v>
      </c>
      <c r="U220" s="1">
        <f t="shared" si="89"/>
        <v>0</v>
      </c>
      <c r="V220" s="1">
        <f t="shared" si="90"/>
        <v>0</v>
      </c>
      <c r="W220" s="1">
        <f t="shared" si="91"/>
        <v>0</v>
      </c>
      <c r="X220" s="1">
        <f t="shared" si="92"/>
        <v>0</v>
      </c>
      <c r="Y220" s="1">
        <f t="shared" si="93"/>
        <v>0</v>
      </c>
      <c r="Z220" s="1">
        <f t="shared" si="94"/>
        <v>0</v>
      </c>
      <c r="AA220" s="1">
        <f t="shared" si="95"/>
        <v>0</v>
      </c>
      <c r="AB220" s="1">
        <f t="shared" si="96"/>
        <v>0</v>
      </c>
      <c r="AD220" s="1">
        <f t="shared" si="97"/>
        <v>1</v>
      </c>
      <c r="AE220" s="1">
        <f t="shared" si="98"/>
        <v>0</v>
      </c>
      <c r="AF220" s="1">
        <f t="shared" si="83"/>
        <v>1</v>
      </c>
      <c r="AG220" s="1">
        <f t="shared" si="84"/>
        <v>0</v>
      </c>
      <c r="AH220" s="1">
        <f t="shared" si="85"/>
        <v>1</v>
      </c>
      <c r="AI220" s="1">
        <f t="shared" si="86"/>
        <v>0</v>
      </c>
    </row>
    <row r="221" spans="1:35" s="1" customFormat="1" ht="14.25" customHeight="1" x14ac:dyDescent="0.25">
      <c r="A221" s="31">
        <v>0</v>
      </c>
      <c r="B221" s="31">
        <v>1</v>
      </c>
      <c r="C221" s="31">
        <v>6</v>
      </c>
      <c r="D221" s="32" t="s">
        <v>1434</v>
      </c>
      <c r="E221" s="32" t="s">
        <v>166</v>
      </c>
      <c r="F221" s="32" t="s">
        <v>1435</v>
      </c>
      <c r="G221" s="32" t="s">
        <v>178</v>
      </c>
      <c r="H221" s="32" t="s">
        <v>352</v>
      </c>
      <c r="I221" s="31" t="s">
        <v>1436</v>
      </c>
      <c r="J221" s="31">
        <v>99</v>
      </c>
      <c r="K221" s="33" t="s">
        <v>943</v>
      </c>
      <c r="L221" s="33" t="s">
        <v>692</v>
      </c>
      <c r="M221" s="34" t="s">
        <v>1437</v>
      </c>
      <c r="N221" s="34" t="s">
        <v>1733</v>
      </c>
      <c r="O221" s="35">
        <v>1</v>
      </c>
      <c r="P221" s="35"/>
      <c r="Q221" s="36"/>
      <c r="S221" s="1">
        <f t="shared" si="87"/>
        <v>0</v>
      </c>
      <c r="T221" s="1">
        <f t="shared" si="88"/>
        <v>0</v>
      </c>
      <c r="U221" s="1">
        <f t="shared" si="89"/>
        <v>0</v>
      </c>
      <c r="V221" s="1">
        <f t="shared" si="90"/>
        <v>0</v>
      </c>
      <c r="W221" s="1">
        <f t="shared" si="91"/>
        <v>0</v>
      </c>
      <c r="X221" s="1">
        <f t="shared" si="92"/>
        <v>0</v>
      </c>
      <c r="Y221" s="1">
        <f t="shared" si="93"/>
        <v>0</v>
      </c>
      <c r="Z221" s="1">
        <f t="shared" si="94"/>
        <v>0</v>
      </c>
      <c r="AA221" s="1">
        <f t="shared" si="95"/>
        <v>0</v>
      </c>
      <c r="AB221" s="1">
        <f t="shared" si="96"/>
        <v>0</v>
      </c>
      <c r="AD221" s="1">
        <f t="shared" si="97"/>
        <v>0</v>
      </c>
      <c r="AE221" s="1">
        <f t="shared" si="98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s="1" customFormat="1" ht="14.25" customHeight="1" x14ac:dyDescent="0.25">
      <c r="A222" s="31">
        <v>0</v>
      </c>
      <c r="B222" s="31">
        <v>1</v>
      </c>
      <c r="C222" s="31">
        <v>6</v>
      </c>
      <c r="D222" s="32" t="s">
        <v>1170</v>
      </c>
      <c r="E222" s="32" t="s">
        <v>1173</v>
      </c>
      <c r="F222" s="32" t="s">
        <v>1171</v>
      </c>
      <c r="G222" s="32" t="s">
        <v>39</v>
      </c>
      <c r="H222" s="32" t="s">
        <v>352</v>
      </c>
      <c r="I222" s="31" t="s">
        <v>1172</v>
      </c>
      <c r="J222" s="31">
        <v>99</v>
      </c>
      <c r="K222" s="33" t="s">
        <v>949</v>
      </c>
      <c r="L222" s="33" t="s">
        <v>39</v>
      </c>
      <c r="M222" s="34" t="s">
        <v>39</v>
      </c>
      <c r="N222" s="34" t="s">
        <v>1717</v>
      </c>
      <c r="O222" s="35">
        <v>1</v>
      </c>
      <c r="P222" s="35">
        <v>1</v>
      </c>
      <c r="Q222" s="36" t="s">
        <v>1892</v>
      </c>
      <c r="S222" s="1">
        <f t="shared" si="87"/>
        <v>0</v>
      </c>
      <c r="T222" s="1">
        <f t="shared" si="88"/>
        <v>0</v>
      </c>
      <c r="U222" s="1">
        <f t="shared" si="89"/>
        <v>0</v>
      </c>
      <c r="V222" s="1">
        <f t="shared" si="90"/>
        <v>0</v>
      </c>
      <c r="W222" s="1">
        <f t="shared" si="91"/>
        <v>0</v>
      </c>
      <c r="X222" s="1">
        <f t="shared" si="92"/>
        <v>0</v>
      </c>
      <c r="Y222" s="1">
        <f t="shared" si="93"/>
        <v>0</v>
      </c>
      <c r="Z222" s="1">
        <f t="shared" si="94"/>
        <v>0</v>
      </c>
      <c r="AA222" s="1">
        <f t="shared" si="95"/>
        <v>0</v>
      </c>
      <c r="AB222" s="1">
        <f t="shared" si="96"/>
        <v>0</v>
      </c>
      <c r="AD222" s="1">
        <f t="shared" si="97"/>
        <v>1</v>
      </c>
      <c r="AE222" s="1">
        <f t="shared" si="98"/>
        <v>0</v>
      </c>
      <c r="AF222" s="1">
        <f t="shared" si="83"/>
        <v>1</v>
      </c>
      <c r="AG222" s="1">
        <f t="shared" si="84"/>
        <v>0</v>
      </c>
      <c r="AH222" s="1">
        <f t="shared" si="85"/>
        <v>1</v>
      </c>
      <c r="AI222" s="1">
        <f t="shared" si="86"/>
        <v>0</v>
      </c>
    </row>
    <row r="223" spans="1:35" s="1" customFormat="1" ht="14.25" customHeight="1" x14ac:dyDescent="0.25">
      <c r="A223" s="31">
        <v>0</v>
      </c>
      <c r="B223" s="31">
        <v>1</v>
      </c>
      <c r="C223" s="31">
        <v>6</v>
      </c>
      <c r="D223" s="32" t="s">
        <v>1632</v>
      </c>
      <c r="E223" s="32" t="s">
        <v>1640</v>
      </c>
      <c r="F223" s="32" t="s">
        <v>1667</v>
      </c>
      <c r="G223" s="32" t="s">
        <v>1668</v>
      </c>
      <c r="H223" s="32" t="s">
        <v>352</v>
      </c>
      <c r="I223" s="31" t="s">
        <v>1680</v>
      </c>
      <c r="J223" s="31">
        <v>1</v>
      </c>
      <c r="K223" s="33" t="s">
        <v>945</v>
      </c>
      <c r="L223" s="33" t="s">
        <v>39</v>
      </c>
      <c r="M223" s="34" t="s">
        <v>39</v>
      </c>
      <c r="N223" s="34" t="s">
        <v>1711</v>
      </c>
      <c r="O223" s="35">
        <v>1</v>
      </c>
      <c r="P223" s="35">
        <v>1</v>
      </c>
      <c r="Q223" s="32"/>
      <c r="S223" s="1">
        <f t="shared" si="87"/>
        <v>1</v>
      </c>
      <c r="T223" s="1">
        <f t="shared" si="88"/>
        <v>0</v>
      </c>
      <c r="U223" s="1">
        <f t="shared" si="89"/>
        <v>0</v>
      </c>
      <c r="V223" s="1">
        <f t="shared" si="90"/>
        <v>0</v>
      </c>
      <c r="W223" s="1">
        <f t="shared" si="91"/>
        <v>0</v>
      </c>
      <c r="X223" s="1">
        <f t="shared" si="92"/>
        <v>0</v>
      </c>
      <c r="Y223" s="1">
        <f t="shared" si="93"/>
        <v>0</v>
      </c>
      <c r="Z223" s="1">
        <f t="shared" si="94"/>
        <v>0</v>
      </c>
      <c r="AA223" s="1">
        <f t="shared" si="95"/>
        <v>0</v>
      </c>
      <c r="AB223" s="1">
        <f t="shared" si="96"/>
        <v>0</v>
      </c>
      <c r="AD223" s="1">
        <f t="shared" si="97"/>
        <v>1</v>
      </c>
      <c r="AE223" s="1">
        <f t="shared" si="98"/>
        <v>0</v>
      </c>
      <c r="AF223" s="1">
        <f t="shared" si="83"/>
        <v>1</v>
      </c>
      <c r="AG223" s="1">
        <f t="shared" si="84"/>
        <v>0</v>
      </c>
      <c r="AH223" s="1">
        <f t="shared" si="85"/>
        <v>1</v>
      </c>
      <c r="AI223" s="1">
        <f t="shared" si="86"/>
        <v>0</v>
      </c>
    </row>
    <row r="224" spans="1:35" s="1" customFormat="1" ht="14.25" customHeight="1" x14ac:dyDescent="0.25">
      <c r="A224" s="31">
        <v>0</v>
      </c>
      <c r="B224" s="31">
        <v>1</v>
      </c>
      <c r="C224" s="31">
        <v>6</v>
      </c>
      <c r="D224" s="32" t="s">
        <v>89</v>
      </c>
      <c r="E224" s="32" t="s">
        <v>167</v>
      </c>
      <c r="F224" s="32" t="s">
        <v>282</v>
      </c>
      <c r="G224" s="32" t="s">
        <v>229</v>
      </c>
      <c r="H224" s="32" t="s">
        <v>352</v>
      </c>
      <c r="I224" s="31" t="s">
        <v>435</v>
      </c>
      <c r="J224" s="31">
        <v>7</v>
      </c>
      <c r="K224" s="33" t="s">
        <v>718</v>
      </c>
      <c r="L224" s="33">
        <v>40</v>
      </c>
      <c r="M224" s="34" t="s">
        <v>39</v>
      </c>
      <c r="N224" s="34" t="s">
        <v>1732</v>
      </c>
      <c r="O224" s="35">
        <v>1</v>
      </c>
      <c r="P224" s="35"/>
      <c r="Q224" s="32"/>
      <c r="S224" s="1">
        <f t="shared" si="87"/>
        <v>0</v>
      </c>
      <c r="T224" s="1">
        <f t="shared" si="88"/>
        <v>0</v>
      </c>
      <c r="U224" s="1">
        <f t="shared" si="89"/>
        <v>0</v>
      </c>
      <c r="V224" s="1">
        <f t="shared" si="90"/>
        <v>0</v>
      </c>
      <c r="W224" s="1">
        <f t="shared" si="91"/>
        <v>0</v>
      </c>
      <c r="X224" s="1">
        <f t="shared" si="92"/>
        <v>0</v>
      </c>
      <c r="Y224" s="1">
        <f t="shared" si="93"/>
        <v>1</v>
      </c>
      <c r="Z224" s="1">
        <f t="shared" si="94"/>
        <v>0</v>
      </c>
      <c r="AA224" s="1">
        <f t="shared" si="95"/>
        <v>0</v>
      </c>
      <c r="AB224" s="1">
        <f t="shared" si="96"/>
        <v>0</v>
      </c>
      <c r="AD224" s="1">
        <f t="shared" si="97"/>
        <v>0</v>
      </c>
      <c r="AE224" s="1">
        <f t="shared" si="98"/>
        <v>1</v>
      </c>
      <c r="AF224" s="1">
        <f t="shared" si="83"/>
        <v>0</v>
      </c>
      <c r="AG224" s="1">
        <f t="shared" si="84"/>
        <v>1</v>
      </c>
      <c r="AH224" s="1">
        <f t="shared" si="85"/>
        <v>0</v>
      </c>
      <c r="AI224" s="1">
        <f t="shared" si="86"/>
        <v>1</v>
      </c>
    </row>
    <row r="225" spans="1:4094 4097:8191 8194:12288 12291:16384" s="1" customFormat="1" ht="14.25" customHeight="1" x14ac:dyDescent="0.25">
      <c r="A225" s="31">
        <v>0</v>
      </c>
      <c r="B225" s="31">
        <v>1</v>
      </c>
      <c r="C225" s="31">
        <v>6</v>
      </c>
      <c r="D225" s="32" t="s">
        <v>90</v>
      </c>
      <c r="E225" s="32" t="s">
        <v>164</v>
      </c>
      <c r="F225" s="36" t="s">
        <v>1855</v>
      </c>
      <c r="G225" s="32" t="s">
        <v>239</v>
      </c>
      <c r="H225" s="32" t="s">
        <v>352</v>
      </c>
      <c r="I225" s="31" t="s">
        <v>436</v>
      </c>
      <c r="J225" s="31">
        <v>1</v>
      </c>
      <c r="K225" s="33" t="s">
        <v>951</v>
      </c>
      <c r="L225" s="33" t="s">
        <v>39</v>
      </c>
      <c r="M225" s="34" t="s">
        <v>39</v>
      </c>
      <c r="N225" s="34" t="s">
        <v>1711</v>
      </c>
      <c r="O225" s="35">
        <v>1</v>
      </c>
      <c r="P225" s="35">
        <v>1</v>
      </c>
      <c r="Q225" s="32"/>
      <c r="S225" s="1">
        <f t="shared" si="87"/>
        <v>1</v>
      </c>
      <c r="T225" s="1">
        <f t="shared" si="88"/>
        <v>0</v>
      </c>
      <c r="U225" s="1">
        <f t="shared" si="89"/>
        <v>0</v>
      </c>
      <c r="V225" s="1">
        <f t="shared" si="90"/>
        <v>0</v>
      </c>
      <c r="W225" s="1">
        <f t="shared" si="91"/>
        <v>0</v>
      </c>
      <c r="X225" s="1">
        <f t="shared" si="92"/>
        <v>0</v>
      </c>
      <c r="Y225" s="1">
        <f t="shared" si="93"/>
        <v>0</v>
      </c>
      <c r="Z225" s="1">
        <f t="shared" si="94"/>
        <v>0</v>
      </c>
      <c r="AA225" s="1">
        <f t="shared" si="95"/>
        <v>0</v>
      </c>
      <c r="AB225" s="1">
        <f t="shared" si="96"/>
        <v>0</v>
      </c>
      <c r="AD225" s="1">
        <f t="shared" si="97"/>
        <v>1</v>
      </c>
      <c r="AE225" s="1">
        <f t="shared" si="98"/>
        <v>0</v>
      </c>
      <c r="AF225" s="1">
        <f t="shared" si="83"/>
        <v>1</v>
      </c>
      <c r="AG225" s="1">
        <f t="shared" si="84"/>
        <v>0</v>
      </c>
      <c r="AH225" s="1">
        <f t="shared" si="85"/>
        <v>1</v>
      </c>
      <c r="AI225" s="1">
        <f t="shared" si="86"/>
        <v>0</v>
      </c>
    </row>
    <row r="226" spans="1:4094 4097:8191 8194:12288 12291:16384" s="1" customFormat="1" ht="14.25" customHeight="1" x14ac:dyDescent="0.25">
      <c r="A226" s="31">
        <v>0</v>
      </c>
      <c r="B226" s="31">
        <v>1</v>
      </c>
      <c r="C226" s="31">
        <v>6</v>
      </c>
      <c r="D226" s="32" t="s">
        <v>91</v>
      </c>
      <c r="E226" s="32" t="s">
        <v>166</v>
      </c>
      <c r="F226" s="32" t="s">
        <v>284</v>
      </c>
      <c r="G226" s="32" t="s">
        <v>199</v>
      </c>
      <c r="H226" s="32" t="s">
        <v>352</v>
      </c>
      <c r="I226" s="31" t="s">
        <v>437</v>
      </c>
      <c r="J226" s="31">
        <v>2</v>
      </c>
      <c r="K226" s="33" t="s">
        <v>949</v>
      </c>
      <c r="L226" s="33" t="s">
        <v>39</v>
      </c>
      <c r="M226" s="34" t="s">
        <v>39</v>
      </c>
      <c r="N226" s="34" t="s">
        <v>1711</v>
      </c>
      <c r="O226" s="35">
        <v>1</v>
      </c>
      <c r="P226" s="35">
        <v>1</v>
      </c>
      <c r="Q226" s="32"/>
      <c r="S226" s="1">
        <f t="shared" si="87"/>
        <v>0</v>
      </c>
      <c r="T226" s="1">
        <f t="shared" si="88"/>
        <v>1</v>
      </c>
      <c r="U226" s="1">
        <f t="shared" si="89"/>
        <v>0</v>
      </c>
      <c r="V226" s="1">
        <f t="shared" si="90"/>
        <v>0</v>
      </c>
      <c r="W226" s="1">
        <f t="shared" si="91"/>
        <v>0</v>
      </c>
      <c r="X226" s="1">
        <f t="shared" si="92"/>
        <v>0</v>
      </c>
      <c r="Y226" s="1">
        <f t="shared" si="93"/>
        <v>0</v>
      </c>
      <c r="Z226" s="1">
        <f t="shared" si="94"/>
        <v>0</v>
      </c>
      <c r="AA226" s="1">
        <f t="shared" si="95"/>
        <v>0</v>
      </c>
      <c r="AB226" s="1">
        <f t="shared" si="96"/>
        <v>0</v>
      </c>
      <c r="AD226" s="1">
        <f t="shared" si="97"/>
        <v>1</v>
      </c>
      <c r="AE226" s="1">
        <f t="shared" si="98"/>
        <v>0</v>
      </c>
      <c r="AF226" s="1">
        <f t="shared" si="83"/>
        <v>1</v>
      </c>
      <c r="AG226" s="1">
        <f t="shared" si="84"/>
        <v>0</v>
      </c>
      <c r="AH226" s="1">
        <f t="shared" si="85"/>
        <v>1</v>
      </c>
      <c r="AI226" s="1">
        <f t="shared" si="86"/>
        <v>0</v>
      </c>
    </row>
    <row r="227" spans="1:4094 4097:8191 8194:12288 12291:16384" s="1" customFormat="1" ht="14.25" customHeight="1" x14ac:dyDescent="0.25">
      <c r="A227" s="31">
        <v>0</v>
      </c>
      <c r="B227" s="31">
        <v>1</v>
      </c>
      <c r="C227" s="31">
        <v>6</v>
      </c>
      <c r="D227" s="32" t="s">
        <v>1260</v>
      </c>
      <c r="E227" s="32" t="s">
        <v>166</v>
      </c>
      <c r="F227" s="32" t="s">
        <v>1132</v>
      </c>
      <c r="G227" s="32" t="s">
        <v>1326</v>
      </c>
      <c r="H227" s="32" t="s">
        <v>352</v>
      </c>
      <c r="I227" s="31" t="s">
        <v>1133</v>
      </c>
      <c r="J227" s="31">
        <v>99</v>
      </c>
      <c r="K227" s="33" t="s">
        <v>698</v>
      </c>
      <c r="L227" s="33">
        <v>45</v>
      </c>
      <c r="M227" s="34" t="s">
        <v>39</v>
      </c>
      <c r="N227" s="34" t="s">
        <v>1727</v>
      </c>
      <c r="O227" s="35">
        <v>1</v>
      </c>
      <c r="P227" s="35"/>
      <c r="Q227" s="32"/>
      <c r="S227" s="1">
        <f t="shared" si="87"/>
        <v>0</v>
      </c>
      <c r="T227" s="1">
        <f t="shared" si="88"/>
        <v>0</v>
      </c>
      <c r="U227" s="1">
        <f t="shared" si="89"/>
        <v>0</v>
      </c>
      <c r="V227" s="1">
        <f t="shared" si="90"/>
        <v>0</v>
      </c>
      <c r="W227" s="1">
        <f t="shared" si="91"/>
        <v>0</v>
      </c>
      <c r="X227" s="1">
        <f t="shared" si="92"/>
        <v>0</v>
      </c>
      <c r="Y227" s="1">
        <f t="shared" si="93"/>
        <v>0</v>
      </c>
      <c r="Z227" s="1">
        <f t="shared" si="94"/>
        <v>0</v>
      </c>
      <c r="AA227" s="1">
        <f t="shared" si="95"/>
        <v>0</v>
      </c>
      <c r="AB227" s="1">
        <f t="shared" si="96"/>
        <v>0</v>
      </c>
      <c r="AD227" s="1">
        <f t="shared" si="97"/>
        <v>0</v>
      </c>
      <c r="AE227" s="1">
        <f t="shared" si="98"/>
        <v>1</v>
      </c>
      <c r="AF227" s="1">
        <f t="shared" si="83"/>
        <v>0</v>
      </c>
      <c r="AG227" s="1">
        <f t="shared" si="84"/>
        <v>1</v>
      </c>
      <c r="AH227" s="1">
        <f t="shared" si="85"/>
        <v>0</v>
      </c>
      <c r="AI227" s="1">
        <f t="shared" si="86"/>
        <v>1</v>
      </c>
    </row>
    <row r="228" spans="1:4094 4097:8191 8194:12288 12291:16384" s="1" customFormat="1" ht="14.25" customHeight="1" x14ac:dyDescent="0.25">
      <c r="A228" s="31">
        <v>0</v>
      </c>
      <c r="B228" s="31">
        <v>1</v>
      </c>
      <c r="C228" s="31">
        <v>6</v>
      </c>
      <c r="D228" s="32" t="s">
        <v>1775</v>
      </c>
      <c r="E228" s="32" t="s">
        <v>166</v>
      </c>
      <c r="F228" s="32" t="s">
        <v>1750</v>
      </c>
      <c r="G228" s="32"/>
      <c r="H228" s="32" t="s">
        <v>352</v>
      </c>
      <c r="I228" s="31" t="s">
        <v>1751</v>
      </c>
      <c r="J228" s="31"/>
      <c r="K228" s="33" t="s">
        <v>699</v>
      </c>
      <c r="L228" s="33"/>
      <c r="M228" s="34"/>
      <c r="N228" s="34" t="s">
        <v>1711</v>
      </c>
      <c r="O228" s="35">
        <v>1</v>
      </c>
      <c r="P228" s="35">
        <v>1</v>
      </c>
      <c r="Q228" s="32"/>
      <c r="S228" s="1">
        <f t="shared" si="87"/>
        <v>0</v>
      </c>
      <c r="T228" s="1">
        <f t="shared" si="88"/>
        <v>0</v>
      </c>
      <c r="U228" s="1">
        <f t="shared" si="89"/>
        <v>0</v>
      </c>
      <c r="V228" s="1">
        <f t="shared" si="90"/>
        <v>0</v>
      </c>
      <c r="W228" s="1">
        <f t="shared" si="91"/>
        <v>0</v>
      </c>
      <c r="X228" s="1">
        <f t="shared" si="92"/>
        <v>0</v>
      </c>
      <c r="Y228" s="1">
        <f t="shared" si="93"/>
        <v>0</v>
      </c>
      <c r="Z228" s="1">
        <f t="shared" si="94"/>
        <v>0</v>
      </c>
      <c r="AA228" s="1">
        <f t="shared" si="95"/>
        <v>0</v>
      </c>
      <c r="AB228" s="1">
        <f t="shared" si="96"/>
        <v>0</v>
      </c>
      <c r="AD228" s="1">
        <f t="shared" si="97"/>
        <v>1</v>
      </c>
      <c r="AE228" s="1">
        <f t="shared" si="98"/>
        <v>0</v>
      </c>
      <c r="AF228" s="1">
        <f t="shared" si="83"/>
        <v>1</v>
      </c>
      <c r="AG228" s="1">
        <f t="shared" si="84"/>
        <v>0</v>
      </c>
      <c r="AH228" s="1">
        <f t="shared" si="85"/>
        <v>1</v>
      </c>
      <c r="AI228" s="1">
        <f t="shared" si="86"/>
        <v>0</v>
      </c>
    </row>
    <row r="229" spans="1:4094 4097:8191 8194:12288 12291:16384" s="1" customFormat="1" ht="14.25" customHeight="1" x14ac:dyDescent="0.25">
      <c r="A229" s="31">
        <v>0</v>
      </c>
      <c r="B229" s="31">
        <v>1</v>
      </c>
      <c r="C229" s="31">
        <v>6</v>
      </c>
      <c r="D229" s="32" t="s">
        <v>1774</v>
      </c>
      <c r="E229" s="32" t="s">
        <v>166</v>
      </c>
      <c r="F229" s="32" t="s">
        <v>1752</v>
      </c>
      <c r="G229" s="32"/>
      <c r="H229" s="32" t="s">
        <v>352</v>
      </c>
      <c r="I229" s="31" t="s">
        <v>1753</v>
      </c>
      <c r="J229" s="31"/>
      <c r="K229" s="33" t="s">
        <v>699</v>
      </c>
      <c r="L229" s="33">
        <v>30</v>
      </c>
      <c r="M229" s="34" t="s">
        <v>1754</v>
      </c>
      <c r="N229" s="34" t="s">
        <v>1732</v>
      </c>
      <c r="O229" s="35">
        <v>1</v>
      </c>
      <c r="P229" s="35"/>
      <c r="Q229" s="32"/>
      <c r="S229" s="1">
        <f t="shared" si="87"/>
        <v>0</v>
      </c>
      <c r="T229" s="1">
        <f t="shared" si="88"/>
        <v>0</v>
      </c>
      <c r="U229" s="1">
        <f t="shared" si="89"/>
        <v>0</v>
      </c>
      <c r="V229" s="1">
        <f t="shared" si="90"/>
        <v>0</v>
      </c>
      <c r="W229" s="1">
        <f t="shared" si="91"/>
        <v>0</v>
      </c>
      <c r="X229" s="1">
        <f t="shared" si="92"/>
        <v>0</v>
      </c>
      <c r="Y229" s="1">
        <f t="shared" si="93"/>
        <v>0</v>
      </c>
      <c r="Z229" s="1">
        <f t="shared" si="94"/>
        <v>0</v>
      </c>
      <c r="AA229" s="1">
        <f t="shared" si="95"/>
        <v>0</v>
      </c>
      <c r="AB229" s="1">
        <f t="shared" si="96"/>
        <v>0</v>
      </c>
      <c r="AD229" s="1">
        <f t="shared" si="97"/>
        <v>0</v>
      </c>
      <c r="AE229" s="1">
        <f t="shared" si="98"/>
        <v>1</v>
      </c>
      <c r="AF229" s="1">
        <f t="shared" si="83"/>
        <v>0</v>
      </c>
      <c r="AG229" s="1">
        <f t="shared" si="84"/>
        <v>1</v>
      </c>
      <c r="AH229" s="1">
        <f t="shared" si="85"/>
        <v>0</v>
      </c>
      <c r="AI229" s="1">
        <f t="shared" si="86"/>
        <v>1</v>
      </c>
    </row>
    <row r="230" spans="1:4094 4097:8191 8194:12288 12291:16384" s="1" customFormat="1" ht="14.25" customHeight="1" x14ac:dyDescent="0.25">
      <c r="A230" s="31">
        <v>0</v>
      </c>
      <c r="B230" s="31">
        <v>1</v>
      </c>
      <c r="C230" s="31">
        <v>6</v>
      </c>
      <c r="D230" s="32" t="s">
        <v>1001</v>
      </c>
      <c r="E230" s="32" t="s">
        <v>166</v>
      </c>
      <c r="F230" s="32" t="s">
        <v>1002</v>
      </c>
      <c r="G230" s="32" t="s">
        <v>1090</v>
      </c>
      <c r="H230" s="32" t="s">
        <v>352</v>
      </c>
      <c r="I230" s="31" t="s">
        <v>1003</v>
      </c>
      <c r="J230" s="31">
        <v>99</v>
      </c>
      <c r="K230" s="33" t="s">
        <v>951</v>
      </c>
      <c r="L230" s="33" t="s">
        <v>39</v>
      </c>
      <c r="M230" s="34" t="s">
        <v>39</v>
      </c>
      <c r="N230" s="34" t="s">
        <v>1711</v>
      </c>
      <c r="O230" s="35">
        <v>1</v>
      </c>
      <c r="P230" s="35">
        <v>1</v>
      </c>
      <c r="Q230" s="32"/>
      <c r="S230" s="1">
        <f t="shared" si="87"/>
        <v>0</v>
      </c>
      <c r="T230" s="1">
        <f t="shared" si="88"/>
        <v>0</v>
      </c>
      <c r="U230" s="1">
        <f t="shared" si="89"/>
        <v>0</v>
      </c>
      <c r="V230" s="1">
        <f t="shared" si="90"/>
        <v>0</v>
      </c>
      <c r="W230" s="1">
        <f t="shared" si="91"/>
        <v>0</v>
      </c>
      <c r="X230" s="1">
        <f t="shared" si="92"/>
        <v>0</v>
      </c>
      <c r="Y230" s="1">
        <f t="shared" si="93"/>
        <v>0</v>
      </c>
      <c r="Z230" s="1">
        <f t="shared" si="94"/>
        <v>0</v>
      </c>
      <c r="AA230" s="1">
        <f t="shared" si="95"/>
        <v>0</v>
      </c>
      <c r="AB230" s="1">
        <f t="shared" si="96"/>
        <v>0</v>
      </c>
      <c r="AD230" s="1">
        <f t="shared" si="97"/>
        <v>1</v>
      </c>
      <c r="AE230" s="1">
        <f t="shared" si="98"/>
        <v>0</v>
      </c>
      <c r="AF230" s="1">
        <f t="shared" si="83"/>
        <v>1</v>
      </c>
      <c r="AG230" s="1">
        <f t="shared" si="84"/>
        <v>0</v>
      </c>
      <c r="AH230" s="1">
        <f t="shared" si="85"/>
        <v>1</v>
      </c>
      <c r="AI230" s="1">
        <f t="shared" si="86"/>
        <v>0</v>
      </c>
    </row>
    <row r="231" spans="1:4094 4097:8191 8194:12288 12291:16384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93</v>
      </c>
      <c r="E231" s="32" t="s">
        <v>168</v>
      </c>
      <c r="F231" s="32" t="s">
        <v>287</v>
      </c>
      <c r="G231" s="32" t="s">
        <v>193</v>
      </c>
      <c r="H231" s="32" t="s">
        <v>352</v>
      </c>
      <c r="I231" s="31" t="s">
        <v>439</v>
      </c>
      <c r="J231" s="31">
        <v>9</v>
      </c>
      <c r="K231" s="33" t="s">
        <v>698</v>
      </c>
      <c r="L231" s="33" t="s">
        <v>690</v>
      </c>
      <c r="M231" s="34" t="s">
        <v>702</v>
      </c>
      <c r="N231" s="34" t="s">
        <v>1732</v>
      </c>
      <c r="O231" s="35">
        <v>1</v>
      </c>
      <c r="P231" s="35"/>
      <c r="Q231" s="32"/>
      <c r="S231" s="1">
        <f t="shared" si="87"/>
        <v>0</v>
      </c>
      <c r="T231" s="1">
        <f t="shared" si="88"/>
        <v>0</v>
      </c>
      <c r="U231" s="1">
        <f t="shared" si="89"/>
        <v>0</v>
      </c>
      <c r="V231" s="1">
        <f t="shared" si="90"/>
        <v>0</v>
      </c>
      <c r="W231" s="1">
        <f t="shared" si="91"/>
        <v>0</v>
      </c>
      <c r="X231" s="1">
        <f t="shared" si="92"/>
        <v>0</v>
      </c>
      <c r="Y231" s="1">
        <f t="shared" si="93"/>
        <v>0</v>
      </c>
      <c r="Z231" s="1">
        <f t="shared" si="94"/>
        <v>0</v>
      </c>
      <c r="AA231" s="1">
        <f t="shared" si="95"/>
        <v>1</v>
      </c>
      <c r="AB231" s="1">
        <f t="shared" si="96"/>
        <v>0</v>
      </c>
      <c r="AD231" s="1">
        <f t="shared" si="97"/>
        <v>0</v>
      </c>
      <c r="AE231" s="1">
        <f t="shared" si="98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4094 4097:8191 8194:12288 12291:16384" s="1" customFormat="1" ht="14.25" customHeight="1" x14ac:dyDescent="0.25">
      <c r="A232" s="38">
        <v>0</v>
      </c>
      <c r="B232" s="38">
        <v>1</v>
      </c>
      <c r="C232" s="38">
        <v>6</v>
      </c>
      <c r="D232" s="54" t="s">
        <v>1593</v>
      </c>
      <c r="E232" s="39" t="s">
        <v>1594</v>
      </c>
      <c r="F232" s="39" t="s">
        <v>1595</v>
      </c>
      <c r="G232" s="39" t="s">
        <v>191</v>
      </c>
      <c r="H232" s="39" t="s">
        <v>352</v>
      </c>
      <c r="I232" s="38" t="s">
        <v>1596</v>
      </c>
      <c r="J232" s="38">
        <v>10</v>
      </c>
      <c r="K232" s="40" t="s">
        <v>943</v>
      </c>
      <c r="L232" s="40" t="s">
        <v>683</v>
      </c>
      <c r="M232" s="41" t="s">
        <v>1597</v>
      </c>
      <c r="N232" s="42"/>
      <c r="O232" s="43"/>
      <c r="P232" s="43">
        <v>1</v>
      </c>
      <c r="Q232" s="39"/>
      <c r="S232" s="1">
        <f t="shared" si="87"/>
        <v>0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1</v>
      </c>
      <c r="AD232" s="1">
        <f t="shared" si="97"/>
        <v>0</v>
      </c>
      <c r="AE232" s="1">
        <f t="shared" si="98"/>
        <v>0</v>
      </c>
      <c r="AF232" s="1">
        <f t="shared" si="83"/>
        <v>0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4094 4097:8191 8194:12288 12291:16384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94</v>
      </c>
      <c r="E233" s="32" t="s">
        <v>164</v>
      </c>
      <c r="F233" s="32" t="s">
        <v>288</v>
      </c>
      <c r="G233" s="32" t="s">
        <v>289</v>
      </c>
      <c r="H233" s="32" t="s">
        <v>352</v>
      </c>
      <c r="I233" s="31" t="s">
        <v>440</v>
      </c>
      <c r="J233" s="31">
        <v>7</v>
      </c>
      <c r="K233" s="33" t="s">
        <v>698</v>
      </c>
      <c r="L233" s="33" t="s">
        <v>690</v>
      </c>
      <c r="M233" s="34" t="s">
        <v>694</v>
      </c>
      <c r="N233" s="34" t="s">
        <v>1733</v>
      </c>
      <c r="O233" s="35">
        <v>1</v>
      </c>
      <c r="P233" s="35"/>
      <c r="Q233" s="32"/>
      <c r="R233" s="15"/>
      <c r="S233" s="1">
        <f t="shared" si="87"/>
        <v>0</v>
      </c>
      <c r="T233" s="1">
        <f t="shared" si="88"/>
        <v>0</v>
      </c>
      <c r="U233" s="1">
        <f t="shared" si="89"/>
        <v>0</v>
      </c>
      <c r="V233" s="1">
        <f t="shared" si="90"/>
        <v>0</v>
      </c>
      <c r="W233" s="1">
        <f t="shared" si="91"/>
        <v>0</v>
      </c>
      <c r="X233" s="1">
        <f t="shared" si="92"/>
        <v>0</v>
      </c>
      <c r="Y233" s="1">
        <f t="shared" si="93"/>
        <v>1</v>
      </c>
      <c r="Z233" s="1">
        <f t="shared" si="94"/>
        <v>0</v>
      </c>
      <c r="AA233" s="1">
        <f t="shared" si="95"/>
        <v>0</v>
      </c>
      <c r="AB233" s="1">
        <f t="shared" si="96"/>
        <v>0</v>
      </c>
      <c r="AD233" s="1">
        <f t="shared" si="97"/>
        <v>0</v>
      </c>
      <c r="AE233" s="1">
        <f t="shared" si="98"/>
        <v>1</v>
      </c>
      <c r="AF233" s="1">
        <f t="shared" si="83"/>
        <v>0</v>
      </c>
      <c r="AG233" s="1">
        <f t="shared" si="84"/>
        <v>1</v>
      </c>
      <c r="AH233" s="1">
        <f t="shared" si="85"/>
        <v>0</v>
      </c>
      <c r="AI233" s="1">
        <f t="shared" si="86"/>
        <v>1</v>
      </c>
      <c r="AJ233" s="15"/>
      <c r="AK233" s="15"/>
      <c r="AL233" s="16"/>
      <c r="AM233" s="16"/>
      <c r="AN233" s="16"/>
      <c r="AO233" s="16"/>
      <c r="AP233" s="16"/>
      <c r="AQ233" s="15"/>
      <c r="AR233" s="15"/>
      <c r="AS233" s="10"/>
      <c r="AT233" s="10"/>
      <c r="AU233" s="19"/>
      <c r="AV233" s="19"/>
      <c r="AY233" s="16"/>
      <c r="AZ233" s="15"/>
      <c r="BA233" s="15"/>
      <c r="BB233" s="15"/>
      <c r="BC233" s="16"/>
      <c r="BD233" s="16"/>
      <c r="BE233" s="16"/>
      <c r="BF233" s="16"/>
      <c r="BG233" s="16"/>
      <c r="BH233" s="15"/>
      <c r="BI233" s="15"/>
      <c r="BJ233" s="10"/>
      <c r="BK233" s="10"/>
      <c r="BL233" s="19"/>
      <c r="BM233" s="19"/>
      <c r="BP233" s="16"/>
      <c r="BQ233" s="15"/>
      <c r="BR233" s="15"/>
      <c r="BS233" s="15"/>
      <c r="BT233" s="16"/>
      <c r="BU233" s="16"/>
      <c r="BV233" s="16"/>
      <c r="BW233" s="16"/>
      <c r="BX233" s="16"/>
      <c r="BY233" s="15"/>
      <c r="BZ233" s="15"/>
      <c r="CA233" s="10"/>
      <c r="CB233" s="10"/>
      <c r="CC233" s="19"/>
      <c r="CD233" s="19"/>
      <c r="CG233" s="16"/>
      <c r="CH233" s="15"/>
      <c r="CI233" s="15"/>
      <c r="CJ233" s="15"/>
      <c r="CK233" s="16"/>
      <c r="CL233" s="16"/>
      <c r="CM233" s="16"/>
      <c r="CN233" s="16"/>
      <c r="CO233" s="16"/>
      <c r="CP233" s="15"/>
      <c r="CQ233" s="15"/>
      <c r="CR233" s="10"/>
      <c r="CS233" s="10"/>
      <c r="CT233" s="19"/>
      <c r="CU233" s="19"/>
      <c r="CX233" s="16"/>
      <c r="CY233" s="15"/>
      <c r="CZ233" s="15"/>
      <c r="DA233" s="15"/>
      <c r="DB233" s="16"/>
      <c r="DC233" s="16"/>
      <c r="DD233" s="16"/>
      <c r="DE233" s="16"/>
      <c r="DF233" s="16"/>
      <c r="DG233" s="15"/>
      <c r="DH233" s="15"/>
      <c r="DI233" s="10"/>
      <c r="DJ233" s="10"/>
      <c r="DK233" s="19"/>
      <c r="DL233" s="19"/>
      <c r="DO233" s="16"/>
      <c r="DP233" s="15"/>
      <c r="DQ233" s="15"/>
      <c r="DR233" s="15"/>
      <c r="DS233" s="16"/>
      <c r="DT233" s="16"/>
      <c r="DU233" s="16"/>
      <c r="DV233" s="16"/>
      <c r="DW233" s="16"/>
      <c r="DX233" s="15"/>
      <c r="DY233" s="15"/>
      <c r="DZ233" s="10"/>
      <c r="EA233" s="10"/>
      <c r="EB233" s="19"/>
      <c r="EC233" s="19"/>
      <c r="EF233" s="16"/>
      <c r="EG233" s="15"/>
      <c r="EH233" s="15"/>
      <c r="EI233" s="15"/>
      <c r="EJ233" s="16"/>
      <c r="EK233" s="16"/>
      <c r="EL233" s="16"/>
      <c r="EM233" s="16"/>
      <c r="EN233" s="16"/>
      <c r="EO233" s="15"/>
      <c r="EP233" s="15"/>
      <c r="EQ233" s="10"/>
      <c r="ER233" s="10"/>
      <c r="ES233" s="19"/>
      <c r="ET233" s="19"/>
      <c r="EW233" s="16"/>
      <c r="EX233" s="15"/>
      <c r="EY233" s="15"/>
      <c r="EZ233" s="15"/>
      <c r="FA233" s="16"/>
      <c r="FB233" s="16"/>
      <c r="FC233" s="16"/>
      <c r="FD233" s="16"/>
      <c r="FE233" s="16"/>
      <c r="FF233" s="15"/>
      <c r="FG233" s="15"/>
      <c r="FH233" s="10"/>
      <c r="FI233" s="10"/>
      <c r="FJ233" s="19"/>
      <c r="FK233" s="19"/>
      <c r="FN233" s="16"/>
      <c r="FO233" s="15"/>
      <c r="FP233" s="15"/>
      <c r="FQ233" s="15"/>
      <c r="FR233" s="16"/>
      <c r="FS233" s="16"/>
      <c r="FT233" s="16"/>
      <c r="FU233" s="16"/>
      <c r="FV233" s="16"/>
      <c r="FW233" s="15"/>
      <c r="FX233" s="15"/>
      <c r="FY233" s="10"/>
      <c r="FZ233" s="10"/>
      <c r="GA233" s="19"/>
      <c r="GB233" s="19"/>
      <c r="GE233" s="16"/>
      <c r="GF233" s="15"/>
      <c r="GG233" s="15"/>
      <c r="GH233" s="15"/>
      <c r="GI233" s="16"/>
      <c r="GJ233" s="16"/>
      <c r="GK233" s="16"/>
      <c r="GL233" s="16"/>
      <c r="GM233" s="16"/>
      <c r="GN233" s="15"/>
      <c r="GO233" s="15"/>
      <c r="GP233" s="10"/>
      <c r="GQ233" s="10"/>
      <c r="GR233" s="19"/>
      <c r="GS233" s="19"/>
      <c r="GV233" s="16"/>
      <c r="GW233" s="15"/>
      <c r="GX233" s="15"/>
      <c r="GY233" s="15"/>
      <c r="GZ233" s="16"/>
      <c r="HA233" s="16"/>
      <c r="HB233" s="16"/>
      <c r="HC233" s="16"/>
      <c r="HD233" s="16"/>
      <c r="HE233" s="15"/>
      <c r="HF233" s="15"/>
      <c r="HG233" s="10"/>
      <c r="HH233" s="10"/>
      <c r="HI233" s="19"/>
      <c r="HJ233" s="19"/>
      <c r="HM233" s="16"/>
      <c r="HN233" s="15"/>
      <c r="HO233" s="15"/>
      <c r="HP233" s="15"/>
      <c r="HQ233" s="16"/>
      <c r="HR233" s="16"/>
      <c r="HS233" s="16"/>
      <c r="HT233" s="16"/>
      <c r="HU233" s="16"/>
      <c r="HV233" s="15"/>
      <c r="HW233" s="15"/>
      <c r="HX233" s="10"/>
      <c r="HY233" s="10"/>
      <c r="HZ233" s="19"/>
      <c r="IA233" s="19"/>
      <c r="ID233" s="16"/>
      <c r="IE233" s="15"/>
      <c r="IF233" s="15"/>
      <c r="IG233" s="15"/>
      <c r="IH233" s="16"/>
      <c r="II233" s="16"/>
      <c r="IJ233" s="16"/>
      <c r="IK233" s="16"/>
      <c r="IL233" s="16"/>
      <c r="IM233" s="15"/>
      <c r="IN233" s="15"/>
      <c r="IO233" s="10"/>
      <c r="IP233" s="10"/>
      <c r="IQ233" s="19"/>
      <c r="IR233" s="19"/>
      <c r="IU233" s="16"/>
      <c r="IV233" s="15"/>
      <c r="IW233" s="15"/>
      <c r="IX233" s="15"/>
      <c r="IY233" s="16"/>
      <c r="IZ233" s="16"/>
      <c r="JA233" s="16"/>
      <c r="JB233" s="16"/>
      <c r="JC233" s="16"/>
      <c r="JD233" s="15"/>
      <c r="JE233" s="15"/>
      <c r="JF233" s="10"/>
      <c r="JG233" s="10"/>
      <c r="JH233" s="19"/>
      <c r="JI233" s="19"/>
      <c r="JL233" s="16"/>
      <c r="JM233" s="15"/>
      <c r="JN233" s="15"/>
      <c r="JO233" s="15"/>
      <c r="JP233" s="16"/>
      <c r="JQ233" s="16"/>
      <c r="JR233" s="16"/>
      <c r="JS233" s="16"/>
      <c r="JT233" s="16"/>
      <c r="JU233" s="15"/>
      <c r="JV233" s="15"/>
      <c r="JW233" s="10"/>
      <c r="JX233" s="10"/>
      <c r="JY233" s="19"/>
      <c r="JZ233" s="19"/>
      <c r="KC233" s="16"/>
      <c r="KD233" s="15"/>
      <c r="KE233" s="15"/>
      <c r="KF233" s="15"/>
      <c r="KG233" s="16"/>
      <c r="KH233" s="16"/>
      <c r="KI233" s="16"/>
      <c r="KJ233" s="16"/>
      <c r="KK233" s="16"/>
      <c r="KL233" s="15"/>
      <c r="KM233" s="15"/>
      <c r="KN233" s="10"/>
      <c r="KO233" s="10"/>
      <c r="KP233" s="19"/>
      <c r="KQ233" s="19"/>
      <c r="KT233" s="16"/>
      <c r="KU233" s="15"/>
      <c r="KV233" s="15"/>
      <c r="KW233" s="15"/>
      <c r="KX233" s="16"/>
      <c r="KY233" s="16"/>
      <c r="KZ233" s="16"/>
      <c r="LA233" s="16"/>
      <c r="LB233" s="16"/>
      <c r="LC233" s="15"/>
      <c r="LD233" s="15"/>
      <c r="LE233" s="10"/>
      <c r="LF233" s="10"/>
      <c r="LG233" s="19"/>
      <c r="LH233" s="19"/>
      <c r="LK233" s="16"/>
      <c r="LL233" s="15"/>
      <c r="LM233" s="15"/>
      <c r="LN233" s="15"/>
      <c r="LO233" s="16"/>
      <c r="LP233" s="16"/>
      <c r="LQ233" s="16"/>
      <c r="LR233" s="16"/>
      <c r="LS233" s="16"/>
      <c r="LT233" s="15"/>
      <c r="LU233" s="15"/>
      <c r="LV233" s="10"/>
      <c r="LW233" s="10"/>
      <c r="LX233" s="19"/>
      <c r="LY233" s="19"/>
      <c r="MB233" s="16"/>
      <c r="MC233" s="15"/>
      <c r="MD233" s="15"/>
      <c r="ME233" s="15"/>
      <c r="MF233" s="16"/>
      <c r="MG233" s="16"/>
      <c r="MH233" s="16"/>
      <c r="MI233" s="16"/>
      <c r="MJ233" s="16"/>
      <c r="MK233" s="15"/>
      <c r="ML233" s="15"/>
      <c r="MM233" s="10"/>
      <c r="MN233" s="10"/>
      <c r="MO233" s="19"/>
      <c r="MP233" s="19"/>
      <c r="MS233" s="16"/>
      <c r="MT233" s="15"/>
      <c r="MU233" s="15"/>
      <c r="MV233" s="15"/>
      <c r="MW233" s="16"/>
      <c r="MX233" s="16"/>
      <c r="MY233" s="16"/>
      <c r="MZ233" s="16"/>
      <c r="NA233" s="16"/>
      <c r="NB233" s="15"/>
      <c r="NC233" s="15"/>
      <c r="ND233" s="10"/>
      <c r="NE233" s="10"/>
      <c r="NF233" s="19"/>
      <c r="NG233" s="19"/>
      <c r="NJ233" s="16"/>
      <c r="NK233" s="15"/>
      <c r="NL233" s="15"/>
      <c r="NM233" s="15"/>
      <c r="NN233" s="16"/>
      <c r="NO233" s="16"/>
      <c r="NP233" s="16"/>
      <c r="NQ233" s="16"/>
      <c r="NR233" s="16"/>
      <c r="NS233" s="15"/>
      <c r="NT233" s="15"/>
      <c r="NU233" s="10"/>
      <c r="NV233" s="10"/>
      <c r="NW233" s="19"/>
      <c r="NX233" s="19"/>
      <c r="OA233" s="16"/>
      <c r="OB233" s="15"/>
      <c r="OC233" s="15"/>
      <c r="OD233" s="15"/>
      <c r="OE233" s="16"/>
      <c r="OF233" s="16"/>
      <c r="OG233" s="16"/>
      <c r="OH233" s="16"/>
      <c r="OI233" s="16"/>
      <c r="OJ233" s="15"/>
      <c r="OK233" s="15"/>
      <c r="OL233" s="10"/>
      <c r="OM233" s="10"/>
      <c r="ON233" s="19"/>
      <c r="OO233" s="19"/>
      <c r="OR233" s="16"/>
      <c r="OS233" s="15"/>
      <c r="OT233" s="15"/>
      <c r="OU233" s="15"/>
      <c r="OV233" s="16"/>
      <c r="OW233" s="16"/>
      <c r="OX233" s="16"/>
      <c r="OY233" s="16"/>
      <c r="OZ233" s="16"/>
      <c r="PA233" s="15"/>
      <c r="PB233" s="15"/>
      <c r="PC233" s="10"/>
      <c r="PD233" s="10"/>
      <c r="PE233" s="19"/>
      <c r="PF233" s="19"/>
      <c r="PI233" s="16"/>
      <c r="PJ233" s="15"/>
      <c r="PK233" s="15"/>
      <c r="PL233" s="15"/>
      <c r="PM233" s="16"/>
      <c r="PN233" s="16"/>
      <c r="PO233" s="16"/>
      <c r="PP233" s="16"/>
      <c r="PQ233" s="16"/>
      <c r="PR233" s="15"/>
      <c r="PS233" s="15"/>
      <c r="PT233" s="10"/>
      <c r="PU233" s="10"/>
      <c r="PV233" s="19"/>
      <c r="PW233" s="19"/>
      <c r="PZ233" s="16"/>
      <c r="QA233" s="15"/>
      <c r="QB233" s="15"/>
      <c r="QC233" s="15"/>
      <c r="QD233" s="16"/>
      <c r="QE233" s="16"/>
      <c r="QF233" s="16"/>
      <c r="QG233" s="16"/>
      <c r="QH233" s="16"/>
      <c r="QI233" s="15"/>
      <c r="QJ233" s="15"/>
      <c r="QK233" s="10"/>
      <c r="QL233" s="10"/>
      <c r="QM233" s="19"/>
      <c r="QN233" s="19"/>
      <c r="QQ233" s="16"/>
      <c r="QR233" s="15"/>
      <c r="QS233" s="15"/>
      <c r="QT233" s="15"/>
      <c r="QU233" s="16"/>
      <c r="QV233" s="16"/>
      <c r="QW233" s="16"/>
      <c r="QX233" s="16"/>
      <c r="QY233" s="16"/>
      <c r="QZ233" s="15"/>
      <c r="RA233" s="15"/>
      <c r="RB233" s="10"/>
      <c r="RC233" s="10"/>
      <c r="RD233" s="19"/>
      <c r="RE233" s="19"/>
      <c r="RH233" s="16"/>
      <c r="RI233" s="15"/>
      <c r="RJ233" s="15"/>
      <c r="RK233" s="15"/>
      <c r="RL233" s="16"/>
      <c r="RM233" s="16"/>
      <c r="RN233" s="16"/>
      <c r="RO233" s="16"/>
      <c r="RP233" s="16"/>
      <c r="RQ233" s="15"/>
      <c r="RR233" s="15"/>
      <c r="RS233" s="10"/>
      <c r="RT233" s="10"/>
      <c r="RU233" s="19"/>
      <c r="RV233" s="19"/>
      <c r="RY233" s="16"/>
      <c r="RZ233" s="15"/>
      <c r="SA233" s="15"/>
      <c r="SB233" s="15"/>
      <c r="SC233" s="16"/>
      <c r="SD233" s="16"/>
      <c r="SE233" s="16"/>
      <c r="SF233" s="16"/>
      <c r="SG233" s="16"/>
      <c r="SH233" s="15"/>
      <c r="SI233" s="15"/>
      <c r="SJ233" s="10"/>
      <c r="SK233" s="10"/>
      <c r="SL233" s="19"/>
      <c r="SM233" s="19"/>
      <c r="SP233" s="16"/>
      <c r="SQ233" s="15"/>
      <c r="SR233" s="15"/>
      <c r="SS233" s="15"/>
      <c r="ST233" s="16"/>
      <c r="SU233" s="16"/>
      <c r="SV233" s="16"/>
      <c r="SW233" s="16"/>
      <c r="SX233" s="16"/>
      <c r="SY233" s="15"/>
      <c r="SZ233" s="15"/>
      <c r="TA233" s="10"/>
      <c r="TB233" s="10"/>
      <c r="TC233" s="19"/>
      <c r="TD233" s="19"/>
      <c r="TG233" s="16"/>
      <c r="TH233" s="15"/>
      <c r="TI233" s="15"/>
      <c r="TJ233" s="15"/>
      <c r="TK233" s="16"/>
      <c r="TL233" s="16"/>
      <c r="TM233" s="16"/>
      <c r="TN233" s="16"/>
      <c r="TO233" s="16"/>
      <c r="TP233" s="15"/>
      <c r="TQ233" s="15"/>
      <c r="TR233" s="10"/>
      <c r="TS233" s="10"/>
      <c r="TT233" s="19"/>
      <c r="TU233" s="19"/>
      <c r="TX233" s="16"/>
      <c r="TY233" s="15"/>
      <c r="TZ233" s="15"/>
      <c r="UA233" s="15"/>
      <c r="UB233" s="16"/>
      <c r="UC233" s="16"/>
      <c r="UD233" s="16"/>
      <c r="UE233" s="16"/>
      <c r="UF233" s="16"/>
      <c r="UG233" s="15"/>
      <c r="UH233" s="15"/>
      <c r="UI233" s="10"/>
      <c r="UJ233" s="10"/>
      <c r="UK233" s="19"/>
      <c r="UL233" s="19"/>
      <c r="UO233" s="16"/>
      <c r="UP233" s="15"/>
      <c r="UQ233" s="15"/>
      <c r="UR233" s="15"/>
      <c r="US233" s="16"/>
      <c r="UT233" s="16"/>
      <c r="UU233" s="16"/>
      <c r="UV233" s="16"/>
      <c r="UW233" s="16"/>
      <c r="UX233" s="15"/>
      <c r="UY233" s="15"/>
      <c r="UZ233" s="10"/>
      <c r="VA233" s="10"/>
      <c r="VB233" s="19"/>
      <c r="VC233" s="19"/>
      <c r="VF233" s="16"/>
      <c r="VG233" s="15"/>
      <c r="VH233" s="15"/>
      <c r="VI233" s="15"/>
      <c r="VJ233" s="16"/>
      <c r="VK233" s="16"/>
      <c r="VL233" s="16"/>
      <c r="VM233" s="16"/>
      <c r="VN233" s="16"/>
      <c r="VO233" s="15"/>
      <c r="VP233" s="15"/>
      <c r="VQ233" s="10"/>
      <c r="VR233" s="10"/>
      <c r="VS233" s="19"/>
      <c r="VT233" s="19"/>
      <c r="VW233" s="16"/>
      <c r="VX233" s="15"/>
      <c r="VY233" s="15"/>
      <c r="VZ233" s="15"/>
      <c r="WA233" s="16"/>
      <c r="WB233" s="16"/>
      <c r="WC233" s="16"/>
      <c r="WD233" s="16"/>
      <c r="WE233" s="16"/>
      <c r="WF233" s="15"/>
      <c r="WG233" s="15"/>
      <c r="WH233" s="10"/>
      <c r="WI233" s="10"/>
      <c r="WJ233" s="19"/>
      <c r="WK233" s="19"/>
      <c r="WN233" s="16"/>
      <c r="WO233" s="15"/>
      <c r="WP233" s="15"/>
      <c r="WQ233" s="15"/>
      <c r="WR233" s="16"/>
      <c r="WS233" s="16"/>
      <c r="WT233" s="16"/>
      <c r="WU233" s="16"/>
      <c r="WV233" s="16"/>
      <c r="WW233" s="15"/>
      <c r="WX233" s="15"/>
      <c r="WY233" s="10"/>
      <c r="WZ233" s="10"/>
      <c r="XA233" s="19"/>
      <c r="XB233" s="19"/>
      <c r="XE233" s="16"/>
      <c r="XF233" s="15"/>
      <c r="XG233" s="15"/>
      <c r="XH233" s="15"/>
      <c r="XI233" s="16"/>
      <c r="XJ233" s="16"/>
      <c r="XK233" s="16"/>
      <c r="XL233" s="16"/>
      <c r="XM233" s="16"/>
      <c r="XN233" s="15"/>
      <c r="XO233" s="15"/>
      <c r="XP233" s="10"/>
      <c r="XQ233" s="10"/>
      <c r="XR233" s="19"/>
      <c r="XS233" s="19"/>
      <c r="XV233" s="16"/>
      <c r="XW233" s="15"/>
      <c r="XX233" s="15"/>
      <c r="XY233" s="15"/>
      <c r="XZ233" s="16"/>
      <c r="YA233" s="16"/>
      <c r="YB233" s="16"/>
      <c r="YC233" s="16"/>
      <c r="YD233" s="16"/>
      <c r="YE233" s="15"/>
      <c r="YF233" s="15"/>
      <c r="YG233" s="10"/>
      <c r="YH233" s="10"/>
      <c r="YI233" s="19"/>
      <c r="YJ233" s="19"/>
      <c r="YM233" s="16"/>
      <c r="YN233" s="15"/>
      <c r="YO233" s="15"/>
      <c r="YP233" s="15"/>
      <c r="YQ233" s="16"/>
      <c r="YR233" s="16"/>
      <c r="YS233" s="16"/>
      <c r="YT233" s="16"/>
      <c r="YU233" s="16"/>
      <c r="YV233" s="15"/>
      <c r="YW233" s="15"/>
      <c r="YX233" s="10"/>
      <c r="YY233" s="10"/>
      <c r="YZ233" s="19"/>
      <c r="ZA233" s="19"/>
      <c r="ZD233" s="16"/>
      <c r="ZE233" s="15"/>
      <c r="ZF233" s="15"/>
      <c r="ZG233" s="15"/>
      <c r="ZH233" s="16"/>
      <c r="ZI233" s="16"/>
      <c r="ZJ233" s="16"/>
      <c r="ZK233" s="16"/>
      <c r="ZL233" s="16"/>
      <c r="ZM233" s="15"/>
      <c r="ZN233" s="15"/>
      <c r="ZO233" s="10"/>
      <c r="ZP233" s="10"/>
      <c r="ZQ233" s="19"/>
      <c r="ZR233" s="19"/>
      <c r="ZU233" s="16"/>
      <c r="ZV233" s="15"/>
      <c r="ZW233" s="15"/>
      <c r="ZX233" s="15"/>
      <c r="ZY233" s="16"/>
      <c r="ZZ233" s="16"/>
      <c r="AAA233" s="16"/>
      <c r="AAB233" s="16"/>
      <c r="AAC233" s="16"/>
      <c r="AAD233" s="15"/>
      <c r="AAE233" s="15"/>
      <c r="AAF233" s="10"/>
      <c r="AAG233" s="10"/>
      <c r="AAH233" s="19"/>
      <c r="AAI233" s="19"/>
      <c r="AAL233" s="16"/>
      <c r="AAM233" s="15"/>
      <c r="AAN233" s="15"/>
      <c r="AAO233" s="15"/>
      <c r="AAP233" s="16"/>
      <c r="AAQ233" s="16"/>
      <c r="AAR233" s="16"/>
      <c r="AAS233" s="16"/>
      <c r="AAT233" s="16"/>
      <c r="AAU233" s="15"/>
      <c r="AAV233" s="15"/>
      <c r="AAW233" s="10"/>
      <c r="AAX233" s="10"/>
      <c r="AAY233" s="19"/>
      <c r="AAZ233" s="19"/>
      <c r="ABC233" s="16"/>
      <c r="ABD233" s="15"/>
      <c r="ABE233" s="15"/>
      <c r="ABF233" s="15"/>
      <c r="ABG233" s="16"/>
      <c r="ABH233" s="16"/>
      <c r="ABI233" s="16"/>
      <c r="ABJ233" s="16"/>
      <c r="ABK233" s="16"/>
      <c r="ABL233" s="15"/>
      <c r="ABM233" s="15"/>
      <c r="ABN233" s="10"/>
      <c r="ABO233" s="10"/>
      <c r="ABP233" s="19"/>
      <c r="ABQ233" s="19"/>
      <c r="ABT233" s="16"/>
      <c r="ABU233" s="15"/>
      <c r="ABV233" s="15"/>
      <c r="ABW233" s="15"/>
      <c r="ABX233" s="16"/>
      <c r="ABY233" s="16"/>
      <c r="ABZ233" s="16"/>
      <c r="ACA233" s="16"/>
      <c r="ACB233" s="16"/>
      <c r="ACC233" s="15"/>
      <c r="ACD233" s="15"/>
      <c r="ACE233" s="10"/>
      <c r="ACF233" s="10"/>
      <c r="ACG233" s="19"/>
      <c r="ACH233" s="19"/>
      <c r="ACK233" s="16"/>
      <c r="ACL233" s="15"/>
      <c r="ACM233" s="15"/>
      <c r="ACN233" s="15"/>
      <c r="ACO233" s="16"/>
      <c r="ACP233" s="16"/>
      <c r="ACQ233" s="16"/>
      <c r="ACR233" s="16"/>
      <c r="ACS233" s="16"/>
      <c r="ACT233" s="15"/>
      <c r="ACU233" s="15"/>
      <c r="ACV233" s="10"/>
      <c r="ACW233" s="10"/>
      <c r="ACX233" s="19"/>
      <c r="ACY233" s="19"/>
      <c r="ADB233" s="16"/>
      <c r="ADC233" s="15"/>
      <c r="ADD233" s="15"/>
      <c r="ADE233" s="15"/>
      <c r="ADF233" s="16"/>
      <c r="ADG233" s="16"/>
      <c r="ADH233" s="16"/>
      <c r="ADI233" s="16"/>
      <c r="ADJ233" s="16"/>
      <c r="ADK233" s="15"/>
      <c r="ADL233" s="15"/>
      <c r="ADM233" s="10"/>
      <c r="ADN233" s="10"/>
      <c r="ADO233" s="19"/>
      <c r="ADP233" s="19"/>
      <c r="ADS233" s="16"/>
      <c r="ADT233" s="15"/>
      <c r="ADU233" s="15"/>
      <c r="ADV233" s="15"/>
      <c r="ADW233" s="16"/>
      <c r="ADX233" s="16"/>
      <c r="ADY233" s="16"/>
      <c r="ADZ233" s="16"/>
      <c r="AEA233" s="16"/>
      <c r="AEB233" s="15"/>
      <c r="AEC233" s="15"/>
      <c r="AED233" s="10"/>
      <c r="AEE233" s="10"/>
      <c r="AEF233" s="19"/>
      <c r="AEG233" s="19"/>
      <c r="AEJ233" s="16"/>
      <c r="AEK233" s="15"/>
      <c r="AEL233" s="15"/>
      <c r="AEM233" s="15"/>
      <c r="AEN233" s="16"/>
      <c r="AEO233" s="16"/>
      <c r="AEP233" s="16"/>
      <c r="AEQ233" s="16"/>
      <c r="AER233" s="16"/>
      <c r="AES233" s="15"/>
      <c r="AET233" s="15"/>
      <c r="AEU233" s="10"/>
      <c r="AEV233" s="10"/>
      <c r="AEW233" s="19"/>
      <c r="AEX233" s="19"/>
      <c r="AFA233" s="16"/>
      <c r="AFB233" s="15"/>
      <c r="AFC233" s="15"/>
      <c r="AFD233" s="15"/>
      <c r="AFE233" s="16"/>
      <c r="AFF233" s="16"/>
      <c r="AFG233" s="16"/>
      <c r="AFH233" s="16"/>
      <c r="AFI233" s="16"/>
      <c r="AFJ233" s="15"/>
      <c r="AFK233" s="15"/>
      <c r="AFL233" s="10"/>
      <c r="AFM233" s="10"/>
      <c r="AFN233" s="19"/>
      <c r="AFO233" s="19"/>
      <c r="AFR233" s="16"/>
      <c r="AFS233" s="15"/>
      <c r="AFT233" s="15"/>
      <c r="AFU233" s="15"/>
      <c r="AFV233" s="16"/>
      <c r="AFW233" s="16"/>
      <c r="AFX233" s="16"/>
      <c r="AFY233" s="16"/>
      <c r="AFZ233" s="16"/>
      <c r="AGA233" s="15"/>
      <c r="AGB233" s="15"/>
      <c r="AGC233" s="10"/>
      <c r="AGD233" s="10"/>
      <c r="AGE233" s="19"/>
      <c r="AGF233" s="19"/>
      <c r="AGI233" s="16"/>
      <c r="AGJ233" s="15"/>
      <c r="AGK233" s="15"/>
      <c r="AGL233" s="15"/>
      <c r="AGM233" s="16"/>
      <c r="AGN233" s="16"/>
      <c r="AGO233" s="16"/>
      <c r="AGP233" s="16"/>
      <c r="AGQ233" s="16"/>
      <c r="AGR233" s="15"/>
      <c r="AGS233" s="15"/>
      <c r="AGT233" s="10"/>
      <c r="AGU233" s="10"/>
      <c r="AGV233" s="19"/>
      <c r="AGW233" s="19"/>
      <c r="AGZ233" s="16"/>
      <c r="AHA233" s="15"/>
      <c r="AHB233" s="15"/>
      <c r="AHC233" s="15"/>
      <c r="AHD233" s="16"/>
      <c r="AHE233" s="16"/>
      <c r="AHF233" s="16"/>
      <c r="AHG233" s="16"/>
      <c r="AHH233" s="16"/>
      <c r="AHI233" s="15"/>
      <c r="AHJ233" s="15"/>
      <c r="AHK233" s="10"/>
      <c r="AHL233" s="10"/>
      <c r="AHM233" s="19"/>
      <c r="AHN233" s="19"/>
      <c r="AHQ233" s="16"/>
      <c r="AHR233" s="15"/>
      <c r="AHS233" s="15"/>
      <c r="AHT233" s="15"/>
      <c r="AHU233" s="16"/>
      <c r="AHV233" s="16"/>
      <c r="AHW233" s="16"/>
      <c r="AHX233" s="16"/>
      <c r="AHY233" s="16"/>
      <c r="AHZ233" s="15"/>
      <c r="AIA233" s="15"/>
      <c r="AIB233" s="10"/>
      <c r="AIC233" s="10"/>
      <c r="AID233" s="19"/>
      <c r="AIE233" s="19"/>
      <c r="AIH233" s="16"/>
      <c r="AII233" s="15"/>
      <c r="AIJ233" s="15"/>
      <c r="AIK233" s="15"/>
      <c r="AIL233" s="16"/>
      <c r="AIM233" s="16"/>
      <c r="AIN233" s="16"/>
      <c r="AIO233" s="16"/>
      <c r="AIP233" s="16"/>
      <c r="AIQ233" s="15"/>
      <c r="AIR233" s="15"/>
      <c r="AIS233" s="10"/>
      <c r="AIT233" s="10"/>
      <c r="AIU233" s="19"/>
      <c r="AIV233" s="19"/>
      <c r="AIY233" s="16"/>
      <c r="AIZ233" s="15"/>
      <c r="AJA233" s="15"/>
      <c r="AJB233" s="15"/>
      <c r="AJC233" s="16"/>
      <c r="AJD233" s="16"/>
      <c r="AJE233" s="16"/>
      <c r="AJF233" s="16"/>
      <c r="AJG233" s="16"/>
      <c r="AJH233" s="15"/>
      <c r="AJI233" s="15"/>
      <c r="AJJ233" s="10"/>
      <c r="AJK233" s="10"/>
      <c r="AJL233" s="19"/>
      <c r="AJM233" s="19"/>
      <c r="AJP233" s="16"/>
      <c r="AJQ233" s="15"/>
      <c r="AJR233" s="15"/>
      <c r="AJS233" s="15"/>
      <c r="AJT233" s="16"/>
      <c r="AJU233" s="16"/>
      <c r="AJV233" s="16"/>
      <c r="AJW233" s="16"/>
      <c r="AJX233" s="16"/>
      <c r="AJY233" s="15"/>
      <c r="AJZ233" s="15"/>
      <c r="AKA233" s="10"/>
      <c r="AKB233" s="10"/>
      <c r="AKC233" s="19"/>
      <c r="AKD233" s="19"/>
      <c r="AKG233" s="16"/>
      <c r="AKH233" s="15"/>
      <c r="AKI233" s="15"/>
      <c r="AKJ233" s="15"/>
      <c r="AKK233" s="16"/>
      <c r="AKL233" s="16"/>
      <c r="AKM233" s="16"/>
      <c r="AKN233" s="16"/>
      <c r="AKO233" s="16"/>
      <c r="AKP233" s="15"/>
      <c r="AKQ233" s="15"/>
      <c r="AKR233" s="10"/>
      <c r="AKS233" s="10"/>
      <c r="AKT233" s="19"/>
      <c r="AKU233" s="19"/>
      <c r="AKX233" s="16"/>
      <c r="AKY233" s="15"/>
      <c r="AKZ233" s="15"/>
      <c r="ALA233" s="15"/>
      <c r="ALB233" s="16"/>
      <c r="ALC233" s="16"/>
      <c r="ALD233" s="16"/>
      <c r="ALE233" s="16"/>
      <c r="ALF233" s="16"/>
      <c r="ALG233" s="15"/>
      <c r="ALH233" s="15"/>
      <c r="ALI233" s="10"/>
      <c r="ALJ233" s="10"/>
      <c r="ALK233" s="19"/>
      <c r="ALL233" s="19"/>
      <c r="ALO233" s="16"/>
      <c r="ALP233" s="15"/>
      <c r="ALQ233" s="15"/>
      <c r="ALR233" s="15"/>
      <c r="ALS233" s="16"/>
      <c r="ALT233" s="16"/>
      <c r="ALU233" s="16"/>
      <c r="ALV233" s="16"/>
      <c r="ALW233" s="16"/>
      <c r="ALX233" s="15"/>
      <c r="ALY233" s="15"/>
      <c r="ALZ233" s="10"/>
      <c r="AMA233" s="10"/>
      <c r="AMB233" s="19"/>
      <c r="AMC233" s="19"/>
      <c r="AMF233" s="16"/>
      <c r="AMG233" s="15"/>
      <c r="AMH233" s="15"/>
      <c r="AMI233" s="15"/>
      <c r="AMJ233" s="16"/>
      <c r="AMK233" s="16"/>
      <c r="AML233" s="16"/>
      <c r="AMM233" s="16"/>
      <c r="AMN233" s="16"/>
      <c r="AMO233" s="15"/>
      <c r="AMP233" s="15"/>
      <c r="AMQ233" s="10"/>
      <c r="AMR233" s="10"/>
      <c r="AMS233" s="19"/>
      <c r="AMT233" s="19"/>
      <c r="AMW233" s="16"/>
      <c r="AMX233" s="15"/>
      <c r="AMY233" s="15"/>
      <c r="AMZ233" s="15"/>
      <c r="ANA233" s="16"/>
      <c r="ANB233" s="16"/>
      <c r="ANC233" s="16"/>
      <c r="AND233" s="16"/>
      <c r="ANE233" s="16"/>
      <c r="ANF233" s="15"/>
      <c r="ANG233" s="15"/>
      <c r="ANH233" s="10"/>
      <c r="ANI233" s="10"/>
      <c r="ANJ233" s="19"/>
      <c r="ANK233" s="19"/>
      <c r="ANN233" s="16"/>
      <c r="ANO233" s="15"/>
      <c r="ANP233" s="15"/>
      <c r="ANQ233" s="15"/>
      <c r="ANR233" s="16"/>
      <c r="ANS233" s="16"/>
      <c r="ANT233" s="16"/>
      <c r="ANU233" s="16"/>
      <c r="ANV233" s="16"/>
      <c r="ANW233" s="15"/>
      <c r="ANX233" s="15"/>
      <c r="ANY233" s="10"/>
      <c r="ANZ233" s="10"/>
      <c r="AOA233" s="19"/>
      <c r="AOB233" s="19"/>
      <c r="AOE233" s="16"/>
      <c r="AOF233" s="15"/>
      <c r="AOG233" s="15"/>
      <c r="AOH233" s="15"/>
      <c r="AOI233" s="16"/>
      <c r="AOJ233" s="16"/>
      <c r="AOK233" s="16"/>
      <c r="AOL233" s="16"/>
      <c r="AOM233" s="16"/>
      <c r="AON233" s="15"/>
      <c r="AOO233" s="15"/>
      <c r="AOP233" s="10"/>
      <c r="AOQ233" s="10"/>
      <c r="AOR233" s="19"/>
      <c r="AOS233" s="19"/>
      <c r="AOV233" s="16"/>
      <c r="AOW233" s="15"/>
      <c r="AOX233" s="15"/>
      <c r="AOY233" s="15"/>
      <c r="AOZ233" s="16"/>
      <c r="APA233" s="16"/>
      <c r="APB233" s="16"/>
      <c r="APC233" s="16"/>
      <c r="APD233" s="16"/>
      <c r="APE233" s="15"/>
      <c r="APF233" s="15"/>
      <c r="APG233" s="10"/>
      <c r="APH233" s="10"/>
      <c r="API233" s="19"/>
      <c r="APJ233" s="19"/>
      <c r="APM233" s="16"/>
      <c r="APN233" s="15"/>
      <c r="APO233" s="15"/>
      <c r="APP233" s="15"/>
      <c r="APQ233" s="16"/>
      <c r="APR233" s="16"/>
      <c r="APS233" s="16"/>
      <c r="APT233" s="16"/>
      <c r="APU233" s="16"/>
      <c r="APV233" s="15"/>
      <c r="APW233" s="15"/>
      <c r="APX233" s="10"/>
      <c r="APY233" s="10"/>
      <c r="APZ233" s="19"/>
      <c r="AQA233" s="19"/>
      <c r="AQD233" s="16"/>
      <c r="AQE233" s="15"/>
      <c r="AQF233" s="15"/>
      <c r="AQG233" s="15"/>
      <c r="AQH233" s="16"/>
      <c r="AQI233" s="16"/>
      <c r="AQJ233" s="16"/>
      <c r="AQK233" s="16"/>
      <c r="AQL233" s="16"/>
      <c r="AQM233" s="15"/>
      <c r="AQN233" s="15"/>
      <c r="AQO233" s="10"/>
      <c r="AQP233" s="10"/>
      <c r="AQQ233" s="19"/>
      <c r="AQR233" s="19"/>
      <c r="AQU233" s="16"/>
      <c r="AQV233" s="15"/>
      <c r="AQW233" s="15"/>
      <c r="AQX233" s="15"/>
      <c r="AQY233" s="16"/>
      <c r="AQZ233" s="16"/>
      <c r="ARA233" s="16"/>
      <c r="ARB233" s="16"/>
      <c r="ARC233" s="16"/>
      <c r="ARD233" s="15"/>
      <c r="ARE233" s="15"/>
      <c r="ARF233" s="10"/>
      <c r="ARG233" s="10"/>
      <c r="ARH233" s="19"/>
      <c r="ARI233" s="19"/>
      <c r="ARL233" s="16"/>
      <c r="ARM233" s="15"/>
      <c r="ARN233" s="15"/>
      <c r="ARO233" s="15"/>
      <c r="ARP233" s="16"/>
      <c r="ARQ233" s="16"/>
      <c r="ARR233" s="16"/>
      <c r="ARS233" s="16"/>
      <c r="ART233" s="16"/>
      <c r="ARU233" s="15"/>
      <c r="ARV233" s="15"/>
      <c r="ARW233" s="10"/>
      <c r="ARX233" s="10"/>
      <c r="ARY233" s="19"/>
      <c r="ARZ233" s="19"/>
      <c r="ASC233" s="16"/>
      <c r="ASD233" s="15"/>
      <c r="ASE233" s="15"/>
      <c r="ASF233" s="15"/>
      <c r="ASG233" s="16"/>
      <c r="ASH233" s="16"/>
      <c r="ASI233" s="16"/>
      <c r="ASJ233" s="16"/>
      <c r="ASK233" s="16"/>
      <c r="ASL233" s="15"/>
      <c r="ASM233" s="15"/>
      <c r="ASN233" s="10"/>
      <c r="ASO233" s="10"/>
      <c r="ASP233" s="19"/>
      <c r="ASQ233" s="19"/>
      <c r="AST233" s="16"/>
      <c r="ASU233" s="15"/>
      <c r="ASV233" s="15"/>
      <c r="ASW233" s="15"/>
      <c r="ASX233" s="16"/>
      <c r="ASY233" s="16"/>
      <c r="ASZ233" s="16"/>
      <c r="ATA233" s="16"/>
      <c r="ATB233" s="16"/>
      <c r="ATC233" s="15"/>
      <c r="ATD233" s="15"/>
      <c r="ATE233" s="10"/>
      <c r="ATF233" s="10"/>
      <c r="ATG233" s="19"/>
      <c r="ATH233" s="19"/>
      <c r="ATK233" s="16"/>
      <c r="ATL233" s="15"/>
      <c r="ATM233" s="15"/>
      <c r="ATN233" s="15"/>
      <c r="ATO233" s="16"/>
      <c r="ATP233" s="16"/>
      <c r="ATQ233" s="16"/>
      <c r="ATR233" s="16"/>
      <c r="ATS233" s="16"/>
      <c r="ATT233" s="15"/>
      <c r="ATU233" s="15"/>
      <c r="ATV233" s="10"/>
      <c r="ATW233" s="10"/>
      <c r="ATX233" s="19"/>
      <c r="ATY233" s="19"/>
      <c r="AUB233" s="16"/>
      <c r="AUC233" s="15"/>
      <c r="AUD233" s="15"/>
      <c r="AUE233" s="15"/>
      <c r="AUF233" s="16"/>
      <c r="AUG233" s="16"/>
      <c r="AUH233" s="16"/>
      <c r="AUI233" s="16"/>
      <c r="AUJ233" s="16"/>
      <c r="AUK233" s="15"/>
      <c r="AUL233" s="15"/>
      <c r="AUM233" s="10"/>
      <c r="AUN233" s="10"/>
      <c r="AUO233" s="19"/>
      <c r="AUP233" s="19"/>
      <c r="AUS233" s="16"/>
      <c r="AUT233" s="15"/>
      <c r="AUU233" s="15"/>
      <c r="AUV233" s="15"/>
      <c r="AUW233" s="16"/>
      <c r="AUX233" s="16"/>
      <c r="AUY233" s="16"/>
      <c r="AUZ233" s="16"/>
      <c r="AVA233" s="16"/>
      <c r="AVB233" s="15"/>
      <c r="AVC233" s="15"/>
      <c r="AVD233" s="10"/>
      <c r="AVE233" s="10"/>
      <c r="AVF233" s="19"/>
      <c r="AVG233" s="19"/>
      <c r="AVJ233" s="16"/>
      <c r="AVK233" s="15"/>
      <c r="AVL233" s="15"/>
      <c r="AVM233" s="15"/>
      <c r="AVN233" s="16"/>
      <c r="AVO233" s="16"/>
      <c r="AVP233" s="16"/>
      <c r="AVQ233" s="16"/>
      <c r="AVR233" s="16"/>
      <c r="AVS233" s="15"/>
      <c r="AVT233" s="15"/>
      <c r="AVU233" s="10"/>
      <c r="AVV233" s="10"/>
      <c r="AVW233" s="19"/>
      <c r="AVX233" s="19"/>
      <c r="AWA233" s="16"/>
      <c r="AWB233" s="15"/>
      <c r="AWC233" s="15"/>
      <c r="AWD233" s="15"/>
      <c r="AWE233" s="16"/>
      <c r="AWF233" s="16"/>
      <c r="AWG233" s="16"/>
      <c r="AWH233" s="16"/>
      <c r="AWI233" s="16"/>
      <c r="AWJ233" s="15"/>
      <c r="AWK233" s="15"/>
      <c r="AWL233" s="10"/>
      <c r="AWM233" s="10"/>
      <c r="AWN233" s="19"/>
      <c r="AWO233" s="19"/>
      <c r="AWR233" s="16"/>
      <c r="AWS233" s="15"/>
      <c r="AWT233" s="15"/>
      <c r="AWU233" s="15"/>
      <c r="AWV233" s="16"/>
      <c r="AWW233" s="16"/>
      <c r="AWX233" s="16"/>
      <c r="AWY233" s="16"/>
      <c r="AWZ233" s="16"/>
      <c r="AXA233" s="15"/>
      <c r="AXB233" s="15"/>
      <c r="AXC233" s="10"/>
      <c r="AXD233" s="10"/>
      <c r="AXE233" s="19"/>
      <c r="AXF233" s="19"/>
      <c r="AXI233" s="16"/>
      <c r="AXJ233" s="15"/>
      <c r="AXK233" s="15"/>
      <c r="AXL233" s="15"/>
      <c r="AXM233" s="16"/>
      <c r="AXN233" s="16"/>
      <c r="AXO233" s="16"/>
      <c r="AXP233" s="16"/>
      <c r="AXQ233" s="16"/>
      <c r="AXR233" s="15"/>
      <c r="AXS233" s="15"/>
      <c r="AXT233" s="10"/>
      <c r="AXU233" s="10"/>
      <c r="AXV233" s="19"/>
      <c r="AXW233" s="19"/>
      <c r="AXZ233" s="16"/>
      <c r="AYA233" s="15"/>
      <c r="AYB233" s="15"/>
      <c r="AYC233" s="15"/>
      <c r="AYD233" s="16"/>
      <c r="AYE233" s="16"/>
      <c r="AYF233" s="16"/>
      <c r="AYG233" s="16"/>
      <c r="AYH233" s="16"/>
      <c r="AYI233" s="15"/>
      <c r="AYJ233" s="15"/>
      <c r="AYK233" s="10"/>
      <c r="AYL233" s="10"/>
      <c r="AYM233" s="19"/>
      <c r="AYN233" s="19"/>
      <c r="AYQ233" s="16"/>
      <c r="AYR233" s="15"/>
      <c r="AYS233" s="15"/>
      <c r="AYT233" s="15"/>
      <c r="AYU233" s="16"/>
      <c r="AYV233" s="16"/>
      <c r="AYW233" s="16"/>
      <c r="AYX233" s="16"/>
      <c r="AYY233" s="16"/>
      <c r="AYZ233" s="15"/>
      <c r="AZA233" s="15"/>
      <c r="AZB233" s="10"/>
      <c r="AZC233" s="10"/>
      <c r="AZD233" s="19"/>
      <c r="AZE233" s="19"/>
      <c r="AZH233" s="16"/>
      <c r="AZI233" s="15"/>
      <c r="AZJ233" s="15"/>
      <c r="AZK233" s="15"/>
      <c r="AZL233" s="16"/>
      <c r="AZM233" s="16"/>
      <c r="AZN233" s="16"/>
      <c r="AZO233" s="16"/>
      <c r="AZP233" s="16"/>
      <c r="AZQ233" s="15"/>
      <c r="AZR233" s="15"/>
      <c r="AZS233" s="10"/>
      <c r="AZT233" s="10"/>
      <c r="AZU233" s="19"/>
      <c r="AZV233" s="19"/>
      <c r="AZY233" s="16"/>
      <c r="AZZ233" s="15"/>
      <c r="BAA233" s="15"/>
      <c r="BAB233" s="15"/>
      <c r="BAC233" s="16"/>
      <c r="BAD233" s="16"/>
      <c r="BAE233" s="16"/>
      <c r="BAF233" s="16"/>
      <c r="BAG233" s="16"/>
      <c r="BAH233" s="15"/>
      <c r="BAI233" s="15"/>
      <c r="BAJ233" s="10"/>
      <c r="BAK233" s="10"/>
      <c r="BAL233" s="19"/>
      <c r="BAM233" s="19"/>
      <c r="BAP233" s="16"/>
      <c r="BAQ233" s="15"/>
      <c r="BAR233" s="15"/>
      <c r="BAS233" s="15"/>
      <c r="BAT233" s="16"/>
      <c r="BAU233" s="16"/>
      <c r="BAV233" s="16"/>
      <c r="BAW233" s="16"/>
      <c r="BAX233" s="16"/>
      <c r="BAY233" s="15"/>
      <c r="BAZ233" s="15"/>
      <c r="BBA233" s="10"/>
      <c r="BBB233" s="10"/>
      <c r="BBC233" s="19"/>
      <c r="BBD233" s="19"/>
      <c r="BBG233" s="16"/>
      <c r="BBH233" s="15"/>
      <c r="BBI233" s="15"/>
      <c r="BBJ233" s="15"/>
      <c r="BBK233" s="16"/>
      <c r="BBL233" s="16"/>
      <c r="BBM233" s="16"/>
      <c r="BBN233" s="16"/>
      <c r="BBO233" s="16"/>
      <c r="BBP233" s="15"/>
      <c r="BBQ233" s="15"/>
      <c r="BBR233" s="10"/>
      <c r="BBS233" s="10"/>
      <c r="BBT233" s="19"/>
      <c r="BBU233" s="19"/>
      <c r="BBX233" s="16"/>
      <c r="BBY233" s="15"/>
      <c r="BBZ233" s="15"/>
      <c r="BCA233" s="15"/>
      <c r="BCB233" s="16"/>
      <c r="BCC233" s="16"/>
      <c r="BCD233" s="16"/>
      <c r="BCE233" s="16"/>
      <c r="BCF233" s="16"/>
      <c r="BCG233" s="15"/>
      <c r="BCH233" s="15"/>
      <c r="BCI233" s="10"/>
      <c r="BCJ233" s="10"/>
      <c r="BCK233" s="19"/>
      <c r="BCL233" s="19"/>
      <c r="BCO233" s="16"/>
      <c r="BCP233" s="15"/>
      <c r="BCQ233" s="15"/>
      <c r="BCR233" s="15"/>
      <c r="BCS233" s="16"/>
      <c r="BCT233" s="16"/>
      <c r="BCU233" s="16"/>
      <c r="BCV233" s="16"/>
      <c r="BCW233" s="16"/>
      <c r="BCX233" s="15"/>
      <c r="BCY233" s="15"/>
      <c r="BCZ233" s="10"/>
      <c r="BDA233" s="10"/>
      <c r="BDB233" s="19"/>
      <c r="BDC233" s="19"/>
      <c r="BDF233" s="16"/>
      <c r="BDG233" s="15"/>
      <c r="BDH233" s="15"/>
      <c r="BDI233" s="15"/>
      <c r="BDJ233" s="16"/>
      <c r="BDK233" s="16"/>
      <c r="BDL233" s="16"/>
      <c r="BDM233" s="16"/>
      <c r="BDN233" s="16"/>
      <c r="BDO233" s="15"/>
      <c r="BDP233" s="15"/>
      <c r="BDQ233" s="10"/>
      <c r="BDR233" s="10"/>
      <c r="BDS233" s="19"/>
      <c r="BDT233" s="19"/>
      <c r="BDW233" s="16"/>
      <c r="BDX233" s="15"/>
      <c r="BDY233" s="15"/>
      <c r="BDZ233" s="15"/>
      <c r="BEA233" s="16"/>
      <c r="BEB233" s="16"/>
      <c r="BEC233" s="16"/>
      <c r="BED233" s="16"/>
      <c r="BEE233" s="16"/>
      <c r="BEF233" s="15"/>
      <c r="BEG233" s="15"/>
      <c r="BEH233" s="10"/>
      <c r="BEI233" s="10"/>
      <c r="BEJ233" s="19"/>
      <c r="BEK233" s="19"/>
      <c r="BEN233" s="16"/>
      <c r="BEO233" s="15"/>
      <c r="BEP233" s="15"/>
      <c r="BEQ233" s="15"/>
      <c r="BER233" s="16"/>
      <c r="BES233" s="16"/>
      <c r="BET233" s="16"/>
      <c r="BEU233" s="16"/>
      <c r="BEV233" s="16"/>
      <c r="BEW233" s="15"/>
      <c r="BEX233" s="15"/>
      <c r="BEY233" s="10"/>
      <c r="BEZ233" s="10"/>
      <c r="BFA233" s="19"/>
      <c r="BFB233" s="19"/>
      <c r="BFE233" s="16"/>
      <c r="BFF233" s="15"/>
      <c r="BFG233" s="15"/>
      <c r="BFH233" s="15"/>
      <c r="BFI233" s="16"/>
      <c r="BFJ233" s="16"/>
      <c r="BFK233" s="16"/>
      <c r="BFL233" s="16"/>
      <c r="BFM233" s="16"/>
      <c r="BFN233" s="15"/>
      <c r="BFO233" s="15"/>
      <c r="BFP233" s="10"/>
      <c r="BFQ233" s="10"/>
      <c r="BFR233" s="19"/>
      <c r="BFS233" s="19"/>
      <c r="BFV233" s="16"/>
      <c r="BFW233" s="15"/>
      <c r="BFX233" s="15"/>
      <c r="BFY233" s="15"/>
      <c r="BFZ233" s="16"/>
      <c r="BGA233" s="16"/>
      <c r="BGB233" s="16"/>
      <c r="BGC233" s="16"/>
      <c r="BGD233" s="16"/>
      <c r="BGE233" s="15"/>
      <c r="BGF233" s="15"/>
      <c r="BGG233" s="10"/>
      <c r="BGH233" s="10"/>
      <c r="BGI233" s="19"/>
      <c r="BGJ233" s="19"/>
      <c r="BGM233" s="16"/>
      <c r="BGN233" s="15"/>
      <c r="BGO233" s="15"/>
      <c r="BGP233" s="15"/>
      <c r="BGQ233" s="16"/>
      <c r="BGR233" s="16"/>
      <c r="BGS233" s="16"/>
      <c r="BGT233" s="16"/>
      <c r="BGU233" s="16"/>
      <c r="BGV233" s="15"/>
      <c r="BGW233" s="15"/>
      <c r="BGX233" s="10"/>
      <c r="BGY233" s="10"/>
      <c r="BGZ233" s="19"/>
      <c r="BHA233" s="19"/>
      <c r="BHD233" s="16"/>
      <c r="BHE233" s="15"/>
      <c r="BHF233" s="15"/>
      <c r="BHG233" s="15"/>
      <c r="BHH233" s="16"/>
      <c r="BHI233" s="16"/>
      <c r="BHJ233" s="16"/>
      <c r="BHK233" s="16"/>
      <c r="BHL233" s="16"/>
      <c r="BHM233" s="15"/>
      <c r="BHN233" s="15"/>
      <c r="BHO233" s="10"/>
      <c r="BHP233" s="10"/>
      <c r="BHQ233" s="19"/>
      <c r="BHR233" s="19"/>
      <c r="BHU233" s="16"/>
      <c r="BHV233" s="15"/>
      <c r="BHW233" s="15"/>
      <c r="BHX233" s="15"/>
      <c r="BHY233" s="16"/>
      <c r="BHZ233" s="16"/>
      <c r="BIA233" s="16"/>
      <c r="BIB233" s="16"/>
      <c r="BIC233" s="16"/>
      <c r="BID233" s="15"/>
      <c r="BIE233" s="15"/>
      <c r="BIF233" s="10"/>
      <c r="BIG233" s="10"/>
      <c r="BIH233" s="19"/>
      <c r="BII233" s="19"/>
      <c r="BIL233" s="16"/>
      <c r="BIM233" s="15"/>
      <c r="BIN233" s="15"/>
      <c r="BIO233" s="15"/>
      <c r="BIP233" s="16"/>
      <c r="BIQ233" s="16"/>
      <c r="BIR233" s="16"/>
      <c r="BIS233" s="16"/>
      <c r="BIT233" s="16"/>
      <c r="BIU233" s="15"/>
      <c r="BIV233" s="15"/>
      <c r="BIW233" s="10"/>
      <c r="BIX233" s="10"/>
      <c r="BIY233" s="19"/>
      <c r="BIZ233" s="19"/>
      <c r="BJC233" s="16"/>
      <c r="BJD233" s="15"/>
      <c r="BJE233" s="15"/>
      <c r="BJF233" s="15"/>
      <c r="BJG233" s="16"/>
      <c r="BJH233" s="16"/>
      <c r="BJI233" s="16"/>
      <c r="BJJ233" s="16"/>
      <c r="BJK233" s="16"/>
      <c r="BJL233" s="15"/>
      <c r="BJM233" s="15"/>
      <c r="BJN233" s="10"/>
      <c r="BJO233" s="10"/>
      <c r="BJP233" s="19"/>
      <c r="BJQ233" s="19"/>
      <c r="BJT233" s="16"/>
      <c r="BJU233" s="15"/>
      <c r="BJV233" s="15"/>
      <c r="BJW233" s="15"/>
      <c r="BJX233" s="16"/>
      <c r="BJY233" s="16"/>
      <c r="BJZ233" s="16"/>
      <c r="BKA233" s="16"/>
      <c r="BKB233" s="16"/>
      <c r="BKC233" s="15"/>
      <c r="BKD233" s="15"/>
      <c r="BKE233" s="10"/>
      <c r="BKF233" s="10"/>
      <c r="BKG233" s="19"/>
      <c r="BKH233" s="19"/>
      <c r="BKK233" s="16"/>
      <c r="BKL233" s="15"/>
      <c r="BKM233" s="15"/>
      <c r="BKN233" s="15"/>
      <c r="BKO233" s="16"/>
      <c r="BKP233" s="16"/>
      <c r="BKQ233" s="16"/>
      <c r="BKR233" s="16"/>
      <c r="BKS233" s="16"/>
      <c r="BKT233" s="15"/>
      <c r="BKU233" s="15"/>
      <c r="BKV233" s="10"/>
      <c r="BKW233" s="10"/>
      <c r="BKX233" s="19"/>
      <c r="BKY233" s="19"/>
      <c r="BLB233" s="16"/>
      <c r="BLC233" s="15"/>
      <c r="BLD233" s="15"/>
      <c r="BLE233" s="15"/>
      <c r="BLF233" s="16"/>
      <c r="BLG233" s="16"/>
      <c r="BLH233" s="16"/>
      <c r="BLI233" s="16"/>
      <c r="BLJ233" s="16"/>
      <c r="BLK233" s="15"/>
      <c r="BLL233" s="15"/>
      <c r="BLM233" s="10"/>
      <c r="BLN233" s="10"/>
      <c r="BLO233" s="19"/>
      <c r="BLP233" s="19"/>
      <c r="BLS233" s="16"/>
      <c r="BLT233" s="15"/>
      <c r="BLU233" s="15"/>
      <c r="BLV233" s="15"/>
      <c r="BLW233" s="16"/>
      <c r="BLX233" s="16"/>
      <c r="BLY233" s="16"/>
      <c r="BLZ233" s="16"/>
      <c r="BMA233" s="16"/>
      <c r="BMB233" s="15"/>
      <c r="BMC233" s="15"/>
      <c r="BMD233" s="10"/>
      <c r="BME233" s="10"/>
      <c r="BMF233" s="19"/>
      <c r="BMG233" s="19"/>
      <c r="BMJ233" s="16"/>
      <c r="BMK233" s="15"/>
      <c r="BML233" s="15"/>
      <c r="BMM233" s="15"/>
      <c r="BMN233" s="16"/>
      <c r="BMO233" s="16"/>
      <c r="BMP233" s="16"/>
      <c r="BMQ233" s="16"/>
      <c r="BMR233" s="16"/>
      <c r="BMS233" s="15"/>
      <c r="BMT233" s="15"/>
      <c r="BMU233" s="10"/>
      <c r="BMV233" s="10"/>
      <c r="BMW233" s="19"/>
      <c r="BMX233" s="19"/>
      <c r="BNA233" s="16"/>
      <c r="BNB233" s="15"/>
      <c r="BNC233" s="15"/>
      <c r="BND233" s="15"/>
      <c r="BNE233" s="16"/>
      <c r="BNF233" s="16"/>
      <c r="BNG233" s="16"/>
      <c r="BNH233" s="16"/>
      <c r="BNI233" s="16"/>
      <c r="BNJ233" s="15"/>
      <c r="BNK233" s="15"/>
      <c r="BNL233" s="10"/>
      <c r="BNM233" s="10"/>
      <c r="BNN233" s="19"/>
      <c r="BNO233" s="19"/>
      <c r="BNR233" s="16"/>
      <c r="BNS233" s="15"/>
      <c r="BNT233" s="15"/>
      <c r="BNU233" s="15"/>
      <c r="BNV233" s="16"/>
      <c r="BNW233" s="16"/>
      <c r="BNX233" s="16"/>
      <c r="BNY233" s="16"/>
      <c r="BNZ233" s="16"/>
      <c r="BOA233" s="15"/>
      <c r="BOB233" s="15"/>
      <c r="BOC233" s="10"/>
      <c r="BOD233" s="10"/>
      <c r="BOE233" s="19"/>
      <c r="BOF233" s="19"/>
      <c r="BOI233" s="16"/>
      <c r="BOJ233" s="15"/>
      <c r="BOK233" s="15"/>
      <c r="BOL233" s="15"/>
      <c r="BOM233" s="16"/>
      <c r="BON233" s="16"/>
      <c r="BOO233" s="16"/>
      <c r="BOP233" s="16"/>
      <c r="BOQ233" s="16"/>
      <c r="BOR233" s="15"/>
      <c r="BOS233" s="15"/>
      <c r="BOT233" s="10"/>
      <c r="BOU233" s="10"/>
      <c r="BOV233" s="19"/>
      <c r="BOW233" s="19"/>
      <c r="BOZ233" s="16"/>
      <c r="BPA233" s="15"/>
      <c r="BPB233" s="15"/>
      <c r="BPC233" s="15"/>
      <c r="BPD233" s="16"/>
      <c r="BPE233" s="16"/>
      <c r="BPF233" s="16"/>
      <c r="BPG233" s="16"/>
      <c r="BPH233" s="16"/>
      <c r="BPI233" s="15"/>
      <c r="BPJ233" s="15"/>
      <c r="BPK233" s="10"/>
      <c r="BPL233" s="10"/>
      <c r="BPM233" s="19"/>
      <c r="BPN233" s="19"/>
      <c r="BPQ233" s="16"/>
      <c r="BPR233" s="15"/>
      <c r="BPS233" s="15"/>
      <c r="BPT233" s="15"/>
      <c r="BPU233" s="16"/>
      <c r="BPV233" s="16"/>
      <c r="BPW233" s="16"/>
      <c r="BPX233" s="16"/>
      <c r="BPY233" s="16"/>
      <c r="BPZ233" s="15"/>
      <c r="BQA233" s="15"/>
      <c r="BQB233" s="10"/>
      <c r="BQC233" s="10"/>
      <c r="BQD233" s="19"/>
      <c r="BQE233" s="19"/>
      <c r="BQH233" s="16"/>
      <c r="BQI233" s="15"/>
      <c r="BQJ233" s="15"/>
      <c r="BQK233" s="15"/>
      <c r="BQL233" s="16"/>
      <c r="BQM233" s="16"/>
      <c r="BQN233" s="16"/>
      <c r="BQO233" s="16"/>
      <c r="BQP233" s="16"/>
      <c r="BQQ233" s="15"/>
      <c r="BQR233" s="15"/>
      <c r="BQS233" s="10"/>
      <c r="BQT233" s="10"/>
      <c r="BQU233" s="19"/>
      <c r="BQV233" s="19"/>
      <c r="BQY233" s="16"/>
      <c r="BQZ233" s="15"/>
      <c r="BRA233" s="15"/>
      <c r="BRB233" s="15"/>
      <c r="BRC233" s="16"/>
      <c r="BRD233" s="16"/>
      <c r="BRE233" s="16"/>
      <c r="BRF233" s="16"/>
      <c r="BRG233" s="16"/>
      <c r="BRH233" s="15"/>
      <c r="BRI233" s="15"/>
      <c r="BRJ233" s="10"/>
      <c r="BRK233" s="10"/>
      <c r="BRL233" s="19"/>
      <c r="BRM233" s="19"/>
      <c r="BRP233" s="16"/>
      <c r="BRQ233" s="15"/>
      <c r="BRR233" s="15"/>
      <c r="BRS233" s="15"/>
      <c r="BRT233" s="16"/>
      <c r="BRU233" s="16"/>
      <c r="BRV233" s="16"/>
      <c r="BRW233" s="16"/>
      <c r="BRX233" s="16"/>
      <c r="BRY233" s="15"/>
      <c r="BRZ233" s="15"/>
      <c r="BSA233" s="10"/>
      <c r="BSB233" s="10"/>
      <c r="BSC233" s="19"/>
      <c r="BSD233" s="19"/>
      <c r="BSG233" s="16"/>
      <c r="BSH233" s="15"/>
      <c r="BSI233" s="15"/>
      <c r="BSJ233" s="15"/>
      <c r="BSK233" s="16"/>
      <c r="BSL233" s="16"/>
      <c r="BSM233" s="16"/>
      <c r="BSN233" s="16"/>
      <c r="BSO233" s="16"/>
      <c r="BSP233" s="15"/>
      <c r="BSQ233" s="15"/>
      <c r="BSR233" s="10"/>
      <c r="BSS233" s="10"/>
      <c r="BST233" s="19"/>
      <c r="BSU233" s="19"/>
      <c r="BSX233" s="16"/>
      <c r="BSY233" s="15"/>
      <c r="BSZ233" s="15"/>
      <c r="BTA233" s="15"/>
      <c r="BTB233" s="16"/>
      <c r="BTC233" s="16"/>
      <c r="BTD233" s="16"/>
      <c r="BTE233" s="16"/>
      <c r="BTF233" s="16"/>
      <c r="BTG233" s="15"/>
      <c r="BTH233" s="15"/>
      <c r="BTI233" s="10"/>
      <c r="BTJ233" s="10"/>
      <c r="BTK233" s="19"/>
      <c r="BTL233" s="19"/>
      <c r="BTO233" s="16"/>
      <c r="BTP233" s="15"/>
      <c r="BTQ233" s="15"/>
      <c r="BTR233" s="15"/>
      <c r="BTS233" s="16"/>
      <c r="BTT233" s="16"/>
      <c r="BTU233" s="16"/>
      <c r="BTV233" s="16"/>
      <c r="BTW233" s="16"/>
      <c r="BTX233" s="15"/>
      <c r="BTY233" s="15"/>
      <c r="BTZ233" s="10"/>
      <c r="BUA233" s="10"/>
      <c r="BUB233" s="19"/>
      <c r="BUC233" s="19"/>
      <c r="BUF233" s="16"/>
      <c r="BUG233" s="15"/>
      <c r="BUH233" s="15"/>
      <c r="BUI233" s="15"/>
      <c r="BUJ233" s="16"/>
      <c r="BUK233" s="16"/>
      <c r="BUL233" s="16"/>
      <c r="BUM233" s="16"/>
      <c r="BUN233" s="16"/>
      <c r="BUO233" s="15"/>
      <c r="BUP233" s="15"/>
      <c r="BUQ233" s="10"/>
      <c r="BUR233" s="10"/>
      <c r="BUS233" s="19"/>
      <c r="BUT233" s="19"/>
      <c r="BUW233" s="16"/>
      <c r="BUX233" s="15"/>
      <c r="BUY233" s="15"/>
      <c r="BUZ233" s="15"/>
      <c r="BVA233" s="16"/>
      <c r="BVB233" s="16"/>
      <c r="BVC233" s="16"/>
      <c r="BVD233" s="16"/>
      <c r="BVE233" s="16"/>
      <c r="BVF233" s="15"/>
      <c r="BVG233" s="15"/>
      <c r="BVH233" s="10"/>
      <c r="BVI233" s="10"/>
      <c r="BVJ233" s="19"/>
      <c r="BVK233" s="19"/>
      <c r="BVN233" s="16"/>
      <c r="BVO233" s="15"/>
      <c r="BVP233" s="15"/>
      <c r="BVQ233" s="15"/>
      <c r="BVR233" s="16"/>
      <c r="BVS233" s="16"/>
      <c r="BVT233" s="16"/>
      <c r="BVU233" s="16"/>
      <c r="BVV233" s="16"/>
      <c r="BVW233" s="15"/>
      <c r="BVX233" s="15"/>
      <c r="BVY233" s="10"/>
      <c r="BVZ233" s="10"/>
      <c r="BWA233" s="19"/>
      <c r="BWB233" s="19"/>
      <c r="BWE233" s="16"/>
      <c r="BWF233" s="15"/>
      <c r="BWG233" s="15"/>
      <c r="BWH233" s="15"/>
      <c r="BWI233" s="16"/>
      <c r="BWJ233" s="16"/>
      <c r="BWK233" s="16"/>
      <c r="BWL233" s="16"/>
      <c r="BWM233" s="16"/>
      <c r="BWN233" s="15"/>
      <c r="BWO233" s="15"/>
      <c r="BWP233" s="10"/>
      <c r="BWQ233" s="10"/>
      <c r="BWR233" s="19"/>
      <c r="BWS233" s="19"/>
      <c r="BWV233" s="16"/>
      <c r="BWW233" s="15"/>
      <c r="BWX233" s="15"/>
      <c r="BWY233" s="15"/>
      <c r="BWZ233" s="16"/>
      <c r="BXA233" s="16"/>
      <c r="BXB233" s="16"/>
      <c r="BXC233" s="16"/>
      <c r="BXD233" s="16"/>
      <c r="BXE233" s="15"/>
      <c r="BXF233" s="15"/>
      <c r="BXG233" s="10"/>
      <c r="BXH233" s="10"/>
      <c r="BXI233" s="19"/>
      <c r="BXJ233" s="19"/>
      <c r="BXM233" s="16"/>
      <c r="BXN233" s="15"/>
      <c r="BXO233" s="15"/>
      <c r="BXP233" s="15"/>
      <c r="BXQ233" s="16"/>
      <c r="BXR233" s="16"/>
      <c r="BXS233" s="16"/>
      <c r="BXT233" s="16"/>
      <c r="BXU233" s="16"/>
      <c r="BXV233" s="15"/>
      <c r="BXW233" s="15"/>
      <c r="BXX233" s="10"/>
      <c r="BXY233" s="10"/>
      <c r="BXZ233" s="19"/>
      <c r="BYA233" s="19"/>
      <c r="BYD233" s="16"/>
      <c r="BYE233" s="15"/>
      <c r="BYF233" s="15"/>
      <c r="BYG233" s="15"/>
      <c r="BYH233" s="16"/>
      <c r="BYI233" s="16"/>
      <c r="BYJ233" s="16"/>
      <c r="BYK233" s="16"/>
      <c r="BYL233" s="16"/>
      <c r="BYM233" s="15"/>
      <c r="BYN233" s="15"/>
      <c r="BYO233" s="10"/>
      <c r="BYP233" s="10"/>
      <c r="BYQ233" s="19"/>
      <c r="BYR233" s="19"/>
      <c r="BYU233" s="16"/>
      <c r="BYV233" s="15"/>
      <c r="BYW233" s="15"/>
      <c r="BYX233" s="15"/>
      <c r="BYY233" s="16"/>
      <c r="BYZ233" s="16"/>
      <c r="BZA233" s="16"/>
      <c r="BZB233" s="16"/>
      <c r="BZC233" s="16"/>
      <c r="BZD233" s="15"/>
      <c r="BZE233" s="15"/>
      <c r="BZF233" s="10"/>
      <c r="BZG233" s="10"/>
      <c r="BZH233" s="19"/>
      <c r="BZI233" s="19"/>
      <c r="BZL233" s="16"/>
      <c r="BZM233" s="15"/>
      <c r="BZN233" s="15"/>
      <c r="BZO233" s="15"/>
      <c r="BZP233" s="16"/>
      <c r="BZQ233" s="16"/>
      <c r="BZR233" s="16"/>
      <c r="BZS233" s="16"/>
      <c r="BZT233" s="16"/>
      <c r="BZU233" s="15"/>
      <c r="BZV233" s="15"/>
      <c r="BZW233" s="10"/>
      <c r="BZX233" s="10"/>
      <c r="BZY233" s="19"/>
      <c r="BZZ233" s="19"/>
      <c r="CAC233" s="16"/>
      <c r="CAD233" s="15"/>
      <c r="CAE233" s="15"/>
      <c r="CAF233" s="15"/>
      <c r="CAG233" s="16"/>
      <c r="CAH233" s="16"/>
      <c r="CAI233" s="16"/>
      <c r="CAJ233" s="16"/>
      <c r="CAK233" s="16"/>
      <c r="CAL233" s="15"/>
      <c r="CAM233" s="15"/>
      <c r="CAN233" s="10"/>
      <c r="CAO233" s="10"/>
      <c r="CAP233" s="19"/>
      <c r="CAQ233" s="19"/>
      <c r="CAT233" s="16"/>
      <c r="CAU233" s="15"/>
      <c r="CAV233" s="15"/>
      <c r="CAW233" s="15"/>
      <c r="CAX233" s="16"/>
      <c r="CAY233" s="16"/>
      <c r="CAZ233" s="16"/>
      <c r="CBA233" s="16"/>
      <c r="CBB233" s="16"/>
      <c r="CBC233" s="15"/>
      <c r="CBD233" s="15"/>
      <c r="CBE233" s="10"/>
      <c r="CBF233" s="10"/>
      <c r="CBG233" s="19"/>
      <c r="CBH233" s="19"/>
      <c r="CBK233" s="16"/>
      <c r="CBL233" s="15"/>
      <c r="CBM233" s="15"/>
      <c r="CBN233" s="15"/>
      <c r="CBO233" s="16"/>
      <c r="CBP233" s="16"/>
      <c r="CBQ233" s="16"/>
      <c r="CBR233" s="16"/>
      <c r="CBS233" s="16"/>
      <c r="CBT233" s="15"/>
      <c r="CBU233" s="15"/>
      <c r="CBV233" s="10"/>
      <c r="CBW233" s="10"/>
      <c r="CBX233" s="19"/>
      <c r="CBY233" s="19"/>
      <c r="CCB233" s="16"/>
      <c r="CCC233" s="15"/>
      <c r="CCD233" s="15"/>
      <c r="CCE233" s="15"/>
      <c r="CCF233" s="16"/>
      <c r="CCG233" s="16"/>
      <c r="CCH233" s="16"/>
      <c r="CCI233" s="16"/>
      <c r="CCJ233" s="16"/>
      <c r="CCK233" s="15"/>
      <c r="CCL233" s="15"/>
      <c r="CCM233" s="10"/>
      <c r="CCN233" s="10"/>
      <c r="CCO233" s="19"/>
      <c r="CCP233" s="19"/>
      <c r="CCS233" s="16"/>
      <c r="CCT233" s="15"/>
      <c r="CCU233" s="15"/>
      <c r="CCV233" s="15"/>
      <c r="CCW233" s="16"/>
      <c r="CCX233" s="16"/>
      <c r="CCY233" s="16"/>
      <c r="CCZ233" s="16"/>
      <c r="CDA233" s="16"/>
      <c r="CDB233" s="15"/>
      <c r="CDC233" s="15"/>
      <c r="CDD233" s="10"/>
      <c r="CDE233" s="10"/>
      <c r="CDF233" s="19"/>
      <c r="CDG233" s="19"/>
      <c r="CDJ233" s="16"/>
      <c r="CDK233" s="15"/>
      <c r="CDL233" s="15"/>
      <c r="CDM233" s="15"/>
      <c r="CDN233" s="16"/>
      <c r="CDO233" s="16"/>
      <c r="CDP233" s="16"/>
      <c r="CDQ233" s="16"/>
      <c r="CDR233" s="16"/>
      <c r="CDS233" s="15"/>
      <c r="CDT233" s="15"/>
      <c r="CDU233" s="10"/>
      <c r="CDV233" s="10"/>
      <c r="CDW233" s="19"/>
      <c r="CDX233" s="19"/>
      <c r="CEA233" s="16"/>
      <c r="CEB233" s="15"/>
      <c r="CEC233" s="15"/>
      <c r="CED233" s="15"/>
      <c r="CEE233" s="16"/>
      <c r="CEF233" s="16"/>
      <c r="CEG233" s="16"/>
      <c r="CEH233" s="16"/>
      <c r="CEI233" s="16"/>
      <c r="CEJ233" s="15"/>
      <c r="CEK233" s="15"/>
      <c r="CEL233" s="10"/>
      <c r="CEM233" s="10"/>
      <c r="CEN233" s="19"/>
      <c r="CEO233" s="19"/>
      <c r="CER233" s="16"/>
      <c r="CES233" s="15"/>
      <c r="CET233" s="15"/>
      <c r="CEU233" s="15"/>
      <c r="CEV233" s="16"/>
      <c r="CEW233" s="16"/>
      <c r="CEX233" s="16"/>
      <c r="CEY233" s="16"/>
      <c r="CEZ233" s="16"/>
      <c r="CFA233" s="15"/>
      <c r="CFB233" s="15"/>
      <c r="CFC233" s="10"/>
      <c r="CFD233" s="10"/>
      <c r="CFE233" s="19"/>
      <c r="CFF233" s="19"/>
      <c r="CFI233" s="16"/>
      <c r="CFJ233" s="15"/>
      <c r="CFK233" s="15"/>
      <c r="CFL233" s="15"/>
      <c r="CFM233" s="16"/>
      <c r="CFN233" s="16"/>
      <c r="CFO233" s="16"/>
      <c r="CFP233" s="16"/>
      <c r="CFQ233" s="16"/>
      <c r="CFR233" s="15"/>
      <c r="CFS233" s="15"/>
      <c r="CFT233" s="10"/>
      <c r="CFU233" s="10"/>
      <c r="CFV233" s="19"/>
      <c r="CFW233" s="19"/>
      <c r="CFZ233" s="16"/>
      <c r="CGA233" s="15"/>
      <c r="CGB233" s="15"/>
      <c r="CGC233" s="15"/>
      <c r="CGD233" s="16"/>
      <c r="CGE233" s="16"/>
      <c r="CGF233" s="16"/>
      <c r="CGG233" s="16"/>
      <c r="CGH233" s="16"/>
      <c r="CGI233" s="15"/>
      <c r="CGJ233" s="15"/>
      <c r="CGK233" s="10"/>
      <c r="CGL233" s="10"/>
      <c r="CGM233" s="19"/>
      <c r="CGN233" s="19"/>
      <c r="CGQ233" s="16"/>
      <c r="CGR233" s="15"/>
      <c r="CGS233" s="15"/>
      <c r="CGT233" s="15"/>
      <c r="CGU233" s="16"/>
      <c r="CGV233" s="16"/>
      <c r="CGW233" s="16"/>
      <c r="CGX233" s="16"/>
      <c r="CGY233" s="16"/>
      <c r="CGZ233" s="15"/>
      <c r="CHA233" s="15"/>
      <c r="CHB233" s="10"/>
      <c r="CHC233" s="10"/>
      <c r="CHD233" s="19"/>
      <c r="CHE233" s="19"/>
      <c r="CHH233" s="16"/>
      <c r="CHI233" s="15"/>
      <c r="CHJ233" s="15"/>
      <c r="CHK233" s="15"/>
      <c r="CHL233" s="16"/>
      <c r="CHM233" s="16"/>
      <c r="CHN233" s="16"/>
      <c r="CHO233" s="16"/>
      <c r="CHP233" s="16"/>
      <c r="CHQ233" s="15"/>
      <c r="CHR233" s="15"/>
      <c r="CHS233" s="10"/>
      <c r="CHT233" s="10"/>
      <c r="CHU233" s="19"/>
      <c r="CHV233" s="19"/>
      <c r="CHY233" s="16"/>
      <c r="CHZ233" s="15"/>
      <c r="CIA233" s="15"/>
      <c r="CIB233" s="15"/>
      <c r="CIC233" s="16"/>
      <c r="CID233" s="16"/>
      <c r="CIE233" s="16"/>
      <c r="CIF233" s="16"/>
      <c r="CIG233" s="16"/>
      <c r="CIH233" s="15"/>
      <c r="CII233" s="15"/>
      <c r="CIJ233" s="10"/>
      <c r="CIK233" s="10"/>
      <c r="CIL233" s="19"/>
      <c r="CIM233" s="19"/>
      <c r="CIP233" s="16"/>
      <c r="CIQ233" s="15"/>
      <c r="CIR233" s="15"/>
      <c r="CIS233" s="15"/>
      <c r="CIT233" s="16"/>
      <c r="CIU233" s="16"/>
      <c r="CIV233" s="16"/>
      <c r="CIW233" s="16"/>
      <c r="CIX233" s="16"/>
      <c r="CIY233" s="15"/>
      <c r="CIZ233" s="15"/>
      <c r="CJA233" s="10"/>
      <c r="CJB233" s="10"/>
      <c r="CJC233" s="19"/>
      <c r="CJD233" s="19"/>
      <c r="CJG233" s="16"/>
      <c r="CJH233" s="15"/>
      <c r="CJI233" s="15"/>
      <c r="CJJ233" s="15"/>
      <c r="CJK233" s="16"/>
      <c r="CJL233" s="16"/>
      <c r="CJM233" s="16"/>
      <c r="CJN233" s="16"/>
      <c r="CJO233" s="16"/>
      <c r="CJP233" s="15"/>
      <c r="CJQ233" s="15"/>
      <c r="CJR233" s="10"/>
      <c r="CJS233" s="10"/>
      <c r="CJT233" s="19"/>
      <c r="CJU233" s="19"/>
      <c r="CJX233" s="16"/>
      <c r="CJY233" s="15"/>
      <c r="CJZ233" s="15"/>
      <c r="CKA233" s="15"/>
      <c r="CKB233" s="16"/>
      <c r="CKC233" s="16"/>
      <c r="CKD233" s="16"/>
      <c r="CKE233" s="16"/>
      <c r="CKF233" s="16"/>
      <c r="CKG233" s="15"/>
      <c r="CKH233" s="15"/>
      <c r="CKI233" s="10"/>
      <c r="CKJ233" s="10"/>
      <c r="CKK233" s="19"/>
      <c r="CKL233" s="19"/>
      <c r="CKO233" s="16"/>
      <c r="CKP233" s="15"/>
      <c r="CKQ233" s="15"/>
      <c r="CKR233" s="15"/>
      <c r="CKS233" s="16"/>
      <c r="CKT233" s="16"/>
      <c r="CKU233" s="16"/>
      <c r="CKV233" s="16"/>
      <c r="CKW233" s="16"/>
      <c r="CKX233" s="15"/>
      <c r="CKY233" s="15"/>
      <c r="CKZ233" s="10"/>
      <c r="CLA233" s="10"/>
      <c r="CLB233" s="19"/>
      <c r="CLC233" s="19"/>
      <c r="CLF233" s="16"/>
      <c r="CLG233" s="15"/>
      <c r="CLH233" s="15"/>
      <c r="CLI233" s="15"/>
      <c r="CLJ233" s="16"/>
      <c r="CLK233" s="16"/>
      <c r="CLL233" s="16"/>
      <c r="CLM233" s="16"/>
      <c r="CLN233" s="16"/>
      <c r="CLO233" s="15"/>
      <c r="CLP233" s="15"/>
      <c r="CLQ233" s="10"/>
      <c r="CLR233" s="10"/>
      <c r="CLS233" s="19"/>
      <c r="CLT233" s="19"/>
      <c r="CLW233" s="16"/>
      <c r="CLX233" s="15"/>
      <c r="CLY233" s="15"/>
      <c r="CLZ233" s="15"/>
      <c r="CMA233" s="16"/>
      <c r="CMB233" s="16"/>
      <c r="CMC233" s="16"/>
      <c r="CMD233" s="16"/>
      <c r="CME233" s="16"/>
      <c r="CMF233" s="15"/>
      <c r="CMG233" s="15"/>
      <c r="CMH233" s="10"/>
      <c r="CMI233" s="10"/>
      <c r="CMJ233" s="19"/>
      <c r="CMK233" s="19"/>
      <c r="CMN233" s="16"/>
      <c r="CMO233" s="15"/>
      <c r="CMP233" s="15"/>
      <c r="CMQ233" s="15"/>
      <c r="CMR233" s="16"/>
      <c r="CMS233" s="16"/>
      <c r="CMT233" s="16"/>
      <c r="CMU233" s="16"/>
      <c r="CMV233" s="16"/>
      <c r="CMW233" s="15"/>
      <c r="CMX233" s="15"/>
      <c r="CMY233" s="10"/>
      <c r="CMZ233" s="10"/>
      <c r="CNA233" s="19"/>
      <c r="CNB233" s="19"/>
      <c r="CNE233" s="16"/>
      <c r="CNF233" s="15"/>
      <c r="CNG233" s="15"/>
      <c r="CNH233" s="15"/>
      <c r="CNI233" s="16"/>
      <c r="CNJ233" s="16"/>
      <c r="CNK233" s="16"/>
      <c r="CNL233" s="16"/>
      <c r="CNM233" s="16"/>
      <c r="CNN233" s="15"/>
      <c r="CNO233" s="15"/>
      <c r="CNP233" s="10"/>
      <c r="CNQ233" s="10"/>
      <c r="CNR233" s="19"/>
      <c r="CNS233" s="19"/>
      <c r="CNV233" s="16"/>
      <c r="CNW233" s="15"/>
      <c r="CNX233" s="15"/>
      <c r="CNY233" s="15"/>
      <c r="CNZ233" s="16"/>
      <c r="COA233" s="16"/>
      <c r="COB233" s="16"/>
      <c r="COC233" s="16"/>
      <c r="COD233" s="16"/>
      <c r="COE233" s="15"/>
      <c r="COF233" s="15"/>
      <c r="COG233" s="10"/>
      <c r="COH233" s="10"/>
      <c r="COI233" s="19"/>
      <c r="COJ233" s="19"/>
      <c r="COM233" s="16"/>
      <c r="CON233" s="15"/>
      <c r="COO233" s="15"/>
      <c r="COP233" s="15"/>
      <c r="COQ233" s="16"/>
      <c r="COR233" s="16"/>
      <c r="COS233" s="16"/>
      <c r="COT233" s="16"/>
      <c r="COU233" s="16"/>
      <c r="COV233" s="15"/>
      <c r="COW233" s="15"/>
      <c r="COX233" s="10"/>
      <c r="COY233" s="10"/>
      <c r="COZ233" s="19"/>
      <c r="CPA233" s="19"/>
      <c r="CPD233" s="16"/>
      <c r="CPE233" s="15"/>
      <c r="CPF233" s="15"/>
      <c r="CPG233" s="15"/>
      <c r="CPH233" s="16"/>
      <c r="CPI233" s="16"/>
      <c r="CPJ233" s="16"/>
      <c r="CPK233" s="16"/>
      <c r="CPL233" s="16"/>
      <c r="CPM233" s="15"/>
      <c r="CPN233" s="15"/>
      <c r="CPO233" s="10"/>
      <c r="CPP233" s="10"/>
      <c r="CPQ233" s="19"/>
      <c r="CPR233" s="19"/>
      <c r="CPU233" s="16"/>
      <c r="CPV233" s="15"/>
      <c r="CPW233" s="15"/>
      <c r="CPX233" s="15"/>
      <c r="CPY233" s="16"/>
      <c r="CPZ233" s="16"/>
      <c r="CQA233" s="16"/>
      <c r="CQB233" s="16"/>
      <c r="CQC233" s="16"/>
      <c r="CQD233" s="15"/>
      <c r="CQE233" s="15"/>
      <c r="CQF233" s="10"/>
      <c r="CQG233" s="10"/>
      <c r="CQH233" s="19"/>
      <c r="CQI233" s="19"/>
      <c r="CQL233" s="16"/>
      <c r="CQM233" s="15"/>
      <c r="CQN233" s="15"/>
      <c r="CQO233" s="15"/>
      <c r="CQP233" s="16"/>
      <c r="CQQ233" s="16"/>
      <c r="CQR233" s="16"/>
      <c r="CQS233" s="16"/>
      <c r="CQT233" s="16"/>
      <c r="CQU233" s="15"/>
      <c r="CQV233" s="15"/>
      <c r="CQW233" s="10"/>
      <c r="CQX233" s="10"/>
      <c r="CQY233" s="19"/>
      <c r="CQZ233" s="19"/>
      <c r="CRC233" s="16"/>
      <c r="CRD233" s="15"/>
      <c r="CRE233" s="15"/>
      <c r="CRF233" s="15"/>
      <c r="CRG233" s="16"/>
      <c r="CRH233" s="16"/>
      <c r="CRI233" s="16"/>
      <c r="CRJ233" s="16"/>
      <c r="CRK233" s="16"/>
      <c r="CRL233" s="15"/>
      <c r="CRM233" s="15"/>
      <c r="CRN233" s="10"/>
      <c r="CRO233" s="10"/>
      <c r="CRP233" s="19"/>
      <c r="CRQ233" s="19"/>
      <c r="CRT233" s="16"/>
      <c r="CRU233" s="15"/>
      <c r="CRV233" s="15"/>
      <c r="CRW233" s="15"/>
      <c r="CRX233" s="16"/>
      <c r="CRY233" s="16"/>
      <c r="CRZ233" s="16"/>
      <c r="CSA233" s="16"/>
      <c r="CSB233" s="16"/>
      <c r="CSC233" s="15"/>
      <c r="CSD233" s="15"/>
      <c r="CSE233" s="10"/>
      <c r="CSF233" s="10"/>
      <c r="CSG233" s="19"/>
      <c r="CSH233" s="19"/>
      <c r="CSK233" s="16"/>
      <c r="CSL233" s="15"/>
      <c r="CSM233" s="15"/>
      <c r="CSN233" s="15"/>
      <c r="CSO233" s="16"/>
      <c r="CSP233" s="16"/>
      <c r="CSQ233" s="16"/>
      <c r="CSR233" s="16"/>
      <c r="CSS233" s="16"/>
      <c r="CST233" s="15"/>
      <c r="CSU233" s="15"/>
      <c r="CSV233" s="10"/>
      <c r="CSW233" s="10"/>
      <c r="CSX233" s="19"/>
      <c r="CSY233" s="19"/>
      <c r="CTB233" s="16"/>
      <c r="CTC233" s="15"/>
      <c r="CTD233" s="15"/>
      <c r="CTE233" s="15"/>
      <c r="CTF233" s="16"/>
      <c r="CTG233" s="16"/>
      <c r="CTH233" s="16"/>
      <c r="CTI233" s="16"/>
      <c r="CTJ233" s="16"/>
      <c r="CTK233" s="15"/>
      <c r="CTL233" s="15"/>
      <c r="CTM233" s="10"/>
      <c r="CTN233" s="10"/>
      <c r="CTO233" s="19"/>
      <c r="CTP233" s="19"/>
      <c r="CTS233" s="16"/>
      <c r="CTT233" s="15"/>
      <c r="CTU233" s="15"/>
      <c r="CTV233" s="15"/>
      <c r="CTW233" s="16"/>
      <c r="CTX233" s="16"/>
      <c r="CTY233" s="16"/>
      <c r="CTZ233" s="16"/>
      <c r="CUA233" s="16"/>
      <c r="CUB233" s="15"/>
      <c r="CUC233" s="15"/>
      <c r="CUD233" s="10"/>
      <c r="CUE233" s="10"/>
      <c r="CUF233" s="19"/>
      <c r="CUG233" s="19"/>
      <c r="CUJ233" s="16"/>
      <c r="CUK233" s="15"/>
      <c r="CUL233" s="15"/>
      <c r="CUM233" s="15"/>
      <c r="CUN233" s="16"/>
      <c r="CUO233" s="16"/>
      <c r="CUP233" s="16"/>
      <c r="CUQ233" s="16"/>
      <c r="CUR233" s="16"/>
      <c r="CUS233" s="15"/>
      <c r="CUT233" s="15"/>
      <c r="CUU233" s="10"/>
      <c r="CUV233" s="10"/>
      <c r="CUW233" s="19"/>
      <c r="CUX233" s="19"/>
      <c r="CVA233" s="16"/>
      <c r="CVB233" s="15"/>
      <c r="CVC233" s="15"/>
      <c r="CVD233" s="15"/>
      <c r="CVE233" s="16"/>
      <c r="CVF233" s="16"/>
      <c r="CVG233" s="16"/>
      <c r="CVH233" s="16"/>
      <c r="CVI233" s="16"/>
      <c r="CVJ233" s="15"/>
      <c r="CVK233" s="15"/>
      <c r="CVL233" s="10"/>
      <c r="CVM233" s="10"/>
      <c r="CVN233" s="19"/>
      <c r="CVO233" s="19"/>
      <c r="CVR233" s="16"/>
      <c r="CVS233" s="15"/>
      <c r="CVT233" s="15"/>
      <c r="CVU233" s="15"/>
      <c r="CVV233" s="16"/>
      <c r="CVW233" s="16"/>
      <c r="CVX233" s="16"/>
      <c r="CVY233" s="16"/>
      <c r="CVZ233" s="16"/>
      <c r="CWA233" s="15"/>
      <c r="CWB233" s="15"/>
      <c r="CWC233" s="10"/>
      <c r="CWD233" s="10"/>
      <c r="CWE233" s="19"/>
      <c r="CWF233" s="19"/>
      <c r="CWI233" s="16"/>
      <c r="CWJ233" s="15"/>
      <c r="CWK233" s="15"/>
      <c r="CWL233" s="15"/>
      <c r="CWM233" s="16"/>
      <c r="CWN233" s="16"/>
      <c r="CWO233" s="16"/>
      <c r="CWP233" s="16"/>
      <c r="CWQ233" s="16"/>
      <c r="CWR233" s="15"/>
      <c r="CWS233" s="15"/>
      <c r="CWT233" s="10"/>
      <c r="CWU233" s="10"/>
      <c r="CWV233" s="19"/>
      <c r="CWW233" s="19"/>
      <c r="CWZ233" s="16"/>
      <c r="CXA233" s="15"/>
      <c r="CXB233" s="15"/>
      <c r="CXC233" s="15"/>
      <c r="CXD233" s="16"/>
      <c r="CXE233" s="16"/>
      <c r="CXF233" s="16"/>
      <c r="CXG233" s="16"/>
      <c r="CXH233" s="16"/>
      <c r="CXI233" s="15"/>
      <c r="CXJ233" s="15"/>
      <c r="CXK233" s="10"/>
      <c r="CXL233" s="10"/>
      <c r="CXM233" s="19"/>
      <c r="CXN233" s="19"/>
      <c r="CXQ233" s="16"/>
      <c r="CXR233" s="15"/>
      <c r="CXS233" s="15"/>
      <c r="CXT233" s="15"/>
      <c r="CXU233" s="16"/>
      <c r="CXV233" s="16"/>
      <c r="CXW233" s="16"/>
      <c r="CXX233" s="16"/>
      <c r="CXY233" s="16"/>
      <c r="CXZ233" s="15"/>
      <c r="CYA233" s="15"/>
      <c r="CYB233" s="10"/>
      <c r="CYC233" s="10"/>
      <c r="CYD233" s="19"/>
      <c r="CYE233" s="19"/>
      <c r="CYH233" s="16"/>
      <c r="CYI233" s="15"/>
      <c r="CYJ233" s="15"/>
      <c r="CYK233" s="15"/>
      <c r="CYL233" s="16"/>
      <c r="CYM233" s="16"/>
      <c r="CYN233" s="16"/>
      <c r="CYO233" s="16"/>
      <c r="CYP233" s="16"/>
      <c r="CYQ233" s="15"/>
      <c r="CYR233" s="15"/>
      <c r="CYS233" s="10"/>
      <c r="CYT233" s="10"/>
      <c r="CYU233" s="19"/>
      <c r="CYV233" s="19"/>
      <c r="CYY233" s="16"/>
      <c r="CYZ233" s="15"/>
      <c r="CZA233" s="15"/>
      <c r="CZB233" s="15"/>
      <c r="CZC233" s="16"/>
      <c r="CZD233" s="16"/>
      <c r="CZE233" s="16"/>
      <c r="CZF233" s="16"/>
      <c r="CZG233" s="16"/>
      <c r="CZH233" s="15"/>
      <c r="CZI233" s="15"/>
      <c r="CZJ233" s="10"/>
      <c r="CZK233" s="10"/>
      <c r="CZL233" s="19"/>
      <c r="CZM233" s="19"/>
      <c r="CZP233" s="16"/>
      <c r="CZQ233" s="15"/>
      <c r="CZR233" s="15"/>
      <c r="CZS233" s="15"/>
      <c r="CZT233" s="16"/>
      <c r="CZU233" s="16"/>
      <c r="CZV233" s="16"/>
      <c r="CZW233" s="16"/>
      <c r="CZX233" s="16"/>
      <c r="CZY233" s="15"/>
      <c r="CZZ233" s="15"/>
      <c r="DAA233" s="10"/>
      <c r="DAB233" s="10"/>
      <c r="DAC233" s="19"/>
      <c r="DAD233" s="19"/>
      <c r="DAG233" s="16"/>
      <c r="DAH233" s="15"/>
      <c r="DAI233" s="15"/>
      <c r="DAJ233" s="15"/>
      <c r="DAK233" s="16"/>
      <c r="DAL233" s="16"/>
      <c r="DAM233" s="16"/>
      <c r="DAN233" s="16"/>
      <c r="DAO233" s="16"/>
      <c r="DAP233" s="15"/>
      <c r="DAQ233" s="15"/>
      <c r="DAR233" s="10"/>
      <c r="DAS233" s="10"/>
      <c r="DAT233" s="19"/>
      <c r="DAU233" s="19"/>
      <c r="DAX233" s="16"/>
      <c r="DAY233" s="15"/>
      <c r="DAZ233" s="15"/>
      <c r="DBA233" s="15"/>
      <c r="DBB233" s="16"/>
      <c r="DBC233" s="16"/>
      <c r="DBD233" s="16"/>
      <c r="DBE233" s="16"/>
      <c r="DBF233" s="16"/>
      <c r="DBG233" s="15"/>
      <c r="DBH233" s="15"/>
      <c r="DBI233" s="10"/>
      <c r="DBJ233" s="10"/>
      <c r="DBK233" s="19"/>
      <c r="DBL233" s="19"/>
      <c r="DBO233" s="16"/>
      <c r="DBP233" s="15"/>
      <c r="DBQ233" s="15"/>
      <c r="DBR233" s="15"/>
      <c r="DBS233" s="16"/>
      <c r="DBT233" s="16"/>
      <c r="DBU233" s="16"/>
      <c r="DBV233" s="16"/>
      <c r="DBW233" s="16"/>
      <c r="DBX233" s="15"/>
      <c r="DBY233" s="15"/>
      <c r="DBZ233" s="10"/>
      <c r="DCA233" s="10"/>
      <c r="DCB233" s="19"/>
      <c r="DCC233" s="19"/>
      <c r="DCF233" s="16"/>
      <c r="DCG233" s="15"/>
      <c r="DCH233" s="15"/>
      <c r="DCI233" s="15"/>
      <c r="DCJ233" s="16"/>
      <c r="DCK233" s="16"/>
      <c r="DCL233" s="16"/>
      <c r="DCM233" s="16"/>
      <c r="DCN233" s="16"/>
      <c r="DCO233" s="15"/>
      <c r="DCP233" s="15"/>
      <c r="DCQ233" s="10"/>
      <c r="DCR233" s="10"/>
      <c r="DCS233" s="19"/>
      <c r="DCT233" s="19"/>
      <c r="DCW233" s="16"/>
      <c r="DCX233" s="15"/>
      <c r="DCY233" s="15"/>
      <c r="DCZ233" s="15"/>
      <c r="DDA233" s="16"/>
      <c r="DDB233" s="16"/>
      <c r="DDC233" s="16"/>
      <c r="DDD233" s="16"/>
      <c r="DDE233" s="16"/>
      <c r="DDF233" s="15"/>
      <c r="DDG233" s="15"/>
      <c r="DDH233" s="10"/>
      <c r="DDI233" s="10"/>
      <c r="DDJ233" s="19"/>
      <c r="DDK233" s="19"/>
      <c r="DDN233" s="16"/>
      <c r="DDO233" s="15"/>
      <c r="DDP233" s="15"/>
      <c r="DDQ233" s="15"/>
      <c r="DDR233" s="16"/>
      <c r="DDS233" s="16"/>
      <c r="DDT233" s="16"/>
      <c r="DDU233" s="16"/>
      <c r="DDV233" s="16"/>
      <c r="DDW233" s="15"/>
      <c r="DDX233" s="15"/>
      <c r="DDY233" s="10"/>
      <c r="DDZ233" s="10"/>
      <c r="DEA233" s="19"/>
      <c r="DEB233" s="19"/>
      <c r="DEE233" s="16"/>
      <c r="DEF233" s="15"/>
      <c r="DEG233" s="15"/>
      <c r="DEH233" s="15"/>
      <c r="DEI233" s="16"/>
      <c r="DEJ233" s="16"/>
      <c r="DEK233" s="16"/>
      <c r="DEL233" s="16"/>
      <c r="DEM233" s="16"/>
      <c r="DEN233" s="15"/>
      <c r="DEO233" s="15"/>
      <c r="DEP233" s="10"/>
      <c r="DEQ233" s="10"/>
      <c r="DER233" s="19"/>
      <c r="DES233" s="19"/>
      <c r="DEV233" s="16"/>
      <c r="DEW233" s="15"/>
      <c r="DEX233" s="15"/>
      <c r="DEY233" s="15"/>
      <c r="DEZ233" s="16"/>
      <c r="DFA233" s="16"/>
      <c r="DFB233" s="16"/>
      <c r="DFC233" s="16"/>
      <c r="DFD233" s="16"/>
      <c r="DFE233" s="15"/>
      <c r="DFF233" s="15"/>
      <c r="DFG233" s="10"/>
      <c r="DFH233" s="10"/>
      <c r="DFI233" s="19"/>
      <c r="DFJ233" s="19"/>
      <c r="DFM233" s="16"/>
      <c r="DFN233" s="15"/>
      <c r="DFO233" s="15"/>
      <c r="DFP233" s="15"/>
      <c r="DFQ233" s="16"/>
      <c r="DFR233" s="16"/>
      <c r="DFS233" s="16"/>
      <c r="DFT233" s="16"/>
      <c r="DFU233" s="16"/>
      <c r="DFV233" s="15"/>
      <c r="DFW233" s="15"/>
      <c r="DFX233" s="10"/>
      <c r="DFY233" s="10"/>
      <c r="DFZ233" s="19"/>
      <c r="DGA233" s="19"/>
      <c r="DGD233" s="16"/>
      <c r="DGE233" s="15"/>
      <c r="DGF233" s="15"/>
      <c r="DGG233" s="15"/>
      <c r="DGH233" s="16"/>
      <c r="DGI233" s="16"/>
      <c r="DGJ233" s="16"/>
      <c r="DGK233" s="16"/>
      <c r="DGL233" s="16"/>
      <c r="DGM233" s="15"/>
      <c r="DGN233" s="15"/>
      <c r="DGO233" s="10"/>
      <c r="DGP233" s="10"/>
      <c r="DGQ233" s="19"/>
      <c r="DGR233" s="19"/>
      <c r="DGU233" s="16"/>
      <c r="DGV233" s="15"/>
      <c r="DGW233" s="15"/>
      <c r="DGX233" s="15"/>
      <c r="DGY233" s="16"/>
      <c r="DGZ233" s="16"/>
      <c r="DHA233" s="16"/>
      <c r="DHB233" s="16"/>
      <c r="DHC233" s="16"/>
      <c r="DHD233" s="15"/>
      <c r="DHE233" s="15"/>
      <c r="DHF233" s="10"/>
      <c r="DHG233" s="10"/>
      <c r="DHH233" s="19"/>
      <c r="DHI233" s="19"/>
      <c r="DHL233" s="16"/>
      <c r="DHM233" s="15"/>
      <c r="DHN233" s="15"/>
      <c r="DHO233" s="15"/>
      <c r="DHP233" s="16"/>
      <c r="DHQ233" s="16"/>
      <c r="DHR233" s="16"/>
      <c r="DHS233" s="16"/>
      <c r="DHT233" s="16"/>
      <c r="DHU233" s="15"/>
      <c r="DHV233" s="15"/>
      <c r="DHW233" s="10"/>
      <c r="DHX233" s="10"/>
      <c r="DHY233" s="19"/>
      <c r="DHZ233" s="19"/>
      <c r="DIC233" s="16"/>
      <c r="DID233" s="15"/>
      <c r="DIE233" s="15"/>
      <c r="DIF233" s="15"/>
      <c r="DIG233" s="16"/>
      <c r="DIH233" s="16"/>
      <c r="DII233" s="16"/>
      <c r="DIJ233" s="16"/>
      <c r="DIK233" s="16"/>
      <c r="DIL233" s="15"/>
      <c r="DIM233" s="15"/>
      <c r="DIN233" s="10"/>
      <c r="DIO233" s="10"/>
      <c r="DIP233" s="19"/>
      <c r="DIQ233" s="19"/>
      <c r="DIT233" s="16"/>
      <c r="DIU233" s="15"/>
      <c r="DIV233" s="15"/>
      <c r="DIW233" s="15"/>
      <c r="DIX233" s="16"/>
      <c r="DIY233" s="16"/>
      <c r="DIZ233" s="16"/>
      <c r="DJA233" s="16"/>
      <c r="DJB233" s="16"/>
      <c r="DJC233" s="15"/>
      <c r="DJD233" s="15"/>
      <c r="DJE233" s="10"/>
      <c r="DJF233" s="10"/>
      <c r="DJG233" s="19"/>
      <c r="DJH233" s="19"/>
      <c r="DJK233" s="16"/>
      <c r="DJL233" s="15"/>
      <c r="DJM233" s="15"/>
      <c r="DJN233" s="15"/>
      <c r="DJO233" s="16"/>
      <c r="DJP233" s="16"/>
      <c r="DJQ233" s="16"/>
      <c r="DJR233" s="16"/>
      <c r="DJS233" s="16"/>
      <c r="DJT233" s="15"/>
      <c r="DJU233" s="15"/>
      <c r="DJV233" s="10"/>
      <c r="DJW233" s="10"/>
      <c r="DJX233" s="19"/>
      <c r="DJY233" s="19"/>
      <c r="DKB233" s="16"/>
      <c r="DKC233" s="15"/>
      <c r="DKD233" s="15"/>
      <c r="DKE233" s="15"/>
      <c r="DKF233" s="16"/>
      <c r="DKG233" s="16"/>
      <c r="DKH233" s="16"/>
      <c r="DKI233" s="16"/>
      <c r="DKJ233" s="16"/>
      <c r="DKK233" s="15"/>
      <c r="DKL233" s="15"/>
      <c r="DKM233" s="10"/>
      <c r="DKN233" s="10"/>
      <c r="DKO233" s="19"/>
      <c r="DKP233" s="19"/>
      <c r="DKS233" s="16"/>
      <c r="DKT233" s="15"/>
      <c r="DKU233" s="15"/>
      <c r="DKV233" s="15"/>
      <c r="DKW233" s="16"/>
      <c r="DKX233" s="16"/>
      <c r="DKY233" s="16"/>
      <c r="DKZ233" s="16"/>
      <c r="DLA233" s="16"/>
      <c r="DLB233" s="15"/>
      <c r="DLC233" s="15"/>
      <c r="DLD233" s="10"/>
      <c r="DLE233" s="10"/>
      <c r="DLF233" s="19"/>
      <c r="DLG233" s="19"/>
      <c r="DLJ233" s="16"/>
      <c r="DLK233" s="15"/>
      <c r="DLL233" s="15"/>
      <c r="DLM233" s="15"/>
      <c r="DLN233" s="16"/>
      <c r="DLO233" s="16"/>
      <c r="DLP233" s="16"/>
      <c r="DLQ233" s="16"/>
      <c r="DLR233" s="16"/>
      <c r="DLS233" s="15"/>
      <c r="DLT233" s="15"/>
      <c r="DLU233" s="10"/>
      <c r="DLV233" s="10"/>
      <c r="DLW233" s="19"/>
      <c r="DLX233" s="19"/>
      <c r="DMA233" s="16"/>
      <c r="DMB233" s="15"/>
      <c r="DMC233" s="15"/>
      <c r="DMD233" s="15"/>
      <c r="DME233" s="16"/>
      <c r="DMF233" s="16"/>
      <c r="DMG233" s="16"/>
      <c r="DMH233" s="16"/>
      <c r="DMI233" s="16"/>
      <c r="DMJ233" s="15"/>
      <c r="DMK233" s="15"/>
      <c r="DML233" s="10"/>
      <c r="DMM233" s="10"/>
      <c r="DMN233" s="19"/>
      <c r="DMO233" s="19"/>
      <c r="DMR233" s="16"/>
      <c r="DMS233" s="15"/>
      <c r="DMT233" s="15"/>
      <c r="DMU233" s="15"/>
      <c r="DMV233" s="16"/>
      <c r="DMW233" s="16"/>
      <c r="DMX233" s="16"/>
      <c r="DMY233" s="16"/>
      <c r="DMZ233" s="16"/>
      <c r="DNA233" s="15"/>
      <c r="DNB233" s="15"/>
      <c r="DNC233" s="10"/>
      <c r="DND233" s="10"/>
      <c r="DNE233" s="19"/>
      <c r="DNF233" s="19"/>
      <c r="DNI233" s="16"/>
      <c r="DNJ233" s="15"/>
      <c r="DNK233" s="15"/>
      <c r="DNL233" s="15"/>
      <c r="DNM233" s="16"/>
      <c r="DNN233" s="16"/>
      <c r="DNO233" s="16"/>
      <c r="DNP233" s="16"/>
      <c r="DNQ233" s="16"/>
      <c r="DNR233" s="15"/>
      <c r="DNS233" s="15"/>
      <c r="DNT233" s="10"/>
      <c r="DNU233" s="10"/>
      <c r="DNV233" s="19"/>
      <c r="DNW233" s="19"/>
      <c r="DNZ233" s="16"/>
      <c r="DOA233" s="15"/>
      <c r="DOB233" s="15"/>
      <c r="DOC233" s="15"/>
      <c r="DOD233" s="16"/>
      <c r="DOE233" s="16"/>
      <c r="DOF233" s="16"/>
      <c r="DOG233" s="16"/>
      <c r="DOH233" s="16"/>
      <c r="DOI233" s="15"/>
      <c r="DOJ233" s="15"/>
      <c r="DOK233" s="10"/>
      <c r="DOL233" s="10"/>
      <c r="DOM233" s="19"/>
      <c r="DON233" s="19"/>
      <c r="DOQ233" s="16"/>
      <c r="DOR233" s="15"/>
      <c r="DOS233" s="15"/>
      <c r="DOT233" s="15"/>
      <c r="DOU233" s="16"/>
      <c r="DOV233" s="16"/>
      <c r="DOW233" s="16"/>
      <c r="DOX233" s="16"/>
      <c r="DOY233" s="16"/>
      <c r="DOZ233" s="15"/>
      <c r="DPA233" s="15"/>
      <c r="DPB233" s="10"/>
      <c r="DPC233" s="10"/>
      <c r="DPD233" s="19"/>
      <c r="DPE233" s="19"/>
      <c r="DPH233" s="16"/>
      <c r="DPI233" s="15"/>
      <c r="DPJ233" s="15"/>
      <c r="DPK233" s="15"/>
      <c r="DPL233" s="16"/>
      <c r="DPM233" s="16"/>
      <c r="DPN233" s="16"/>
      <c r="DPO233" s="16"/>
      <c r="DPP233" s="16"/>
      <c r="DPQ233" s="15"/>
      <c r="DPR233" s="15"/>
      <c r="DPS233" s="10"/>
      <c r="DPT233" s="10"/>
      <c r="DPU233" s="19"/>
      <c r="DPV233" s="19"/>
      <c r="DPY233" s="16"/>
      <c r="DPZ233" s="15"/>
      <c r="DQA233" s="15"/>
      <c r="DQB233" s="15"/>
      <c r="DQC233" s="16"/>
      <c r="DQD233" s="16"/>
      <c r="DQE233" s="16"/>
      <c r="DQF233" s="16"/>
      <c r="DQG233" s="16"/>
      <c r="DQH233" s="15"/>
      <c r="DQI233" s="15"/>
      <c r="DQJ233" s="10"/>
      <c r="DQK233" s="10"/>
      <c r="DQL233" s="19"/>
      <c r="DQM233" s="19"/>
      <c r="DQP233" s="16"/>
      <c r="DQQ233" s="15"/>
      <c r="DQR233" s="15"/>
      <c r="DQS233" s="15"/>
      <c r="DQT233" s="16"/>
      <c r="DQU233" s="16"/>
      <c r="DQV233" s="16"/>
      <c r="DQW233" s="16"/>
      <c r="DQX233" s="16"/>
      <c r="DQY233" s="15"/>
      <c r="DQZ233" s="15"/>
      <c r="DRA233" s="10"/>
      <c r="DRB233" s="10"/>
      <c r="DRC233" s="19"/>
      <c r="DRD233" s="19"/>
      <c r="DRG233" s="16"/>
      <c r="DRH233" s="15"/>
      <c r="DRI233" s="15"/>
      <c r="DRJ233" s="15"/>
      <c r="DRK233" s="16"/>
      <c r="DRL233" s="16"/>
      <c r="DRM233" s="16"/>
      <c r="DRN233" s="16"/>
      <c r="DRO233" s="16"/>
      <c r="DRP233" s="15"/>
      <c r="DRQ233" s="15"/>
      <c r="DRR233" s="10"/>
      <c r="DRS233" s="10"/>
      <c r="DRT233" s="19"/>
      <c r="DRU233" s="19"/>
      <c r="DRX233" s="16"/>
      <c r="DRY233" s="15"/>
      <c r="DRZ233" s="15"/>
      <c r="DSA233" s="15"/>
      <c r="DSB233" s="16"/>
      <c r="DSC233" s="16"/>
      <c r="DSD233" s="16"/>
      <c r="DSE233" s="16"/>
      <c r="DSF233" s="16"/>
      <c r="DSG233" s="15"/>
      <c r="DSH233" s="15"/>
      <c r="DSI233" s="10"/>
      <c r="DSJ233" s="10"/>
      <c r="DSK233" s="19"/>
      <c r="DSL233" s="19"/>
      <c r="DSO233" s="16"/>
      <c r="DSP233" s="15"/>
      <c r="DSQ233" s="15"/>
      <c r="DSR233" s="15"/>
      <c r="DSS233" s="16"/>
      <c r="DST233" s="16"/>
      <c r="DSU233" s="16"/>
      <c r="DSV233" s="16"/>
      <c r="DSW233" s="16"/>
      <c r="DSX233" s="15"/>
      <c r="DSY233" s="15"/>
      <c r="DSZ233" s="10"/>
      <c r="DTA233" s="10"/>
      <c r="DTB233" s="19"/>
      <c r="DTC233" s="19"/>
      <c r="DTF233" s="16"/>
      <c r="DTG233" s="15"/>
      <c r="DTH233" s="15"/>
      <c r="DTI233" s="15"/>
      <c r="DTJ233" s="16"/>
      <c r="DTK233" s="16"/>
      <c r="DTL233" s="16"/>
      <c r="DTM233" s="16"/>
      <c r="DTN233" s="16"/>
      <c r="DTO233" s="15"/>
      <c r="DTP233" s="15"/>
      <c r="DTQ233" s="10"/>
      <c r="DTR233" s="10"/>
      <c r="DTS233" s="19"/>
      <c r="DTT233" s="19"/>
      <c r="DTW233" s="16"/>
      <c r="DTX233" s="15"/>
      <c r="DTY233" s="15"/>
      <c r="DTZ233" s="15"/>
      <c r="DUA233" s="16"/>
      <c r="DUB233" s="16"/>
      <c r="DUC233" s="16"/>
      <c r="DUD233" s="16"/>
      <c r="DUE233" s="16"/>
      <c r="DUF233" s="15"/>
      <c r="DUG233" s="15"/>
      <c r="DUH233" s="10"/>
      <c r="DUI233" s="10"/>
      <c r="DUJ233" s="19"/>
      <c r="DUK233" s="19"/>
      <c r="DUN233" s="16"/>
      <c r="DUO233" s="15"/>
      <c r="DUP233" s="15"/>
      <c r="DUQ233" s="15"/>
      <c r="DUR233" s="16"/>
      <c r="DUS233" s="16"/>
      <c r="DUT233" s="16"/>
      <c r="DUU233" s="16"/>
      <c r="DUV233" s="16"/>
      <c r="DUW233" s="15"/>
      <c r="DUX233" s="15"/>
      <c r="DUY233" s="10"/>
      <c r="DUZ233" s="10"/>
      <c r="DVA233" s="19"/>
      <c r="DVB233" s="19"/>
      <c r="DVE233" s="16"/>
      <c r="DVF233" s="15"/>
      <c r="DVG233" s="15"/>
      <c r="DVH233" s="15"/>
      <c r="DVI233" s="16"/>
      <c r="DVJ233" s="16"/>
      <c r="DVK233" s="16"/>
      <c r="DVL233" s="16"/>
      <c r="DVM233" s="16"/>
      <c r="DVN233" s="15"/>
      <c r="DVO233" s="15"/>
      <c r="DVP233" s="10"/>
      <c r="DVQ233" s="10"/>
      <c r="DVR233" s="19"/>
      <c r="DVS233" s="19"/>
      <c r="DVV233" s="16"/>
      <c r="DVW233" s="15"/>
      <c r="DVX233" s="15"/>
      <c r="DVY233" s="15"/>
      <c r="DVZ233" s="16"/>
      <c r="DWA233" s="16"/>
      <c r="DWB233" s="16"/>
      <c r="DWC233" s="16"/>
      <c r="DWD233" s="16"/>
      <c r="DWE233" s="15"/>
      <c r="DWF233" s="15"/>
      <c r="DWG233" s="10"/>
      <c r="DWH233" s="10"/>
      <c r="DWI233" s="19"/>
      <c r="DWJ233" s="19"/>
      <c r="DWM233" s="16"/>
      <c r="DWN233" s="15"/>
      <c r="DWO233" s="15"/>
      <c r="DWP233" s="15"/>
      <c r="DWQ233" s="16"/>
      <c r="DWR233" s="16"/>
      <c r="DWS233" s="16"/>
      <c r="DWT233" s="16"/>
      <c r="DWU233" s="16"/>
      <c r="DWV233" s="15"/>
      <c r="DWW233" s="15"/>
      <c r="DWX233" s="10"/>
      <c r="DWY233" s="10"/>
      <c r="DWZ233" s="19"/>
      <c r="DXA233" s="19"/>
      <c r="DXD233" s="16"/>
      <c r="DXE233" s="15"/>
      <c r="DXF233" s="15"/>
      <c r="DXG233" s="15"/>
      <c r="DXH233" s="16"/>
      <c r="DXI233" s="16"/>
      <c r="DXJ233" s="16"/>
      <c r="DXK233" s="16"/>
      <c r="DXL233" s="16"/>
      <c r="DXM233" s="15"/>
      <c r="DXN233" s="15"/>
      <c r="DXO233" s="10"/>
      <c r="DXP233" s="10"/>
      <c r="DXQ233" s="19"/>
      <c r="DXR233" s="19"/>
      <c r="DXU233" s="16"/>
      <c r="DXV233" s="15"/>
      <c r="DXW233" s="15"/>
      <c r="DXX233" s="15"/>
      <c r="DXY233" s="16"/>
      <c r="DXZ233" s="16"/>
      <c r="DYA233" s="16"/>
      <c r="DYB233" s="16"/>
      <c r="DYC233" s="16"/>
      <c r="DYD233" s="15"/>
      <c r="DYE233" s="15"/>
      <c r="DYF233" s="10"/>
      <c r="DYG233" s="10"/>
      <c r="DYH233" s="19"/>
      <c r="DYI233" s="19"/>
      <c r="DYL233" s="16"/>
      <c r="DYM233" s="15"/>
      <c r="DYN233" s="15"/>
      <c r="DYO233" s="15"/>
      <c r="DYP233" s="16"/>
      <c r="DYQ233" s="16"/>
      <c r="DYR233" s="16"/>
      <c r="DYS233" s="16"/>
      <c r="DYT233" s="16"/>
      <c r="DYU233" s="15"/>
      <c r="DYV233" s="15"/>
      <c r="DYW233" s="10"/>
      <c r="DYX233" s="10"/>
      <c r="DYY233" s="19"/>
      <c r="DYZ233" s="19"/>
      <c r="DZC233" s="16"/>
      <c r="DZD233" s="15"/>
      <c r="DZE233" s="15"/>
      <c r="DZF233" s="15"/>
      <c r="DZG233" s="16"/>
      <c r="DZH233" s="16"/>
      <c r="DZI233" s="16"/>
      <c r="DZJ233" s="16"/>
      <c r="DZK233" s="16"/>
      <c r="DZL233" s="15"/>
      <c r="DZM233" s="15"/>
      <c r="DZN233" s="10"/>
      <c r="DZO233" s="10"/>
      <c r="DZP233" s="19"/>
      <c r="DZQ233" s="19"/>
      <c r="DZT233" s="16"/>
      <c r="DZU233" s="15"/>
      <c r="DZV233" s="15"/>
      <c r="DZW233" s="15"/>
      <c r="DZX233" s="16"/>
      <c r="DZY233" s="16"/>
      <c r="DZZ233" s="16"/>
      <c r="EAA233" s="16"/>
      <c r="EAB233" s="16"/>
      <c r="EAC233" s="15"/>
      <c r="EAD233" s="15"/>
      <c r="EAE233" s="10"/>
      <c r="EAF233" s="10"/>
      <c r="EAG233" s="19"/>
      <c r="EAH233" s="19"/>
      <c r="EAK233" s="16"/>
      <c r="EAL233" s="15"/>
      <c r="EAM233" s="15"/>
      <c r="EAN233" s="15"/>
      <c r="EAO233" s="16"/>
      <c r="EAP233" s="16"/>
      <c r="EAQ233" s="16"/>
      <c r="EAR233" s="16"/>
      <c r="EAS233" s="16"/>
      <c r="EAT233" s="15"/>
      <c r="EAU233" s="15"/>
      <c r="EAV233" s="10"/>
      <c r="EAW233" s="10"/>
      <c r="EAX233" s="19"/>
      <c r="EAY233" s="19"/>
      <c r="EBB233" s="16"/>
      <c r="EBC233" s="15"/>
      <c r="EBD233" s="15"/>
      <c r="EBE233" s="15"/>
      <c r="EBF233" s="16"/>
      <c r="EBG233" s="16"/>
      <c r="EBH233" s="16"/>
      <c r="EBI233" s="16"/>
      <c r="EBJ233" s="16"/>
      <c r="EBK233" s="15"/>
      <c r="EBL233" s="15"/>
      <c r="EBM233" s="10"/>
      <c r="EBN233" s="10"/>
      <c r="EBO233" s="19"/>
      <c r="EBP233" s="19"/>
      <c r="EBS233" s="16"/>
      <c r="EBT233" s="15"/>
      <c r="EBU233" s="15"/>
      <c r="EBV233" s="15"/>
      <c r="EBW233" s="16"/>
      <c r="EBX233" s="16"/>
      <c r="EBY233" s="16"/>
      <c r="EBZ233" s="16"/>
      <c r="ECA233" s="16"/>
      <c r="ECB233" s="15"/>
      <c r="ECC233" s="15"/>
      <c r="ECD233" s="10"/>
      <c r="ECE233" s="10"/>
      <c r="ECF233" s="19"/>
      <c r="ECG233" s="19"/>
      <c r="ECJ233" s="16"/>
      <c r="ECK233" s="15"/>
      <c r="ECL233" s="15"/>
      <c r="ECM233" s="15"/>
      <c r="ECN233" s="16"/>
      <c r="ECO233" s="16"/>
      <c r="ECP233" s="16"/>
      <c r="ECQ233" s="16"/>
      <c r="ECR233" s="16"/>
      <c r="ECS233" s="15"/>
      <c r="ECT233" s="15"/>
      <c r="ECU233" s="10"/>
      <c r="ECV233" s="10"/>
      <c r="ECW233" s="19"/>
      <c r="ECX233" s="19"/>
      <c r="EDA233" s="16"/>
      <c r="EDB233" s="15"/>
      <c r="EDC233" s="15"/>
      <c r="EDD233" s="15"/>
      <c r="EDE233" s="16"/>
      <c r="EDF233" s="16"/>
      <c r="EDG233" s="16"/>
      <c r="EDH233" s="16"/>
      <c r="EDI233" s="16"/>
      <c r="EDJ233" s="15"/>
      <c r="EDK233" s="15"/>
      <c r="EDL233" s="10"/>
      <c r="EDM233" s="10"/>
      <c r="EDN233" s="19"/>
      <c r="EDO233" s="19"/>
      <c r="EDR233" s="16"/>
      <c r="EDS233" s="15"/>
      <c r="EDT233" s="15"/>
      <c r="EDU233" s="15"/>
      <c r="EDV233" s="16"/>
      <c r="EDW233" s="16"/>
      <c r="EDX233" s="16"/>
      <c r="EDY233" s="16"/>
      <c r="EDZ233" s="16"/>
      <c r="EEA233" s="15"/>
      <c r="EEB233" s="15"/>
      <c r="EEC233" s="10"/>
      <c r="EED233" s="10"/>
      <c r="EEE233" s="19"/>
      <c r="EEF233" s="19"/>
      <c r="EEI233" s="16"/>
      <c r="EEJ233" s="15"/>
      <c r="EEK233" s="15"/>
      <c r="EEL233" s="15"/>
      <c r="EEM233" s="16"/>
      <c r="EEN233" s="16"/>
      <c r="EEO233" s="16"/>
      <c r="EEP233" s="16"/>
      <c r="EEQ233" s="16"/>
      <c r="EER233" s="15"/>
      <c r="EES233" s="15"/>
      <c r="EET233" s="10"/>
      <c r="EEU233" s="10"/>
      <c r="EEV233" s="19"/>
      <c r="EEW233" s="19"/>
      <c r="EEZ233" s="16"/>
      <c r="EFA233" s="15"/>
      <c r="EFB233" s="15"/>
      <c r="EFC233" s="15"/>
      <c r="EFD233" s="16"/>
      <c r="EFE233" s="16"/>
      <c r="EFF233" s="16"/>
      <c r="EFG233" s="16"/>
      <c r="EFH233" s="16"/>
      <c r="EFI233" s="15"/>
      <c r="EFJ233" s="15"/>
      <c r="EFK233" s="10"/>
      <c r="EFL233" s="10"/>
      <c r="EFM233" s="19"/>
      <c r="EFN233" s="19"/>
      <c r="EFQ233" s="16"/>
      <c r="EFR233" s="15"/>
      <c r="EFS233" s="15"/>
      <c r="EFT233" s="15"/>
      <c r="EFU233" s="16"/>
      <c r="EFV233" s="16"/>
      <c r="EFW233" s="16"/>
      <c r="EFX233" s="16"/>
      <c r="EFY233" s="16"/>
      <c r="EFZ233" s="15"/>
      <c r="EGA233" s="15"/>
      <c r="EGB233" s="10"/>
      <c r="EGC233" s="10"/>
      <c r="EGD233" s="19"/>
      <c r="EGE233" s="19"/>
      <c r="EGH233" s="16"/>
      <c r="EGI233" s="15"/>
      <c r="EGJ233" s="15"/>
      <c r="EGK233" s="15"/>
      <c r="EGL233" s="16"/>
      <c r="EGM233" s="16"/>
      <c r="EGN233" s="16"/>
      <c r="EGO233" s="16"/>
      <c r="EGP233" s="16"/>
      <c r="EGQ233" s="15"/>
      <c r="EGR233" s="15"/>
      <c r="EGS233" s="10"/>
      <c r="EGT233" s="10"/>
      <c r="EGU233" s="19"/>
      <c r="EGV233" s="19"/>
      <c r="EGY233" s="16"/>
      <c r="EGZ233" s="15"/>
      <c r="EHA233" s="15"/>
      <c r="EHB233" s="15"/>
      <c r="EHC233" s="16"/>
      <c r="EHD233" s="16"/>
      <c r="EHE233" s="16"/>
      <c r="EHF233" s="16"/>
      <c r="EHG233" s="16"/>
      <c r="EHH233" s="15"/>
      <c r="EHI233" s="15"/>
      <c r="EHJ233" s="10"/>
      <c r="EHK233" s="10"/>
      <c r="EHL233" s="19"/>
      <c r="EHM233" s="19"/>
      <c r="EHP233" s="16"/>
      <c r="EHQ233" s="15"/>
      <c r="EHR233" s="15"/>
      <c r="EHS233" s="15"/>
      <c r="EHT233" s="16"/>
      <c r="EHU233" s="16"/>
      <c r="EHV233" s="16"/>
      <c r="EHW233" s="16"/>
      <c r="EHX233" s="16"/>
      <c r="EHY233" s="15"/>
      <c r="EHZ233" s="15"/>
      <c r="EIA233" s="10"/>
      <c r="EIB233" s="10"/>
      <c r="EIC233" s="19"/>
      <c r="EID233" s="19"/>
      <c r="EIG233" s="16"/>
      <c r="EIH233" s="15"/>
      <c r="EII233" s="15"/>
      <c r="EIJ233" s="15"/>
      <c r="EIK233" s="16"/>
      <c r="EIL233" s="16"/>
      <c r="EIM233" s="16"/>
      <c r="EIN233" s="16"/>
      <c r="EIO233" s="16"/>
      <c r="EIP233" s="15"/>
      <c r="EIQ233" s="15"/>
      <c r="EIR233" s="10"/>
      <c r="EIS233" s="10"/>
      <c r="EIT233" s="19"/>
      <c r="EIU233" s="19"/>
      <c r="EIX233" s="16"/>
      <c r="EIY233" s="15"/>
      <c r="EIZ233" s="15"/>
      <c r="EJA233" s="15"/>
      <c r="EJB233" s="16"/>
      <c r="EJC233" s="16"/>
      <c r="EJD233" s="16"/>
      <c r="EJE233" s="16"/>
      <c r="EJF233" s="16"/>
      <c r="EJG233" s="15"/>
      <c r="EJH233" s="15"/>
      <c r="EJI233" s="10"/>
      <c r="EJJ233" s="10"/>
      <c r="EJK233" s="19"/>
      <c r="EJL233" s="19"/>
      <c r="EJO233" s="16"/>
      <c r="EJP233" s="15"/>
      <c r="EJQ233" s="15"/>
      <c r="EJR233" s="15"/>
      <c r="EJS233" s="16"/>
      <c r="EJT233" s="16"/>
      <c r="EJU233" s="16"/>
      <c r="EJV233" s="16"/>
      <c r="EJW233" s="16"/>
      <c r="EJX233" s="15"/>
      <c r="EJY233" s="15"/>
      <c r="EJZ233" s="10"/>
      <c r="EKA233" s="10"/>
      <c r="EKB233" s="19"/>
      <c r="EKC233" s="19"/>
      <c r="EKF233" s="16"/>
      <c r="EKG233" s="15"/>
      <c r="EKH233" s="15"/>
      <c r="EKI233" s="15"/>
      <c r="EKJ233" s="16"/>
      <c r="EKK233" s="16"/>
      <c r="EKL233" s="16"/>
      <c r="EKM233" s="16"/>
      <c r="EKN233" s="16"/>
      <c r="EKO233" s="15"/>
      <c r="EKP233" s="15"/>
      <c r="EKQ233" s="10"/>
      <c r="EKR233" s="10"/>
      <c r="EKS233" s="19"/>
      <c r="EKT233" s="19"/>
      <c r="EKW233" s="16"/>
      <c r="EKX233" s="15"/>
      <c r="EKY233" s="15"/>
      <c r="EKZ233" s="15"/>
      <c r="ELA233" s="16"/>
      <c r="ELB233" s="16"/>
      <c r="ELC233" s="16"/>
      <c r="ELD233" s="16"/>
      <c r="ELE233" s="16"/>
      <c r="ELF233" s="15"/>
      <c r="ELG233" s="15"/>
      <c r="ELH233" s="10"/>
      <c r="ELI233" s="10"/>
      <c r="ELJ233" s="19"/>
      <c r="ELK233" s="19"/>
      <c r="ELN233" s="16"/>
      <c r="ELO233" s="15"/>
      <c r="ELP233" s="15"/>
      <c r="ELQ233" s="15"/>
      <c r="ELR233" s="16"/>
      <c r="ELS233" s="16"/>
      <c r="ELT233" s="16"/>
      <c r="ELU233" s="16"/>
      <c r="ELV233" s="16"/>
      <c r="ELW233" s="15"/>
      <c r="ELX233" s="15"/>
      <c r="ELY233" s="10"/>
      <c r="ELZ233" s="10"/>
      <c r="EMA233" s="19"/>
      <c r="EMB233" s="19"/>
      <c r="EME233" s="16"/>
      <c r="EMF233" s="15"/>
      <c r="EMG233" s="15"/>
      <c r="EMH233" s="15"/>
      <c r="EMI233" s="16"/>
      <c r="EMJ233" s="16"/>
      <c r="EMK233" s="16"/>
      <c r="EML233" s="16"/>
      <c r="EMM233" s="16"/>
      <c r="EMN233" s="15"/>
      <c r="EMO233" s="15"/>
      <c r="EMP233" s="10"/>
      <c r="EMQ233" s="10"/>
      <c r="EMR233" s="19"/>
      <c r="EMS233" s="19"/>
      <c r="EMV233" s="16"/>
      <c r="EMW233" s="15"/>
      <c r="EMX233" s="15"/>
      <c r="EMY233" s="15"/>
      <c r="EMZ233" s="16"/>
      <c r="ENA233" s="16"/>
      <c r="ENB233" s="16"/>
      <c r="ENC233" s="16"/>
      <c r="END233" s="16"/>
      <c r="ENE233" s="15"/>
      <c r="ENF233" s="15"/>
      <c r="ENG233" s="10"/>
      <c r="ENH233" s="10"/>
      <c r="ENI233" s="19"/>
      <c r="ENJ233" s="19"/>
      <c r="ENM233" s="16"/>
      <c r="ENN233" s="15"/>
      <c r="ENO233" s="15"/>
      <c r="ENP233" s="15"/>
      <c r="ENQ233" s="16"/>
      <c r="ENR233" s="16"/>
      <c r="ENS233" s="16"/>
      <c r="ENT233" s="16"/>
      <c r="ENU233" s="16"/>
      <c r="ENV233" s="15"/>
      <c r="ENW233" s="15"/>
      <c r="ENX233" s="10"/>
      <c r="ENY233" s="10"/>
      <c r="ENZ233" s="19"/>
      <c r="EOA233" s="19"/>
      <c r="EOD233" s="16"/>
      <c r="EOE233" s="15"/>
      <c r="EOF233" s="15"/>
      <c r="EOG233" s="15"/>
      <c r="EOH233" s="16"/>
      <c r="EOI233" s="16"/>
      <c r="EOJ233" s="16"/>
      <c r="EOK233" s="16"/>
      <c r="EOL233" s="16"/>
      <c r="EOM233" s="15"/>
      <c r="EON233" s="15"/>
      <c r="EOO233" s="10"/>
      <c r="EOP233" s="10"/>
      <c r="EOQ233" s="19"/>
      <c r="EOR233" s="19"/>
      <c r="EOU233" s="16"/>
      <c r="EOV233" s="15"/>
      <c r="EOW233" s="15"/>
      <c r="EOX233" s="15"/>
      <c r="EOY233" s="16"/>
      <c r="EOZ233" s="16"/>
      <c r="EPA233" s="16"/>
      <c r="EPB233" s="16"/>
      <c r="EPC233" s="16"/>
      <c r="EPD233" s="15"/>
      <c r="EPE233" s="15"/>
      <c r="EPF233" s="10"/>
      <c r="EPG233" s="10"/>
      <c r="EPH233" s="19"/>
      <c r="EPI233" s="19"/>
      <c r="EPL233" s="16"/>
      <c r="EPM233" s="15"/>
      <c r="EPN233" s="15"/>
      <c r="EPO233" s="15"/>
      <c r="EPP233" s="16"/>
      <c r="EPQ233" s="16"/>
      <c r="EPR233" s="16"/>
      <c r="EPS233" s="16"/>
      <c r="EPT233" s="16"/>
      <c r="EPU233" s="15"/>
      <c r="EPV233" s="15"/>
      <c r="EPW233" s="10"/>
      <c r="EPX233" s="10"/>
      <c r="EPY233" s="19"/>
      <c r="EPZ233" s="19"/>
      <c r="EQC233" s="16"/>
      <c r="EQD233" s="15"/>
      <c r="EQE233" s="15"/>
      <c r="EQF233" s="15"/>
      <c r="EQG233" s="16"/>
      <c r="EQH233" s="16"/>
      <c r="EQI233" s="16"/>
      <c r="EQJ233" s="16"/>
      <c r="EQK233" s="16"/>
      <c r="EQL233" s="15"/>
      <c r="EQM233" s="15"/>
      <c r="EQN233" s="10"/>
      <c r="EQO233" s="10"/>
      <c r="EQP233" s="19"/>
      <c r="EQQ233" s="19"/>
      <c r="EQT233" s="16"/>
      <c r="EQU233" s="15"/>
      <c r="EQV233" s="15"/>
      <c r="EQW233" s="15"/>
      <c r="EQX233" s="16"/>
      <c r="EQY233" s="16"/>
      <c r="EQZ233" s="16"/>
      <c r="ERA233" s="16"/>
      <c r="ERB233" s="16"/>
      <c r="ERC233" s="15"/>
      <c r="ERD233" s="15"/>
      <c r="ERE233" s="10"/>
      <c r="ERF233" s="10"/>
      <c r="ERG233" s="19"/>
      <c r="ERH233" s="19"/>
      <c r="ERK233" s="16"/>
      <c r="ERL233" s="15"/>
      <c r="ERM233" s="15"/>
      <c r="ERN233" s="15"/>
      <c r="ERO233" s="16"/>
      <c r="ERP233" s="16"/>
      <c r="ERQ233" s="16"/>
      <c r="ERR233" s="16"/>
      <c r="ERS233" s="16"/>
      <c r="ERT233" s="15"/>
      <c r="ERU233" s="15"/>
      <c r="ERV233" s="10"/>
      <c r="ERW233" s="10"/>
      <c r="ERX233" s="19"/>
      <c r="ERY233" s="19"/>
      <c r="ESB233" s="16"/>
      <c r="ESC233" s="15"/>
      <c r="ESD233" s="15"/>
      <c r="ESE233" s="15"/>
      <c r="ESF233" s="16"/>
      <c r="ESG233" s="16"/>
      <c r="ESH233" s="16"/>
      <c r="ESI233" s="16"/>
      <c r="ESJ233" s="16"/>
      <c r="ESK233" s="15"/>
      <c r="ESL233" s="15"/>
      <c r="ESM233" s="10"/>
      <c r="ESN233" s="10"/>
      <c r="ESO233" s="19"/>
      <c r="ESP233" s="19"/>
      <c r="ESS233" s="16"/>
      <c r="EST233" s="15"/>
      <c r="ESU233" s="15"/>
      <c r="ESV233" s="15"/>
      <c r="ESW233" s="16"/>
      <c r="ESX233" s="16"/>
      <c r="ESY233" s="16"/>
      <c r="ESZ233" s="16"/>
      <c r="ETA233" s="16"/>
      <c r="ETB233" s="15"/>
      <c r="ETC233" s="15"/>
      <c r="ETD233" s="10"/>
      <c r="ETE233" s="10"/>
      <c r="ETF233" s="19"/>
      <c r="ETG233" s="19"/>
      <c r="ETJ233" s="16"/>
      <c r="ETK233" s="15"/>
      <c r="ETL233" s="15"/>
      <c r="ETM233" s="15"/>
      <c r="ETN233" s="16"/>
      <c r="ETO233" s="16"/>
      <c r="ETP233" s="16"/>
      <c r="ETQ233" s="16"/>
      <c r="ETR233" s="16"/>
      <c r="ETS233" s="15"/>
      <c r="ETT233" s="15"/>
      <c r="ETU233" s="10"/>
      <c r="ETV233" s="10"/>
      <c r="ETW233" s="19"/>
      <c r="ETX233" s="19"/>
      <c r="EUA233" s="16"/>
      <c r="EUB233" s="15"/>
      <c r="EUC233" s="15"/>
      <c r="EUD233" s="15"/>
      <c r="EUE233" s="16"/>
      <c r="EUF233" s="16"/>
      <c r="EUG233" s="16"/>
      <c r="EUH233" s="16"/>
      <c r="EUI233" s="16"/>
      <c r="EUJ233" s="15"/>
      <c r="EUK233" s="15"/>
      <c r="EUL233" s="10"/>
      <c r="EUM233" s="10"/>
      <c r="EUN233" s="19"/>
      <c r="EUO233" s="19"/>
      <c r="EUR233" s="16"/>
      <c r="EUS233" s="15"/>
      <c r="EUT233" s="15"/>
      <c r="EUU233" s="15"/>
      <c r="EUV233" s="16"/>
      <c r="EUW233" s="16"/>
      <c r="EUX233" s="16"/>
      <c r="EUY233" s="16"/>
      <c r="EUZ233" s="16"/>
      <c r="EVA233" s="15"/>
      <c r="EVB233" s="15"/>
      <c r="EVC233" s="10"/>
      <c r="EVD233" s="10"/>
      <c r="EVE233" s="19"/>
      <c r="EVF233" s="19"/>
      <c r="EVI233" s="16"/>
      <c r="EVJ233" s="15"/>
      <c r="EVK233" s="15"/>
      <c r="EVL233" s="15"/>
      <c r="EVM233" s="16"/>
      <c r="EVN233" s="16"/>
      <c r="EVO233" s="16"/>
      <c r="EVP233" s="16"/>
      <c r="EVQ233" s="16"/>
      <c r="EVR233" s="15"/>
      <c r="EVS233" s="15"/>
      <c r="EVT233" s="10"/>
      <c r="EVU233" s="10"/>
      <c r="EVV233" s="19"/>
      <c r="EVW233" s="19"/>
      <c r="EVZ233" s="16"/>
      <c r="EWA233" s="15"/>
      <c r="EWB233" s="15"/>
      <c r="EWC233" s="15"/>
      <c r="EWD233" s="16"/>
      <c r="EWE233" s="16"/>
      <c r="EWF233" s="16"/>
      <c r="EWG233" s="16"/>
      <c r="EWH233" s="16"/>
      <c r="EWI233" s="15"/>
      <c r="EWJ233" s="15"/>
      <c r="EWK233" s="10"/>
      <c r="EWL233" s="10"/>
      <c r="EWM233" s="19"/>
      <c r="EWN233" s="19"/>
      <c r="EWQ233" s="16"/>
      <c r="EWR233" s="15"/>
      <c r="EWS233" s="15"/>
      <c r="EWT233" s="15"/>
      <c r="EWU233" s="16"/>
      <c r="EWV233" s="16"/>
      <c r="EWW233" s="16"/>
      <c r="EWX233" s="16"/>
      <c r="EWY233" s="16"/>
      <c r="EWZ233" s="15"/>
      <c r="EXA233" s="15"/>
      <c r="EXB233" s="10"/>
      <c r="EXC233" s="10"/>
      <c r="EXD233" s="19"/>
      <c r="EXE233" s="19"/>
      <c r="EXH233" s="16"/>
      <c r="EXI233" s="15"/>
      <c r="EXJ233" s="15"/>
      <c r="EXK233" s="15"/>
      <c r="EXL233" s="16"/>
      <c r="EXM233" s="16"/>
      <c r="EXN233" s="16"/>
      <c r="EXO233" s="16"/>
      <c r="EXP233" s="16"/>
      <c r="EXQ233" s="15"/>
      <c r="EXR233" s="15"/>
      <c r="EXS233" s="10"/>
      <c r="EXT233" s="10"/>
      <c r="EXU233" s="19"/>
      <c r="EXV233" s="19"/>
      <c r="EXY233" s="16"/>
      <c r="EXZ233" s="15"/>
      <c r="EYA233" s="15"/>
      <c r="EYB233" s="15"/>
      <c r="EYC233" s="16"/>
      <c r="EYD233" s="16"/>
      <c r="EYE233" s="16"/>
      <c r="EYF233" s="16"/>
      <c r="EYG233" s="16"/>
      <c r="EYH233" s="15"/>
      <c r="EYI233" s="15"/>
      <c r="EYJ233" s="10"/>
      <c r="EYK233" s="10"/>
      <c r="EYL233" s="19"/>
      <c r="EYM233" s="19"/>
      <c r="EYP233" s="16"/>
      <c r="EYQ233" s="15"/>
      <c r="EYR233" s="15"/>
      <c r="EYS233" s="15"/>
      <c r="EYT233" s="16"/>
      <c r="EYU233" s="16"/>
      <c r="EYV233" s="16"/>
      <c r="EYW233" s="16"/>
      <c r="EYX233" s="16"/>
      <c r="EYY233" s="15"/>
      <c r="EYZ233" s="15"/>
      <c r="EZA233" s="10"/>
      <c r="EZB233" s="10"/>
      <c r="EZC233" s="19"/>
      <c r="EZD233" s="19"/>
      <c r="EZG233" s="16"/>
      <c r="EZH233" s="15"/>
      <c r="EZI233" s="15"/>
      <c r="EZJ233" s="15"/>
      <c r="EZK233" s="16"/>
      <c r="EZL233" s="16"/>
      <c r="EZM233" s="16"/>
      <c r="EZN233" s="16"/>
      <c r="EZO233" s="16"/>
      <c r="EZP233" s="15"/>
      <c r="EZQ233" s="15"/>
      <c r="EZR233" s="10"/>
      <c r="EZS233" s="10"/>
      <c r="EZT233" s="19"/>
      <c r="EZU233" s="19"/>
      <c r="EZX233" s="16"/>
      <c r="EZY233" s="15"/>
      <c r="EZZ233" s="15"/>
      <c r="FAA233" s="15"/>
      <c r="FAB233" s="16"/>
      <c r="FAC233" s="16"/>
      <c r="FAD233" s="16"/>
      <c r="FAE233" s="16"/>
      <c r="FAF233" s="16"/>
      <c r="FAG233" s="15"/>
      <c r="FAH233" s="15"/>
      <c r="FAI233" s="10"/>
      <c r="FAJ233" s="10"/>
      <c r="FAK233" s="19"/>
      <c r="FAL233" s="19"/>
      <c r="FAO233" s="16"/>
      <c r="FAP233" s="15"/>
      <c r="FAQ233" s="15"/>
      <c r="FAR233" s="15"/>
      <c r="FAS233" s="16"/>
      <c r="FAT233" s="16"/>
      <c r="FAU233" s="16"/>
      <c r="FAV233" s="16"/>
      <c r="FAW233" s="16"/>
      <c r="FAX233" s="15"/>
      <c r="FAY233" s="15"/>
      <c r="FAZ233" s="10"/>
      <c r="FBA233" s="10"/>
      <c r="FBB233" s="19"/>
      <c r="FBC233" s="19"/>
      <c r="FBF233" s="16"/>
      <c r="FBG233" s="15"/>
      <c r="FBH233" s="15"/>
      <c r="FBI233" s="15"/>
      <c r="FBJ233" s="16"/>
      <c r="FBK233" s="16"/>
      <c r="FBL233" s="16"/>
      <c r="FBM233" s="16"/>
      <c r="FBN233" s="16"/>
      <c r="FBO233" s="15"/>
      <c r="FBP233" s="15"/>
      <c r="FBQ233" s="10"/>
      <c r="FBR233" s="10"/>
      <c r="FBS233" s="19"/>
      <c r="FBT233" s="19"/>
      <c r="FBW233" s="16"/>
      <c r="FBX233" s="15"/>
      <c r="FBY233" s="15"/>
      <c r="FBZ233" s="15"/>
      <c r="FCA233" s="16"/>
      <c r="FCB233" s="16"/>
      <c r="FCC233" s="16"/>
      <c r="FCD233" s="16"/>
      <c r="FCE233" s="16"/>
      <c r="FCF233" s="15"/>
      <c r="FCG233" s="15"/>
      <c r="FCH233" s="10"/>
      <c r="FCI233" s="10"/>
      <c r="FCJ233" s="19"/>
      <c r="FCK233" s="19"/>
      <c r="FCN233" s="16"/>
      <c r="FCO233" s="15"/>
      <c r="FCP233" s="15"/>
      <c r="FCQ233" s="15"/>
      <c r="FCR233" s="16"/>
      <c r="FCS233" s="16"/>
      <c r="FCT233" s="16"/>
      <c r="FCU233" s="16"/>
      <c r="FCV233" s="16"/>
      <c r="FCW233" s="15"/>
      <c r="FCX233" s="15"/>
      <c r="FCY233" s="10"/>
      <c r="FCZ233" s="10"/>
      <c r="FDA233" s="19"/>
      <c r="FDB233" s="19"/>
      <c r="FDE233" s="16"/>
      <c r="FDF233" s="15"/>
      <c r="FDG233" s="15"/>
      <c r="FDH233" s="15"/>
      <c r="FDI233" s="16"/>
      <c r="FDJ233" s="16"/>
      <c r="FDK233" s="16"/>
      <c r="FDL233" s="16"/>
      <c r="FDM233" s="16"/>
      <c r="FDN233" s="15"/>
      <c r="FDO233" s="15"/>
      <c r="FDP233" s="10"/>
      <c r="FDQ233" s="10"/>
      <c r="FDR233" s="19"/>
      <c r="FDS233" s="19"/>
      <c r="FDV233" s="16"/>
      <c r="FDW233" s="15"/>
      <c r="FDX233" s="15"/>
      <c r="FDY233" s="15"/>
      <c r="FDZ233" s="16"/>
      <c r="FEA233" s="16"/>
      <c r="FEB233" s="16"/>
      <c r="FEC233" s="16"/>
      <c r="FED233" s="16"/>
      <c r="FEE233" s="15"/>
      <c r="FEF233" s="15"/>
      <c r="FEG233" s="10"/>
      <c r="FEH233" s="10"/>
      <c r="FEI233" s="19"/>
      <c r="FEJ233" s="19"/>
      <c r="FEM233" s="16"/>
      <c r="FEN233" s="15"/>
      <c r="FEO233" s="15"/>
      <c r="FEP233" s="15"/>
      <c r="FEQ233" s="16"/>
      <c r="FER233" s="16"/>
      <c r="FES233" s="16"/>
      <c r="FET233" s="16"/>
      <c r="FEU233" s="16"/>
      <c r="FEV233" s="15"/>
      <c r="FEW233" s="15"/>
      <c r="FEX233" s="10"/>
      <c r="FEY233" s="10"/>
      <c r="FEZ233" s="19"/>
      <c r="FFA233" s="19"/>
      <c r="FFD233" s="16"/>
      <c r="FFE233" s="15"/>
      <c r="FFF233" s="15"/>
      <c r="FFG233" s="15"/>
      <c r="FFH233" s="16"/>
      <c r="FFI233" s="16"/>
      <c r="FFJ233" s="16"/>
      <c r="FFK233" s="16"/>
      <c r="FFL233" s="16"/>
      <c r="FFM233" s="15"/>
      <c r="FFN233" s="15"/>
      <c r="FFO233" s="10"/>
      <c r="FFP233" s="10"/>
      <c r="FFQ233" s="19"/>
      <c r="FFR233" s="19"/>
      <c r="FFU233" s="16"/>
      <c r="FFV233" s="15"/>
      <c r="FFW233" s="15"/>
      <c r="FFX233" s="15"/>
      <c r="FFY233" s="16"/>
      <c r="FFZ233" s="16"/>
      <c r="FGA233" s="16"/>
      <c r="FGB233" s="16"/>
      <c r="FGC233" s="16"/>
      <c r="FGD233" s="15"/>
      <c r="FGE233" s="15"/>
      <c r="FGF233" s="10"/>
      <c r="FGG233" s="10"/>
      <c r="FGH233" s="19"/>
      <c r="FGI233" s="19"/>
      <c r="FGL233" s="16"/>
      <c r="FGM233" s="15"/>
      <c r="FGN233" s="15"/>
      <c r="FGO233" s="15"/>
      <c r="FGP233" s="16"/>
      <c r="FGQ233" s="16"/>
      <c r="FGR233" s="16"/>
      <c r="FGS233" s="16"/>
      <c r="FGT233" s="16"/>
      <c r="FGU233" s="15"/>
      <c r="FGV233" s="15"/>
      <c r="FGW233" s="10"/>
      <c r="FGX233" s="10"/>
      <c r="FGY233" s="19"/>
      <c r="FGZ233" s="19"/>
      <c r="FHC233" s="16"/>
      <c r="FHD233" s="15"/>
      <c r="FHE233" s="15"/>
      <c r="FHF233" s="15"/>
      <c r="FHG233" s="16"/>
      <c r="FHH233" s="16"/>
      <c r="FHI233" s="16"/>
      <c r="FHJ233" s="16"/>
      <c r="FHK233" s="16"/>
      <c r="FHL233" s="15"/>
      <c r="FHM233" s="15"/>
      <c r="FHN233" s="10"/>
      <c r="FHO233" s="10"/>
      <c r="FHP233" s="19"/>
      <c r="FHQ233" s="19"/>
      <c r="FHT233" s="16"/>
      <c r="FHU233" s="15"/>
      <c r="FHV233" s="15"/>
      <c r="FHW233" s="15"/>
      <c r="FHX233" s="16"/>
      <c r="FHY233" s="16"/>
      <c r="FHZ233" s="16"/>
      <c r="FIA233" s="16"/>
      <c r="FIB233" s="16"/>
      <c r="FIC233" s="15"/>
      <c r="FID233" s="15"/>
      <c r="FIE233" s="10"/>
      <c r="FIF233" s="10"/>
      <c r="FIG233" s="19"/>
      <c r="FIH233" s="19"/>
      <c r="FIK233" s="16"/>
      <c r="FIL233" s="15"/>
      <c r="FIM233" s="15"/>
      <c r="FIN233" s="15"/>
      <c r="FIO233" s="16"/>
      <c r="FIP233" s="16"/>
      <c r="FIQ233" s="16"/>
      <c r="FIR233" s="16"/>
      <c r="FIS233" s="16"/>
      <c r="FIT233" s="15"/>
      <c r="FIU233" s="15"/>
      <c r="FIV233" s="10"/>
      <c r="FIW233" s="10"/>
      <c r="FIX233" s="19"/>
      <c r="FIY233" s="19"/>
      <c r="FJB233" s="16"/>
      <c r="FJC233" s="15"/>
      <c r="FJD233" s="15"/>
      <c r="FJE233" s="15"/>
      <c r="FJF233" s="16"/>
      <c r="FJG233" s="16"/>
      <c r="FJH233" s="16"/>
      <c r="FJI233" s="16"/>
      <c r="FJJ233" s="16"/>
      <c r="FJK233" s="15"/>
      <c r="FJL233" s="15"/>
      <c r="FJM233" s="10"/>
      <c r="FJN233" s="10"/>
      <c r="FJO233" s="19"/>
      <c r="FJP233" s="19"/>
      <c r="FJS233" s="16"/>
      <c r="FJT233" s="15"/>
      <c r="FJU233" s="15"/>
      <c r="FJV233" s="15"/>
      <c r="FJW233" s="16"/>
      <c r="FJX233" s="16"/>
      <c r="FJY233" s="16"/>
      <c r="FJZ233" s="16"/>
      <c r="FKA233" s="16"/>
      <c r="FKB233" s="15"/>
      <c r="FKC233" s="15"/>
      <c r="FKD233" s="10"/>
      <c r="FKE233" s="10"/>
      <c r="FKF233" s="19"/>
      <c r="FKG233" s="19"/>
      <c r="FKJ233" s="16"/>
      <c r="FKK233" s="15"/>
      <c r="FKL233" s="15"/>
      <c r="FKM233" s="15"/>
      <c r="FKN233" s="16"/>
      <c r="FKO233" s="16"/>
      <c r="FKP233" s="16"/>
      <c r="FKQ233" s="16"/>
      <c r="FKR233" s="16"/>
      <c r="FKS233" s="15"/>
      <c r="FKT233" s="15"/>
      <c r="FKU233" s="10"/>
      <c r="FKV233" s="10"/>
      <c r="FKW233" s="19"/>
      <c r="FKX233" s="19"/>
      <c r="FLA233" s="16"/>
      <c r="FLB233" s="15"/>
      <c r="FLC233" s="15"/>
      <c r="FLD233" s="15"/>
      <c r="FLE233" s="16"/>
      <c r="FLF233" s="16"/>
      <c r="FLG233" s="16"/>
      <c r="FLH233" s="16"/>
      <c r="FLI233" s="16"/>
      <c r="FLJ233" s="15"/>
      <c r="FLK233" s="15"/>
      <c r="FLL233" s="10"/>
      <c r="FLM233" s="10"/>
      <c r="FLN233" s="19"/>
      <c r="FLO233" s="19"/>
      <c r="FLR233" s="16"/>
      <c r="FLS233" s="15"/>
      <c r="FLT233" s="15"/>
      <c r="FLU233" s="15"/>
      <c r="FLV233" s="16"/>
      <c r="FLW233" s="16"/>
      <c r="FLX233" s="16"/>
      <c r="FLY233" s="16"/>
      <c r="FLZ233" s="16"/>
      <c r="FMA233" s="15"/>
      <c r="FMB233" s="15"/>
      <c r="FMC233" s="10"/>
      <c r="FMD233" s="10"/>
      <c r="FME233" s="19"/>
      <c r="FMF233" s="19"/>
      <c r="FMI233" s="16"/>
      <c r="FMJ233" s="15"/>
      <c r="FMK233" s="15"/>
      <c r="FML233" s="15"/>
      <c r="FMM233" s="16"/>
      <c r="FMN233" s="16"/>
      <c r="FMO233" s="16"/>
      <c r="FMP233" s="16"/>
      <c r="FMQ233" s="16"/>
      <c r="FMR233" s="15"/>
      <c r="FMS233" s="15"/>
      <c r="FMT233" s="10"/>
      <c r="FMU233" s="10"/>
      <c r="FMV233" s="19"/>
      <c r="FMW233" s="19"/>
      <c r="FMZ233" s="16"/>
      <c r="FNA233" s="15"/>
      <c r="FNB233" s="15"/>
      <c r="FNC233" s="15"/>
      <c r="FND233" s="16"/>
      <c r="FNE233" s="16"/>
      <c r="FNF233" s="16"/>
      <c r="FNG233" s="16"/>
      <c r="FNH233" s="16"/>
      <c r="FNI233" s="15"/>
      <c r="FNJ233" s="15"/>
      <c r="FNK233" s="10"/>
      <c r="FNL233" s="10"/>
      <c r="FNM233" s="19"/>
      <c r="FNN233" s="19"/>
      <c r="FNQ233" s="16"/>
      <c r="FNR233" s="15"/>
      <c r="FNS233" s="15"/>
      <c r="FNT233" s="15"/>
      <c r="FNU233" s="16"/>
      <c r="FNV233" s="16"/>
      <c r="FNW233" s="16"/>
      <c r="FNX233" s="16"/>
      <c r="FNY233" s="16"/>
      <c r="FNZ233" s="15"/>
      <c r="FOA233" s="15"/>
      <c r="FOB233" s="10"/>
      <c r="FOC233" s="10"/>
      <c r="FOD233" s="19"/>
      <c r="FOE233" s="19"/>
      <c r="FOH233" s="16"/>
      <c r="FOI233" s="15"/>
      <c r="FOJ233" s="15"/>
      <c r="FOK233" s="15"/>
      <c r="FOL233" s="16"/>
      <c r="FOM233" s="16"/>
      <c r="FON233" s="16"/>
      <c r="FOO233" s="16"/>
      <c r="FOP233" s="16"/>
      <c r="FOQ233" s="15"/>
      <c r="FOR233" s="15"/>
      <c r="FOS233" s="10"/>
      <c r="FOT233" s="10"/>
      <c r="FOU233" s="19"/>
      <c r="FOV233" s="19"/>
      <c r="FOY233" s="16"/>
      <c r="FOZ233" s="15"/>
      <c r="FPA233" s="15"/>
      <c r="FPB233" s="15"/>
      <c r="FPC233" s="16"/>
      <c r="FPD233" s="16"/>
      <c r="FPE233" s="16"/>
      <c r="FPF233" s="16"/>
      <c r="FPG233" s="16"/>
      <c r="FPH233" s="15"/>
      <c r="FPI233" s="15"/>
      <c r="FPJ233" s="10"/>
      <c r="FPK233" s="10"/>
      <c r="FPL233" s="19"/>
      <c r="FPM233" s="19"/>
      <c r="FPP233" s="16"/>
      <c r="FPQ233" s="15"/>
      <c r="FPR233" s="15"/>
      <c r="FPS233" s="15"/>
      <c r="FPT233" s="16"/>
      <c r="FPU233" s="16"/>
      <c r="FPV233" s="16"/>
      <c r="FPW233" s="16"/>
      <c r="FPX233" s="16"/>
      <c r="FPY233" s="15"/>
      <c r="FPZ233" s="15"/>
      <c r="FQA233" s="10"/>
      <c r="FQB233" s="10"/>
      <c r="FQC233" s="19"/>
      <c r="FQD233" s="19"/>
      <c r="FQG233" s="16"/>
      <c r="FQH233" s="15"/>
      <c r="FQI233" s="15"/>
      <c r="FQJ233" s="15"/>
      <c r="FQK233" s="16"/>
      <c r="FQL233" s="16"/>
      <c r="FQM233" s="16"/>
      <c r="FQN233" s="16"/>
      <c r="FQO233" s="16"/>
      <c r="FQP233" s="15"/>
      <c r="FQQ233" s="15"/>
      <c r="FQR233" s="10"/>
      <c r="FQS233" s="10"/>
      <c r="FQT233" s="19"/>
      <c r="FQU233" s="19"/>
      <c r="FQX233" s="16"/>
      <c r="FQY233" s="15"/>
      <c r="FQZ233" s="15"/>
      <c r="FRA233" s="15"/>
      <c r="FRB233" s="16"/>
      <c r="FRC233" s="16"/>
      <c r="FRD233" s="16"/>
      <c r="FRE233" s="16"/>
      <c r="FRF233" s="16"/>
      <c r="FRG233" s="15"/>
      <c r="FRH233" s="15"/>
      <c r="FRI233" s="10"/>
      <c r="FRJ233" s="10"/>
      <c r="FRK233" s="19"/>
      <c r="FRL233" s="19"/>
      <c r="FRO233" s="16"/>
      <c r="FRP233" s="15"/>
      <c r="FRQ233" s="15"/>
      <c r="FRR233" s="15"/>
      <c r="FRS233" s="16"/>
      <c r="FRT233" s="16"/>
      <c r="FRU233" s="16"/>
      <c r="FRV233" s="16"/>
      <c r="FRW233" s="16"/>
      <c r="FRX233" s="15"/>
      <c r="FRY233" s="15"/>
      <c r="FRZ233" s="10"/>
      <c r="FSA233" s="10"/>
      <c r="FSB233" s="19"/>
      <c r="FSC233" s="19"/>
      <c r="FSF233" s="16"/>
      <c r="FSG233" s="15"/>
      <c r="FSH233" s="15"/>
      <c r="FSI233" s="15"/>
      <c r="FSJ233" s="16"/>
      <c r="FSK233" s="16"/>
      <c r="FSL233" s="16"/>
      <c r="FSM233" s="16"/>
      <c r="FSN233" s="16"/>
      <c r="FSO233" s="15"/>
      <c r="FSP233" s="15"/>
      <c r="FSQ233" s="10"/>
      <c r="FSR233" s="10"/>
      <c r="FSS233" s="19"/>
      <c r="FST233" s="19"/>
      <c r="FSW233" s="16"/>
      <c r="FSX233" s="15"/>
      <c r="FSY233" s="15"/>
      <c r="FSZ233" s="15"/>
      <c r="FTA233" s="16"/>
      <c r="FTB233" s="16"/>
      <c r="FTC233" s="16"/>
      <c r="FTD233" s="16"/>
      <c r="FTE233" s="16"/>
      <c r="FTF233" s="15"/>
      <c r="FTG233" s="15"/>
      <c r="FTH233" s="10"/>
      <c r="FTI233" s="10"/>
      <c r="FTJ233" s="19"/>
      <c r="FTK233" s="19"/>
      <c r="FTN233" s="16"/>
      <c r="FTO233" s="15"/>
      <c r="FTP233" s="15"/>
      <c r="FTQ233" s="15"/>
      <c r="FTR233" s="16"/>
      <c r="FTS233" s="16"/>
      <c r="FTT233" s="16"/>
      <c r="FTU233" s="16"/>
      <c r="FTV233" s="16"/>
      <c r="FTW233" s="15"/>
      <c r="FTX233" s="15"/>
      <c r="FTY233" s="10"/>
      <c r="FTZ233" s="10"/>
      <c r="FUA233" s="19"/>
      <c r="FUB233" s="19"/>
      <c r="FUE233" s="16"/>
      <c r="FUF233" s="15"/>
      <c r="FUG233" s="15"/>
      <c r="FUH233" s="15"/>
      <c r="FUI233" s="16"/>
      <c r="FUJ233" s="16"/>
      <c r="FUK233" s="16"/>
      <c r="FUL233" s="16"/>
      <c r="FUM233" s="16"/>
      <c r="FUN233" s="15"/>
      <c r="FUO233" s="15"/>
      <c r="FUP233" s="10"/>
      <c r="FUQ233" s="10"/>
      <c r="FUR233" s="19"/>
      <c r="FUS233" s="19"/>
      <c r="FUV233" s="16"/>
      <c r="FUW233" s="15"/>
      <c r="FUX233" s="15"/>
      <c r="FUY233" s="15"/>
      <c r="FUZ233" s="16"/>
      <c r="FVA233" s="16"/>
      <c r="FVB233" s="16"/>
      <c r="FVC233" s="16"/>
      <c r="FVD233" s="16"/>
      <c r="FVE233" s="15"/>
      <c r="FVF233" s="15"/>
      <c r="FVG233" s="10"/>
      <c r="FVH233" s="10"/>
      <c r="FVI233" s="19"/>
      <c r="FVJ233" s="19"/>
      <c r="FVM233" s="16"/>
      <c r="FVN233" s="15"/>
      <c r="FVO233" s="15"/>
      <c r="FVP233" s="15"/>
      <c r="FVQ233" s="16"/>
      <c r="FVR233" s="16"/>
      <c r="FVS233" s="16"/>
      <c r="FVT233" s="16"/>
      <c r="FVU233" s="16"/>
      <c r="FVV233" s="15"/>
      <c r="FVW233" s="15"/>
      <c r="FVX233" s="10"/>
      <c r="FVY233" s="10"/>
      <c r="FVZ233" s="19"/>
      <c r="FWA233" s="19"/>
      <c r="FWD233" s="16"/>
      <c r="FWE233" s="15"/>
      <c r="FWF233" s="15"/>
      <c r="FWG233" s="15"/>
      <c r="FWH233" s="16"/>
      <c r="FWI233" s="16"/>
      <c r="FWJ233" s="16"/>
      <c r="FWK233" s="16"/>
      <c r="FWL233" s="16"/>
      <c r="FWM233" s="15"/>
      <c r="FWN233" s="15"/>
      <c r="FWO233" s="10"/>
      <c r="FWP233" s="10"/>
      <c r="FWQ233" s="19"/>
      <c r="FWR233" s="19"/>
      <c r="FWU233" s="16"/>
      <c r="FWV233" s="15"/>
      <c r="FWW233" s="15"/>
      <c r="FWX233" s="15"/>
      <c r="FWY233" s="16"/>
      <c r="FWZ233" s="16"/>
      <c r="FXA233" s="16"/>
      <c r="FXB233" s="16"/>
      <c r="FXC233" s="16"/>
      <c r="FXD233" s="15"/>
      <c r="FXE233" s="15"/>
      <c r="FXF233" s="10"/>
      <c r="FXG233" s="10"/>
      <c r="FXH233" s="19"/>
      <c r="FXI233" s="19"/>
      <c r="FXL233" s="16"/>
      <c r="FXM233" s="15"/>
      <c r="FXN233" s="15"/>
      <c r="FXO233" s="15"/>
      <c r="FXP233" s="16"/>
      <c r="FXQ233" s="16"/>
      <c r="FXR233" s="16"/>
      <c r="FXS233" s="16"/>
      <c r="FXT233" s="16"/>
      <c r="FXU233" s="15"/>
      <c r="FXV233" s="15"/>
      <c r="FXW233" s="10"/>
      <c r="FXX233" s="10"/>
      <c r="FXY233" s="19"/>
      <c r="FXZ233" s="19"/>
      <c r="FYC233" s="16"/>
      <c r="FYD233" s="15"/>
      <c r="FYE233" s="15"/>
      <c r="FYF233" s="15"/>
      <c r="FYG233" s="16"/>
      <c r="FYH233" s="16"/>
      <c r="FYI233" s="16"/>
      <c r="FYJ233" s="16"/>
      <c r="FYK233" s="16"/>
      <c r="FYL233" s="15"/>
      <c r="FYM233" s="15"/>
      <c r="FYN233" s="10"/>
      <c r="FYO233" s="10"/>
      <c r="FYP233" s="19"/>
      <c r="FYQ233" s="19"/>
      <c r="FYT233" s="16"/>
      <c r="FYU233" s="15"/>
      <c r="FYV233" s="15"/>
      <c r="FYW233" s="15"/>
      <c r="FYX233" s="16"/>
      <c r="FYY233" s="16"/>
      <c r="FYZ233" s="16"/>
      <c r="FZA233" s="16"/>
      <c r="FZB233" s="16"/>
      <c r="FZC233" s="15"/>
      <c r="FZD233" s="15"/>
      <c r="FZE233" s="10"/>
      <c r="FZF233" s="10"/>
      <c r="FZG233" s="19"/>
      <c r="FZH233" s="19"/>
      <c r="FZK233" s="16"/>
      <c r="FZL233" s="15"/>
      <c r="FZM233" s="15"/>
      <c r="FZN233" s="15"/>
      <c r="FZO233" s="16"/>
      <c r="FZP233" s="16"/>
      <c r="FZQ233" s="16"/>
      <c r="FZR233" s="16"/>
      <c r="FZS233" s="16"/>
      <c r="FZT233" s="15"/>
      <c r="FZU233" s="15"/>
      <c r="FZV233" s="10"/>
      <c r="FZW233" s="10"/>
      <c r="FZX233" s="19"/>
      <c r="FZY233" s="19"/>
      <c r="GAB233" s="16"/>
      <c r="GAC233" s="15"/>
      <c r="GAD233" s="15"/>
      <c r="GAE233" s="15"/>
      <c r="GAF233" s="16"/>
      <c r="GAG233" s="16"/>
      <c r="GAH233" s="16"/>
      <c r="GAI233" s="16"/>
      <c r="GAJ233" s="16"/>
      <c r="GAK233" s="15"/>
      <c r="GAL233" s="15"/>
      <c r="GAM233" s="10"/>
      <c r="GAN233" s="10"/>
      <c r="GAO233" s="19"/>
      <c r="GAP233" s="19"/>
      <c r="GAS233" s="16"/>
      <c r="GAT233" s="15"/>
      <c r="GAU233" s="15"/>
      <c r="GAV233" s="15"/>
      <c r="GAW233" s="16"/>
      <c r="GAX233" s="16"/>
      <c r="GAY233" s="16"/>
      <c r="GAZ233" s="16"/>
      <c r="GBA233" s="16"/>
      <c r="GBB233" s="15"/>
      <c r="GBC233" s="15"/>
      <c r="GBD233" s="10"/>
      <c r="GBE233" s="10"/>
      <c r="GBF233" s="19"/>
      <c r="GBG233" s="19"/>
      <c r="GBJ233" s="16"/>
      <c r="GBK233" s="15"/>
      <c r="GBL233" s="15"/>
      <c r="GBM233" s="15"/>
      <c r="GBN233" s="16"/>
      <c r="GBO233" s="16"/>
      <c r="GBP233" s="16"/>
      <c r="GBQ233" s="16"/>
      <c r="GBR233" s="16"/>
      <c r="GBS233" s="15"/>
      <c r="GBT233" s="15"/>
      <c r="GBU233" s="10"/>
      <c r="GBV233" s="10"/>
      <c r="GBW233" s="19"/>
      <c r="GBX233" s="19"/>
      <c r="GCA233" s="16"/>
      <c r="GCB233" s="15"/>
      <c r="GCC233" s="15"/>
      <c r="GCD233" s="15"/>
      <c r="GCE233" s="16"/>
      <c r="GCF233" s="16"/>
      <c r="GCG233" s="16"/>
      <c r="GCH233" s="16"/>
      <c r="GCI233" s="16"/>
      <c r="GCJ233" s="15"/>
      <c r="GCK233" s="15"/>
      <c r="GCL233" s="10"/>
      <c r="GCM233" s="10"/>
      <c r="GCN233" s="19"/>
      <c r="GCO233" s="19"/>
      <c r="GCR233" s="16"/>
      <c r="GCS233" s="15"/>
      <c r="GCT233" s="15"/>
      <c r="GCU233" s="15"/>
      <c r="GCV233" s="16"/>
      <c r="GCW233" s="16"/>
      <c r="GCX233" s="16"/>
      <c r="GCY233" s="16"/>
      <c r="GCZ233" s="16"/>
      <c r="GDA233" s="15"/>
      <c r="GDB233" s="15"/>
      <c r="GDC233" s="10"/>
      <c r="GDD233" s="10"/>
      <c r="GDE233" s="19"/>
      <c r="GDF233" s="19"/>
      <c r="GDI233" s="16"/>
      <c r="GDJ233" s="15"/>
      <c r="GDK233" s="15"/>
      <c r="GDL233" s="15"/>
      <c r="GDM233" s="16"/>
      <c r="GDN233" s="16"/>
      <c r="GDO233" s="16"/>
      <c r="GDP233" s="16"/>
      <c r="GDQ233" s="16"/>
      <c r="GDR233" s="15"/>
      <c r="GDS233" s="15"/>
      <c r="GDT233" s="10"/>
      <c r="GDU233" s="10"/>
      <c r="GDV233" s="19"/>
      <c r="GDW233" s="19"/>
      <c r="GDZ233" s="16"/>
      <c r="GEA233" s="15"/>
      <c r="GEB233" s="15"/>
      <c r="GEC233" s="15"/>
      <c r="GED233" s="16"/>
      <c r="GEE233" s="16"/>
      <c r="GEF233" s="16"/>
      <c r="GEG233" s="16"/>
      <c r="GEH233" s="16"/>
      <c r="GEI233" s="15"/>
      <c r="GEJ233" s="15"/>
      <c r="GEK233" s="10"/>
      <c r="GEL233" s="10"/>
      <c r="GEM233" s="19"/>
      <c r="GEN233" s="19"/>
      <c r="GEQ233" s="16"/>
      <c r="GER233" s="15"/>
      <c r="GES233" s="15"/>
      <c r="GET233" s="15"/>
      <c r="GEU233" s="16"/>
      <c r="GEV233" s="16"/>
      <c r="GEW233" s="16"/>
      <c r="GEX233" s="16"/>
      <c r="GEY233" s="16"/>
      <c r="GEZ233" s="15"/>
      <c r="GFA233" s="15"/>
      <c r="GFB233" s="10"/>
      <c r="GFC233" s="10"/>
      <c r="GFD233" s="19"/>
      <c r="GFE233" s="19"/>
      <c r="GFH233" s="16"/>
      <c r="GFI233" s="15"/>
      <c r="GFJ233" s="15"/>
      <c r="GFK233" s="15"/>
      <c r="GFL233" s="16"/>
      <c r="GFM233" s="16"/>
      <c r="GFN233" s="16"/>
      <c r="GFO233" s="16"/>
      <c r="GFP233" s="16"/>
      <c r="GFQ233" s="15"/>
      <c r="GFR233" s="15"/>
      <c r="GFS233" s="10"/>
      <c r="GFT233" s="10"/>
      <c r="GFU233" s="19"/>
      <c r="GFV233" s="19"/>
      <c r="GFY233" s="16"/>
      <c r="GFZ233" s="15"/>
      <c r="GGA233" s="15"/>
      <c r="GGB233" s="15"/>
      <c r="GGC233" s="16"/>
      <c r="GGD233" s="16"/>
      <c r="GGE233" s="16"/>
      <c r="GGF233" s="16"/>
      <c r="GGG233" s="16"/>
      <c r="GGH233" s="15"/>
      <c r="GGI233" s="15"/>
      <c r="GGJ233" s="10"/>
      <c r="GGK233" s="10"/>
      <c r="GGL233" s="19"/>
      <c r="GGM233" s="19"/>
      <c r="GGP233" s="16"/>
      <c r="GGQ233" s="15"/>
      <c r="GGR233" s="15"/>
      <c r="GGS233" s="15"/>
      <c r="GGT233" s="16"/>
      <c r="GGU233" s="16"/>
      <c r="GGV233" s="16"/>
      <c r="GGW233" s="16"/>
      <c r="GGX233" s="16"/>
      <c r="GGY233" s="15"/>
      <c r="GGZ233" s="15"/>
      <c r="GHA233" s="10"/>
      <c r="GHB233" s="10"/>
      <c r="GHC233" s="19"/>
      <c r="GHD233" s="19"/>
      <c r="GHG233" s="16"/>
      <c r="GHH233" s="15"/>
      <c r="GHI233" s="15"/>
      <c r="GHJ233" s="15"/>
      <c r="GHK233" s="16"/>
      <c r="GHL233" s="16"/>
      <c r="GHM233" s="16"/>
      <c r="GHN233" s="16"/>
      <c r="GHO233" s="16"/>
      <c r="GHP233" s="15"/>
      <c r="GHQ233" s="15"/>
      <c r="GHR233" s="10"/>
      <c r="GHS233" s="10"/>
      <c r="GHT233" s="19"/>
      <c r="GHU233" s="19"/>
      <c r="GHX233" s="16"/>
      <c r="GHY233" s="15"/>
      <c r="GHZ233" s="15"/>
      <c r="GIA233" s="15"/>
      <c r="GIB233" s="16"/>
      <c r="GIC233" s="16"/>
      <c r="GID233" s="16"/>
      <c r="GIE233" s="16"/>
      <c r="GIF233" s="16"/>
      <c r="GIG233" s="15"/>
      <c r="GIH233" s="15"/>
      <c r="GII233" s="10"/>
      <c r="GIJ233" s="10"/>
      <c r="GIK233" s="19"/>
      <c r="GIL233" s="19"/>
      <c r="GIO233" s="16"/>
      <c r="GIP233" s="15"/>
      <c r="GIQ233" s="15"/>
      <c r="GIR233" s="15"/>
      <c r="GIS233" s="16"/>
      <c r="GIT233" s="16"/>
      <c r="GIU233" s="16"/>
      <c r="GIV233" s="16"/>
      <c r="GIW233" s="16"/>
      <c r="GIX233" s="15"/>
      <c r="GIY233" s="15"/>
      <c r="GIZ233" s="10"/>
      <c r="GJA233" s="10"/>
      <c r="GJB233" s="19"/>
      <c r="GJC233" s="19"/>
      <c r="GJF233" s="16"/>
      <c r="GJG233" s="15"/>
      <c r="GJH233" s="15"/>
      <c r="GJI233" s="15"/>
      <c r="GJJ233" s="16"/>
      <c r="GJK233" s="16"/>
      <c r="GJL233" s="16"/>
      <c r="GJM233" s="16"/>
      <c r="GJN233" s="16"/>
      <c r="GJO233" s="15"/>
      <c r="GJP233" s="15"/>
      <c r="GJQ233" s="10"/>
      <c r="GJR233" s="10"/>
      <c r="GJS233" s="19"/>
      <c r="GJT233" s="19"/>
      <c r="GJW233" s="16"/>
      <c r="GJX233" s="15"/>
      <c r="GJY233" s="15"/>
      <c r="GJZ233" s="15"/>
      <c r="GKA233" s="16"/>
      <c r="GKB233" s="16"/>
      <c r="GKC233" s="16"/>
      <c r="GKD233" s="16"/>
      <c r="GKE233" s="16"/>
      <c r="GKF233" s="15"/>
      <c r="GKG233" s="15"/>
      <c r="GKH233" s="10"/>
      <c r="GKI233" s="10"/>
      <c r="GKJ233" s="19"/>
      <c r="GKK233" s="19"/>
      <c r="GKN233" s="16"/>
      <c r="GKO233" s="15"/>
      <c r="GKP233" s="15"/>
      <c r="GKQ233" s="15"/>
      <c r="GKR233" s="16"/>
      <c r="GKS233" s="16"/>
      <c r="GKT233" s="16"/>
      <c r="GKU233" s="16"/>
      <c r="GKV233" s="16"/>
      <c r="GKW233" s="15"/>
      <c r="GKX233" s="15"/>
      <c r="GKY233" s="10"/>
      <c r="GKZ233" s="10"/>
      <c r="GLA233" s="19"/>
      <c r="GLB233" s="19"/>
      <c r="GLE233" s="16"/>
      <c r="GLF233" s="15"/>
      <c r="GLG233" s="15"/>
      <c r="GLH233" s="15"/>
      <c r="GLI233" s="16"/>
      <c r="GLJ233" s="16"/>
      <c r="GLK233" s="16"/>
      <c r="GLL233" s="16"/>
      <c r="GLM233" s="16"/>
      <c r="GLN233" s="15"/>
      <c r="GLO233" s="15"/>
      <c r="GLP233" s="10"/>
      <c r="GLQ233" s="10"/>
      <c r="GLR233" s="19"/>
      <c r="GLS233" s="19"/>
      <c r="GLV233" s="16"/>
      <c r="GLW233" s="15"/>
      <c r="GLX233" s="15"/>
      <c r="GLY233" s="15"/>
      <c r="GLZ233" s="16"/>
      <c r="GMA233" s="16"/>
      <c r="GMB233" s="16"/>
      <c r="GMC233" s="16"/>
      <c r="GMD233" s="16"/>
      <c r="GME233" s="15"/>
      <c r="GMF233" s="15"/>
      <c r="GMG233" s="10"/>
      <c r="GMH233" s="10"/>
      <c r="GMI233" s="19"/>
      <c r="GMJ233" s="19"/>
      <c r="GMM233" s="16"/>
      <c r="GMN233" s="15"/>
      <c r="GMO233" s="15"/>
      <c r="GMP233" s="15"/>
      <c r="GMQ233" s="16"/>
      <c r="GMR233" s="16"/>
      <c r="GMS233" s="16"/>
      <c r="GMT233" s="16"/>
      <c r="GMU233" s="16"/>
      <c r="GMV233" s="15"/>
      <c r="GMW233" s="15"/>
      <c r="GMX233" s="10"/>
      <c r="GMY233" s="10"/>
      <c r="GMZ233" s="19"/>
      <c r="GNA233" s="19"/>
      <c r="GND233" s="16"/>
      <c r="GNE233" s="15"/>
      <c r="GNF233" s="15"/>
      <c r="GNG233" s="15"/>
      <c r="GNH233" s="16"/>
      <c r="GNI233" s="16"/>
      <c r="GNJ233" s="16"/>
      <c r="GNK233" s="16"/>
      <c r="GNL233" s="16"/>
      <c r="GNM233" s="15"/>
      <c r="GNN233" s="15"/>
      <c r="GNO233" s="10"/>
      <c r="GNP233" s="10"/>
      <c r="GNQ233" s="19"/>
      <c r="GNR233" s="19"/>
      <c r="GNU233" s="16"/>
      <c r="GNV233" s="15"/>
      <c r="GNW233" s="15"/>
      <c r="GNX233" s="15"/>
      <c r="GNY233" s="16"/>
      <c r="GNZ233" s="16"/>
      <c r="GOA233" s="16"/>
      <c r="GOB233" s="16"/>
      <c r="GOC233" s="16"/>
      <c r="GOD233" s="15"/>
      <c r="GOE233" s="15"/>
      <c r="GOF233" s="10"/>
      <c r="GOG233" s="10"/>
      <c r="GOH233" s="19"/>
      <c r="GOI233" s="19"/>
      <c r="GOL233" s="16"/>
      <c r="GOM233" s="15"/>
      <c r="GON233" s="15"/>
      <c r="GOO233" s="15"/>
      <c r="GOP233" s="16"/>
      <c r="GOQ233" s="16"/>
      <c r="GOR233" s="16"/>
      <c r="GOS233" s="16"/>
      <c r="GOT233" s="16"/>
      <c r="GOU233" s="15"/>
      <c r="GOV233" s="15"/>
      <c r="GOW233" s="10"/>
      <c r="GOX233" s="10"/>
      <c r="GOY233" s="19"/>
      <c r="GOZ233" s="19"/>
      <c r="GPC233" s="16"/>
      <c r="GPD233" s="15"/>
      <c r="GPE233" s="15"/>
      <c r="GPF233" s="15"/>
      <c r="GPG233" s="16"/>
      <c r="GPH233" s="16"/>
      <c r="GPI233" s="16"/>
      <c r="GPJ233" s="16"/>
      <c r="GPK233" s="16"/>
      <c r="GPL233" s="15"/>
      <c r="GPM233" s="15"/>
      <c r="GPN233" s="10"/>
      <c r="GPO233" s="10"/>
      <c r="GPP233" s="19"/>
      <c r="GPQ233" s="19"/>
      <c r="GPT233" s="16"/>
      <c r="GPU233" s="15"/>
      <c r="GPV233" s="15"/>
      <c r="GPW233" s="15"/>
      <c r="GPX233" s="16"/>
      <c r="GPY233" s="16"/>
      <c r="GPZ233" s="16"/>
      <c r="GQA233" s="16"/>
      <c r="GQB233" s="16"/>
      <c r="GQC233" s="15"/>
      <c r="GQD233" s="15"/>
      <c r="GQE233" s="10"/>
      <c r="GQF233" s="10"/>
      <c r="GQG233" s="19"/>
      <c r="GQH233" s="19"/>
      <c r="GQK233" s="16"/>
      <c r="GQL233" s="15"/>
      <c r="GQM233" s="15"/>
      <c r="GQN233" s="15"/>
      <c r="GQO233" s="16"/>
      <c r="GQP233" s="16"/>
      <c r="GQQ233" s="16"/>
      <c r="GQR233" s="16"/>
      <c r="GQS233" s="16"/>
      <c r="GQT233" s="15"/>
      <c r="GQU233" s="15"/>
      <c r="GQV233" s="10"/>
      <c r="GQW233" s="10"/>
      <c r="GQX233" s="19"/>
      <c r="GQY233" s="19"/>
      <c r="GRB233" s="16"/>
      <c r="GRC233" s="15"/>
      <c r="GRD233" s="15"/>
      <c r="GRE233" s="15"/>
      <c r="GRF233" s="16"/>
      <c r="GRG233" s="16"/>
      <c r="GRH233" s="16"/>
      <c r="GRI233" s="16"/>
      <c r="GRJ233" s="16"/>
      <c r="GRK233" s="15"/>
      <c r="GRL233" s="15"/>
      <c r="GRM233" s="10"/>
      <c r="GRN233" s="10"/>
      <c r="GRO233" s="19"/>
      <c r="GRP233" s="19"/>
      <c r="GRS233" s="16"/>
      <c r="GRT233" s="15"/>
      <c r="GRU233" s="15"/>
      <c r="GRV233" s="15"/>
      <c r="GRW233" s="16"/>
      <c r="GRX233" s="16"/>
      <c r="GRY233" s="16"/>
      <c r="GRZ233" s="16"/>
      <c r="GSA233" s="16"/>
      <c r="GSB233" s="15"/>
      <c r="GSC233" s="15"/>
      <c r="GSD233" s="10"/>
      <c r="GSE233" s="10"/>
      <c r="GSF233" s="19"/>
      <c r="GSG233" s="19"/>
      <c r="GSJ233" s="16"/>
      <c r="GSK233" s="15"/>
      <c r="GSL233" s="15"/>
      <c r="GSM233" s="15"/>
      <c r="GSN233" s="16"/>
      <c r="GSO233" s="16"/>
      <c r="GSP233" s="16"/>
      <c r="GSQ233" s="16"/>
      <c r="GSR233" s="16"/>
      <c r="GSS233" s="15"/>
      <c r="GST233" s="15"/>
      <c r="GSU233" s="10"/>
      <c r="GSV233" s="10"/>
      <c r="GSW233" s="19"/>
      <c r="GSX233" s="19"/>
      <c r="GTA233" s="16"/>
      <c r="GTB233" s="15"/>
      <c r="GTC233" s="15"/>
      <c r="GTD233" s="15"/>
      <c r="GTE233" s="16"/>
      <c r="GTF233" s="16"/>
      <c r="GTG233" s="16"/>
      <c r="GTH233" s="16"/>
      <c r="GTI233" s="16"/>
      <c r="GTJ233" s="15"/>
      <c r="GTK233" s="15"/>
      <c r="GTL233" s="10"/>
      <c r="GTM233" s="10"/>
      <c r="GTN233" s="19"/>
      <c r="GTO233" s="19"/>
      <c r="GTR233" s="16"/>
      <c r="GTS233" s="15"/>
      <c r="GTT233" s="15"/>
      <c r="GTU233" s="15"/>
      <c r="GTV233" s="16"/>
      <c r="GTW233" s="16"/>
      <c r="GTX233" s="16"/>
      <c r="GTY233" s="16"/>
      <c r="GTZ233" s="16"/>
      <c r="GUA233" s="15"/>
      <c r="GUB233" s="15"/>
      <c r="GUC233" s="10"/>
      <c r="GUD233" s="10"/>
      <c r="GUE233" s="19"/>
      <c r="GUF233" s="19"/>
      <c r="GUI233" s="16"/>
      <c r="GUJ233" s="15"/>
      <c r="GUK233" s="15"/>
      <c r="GUL233" s="15"/>
      <c r="GUM233" s="16"/>
      <c r="GUN233" s="16"/>
      <c r="GUO233" s="16"/>
      <c r="GUP233" s="16"/>
      <c r="GUQ233" s="16"/>
      <c r="GUR233" s="15"/>
      <c r="GUS233" s="15"/>
      <c r="GUT233" s="10"/>
      <c r="GUU233" s="10"/>
      <c r="GUV233" s="19"/>
      <c r="GUW233" s="19"/>
      <c r="GUZ233" s="16"/>
      <c r="GVA233" s="15"/>
      <c r="GVB233" s="15"/>
      <c r="GVC233" s="15"/>
      <c r="GVD233" s="16"/>
      <c r="GVE233" s="16"/>
      <c r="GVF233" s="16"/>
      <c r="GVG233" s="16"/>
      <c r="GVH233" s="16"/>
      <c r="GVI233" s="15"/>
      <c r="GVJ233" s="15"/>
      <c r="GVK233" s="10"/>
      <c r="GVL233" s="10"/>
      <c r="GVM233" s="19"/>
      <c r="GVN233" s="19"/>
      <c r="GVQ233" s="16"/>
      <c r="GVR233" s="15"/>
      <c r="GVS233" s="15"/>
      <c r="GVT233" s="15"/>
      <c r="GVU233" s="16"/>
      <c r="GVV233" s="16"/>
      <c r="GVW233" s="16"/>
      <c r="GVX233" s="16"/>
      <c r="GVY233" s="16"/>
      <c r="GVZ233" s="15"/>
      <c r="GWA233" s="15"/>
      <c r="GWB233" s="10"/>
      <c r="GWC233" s="10"/>
      <c r="GWD233" s="19"/>
      <c r="GWE233" s="19"/>
      <c r="GWH233" s="16"/>
      <c r="GWI233" s="15"/>
      <c r="GWJ233" s="15"/>
      <c r="GWK233" s="15"/>
      <c r="GWL233" s="16"/>
      <c r="GWM233" s="16"/>
      <c r="GWN233" s="16"/>
      <c r="GWO233" s="16"/>
      <c r="GWP233" s="16"/>
      <c r="GWQ233" s="15"/>
      <c r="GWR233" s="15"/>
      <c r="GWS233" s="10"/>
      <c r="GWT233" s="10"/>
      <c r="GWU233" s="19"/>
      <c r="GWV233" s="19"/>
      <c r="GWY233" s="16"/>
      <c r="GWZ233" s="15"/>
      <c r="GXA233" s="15"/>
      <c r="GXB233" s="15"/>
      <c r="GXC233" s="16"/>
      <c r="GXD233" s="16"/>
      <c r="GXE233" s="16"/>
      <c r="GXF233" s="16"/>
      <c r="GXG233" s="16"/>
      <c r="GXH233" s="15"/>
      <c r="GXI233" s="15"/>
      <c r="GXJ233" s="10"/>
      <c r="GXK233" s="10"/>
      <c r="GXL233" s="19"/>
      <c r="GXM233" s="19"/>
      <c r="GXP233" s="16"/>
      <c r="GXQ233" s="15"/>
      <c r="GXR233" s="15"/>
      <c r="GXS233" s="15"/>
      <c r="GXT233" s="16"/>
      <c r="GXU233" s="16"/>
      <c r="GXV233" s="16"/>
      <c r="GXW233" s="16"/>
      <c r="GXX233" s="16"/>
      <c r="GXY233" s="15"/>
      <c r="GXZ233" s="15"/>
      <c r="GYA233" s="10"/>
      <c r="GYB233" s="10"/>
      <c r="GYC233" s="19"/>
      <c r="GYD233" s="19"/>
      <c r="GYG233" s="16"/>
      <c r="GYH233" s="15"/>
      <c r="GYI233" s="15"/>
      <c r="GYJ233" s="15"/>
      <c r="GYK233" s="16"/>
      <c r="GYL233" s="16"/>
      <c r="GYM233" s="16"/>
      <c r="GYN233" s="16"/>
      <c r="GYO233" s="16"/>
      <c r="GYP233" s="15"/>
      <c r="GYQ233" s="15"/>
      <c r="GYR233" s="10"/>
      <c r="GYS233" s="10"/>
      <c r="GYT233" s="19"/>
      <c r="GYU233" s="19"/>
      <c r="GYX233" s="16"/>
      <c r="GYY233" s="15"/>
      <c r="GYZ233" s="15"/>
      <c r="GZA233" s="15"/>
      <c r="GZB233" s="16"/>
      <c r="GZC233" s="16"/>
      <c r="GZD233" s="16"/>
      <c r="GZE233" s="16"/>
      <c r="GZF233" s="16"/>
      <c r="GZG233" s="15"/>
      <c r="GZH233" s="15"/>
      <c r="GZI233" s="10"/>
      <c r="GZJ233" s="10"/>
      <c r="GZK233" s="19"/>
      <c r="GZL233" s="19"/>
      <c r="GZO233" s="16"/>
      <c r="GZP233" s="15"/>
      <c r="GZQ233" s="15"/>
      <c r="GZR233" s="15"/>
      <c r="GZS233" s="16"/>
      <c r="GZT233" s="16"/>
      <c r="GZU233" s="16"/>
      <c r="GZV233" s="16"/>
      <c r="GZW233" s="16"/>
      <c r="GZX233" s="15"/>
      <c r="GZY233" s="15"/>
      <c r="GZZ233" s="10"/>
      <c r="HAA233" s="10"/>
      <c r="HAB233" s="19"/>
      <c r="HAC233" s="19"/>
      <c r="HAF233" s="16"/>
      <c r="HAG233" s="15"/>
      <c r="HAH233" s="15"/>
      <c r="HAI233" s="15"/>
      <c r="HAJ233" s="16"/>
      <c r="HAK233" s="16"/>
      <c r="HAL233" s="16"/>
      <c r="HAM233" s="16"/>
      <c r="HAN233" s="16"/>
      <c r="HAO233" s="15"/>
      <c r="HAP233" s="15"/>
      <c r="HAQ233" s="10"/>
      <c r="HAR233" s="10"/>
      <c r="HAS233" s="19"/>
      <c r="HAT233" s="19"/>
      <c r="HAW233" s="16"/>
      <c r="HAX233" s="15"/>
      <c r="HAY233" s="15"/>
      <c r="HAZ233" s="15"/>
      <c r="HBA233" s="16"/>
      <c r="HBB233" s="16"/>
      <c r="HBC233" s="16"/>
      <c r="HBD233" s="16"/>
      <c r="HBE233" s="16"/>
      <c r="HBF233" s="15"/>
      <c r="HBG233" s="15"/>
      <c r="HBH233" s="10"/>
      <c r="HBI233" s="10"/>
      <c r="HBJ233" s="19"/>
      <c r="HBK233" s="19"/>
      <c r="HBN233" s="16"/>
      <c r="HBO233" s="15"/>
      <c r="HBP233" s="15"/>
      <c r="HBQ233" s="15"/>
      <c r="HBR233" s="16"/>
      <c r="HBS233" s="16"/>
      <c r="HBT233" s="16"/>
      <c r="HBU233" s="16"/>
      <c r="HBV233" s="16"/>
      <c r="HBW233" s="15"/>
      <c r="HBX233" s="15"/>
      <c r="HBY233" s="10"/>
      <c r="HBZ233" s="10"/>
      <c r="HCA233" s="19"/>
      <c r="HCB233" s="19"/>
      <c r="HCE233" s="16"/>
      <c r="HCF233" s="15"/>
      <c r="HCG233" s="15"/>
      <c r="HCH233" s="15"/>
      <c r="HCI233" s="16"/>
      <c r="HCJ233" s="16"/>
      <c r="HCK233" s="16"/>
      <c r="HCL233" s="16"/>
      <c r="HCM233" s="16"/>
      <c r="HCN233" s="15"/>
      <c r="HCO233" s="15"/>
      <c r="HCP233" s="10"/>
      <c r="HCQ233" s="10"/>
      <c r="HCR233" s="19"/>
      <c r="HCS233" s="19"/>
      <c r="HCV233" s="16"/>
      <c r="HCW233" s="15"/>
      <c r="HCX233" s="15"/>
      <c r="HCY233" s="15"/>
      <c r="HCZ233" s="16"/>
      <c r="HDA233" s="16"/>
      <c r="HDB233" s="16"/>
      <c r="HDC233" s="16"/>
      <c r="HDD233" s="16"/>
      <c r="HDE233" s="15"/>
      <c r="HDF233" s="15"/>
      <c r="HDG233" s="10"/>
      <c r="HDH233" s="10"/>
      <c r="HDI233" s="19"/>
      <c r="HDJ233" s="19"/>
      <c r="HDM233" s="16"/>
      <c r="HDN233" s="15"/>
      <c r="HDO233" s="15"/>
      <c r="HDP233" s="15"/>
      <c r="HDQ233" s="16"/>
      <c r="HDR233" s="16"/>
      <c r="HDS233" s="16"/>
      <c r="HDT233" s="16"/>
      <c r="HDU233" s="16"/>
      <c r="HDV233" s="15"/>
      <c r="HDW233" s="15"/>
      <c r="HDX233" s="10"/>
      <c r="HDY233" s="10"/>
      <c r="HDZ233" s="19"/>
      <c r="HEA233" s="19"/>
      <c r="HED233" s="16"/>
      <c r="HEE233" s="15"/>
      <c r="HEF233" s="15"/>
      <c r="HEG233" s="15"/>
      <c r="HEH233" s="16"/>
      <c r="HEI233" s="16"/>
      <c r="HEJ233" s="16"/>
      <c r="HEK233" s="16"/>
      <c r="HEL233" s="16"/>
      <c r="HEM233" s="15"/>
      <c r="HEN233" s="15"/>
      <c r="HEO233" s="10"/>
      <c r="HEP233" s="10"/>
      <c r="HEQ233" s="19"/>
      <c r="HER233" s="19"/>
      <c r="HEU233" s="16"/>
      <c r="HEV233" s="15"/>
      <c r="HEW233" s="15"/>
      <c r="HEX233" s="15"/>
      <c r="HEY233" s="16"/>
      <c r="HEZ233" s="16"/>
      <c r="HFA233" s="16"/>
      <c r="HFB233" s="16"/>
      <c r="HFC233" s="16"/>
      <c r="HFD233" s="15"/>
      <c r="HFE233" s="15"/>
      <c r="HFF233" s="10"/>
      <c r="HFG233" s="10"/>
      <c r="HFH233" s="19"/>
      <c r="HFI233" s="19"/>
      <c r="HFL233" s="16"/>
      <c r="HFM233" s="15"/>
      <c r="HFN233" s="15"/>
      <c r="HFO233" s="15"/>
      <c r="HFP233" s="16"/>
      <c r="HFQ233" s="16"/>
      <c r="HFR233" s="16"/>
      <c r="HFS233" s="16"/>
      <c r="HFT233" s="16"/>
      <c r="HFU233" s="15"/>
      <c r="HFV233" s="15"/>
      <c r="HFW233" s="10"/>
      <c r="HFX233" s="10"/>
      <c r="HFY233" s="19"/>
      <c r="HFZ233" s="19"/>
      <c r="HGC233" s="16"/>
      <c r="HGD233" s="15"/>
      <c r="HGE233" s="15"/>
      <c r="HGF233" s="15"/>
      <c r="HGG233" s="16"/>
      <c r="HGH233" s="16"/>
      <c r="HGI233" s="16"/>
      <c r="HGJ233" s="16"/>
      <c r="HGK233" s="16"/>
      <c r="HGL233" s="15"/>
      <c r="HGM233" s="15"/>
      <c r="HGN233" s="10"/>
      <c r="HGO233" s="10"/>
      <c r="HGP233" s="19"/>
      <c r="HGQ233" s="19"/>
      <c r="HGT233" s="16"/>
      <c r="HGU233" s="15"/>
      <c r="HGV233" s="15"/>
      <c r="HGW233" s="15"/>
      <c r="HGX233" s="16"/>
      <c r="HGY233" s="16"/>
      <c r="HGZ233" s="16"/>
      <c r="HHA233" s="16"/>
      <c r="HHB233" s="16"/>
      <c r="HHC233" s="15"/>
      <c r="HHD233" s="15"/>
      <c r="HHE233" s="10"/>
      <c r="HHF233" s="10"/>
      <c r="HHG233" s="19"/>
      <c r="HHH233" s="19"/>
      <c r="HHK233" s="16"/>
      <c r="HHL233" s="15"/>
      <c r="HHM233" s="15"/>
      <c r="HHN233" s="15"/>
      <c r="HHO233" s="16"/>
      <c r="HHP233" s="16"/>
      <c r="HHQ233" s="16"/>
      <c r="HHR233" s="16"/>
      <c r="HHS233" s="16"/>
      <c r="HHT233" s="15"/>
      <c r="HHU233" s="15"/>
      <c r="HHV233" s="10"/>
      <c r="HHW233" s="10"/>
      <c r="HHX233" s="19"/>
      <c r="HHY233" s="19"/>
      <c r="HIB233" s="16"/>
      <c r="HIC233" s="15"/>
      <c r="HID233" s="15"/>
      <c r="HIE233" s="15"/>
      <c r="HIF233" s="16"/>
      <c r="HIG233" s="16"/>
      <c r="HIH233" s="16"/>
      <c r="HII233" s="16"/>
      <c r="HIJ233" s="16"/>
      <c r="HIK233" s="15"/>
      <c r="HIL233" s="15"/>
      <c r="HIM233" s="10"/>
      <c r="HIN233" s="10"/>
      <c r="HIO233" s="19"/>
      <c r="HIP233" s="19"/>
      <c r="HIS233" s="16"/>
      <c r="HIT233" s="15"/>
      <c r="HIU233" s="15"/>
      <c r="HIV233" s="15"/>
      <c r="HIW233" s="16"/>
      <c r="HIX233" s="16"/>
      <c r="HIY233" s="16"/>
      <c r="HIZ233" s="16"/>
      <c r="HJA233" s="16"/>
      <c r="HJB233" s="15"/>
      <c r="HJC233" s="15"/>
      <c r="HJD233" s="10"/>
      <c r="HJE233" s="10"/>
      <c r="HJF233" s="19"/>
      <c r="HJG233" s="19"/>
      <c r="HJJ233" s="16"/>
      <c r="HJK233" s="15"/>
      <c r="HJL233" s="15"/>
      <c r="HJM233" s="15"/>
      <c r="HJN233" s="16"/>
      <c r="HJO233" s="16"/>
      <c r="HJP233" s="16"/>
      <c r="HJQ233" s="16"/>
      <c r="HJR233" s="16"/>
      <c r="HJS233" s="15"/>
      <c r="HJT233" s="15"/>
      <c r="HJU233" s="10"/>
      <c r="HJV233" s="10"/>
      <c r="HJW233" s="19"/>
      <c r="HJX233" s="19"/>
      <c r="HKA233" s="16"/>
      <c r="HKB233" s="15"/>
      <c r="HKC233" s="15"/>
      <c r="HKD233" s="15"/>
      <c r="HKE233" s="16"/>
      <c r="HKF233" s="16"/>
      <c r="HKG233" s="16"/>
      <c r="HKH233" s="16"/>
      <c r="HKI233" s="16"/>
      <c r="HKJ233" s="15"/>
      <c r="HKK233" s="15"/>
      <c r="HKL233" s="10"/>
      <c r="HKM233" s="10"/>
      <c r="HKN233" s="19"/>
      <c r="HKO233" s="19"/>
      <c r="HKR233" s="16"/>
      <c r="HKS233" s="15"/>
      <c r="HKT233" s="15"/>
      <c r="HKU233" s="15"/>
      <c r="HKV233" s="16"/>
      <c r="HKW233" s="16"/>
      <c r="HKX233" s="16"/>
      <c r="HKY233" s="16"/>
      <c r="HKZ233" s="16"/>
      <c r="HLA233" s="15"/>
      <c r="HLB233" s="15"/>
      <c r="HLC233" s="10"/>
      <c r="HLD233" s="10"/>
      <c r="HLE233" s="19"/>
      <c r="HLF233" s="19"/>
      <c r="HLI233" s="16"/>
      <c r="HLJ233" s="15"/>
      <c r="HLK233" s="15"/>
      <c r="HLL233" s="15"/>
      <c r="HLM233" s="16"/>
      <c r="HLN233" s="16"/>
      <c r="HLO233" s="16"/>
      <c r="HLP233" s="16"/>
      <c r="HLQ233" s="16"/>
      <c r="HLR233" s="15"/>
      <c r="HLS233" s="15"/>
      <c r="HLT233" s="10"/>
      <c r="HLU233" s="10"/>
      <c r="HLV233" s="19"/>
      <c r="HLW233" s="19"/>
      <c r="HLZ233" s="16"/>
      <c r="HMA233" s="15"/>
      <c r="HMB233" s="15"/>
      <c r="HMC233" s="15"/>
      <c r="HMD233" s="16"/>
      <c r="HME233" s="16"/>
      <c r="HMF233" s="16"/>
      <c r="HMG233" s="16"/>
      <c r="HMH233" s="16"/>
      <c r="HMI233" s="15"/>
      <c r="HMJ233" s="15"/>
      <c r="HMK233" s="10"/>
      <c r="HML233" s="10"/>
      <c r="HMM233" s="19"/>
      <c r="HMN233" s="19"/>
      <c r="HMQ233" s="16"/>
      <c r="HMR233" s="15"/>
      <c r="HMS233" s="15"/>
      <c r="HMT233" s="15"/>
      <c r="HMU233" s="16"/>
      <c r="HMV233" s="16"/>
      <c r="HMW233" s="16"/>
      <c r="HMX233" s="16"/>
      <c r="HMY233" s="16"/>
      <c r="HMZ233" s="15"/>
      <c r="HNA233" s="15"/>
      <c r="HNB233" s="10"/>
      <c r="HNC233" s="10"/>
      <c r="HND233" s="19"/>
      <c r="HNE233" s="19"/>
      <c r="HNH233" s="16"/>
      <c r="HNI233" s="15"/>
      <c r="HNJ233" s="15"/>
      <c r="HNK233" s="15"/>
      <c r="HNL233" s="16"/>
      <c r="HNM233" s="16"/>
      <c r="HNN233" s="16"/>
      <c r="HNO233" s="16"/>
      <c r="HNP233" s="16"/>
      <c r="HNQ233" s="15"/>
      <c r="HNR233" s="15"/>
      <c r="HNS233" s="10"/>
      <c r="HNT233" s="10"/>
      <c r="HNU233" s="19"/>
      <c r="HNV233" s="19"/>
      <c r="HNY233" s="16"/>
      <c r="HNZ233" s="15"/>
      <c r="HOA233" s="15"/>
      <c r="HOB233" s="15"/>
      <c r="HOC233" s="16"/>
      <c r="HOD233" s="16"/>
      <c r="HOE233" s="16"/>
      <c r="HOF233" s="16"/>
      <c r="HOG233" s="16"/>
      <c r="HOH233" s="15"/>
      <c r="HOI233" s="15"/>
      <c r="HOJ233" s="10"/>
      <c r="HOK233" s="10"/>
      <c r="HOL233" s="19"/>
      <c r="HOM233" s="19"/>
      <c r="HOP233" s="16"/>
      <c r="HOQ233" s="15"/>
      <c r="HOR233" s="15"/>
      <c r="HOS233" s="15"/>
      <c r="HOT233" s="16"/>
      <c r="HOU233" s="16"/>
      <c r="HOV233" s="16"/>
      <c r="HOW233" s="16"/>
      <c r="HOX233" s="16"/>
      <c r="HOY233" s="15"/>
      <c r="HOZ233" s="15"/>
      <c r="HPA233" s="10"/>
      <c r="HPB233" s="10"/>
      <c r="HPC233" s="19"/>
      <c r="HPD233" s="19"/>
      <c r="HPG233" s="16"/>
      <c r="HPH233" s="15"/>
      <c r="HPI233" s="15"/>
      <c r="HPJ233" s="15"/>
      <c r="HPK233" s="16"/>
      <c r="HPL233" s="16"/>
      <c r="HPM233" s="16"/>
      <c r="HPN233" s="16"/>
      <c r="HPO233" s="16"/>
      <c r="HPP233" s="15"/>
      <c r="HPQ233" s="15"/>
      <c r="HPR233" s="10"/>
      <c r="HPS233" s="10"/>
      <c r="HPT233" s="19"/>
      <c r="HPU233" s="19"/>
      <c r="HPX233" s="16"/>
      <c r="HPY233" s="15"/>
      <c r="HPZ233" s="15"/>
      <c r="HQA233" s="15"/>
      <c r="HQB233" s="16"/>
      <c r="HQC233" s="16"/>
      <c r="HQD233" s="16"/>
      <c r="HQE233" s="16"/>
      <c r="HQF233" s="16"/>
      <c r="HQG233" s="15"/>
      <c r="HQH233" s="15"/>
      <c r="HQI233" s="10"/>
      <c r="HQJ233" s="10"/>
      <c r="HQK233" s="19"/>
      <c r="HQL233" s="19"/>
      <c r="HQO233" s="16"/>
      <c r="HQP233" s="15"/>
      <c r="HQQ233" s="15"/>
      <c r="HQR233" s="15"/>
      <c r="HQS233" s="16"/>
      <c r="HQT233" s="16"/>
      <c r="HQU233" s="16"/>
      <c r="HQV233" s="16"/>
      <c r="HQW233" s="16"/>
      <c r="HQX233" s="15"/>
      <c r="HQY233" s="15"/>
      <c r="HQZ233" s="10"/>
      <c r="HRA233" s="10"/>
      <c r="HRB233" s="19"/>
      <c r="HRC233" s="19"/>
      <c r="HRF233" s="16"/>
      <c r="HRG233" s="15"/>
      <c r="HRH233" s="15"/>
      <c r="HRI233" s="15"/>
      <c r="HRJ233" s="16"/>
      <c r="HRK233" s="16"/>
      <c r="HRL233" s="16"/>
      <c r="HRM233" s="16"/>
      <c r="HRN233" s="16"/>
      <c r="HRO233" s="15"/>
      <c r="HRP233" s="15"/>
      <c r="HRQ233" s="10"/>
      <c r="HRR233" s="10"/>
      <c r="HRS233" s="19"/>
      <c r="HRT233" s="19"/>
      <c r="HRW233" s="16"/>
      <c r="HRX233" s="15"/>
      <c r="HRY233" s="15"/>
      <c r="HRZ233" s="15"/>
      <c r="HSA233" s="16"/>
      <c r="HSB233" s="16"/>
      <c r="HSC233" s="16"/>
      <c r="HSD233" s="16"/>
      <c r="HSE233" s="16"/>
      <c r="HSF233" s="15"/>
      <c r="HSG233" s="15"/>
      <c r="HSH233" s="10"/>
      <c r="HSI233" s="10"/>
      <c r="HSJ233" s="19"/>
      <c r="HSK233" s="19"/>
      <c r="HSN233" s="16"/>
      <c r="HSO233" s="15"/>
      <c r="HSP233" s="15"/>
      <c r="HSQ233" s="15"/>
      <c r="HSR233" s="16"/>
      <c r="HSS233" s="16"/>
      <c r="HST233" s="16"/>
      <c r="HSU233" s="16"/>
      <c r="HSV233" s="16"/>
      <c r="HSW233" s="15"/>
      <c r="HSX233" s="15"/>
      <c r="HSY233" s="10"/>
      <c r="HSZ233" s="10"/>
      <c r="HTA233" s="19"/>
      <c r="HTB233" s="19"/>
      <c r="HTE233" s="16"/>
      <c r="HTF233" s="15"/>
      <c r="HTG233" s="15"/>
      <c r="HTH233" s="15"/>
      <c r="HTI233" s="16"/>
      <c r="HTJ233" s="16"/>
      <c r="HTK233" s="16"/>
      <c r="HTL233" s="16"/>
      <c r="HTM233" s="16"/>
      <c r="HTN233" s="15"/>
      <c r="HTO233" s="15"/>
      <c r="HTP233" s="10"/>
      <c r="HTQ233" s="10"/>
      <c r="HTR233" s="19"/>
      <c r="HTS233" s="19"/>
      <c r="HTV233" s="16"/>
      <c r="HTW233" s="15"/>
      <c r="HTX233" s="15"/>
      <c r="HTY233" s="15"/>
      <c r="HTZ233" s="16"/>
      <c r="HUA233" s="16"/>
      <c r="HUB233" s="16"/>
      <c r="HUC233" s="16"/>
      <c r="HUD233" s="16"/>
      <c r="HUE233" s="15"/>
      <c r="HUF233" s="15"/>
      <c r="HUG233" s="10"/>
      <c r="HUH233" s="10"/>
      <c r="HUI233" s="19"/>
      <c r="HUJ233" s="19"/>
      <c r="HUM233" s="16"/>
      <c r="HUN233" s="15"/>
      <c r="HUO233" s="15"/>
      <c r="HUP233" s="15"/>
      <c r="HUQ233" s="16"/>
      <c r="HUR233" s="16"/>
      <c r="HUS233" s="16"/>
      <c r="HUT233" s="16"/>
      <c r="HUU233" s="16"/>
      <c r="HUV233" s="15"/>
      <c r="HUW233" s="15"/>
      <c r="HUX233" s="10"/>
      <c r="HUY233" s="10"/>
      <c r="HUZ233" s="19"/>
      <c r="HVA233" s="19"/>
      <c r="HVD233" s="16"/>
      <c r="HVE233" s="15"/>
      <c r="HVF233" s="15"/>
      <c r="HVG233" s="15"/>
      <c r="HVH233" s="16"/>
      <c r="HVI233" s="16"/>
      <c r="HVJ233" s="16"/>
      <c r="HVK233" s="16"/>
      <c r="HVL233" s="16"/>
      <c r="HVM233" s="15"/>
      <c r="HVN233" s="15"/>
      <c r="HVO233" s="10"/>
      <c r="HVP233" s="10"/>
      <c r="HVQ233" s="19"/>
      <c r="HVR233" s="19"/>
      <c r="HVU233" s="16"/>
      <c r="HVV233" s="15"/>
      <c r="HVW233" s="15"/>
      <c r="HVX233" s="15"/>
      <c r="HVY233" s="16"/>
      <c r="HVZ233" s="16"/>
      <c r="HWA233" s="16"/>
      <c r="HWB233" s="16"/>
      <c r="HWC233" s="16"/>
      <c r="HWD233" s="15"/>
      <c r="HWE233" s="15"/>
      <c r="HWF233" s="10"/>
      <c r="HWG233" s="10"/>
      <c r="HWH233" s="19"/>
      <c r="HWI233" s="19"/>
      <c r="HWL233" s="16"/>
      <c r="HWM233" s="15"/>
      <c r="HWN233" s="15"/>
      <c r="HWO233" s="15"/>
      <c r="HWP233" s="16"/>
      <c r="HWQ233" s="16"/>
      <c r="HWR233" s="16"/>
      <c r="HWS233" s="16"/>
      <c r="HWT233" s="16"/>
      <c r="HWU233" s="15"/>
      <c r="HWV233" s="15"/>
      <c r="HWW233" s="10"/>
      <c r="HWX233" s="10"/>
      <c r="HWY233" s="19"/>
      <c r="HWZ233" s="19"/>
      <c r="HXC233" s="16"/>
      <c r="HXD233" s="15"/>
      <c r="HXE233" s="15"/>
      <c r="HXF233" s="15"/>
      <c r="HXG233" s="16"/>
      <c r="HXH233" s="16"/>
      <c r="HXI233" s="16"/>
      <c r="HXJ233" s="16"/>
      <c r="HXK233" s="16"/>
      <c r="HXL233" s="15"/>
      <c r="HXM233" s="15"/>
      <c r="HXN233" s="10"/>
      <c r="HXO233" s="10"/>
      <c r="HXP233" s="19"/>
      <c r="HXQ233" s="19"/>
      <c r="HXT233" s="16"/>
      <c r="HXU233" s="15"/>
      <c r="HXV233" s="15"/>
      <c r="HXW233" s="15"/>
      <c r="HXX233" s="16"/>
      <c r="HXY233" s="16"/>
      <c r="HXZ233" s="16"/>
      <c r="HYA233" s="16"/>
      <c r="HYB233" s="16"/>
      <c r="HYC233" s="15"/>
      <c r="HYD233" s="15"/>
      <c r="HYE233" s="10"/>
      <c r="HYF233" s="10"/>
      <c r="HYG233" s="19"/>
      <c r="HYH233" s="19"/>
      <c r="HYK233" s="16"/>
      <c r="HYL233" s="15"/>
      <c r="HYM233" s="15"/>
      <c r="HYN233" s="15"/>
      <c r="HYO233" s="16"/>
      <c r="HYP233" s="16"/>
      <c r="HYQ233" s="16"/>
      <c r="HYR233" s="16"/>
      <c r="HYS233" s="16"/>
      <c r="HYT233" s="15"/>
      <c r="HYU233" s="15"/>
      <c r="HYV233" s="10"/>
      <c r="HYW233" s="10"/>
      <c r="HYX233" s="19"/>
      <c r="HYY233" s="19"/>
      <c r="HZB233" s="16"/>
      <c r="HZC233" s="15"/>
      <c r="HZD233" s="15"/>
      <c r="HZE233" s="15"/>
      <c r="HZF233" s="16"/>
      <c r="HZG233" s="16"/>
      <c r="HZH233" s="16"/>
      <c r="HZI233" s="16"/>
      <c r="HZJ233" s="16"/>
      <c r="HZK233" s="15"/>
      <c r="HZL233" s="15"/>
      <c r="HZM233" s="10"/>
      <c r="HZN233" s="10"/>
      <c r="HZO233" s="19"/>
      <c r="HZP233" s="19"/>
      <c r="HZS233" s="16"/>
      <c r="HZT233" s="15"/>
      <c r="HZU233" s="15"/>
      <c r="HZV233" s="15"/>
      <c r="HZW233" s="16"/>
      <c r="HZX233" s="16"/>
      <c r="HZY233" s="16"/>
      <c r="HZZ233" s="16"/>
      <c r="IAA233" s="16"/>
      <c r="IAB233" s="15"/>
      <c r="IAC233" s="15"/>
      <c r="IAD233" s="10"/>
      <c r="IAE233" s="10"/>
      <c r="IAF233" s="19"/>
      <c r="IAG233" s="19"/>
      <c r="IAJ233" s="16"/>
      <c r="IAK233" s="15"/>
      <c r="IAL233" s="15"/>
      <c r="IAM233" s="15"/>
      <c r="IAN233" s="16"/>
      <c r="IAO233" s="16"/>
      <c r="IAP233" s="16"/>
      <c r="IAQ233" s="16"/>
      <c r="IAR233" s="16"/>
      <c r="IAS233" s="15"/>
      <c r="IAT233" s="15"/>
      <c r="IAU233" s="10"/>
      <c r="IAV233" s="10"/>
      <c r="IAW233" s="19"/>
      <c r="IAX233" s="19"/>
      <c r="IBA233" s="16"/>
      <c r="IBB233" s="15"/>
      <c r="IBC233" s="15"/>
      <c r="IBD233" s="15"/>
      <c r="IBE233" s="16"/>
      <c r="IBF233" s="16"/>
      <c r="IBG233" s="16"/>
      <c r="IBH233" s="16"/>
      <c r="IBI233" s="16"/>
      <c r="IBJ233" s="15"/>
      <c r="IBK233" s="15"/>
      <c r="IBL233" s="10"/>
      <c r="IBM233" s="10"/>
      <c r="IBN233" s="19"/>
      <c r="IBO233" s="19"/>
      <c r="IBR233" s="16"/>
      <c r="IBS233" s="15"/>
      <c r="IBT233" s="15"/>
      <c r="IBU233" s="15"/>
      <c r="IBV233" s="16"/>
      <c r="IBW233" s="16"/>
      <c r="IBX233" s="16"/>
      <c r="IBY233" s="16"/>
      <c r="IBZ233" s="16"/>
      <c r="ICA233" s="15"/>
      <c r="ICB233" s="15"/>
      <c r="ICC233" s="10"/>
      <c r="ICD233" s="10"/>
      <c r="ICE233" s="19"/>
      <c r="ICF233" s="19"/>
      <c r="ICI233" s="16"/>
      <c r="ICJ233" s="15"/>
      <c r="ICK233" s="15"/>
      <c r="ICL233" s="15"/>
      <c r="ICM233" s="16"/>
      <c r="ICN233" s="16"/>
      <c r="ICO233" s="16"/>
      <c r="ICP233" s="16"/>
      <c r="ICQ233" s="16"/>
      <c r="ICR233" s="15"/>
      <c r="ICS233" s="15"/>
      <c r="ICT233" s="10"/>
      <c r="ICU233" s="10"/>
      <c r="ICV233" s="19"/>
      <c r="ICW233" s="19"/>
      <c r="ICZ233" s="16"/>
      <c r="IDA233" s="15"/>
      <c r="IDB233" s="15"/>
      <c r="IDC233" s="15"/>
      <c r="IDD233" s="16"/>
      <c r="IDE233" s="16"/>
      <c r="IDF233" s="16"/>
      <c r="IDG233" s="16"/>
      <c r="IDH233" s="16"/>
      <c r="IDI233" s="15"/>
      <c r="IDJ233" s="15"/>
      <c r="IDK233" s="10"/>
      <c r="IDL233" s="10"/>
      <c r="IDM233" s="19"/>
      <c r="IDN233" s="19"/>
      <c r="IDQ233" s="16"/>
      <c r="IDR233" s="15"/>
      <c r="IDS233" s="15"/>
      <c r="IDT233" s="15"/>
      <c r="IDU233" s="16"/>
      <c r="IDV233" s="16"/>
      <c r="IDW233" s="16"/>
      <c r="IDX233" s="16"/>
      <c r="IDY233" s="16"/>
      <c r="IDZ233" s="15"/>
      <c r="IEA233" s="15"/>
      <c r="IEB233" s="10"/>
      <c r="IEC233" s="10"/>
      <c r="IED233" s="19"/>
      <c r="IEE233" s="19"/>
      <c r="IEH233" s="16"/>
      <c r="IEI233" s="15"/>
      <c r="IEJ233" s="15"/>
      <c r="IEK233" s="15"/>
      <c r="IEL233" s="16"/>
      <c r="IEM233" s="16"/>
      <c r="IEN233" s="16"/>
      <c r="IEO233" s="16"/>
      <c r="IEP233" s="16"/>
      <c r="IEQ233" s="15"/>
      <c r="IER233" s="15"/>
      <c r="IES233" s="10"/>
      <c r="IET233" s="10"/>
      <c r="IEU233" s="19"/>
      <c r="IEV233" s="19"/>
      <c r="IEY233" s="16"/>
      <c r="IEZ233" s="15"/>
      <c r="IFA233" s="15"/>
      <c r="IFB233" s="15"/>
      <c r="IFC233" s="16"/>
      <c r="IFD233" s="16"/>
      <c r="IFE233" s="16"/>
      <c r="IFF233" s="16"/>
      <c r="IFG233" s="16"/>
      <c r="IFH233" s="15"/>
      <c r="IFI233" s="15"/>
      <c r="IFJ233" s="10"/>
      <c r="IFK233" s="10"/>
      <c r="IFL233" s="19"/>
      <c r="IFM233" s="19"/>
      <c r="IFP233" s="16"/>
      <c r="IFQ233" s="15"/>
      <c r="IFR233" s="15"/>
      <c r="IFS233" s="15"/>
      <c r="IFT233" s="16"/>
      <c r="IFU233" s="16"/>
      <c r="IFV233" s="16"/>
      <c r="IFW233" s="16"/>
      <c r="IFX233" s="16"/>
      <c r="IFY233" s="15"/>
      <c r="IFZ233" s="15"/>
      <c r="IGA233" s="10"/>
      <c r="IGB233" s="10"/>
      <c r="IGC233" s="19"/>
      <c r="IGD233" s="19"/>
      <c r="IGG233" s="16"/>
      <c r="IGH233" s="15"/>
      <c r="IGI233" s="15"/>
      <c r="IGJ233" s="15"/>
      <c r="IGK233" s="16"/>
      <c r="IGL233" s="16"/>
      <c r="IGM233" s="16"/>
      <c r="IGN233" s="16"/>
      <c r="IGO233" s="16"/>
      <c r="IGP233" s="15"/>
      <c r="IGQ233" s="15"/>
      <c r="IGR233" s="10"/>
      <c r="IGS233" s="10"/>
      <c r="IGT233" s="19"/>
      <c r="IGU233" s="19"/>
      <c r="IGX233" s="16"/>
      <c r="IGY233" s="15"/>
      <c r="IGZ233" s="15"/>
      <c r="IHA233" s="15"/>
      <c r="IHB233" s="16"/>
      <c r="IHC233" s="16"/>
      <c r="IHD233" s="16"/>
      <c r="IHE233" s="16"/>
      <c r="IHF233" s="16"/>
      <c r="IHG233" s="15"/>
      <c r="IHH233" s="15"/>
      <c r="IHI233" s="10"/>
      <c r="IHJ233" s="10"/>
      <c r="IHK233" s="19"/>
      <c r="IHL233" s="19"/>
      <c r="IHO233" s="16"/>
      <c r="IHP233" s="15"/>
      <c r="IHQ233" s="15"/>
      <c r="IHR233" s="15"/>
      <c r="IHS233" s="16"/>
      <c r="IHT233" s="16"/>
      <c r="IHU233" s="16"/>
      <c r="IHV233" s="16"/>
      <c r="IHW233" s="16"/>
      <c r="IHX233" s="15"/>
      <c r="IHY233" s="15"/>
      <c r="IHZ233" s="10"/>
      <c r="IIA233" s="10"/>
      <c r="IIB233" s="19"/>
      <c r="IIC233" s="19"/>
      <c r="IIF233" s="16"/>
      <c r="IIG233" s="15"/>
      <c r="IIH233" s="15"/>
      <c r="III233" s="15"/>
      <c r="IIJ233" s="16"/>
      <c r="IIK233" s="16"/>
      <c r="IIL233" s="16"/>
      <c r="IIM233" s="16"/>
      <c r="IIN233" s="16"/>
      <c r="IIO233" s="15"/>
      <c r="IIP233" s="15"/>
      <c r="IIQ233" s="10"/>
      <c r="IIR233" s="10"/>
      <c r="IIS233" s="19"/>
      <c r="IIT233" s="19"/>
      <c r="IIW233" s="16"/>
      <c r="IIX233" s="15"/>
      <c r="IIY233" s="15"/>
      <c r="IIZ233" s="15"/>
      <c r="IJA233" s="16"/>
      <c r="IJB233" s="16"/>
      <c r="IJC233" s="16"/>
      <c r="IJD233" s="16"/>
      <c r="IJE233" s="16"/>
      <c r="IJF233" s="15"/>
      <c r="IJG233" s="15"/>
      <c r="IJH233" s="10"/>
      <c r="IJI233" s="10"/>
      <c r="IJJ233" s="19"/>
      <c r="IJK233" s="19"/>
      <c r="IJN233" s="16"/>
      <c r="IJO233" s="15"/>
      <c r="IJP233" s="15"/>
      <c r="IJQ233" s="15"/>
      <c r="IJR233" s="16"/>
      <c r="IJS233" s="16"/>
      <c r="IJT233" s="16"/>
      <c r="IJU233" s="16"/>
      <c r="IJV233" s="16"/>
      <c r="IJW233" s="15"/>
      <c r="IJX233" s="15"/>
      <c r="IJY233" s="10"/>
      <c r="IJZ233" s="10"/>
      <c r="IKA233" s="19"/>
      <c r="IKB233" s="19"/>
      <c r="IKE233" s="16"/>
      <c r="IKF233" s="15"/>
      <c r="IKG233" s="15"/>
      <c r="IKH233" s="15"/>
      <c r="IKI233" s="16"/>
      <c r="IKJ233" s="16"/>
      <c r="IKK233" s="16"/>
      <c r="IKL233" s="16"/>
      <c r="IKM233" s="16"/>
      <c r="IKN233" s="15"/>
      <c r="IKO233" s="15"/>
      <c r="IKP233" s="10"/>
      <c r="IKQ233" s="10"/>
      <c r="IKR233" s="19"/>
      <c r="IKS233" s="19"/>
      <c r="IKV233" s="16"/>
      <c r="IKW233" s="15"/>
      <c r="IKX233" s="15"/>
      <c r="IKY233" s="15"/>
      <c r="IKZ233" s="16"/>
      <c r="ILA233" s="16"/>
      <c r="ILB233" s="16"/>
      <c r="ILC233" s="16"/>
      <c r="ILD233" s="16"/>
      <c r="ILE233" s="15"/>
      <c r="ILF233" s="15"/>
      <c r="ILG233" s="10"/>
      <c r="ILH233" s="10"/>
      <c r="ILI233" s="19"/>
      <c r="ILJ233" s="19"/>
      <c r="ILM233" s="16"/>
      <c r="ILN233" s="15"/>
      <c r="ILO233" s="15"/>
      <c r="ILP233" s="15"/>
      <c r="ILQ233" s="16"/>
      <c r="ILR233" s="16"/>
      <c r="ILS233" s="16"/>
      <c r="ILT233" s="16"/>
      <c r="ILU233" s="16"/>
      <c r="ILV233" s="15"/>
      <c r="ILW233" s="15"/>
      <c r="ILX233" s="10"/>
      <c r="ILY233" s="10"/>
      <c r="ILZ233" s="19"/>
      <c r="IMA233" s="19"/>
      <c r="IMD233" s="16"/>
      <c r="IME233" s="15"/>
      <c r="IMF233" s="15"/>
      <c r="IMG233" s="15"/>
      <c r="IMH233" s="16"/>
      <c r="IMI233" s="16"/>
      <c r="IMJ233" s="16"/>
      <c r="IMK233" s="16"/>
      <c r="IML233" s="16"/>
      <c r="IMM233" s="15"/>
      <c r="IMN233" s="15"/>
      <c r="IMO233" s="10"/>
      <c r="IMP233" s="10"/>
      <c r="IMQ233" s="19"/>
      <c r="IMR233" s="19"/>
      <c r="IMU233" s="16"/>
      <c r="IMV233" s="15"/>
      <c r="IMW233" s="15"/>
      <c r="IMX233" s="15"/>
      <c r="IMY233" s="16"/>
      <c r="IMZ233" s="16"/>
      <c r="INA233" s="16"/>
      <c r="INB233" s="16"/>
      <c r="INC233" s="16"/>
      <c r="IND233" s="15"/>
      <c r="INE233" s="15"/>
      <c r="INF233" s="10"/>
      <c r="ING233" s="10"/>
      <c r="INH233" s="19"/>
      <c r="INI233" s="19"/>
      <c r="INL233" s="16"/>
      <c r="INM233" s="15"/>
      <c r="INN233" s="15"/>
      <c r="INO233" s="15"/>
      <c r="INP233" s="16"/>
      <c r="INQ233" s="16"/>
      <c r="INR233" s="16"/>
      <c r="INS233" s="16"/>
      <c r="INT233" s="16"/>
      <c r="INU233" s="15"/>
      <c r="INV233" s="15"/>
      <c r="INW233" s="10"/>
      <c r="INX233" s="10"/>
      <c r="INY233" s="19"/>
      <c r="INZ233" s="19"/>
      <c r="IOC233" s="16"/>
      <c r="IOD233" s="15"/>
      <c r="IOE233" s="15"/>
      <c r="IOF233" s="15"/>
      <c r="IOG233" s="16"/>
      <c r="IOH233" s="16"/>
      <c r="IOI233" s="16"/>
      <c r="IOJ233" s="16"/>
      <c r="IOK233" s="16"/>
      <c r="IOL233" s="15"/>
      <c r="IOM233" s="15"/>
      <c r="ION233" s="10"/>
      <c r="IOO233" s="10"/>
      <c r="IOP233" s="19"/>
      <c r="IOQ233" s="19"/>
      <c r="IOT233" s="16"/>
      <c r="IOU233" s="15"/>
      <c r="IOV233" s="15"/>
      <c r="IOW233" s="15"/>
      <c r="IOX233" s="16"/>
      <c r="IOY233" s="16"/>
      <c r="IOZ233" s="16"/>
      <c r="IPA233" s="16"/>
      <c r="IPB233" s="16"/>
      <c r="IPC233" s="15"/>
      <c r="IPD233" s="15"/>
      <c r="IPE233" s="10"/>
      <c r="IPF233" s="10"/>
      <c r="IPG233" s="19"/>
      <c r="IPH233" s="19"/>
      <c r="IPK233" s="16"/>
      <c r="IPL233" s="15"/>
      <c r="IPM233" s="15"/>
      <c r="IPN233" s="15"/>
      <c r="IPO233" s="16"/>
      <c r="IPP233" s="16"/>
      <c r="IPQ233" s="16"/>
      <c r="IPR233" s="16"/>
      <c r="IPS233" s="16"/>
      <c r="IPT233" s="15"/>
      <c r="IPU233" s="15"/>
      <c r="IPV233" s="10"/>
      <c r="IPW233" s="10"/>
      <c r="IPX233" s="19"/>
      <c r="IPY233" s="19"/>
      <c r="IQB233" s="16"/>
      <c r="IQC233" s="15"/>
      <c r="IQD233" s="15"/>
      <c r="IQE233" s="15"/>
      <c r="IQF233" s="16"/>
      <c r="IQG233" s="16"/>
      <c r="IQH233" s="16"/>
      <c r="IQI233" s="16"/>
      <c r="IQJ233" s="16"/>
      <c r="IQK233" s="15"/>
      <c r="IQL233" s="15"/>
      <c r="IQM233" s="10"/>
      <c r="IQN233" s="10"/>
      <c r="IQO233" s="19"/>
      <c r="IQP233" s="19"/>
      <c r="IQS233" s="16"/>
      <c r="IQT233" s="15"/>
      <c r="IQU233" s="15"/>
      <c r="IQV233" s="15"/>
      <c r="IQW233" s="16"/>
      <c r="IQX233" s="16"/>
      <c r="IQY233" s="16"/>
      <c r="IQZ233" s="16"/>
      <c r="IRA233" s="16"/>
      <c r="IRB233" s="15"/>
      <c r="IRC233" s="15"/>
      <c r="IRD233" s="10"/>
      <c r="IRE233" s="10"/>
      <c r="IRF233" s="19"/>
      <c r="IRG233" s="19"/>
      <c r="IRJ233" s="16"/>
      <c r="IRK233" s="15"/>
      <c r="IRL233" s="15"/>
      <c r="IRM233" s="15"/>
      <c r="IRN233" s="16"/>
      <c r="IRO233" s="16"/>
      <c r="IRP233" s="16"/>
      <c r="IRQ233" s="16"/>
      <c r="IRR233" s="16"/>
      <c r="IRS233" s="15"/>
      <c r="IRT233" s="15"/>
      <c r="IRU233" s="10"/>
      <c r="IRV233" s="10"/>
      <c r="IRW233" s="19"/>
      <c r="IRX233" s="19"/>
      <c r="ISA233" s="16"/>
      <c r="ISB233" s="15"/>
      <c r="ISC233" s="15"/>
      <c r="ISD233" s="15"/>
      <c r="ISE233" s="16"/>
      <c r="ISF233" s="16"/>
      <c r="ISG233" s="16"/>
      <c r="ISH233" s="16"/>
      <c r="ISI233" s="16"/>
      <c r="ISJ233" s="15"/>
      <c r="ISK233" s="15"/>
      <c r="ISL233" s="10"/>
      <c r="ISM233" s="10"/>
      <c r="ISN233" s="19"/>
      <c r="ISO233" s="19"/>
      <c r="ISR233" s="16"/>
      <c r="ISS233" s="15"/>
      <c r="IST233" s="15"/>
      <c r="ISU233" s="15"/>
      <c r="ISV233" s="16"/>
      <c r="ISW233" s="16"/>
      <c r="ISX233" s="16"/>
      <c r="ISY233" s="16"/>
      <c r="ISZ233" s="16"/>
      <c r="ITA233" s="15"/>
      <c r="ITB233" s="15"/>
      <c r="ITC233" s="10"/>
      <c r="ITD233" s="10"/>
      <c r="ITE233" s="19"/>
      <c r="ITF233" s="19"/>
      <c r="ITI233" s="16"/>
      <c r="ITJ233" s="15"/>
      <c r="ITK233" s="15"/>
      <c r="ITL233" s="15"/>
      <c r="ITM233" s="16"/>
      <c r="ITN233" s="16"/>
      <c r="ITO233" s="16"/>
      <c r="ITP233" s="16"/>
      <c r="ITQ233" s="16"/>
      <c r="ITR233" s="15"/>
      <c r="ITS233" s="15"/>
      <c r="ITT233" s="10"/>
      <c r="ITU233" s="10"/>
      <c r="ITV233" s="19"/>
      <c r="ITW233" s="19"/>
      <c r="ITZ233" s="16"/>
      <c r="IUA233" s="15"/>
      <c r="IUB233" s="15"/>
      <c r="IUC233" s="15"/>
      <c r="IUD233" s="16"/>
      <c r="IUE233" s="16"/>
      <c r="IUF233" s="16"/>
      <c r="IUG233" s="16"/>
      <c r="IUH233" s="16"/>
      <c r="IUI233" s="15"/>
      <c r="IUJ233" s="15"/>
      <c r="IUK233" s="10"/>
      <c r="IUL233" s="10"/>
      <c r="IUM233" s="19"/>
      <c r="IUN233" s="19"/>
      <c r="IUQ233" s="16"/>
      <c r="IUR233" s="15"/>
      <c r="IUS233" s="15"/>
      <c r="IUT233" s="15"/>
      <c r="IUU233" s="16"/>
      <c r="IUV233" s="16"/>
      <c r="IUW233" s="16"/>
      <c r="IUX233" s="16"/>
      <c r="IUY233" s="16"/>
      <c r="IUZ233" s="15"/>
      <c r="IVA233" s="15"/>
      <c r="IVB233" s="10"/>
      <c r="IVC233" s="10"/>
      <c r="IVD233" s="19"/>
      <c r="IVE233" s="19"/>
      <c r="IVH233" s="16"/>
      <c r="IVI233" s="15"/>
      <c r="IVJ233" s="15"/>
      <c r="IVK233" s="15"/>
      <c r="IVL233" s="16"/>
      <c r="IVM233" s="16"/>
      <c r="IVN233" s="16"/>
      <c r="IVO233" s="16"/>
      <c r="IVP233" s="16"/>
      <c r="IVQ233" s="15"/>
      <c r="IVR233" s="15"/>
      <c r="IVS233" s="10"/>
      <c r="IVT233" s="10"/>
      <c r="IVU233" s="19"/>
      <c r="IVV233" s="19"/>
      <c r="IVY233" s="16"/>
      <c r="IVZ233" s="15"/>
      <c r="IWA233" s="15"/>
      <c r="IWB233" s="15"/>
      <c r="IWC233" s="16"/>
      <c r="IWD233" s="16"/>
      <c r="IWE233" s="16"/>
      <c r="IWF233" s="16"/>
      <c r="IWG233" s="16"/>
      <c r="IWH233" s="15"/>
      <c r="IWI233" s="15"/>
      <c r="IWJ233" s="10"/>
      <c r="IWK233" s="10"/>
      <c r="IWL233" s="19"/>
      <c r="IWM233" s="19"/>
      <c r="IWP233" s="16"/>
      <c r="IWQ233" s="15"/>
      <c r="IWR233" s="15"/>
      <c r="IWS233" s="15"/>
      <c r="IWT233" s="16"/>
      <c r="IWU233" s="16"/>
      <c r="IWV233" s="16"/>
      <c r="IWW233" s="16"/>
      <c r="IWX233" s="16"/>
      <c r="IWY233" s="15"/>
      <c r="IWZ233" s="15"/>
      <c r="IXA233" s="10"/>
      <c r="IXB233" s="10"/>
      <c r="IXC233" s="19"/>
      <c r="IXD233" s="19"/>
      <c r="IXG233" s="16"/>
      <c r="IXH233" s="15"/>
      <c r="IXI233" s="15"/>
      <c r="IXJ233" s="15"/>
      <c r="IXK233" s="16"/>
      <c r="IXL233" s="16"/>
      <c r="IXM233" s="16"/>
      <c r="IXN233" s="16"/>
      <c r="IXO233" s="16"/>
      <c r="IXP233" s="15"/>
      <c r="IXQ233" s="15"/>
      <c r="IXR233" s="10"/>
      <c r="IXS233" s="10"/>
      <c r="IXT233" s="19"/>
      <c r="IXU233" s="19"/>
      <c r="IXX233" s="16"/>
      <c r="IXY233" s="15"/>
      <c r="IXZ233" s="15"/>
      <c r="IYA233" s="15"/>
      <c r="IYB233" s="16"/>
      <c r="IYC233" s="16"/>
      <c r="IYD233" s="16"/>
      <c r="IYE233" s="16"/>
      <c r="IYF233" s="16"/>
      <c r="IYG233" s="15"/>
      <c r="IYH233" s="15"/>
      <c r="IYI233" s="10"/>
      <c r="IYJ233" s="10"/>
      <c r="IYK233" s="19"/>
      <c r="IYL233" s="19"/>
      <c r="IYO233" s="16"/>
      <c r="IYP233" s="15"/>
      <c r="IYQ233" s="15"/>
      <c r="IYR233" s="15"/>
      <c r="IYS233" s="16"/>
      <c r="IYT233" s="16"/>
      <c r="IYU233" s="16"/>
      <c r="IYV233" s="16"/>
      <c r="IYW233" s="16"/>
      <c r="IYX233" s="15"/>
      <c r="IYY233" s="15"/>
      <c r="IYZ233" s="10"/>
      <c r="IZA233" s="10"/>
      <c r="IZB233" s="19"/>
      <c r="IZC233" s="19"/>
      <c r="IZF233" s="16"/>
      <c r="IZG233" s="15"/>
      <c r="IZH233" s="15"/>
      <c r="IZI233" s="15"/>
      <c r="IZJ233" s="16"/>
      <c r="IZK233" s="16"/>
      <c r="IZL233" s="16"/>
      <c r="IZM233" s="16"/>
      <c r="IZN233" s="16"/>
      <c r="IZO233" s="15"/>
      <c r="IZP233" s="15"/>
      <c r="IZQ233" s="10"/>
      <c r="IZR233" s="10"/>
      <c r="IZS233" s="19"/>
      <c r="IZT233" s="19"/>
      <c r="IZW233" s="16"/>
      <c r="IZX233" s="15"/>
      <c r="IZY233" s="15"/>
      <c r="IZZ233" s="15"/>
      <c r="JAA233" s="16"/>
      <c r="JAB233" s="16"/>
      <c r="JAC233" s="16"/>
      <c r="JAD233" s="16"/>
      <c r="JAE233" s="16"/>
      <c r="JAF233" s="15"/>
      <c r="JAG233" s="15"/>
      <c r="JAH233" s="10"/>
      <c r="JAI233" s="10"/>
      <c r="JAJ233" s="19"/>
      <c r="JAK233" s="19"/>
      <c r="JAN233" s="16"/>
      <c r="JAO233" s="15"/>
      <c r="JAP233" s="15"/>
      <c r="JAQ233" s="15"/>
      <c r="JAR233" s="16"/>
      <c r="JAS233" s="16"/>
      <c r="JAT233" s="16"/>
      <c r="JAU233" s="16"/>
      <c r="JAV233" s="16"/>
      <c r="JAW233" s="15"/>
      <c r="JAX233" s="15"/>
      <c r="JAY233" s="10"/>
      <c r="JAZ233" s="10"/>
      <c r="JBA233" s="19"/>
      <c r="JBB233" s="19"/>
      <c r="JBE233" s="16"/>
      <c r="JBF233" s="15"/>
      <c r="JBG233" s="15"/>
      <c r="JBH233" s="15"/>
      <c r="JBI233" s="16"/>
      <c r="JBJ233" s="16"/>
      <c r="JBK233" s="16"/>
      <c r="JBL233" s="16"/>
      <c r="JBM233" s="16"/>
      <c r="JBN233" s="15"/>
      <c r="JBO233" s="15"/>
      <c r="JBP233" s="10"/>
      <c r="JBQ233" s="10"/>
      <c r="JBR233" s="19"/>
      <c r="JBS233" s="19"/>
      <c r="JBV233" s="16"/>
      <c r="JBW233" s="15"/>
      <c r="JBX233" s="15"/>
      <c r="JBY233" s="15"/>
      <c r="JBZ233" s="16"/>
      <c r="JCA233" s="16"/>
      <c r="JCB233" s="16"/>
      <c r="JCC233" s="16"/>
      <c r="JCD233" s="16"/>
      <c r="JCE233" s="15"/>
      <c r="JCF233" s="15"/>
      <c r="JCG233" s="10"/>
      <c r="JCH233" s="10"/>
      <c r="JCI233" s="19"/>
      <c r="JCJ233" s="19"/>
      <c r="JCM233" s="16"/>
      <c r="JCN233" s="15"/>
      <c r="JCO233" s="15"/>
      <c r="JCP233" s="15"/>
      <c r="JCQ233" s="16"/>
      <c r="JCR233" s="16"/>
      <c r="JCS233" s="16"/>
      <c r="JCT233" s="16"/>
      <c r="JCU233" s="16"/>
      <c r="JCV233" s="15"/>
      <c r="JCW233" s="15"/>
      <c r="JCX233" s="10"/>
      <c r="JCY233" s="10"/>
      <c r="JCZ233" s="19"/>
      <c r="JDA233" s="19"/>
      <c r="JDD233" s="16"/>
      <c r="JDE233" s="15"/>
      <c r="JDF233" s="15"/>
      <c r="JDG233" s="15"/>
      <c r="JDH233" s="16"/>
      <c r="JDI233" s="16"/>
      <c r="JDJ233" s="16"/>
      <c r="JDK233" s="16"/>
      <c r="JDL233" s="16"/>
      <c r="JDM233" s="15"/>
      <c r="JDN233" s="15"/>
      <c r="JDO233" s="10"/>
      <c r="JDP233" s="10"/>
      <c r="JDQ233" s="19"/>
      <c r="JDR233" s="19"/>
      <c r="JDU233" s="16"/>
      <c r="JDV233" s="15"/>
      <c r="JDW233" s="15"/>
      <c r="JDX233" s="15"/>
      <c r="JDY233" s="16"/>
      <c r="JDZ233" s="16"/>
      <c r="JEA233" s="16"/>
      <c r="JEB233" s="16"/>
      <c r="JEC233" s="16"/>
      <c r="JED233" s="15"/>
      <c r="JEE233" s="15"/>
      <c r="JEF233" s="10"/>
      <c r="JEG233" s="10"/>
      <c r="JEH233" s="19"/>
      <c r="JEI233" s="19"/>
      <c r="JEL233" s="16"/>
      <c r="JEM233" s="15"/>
      <c r="JEN233" s="15"/>
      <c r="JEO233" s="15"/>
      <c r="JEP233" s="16"/>
      <c r="JEQ233" s="16"/>
      <c r="JER233" s="16"/>
      <c r="JES233" s="16"/>
      <c r="JET233" s="16"/>
      <c r="JEU233" s="15"/>
      <c r="JEV233" s="15"/>
      <c r="JEW233" s="10"/>
      <c r="JEX233" s="10"/>
      <c r="JEY233" s="19"/>
      <c r="JEZ233" s="19"/>
      <c r="JFC233" s="16"/>
      <c r="JFD233" s="15"/>
      <c r="JFE233" s="15"/>
      <c r="JFF233" s="15"/>
      <c r="JFG233" s="16"/>
      <c r="JFH233" s="16"/>
      <c r="JFI233" s="16"/>
      <c r="JFJ233" s="16"/>
      <c r="JFK233" s="16"/>
      <c r="JFL233" s="15"/>
      <c r="JFM233" s="15"/>
      <c r="JFN233" s="10"/>
      <c r="JFO233" s="10"/>
      <c r="JFP233" s="19"/>
      <c r="JFQ233" s="19"/>
      <c r="JFT233" s="16"/>
      <c r="JFU233" s="15"/>
      <c r="JFV233" s="15"/>
      <c r="JFW233" s="15"/>
      <c r="JFX233" s="16"/>
      <c r="JFY233" s="16"/>
      <c r="JFZ233" s="16"/>
      <c r="JGA233" s="16"/>
      <c r="JGB233" s="16"/>
      <c r="JGC233" s="15"/>
      <c r="JGD233" s="15"/>
      <c r="JGE233" s="10"/>
      <c r="JGF233" s="10"/>
      <c r="JGG233" s="19"/>
      <c r="JGH233" s="19"/>
      <c r="JGK233" s="16"/>
      <c r="JGL233" s="15"/>
      <c r="JGM233" s="15"/>
      <c r="JGN233" s="15"/>
      <c r="JGO233" s="16"/>
      <c r="JGP233" s="16"/>
      <c r="JGQ233" s="16"/>
      <c r="JGR233" s="16"/>
      <c r="JGS233" s="16"/>
      <c r="JGT233" s="15"/>
      <c r="JGU233" s="15"/>
      <c r="JGV233" s="10"/>
      <c r="JGW233" s="10"/>
      <c r="JGX233" s="19"/>
      <c r="JGY233" s="19"/>
      <c r="JHB233" s="16"/>
      <c r="JHC233" s="15"/>
      <c r="JHD233" s="15"/>
      <c r="JHE233" s="15"/>
      <c r="JHF233" s="16"/>
      <c r="JHG233" s="16"/>
      <c r="JHH233" s="16"/>
      <c r="JHI233" s="16"/>
      <c r="JHJ233" s="16"/>
      <c r="JHK233" s="15"/>
      <c r="JHL233" s="15"/>
      <c r="JHM233" s="10"/>
      <c r="JHN233" s="10"/>
      <c r="JHO233" s="19"/>
      <c r="JHP233" s="19"/>
      <c r="JHS233" s="16"/>
      <c r="JHT233" s="15"/>
      <c r="JHU233" s="15"/>
      <c r="JHV233" s="15"/>
      <c r="JHW233" s="16"/>
      <c r="JHX233" s="16"/>
      <c r="JHY233" s="16"/>
      <c r="JHZ233" s="16"/>
      <c r="JIA233" s="16"/>
      <c r="JIB233" s="15"/>
      <c r="JIC233" s="15"/>
      <c r="JID233" s="10"/>
      <c r="JIE233" s="10"/>
      <c r="JIF233" s="19"/>
      <c r="JIG233" s="19"/>
      <c r="JIJ233" s="16"/>
      <c r="JIK233" s="15"/>
      <c r="JIL233" s="15"/>
      <c r="JIM233" s="15"/>
      <c r="JIN233" s="16"/>
      <c r="JIO233" s="16"/>
      <c r="JIP233" s="16"/>
      <c r="JIQ233" s="16"/>
      <c r="JIR233" s="16"/>
      <c r="JIS233" s="15"/>
      <c r="JIT233" s="15"/>
      <c r="JIU233" s="10"/>
      <c r="JIV233" s="10"/>
      <c r="JIW233" s="19"/>
      <c r="JIX233" s="19"/>
      <c r="JJA233" s="16"/>
      <c r="JJB233" s="15"/>
      <c r="JJC233" s="15"/>
      <c r="JJD233" s="15"/>
      <c r="JJE233" s="16"/>
      <c r="JJF233" s="16"/>
      <c r="JJG233" s="16"/>
      <c r="JJH233" s="16"/>
      <c r="JJI233" s="16"/>
      <c r="JJJ233" s="15"/>
      <c r="JJK233" s="15"/>
      <c r="JJL233" s="10"/>
      <c r="JJM233" s="10"/>
      <c r="JJN233" s="19"/>
      <c r="JJO233" s="19"/>
      <c r="JJR233" s="16"/>
      <c r="JJS233" s="15"/>
      <c r="JJT233" s="15"/>
      <c r="JJU233" s="15"/>
      <c r="JJV233" s="16"/>
      <c r="JJW233" s="16"/>
      <c r="JJX233" s="16"/>
      <c r="JJY233" s="16"/>
      <c r="JJZ233" s="16"/>
      <c r="JKA233" s="15"/>
      <c r="JKB233" s="15"/>
      <c r="JKC233" s="10"/>
      <c r="JKD233" s="10"/>
      <c r="JKE233" s="19"/>
      <c r="JKF233" s="19"/>
      <c r="JKI233" s="16"/>
      <c r="JKJ233" s="15"/>
      <c r="JKK233" s="15"/>
      <c r="JKL233" s="15"/>
      <c r="JKM233" s="16"/>
      <c r="JKN233" s="16"/>
      <c r="JKO233" s="16"/>
      <c r="JKP233" s="16"/>
      <c r="JKQ233" s="16"/>
      <c r="JKR233" s="15"/>
      <c r="JKS233" s="15"/>
      <c r="JKT233" s="10"/>
      <c r="JKU233" s="10"/>
      <c r="JKV233" s="19"/>
      <c r="JKW233" s="19"/>
      <c r="JKZ233" s="16"/>
      <c r="JLA233" s="15"/>
      <c r="JLB233" s="15"/>
      <c r="JLC233" s="15"/>
      <c r="JLD233" s="16"/>
      <c r="JLE233" s="16"/>
      <c r="JLF233" s="16"/>
      <c r="JLG233" s="16"/>
      <c r="JLH233" s="16"/>
      <c r="JLI233" s="15"/>
      <c r="JLJ233" s="15"/>
      <c r="JLK233" s="10"/>
      <c r="JLL233" s="10"/>
      <c r="JLM233" s="19"/>
      <c r="JLN233" s="19"/>
      <c r="JLQ233" s="16"/>
      <c r="JLR233" s="15"/>
      <c r="JLS233" s="15"/>
      <c r="JLT233" s="15"/>
      <c r="JLU233" s="16"/>
      <c r="JLV233" s="16"/>
      <c r="JLW233" s="16"/>
      <c r="JLX233" s="16"/>
      <c r="JLY233" s="16"/>
      <c r="JLZ233" s="15"/>
      <c r="JMA233" s="15"/>
      <c r="JMB233" s="10"/>
      <c r="JMC233" s="10"/>
      <c r="JMD233" s="19"/>
      <c r="JME233" s="19"/>
      <c r="JMH233" s="16"/>
      <c r="JMI233" s="15"/>
      <c r="JMJ233" s="15"/>
      <c r="JMK233" s="15"/>
      <c r="JML233" s="16"/>
      <c r="JMM233" s="16"/>
      <c r="JMN233" s="16"/>
      <c r="JMO233" s="16"/>
      <c r="JMP233" s="16"/>
      <c r="JMQ233" s="15"/>
      <c r="JMR233" s="15"/>
      <c r="JMS233" s="10"/>
      <c r="JMT233" s="10"/>
      <c r="JMU233" s="19"/>
      <c r="JMV233" s="19"/>
      <c r="JMY233" s="16"/>
      <c r="JMZ233" s="15"/>
      <c r="JNA233" s="15"/>
      <c r="JNB233" s="15"/>
      <c r="JNC233" s="16"/>
      <c r="JND233" s="16"/>
      <c r="JNE233" s="16"/>
      <c r="JNF233" s="16"/>
      <c r="JNG233" s="16"/>
      <c r="JNH233" s="15"/>
      <c r="JNI233" s="15"/>
      <c r="JNJ233" s="10"/>
      <c r="JNK233" s="10"/>
      <c r="JNL233" s="19"/>
      <c r="JNM233" s="19"/>
      <c r="JNP233" s="16"/>
      <c r="JNQ233" s="15"/>
      <c r="JNR233" s="15"/>
      <c r="JNS233" s="15"/>
      <c r="JNT233" s="16"/>
      <c r="JNU233" s="16"/>
      <c r="JNV233" s="16"/>
      <c r="JNW233" s="16"/>
      <c r="JNX233" s="16"/>
      <c r="JNY233" s="15"/>
      <c r="JNZ233" s="15"/>
      <c r="JOA233" s="10"/>
      <c r="JOB233" s="10"/>
      <c r="JOC233" s="19"/>
      <c r="JOD233" s="19"/>
      <c r="JOG233" s="16"/>
      <c r="JOH233" s="15"/>
      <c r="JOI233" s="15"/>
      <c r="JOJ233" s="15"/>
      <c r="JOK233" s="16"/>
      <c r="JOL233" s="16"/>
      <c r="JOM233" s="16"/>
      <c r="JON233" s="16"/>
      <c r="JOO233" s="16"/>
      <c r="JOP233" s="15"/>
      <c r="JOQ233" s="15"/>
      <c r="JOR233" s="10"/>
      <c r="JOS233" s="10"/>
      <c r="JOT233" s="19"/>
      <c r="JOU233" s="19"/>
      <c r="JOX233" s="16"/>
      <c r="JOY233" s="15"/>
      <c r="JOZ233" s="15"/>
      <c r="JPA233" s="15"/>
      <c r="JPB233" s="16"/>
      <c r="JPC233" s="16"/>
      <c r="JPD233" s="16"/>
      <c r="JPE233" s="16"/>
      <c r="JPF233" s="16"/>
      <c r="JPG233" s="15"/>
      <c r="JPH233" s="15"/>
      <c r="JPI233" s="10"/>
      <c r="JPJ233" s="10"/>
      <c r="JPK233" s="19"/>
      <c r="JPL233" s="19"/>
      <c r="JPO233" s="16"/>
      <c r="JPP233" s="15"/>
      <c r="JPQ233" s="15"/>
      <c r="JPR233" s="15"/>
      <c r="JPS233" s="16"/>
      <c r="JPT233" s="16"/>
      <c r="JPU233" s="16"/>
      <c r="JPV233" s="16"/>
      <c r="JPW233" s="16"/>
      <c r="JPX233" s="15"/>
      <c r="JPY233" s="15"/>
      <c r="JPZ233" s="10"/>
      <c r="JQA233" s="10"/>
      <c r="JQB233" s="19"/>
      <c r="JQC233" s="19"/>
      <c r="JQF233" s="16"/>
      <c r="JQG233" s="15"/>
      <c r="JQH233" s="15"/>
      <c r="JQI233" s="15"/>
      <c r="JQJ233" s="16"/>
      <c r="JQK233" s="16"/>
      <c r="JQL233" s="16"/>
      <c r="JQM233" s="16"/>
      <c r="JQN233" s="16"/>
      <c r="JQO233" s="15"/>
      <c r="JQP233" s="15"/>
      <c r="JQQ233" s="10"/>
      <c r="JQR233" s="10"/>
      <c r="JQS233" s="19"/>
      <c r="JQT233" s="19"/>
      <c r="JQW233" s="16"/>
      <c r="JQX233" s="15"/>
      <c r="JQY233" s="15"/>
      <c r="JQZ233" s="15"/>
      <c r="JRA233" s="16"/>
      <c r="JRB233" s="16"/>
      <c r="JRC233" s="16"/>
      <c r="JRD233" s="16"/>
      <c r="JRE233" s="16"/>
      <c r="JRF233" s="15"/>
      <c r="JRG233" s="15"/>
      <c r="JRH233" s="10"/>
      <c r="JRI233" s="10"/>
      <c r="JRJ233" s="19"/>
      <c r="JRK233" s="19"/>
      <c r="JRN233" s="16"/>
      <c r="JRO233" s="15"/>
      <c r="JRP233" s="15"/>
      <c r="JRQ233" s="15"/>
      <c r="JRR233" s="16"/>
      <c r="JRS233" s="16"/>
      <c r="JRT233" s="16"/>
      <c r="JRU233" s="16"/>
      <c r="JRV233" s="16"/>
      <c r="JRW233" s="15"/>
      <c r="JRX233" s="15"/>
      <c r="JRY233" s="10"/>
      <c r="JRZ233" s="10"/>
      <c r="JSA233" s="19"/>
      <c r="JSB233" s="19"/>
      <c r="JSE233" s="16"/>
      <c r="JSF233" s="15"/>
      <c r="JSG233" s="15"/>
      <c r="JSH233" s="15"/>
      <c r="JSI233" s="16"/>
      <c r="JSJ233" s="16"/>
      <c r="JSK233" s="16"/>
      <c r="JSL233" s="16"/>
      <c r="JSM233" s="16"/>
      <c r="JSN233" s="15"/>
      <c r="JSO233" s="15"/>
      <c r="JSP233" s="10"/>
      <c r="JSQ233" s="10"/>
      <c r="JSR233" s="19"/>
      <c r="JSS233" s="19"/>
      <c r="JSV233" s="16"/>
      <c r="JSW233" s="15"/>
      <c r="JSX233" s="15"/>
      <c r="JSY233" s="15"/>
      <c r="JSZ233" s="16"/>
      <c r="JTA233" s="16"/>
      <c r="JTB233" s="16"/>
      <c r="JTC233" s="16"/>
      <c r="JTD233" s="16"/>
      <c r="JTE233" s="15"/>
      <c r="JTF233" s="15"/>
      <c r="JTG233" s="10"/>
      <c r="JTH233" s="10"/>
      <c r="JTI233" s="19"/>
      <c r="JTJ233" s="19"/>
      <c r="JTM233" s="16"/>
      <c r="JTN233" s="15"/>
      <c r="JTO233" s="15"/>
      <c r="JTP233" s="15"/>
      <c r="JTQ233" s="16"/>
      <c r="JTR233" s="16"/>
      <c r="JTS233" s="16"/>
      <c r="JTT233" s="16"/>
      <c r="JTU233" s="16"/>
      <c r="JTV233" s="15"/>
      <c r="JTW233" s="15"/>
      <c r="JTX233" s="10"/>
      <c r="JTY233" s="10"/>
      <c r="JTZ233" s="19"/>
      <c r="JUA233" s="19"/>
      <c r="JUD233" s="16"/>
      <c r="JUE233" s="15"/>
      <c r="JUF233" s="15"/>
      <c r="JUG233" s="15"/>
      <c r="JUH233" s="16"/>
      <c r="JUI233" s="16"/>
      <c r="JUJ233" s="16"/>
      <c r="JUK233" s="16"/>
      <c r="JUL233" s="16"/>
      <c r="JUM233" s="15"/>
      <c r="JUN233" s="15"/>
      <c r="JUO233" s="10"/>
      <c r="JUP233" s="10"/>
      <c r="JUQ233" s="19"/>
      <c r="JUR233" s="19"/>
      <c r="JUU233" s="16"/>
      <c r="JUV233" s="15"/>
      <c r="JUW233" s="15"/>
      <c r="JUX233" s="15"/>
      <c r="JUY233" s="16"/>
      <c r="JUZ233" s="16"/>
      <c r="JVA233" s="16"/>
      <c r="JVB233" s="16"/>
      <c r="JVC233" s="16"/>
      <c r="JVD233" s="15"/>
      <c r="JVE233" s="15"/>
      <c r="JVF233" s="10"/>
      <c r="JVG233" s="10"/>
      <c r="JVH233" s="19"/>
      <c r="JVI233" s="19"/>
      <c r="JVL233" s="16"/>
      <c r="JVM233" s="15"/>
      <c r="JVN233" s="15"/>
      <c r="JVO233" s="15"/>
      <c r="JVP233" s="16"/>
      <c r="JVQ233" s="16"/>
      <c r="JVR233" s="16"/>
      <c r="JVS233" s="16"/>
      <c r="JVT233" s="16"/>
      <c r="JVU233" s="15"/>
      <c r="JVV233" s="15"/>
      <c r="JVW233" s="10"/>
      <c r="JVX233" s="10"/>
      <c r="JVY233" s="19"/>
      <c r="JVZ233" s="19"/>
      <c r="JWC233" s="16"/>
      <c r="JWD233" s="15"/>
      <c r="JWE233" s="15"/>
      <c r="JWF233" s="15"/>
      <c r="JWG233" s="16"/>
      <c r="JWH233" s="16"/>
      <c r="JWI233" s="16"/>
      <c r="JWJ233" s="16"/>
      <c r="JWK233" s="16"/>
      <c r="JWL233" s="15"/>
      <c r="JWM233" s="15"/>
      <c r="JWN233" s="10"/>
      <c r="JWO233" s="10"/>
      <c r="JWP233" s="19"/>
      <c r="JWQ233" s="19"/>
      <c r="JWT233" s="16"/>
      <c r="JWU233" s="15"/>
      <c r="JWV233" s="15"/>
      <c r="JWW233" s="15"/>
      <c r="JWX233" s="16"/>
      <c r="JWY233" s="16"/>
      <c r="JWZ233" s="16"/>
      <c r="JXA233" s="16"/>
      <c r="JXB233" s="16"/>
      <c r="JXC233" s="15"/>
      <c r="JXD233" s="15"/>
      <c r="JXE233" s="10"/>
      <c r="JXF233" s="10"/>
      <c r="JXG233" s="19"/>
      <c r="JXH233" s="19"/>
      <c r="JXK233" s="16"/>
      <c r="JXL233" s="15"/>
      <c r="JXM233" s="15"/>
      <c r="JXN233" s="15"/>
      <c r="JXO233" s="16"/>
      <c r="JXP233" s="16"/>
      <c r="JXQ233" s="16"/>
      <c r="JXR233" s="16"/>
      <c r="JXS233" s="16"/>
      <c r="JXT233" s="15"/>
      <c r="JXU233" s="15"/>
      <c r="JXV233" s="10"/>
      <c r="JXW233" s="10"/>
      <c r="JXX233" s="19"/>
      <c r="JXY233" s="19"/>
      <c r="JYB233" s="16"/>
      <c r="JYC233" s="15"/>
      <c r="JYD233" s="15"/>
      <c r="JYE233" s="15"/>
      <c r="JYF233" s="16"/>
      <c r="JYG233" s="16"/>
      <c r="JYH233" s="16"/>
      <c r="JYI233" s="16"/>
      <c r="JYJ233" s="16"/>
      <c r="JYK233" s="15"/>
      <c r="JYL233" s="15"/>
      <c r="JYM233" s="10"/>
      <c r="JYN233" s="10"/>
      <c r="JYO233" s="19"/>
      <c r="JYP233" s="19"/>
      <c r="JYS233" s="16"/>
      <c r="JYT233" s="15"/>
      <c r="JYU233" s="15"/>
      <c r="JYV233" s="15"/>
      <c r="JYW233" s="16"/>
      <c r="JYX233" s="16"/>
      <c r="JYY233" s="16"/>
      <c r="JYZ233" s="16"/>
      <c r="JZA233" s="16"/>
      <c r="JZB233" s="15"/>
      <c r="JZC233" s="15"/>
      <c r="JZD233" s="10"/>
      <c r="JZE233" s="10"/>
      <c r="JZF233" s="19"/>
      <c r="JZG233" s="19"/>
      <c r="JZJ233" s="16"/>
      <c r="JZK233" s="15"/>
      <c r="JZL233" s="15"/>
      <c r="JZM233" s="15"/>
      <c r="JZN233" s="16"/>
      <c r="JZO233" s="16"/>
      <c r="JZP233" s="16"/>
      <c r="JZQ233" s="16"/>
      <c r="JZR233" s="16"/>
      <c r="JZS233" s="15"/>
      <c r="JZT233" s="15"/>
      <c r="JZU233" s="10"/>
      <c r="JZV233" s="10"/>
      <c r="JZW233" s="19"/>
      <c r="JZX233" s="19"/>
      <c r="KAA233" s="16"/>
      <c r="KAB233" s="15"/>
      <c r="KAC233" s="15"/>
      <c r="KAD233" s="15"/>
      <c r="KAE233" s="16"/>
      <c r="KAF233" s="16"/>
      <c r="KAG233" s="16"/>
      <c r="KAH233" s="16"/>
      <c r="KAI233" s="16"/>
      <c r="KAJ233" s="15"/>
      <c r="KAK233" s="15"/>
      <c r="KAL233" s="10"/>
      <c r="KAM233" s="10"/>
      <c r="KAN233" s="19"/>
      <c r="KAO233" s="19"/>
      <c r="KAR233" s="16"/>
      <c r="KAS233" s="15"/>
      <c r="KAT233" s="15"/>
      <c r="KAU233" s="15"/>
      <c r="KAV233" s="16"/>
      <c r="KAW233" s="16"/>
      <c r="KAX233" s="16"/>
      <c r="KAY233" s="16"/>
      <c r="KAZ233" s="16"/>
      <c r="KBA233" s="15"/>
      <c r="KBB233" s="15"/>
      <c r="KBC233" s="10"/>
      <c r="KBD233" s="10"/>
      <c r="KBE233" s="19"/>
      <c r="KBF233" s="19"/>
      <c r="KBI233" s="16"/>
      <c r="KBJ233" s="15"/>
      <c r="KBK233" s="15"/>
      <c r="KBL233" s="15"/>
      <c r="KBM233" s="16"/>
      <c r="KBN233" s="16"/>
      <c r="KBO233" s="16"/>
      <c r="KBP233" s="16"/>
      <c r="KBQ233" s="16"/>
      <c r="KBR233" s="15"/>
      <c r="KBS233" s="15"/>
      <c r="KBT233" s="10"/>
      <c r="KBU233" s="10"/>
      <c r="KBV233" s="19"/>
      <c r="KBW233" s="19"/>
      <c r="KBZ233" s="16"/>
      <c r="KCA233" s="15"/>
      <c r="KCB233" s="15"/>
      <c r="KCC233" s="15"/>
      <c r="KCD233" s="16"/>
      <c r="KCE233" s="16"/>
      <c r="KCF233" s="16"/>
      <c r="KCG233" s="16"/>
      <c r="KCH233" s="16"/>
      <c r="KCI233" s="15"/>
      <c r="KCJ233" s="15"/>
      <c r="KCK233" s="10"/>
      <c r="KCL233" s="10"/>
      <c r="KCM233" s="19"/>
      <c r="KCN233" s="19"/>
      <c r="KCQ233" s="16"/>
      <c r="KCR233" s="15"/>
      <c r="KCS233" s="15"/>
      <c r="KCT233" s="15"/>
      <c r="KCU233" s="16"/>
      <c r="KCV233" s="16"/>
      <c r="KCW233" s="16"/>
      <c r="KCX233" s="16"/>
      <c r="KCY233" s="16"/>
      <c r="KCZ233" s="15"/>
      <c r="KDA233" s="15"/>
      <c r="KDB233" s="10"/>
      <c r="KDC233" s="10"/>
      <c r="KDD233" s="19"/>
      <c r="KDE233" s="19"/>
      <c r="KDH233" s="16"/>
      <c r="KDI233" s="15"/>
      <c r="KDJ233" s="15"/>
      <c r="KDK233" s="15"/>
      <c r="KDL233" s="16"/>
      <c r="KDM233" s="16"/>
      <c r="KDN233" s="16"/>
      <c r="KDO233" s="16"/>
      <c r="KDP233" s="16"/>
      <c r="KDQ233" s="15"/>
      <c r="KDR233" s="15"/>
      <c r="KDS233" s="10"/>
      <c r="KDT233" s="10"/>
      <c r="KDU233" s="19"/>
      <c r="KDV233" s="19"/>
      <c r="KDY233" s="16"/>
      <c r="KDZ233" s="15"/>
      <c r="KEA233" s="15"/>
      <c r="KEB233" s="15"/>
      <c r="KEC233" s="16"/>
      <c r="KED233" s="16"/>
      <c r="KEE233" s="16"/>
      <c r="KEF233" s="16"/>
      <c r="KEG233" s="16"/>
      <c r="KEH233" s="15"/>
      <c r="KEI233" s="15"/>
      <c r="KEJ233" s="10"/>
      <c r="KEK233" s="10"/>
      <c r="KEL233" s="19"/>
      <c r="KEM233" s="19"/>
      <c r="KEP233" s="16"/>
      <c r="KEQ233" s="15"/>
      <c r="KER233" s="15"/>
      <c r="KES233" s="15"/>
      <c r="KET233" s="16"/>
      <c r="KEU233" s="16"/>
      <c r="KEV233" s="16"/>
      <c r="KEW233" s="16"/>
      <c r="KEX233" s="16"/>
      <c r="KEY233" s="15"/>
      <c r="KEZ233" s="15"/>
      <c r="KFA233" s="10"/>
      <c r="KFB233" s="10"/>
      <c r="KFC233" s="19"/>
      <c r="KFD233" s="19"/>
      <c r="KFG233" s="16"/>
      <c r="KFH233" s="15"/>
      <c r="KFI233" s="15"/>
      <c r="KFJ233" s="15"/>
      <c r="KFK233" s="16"/>
      <c r="KFL233" s="16"/>
      <c r="KFM233" s="16"/>
      <c r="KFN233" s="16"/>
      <c r="KFO233" s="16"/>
      <c r="KFP233" s="15"/>
      <c r="KFQ233" s="15"/>
      <c r="KFR233" s="10"/>
      <c r="KFS233" s="10"/>
      <c r="KFT233" s="19"/>
      <c r="KFU233" s="19"/>
      <c r="KFX233" s="16"/>
      <c r="KFY233" s="15"/>
      <c r="KFZ233" s="15"/>
      <c r="KGA233" s="15"/>
      <c r="KGB233" s="16"/>
      <c r="KGC233" s="16"/>
      <c r="KGD233" s="16"/>
      <c r="KGE233" s="16"/>
      <c r="KGF233" s="16"/>
      <c r="KGG233" s="15"/>
      <c r="KGH233" s="15"/>
      <c r="KGI233" s="10"/>
      <c r="KGJ233" s="10"/>
      <c r="KGK233" s="19"/>
      <c r="KGL233" s="19"/>
      <c r="KGO233" s="16"/>
      <c r="KGP233" s="15"/>
      <c r="KGQ233" s="15"/>
      <c r="KGR233" s="15"/>
      <c r="KGS233" s="16"/>
      <c r="KGT233" s="16"/>
      <c r="KGU233" s="16"/>
      <c r="KGV233" s="16"/>
      <c r="KGW233" s="16"/>
      <c r="KGX233" s="15"/>
      <c r="KGY233" s="15"/>
      <c r="KGZ233" s="10"/>
      <c r="KHA233" s="10"/>
      <c r="KHB233" s="19"/>
      <c r="KHC233" s="19"/>
      <c r="KHF233" s="16"/>
      <c r="KHG233" s="15"/>
      <c r="KHH233" s="15"/>
      <c r="KHI233" s="15"/>
      <c r="KHJ233" s="16"/>
      <c r="KHK233" s="16"/>
      <c r="KHL233" s="16"/>
      <c r="KHM233" s="16"/>
      <c r="KHN233" s="16"/>
      <c r="KHO233" s="15"/>
      <c r="KHP233" s="15"/>
      <c r="KHQ233" s="10"/>
      <c r="KHR233" s="10"/>
      <c r="KHS233" s="19"/>
      <c r="KHT233" s="19"/>
      <c r="KHW233" s="16"/>
      <c r="KHX233" s="15"/>
      <c r="KHY233" s="15"/>
      <c r="KHZ233" s="15"/>
      <c r="KIA233" s="16"/>
      <c r="KIB233" s="16"/>
      <c r="KIC233" s="16"/>
      <c r="KID233" s="16"/>
      <c r="KIE233" s="16"/>
      <c r="KIF233" s="15"/>
      <c r="KIG233" s="15"/>
      <c r="KIH233" s="10"/>
      <c r="KII233" s="10"/>
      <c r="KIJ233" s="19"/>
      <c r="KIK233" s="19"/>
      <c r="KIN233" s="16"/>
      <c r="KIO233" s="15"/>
      <c r="KIP233" s="15"/>
      <c r="KIQ233" s="15"/>
      <c r="KIR233" s="16"/>
      <c r="KIS233" s="16"/>
      <c r="KIT233" s="16"/>
      <c r="KIU233" s="16"/>
      <c r="KIV233" s="16"/>
      <c r="KIW233" s="15"/>
      <c r="KIX233" s="15"/>
      <c r="KIY233" s="10"/>
      <c r="KIZ233" s="10"/>
      <c r="KJA233" s="19"/>
      <c r="KJB233" s="19"/>
      <c r="KJE233" s="16"/>
      <c r="KJF233" s="15"/>
      <c r="KJG233" s="15"/>
      <c r="KJH233" s="15"/>
      <c r="KJI233" s="16"/>
      <c r="KJJ233" s="16"/>
      <c r="KJK233" s="16"/>
      <c r="KJL233" s="16"/>
      <c r="KJM233" s="16"/>
      <c r="KJN233" s="15"/>
      <c r="KJO233" s="15"/>
      <c r="KJP233" s="10"/>
      <c r="KJQ233" s="10"/>
      <c r="KJR233" s="19"/>
      <c r="KJS233" s="19"/>
      <c r="KJV233" s="16"/>
      <c r="KJW233" s="15"/>
      <c r="KJX233" s="15"/>
      <c r="KJY233" s="15"/>
      <c r="KJZ233" s="16"/>
      <c r="KKA233" s="16"/>
      <c r="KKB233" s="16"/>
      <c r="KKC233" s="16"/>
      <c r="KKD233" s="16"/>
      <c r="KKE233" s="15"/>
      <c r="KKF233" s="15"/>
      <c r="KKG233" s="10"/>
      <c r="KKH233" s="10"/>
      <c r="KKI233" s="19"/>
      <c r="KKJ233" s="19"/>
      <c r="KKM233" s="16"/>
      <c r="KKN233" s="15"/>
      <c r="KKO233" s="15"/>
      <c r="KKP233" s="15"/>
      <c r="KKQ233" s="16"/>
      <c r="KKR233" s="16"/>
      <c r="KKS233" s="16"/>
      <c r="KKT233" s="16"/>
      <c r="KKU233" s="16"/>
      <c r="KKV233" s="15"/>
      <c r="KKW233" s="15"/>
      <c r="KKX233" s="10"/>
      <c r="KKY233" s="10"/>
      <c r="KKZ233" s="19"/>
      <c r="KLA233" s="19"/>
      <c r="KLD233" s="16"/>
      <c r="KLE233" s="15"/>
      <c r="KLF233" s="15"/>
      <c r="KLG233" s="15"/>
      <c r="KLH233" s="16"/>
      <c r="KLI233" s="16"/>
      <c r="KLJ233" s="16"/>
      <c r="KLK233" s="16"/>
      <c r="KLL233" s="16"/>
      <c r="KLM233" s="15"/>
      <c r="KLN233" s="15"/>
      <c r="KLO233" s="10"/>
      <c r="KLP233" s="10"/>
      <c r="KLQ233" s="19"/>
      <c r="KLR233" s="19"/>
      <c r="KLU233" s="16"/>
      <c r="KLV233" s="15"/>
      <c r="KLW233" s="15"/>
      <c r="KLX233" s="15"/>
      <c r="KLY233" s="16"/>
      <c r="KLZ233" s="16"/>
      <c r="KMA233" s="16"/>
      <c r="KMB233" s="16"/>
      <c r="KMC233" s="16"/>
      <c r="KMD233" s="15"/>
      <c r="KME233" s="15"/>
      <c r="KMF233" s="10"/>
      <c r="KMG233" s="10"/>
      <c r="KMH233" s="19"/>
      <c r="KMI233" s="19"/>
      <c r="KML233" s="16"/>
      <c r="KMM233" s="15"/>
      <c r="KMN233" s="15"/>
      <c r="KMO233" s="15"/>
      <c r="KMP233" s="16"/>
      <c r="KMQ233" s="16"/>
      <c r="KMR233" s="16"/>
      <c r="KMS233" s="16"/>
      <c r="KMT233" s="16"/>
      <c r="KMU233" s="15"/>
      <c r="KMV233" s="15"/>
      <c r="KMW233" s="10"/>
      <c r="KMX233" s="10"/>
      <c r="KMY233" s="19"/>
      <c r="KMZ233" s="19"/>
      <c r="KNC233" s="16"/>
      <c r="KND233" s="15"/>
      <c r="KNE233" s="15"/>
      <c r="KNF233" s="15"/>
      <c r="KNG233" s="16"/>
      <c r="KNH233" s="16"/>
      <c r="KNI233" s="16"/>
      <c r="KNJ233" s="16"/>
      <c r="KNK233" s="16"/>
      <c r="KNL233" s="15"/>
      <c r="KNM233" s="15"/>
      <c r="KNN233" s="10"/>
      <c r="KNO233" s="10"/>
      <c r="KNP233" s="19"/>
      <c r="KNQ233" s="19"/>
      <c r="KNT233" s="16"/>
      <c r="KNU233" s="15"/>
      <c r="KNV233" s="15"/>
      <c r="KNW233" s="15"/>
      <c r="KNX233" s="16"/>
      <c r="KNY233" s="16"/>
      <c r="KNZ233" s="16"/>
      <c r="KOA233" s="16"/>
      <c r="KOB233" s="16"/>
      <c r="KOC233" s="15"/>
      <c r="KOD233" s="15"/>
      <c r="KOE233" s="10"/>
      <c r="KOF233" s="10"/>
      <c r="KOG233" s="19"/>
      <c r="KOH233" s="19"/>
      <c r="KOK233" s="16"/>
      <c r="KOL233" s="15"/>
      <c r="KOM233" s="15"/>
      <c r="KON233" s="15"/>
      <c r="KOO233" s="16"/>
      <c r="KOP233" s="16"/>
      <c r="KOQ233" s="16"/>
      <c r="KOR233" s="16"/>
      <c r="KOS233" s="16"/>
      <c r="KOT233" s="15"/>
      <c r="KOU233" s="15"/>
      <c r="KOV233" s="10"/>
      <c r="KOW233" s="10"/>
      <c r="KOX233" s="19"/>
      <c r="KOY233" s="19"/>
      <c r="KPB233" s="16"/>
      <c r="KPC233" s="15"/>
      <c r="KPD233" s="15"/>
      <c r="KPE233" s="15"/>
      <c r="KPF233" s="16"/>
      <c r="KPG233" s="16"/>
      <c r="KPH233" s="16"/>
      <c r="KPI233" s="16"/>
      <c r="KPJ233" s="16"/>
      <c r="KPK233" s="15"/>
      <c r="KPL233" s="15"/>
      <c r="KPM233" s="10"/>
      <c r="KPN233" s="10"/>
      <c r="KPO233" s="19"/>
      <c r="KPP233" s="19"/>
      <c r="KPS233" s="16"/>
      <c r="KPT233" s="15"/>
      <c r="KPU233" s="15"/>
      <c r="KPV233" s="15"/>
      <c r="KPW233" s="16"/>
      <c r="KPX233" s="16"/>
      <c r="KPY233" s="16"/>
      <c r="KPZ233" s="16"/>
      <c r="KQA233" s="16"/>
      <c r="KQB233" s="15"/>
      <c r="KQC233" s="15"/>
      <c r="KQD233" s="10"/>
      <c r="KQE233" s="10"/>
      <c r="KQF233" s="19"/>
      <c r="KQG233" s="19"/>
      <c r="KQJ233" s="16"/>
      <c r="KQK233" s="15"/>
      <c r="KQL233" s="15"/>
      <c r="KQM233" s="15"/>
      <c r="KQN233" s="16"/>
      <c r="KQO233" s="16"/>
      <c r="KQP233" s="16"/>
      <c r="KQQ233" s="16"/>
      <c r="KQR233" s="16"/>
      <c r="KQS233" s="15"/>
      <c r="KQT233" s="15"/>
      <c r="KQU233" s="10"/>
      <c r="KQV233" s="10"/>
      <c r="KQW233" s="19"/>
      <c r="KQX233" s="19"/>
      <c r="KRA233" s="16"/>
      <c r="KRB233" s="15"/>
      <c r="KRC233" s="15"/>
      <c r="KRD233" s="15"/>
      <c r="KRE233" s="16"/>
      <c r="KRF233" s="16"/>
      <c r="KRG233" s="16"/>
      <c r="KRH233" s="16"/>
      <c r="KRI233" s="16"/>
      <c r="KRJ233" s="15"/>
      <c r="KRK233" s="15"/>
      <c r="KRL233" s="10"/>
      <c r="KRM233" s="10"/>
      <c r="KRN233" s="19"/>
      <c r="KRO233" s="19"/>
      <c r="KRR233" s="16"/>
      <c r="KRS233" s="15"/>
      <c r="KRT233" s="15"/>
      <c r="KRU233" s="15"/>
      <c r="KRV233" s="16"/>
      <c r="KRW233" s="16"/>
      <c r="KRX233" s="16"/>
      <c r="KRY233" s="16"/>
      <c r="KRZ233" s="16"/>
      <c r="KSA233" s="15"/>
      <c r="KSB233" s="15"/>
      <c r="KSC233" s="10"/>
      <c r="KSD233" s="10"/>
      <c r="KSE233" s="19"/>
      <c r="KSF233" s="19"/>
      <c r="KSI233" s="16"/>
      <c r="KSJ233" s="15"/>
      <c r="KSK233" s="15"/>
      <c r="KSL233" s="15"/>
      <c r="KSM233" s="16"/>
      <c r="KSN233" s="16"/>
      <c r="KSO233" s="16"/>
      <c r="KSP233" s="16"/>
      <c r="KSQ233" s="16"/>
      <c r="KSR233" s="15"/>
      <c r="KSS233" s="15"/>
      <c r="KST233" s="10"/>
      <c r="KSU233" s="10"/>
      <c r="KSV233" s="19"/>
      <c r="KSW233" s="19"/>
      <c r="KSZ233" s="16"/>
      <c r="KTA233" s="15"/>
      <c r="KTB233" s="15"/>
      <c r="KTC233" s="15"/>
      <c r="KTD233" s="16"/>
      <c r="KTE233" s="16"/>
      <c r="KTF233" s="16"/>
      <c r="KTG233" s="16"/>
      <c r="KTH233" s="16"/>
      <c r="KTI233" s="15"/>
      <c r="KTJ233" s="15"/>
      <c r="KTK233" s="10"/>
      <c r="KTL233" s="10"/>
      <c r="KTM233" s="19"/>
      <c r="KTN233" s="19"/>
      <c r="KTQ233" s="16"/>
      <c r="KTR233" s="15"/>
      <c r="KTS233" s="15"/>
      <c r="KTT233" s="15"/>
      <c r="KTU233" s="16"/>
      <c r="KTV233" s="16"/>
      <c r="KTW233" s="16"/>
      <c r="KTX233" s="16"/>
      <c r="KTY233" s="16"/>
      <c r="KTZ233" s="15"/>
      <c r="KUA233" s="15"/>
      <c r="KUB233" s="10"/>
      <c r="KUC233" s="10"/>
      <c r="KUD233" s="19"/>
      <c r="KUE233" s="19"/>
      <c r="KUH233" s="16"/>
      <c r="KUI233" s="15"/>
      <c r="KUJ233" s="15"/>
      <c r="KUK233" s="15"/>
      <c r="KUL233" s="16"/>
      <c r="KUM233" s="16"/>
      <c r="KUN233" s="16"/>
      <c r="KUO233" s="16"/>
      <c r="KUP233" s="16"/>
      <c r="KUQ233" s="15"/>
      <c r="KUR233" s="15"/>
      <c r="KUS233" s="10"/>
      <c r="KUT233" s="10"/>
      <c r="KUU233" s="19"/>
      <c r="KUV233" s="19"/>
      <c r="KUY233" s="16"/>
      <c r="KUZ233" s="15"/>
      <c r="KVA233" s="15"/>
      <c r="KVB233" s="15"/>
      <c r="KVC233" s="16"/>
      <c r="KVD233" s="16"/>
      <c r="KVE233" s="16"/>
      <c r="KVF233" s="16"/>
      <c r="KVG233" s="16"/>
      <c r="KVH233" s="15"/>
      <c r="KVI233" s="15"/>
      <c r="KVJ233" s="10"/>
      <c r="KVK233" s="10"/>
      <c r="KVL233" s="19"/>
      <c r="KVM233" s="19"/>
      <c r="KVP233" s="16"/>
      <c r="KVQ233" s="15"/>
      <c r="KVR233" s="15"/>
      <c r="KVS233" s="15"/>
      <c r="KVT233" s="16"/>
      <c r="KVU233" s="16"/>
      <c r="KVV233" s="16"/>
      <c r="KVW233" s="16"/>
      <c r="KVX233" s="16"/>
      <c r="KVY233" s="15"/>
      <c r="KVZ233" s="15"/>
      <c r="KWA233" s="10"/>
      <c r="KWB233" s="10"/>
      <c r="KWC233" s="19"/>
      <c r="KWD233" s="19"/>
      <c r="KWG233" s="16"/>
      <c r="KWH233" s="15"/>
      <c r="KWI233" s="15"/>
      <c r="KWJ233" s="15"/>
      <c r="KWK233" s="16"/>
      <c r="KWL233" s="16"/>
      <c r="KWM233" s="16"/>
      <c r="KWN233" s="16"/>
      <c r="KWO233" s="16"/>
      <c r="KWP233" s="15"/>
      <c r="KWQ233" s="15"/>
      <c r="KWR233" s="10"/>
      <c r="KWS233" s="10"/>
      <c r="KWT233" s="19"/>
      <c r="KWU233" s="19"/>
      <c r="KWX233" s="16"/>
      <c r="KWY233" s="15"/>
      <c r="KWZ233" s="15"/>
      <c r="KXA233" s="15"/>
      <c r="KXB233" s="16"/>
      <c r="KXC233" s="16"/>
      <c r="KXD233" s="16"/>
      <c r="KXE233" s="16"/>
      <c r="KXF233" s="16"/>
      <c r="KXG233" s="15"/>
      <c r="KXH233" s="15"/>
      <c r="KXI233" s="10"/>
      <c r="KXJ233" s="10"/>
      <c r="KXK233" s="19"/>
      <c r="KXL233" s="19"/>
      <c r="KXO233" s="16"/>
      <c r="KXP233" s="15"/>
      <c r="KXQ233" s="15"/>
      <c r="KXR233" s="15"/>
      <c r="KXS233" s="16"/>
      <c r="KXT233" s="16"/>
      <c r="KXU233" s="16"/>
      <c r="KXV233" s="16"/>
      <c r="KXW233" s="16"/>
      <c r="KXX233" s="15"/>
      <c r="KXY233" s="15"/>
      <c r="KXZ233" s="10"/>
      <c r="KYA233" s="10"/>
      <c r="KYB233" s="19"/>
      <c r="KYC233" s="19"/>
      <c r="KYF233" s="16"/>
      <c r="KYG233" s="15"/>
      <c r="KYH233" s="15"/>
      <c r="KYI233" s="15"/>
      <c r="KYJ233" s="16"/>
      <c r="KYK233" s="16"/>
      <c r="KYL233" s="16"/>
      <c r="KYM233" s="16"/>
      <c r="KYN233" s="16"/>
      <c r="KYO233" s="15"/>
      <c r="KYP233" s="15"/>
      <c r="KYQ233" s="10"/>
      <c r="KYR233" s="10"/>
      <c r="KYS233" s="19"/>
      <c r="KYT233" s="19"/>
      <c r="KYW233" s="16"/>
      <c r="KYX233" s="15"/>
      <c r="KYY233" s="15"/>
      <c r="KYZ233" s="15"/>
      <c r="KZA233" s="16"/>
      <c r="KZB233" s="16"/>
      <c r="KZC233" s="16"/>
      <c r="KZD233" s="16"/>
      <c r="KZE233" s="16"/>
      <c r="KZF233" s="15"/>
      <c r="KZG233" s="15"/>
      <c r="KZH233" s="10"/>
      <c r="KZI233" s="10"/>
      <c r="KZJ233" s="19"/>
      <c r="KZK233" s="19"/>
      <c r="KZN233" s="16"/>
      <c r="KZO233" s="15"/>
      <c r="KZP233" s="15"/>
      <c r="KZQ233" s="15"/>
      <c r="KZR233" s="16"/>
      <c r="KZS233" s="16"/>
      <c r="KZT233" s="16"/>
      <c r="KZU233" s="16"/>
      <c r="KZV233" s="16"/>
      <c r="KZW233" s="15"/>
      <c r="KZX233" s="15"/>
      <c r="KZY233" s="10"/>
      <c r="KZZ233" s="10"/>
      <c r="LAA233" s="19"/>
      <c r="LAB233" s="19"/>
      <c r="LAE233" s="16"/>
      <c r="LAF233" s="15"/>
      <c r="LAG233" s="15"/>
      <c r="LAH233" s="15"/>
      <c r="LAI233" s="16"/>
      <c r="LAJ233" s="16"/>
      <c r="LAK233" s="16"/>
      <c r="LAL233" s="16"/>
      <c r="LAM233" s="16"/>
      <c r="LAN233" s="15"/>
      <c r="LAO233" s="15"/>
      <c r="LAP233" s="10"/>
      <c r="LAQ233" s="10"/>
      <c r="LAR233" s="19"/>
      <c r="LAS233" s="19"/>
      <c r="LAV233" s="16"/>
      <c r="LAW233" s="15"/>
      <c r="LAX233" s="15"/>
      <c r="LAY233" s="15"/>
      <c r="LAZ233" s="16"/>
      <c r="LBA233" s="16"/>
      <c r="LBB233" s="16"/>
      <c r="LBC233" s="16"/>
      <c r="LBD233" s="16"/>
      <c r="LBE233" s="15"/>
      <c r="LBF233" s="15"/>
      <c r="LBG233" s="10"/>
      <c r="LBH233" s="10"/>
      <c r="LBI233" s="19"/>
      <c r="LBJ233" s="19"/>
      <c r="LBM233" s="16"/>
      <c r="LBN233" s="15"/>
      <c r="LBO233" s="15"/>
      <c r="LBP233" s="15"/>
      <c r="LBQ233" s="16"/>
      <c r="LBR233" s="16"/>
      <c r="LBS233" s="16"/>
      <c r="LBT233" s="16"/>
      <c r="LBU233" s="16"/>
      <c r="LBV233" s="15"/>
      <c r="LBW233" s="15"/>
      <c r="LBX233" s="10"/>
      <c r="LBY233" s="10"/>
      <c r="LBZ233" s="19"/>
      <c r="LCA233" s="19"/>
      <c r="LCD233" s="16"/>
      <c r="LCE233" s="15"/>
      <c r="LCF233" s="15"/>
      <c r="LCG233" s="15"/>
      <c r="LCH233" s="16"/>
      <c r="LCI233" s="16"/>
      <c r="LCJ233" s="16"/>
      <c r="LCK233" s="16"/>
      <c r="LCL233" s="16"/>
      <c r="LCM233" s="15"/>
      <c r="LCN233" s="15"/>
      <c r="LCO233" s="10"/>
      <c r="LCP233" s="10"/>
      <c r="LCQ233" s="19"/>
      <c r="LCR233" s="19"/>
      <c r="LCU233" s="16"/>
      <c r="LCV233" s="15"/>
      <c r="LCW233" s="15"/>
      <c r="LCX233" s="15"/>
      <c r="LCY233" s="16"/>
      <c r="LCZ233" s="16"/>
      <c r="LDA233" s="16"/>
      <c r="LDB233" s="16"/>
      <c r="LDC233" s="16"/>
      <c r="LDD233" s="15"/>
      <c r="LDE233" s="15"/>
      <c r="LDF233" s="10"/>
      <c r="LDG233" s="10"/>
      <c r="LDH233" s="19"/>
      <c r="LDI233" s="19"/>
      <c r="LDL233" s="16"/>
      <c r="LDM233" s="15"/>
      <c r="LDN233" s="15"/>
      <c r="LDO233" s="15"/>
      <c r="LDP233" s="16"/>
      <c r="LDQ233" s="16"/>
      <c r="LDR233" s="16"/>
      <c r="LDS233" s="16"/>
      <c r="LDT233" s="16"/>
      <c r="LDU233" s="15"/>
      <c r="LDV233" s="15"/>
      <c r="LDW233" s="10"/>
      <c r="LDX233" s="10"/>
      <c r="LDY233" s="19"/>
      <c r="LDZ233" s="19"/>
      <c r="LEC233" s="16"/>
      <c r="LED233" s="15"/>
      <c r="LEE233" s="15"/>
      <c r="LEF233" s="15"/>
      <c r="LEG233" s="16"/>
      <c r="LEH233" s="16"/>
      <c r="LEI233" s="16"/>
      <c r="LEJ233" s="16"/>
      <c r="LEK233" s="16"/>
      <c r="LEL233" s="15"/>
      <c r="LEM233" s="15"/>
      <c r="LEN233" s="10"/>
      <c r="LEO233" s="10"/>
      <c r="LEP233" s="19"/>
      <c r="LEQ233" s="19"/>
      <c r="LET233" s="16"/>
      <c r="LEU233" s="15"/>
      <c r="LEV233" s="15"/>
      <c r="LEW233" s="15"/>
      <c r="LEX233" s="16"/>
      <c r="LEY233" s="16"/>
      <c r="LEZ233" s="16"/>
      <c r="LFA233" s="16"/>
      <c r="LFB233" s="16"/>
      <c r="LFC233" s="15"/>
      <c r="LFD233" s="15"/>
      <c r="LFE233" s="10"/>
      <c r="LFF233" s="10"/>
      <c r="LFG233" s="19"/>
      <c r="LFH233" s="19"/>
      <c r="LFK233" s="16"/>
      <c r="LFL233" s="15"/>
      <c r="LFM233" s="15"/>
      <c r="LFN233" s="15"/>
      <c r="LFO233" s="16"/>
      <c r="LFP233" s="16"/>
      <c r="LFQ233" s="16"/>
      <c r="LFR233" s="16"/>
      <c r="LFS233" s="16"/>
      <c r="LFT233" s="15"/>
      <c r="LFU233" s="15"/>
      <c r="LFV233" s="10"/>
      <c r="LFW233" s="10"/>
      <c r="LFX233" s="19"/>
      <c r="LFY233" s="19"/>
      <c r="LGB233" s="16"/>
      <c r="LGC233" s="15"/>
      <c r="LGD233" s="15"/>
      <c r="LGE233" s="15"/>
      <c r="LGF233" s="16"/>
      <c r="LGG233" s="16"/>
      <c r="LGH233" s="16"/>
      <c r="LGI233" s="16"/>
      <c r="LGJ233" s="16"/>
      <c r="LGK233" s="15"/>
      <c r="LGL233" s="15"/>
      <c r="LGM233" s="10"/>
      <c r="LGN233" s="10"/>
      <c r="LGO233" s="19"/>
      <c r="LGP233" s="19"/>
      <c r="LGS233" s="16"/>
      <c r="LGT233" s="15"/>
      <c r="LGU233" s="15"/>
      <c r="LGV233" s="15"/>
      <c r="LGW233" s="16"/>
      <c r="LGX233" s="16"/>
      <c r="LGY233" s="16"/>
      <c r="LGZ233" s="16"/>
      <c r="LHA233" s="16"/>
      <c r="LHB233" s="15"/>
      <c r="LHC233" s="15"/>
      <c r="LHD233" s="10"/>
      <c r="LHE233" s="10"/>
      <c r="LHF233" s="19"/>
      <c r="LHG233" s="19"/>
      <c r="LHJ233" s="16"/>
      <c r="LHK233" s="15"/>
      <c r="LHL233" s="15"/>
      <c r="LHM233" s="15"/>
      <c r="LHN233" s="16"/>
      <c r="LHO233" s="16"/>
      <c r="LHP233" s="16"/>
      <c r="LHQ233" s="16"/>
      <c r="LHR233" s="16"/>
      <c r="LHS233" s="15"/>
      <c r="LHT233" s="15"/>
      <c r="LHU233" s="10"/>
      <c r="LHV233" s="10"/>
      <c r="LHW233" s="19"/>
      <c r="LHX233" s="19"/>
      <c r="LIA233" s="16"/>
      <c r="LIB233" s="15"/>
      <c r="LIC233" s="15"/>
      <c r="LID233" s="15"/>
      <c r="LIE233" s="16"/>
      <c r="LIF233" s="16"/>
      <c r="LIG233" s="16"/>
      <c r="LIH233" s="16"/>
      <c r="LII233" s="16"/>
      <c r="LIJ233" s="15"/>
      <c r="LIK233" s="15"/>
      <c r="LIL233" s="10"/>
      <c r="LIM233" s="10"/>
      <c r="LIN233" s="19"/>
      <c r="LIO233" s="19"/>
      <c r="LIR233" s="16"/>
      <c r="LIS233" s="15"/>
      <c r="LIT233" s="15"/>
      <c r="LIU233" s="15"/>
      <c r="LIV233" s="16"/>
      <c r="LIW233" s="16"/>
      <c r="LIX233" s="16"/>
      <c r="LIY233" s="16"/>
      <c r="LIZ233" s="16"/>
      <c r="LJA233" s="15"/>
      <c r="LJB233" s="15"/>
      <c r="LJC233" s="10"/>
      <c r="LJD233" s="10"/>
      <c r="LJE233" s="19"/>
      <c r="LJF233" s="19"/>
      <c r="LJI233" s="16"/>
      <c r="LJJ233" s="15"/>
      <c r="LJK233" s="15"/>
      <c r="LJL233" s="15"/>
      <c r="LJM233" s="16"/>
      <c r="LJN233" s="16"/>
      <c r="LJO233" s="16"/>
      <c r="LJP233" s="16"/>
      <c r="LJQ233" s="16"/>
      <c r="LJR233" s="15"/>
      <c r="LJS233" s="15"/>
      <c r="LJT233" s="10"/>
      <c r="LJU233" s="10"/>
      <c r="LJV233" s="19"/>
      <c r="LJW233" s="19"/>
      <c r="LJZ233" s="16"/>
      <c r="LKA233" s="15"/>
      <c r="LKB233" s="15"/>
      <c r="LKC233" s="15"/>
      <c r="LKD233" s="16"/>
      <c r="LKE233" s="16"/>
      <c r="LKF233" s="16"/>
      <c r="LKG233" s="16"/>
      <c r="LKH233" s="16"/>
      <c r="LKI233" s="15"/>
      <c r="LKJ233" s="15"/>
      <c r="LKK233" s="10"/>
      <c r="LKL233" s="10"/>
      <c r="LKM233" s="19"/>
      <c r="LKN233" s="19"/>
      <c r="LKQ233" s="16"/>
      <c r="LKR233" s="15"/>
      <c r="LKS233" s="15"/>
      <c r="LKT233" s="15"/>
      <c r="LKU233" s="16"/>
      <c r="LKV233" s="16"/>
      <c r="LKW233" s="16"/>
      <c r="LKX233" s="16"/>
      <c r="LKY233" s="16"/>
      <c r="LKZ233" s="15"/>
      <c r="LLA233" s="15"/>
      <c r="LLB233" s="10"/>
      <c r="LLC233" s="10"/>
      <c r="LLD233" s="19"/>
      <c r="LLE233" s="19"/>
      <c r="LLH233" s="16"/>
      <c r="LLI233" s="15"/>
      <c r="LLJ233" s="15"/>
      <c r="LLK233" s="15"/>
      <c r="LLL233" s="16"/>
      <c r="LLM233" s="16"/>
      <c r="LLN233" s="16"/>
      <c r="LLO233" s="16"/>
      <c r="LLP233" s="16"/>
      <c r="LLQ233" s="15"/>
      <c r="LLR233" s="15"/>
      <c r="LLS233" s="10"/>
      <c r="LLT233" s="10"/>
      <c r="LLU233" s="19"/>
      <c r="LLV233" s="19"/>
      <c r="LLY233" s="16"/>
      <c r="LLZ233" s="15"/>
      <c r="LMA233" s="15"/>
      <c r="LMB233" s="15"/>
      <c r="LMC233" s="16"/>
      <c r="LMD233" s="16"/>
      <c r="LME233" s="16"/>
      <c r="LMF233" s="16"/>
      <c r="LMG233" s="16"/>
      <c r="LMH233" s="15"/>
      <c r="LMI233" s="15"/>
      <c r="LMJ233" s="10"/>
      <c r="LMK233" s="10"/>
      <c r="LML233" s="19"/>
      <c r="LMM233" s="19"/>
      <c r="LMP233" s="16"/>
      <c r="LMQ233" s="15"/>
      <c r="LMR233" s="15"/>
      <c r="LMS233" s="15"/>
      <c r="LMT233" s="16"/>
      <c r="LMU233" s="16"/>
      <c r="LMV233" s="16"/>
      <c r="LMW233" s="16"/>
      <c r="LMX233" s="16"/>
      <c r="LMY233" s="15"/>
      <c r="LMZ233" s="15"/>
      <c r="LNA233" s="10"/>
      <c r="LNB233" s="10"/>
      <c r="LNC233" s="19"/>
      <c r="LND233" s="19"/>
      <c r="LNG233" s="16"/>
      <c r="LNH233" s="15"/>
      <c r="LNI233" s="15"/>
      <c r="LNJ233" s="15"/>
      <c r="LNK233" s="16"/>
      <c r="LNL233" s="16"/>
      <c r="LNM233" s="16"/>
      <c r="LNN233" s="16"/>
      <c r="LNO233" s="16"/>
      <c r="LNP233" s="15"/>
      <c r="LNQ233" s="15"/>
      <c r="LNR233" s="10"/>
      <c r="LNS233" s="10"/>
      <c r="LNT233" s="19"/>
      <c r="LNU233" s="19"/>
      <c r="LNX233" s="16"/>
      <c r="LNY233" s="15"/>
      <c r="LNZ233" s="15"/>
      <c r="LOA233" s="15"/>
      <c r="LOB233" s="16"/>
      <c r="LOC233" s="16"/>
      <c r="LOD233" s="16"/>
      <c r="LOE233" s="16"/>
      <c r="LOF233" s="16"/>
      <c r="LOG233" s="15"/>
      <c r="LOH233" s="15"/>
      <c r="LOI233" s="10"/>
      <c r="LOJ233" s="10"/>
      <c r="LOK233" s="19"/>
      <c r="LOL233" s="19"/>
      <c r="LOO233" s="16"/>
      <c r="LOP233" s="15"/>
      <c r="LOQ233" s="15"/>
      <c r="LOR233" s="15"/>
      <c r="LOS233" s="16"/>
      <c r="LOT233" s="16"/>
      <c r="LOU233" s="16"/>
      <c r="LOV233" s="16"/>
      <c r="LOW233" s="16"/>
      <c r="LOX233" s="15"/>
      <c r="LOY233" s="15"/>
      <c r="LOZ233" s="10"/>
      <c r="LPA233" s="10"/>
      <c r="LPB233" s="19"/>
      <c r="LPC233" s="19"/>
      <c r="LPF233" s="16"/>
      <c r="LPG233" s="15"/>
      <c r="LPH233" s="15"/>
      <c r="LPI233" s="15"/>
      <c r="LPJ233" s="16"/>
      <c r="LPK233" s="16"/>
      <c r="LPL233" s="16"/>
      <c r="LPM233" s="16"/>
      <c r="LPN233" s="16"/>
      <c r="LPO233" s="15"/>
      <c r="LPP233" s="15"/>
      <c r="LPQ233" s="10"/>
      <c r="LPR233" s="10"/>
      <c r="LPS233" s="19"/>
      <c r="LPT233" s="19"/>
      <c r="LPW233" s="16"/>
      <c r="LPX233" s="15"/>
      <c r="LPY233" s="15"/>
      <c r="LPZ233" s="15"/>
      <c r="LQA233" s="16"/>
      <c r="LQB233" s="16"/>
      <c r="LQC233" s="16"/>
      <c r="LQD233" s="16"/>
      <c r="LQE233" s="16"/>
      <c r="LQF233" s="15"/>
      <c r="LQG233" s="15"/>
      <c r="LQH233" s="10"/>
      <c r="LQI233" s="10"/>
      <c r="LQJ233" s="19"/>
      <c r="LQK233" s="19"/>
      <c r="LQN233" s="16"/>
      <c r="LQO233" s="15"/>
      <c r="LQP233" s="15"/>
      <c r="LQQ233" s="15"/>
      <c r="LQR233" s="16"/>
      <c r="LQS233" s="16"/>
      <c r="LQT233" s="16"/>
      <c r="LQU233" s="16"/>
      <c r="LQV233" s="16"/>
      <c r="LQW233" s="15"/>
      <c r="LQX233" s="15"/>
      <c r="LQY233" s="10"/>
      <c r="LQZ233" s="10"/>
      <c r="LRA233" s="19"/>
      <c r="LRB233" s="19"/>
      <c r="LRE233" s="16"/>
      <c r="LRF233" s="15"/>
      <c r="LRG233" s="15"/>
      <c r="LRH233" s="15"/>
      <c r="LRI233" s="16"/>
      <c r="LRJ233" s="16"/>
      <c r="LRK233" s="16"/>
      <c r="LRL233" s="16"/>
      <c r="LRM233" s="16"/>
      <c r="LRN233" s="15"/>
      <c r="LRO233" s="15"/>
      <c r="LRP233" s="10"/>
      <c r="LRQ233" s="10"/>
      <c r="LRR233" s="19"/>
      <c r="LRS233" s="19"/>
      <c r="LRV233" s="16"/>
      <c r="LRW233" s="15"/>
      <c r="LRX233" s="15"/>
      <c r="LRY233" s="15"/>
      <c r="LRZ233" s="16"/>
      <c r="LSA233" s="16"/>
      <c r="LSB233" s="16"/>
      <c r="LSC233" s="16"/>
      <c r="LSD233" s="16"/>
      <c r="LSE233" s="15"/>
      <c r="LSF233" s="15"/>
      <c r="LSG233" s="10"/>
      <c r="LSH233" s="10"/>
      <c r="LSI233" s="19"/>
      <c r="LSJ233" s="19"/>
      <c r="LSM233" s="16"/>
      <c r="LSN233" s="15"/>
      <c r="LSO233" s="15"/>
      <c r="LSP233" s="15"/>
      <c r="LSQ233" s="16"/>
      <c r="LSR233" s="16"/>
      <c r="LSS233" s="16"/>
      <c r="LST233" s="16"/>
      <c r="LSU233" s="16"/>
      <c r="LSV233" s="15"/>
      <c r="LSW233" s="15"/>
      <c r="LSX233" s="10"/>
      <c r="LSY233" s="10"/>
      <c r="LSZ233" s="19"/>
      <c r="LTA233" s="19"/>
      <c r="LTD233" s="16"/>
      <c r="LTE233" s="15"/>
      <c r="LTF233" s="15"/>
      <c r="LTG233" s="15"/>
      <c r="LTH233" s="16"/>
      <c r="LTI233" s="16"/>
      <c r="LTJ233" s="16"/>
      <c r="LTK233" s="16"/>
      <c r="LTL233" s="16"/>
      <c r="LTM233" s="15"/>
      <c r="LTN233" s="15"/>
      <c r="LTO233" s="10"/>
      <c r="LTP233" s="10"/>
      <c r="LTQ233" s="19"/>
      <c r="LTR233" s="19"/>
      <c r="LTU233" s="16"/>
      <c r="LTV233" s="15"/>
      <c r="LTW233" s="15"/>
      <c r="LTX233" s="15"/>
      <c r="LTY233" s="16"/>
      <c r="LTZ233" s="16"/>
      <c r="LUA233" s="16"/>
      <c r="LUB233" s="16"/>
      <c r="LUC233" s="16"/>
      <c r="LUD233" s="15"/>
      <c r="LUE233" s="15"/>
      <c r="LUF233" s="10"/>
      <c r="LUG233" s="10"/>
      <c r="LUH233" s="19"/>
      <c r="LUI233" s="19"/>
      <c r="LUL233" s="16"/>
      <c r="LUM233" s="15"/>
      <c r="LUN233" s="15"/>
      <c r="LUO233" s="15"/>
      <c r="LUP233" s="16"/>
      <c r="LUQ233" s="16"/>
      <c r="LUR233" s="16"/>
      <c r="LUS233" s="16"/>
      <c r="LUT233" s="16"/>
      <c r="LUU233" s="15"/>
      <c r="LUV233" s="15"/>
      <c r="LUW233" s="10"/>
      <c r="LUX233" s="10"/>
      <c r="LUY233" s="19"/>
      <c r="LUZ233" s="19"/>
      <c r="LVC233" s="16"/>
      <c r="LVD233" s="15"/>
      <c r="LVE233" s="15"/>
      <c r="LVF233" s="15"/>
      <c r="LVG233" s="16"/>
      <c r="LVH233" s="16"/>
      <c r="LVI233" s="16"/>
      <c r="LVJ233" s="16"/>
      <c r="LVK233" s="16"/>
      <c r="LVL233" s="15"/>
      <c r="LVM233" s="15"/>
      <c r="LVN233" s="10"/>
      <c r="LVO233" s="10"/>
      <c r="LVP233" s="19"/>
      <c r="LVQ233" s="19"/>
      <c r="LVT233" s="16"/>
      <c r="LVU233" s="15"/>
      <c r="LVV233" s="15"/>
      <c r="LVW233" s="15"/>
      <c r="LVX233" s="16"/>
      <c r="LVY233" s="16"/>
      <c r="LVZ233" s="16"/>
      <c r="LWA233" s="16"/>
      <c r="LWB233" s="16"/>
      <c r="LWC233" s="15"/>
      <c r="LWD233" s="15"/>
      <c r="LWE233" s="10"/>
      <c r="LWF233" s="10"/>
      <c r="LWG233" s="19"/>
      <c r="LWH233" s="19"/>
      <c r="LWK233" s="16"/>
      <c r="LWL233" s="15"/>
      <c r="LWM233" s="15"/>
      <c r="LWN233" s="15"/>
      <c r="LWO233" s="16"/>
      <c r="LWP233" s="16"/>
      <c r="LWQ233" s="16"/>
      <c r="LWR233" s="16"/>
      <c r="LWS233" s="16"/>
      <c r="LWT233" s="15"/>
      <c r="LWU233" s="15"/>
      <c r="LWV233" s="10"/>
      <c r="LWW233" s="10"/>
      <c r="LWX233" s="19"/>
      <c r="LWY233" s="19"/>
      <c r="LXB233" s="16"/>
      <c r="LXC233" s="15"/>
      <c r="LXD233" s="15"/>
      <c r="LXE233" s="15"/>
      <c r="LXF233" s="16"/>
      <c r="LXG233" s="16"/>
      <c r="LXH233" s="16"/>
      <c r="LXI233" s="16"/>
      <c r="LXJ233" s="16"/>
      <c r="LXK233" s="15"/>
      <c r="LXL233" s="15"/>
      <c r="LXM233" s="10"/>
      <c r="LXN233" s="10"/>
      <c r="LXO233" s="19"/>
      <c r="LXP233" s="19"/>
      <c r="LXS233" s="16"/>
      <c r="LXT233" s="15"/>
      <c r="LXU233" s="15"/>
      <c r="LXV233" s="15"/>
      <c r="LXW233" s="16"/>
      <c r="LXX233" s="16"/>
      <c r="LXY233" s="16"/>
      <c r="LXZ233" s="16"/>
      <c r="LYA233" s="16"/>
      <c r="LYB233" s="15"/>
      <c r="LYC233" s="15"/>
      <c r="LYD233" s="10"/>
      <c r="LYE233" s="10"/>
      <c r="LYF233" s="19"/>
      <c r="LYG233" s="19"/>
      <c r="LYJ233" s="16"/>
      <c r="LYK233" s="15"/>
      <c r="LYL233" s="15"/>
      <c r="LYM233" s="15"/>
      <c r="LYN233" s="16"/>
      <c r="LYO233" s="16"/>
      <c r="LYP233" s="16"/>
      <c r="LYQ233" s="16"/>
      <c r="LYR233" s="16"/>
      <c r="LYS233" s="15"/>
      <c r="LYT233" s="15"/>
      <c r="LYU233" s="10"/>
      <c r="LYV233" s="10"/>
      <c r="LYW233" s="19"/>
      <c r="LYX233" s="19"/>
      <c r="LZA233" s="16"/>
      <c r="LZB233" s="15"/>
      <c r="LZC233" s="15"/>
      <c r="LZD233" s="15"/>
      <c r="LZE233" s="16"/>
      <c r="LZF233" s="16"/>
      <c r="LZG233" s="16"/>
      <c r="LZH233" s="16"/>
      <c r="LZI233" s="16"/>
      <c r="LZJ233" s="15"/>
      <c r="LZK233" s="15"/>
      <c r="LZL233" s="10"/>
      <c r="LZM233" s="10"/>
      <c r="LZN233" s="19"/>
      <c r="LZO233" s="19"/>
      <c r="LZR233" s="16"/>
      <c r="LZS233" s="15"/>
      <c r="LZT233" s="15"/>
      <c r="LZU233" s="15"/>
      <c r="LZV233" s="16"/>
      <c r="LZW233" s="16"/>
      <c r="LZX233" s="16"/>
      <c r="LZY233" s="16"/>
      <c r="LZZ233" s="16"/>
      <c r="MAA233" s="15"/>
      <c r="MAB233" s="15"/>
      <c r="MAC233" s="10"/>
      <c r="MAD233" s="10"/>
      <c r="MAE233" s="19"/>
      <c r="MAF233" s="19"/>
      <c r="MAI233" s="16"/>
      <c r="MAJ233" s="15"/>
      <c r="MAK233" s="15"/>
      <c r="MAL233" s="15"/>
      <c r="MAM233" s="16"/>
      <c r="MAN233" s="16"/>
      <c r="MAO233" s="16"/>
      <c r="MAP233" s="16"/>
      <c r="MAQ233" s="16"/>
      <c r="MAR233" s="15"/>
      <c r="MAS233" s="15"/>
      <c r="MAT233" s="10"/>
      <c r="MAU233" s="10"/>
      <c r="MAV233" s="19"/>
      <c r="MAW233" s="19"/>
      <c r="MAZ233" s="16"/>
      <c r="MBA233" s="15"/>
      <c r="MBB233" s="15"/>
      <c r="MBC233" s="15"/>
      <c r="MBD233" s="16"/>
      <c r="MBE233" s="16"/>
      <c r="MBF233" s="16"/>
      <c r="MBG233" s="16"/>
      <c r="MBH233" s="16"/>
      <c r="MBI233" s="15"/>
      <c r="MBJ233" s="15"/>
      <c r="MBK233" s="10"/>
      <c r="MBL233" s="10"/>
      <c r="MBM233" s="19"/>
      <c r="MBN233" s="19"/>
      <c r="MBQ233" s="16"/>
      <c r="MBR233" s="15"/>
      <c r="MBS233" s="15"/>
      <c r="MBT233" s="15"/>
      <c r="MBU233" s="16"/>
      <c r="MBV233" s="16"/>
      <c r="MBW233" s="16"/>
      <c r="MBX233" s="16"/>
      <c r="MBY233" s="16"/>
      <c r="MBZ233" s="15"/>
      <c r="MCA233" s="15"/>
      <c r="MCB233" s="10"/>
      <c r="MCC233" s="10"/>
      <c r="MCD233" s="19"/>
      <c r="MCE233" s="19"/>
      <c r="MCH233" s="16"/>
      <c r="MCI233" s="15"/>
      <c r="MCJ233" s="15"/>
      <c r="MCK233" s="15"/>
      <c r="MCL233" s="16"/>
      <c r="MCM233" s="16"/>
      <c r="MCN233" s="16"/>
      <c r="MCO233" s="16"/>
      <c r="MCP233" s="16"/>
      <c r="MCQ233" s="15"/>
      <c r="MCR233" s="15"/>
      <c r="MCS233" s="10"/>
      <c r="MCT233" s="10"/>
      <c r="MCU233" s="19"/>
      <c r="MCV233" s="19"/>
      <c r="MCY233" s="16"/>
      <c r="MCZ233" s="15"/>
      <c r="MDA233" s="15"/>
      <c r="MDB233" s="15"/>
      <c r="MDC233" s="16"/>
      <c r="MDD233" s="16"/>
      <c r="MDE233" s="16"/>
      <c r="MDF233" s="16"/>
      <c r="MDG233" s="16"/>
      <c r="MDH233" s="15"/>
      <c r="MDI233" s="15"/>
      <c r="MDJ233" s="10"/>
      <c r="MDK233" s="10"/>
      <c r="MDL233" s="19"/>
      <c r="MDM233" s="19"/>
      <c r="MDP233" s="16"/>
      <c r="MDQ233" s="15"/>
      <c r="MDR233" s="15"/>
      <c r="MDS233" s="15"/>
      <c r="MDT233" s="16"/>
      <c r="MDU233" s="16"/>
      <c r="MDV233" s="16"/>
      <c r="MDW233" s="16"/>
      <c r="MDX233" s="16"/>
      <c r="MDY233" s="15"/>
      <c r="MDZ233" s="15"/>
      <c r="MEA233" s="10"/>
      <c r="MEB233" s="10"/>
      <c r="MEC233" s="19"/>
      <c r="MED233" s="19"/>
      <c r="MEG233" s="16"/>
      <c r="MEH233" s="15"/>
      <c r="MEI233" s="15"/>
      <c r="MEJ233" s="15"/>
      <c r="MEK233" s="16"/>
      <c r="MEL233" s="16"/>
      <c r="MEM233" s="16"/>
      <c r="MEN233" s="16"/>
      <c r="MEO233" s="16"/>
      <c r="MEP233" s="15"/>
      <c r="MEQ233" s="15"/>
      <c r="MER233" s="10"/>
      <c r="MES233" s="10"/>
      <c r="MET233" s="19"/>
      <c r="MEU233" s="19"/>
      <c r="MEX233" s="16"/>
      <c r="MEY233" s="15"/>
      <c r="MEZ233" s="15"/>
      <c r="MFA233" s="15"/>
      <c r="MFB233" s="16"/>
      <c r="MFC233" s="16"/>
      <c r="MFD233" s="16"/>
      <c r="MFE233" s="16"/>
      <c r="MFF233" s="16"/>
      <c r="MFG233" s="15"/>
      <c r="MFH233" s="15"/>
      <c r="MFI233" s="10"/>
      <c r="MFJ233" s="10"/>
      <c r="MFK233" s="19"/>
      <c r="MFL233" s="19"/>
      <c r="MFO233" s="16"/>
      <c r="MFP233" s="15"/>
      <c r="MFQ233" s="15"/>
      <c r="MFR233" s="15"/>
      <c r="MFS233" s="16"/>
      <c r="MFT233" s="16"/>
      <c r="MFU233" s="16"/>
      <c r="MFV233" s="16"/>
      <c r="MFW233" s="16"/>
      <c r="MFX233" s="15"/>
      <c r="MFY233" s="15"/>
      <c r="MFZ233" s="10"/>
      <c r="MGA233" s="10"/>
      <c r="MGB233" s="19"/>
      <c r="MGC233" s="19"/>
      <c r="MGF233" s="16"/>
      <c r="MGG233" s="15"/>
      <c r="MGH233" s="15"/>
      <c r="MGI233" s="15"/>
      <c r="MGJ233" s="16"/>
      <c r="MGK233" s="16"/>
      <c r="MGL233" s="16"/>
      <c r="MGM233" s="16"/>
      <c r="MGN233" s="16"/>
      <c r="MGO233" s="15"/>
      <c r="MGP233" s="15"/>
      <c r="MGQ233" s="10"/>
      <c r="MGR233" s="10"/>
      <c r="MGS233" s="19"/>
      <c r="MGT233" s="19"/>
      <c r="MGW233" s="16"/>
      <c r="MGX233" s="15"/>
      <c r="MGY233" s="15"/>
      <c r="MGZ233" s="15"/>
      <c r="MHA233" s="16"/>
      <c r="MHB233" s="16"/>
      <c r="MHC233" s="16"/>
      <c r="MHD233" s="16"/>
      <c r="MHE233" s="16"/>
      <c r="MHF233" s="15"/>
      <c r="MHG233" s="15"/>
      <c r="MHH233" s="10"/>
      <c r="MHI233" s="10"/>
      <c r="MHJ233" s="19"/>
      <c r="MHK233" s="19"/>
      <c r="MHN233" s="16"/>
      <c r="MHO233" s="15"/>
      <c r="MHP233" s="15"/>
      <c r="MHQ233" s="15"/>
      <c r="MHR233" s="16"/>
      <c r="MHS233" s="16"/>
      <c r="MHT233" s="16"/>
      <c r="MHU233" s="16"/>
      <c r="MHV233" s="16"/>
      <c r="MHW233" s="15"/>
      <c r="MHX233" s="15"/>
      <c r="MHY233" s="10"/>
      <c r="MHZ233" s="10"/>
      <c r="MIA233" s="19"/>
      <c r="MIB233" s="19"/>
      <c r="MIE233" s="16"/>
      <c r="MIF233" s="15"/>
      <c r="MIG233" s="15"/>
      <c r="MIH233" s="15"/>
      <c r="MII233" s="16"/>
      <c r="MIJ233" s="16"/>
      <c r="MIK233" s="16"/>
      <c r="MIL233" s="16"/>
      <c r="MIM233" s="16"/>
      <c r="MIN233" s="15"/>
      <c r="MIO233" s="15"/>
      <c r="MIP233" s="10"/>
      <c r="MIQ233" s="10"/>
      <c r="MIR233" s="19"/>
      <c r="MIS233" s="19"/>
      <c r="MIV233" s="16"/>
      <c r="MIW233" s="15"/>
      <c r="MIX233" s="15"/>
      <c r="MIY233" s="15"/>
      <c r="MIZ233" s="16"/>
      <c r="MJA233" s="16"/>
      <c r="MJB233" s="16"/>
      <c r="MJC233" s="16"/>
      <c r="MJD233" s="16"/>
      <c r="MJE233" s="15"/>
      <c r="MJF233" s="15"/>
      <c r="MJG233" s="10"/>
      <c r="MJH233" s="10"/>
      <c r="MJI233" s="19"/>
      <c r="MJJ233" s="19"/>
      <c r="MJM233" s="16"/>
      <c r="MJN233" s="15"/>
      <c r="MJO233" s="15"/>
      <c r="MJP233" s="15"/>
      <c r="MJQ233" s="16"/>
      <c r="MJR233" s="16"/>
      <c r="MJS233" s="16"/>
      <c r="MJT233" s="16"/>
      <c r="MJU233" s="16"/>
      <c r="MJV233" s="15"/>
      <c r="MJW233" s="15"/>
      <c r="MJX233" s="10"/>
      <c r="MJY233" s="10"/>
      <c r="MJZ233" s="19"/>
      <c r="MKA233" s="19"/>
      <c r="MKD233" s="16"/>
      <c r="MKE233" s="15"/>
      <c r="MKF233" s="15"/>
      <c r="MKG233" s="15"/>
      <c r="MKH233" s="16"/>
      <c r="MKI233" s="16"/>
      <c r="MKJ233" s="16"/>
      <c r="MKK233" s="16"/>
      <c r="MKL233" s="16"/>
      <c r="MKM233" s="15"/>
      <c r="MKN233" s="15"/>
      <c r="MKO233" s="10"/>
      <c r="MKP233" s="10"/>
      <c r="MKQ233" s="19"/>
      <c r="MKR233" s="19"/>
      <c r="MKU233" s="16"/>
      <c r="MKV233" s="15"/>
      <c r="MKW233" s="15"/>
      <c r="MKX233" s="15"/>
      <c r="MKY233" s="16"/>
      <c r="MKZ233" s="16"/>
      <c r="MLA233" s="16"/>
      <c r="MLB233" s="16"/>
      <c r="MLC233" s="16"/>
      <c r="MLD233" s="15"/>
      <c r="MLE233" s="15"/>
      <c r="MLF233" s="10"/>
      <c r="MLG233" s="10"/>
      <c r="MLH233" s="19"/>
      <c r="MLI233" s="19"/>
      <c r="MLL233" s="16"/>
      <c r="MLM233" s="15"/>
      <c r="MLN233" s="15"/>
      <c r="MLO233" s="15"/>
      <c r="MLP233" s="16"/>
      <c r="MLQ233" s="16"/>
      <c r="MLR233" s="16"/>
      <c r="MLS233" s="16"/>
      <c r="MLT233" s="16"/>
      <c r="MLU233" s="15"/>
      <c r="MLV233" s="15"/>
      <c r="MLW233" s="10"/>
      <c r="MLX233" s="10"/>
      <c r="MLY233" s="19"/>
      <c r="MLZ233" s="19"/>
      <c r="MMC233" s="16"/>
      <c r="MMD233" s="15"/>
      <c r="MME233" s="15"/>
      <c r="MMF233" s="15"/>
      <c r="MMG233" s="16"/>
      <c r="MMH233" s="16"/>
      <c r="MMI233" s="16"/>
      <c r="MMJ233" s="16"/>
      <c r="MMK233" s="16"/>
      <c r="MML233" s="15"/>
      <c r="MMM233" s="15"/>
      <c r="MMN233" s="10"/>
      <c r="MMO233" s="10"/>
      <c r="MMP233" s="19"/>
      <c r="MMQ233" s="19"/>
      <c r="MMT233" s="16"/>
      <c r="MMU233" s="15"/>
      <c r="MMV233" s="15"/>
      <c r="MMW233" s="15"/>
      <c r="MMX233" s="16"/>
      <c r="MMY233" s="16"/>
      <c r="MMZ233" s="16"/>
      <c r="MNA233" s="16"/>
      <c r="MNB233" s="16"/>
      <c r="MNC233" s="15"/>
      <c r="MND233" s="15"/>
      <c r="MNE233" s="10"/>
      <c r="MNF233" s="10"/>
      <c r="MNG233" s="19"/>
      <c r="MNH233" s="19"/>
      <c r="MNK233" s="16"/>
      <c r="MNL233" s="15"/>
      <c r="MNM233" s="15"/>
      <c r="MNN233" s="15"/>
      <c r="MNO233" s="16"/>
      <c r="MNP233" s="16"/>
      <c r="MNQ233" s="16"/>
      <c r="MNR233" s="16"/>
      <c r="MNS233" s="16"/>
      <c r="MNT233" s="15"/>
      <c r="MNU233" s="15"/>
      <c r="MNV233" s="10"/>
      <c r="MNW233" s="10"/>
      <c r="MNX233" s="19"/>
      <c r="MNY233" s="19"/>
      <c r="MOB233" s="16"/>
      <c r="MOC233" s="15"/>
      <c r="MOD233" s="15"/>
      <c r="MOE233" s="15"/>
      <c r="MOF233" s="16"/>
      <c r="MOG233" s="16"/>
      <c r="MOH233" s="16"/>
      <c r="MOI233" s="16"/>
      <c r="MOJ233" s="16"/>
      <c r="MOK233" s="15"/>
      <c r="MOL233" s="15"/>
      <c r="MOM233" s="10"/>
      <c r="MON233" s="10"/>
      <c r="MOO233" s="19"/>
      <c r="MOP233" s="19"/>
      <c r="MOS233" s="16"/>
      <c r="MOT233" s="15"/>
      <c r="MOU233" s="15"/>
      <c r="MOV233" s="15"/>
      <c r="MOW233" s="16"/>
      <c r="MOX233" s="16"/>
      <c r="MOY233" s="16"/>
      <c r="MOZ233" s="16"/>
      <c r="MPA233" s="16"/>
      <c r="MPB233" s="15"/>
      <c r="MPC233" s="15"/>
      <c r="MPD233" s="10"/>
      <c r="MPE233" s="10"/>
      <c r="MPF233" s="19"/>
      <c r="MPG233" s="19"/>
      <c r="MPJ233" s="16"/>
      <c r="MPK233" s="15"/>
      <c r="MPL233" s="15"/>
      <c r="MPM233" s="15"/>
      <c r="MPN233" s="16"/>
      <c r="MPO233" s="16"/>
      <c r="MPP233" s="16"/>
      <c r="MPQ233" s="16"/>
      <c r="MPR233" s="16"/>
      <c r="MPS233" s="15"/>
      <c r="MPT233" s="15"/>
      <c r="MPU233" s="10"/>
      <c r="MPV233" s="10"/>
      <c r="MPW233" s="19"/>
      <c r="MPX233" s="19"/>
      <c r="MQA233" s="16"/>
      <c r="MQB233" s="15"/>
      <c r="MQC233" s="15"/>
      <c r="MQD233" s="15"/>
      <c r="MQE233" s="16"/>
      <c r="MQF233" s="16"/>
      <c r="MQG233" s="16"/>
      <c r="MQH233" s="16"/>
      <c r="MQI233" s="16"/>
      <c r="MQJ233" s="15"/>
      <c r="MQK233" s="15"/>
      <c r="MQL233" s="10"/>
      <c r="MQM233" s="10"/>
      <c r="MQN233" s="19"/>
      <c r="MQO233" s="19"/>
      <c r="MQR233" s="16"/>
      <c r="MQS233" s="15"/>
      <c r="MQT233" s="15"/>
      <c r="MQU233" s="15"/>
      <c r="MQV233" s="16"/>
      <c r="MQW233" s="16"/>
      <c r="MQX233" s="16"/>
      <c r="MQY233" s="16"/>
      <c r="MQZ233" s="16"/>
      <c r="MRA233" s="15"/>
      <c r="MRB233" s="15"/>
      <c r="MRC233" s="10"/>
      <c r="MRD233" s="10"/>
      <c r="MRE233" s="19"/>
      <c r="MRF233" s="19"/>
      <c r="MRI233" s="16"/>
      <c r="MRJ233" s="15"/>
      <c r="MRK233" s="15"/>
      <c r="MRL233" s="15"/>
      <c r="MRM233" s="16"/>
      <c r="MRN233" s="16"/>
      <c r="MRO233" s="16"/>
      <c r="MRP233" s="16"/>
      <c r="MRQ233" s="16"/>
      <c r="MRR233" s="15"/>
      <c r="MRS233" s="15"/>
      <c r="MRT233" s="10"/>
      <c r="MRU233" s="10"/>
      <c r="MRV233" s="19"/>
      <c r="MRW233" s="19"/>
      <c r="MRZ233" s="16"/>
      <c r="MSA233" s="15"/>
      <c r="MSB233" s="15"/>
      <c r="MSC233" s="15"/>
      <c r="MSD233" s="16"/>
      <c r="MSE233" s="16"/>
      <c r="MSF233" s="16"/>
      <c r="MSG233" s="16"/>
      <c r="MSH233" s="16"/>
      <c r="MSI233" s="15"/>
      <c r="MSJ233" s="15"/>
      <c r="MSK233" s="10"/>
      <c r="MSL233" s="10"/>
      <c r="MSM233" s="19"/>
      <c r="MSN233" s="19"/>
      <c r="MSQ233" s="16"/>
      <c r="MSR233" s="15"/>
      <c r="MSS233" s="15"/>
      <c r="MST233" s="15"/>
      <c r="MSU233" s="16"/>
      <c r="MSV233" s="16"/>
      <c r="MSW233" s="16"/>
      <c r="MSX233" s="16"/>
      <c r="MSY233" s="16"/>
      <c r="MSZ233" s="15"/>
      <c r="MTA233" s="15"/>
      <c r="MTB233" s="10"/>
      <c r="MTC233" s="10"/>
      <c r="MTD233" s="19"/>
      <c r="MTE233" s="19"/>
      <c r="MTH233" s="16"/>
      <c r="MTI233" s="15"/>
      <c r="MTJ233" s="15"/>
      <c r="MTK233" s="15"/>
      <c r="MTL233" s="16"/>
      <c r="MTM233" s="16"/>
      <c r="MTN233" s="16"/>
      <c r="MTO233" s="16"/>
      <c r="MTP233" s="16"/>
      <c r="MTQ233" s="15"/>
      <c r="MTR233" s="15"/>
      <c r="MTS233" s="10"/>
      <c r="MTT233" s="10"/>
      <c r="MTU233" s="19"/>
      <c r="MTV233" s="19"/>
      <c r="MTY233" s="16"/>
      <c r="MTZ233" s="15"/>
      <c r="MUA233" s="15"/>
      <c r="MUB233" s="15"/>
      <c r="MUC233" s="16"/>
      <c r="MUD233" s="16"/>
      <c r="MUE233" s="16"/>
      <c r="MUF233" s="16"/>
      <c r="MUG233" s="16"/>
      <c r="MUH233" s="15"/>
      <c r="MUI233" s="15"/>
      <c r="MUJ233" s="10"/>
      <c r="MUK233" s="10"/>
      <c r="MUL233" s="19"/>
      <c r="MUM233" s="19"/>
      <c r="MUP233" s="16"/>
      <c r="MUQ233" s="15"/>
      <c r="MUR233" s="15"/>
      <c r="MUS233" s="15"/>
      <c r="MUT233" s="16"/>
      <c r="MUU233" s="16"/>
      <c r="MUV233" s="16"/>
      <c r="MUW233" s="16"/>
      <c r="MUX233" s="16"/>
      <c r="MUY233" s="15"/>
      <c r="MUZ233" s="15"/>
      <c r="MVA233" s="10"/>
      <c r="MVB233" s="10"/>
      <c r="MVC233" s="19"/>
      <c r="MVD233" s="19"/>
      <c r="MVG233" s="16"/>
      <c r="MVH233" s="15"/>
      <c r="MVI233" s="15"/>
      <c r="MVJ233" s="15"/>
      <c r="MVK233" s="16"/>
      <c r="MVL233" s="16"/>
      <c r="MVM233" s="16"/>
      <c r="MVN233" s="16"/>
      <c r="MVO233" s="16"/>
      <c r="MVP233" s="15"/>
      <c r="MVQ233" s="15"/>
      <c r="MVR233" s="10"/>
      <c r="MVS233" s="10"/>
      <c r="MVT233" s="19"/>
      <c r="MVU233" s="19"/>
      <c r="MVX233" s="16"/>
      <c r="MVY233" s="15"/>
      <c r="MVZ233" s="15"/>
      <c r="MWA233" s="15"/>
      <c r="MWB233" s="16"/>
      <c r="MWC233" s="16"/>
      <c r="MWD233" s="16"/>
      <c r="MWE233" s="16"/>
      <c r="MWF233" s="16"/>
      <c r="MWG233" s="15"/>
      <c r="MWH233" s="15"/>
      <c r="MWI233" s="10"/>
      <c r="MWJ233" s="10"/>
      <c r="MWK233" s="19"/>
      <c r="MWL233" s="19"/>
      <c r="MWO233" s="16"/>
      <c r="MWP233" s="15"/>
      <c r="MWQ233" s="15"/>
      <c r="MWR233" s="15"/>
      <c r="MWS233" s="16"/>
      <c r="MWT233" s="16"/>
      <c r="MWU233" s="16"/>
      <c r="MWV233" s="16"/>
      <c r="MWW233" s="16"/>
      <c r="MWX233" s="15"/>
      <c r="MWY233" s="15"/>
      <c r="MWZ233" s="10"/>
      <c r="MXA233" s="10"/>
      <c r="MXB233" s="19"/>
      <c r="MXC233" s="19"/>
      <c r="MXF233" s="16"/>
      <c r="MXG233" s="15"/>
      <c r="MXH233" s="15"/>
      <c r="MXI233" s="15"/>
      <c r="MXJ233" s="16"/>
      <c r="MXK233" s="16"/>
      <c r="MXL233" s="16"/>
      <c r="MXM233" s="16"/>
      <c r="MXN233" s="16"/>
      <c r="MXO233" s="15"/>
      <c r="MXP233" s="15"/>
      <c r="MXQ233" s="10"/>
      <c r="MXR233" s="10"/>
      <c r="MXS233" s="19"/>
      <c r="MXT233" s="19"/>
      <c r="MXW233" s="16"/>
      <c r="MXX233" s="15"/>
      <c r="MXY233" s="15"/>
      <c r="MXZ233" s="15"/>
      <c r="MYA233" s="16"/>
      <c r="MYB233" s="16"/>
      <c r="MYC233" s="16"/>
      <c r="MYD233" s="16"/>
      <c r="MYE233" s="16"/>
      <c r="MYF233" s="15"/>
      <c r="MYG233" s="15"/>
      <c r="MYH233" s="10"/>
      <c r="MYI233" s="10"/>
      <c r="MYJ233" s="19"/>
      <c r="MYK233" s="19"/>
      <c r="MYN233" s="16"/>
      <c r="MYO233" s="15"/>
      <c r="MYP233" s="15"/>
      <c r="MYQ233" s="15"/>
      <c r="MYR233" s="16"/>
      <c r="MYS233" s="16"/>
      <c r="MYT233" s="16"/>
      <c r="MYU233" s="16"/>
      <c r="MYV233" s="16"/>
      <c r="MYW233" s="15"/>
      <c r="MYX233" s="15"/>
      <c r="MYY233" s="10"/>
      <c r="MYZ233" s="10"/>
      <c r="MZA233" s="19"/>
      <c r="MZB233" s="19"/>
      <c r="MZE233" s="16"/>
      <c r="MZF233" s="15"/>
      <c r="MZG233" s="15"/>
      <c r="MZH233" s="15"/>
      <c r="MZI233" s="16"/>
      <c r="MZJ233" s="16"/>
      <c r="MZK233" s="16"/>
      <c r="MZL233" s="16"/>
      <c r="MZM233" s="16"/>
      <c r="MZN233" s="15"/>
      <c r="MZO233" s="15"/>
      <c r="MZP233" s="10"/>
      <c r="MZQ233" s="10"/>
      <c r="MZR233" s="19"/>
      <c r="MZS233" s="19"/>
      <c r="MZV233" s="16"/>
      <c r="MZW233" s="15"/>
      <c r="MZX233" s="15"/>
      <c r="MZY233" s="15"/>
      <c r="MZZ233" s="16"/>
      <c r="NAA233" s="16"/>
      <c r="NAB233" s="16"/>
      <c r="NAC233" s="16"/>
      <c r="NAD233" s="16"/>
      <c r="NAE233" s="15"/>
      <c r="NAF233" s="15"/>
      <c r="NAG233" s="10"/>
      <c r="NAH233" s="10"/>
      <c r="NAI233" s="19"/>
      <c r="NAJ233" s="19"/>
      <c r="NAM233" s="16"/>
      <c r="NAN233" s="15"/>
      <c r="NAO233" s="15"/>
      <c r="NAP233" s="15"/>
      <c r="NAQ233" s="16"/>
      <c r="NAR233" s="16"/>
      <c r="NAS233" s="16"/>
      <c r="NAT233" s="16"/>
      <c r="NAU233" s="16"/>
      <c r="NAV233" s="15"/>
      <c r="NAW233" s="15"/>
      <c r="NAX233" s="10"/>
      <c r="NAY233" s="10"/>
      <c r="NAZ233" s="19"/>
      <c r="NBA233" s="19"/>
      <c r="NBD233" s="16"/>
      <c r="NBE233" s="15"/>
      <c r="NBF233" s="15"/>
      <c r="NBG233" s="15"/>
      <c r="NBH233" s="16"/>
      <c r="NBI233" s="16"/>
      <c r="NBJ233" s="16"/>
      <c r="NBK233" s="16"/>
      <c r="NBL233" s="16"/>
      <c r="NBM233" s="15"/>
      <c r="NBN233" s="15"/>
      <c r="NBO233" s="10"/>
      <c r="NBP233" s="10"/>
      <c r="NBQ233" s="19"/>
      <c r="NBR233" s="19"/>
      <c r="NBU233" s="16"/>
      <c r="NBV233" s="15"/>
      <c r="NBW233" s="15"/>
      <c r="NBX233" s="15"/>
      <c r="NBY233" s="16"/>
      <c r="NBZ233" s="16"/>
      <c r="NCA233" s="16"/>
      <c r="NCB233" s="16"/>
      <c r="NCC233" s="16"/>
      <c r="NCD233" s="15"/>
      <c r="NCE233" s="15"/>
      <c r="NCF233" s="10"/>
      <c r="NCG233" s="10"/>
      <c r="NCH233" s="19"/>
      <c r="NCI233" s="19"/>
      <c r="NCL233" s="16"/>
      <c r="NCM233" s="15"/>
      <c r="NCN233" s="15"/>
      <c r="NCO233" s="15"/>
      <c r="NCP233" s="16"/>
      <c r="NCQ233" s="16"/>
      <c r="NCR233" s="16"/>
      <c r="NCS233" s="16"/>
      <c r="NCT233" s="16"/>
      <c r="NCU233" s="15"/>
      <c r="NCV233" s="15"/>
      <c r="NCW233" s="10"/>
      <c r="NCX233" s="10"/>
      <c r="NCY233" s="19"/>
      <c r="NCZ233" s="19"/>
      <c r="NDC233" s="16"/>
      <c r="NDD233" s="15"/>
      <c r="NDE233" s="15"/>
      <c r="NDF233" s="15"/>
      <c r="NDG233" s="16"/>
      <c r="NDH233" s="16"/>
      <c r="NDI233" s="16"/>
      <c r="NDJ233" s="16"/>
      <c r="NDK233" s="16"/>
      <c r="NDL233" s="15"/>
      <c r="NDM233" s="15"/>
      <c r="NDN233" s="10"/>
      <c r="NDO233" s="10"/>
      <c r="NDP233" s="19"/>
      <c r="NDQ233" s="19"/>
      <c r="NDT233" s="16"/>
      <c r="NDU233" s="15"/>
      <c r="NDV233" s="15"/>
      <c r="NDW233" s="15"/>
      <c r="NDX233" s="16"/>
      <c r="NDY233" s="16"/>
      <c r="NDZ233" s="16"/>
      <c r="NEA233" s="16"/>
      <c r="NEB233" s="16"/>
      <c r="NEC233" s="15"/>
      <c r="NED233" s="15"/>
      <c r="NEE233" s="10"/>
      <c r="NEF233" s="10"/>
      <c r="NEG233" s="19"/>
      <c r="NEH233" s="19"/>
      <c r="NEK233" s="16"/>
      <c r="NEL233" s="15"/>
      <c r="NEM233" s="15"/>
      <c r="NEN233" s="15"/>
      <c r="NEO233" s="16"/>
      <c r="NEP233" s="16"/>
      <c r="NEQ233" s="16"/>
      <c r="NER233" s="16"/>
      <c r="NES233" s="16"/>
      <c r="NET233" s="15"/>
      <c r="NEU233" s="15"/>
      <c r="NEV233" s="10"/>
      <c r="NEW233" s="10"/>
      <c r="NEX233" s="19"/>
      <c r="NEY233" s="19"/>
      <c r="NFB233" s="16"/>
      <c r="NFC233" s="15"/>
      <c r="NFD233" s="15"/>
      <c r="NFE233" s="15"/>
      <c r="NFF233" s="16"/>
      <c r="NFG233" s="16"/>
      <c r="NFH233" s="16"/>
      <c r="NFI233" s="16"/>
      <c r="NFJ233" s="16"/>
      <c r="NFK233" s="15"/>
      <c r="NFL233" s="15"/>
      <c r="NFM233" s="10"/>
      <c r="NFN233" s="10"/>
      <c r="NFO233" s="19"/>
      <c r="NFP233" s="19"/>
      <c r="NFS233" s="16"/>
      <c r="NFT233" s="15"/>
      <c r="NFU233" s="15"/>
      <c r="NFV233" s="15"/>
      <c r="NFW233" s="16"/>
      <c r="NFX233" s="16"/>
      <c r="NFY233" s="16"/>
      <c r="NFZ233" s="16"/>
      <c r="NGA233" s="16"/>
      <c r="NGB233" s="15"/>
      <c r="NGC233" s="15"/>
      <c r="NGD233" s="10"/>
      <c r="NGE233" s="10"/>
      <c r="NGF233" s="19"/>
      <c r="NGG233" s="19"/>
      <c r="NGJ233" s="16"/>
      <c r="NGK233" s="15"/>
      <c r="NGL233" s="15"/>
      <c r="NGM233" s="15"/>
      <c r="NGN233" s="16"/>
      <c r="NGO233" s="16"/>
      <c r="NGP233" s="16"/>
      <c r="NGQ233" s="16"/>
      <c r="NGR233" s="16"/>
      <c r="NGS233" s="15"/>
      <c r="NGT233" s="15"/>
      <c r="NGU233" s="10"/>
      <c r="NGV233" s="10"/>
      <c r="NGW233" s="19"/>
      <c r="NGX233" s="19"/>
      <c r="NHA233" s="16"/>
      <c r="NHB233" s="15"/>
      <c r="NHC233" s="15"/>
      <c r="NHD233" s="15"/>
      <c r="NHE233" s="16"/>
      <c r="NHF233" s="16"/>
      <c r="NHG233" s="16"/>
      <c r="NHH233" s="16"/>
      <c r="NHI233" s="16"/>
      <c r="NHJ233" s="15"/>
      <c r="NHK233" s="15"/>
      <c r="NHL233" s="10"/>
      <c r="NHM233" s="10"/>
      <c r="NHN233" s="19"/>
      <c r="NHO233" s="19"/>
      <c r="NHR233" s="16"/>
      <c r="NHS233" s="15"/>
      <c r="NHT233" s="15"/>
      <c r="NHU233" s="15"/>
      <c r="NHV233" s="16"/>
      <c r="NHW233" s="16"/>
      <c r="NHX233" s="16"/>
      <c r="NHY233" s="16"/>
      <c r="NHZ233" s="16"/>
      <c r="NIA233" s="15"/>
      <c r="NIB233" s="15"/>
      <c r="NIC233" s="10"/>
      <c r="NID233" s="10"/>
      <c r="NIE233" s="19"/>
      <c r="NIF233" s="19"/>
      <c r="NII233" s="16"/>
      <c r="NIJ233" s="15"/>
      <c r="NIK233" s="15"/>
      <c r="NIL233" s="15"/>
      <c r="NIM233" s="16"/>
      <c r="NIN233" s="16"/>
      <c r="NIO233" s="16"/>
      <c r="NIP233" s="16"/>
      <c r="NIQ233" s="16"/>
      <c r="NIR233" s="15"/>
      <c r="NIS233" s="15"/>
      <c r="NIT233" s="10"/>
      <c r="NIU233" s="10"/>
      <c r="NIV233" s="19"/>
      <c r="NIW233" s="19"/>
      <c r="NIZ233" s="16"/>
      <c r="NJA233" s="15"/>
      <c r="NJB233" s="15"/>
      <c r="NJC233" s="15"/>
      <c r="NJD233" s="16"/>
      <c r="NJE233" s="16"/>
      <c r="NJF233" s="16"/>
      <c r="NJG233" s="16"/>
      <c r="NJH233" s="16"/>
      <c r="NJI233" s="15"/>
      <c r="NJJ233" s="15"/>
      <c r="NJK233" s="10"/>
      <c r="NJL233" s="10"/>
      <c r="NJM233" s="19"/>
      <c r="NJN233" s="19"/>
      <c r="NJQ233" s="16"/>
      <c r="NJR233" s="15"/>
      <c r="NJS233" s="15"/>
      <c r="NJT233" s="15"/>
      <c r="NJU233" s="16"/>
      <c r="NJV233" s="16"/>
      <c r="NJW233" s="16"/>
      <c r="NJX233" s="16"/>
      <c r="NJY233" s="16"/>
      <c r="NJZ233" s="15"/>
      <c r="NKA233" s="15"/>
      <c r="NKB233" s="10"/>
      <c r="NKC233" s="10"/>
      <c r="NKD233" s="19"/>
      <c r="NKE233" s="19"/>
      <c r="NKH233" s="16"/>
      <c r="NKI233" s="15"/>
      <c r="NKJ233" s="15"/>
      <c r="NKK233" s="15"/>
      <c r="NKL233" s="16"/>
      <c r="NKM233" s="16"/>
      <c r="NKN233" s="16"/>
      <c r="NKO233" s="16"/>
      <c r="NKP233" s="16"/>
      <c r="NKQ233" s="15"/>
      <c r="NKR233" s="15"/>
      <c r="NKS233" s="10"/>
      <c r="NKT233" s="10"/>
      <c r="NKU233" s="19"/>
      <c r="NKV233" s="19"/>
      <c r="NKY233" s="16"/>
      <c r="NKZ233" s="15"/>
      <c r="NLA233" s="15"/>
      <c r="NLB233" s="15"/>
      <c r="NLC233" s="16"/>
      <c r="NLD233" s="16"/>
      <c r="NLE233" s="16"/>
      <c r="NLF233" s="16"/>
      <c r="NLG233" s="16"/>
      <c r="NLH233" s="15"/>
      <c r="NLI233" s="15"/>
      <c r="NLJ233" s="10"/>
      <c r="NLK233" s="10"/>
      <c r="NLL233" s="19"/>
      <c r="NLM233" s="19"/>
      <c r="NLP233" s="16"/>
      <c r="NLQ233" s="15"/>
      <c r="NLR233" s="15"/>
      <c r="NLS233" s="15"/>
      <c r="NLT233" s="16"/>
      <c r="NLU233" s="16"/>
      <c r="NLV233" s="16"/>
      <c r="NLW233" s="16"/>
      <c r="NLX233" s="16"/>
      <c r="NLY233" s="15"/>
      <c r="NLZ233" s="15"/>
      <c r="NMA233" s="10"/>
      <c r="NMB233" s="10"/>
      <c r="NMC233" s="19"/>
      <c r="NMD233" s="19"/>
      <c r="NMG233" s="16"/>
      <c r="NMH233" s="15"/>
      <c r="NMI233" s="15"/>
      <c r="NMJ233" s="15"/>
      <c r="NMK233" s="16"/>
      <c r="NML233" s="16"/>
      <c r="NMM233" s="16"/>
      <c r="NMN233" s="16"/>
      <c r="NMO233" s="16"/>
      <c r="NMP233" s="15"/>
      <c r="NMQ233" s="15"/>
      <c r="NMR233" s="10"/>
      <c r="NMS233" s="10"/>
      <c r="NMT233" s="19"/>
      <c r="NMU233" s="19"/>
      <c r="NMX233" s="16"/>
      <c r="NMY233" s="15"/>
      <c r="NMZ233" s="15"/>
      <c r="NNA233" s="15"/>
      <c r="NNB233" s="16"/>
      <c r="NNC233" s="16"/>
      <c r="NND233" s="16"/>
      <c r="NNE233" s="16"/>
      <c r="NNF233" s="16"/>
      <c r="NNG233" s="15"/>
      <c r="NNH233" s="15"/>
      <c r="NNI233" s="10"/>
      <c r="NNJ233" s="10"/>
      <c r="NNK233" s="19"/>
      <c r="NNL233" s="19"/>
      <c r="NNO233" s="16"/>
      <c r="NNP233" s="15"/>
      <c r="NNQ233" s="15"/>
      <c r="NNR233" s="15"/>
      <c r="NNS233" s="16"/>
      <c r="NNT233" s="16"/>
      <c r="NNU233" s="16"/>
      <c r="NNV233" s="16"/>
      <c r="NNW233" s="16"/>
      <c r="NNX233" s="15"/>
      <c r="NNY233" s="15"/>
      <c r="NNZ233" s="10"/>
      <c r="NOA233" s="10"/>
      <c r="NOB233" s="19"/>
      <c r="NOC233" s="19"/>
      <c r="NOF233" s="16"/>
      <c r="NOG233" s="15"/>
      <c r="NOH233" s="15"/>
      <c r="NOI233" s="15"/>
      <c r="NOJ233" s="16"/>
      <c r="NOK233" s="16"/>
      <c r="NOL233" s="16"/>
      <c r="NOM233" s="16"/>
      <c r="NON233" s="16"/>
      <c r="NOO233" s="15"/>
      <c r="NOP233" s="15"/>
      <c r="NOQ233" s="10"/>
      <c r="NOR233" s="10"/>
      <c r="NOS233" s="19"/>
      <c r="NOT233" s="19"/>
      <c r="NOW233" s="16"/>
      <c r="NOX233" s="15"/>
      <c r="NOY233" s="15"/>
      <c r="NOZ233" s="15"/>
      <c r="NPA233" s="16"/>
      <c r="NPB233" s="16"/>
      <c r="NPC233" s="16"/>
      <c r="NPD233" s="16"/>
      <c r="NPE233" s="16"/>
      <c r="NPF233" s="15"/>
      <c r="NPG233" s="15"/>
      <c r="NPH233" s="10"/>
      <c r="NPI233" s="10"/>
      <c r="NPJ233" s="19"/>
      <c r="NPK233" s="19"/>
      <c r="NPN233" s="16"/>
      <c r="NPO233" s="15"/>
      <c r="NPP233" s="15"/>
      <c r="NPQ233" s="15"/>
      <c r="NPR233" s="16"/>
      <c r="NPS233" s="16"/>
      <c r="NPT233" s="16"/>
      <c r="NPU233" s="16"/>
      <c r="NPV233" s="16"/>
      <c r="NPW233" s="15"/>
      <c r="NPX233" s="15"/>
      <c r="NPY233" s="10"/>
      <c r="NPZ233" s="10"/>
      <c r="NQA233" s="19"/>
      <c r="NQB233" s="19"/>
      <c r="NQE233" s="16"/>
      <c r="NQF233" s="15"/>
      <c r="NQG233" s="15"/>
      <c r="NQH233" s="15"/>
      <c r="NQI233" s="16"/>
      <c r="NQJ233" s="16"/>
      <c r="NQK233" s="16"/>
      <c r="NQL233" s="16"/>
      <c r="NQM233" s="16"/>
      <c r="NQN233" s="15"/>
      <c r="NQO233" s="15"/>
      <c r="NQP233" s="10"/>
      <c r="NQQ233" s="10"/>
      <c r="NQR233" s="19"/>
      <c r="NQS233" s="19"/>
      <c r="NQV233" s="16"/>
      <c r="NQW233" s="15"/>
      <c r="NQX233" s="15"/>
      <c r="NQY233" s="15"/>
      <c r="NQZ233" s="16"/>
      <c r="NRA233" s="16"/>
      <c r="NRB233" s="16"/>
      <c r="NRC233" s="16"/>
      <c r="NRD233" s="16"/>
      <c r="NRE233" s="15"/>
      <c r="NRF233" s="15"/>
      <c r="NRG233" s="10"/>
      <c r="NRH233" s="10"/>
      <c r="NRI233" s="19"/>
      <c r="NRJ233" s="19"/>
      <c r="NRM233" s="16"/>
      <c r="NRN233" s="15"/>
      <c r="NRO233" s="15"/>
      <c r="NRP233" s="15"/>
      <c r="NRQ233" s="16"/>
      <c r="NRR233" s="16"/>
      <c r="NRS233" s="16"/>
      <c r="NRT233" s="16"/>
      <c r="NRU233" s="16"/>
      <c r="NRV233" s="15"/>
      <c r="NRW233" s="15"/>
      <c r="NRX233" s="10"/>
      <c r="NRY233" s="10"/>
      <c r="NRZ233" s="19"/>
      <c r="NSA233" s="19"/>
      <c r="NSD233" s="16"/>
      <c r="NSE233" s="15"/>
      <c r="NSF233" s="15"/>
      <c r="NSG233" s="15"/>
      <c r="NSH233" s="16"/>
      <c r="NSI233" s="16"/>
      <c r="NSJ233" s="16"/>
      <c r="NSK233" s="16"/>
      <c r="NSL233" s="16"/>
      <c r="NSM233" s="15"/>
      <c r="NSN233" s="15"/>
      <c r="NSO233" s="10"/>
      <c r="NSP233" s="10"/>
      <c r="NSQ233" s="19"/>
      <c r="NSR233" s="19"/>
      <c r="NSU233" s="16"/>
      <c r="NSV233" s="15"/>
      <c r="NSW233" s="15"/>
      <c r="NSX233" s="15"/>
      <c r="NSY233" s="16"/>
      <c r="NSZ233" s="16"/>
      <c r="NTA233" s="16"/>
      <c r="NTB233" s="16"/>
      <c r="NTC233" s="16"/>
      <c r="NTD233" s="15"/>
      <c r="NTE233" s="15"/>
      <c r="NTF233" s="10"/>
      <c r="NTG233" s="10"/>
      <c r="NTH233" s="19"/>
      <c r="NTI233" s="19"/>
      <c r="NTL233" s="16"/>
      <c r="NTM233" s="15"/>
      <c r="NTN233" s="15"/>
      <c r="NTO233" s="15"/>
      <c r="NTP233" s="16"/>
      <c r="NTQ233" s="16"/>
      <c r="NTR233" s="16"/>
      <c r="NTS233" s="16"/>
      <c r="NTT233" s="16"/>
      <c r="NTU233" s="15"/>
      <c r="NTV233" s="15"/>
      <c r="NTW233" s="10"/>
      <c r="NTX233" s="10"/>
      <c r="NTY233" s="19"/>
      <c r="NTZ233" s="19"/>
      <c r="NUC233" s="16"/>
      <c r="NUD233" s="15"/>
      <c r="NUE233" s="15"/>
      <c r="NUF233" s="15"/>
      <c r="NUG233" s="16"/>
      <c r="NUH233" s="16"/>
      <c r="NUI233" s="16"/>
      <c r="NUJ233" s="16"/>
      <c r="NUK233" s="16"/>
      <c r="NUL233" s="15"/>
      <c r="NUM233" s="15"/>
      <c r="NUN233" s="10"/>
      <c r="NUO233" s="10"/>
      <c r="NUP233" s="19"/>
      <c r="NUQ233" s="19"/>
      <c r="NUT233" s="16"/>
      <c r="NUU233" s="15"/>
      <c r="NUV233" s="15"/>
      <c r="NUW233" s="15"/>
      <c r="NUX233" s="16"/>
      <c r="NUY233" s="16"/>
      <c r="NUZ233" s="16"/>
      <c r="NVA233" s="16"/>
      <c r="NVB233" s="16"/>
      <c r="NVC233" s="15"/>
      <c r="NVD233" s="15"/>
      <c r="NVE233" s="10"/>
      <c r="NVF233" s="10"/>
      <c r="NVG233" s="19"/>
      <c r="NVH233" s="19"/>
      <c r="NVK233" s="16"/>
      <c r="NVL233" s="15"/>
      <c r="NVM233" s="15"/>
      <c r="NVN233" s="15"/>
      <c r="NVO233" s="16"/>
      <c r="NVP233" s="16"/>
      <c r="NVQ233" s="16"/>
      <c r="NVR233" s="16"/>
      <c r="NVS233" s="16"/>
      <c r="NVT233" s="15"/>
      <c r="NVU233" s="15"/>
      <c r="NVV233" s="10"/>
      <c r="NVW233" s="10"/>
      <c r="NVX233" s="19"/>
      <c r="NVY233" s="19"/>
      <c r="NWB233" s="16"/>
      <c r="NWC233" s="15"/>
      <c r="NWD233" s="15"/>
      <c r="NWE233" s="15"/>
      <c r="NWF233" s="16"/>
      <c r="NWG233" s="16"/>
      <c r="NWH233" s="16"/>
      <c r="NWI233" s="16"/>
      <c r="NWJ233" s="16"/>
      <c r="NWK233" s="15"/>
      <c r="NWL233" s="15"/>
      <c r="NWM233" s="10"/>
      <c r="NWN233" s="10"/>
      <c r="NWO233" s="19"/>
      <c r="NWP233" s="19"/>
      <c r="NWS233" s="16"/>
      <c r="NWT233" s="15"/>
      <c r="NWU233" s="15"/>
      <c r="NWV233" s="15"/>
      <c r="NWW233" s="16"/>
      <c r="NWX233" s="16"/>
      <c r="NWY233" s="16"/>
      <c r="NWZ233" s="16"/>
      <c r="NXA233" s="16"/>
      <c r="NXB233" s="15"/>
      <c r="NXC233" s="15"/>
      <c r="NXD233" s="10"/>
      <c r="NXE233" s="10"/>
      <c r="NXF233" s="19"/>
      <c r="NXG233" s="19"/>
      <c r="NXJ233" s="16"/>
      <c r="NXK233" s="15"/>
      <c r="NXL233" s="15"/>
      <c r="NXM233" s="15"/>
      <c r="NXN233" s="16"/>
      <c r="NXO233" s="16"/>
      <c r="NXP233" s="16"/>
      <c r="NXQ233" s="16"/>
      <c r="NXR233" s="16"/>
      <c r="NXS233" s="15"/>
      <c r="NXT233" s="15"/>
      <c r="NXU233" s="10"/>
      <c r="NXV233" s="10"/>
      <c r="NXW233" s="19"/>
      <c r="NXX233" s="19"/>
      <c r="NYA233" s="16"/>
      <c r="NYB233" s="15"/>
      <c r="NYC233" s="15"/>
      <c r="NYD233" s="15"/>
      <c r="NYE233" s="16"/>
      <c r="NYF233" s="16"/>
      <c r="NYG233" s="16"/>
      <c r="NYH233" s="16"/>
      <c r="NYI233" s="16"/>
      <c r="NYJ233" s="15"/>
      <c r="NYK233" s="15"/>
      <c r="NYL233" s="10"/>
      <c r="NYM233" s="10"/>
      <c r="NYN233" s="19"/>
      <c r="NYO233" s="19"/>
      <c r="NYR233" s="16"/>
      <c r="NYS233" s="15"/>
      <c r="NYT233" s="15"/>
      <c r="NYU233" s="15"/>
      <c r="NYV233" s="16"/>
      <c r="NYW233" s="16"/>
      <c r="NYX233" s="16"/>
      <c r="NYY233" s="16"/>
      <c r="NYZ233" s="16"/>
      <c r="NZA233" s="15"/>
      <c r="NZB233" s="15"/>
      <c r="NZC233" s="10"/>
      <c r="NZD233" s="10"/>
      <c r="NZE233" s="19"/>
      <c r="NZF233" s="19"/>
      <c r="NZI233" s="16"/>
      <c r="NZJ233" s="15"/>
      <c r="NZK233" s="15"/>
      <c r="NZL233" s="15"/>
      <c r="NZM233" s="16"/>
      <c r="NZN233" s="16"/>
      <c r="NZO233" s="16"/>
      <c r="NZP233" s="16"/>
      <c r="NZQ233" s="16"/>
      <c r="NZR233" s="15"/>
      <c r="NZS233" s="15"/>
      <c r="NZT233" s="10"/>
      <c r="NZU233" s="10"/>
      <c r="NZV233" s="19"/>
      <c r="NZW233" s="19"/>
      <c r="NZZ233" s="16"/>
      <c r="OAA233" s="15"/>
      <c r="OAB233" s="15"/>
      <c r="OAC233" s="15"/>
      <c r="OAD233" s="16"/>
      <c r="OAE233" s="16"/>
      <c r="OAF233" s="16"/>
      <c r="OAG233" s="16"/>
      <c r="OAH233" s="16"/>
      <c r="OAI233" s="15"/>
      <c r="OAJ233" s="15"/>
      <c r="OAK233" s="10"/>
      <c r="OAL233" s="10"/>
      <c r="OAM233" s="19"/>
      <c r="OAN233" s="19"/>
      <c r="OAQ233" s="16"/>
      <c r="OAR233" s="15"/>
      <c r="OAS233" s="15"/>
      <c r="OAT233" s="15"/>
      <c r="OAU233" s="16"/>
      <c r="OAV233" s="16"/>
      <c r="OAW233" s="16"/>
      <c r="OAX233" s="16"/>
      <c r="OAY233" s="16"/>
      <c r="OAZ233" s="15"/>
      <c r="OBA233" s="15"/>
      <c r="OBB233" s="10"/>
      <c r="OBC233" s="10"/>
      <c r="OBD233" s="19"/>
      <c r="OBE233" s="19"/>
      <c r="OBH233" s="16"/>
      <c r="OBI233" s="15"/>
      <c r="OBJ233" s="15"/>
      <c r="OBK233" s="15"/>
      <c r="OBL233" s="16"/>
      <c r="OBM233" s="16"/>
      <c r="OBN233" s="16"/>
      <c r="OBO233" s="16"/>
      <c r="OBP233" s="16"/>
      <c r="OBQ233" s="15"/>
      <c r="OBR233" s="15"/>
      <c r="OBS233" s="10"/>
      <c r="OBT233" s="10"/>
      <c r="OBU233" s="19"/>
      <c r="OBV233" s="19"/>
      <c r="OBY233" s="16"/>
      <c r="OBZ233" s="15"/>
      <c r="OCA233" s="15"/>
      <c r="OCB233" s="15"/>
      <c r="OCC233" s="16"/>
      <c r="OCD233" s="16"/>
      <c r="OCE233" s="16"/>
      <c r="OCF233" s="16"/>
      <c r="OCG233" s="16"/>
      <c r="OCH233" s="15"/>
      <c r="OCI233" s="15"/>
      <c r="OCJ233" s="10"/>
      <c r="OCK233" s="10"/>
      <c r="OCL233" s="19"/>
      <c r="OCM233" s="19"/>
      <c r="OCP233" s="16"/>
      <c r="OCQ233" s="15"/>
      <c r="OCR233" s="15"/>
      <c r="OCS233" s="15"/>
      <c r="OCT233" s="16"/>
      <c r="OCU233" s="16"/>
      <c r="OCV233" s="16"/>
      <c r="OCW233" s="16"/>
      <c r="OCX233" s="16"/>
      <c r="OCY233" s="15"/>
      <c r="OCZ233" s="15"/>
      <c r="ODA233" s="10"/>
      <c r="ODB233" s="10"/>
      <c r="ODC233" s="19"/>
      <c r="ODD233" s="19"/>
      <c r="ODG233" s="16"/>
      <c r="ODH233" s="15"/>
      <c r="ODI233" s="15"/>
      <c r="ODJ233" s="15"/>
      <c r="ODK233" s="16"/>
      <c r="ODL233" s="16"/>
      <c r="ODM233" s="16"/>
      <c r="ODN233" s="16"/>
      <c r="ODO233" s="16"/>
      <c r="ODP233" s="15"/>
      <c r="ODQ233" s="15"/>
      <c r="ODR233" s="10"/>
      <c r="ODS233" s="10"/>
      <c r="ODT233" s="19"/>
      <c r="ODU233" s="19"/>
      <c r="ODX233" s="16"/>
      <c r="ODY233" s="15"/>
      <c r="ODZ233" s="15"/>
      <c r="OEA233" s="15"/>
      <c r="OEB233" s="16"/>
      <c r="OEC233" s="16"/>
      <c r="OED233" s="16"/>
      <c r="OEE233" s="16"/>
      <c r="OEF233" s="16"/>
      <c r="OEG233" s="15"/>
      <c r="OEH233" s="15"/>
      <c r="OEI233" s="10"/>
      <c r="OEJ233" s="10"/>
      <c r="OEK233" s="19"/>
      <c r="OEL233" s="19"/>
      <c r="OEO233" s="16"/>
      <c r="OEP233" s="15"/>
      <c r="OEQ233" s="15"/>
      <c r="OER233" s="15"/>
      <c r="OES233" s="16"/>
      <c r="OET233" s="16"/>
      <c r="OEU233" s="16"/>
      <c r="OEV233" s="16"/>
      <c r="OEW233" s="16"/>
      <c r="OEX233" s="15"/>
      <c r="OEY233" s="15"/>
      <c r="OEZ233" s="10"/>
      <c r="OFA233" s="10"/>
      <c r="OFB233" s="19"/>
      <c r="OFC233" s="19"/>
      <c r="OFF233" s="16"/>
      <c r="OFG233" s="15"/>
      <c r="OFH233" s="15"/>
      <c r="OFI233" s="15"/>
      <c r="OFJ233" s="16"/>
      <c r="OFK233" s="16"/>
      <c r="OFL233" s="16"/>
      <c r="OFM233" s="16"/>
      <c r="OFN233" s="16"/>
      <c r="OFO233" s="15"/>
      <c r="OFP233" s="15"/>
      <c r="OFQ233" s="10"/>
      <c r="OFR233" s="10"/>
      <c r="OFS233" s="19"/>
      <c r="OFT233" s="19"/>
      <c r="OFW233" s="16"/>
      <c r="OFX233" s="15"/>
      <c r="OFY233" s="15"/>
      <c r="OFZ233" s="15"/>
      <c r="OGA233" s="16"/>
      <c r="OGB233" s="16"/>
      <c r="OGC233" s="16"/>
      <c r="OGD233" s="16"/>
      <c r="OGE233" s="16"/>
      <c r="OGF233" s="15"/>
      <c r="OGG233" s="15"/>
      <c r="OGH233" s="10"/>
      <c r="OGI233" s="10"/>
      <c r="OGJ233" s="19"/>
      <c r="OGK233" s="19"/>
      <c r="OGN233" s="16"/>
      <c r="OGO233" s="15"/>
      <c r="OGP233" s="15"/>
      <c r="OGQ233" s="15"/>
      <c r="OGR233" s="16"/>
      <c r="OGS233" s="16"/>
      <c r="OGT233" s="16"/>
      <c r="OGU233" s="16"/>
      <c r="OGV233" s="16"/>
      <c r="OGW233" s="15"/>
      <c r="OGX233" s="15"/>
      <c r="OGY233" s="10"/>
      <c r="OGZ233" s="10"/>
      <c r="OHA233" s="19"/>
      <c r="OHB233" s="19"/>
      <c r="OHE233" s="16"/>
      <c r="OHF233" s="15"/>
      <c r="OHG233" s="15"/>
      <c r="OHH233" s="15"/>
      <c r="OHI233" s="16"/>
      <c r="OHJ233" s="16"/>
      <c r="OHK233" s="16"/>
      <c r="OHL233" s="16"/>
      <c r="OHM233" s="16"/>
      <c r="OHN233" s="15"/>
      <c r="OHO233" s="15"/>
      <c r="OHP233" s="10"/>
      <c r="OHQ233" s="10"/>
      <c r="OHR233" s="19"/>
      <c r="OHS233" s="19"/>
      <c r="OHV233" s="16"/>
      <c r="OHW233" s="15"/>
      <c r="OHX233" s="15"/>
      <c r="OHY233" s="15"/>
      <c r="OHZ233" s="16"/>
      <c r="OIA233" s="16"/>
      <c r="OIB233" s="16"/>
      <c r="OIC233" s="16"/>
      <c r="OID233" s="16"/>
      <c r="OIE233" s="15"/>
      <c r="OIF233" s="15"/>
      <c r="OIG233" s="10"/>
      <c r="OIH233" s="10"/>
      <c r="OII233" s="19"/>
      <c r="OIJ233" s="19"/>
      <c r="OIM233" s="16"/>
      <c r="OIN233" s="15"/>
      <c r="OIO233" s="15"/>
      <c r="OIP233" s="15"/>
      <c r="OIQ233" s="16"/>
      <c r="OIR233" s="16"/>
      <c r="OIS233" s="16"/>
      <c r="OIT233" s="16"/>
      <c r="OIU233" s="16"/>
      <c r="OIV233" s="15"/>
      <c r="OIW233" s="15"/>
      <c r="OIX233" s="10"/>
      <c r="OIY233" s="10"/>
      <c r="OIZ233" s="19"/>
      <c r="OJA233" s="19"/>
      <c r="OJD233" s="16"/>
      <c r="OJE233" s="15"/>
      <c r="OJF233" s="15"/>
      <c r="OJG233" s="15"/>
      <c r="OJH233" s="16"/>
      <c r="OJI233" s="16"/>
      <c r="OJJ233" s="16"/>
      <c r="OJK233" s="16"/>
      <c r="OJL233" s="16"/>
      <c r="OJM233" s="15"/>
      <c r="OJN233" s="15"/>
      <c r="OJO233" s="10"/>
      <c r="OJP233" s="10"/>
      <c r="OJQ233" s="19"/>
      <c r="OJR233" s="19"/>
      <c r="OJU233" s="16"/>
      <c r="OJV233" s="15"/>
      <c r="OJW233" s="15"/>
      <c r="OJX233" s="15"/>
      <c r="OJY233" s="16"/>
      <c r="OJZ233" s="16"/>
      <c r="OKA233" s="16"/>
      <c r="OKB233" s="16"/>
      <c r="OKC233" s="16"/>
      <c r="OKD233" s="15"/>
      <c r="OKE233" s="15"/>
      <c r="OKF233" s="10"/>
      <c r="OKG233" s="10"/>
      <c r="OKH233" s="19"/>
      <c r="OKI233" s="19"/>
      <c r="OKL233" s="16"/>
      <c r="OKM233" s="15"/>
      <c r="OKN233" s="15"/>
      <c r="OKO233" s="15"/>
      <c r="OKP233" s="16"/>
      <c r="OKQ233" s="16"/>
      <c r="OKR233" s="16"/>
      <c r="OKS233" s="16"/>
      <c r="OKT233" s="16"/>
      <c r="OKU233" s="15"/>
      <c r="OKV233" s="15"/>
      <c r="OKW233" s="10"/>
      <c r="OKX233" s="10"/>
      <c r="OKY233" s="19"/>
      <c r="OKZ233" s="19"/>
      <c r="OLC233" s="16"/>
      <c r="OLD233" s="15"/>
      <c r="OLE233" s="15"/>
      <c r="OLF233" s="15"/>
      <c r="OLG233" s="16"/>
      <c r="OLH233" s="16"/>
      <c r="OLI233" s="16"/>
      <c r="OLJ233" s="16"/>
      <c r="OLK233" s="16"/>
      <c r="OLL233" s="15"/>
      <c r="OLM233" s="15"/>
      <c r="OLN233" s="10"/>
      <c r="OLO233" s="10"/>
      <c r="OLP233" s="19"/>
      <c r="OLQ233" s="19"/>
      <c r="OLT233" s="16"/>
      <c r="OLU233" s="15"/>
      <c r="OLV233" s="15"/>
      <c r="OLW233" s="15"/>
      <c r="OLX233" s="16"/>
      <c r="OLY233" s="16"/>
      <c r="OLZ233" s="16"/>
      <c r="OMA233" s="16"/>
      <c r="OMB233" s="16"/>
      <c r="OMC233" s="15"/>
      <c r="OMD233" s="15"/>
      <c r="OME233" s="10"/>
      <c r="OMF233" s="10"/>
      <c r="OMG233" s="19"/>
      <c r="OMH233" s="19"/>
      <c r="OMK233" s="16"/>
      <c r="OML233" s="15"/>
      <c r="OMM233" s="15"/>
      <c r="OMN233" s="15"/>
      <c r="OMO233" s="16"/>
      <c r="OMP233" s="16"/>
      <c r="OMQ233" s="16"/>
      <c r="OMR233" s="16"/>
      <c r="OMS233" s="16"/>
      <c r="OMT233" s="15"/>
      <c r="OMU233" s="15"/>
      <c r="OMV233" s="10"/>
      <c r="OMW233" s="10"/>
      <c r="OMX233" s="19"/>
      <c r="OMY233" s="19"/>
      <c r="ONB233" s="16"/>
      <c r="ONC233" s="15"/>
      <c r="OND233" s="15"/>
      <c r="ONE233" s="15"/>
      <c r="ONF233" s="16"/>
      <c r="ONG233" s="16"/>
      <c r="ONH233" s="16"/>
      <c r="ONI233" s="16"/>
      <c r="ONJ233" s="16"/>
      <c r="ONK233" s="15"/>
      <c r="ONL233" s="15"/>
      <c r="ONM233" s="10"/>
      <c r="ONN233" s="10"/>
      <c r="ONO233" s="19"/>
      <c r="ONP233" s="19"/>
      <c r="ONS233" s="16"/>
      <c r="ONT233" s="15"/>
      <c r="ONU233" s="15"/>
      <c r="ONV233" s="15"/>
      <c r="ONW233" s="16"/>
      <c r="ONX233" s="16"/>
      <c r="ONY233" s="16"/>
      <c r="ONZ233" s="16"/>
      <c r="OOA233" s="16"/>
      <c r="OOB233" s="15"/>
      <c r="OOC233" s="15"/>
      <c r="OOD233" s="10"/>
      <c r="OOE233" s="10"/>
      <c r="OOF233" s="19"/>
      <c r="OOG233" s="19"/>
      <c r="OOJ233" s="16"/>
      <c r="OOK233" s="15"/>
      <c r="OOL233" s="15"/>
      <c r="OOM233" s="15"/>
      <c r="OON233" s="16"/>
      <c r="OOO233" s="16"/>
      <c r="OOP233" s="16"/>
      <c r="OOQ233" s="16"/>
      <c r="OOR233" s="16"/>
      <c r="OOS233" s="15"/>
      <c r="OOT233" s="15"/>
      <c r="OOU233" s="10"/>
      <c r="OOV233" s="10"/>
      <c r="OOW233" s="19"/>
      <c r="OOX233" s="19"/>
      <c r="OPA233" s="16"/>
      <c r="OPB233" s="15"/>
      <c r="OPC233" s="15"/>
      <c r="OPD233" s="15"/>
      <c r="OPE233" s="16"/>
      <c r="OPF233" s="16"/>
      <c r="OPG233" s="16"/>
      <c r="OPH233" s="16"/>
      <c r="OPI233" s="16"/>
      <c r="OPJ233" s="15"/>
      <c r="OPK233" s="15"/>
      <c r="OPL233" s="10"/>
      <c r="OPM233" s="10"/>
      <c r="OPN233" s="19"/>
      <c r="OPO233" s="19"/>
      <c r="OPR233" s="16"/>
      <c r="OPS233" s="15"/>
      <c r="OPT233" s="15"/>
      <c r="OPU233" s="15"/>
      <c r="OPV233" s="16"/>
      <c r="OPW233" s="16"/>
      <c r="OPX233" s="16"/>
      <c r="OPY233" s="16"/>
      <c r="OPZ233" s="16"/>
      <c r="OQA233" s="15"/>
      <c r="OQB233" s="15"/>
      <c r="OQC233" s="10"/>
      <c r="OQD233" s="10"/>
      <c r="OQE233" s="19"/>
      <c r="OQF233" s="19"/>
      <c r="OQI233" s="16"/>
      <c r="OQJ233" s="15"/>
      <c r="OQK233" s="15"/>
      <c r="OQL233" s="15"/>
      <c r="OQM233" s="16"/>
      <c r="OQN233" s="16"/>
      <c r="OQO233" s="16"/>
      <c r="OQP233" s="16"/>
      <c r="OQQ233" s="16"/>
      <c r="OQR233" s="15"/>
      <c r="OQS233" s="15"/>
      <c r="OQT233" s="10"/>
      <c r="OQU233" s="10"/>
      <c r="OQV233" s="19"/>
      <c r="OQW233" s="19"/>
      <c r="OQZ233" s="16"/>
      <c r="ORA233" s="15"/>
      <c r="ORB233" s="15"/>
      <c r="ORC233" s="15"/>
      <c r="ORD233" s="16"/>
      <c r="ORE233" s="16"/>
      <c r="ORF233" s="16"/>
      <c r="ORG233" s="16"/>
      <c r="ORH233" s="16"/>
      <c r="ORI233" s="15"/>
      <c r="ORJ233" s="15"/>
      <c r="ORK233" s="10"/>
      <c r="ORL233" s="10"/>
      <c r="ORM233" s="19"/>
      <c r="ORN233" s="19"/>
      <c r="ORQ233" s="16"/>
      <c r="ORR233" s="15"/>
      <c r="ORS233" s="15"/>
      <c r="ORT233" s="15"/>
      <c r="ORU233" s="16"/>
      <c r="ORV233" s="16"/>
      <c r="ORW233" s="16"/>
      <c r="ORX233" s="16"/>
      <c r="ORY233" s="16"/>
      <c r="ORZ233" s="15"/>
      <c r="OSA233" s="15"/>
      <c r="OSB233" s="10"/>
      <c r="OSC233" s="10"/>
      <c r="OSD233" s="19"/>
      <c r="OSE233" s="19"/>
      <c r="OSH233" s="16"/>
      <c r="OSI233" s="15"/>
      <c r="OSJ233" s="15"/>
      <c r="OSK233" s="15"/>
      <c r="OSL233" s="16"/>
      <c r="OSM233" s="16"/>
      <c r="OSN233" s="16"/>
      <c r="OSO233" s="16"/>
      <c r="OSP233" s="16"/>
      <c r="OSQ233" s="15"/>
      <c r="OSR233" s="15"/>
      <c r="OSS233" s="10"/>
      <c r="OST233" s="10"/>
      <c r="OSU233" s="19"/>
      <c r="OSV233" s="19"/>
      <c r="OSY233" s="16"/>
      <c r="OSZ233" s="15"/>
      <c r="OTA233" s="15"/>
      <c r="OTB233" s="15"/>
      <c r="OTC233" s="16"/>
      <c r="OTD233" s="16"/>
      <c r="OTE233" s="16"/>
      <c r="OTF233" s="16"/>
      <c r="OTG233" s="16"/>
      <c r="OTH233" s="15"/>
      <c r="OTI233" s="15"/>
      <c r="OTJ233" s="10"/>
      <c r="OTK233" s="10"/>
      <c r="OTL233" s="19"/>
      <c r="OTM233" s="19"/>
      <c r="OTP233" s="16"/>
      <c r="OTQ233" s="15"/>
      <c r="OTR233" s="15"/>
      <c r="OTS233" s="15"/>
      <c r="OTT233" s="16"/>
      <c r="OTU233" s="16"/>
      <c r="OTV233" s="16"/>
      <c r="OTW233" s="16"/>
      <c r="OTX233" s="16"/>
      <c r="OTY233" s="15"/>
      <c r="OTZ233" s="15"/>
      <c r="OUA233" s="10"/>
      <c r="OUB233" s="10"/>
      <c r="OUC233" s="19"/>
      <c r="OUD233" s="19"/>
      <c r="OUG233" s="16"/>
      <c r="OUH233" s="15"/>
      <c r="OUI233" s="15"/>
      <c r="OUJ233" s="15"/>
      <c r="OUK233" s="16"/>
      <c r="OUL233" s="16"/>
      <c r="OUM233" s="16"/>
      <c r="OUN233" s="16"/>
      <c r="OUO233" s="16"/>
      <c r="OUP233" s="15"/>
      <c r="OUQ233" s="15"/>
      <c r="OUR233" s="10"/>
      <c r="OUS233" s="10"/>
      <c r="OUT233" s="19"/>
      <c r="OUU233" s="19"/>
      <c r="OUX233" s="16"/>
      <c r="OUY233" s="15"/>
      <c r="OUZ233" s="15"/>
      <c r="OVA233" s="15"/>
      <c r="OVB233" s="16"/>
      <c r="OVC233" s="16"/>
      <c r="OVD233" s="16"/>
      <c r="OVE233" s="16"/>
      <c r="OVF233" s="16"/>
      <c r="OVG233" s="15"/>
      <c r="OVH233" s="15"/>
      <c r="OVI233" s="10"/>
      <c r="OVJ233" s="10"/>
      <c r="OVK233" s="19"/>
      <c r="OVL233" s="19"/>
      <c r="OVO233" s="16"/>
      <c r="OVP233" s="15"/>
      <c r="OVQ233" s="15"/>
      <c r="OVR233" s="15"/>
      <c r="OVS233" s="16"/>
      <c r="OVT233" s="16"/>
      <c r="OVU233" s="16"/>
      <c r="OVV233" s="16"/>
      <c r="OVW233" s="16"/>
      <c r="OVX233" s="15"/>
      <c r="OVY233" s="15"/>
      <c r="OVZ233" s="10"/>
      <c r="OWA233" s="10"/>
      <c r="OWB233" s="19"/>
      <c r="OWC233" s="19"/>
      <c r="OWF233" s="16"/>
      <c r="OWG233" s="15"/>
      <c r="OWH233" s="15"/>
      <c r="OWI233" s="15"/>
      <c r="OWJ233" s="16"/>
      <c r="OWK233" s="16"/>
      <c r="OWL233" s="16"/>
      <c r="OWM233" s="16"/>
      <c r="OWN233" s="16"/>
      <c r="OWO233" s="15"/>
      <c r="OWP233" s="15"/>
      <c r="OWQ233" s="10"/>
      <c r="OWR233" s="10"/>
      <c r="OWS233" s="19"/>
      <c r="OWT233" s="19"/>
      <c r="OWW233" s="16"/>
      <c r="OWX233" s="15"/>
      <c r="OWY233" s="15"/>
      <c r="OWZ233" s="15"/>
      <c r="OXA233" s="16"/>
      <c r="OXB233" s="16"/>
      <c r="OXC233" s="16"/>
      <c r="OXD233" s="16"/>
      <c r="OXE233" s="16"/>
      <c r="OXF233" s="15"/>
      <c r="OXG233" s="15"/>
      <c r="OXH233" s="10"/>
      <c r="OXI233" s="10"/>
      <c r="OXJ233" s="19"/>
      <c r="OXK233" s="19"/>
      <c r="OXN233" s="16"/>
      <c r="OXO233" s="15"/>
      <c r="OXP233" s="15"/>
      <c r="OXQ233" s="15"/>
      <c r="OXR233" s="16"/>
      <c r="OXS233" s="16"/>
      <c r="OXT233" s="16"/>
      <c r="OXU233" s="16"/>
      <c r="OXV233" s="16"/>
      <c r="OXW233" s="15"/>
      <c r="OXX233" s="15"/>
      <c r="OXY233" s="10"/>
      <c r="OXZ233" s="10"/>
      <c r="OYA233" s="19"/>
      <c r="OYB233" s="19"/>
      <c r="OYE233" s="16"/>
      <c r="OYF233" s="15"/>
      <c r="OYG233" s="15"/>
      <c r="OYH233" s="15"/>
      <c r="OYI233" s="16"/>
      <c r="OYJ233" s="16"/>
      <c r="OYK233" s="16"/>
      <c r="OYL233" s="16"/>
      <c r="OYM233" s="16"/>
      <c r="OYN233" s="15"/>
      <c r="OYO233" s="15"/>
      <c r="OYP233" s="10"/>
      <c r="OYQ233" s="10"/>
      <c r="OYR233" s="19"/>
      <c r="OYS233" s="19"/>
      <c r="OYV233" s="16"/>
      <c r="OYW233" s="15"/>
      <c r="OYX233" s="15"/>
      <c r="OYY233" s="15"/>
      <c r="OYZ233" s="16"/>
      <c r="OZA233" s="16"/>
      <c r="OZB233" s="16"/>
      <c r="OZC233" s="16"/>
      <c r="OZD233" s="16"/>
      <c r="OZE233" s="15"/>
      <c r="OZF233" s="15"/>
      <c r="OZG233" s="10"/>
      <c r="OZH233" s="10"/>
      <c r="OZI233" s="19"/>
      <c r="OZJ233" s="19"/>
      <c r="OZM233" s="16"/>
      <c r="OZN233" s="15"/>
      <c r="OZO233" s="15"/>
      <c r="OZP233" s="15"/>
      <c r="OZQ233" s="16"/>
      <c r="OZR233" s="16"/>
      <c r="OZS233" s="16"/>
      <c r="OZT233" s="16"/>
      <c r="OZU233" s="16"/>
      <c r="OZV233" s="15"/>
      <c r="OZW233" s="15"/>
      <c r="OZX233" s="10"/>
      <c r="OZY233" s="10"/>
      <c r="OZZ233" s="19"/>
      <c r="PAA233" s="19"/>
      <c r="PAD233" s="16"/>
      <c r="PAE233" s="15"/>
      <c r="PAF233" s="15"/>
      <c r="PAG233" s="15"/>
      <c r="PAH233" s="16"/>
      <c r="PAI233" s="16"/>
      <c r="PAJ233" s="16"/>
      <c r="PAK233" s="16"/>
      <c r="PAL233" s="16"/>
      <c r="PAM233" s="15"/>
      <c r="PAN233" s="15"/>
      <c r="PAO233" s="10"/>
      <c r="PAP233" s="10"/>
      <c r="PAQ233" s="19"/>
      <c r="PAR233" s="19"/>
      <c r="PAU233" s="16"/>
      <c r="PAV233" s="15"/>
      <c r="PAW233" s="15"/>
      <c r="PAX233" s="15"/>
      <c r="PAY233" s="16"/>
      <c r="PAZ233" s="16"/>
      <c r="PBA233" s="16"/>
      <c r="PBB233" s="16"/>
      <c r="PBC233" s="16"/>
      <c r="PBD233" s="15"/>
      <c r="PBE233" s="15"/>
      <c r="PBF233" s="10"/>
      <c r="PBG233" s="10"/>
      <c r="PBH233" s="19"/>
      <c r="PBI233" s="19"/>
      <c r="PBL233" s="16"/>
      <c r="PBM233" s="15"/>
      <c r="PBN233" s="15"/>
      <c r="PBO233" s="15"/>
      <c r="PBP233" s="16"/>
      <c r="PBQ233" s="16"/>
      <c r="PBR233" s="16"/>
      <c r="PBS233" s="16"/>
      <c r="PBT233" s="16"/>
      <c r="PBU233" s="15"/>
      <c r="PBV233" s="15"/>
      <c r="PBW233" s="10"/>
      <c r="PBX233" s="10"/>
      <c r="PBY233" s="19"/>
      <c r="PBZ233" s="19"/>
      <c r="PCC233" s="16"/>
      <c r="PCD233" s="15"/>
      <c r="PCE233" s="15"/>
      <c r="PCF233" s="15"/>
      <c r="PCG233" s="16"/>
      <c r="PCH233" s="16"/>
      <c r="PCI233" s="16"/>
      <c r="PCJ233" s="16"/>
      <c r="PCK233" s="16"/>
      <c r="PCL233" s="15"/>
      <c r="PCM233" s="15"/>
      <c r="PCN233" s="10"/>
      <c r="PCO233" s="10"/>
      <c r="PCP233" s="19"/>
      <c r="PCQ233" s="19"/>
      <c r="PCT233" s="16"/>
      <c r="PCU233" s="15"/>
      <c r="PCV233" s="15"/>
      <c r="PCW233" s="15"/>
      <c r="PCX233" s="16"/>
      <c r="PCY233" s="16"/>
      <c r="PCZ233" s="16"/>
      <c r="PDA233" s="16"/>
      <c r="PDB233" s="16"/>
      <c r="PDC233" s="15"/>
      <c r="PDD233" s="15"/>
      <c r="PDE233" s="10"/>
      <c r="PDF233" s="10"/>
      <c r="PDG233" s="19"/>
      <c r="PDH233" s="19"/>
      <c r="PDK233" s="16"/>
      <c r="PDL233" s="15"/>
      <c r="PDM233" s="15"/>
      <c r="PDN233" s="15"/>
      <c r="PDO233" s="16"/>
      <c r="PDP233" s="16"/>
      <c r="PDQ233" s="16"/>
      <c r="PDR233" s="16"/>
      <c r="PDS233" s="16"/>
      <c r="PDT233" s="15"/>
      <c r="PDU233" s="15"/>
      <c r="PDV233" s="10"/>
      <c r="PDW233" s="10"/>
      <c r="PDX233" s="19"/>
      <c r="PDY233" s="19"/>
      <c r="PEB233" s="16"/>
      <c r="PEC233" s="15"/>
      <c r="PED233" s="15"/>
      <c r="PEE233" s="15"/>
      <c r="PEF233" s="16"/>
      <c r="PEG233" s="16"/>
      <c r="PEH233" s="16"/>
      <c r="PEI233" s="16"/>
      <c r="PEJ233" s="16"/>
      <c r="PEK233" s="15"/>
      <c r="PEL233" s="15"/>
      <c r="PEM233" s="10"/>
      <c r="PEN233" s="10"/>
      <c r="PEO233" s="19"/>
      <c r="PEP233" s="19"/>
      <c r="PES233" s="16"/>
      <c r="PET233" s="15"/>
      <c r="PEU233" s="15"/>
      <c r="PEV233" s="15"/>
      <c r="PEW233" s="16"/>
      <c r="PEX233" s="16"/>
      <c r="PEY233" s="16"/>
      <c r="PEZ233" s="16"/>
      <c r="PFA233" s="16"/>
      <c r="PFB233" s="15"/>
      <c r="PFC233" s="15"/>
      <c r="PFD233" s="10"/>
      <c r="PFE233" s="10"/>
      <c r="PFF233" s="19"/>
      <c r="PFG233" s="19"/>
      <c r="PFJ233" s="16"/>
      <c r="PFK233" s="15"/>
      <c r="PFL233" s="15"/>
      <c r="PFM233" s="15"/>
      <c r="PFN233" s="16"/>
      <c r="PFO233" s="16"/>
      <c r="PFP233" s="16"/>
      <c r="PFQ233" s="16"/>
      <c r="PFR233" s="16"/>
      <c r="PFS233" s="15"/>
      <c r="PFT233" s="15"/>
      <c r="PFU233" s="10"/>
      <c r="PFV233" s="10"/>
      <c r="PFW233" s="19"/>
      <c r="PFX233" s="19"/>
      <c r="PGA233" s="16"/>
      <c r="PGB233" s="15"/>
      <c r="PGC233" s="15"/>
      <c r="PGD233" s="15"/>
      <c r="PGE233" s="16"/>
      <c r="PGF233" s="16"/>
      <c r="PGG233" s="16"/>
      <c r="PGH233" s="16"/>
      <c r="PGI233" s="16"/>
      <c r="PGJ233" s="15"/>
      <c r="PGK233" s="15"/>
      <c r="PGL233" s="10"/>
      <c r="PGM233" s="10"/>
      <c r="PGN233" s="19"/>
      <c r="PGO233" s="19"/>
      <c r="PGR233" s="16"/>
      <c r="PGS233" s="15"/>
      <c r="PGT233" s="15"/>
      <c r="PGU233" s="15"/>
      <c r="PGV233" s="16"/>
      <c r="PGW233" s="16"/>
      <c r="PGX233" s="16"/>
      <c r="PGY233" s="16"/>
      <c r="PGZ233" s="16"/>
      <c r="PHA233" s="15"/>
      <c r="PHB233" s="15"/>
      <c r="PHC233" s="10"/>
      <c r="PHD233" s="10"/>
      <c r="PHE233" s="19"/>
      <c r="PHF233" s="19"/>
      <c r="PHI233" s="16"/>
      <c r="PHJ233" s="15"/>
      <c r="PHK233" s="15"/>
      <c r="PHL233" s="15"/>
      <c r="PHM233" s="16"/>
      <c r="PHN233" s="16"/>
      <c r="PHO233" s="16"/>
      <c r="PHP233" s="16"/>
      <c r="PHQ233" s="16"/>
      <c r="PHR233" s="15"/>
      <c r="PHS233" s="15"/>
      <c r="PHT233" s="10"/>
      <c r="PHU233" s="10"/>
      <c r="PHV233" s="19"/>
      <c r="PHW233" s="19"/>
      <c r="PHZ233" s="16"/>
      <c r="PIA233" s="15"/>
      <c r="PIB233" s="15"/>
      <c r="PIC233" s="15"/>
      <c r="PID233" s="16"/>
      <c r="PIE233" s="16"/>
      <c r="PIF233" s="16"/>
      <c r="PIG233" s="16"/>
      <c r="PIH233" s="16"/>
      <c r="PII233" s="15"/>
      <c r="PIJ233" s="15"/>
      <c r="PIK233" s="10"/>
      <c r="PIL233" s="10"/>
      <c r="PIM233" s="19"/>
      <c r="PIN233" s="19"/>
      <c r="PIQ233" s="16"/>
      <c r="PIR233" s="15"/>
      <c r="PIS233" s="15"/>
      <c r="PIT233" s="15"/>
      <c r="PIU233" s="16"/>
      <c r="PIV233" s="16"/>
      <c r="PIW233" s="16"/>
      <c r="PIX233" s="16"/>
      <c r="PIY233" s="16"/>
      <c r="PIZ233" s="15"/>
      <c r="PJA233" s="15"/>
      <c r="PJB233" s="10"/>
      <c r="PJC233" s="10"/>
      <c r="PJD233" s="19"/>
      <c r="PJE233" s="19"/>
      <c r="PJH233" s="16"/>
      <c r="PJI233" s="15"/>
      <c r="PJJ233" s="15"/>
      <c r="PJK233" s="15"/>
      <c r="PJL233" s="16"/>
      <c r="PJM233" s="16"/>
      <c r="PJN233" s="16"/>
      <c r="PJO233" s="16"/>
      <c r="PJP233" s="16"/>
      <c r="PJQ233" s="15"/>
      <c r="PJR233" s="15"/>
      <c r="PJS233" s="10"/>
      <c r="PJT233" s="10"/>
      <c r="PJU233" s="19"/>
      <c r="PJV233" s="19"/>
      <c r="PJY233" s="16"/>
      <c r="PJZ233" s="15"/>
      <c r="PKA233" s="15"/>
      <c r="PKB233" s="15"/>
      <c r="PKC233" s="16"/>
      <c r="PKD233" s="16"/>
      <c r="PKE233" s="16"/>
      <c r="PKF233" s="16"/>
      <c r="PKG233" s="16"/>
      <c r="PKH233" s="15"/>
      <c r="PKI233" s="15"/>
      <c r="PKJ233" s="10"/>
      <c r="PKK233" s="10"/>
      <c r="PKL233" s="19"/>
      <c r="PKM233" s="19"/>
      <c r="PKP233" s="16"/>
      <c r="PKQ233" s="15"/>
      <c r="PKR233" s="15"/>
      <c r="PKS233" s="15"/>
      <c r="PKT233" s="16"/>
      <c r="PKU233" s="16"/>
      <c r="PKV233" s="16"/>
      <c r="PKW233" s="16"/>
      <c r="PKX233" s="16"/>
      <c r="PKY233" s="15"/>
      <c r="PKZ233" s="15"/>
      <c r="PLA233" s="10"/>
      <c r="PLB233" s="10"/>
      <c r="PLC233" s="19"/>
      <c r="PLD233" s="19"/>
      <c r="PLG233" s="16"/>
      <c r="PLH233" s="15"/>
      <c r="PLI233" s="15"/>
      <c r="PLJ233" s="15"/>
      <c r="PLK233" s="16"/>
      <c r="PLL233" s="16"/>
      <c r="PLM233" s="16"/>
      <c r="PLN233" s="16"/>
      <c r="PLO233" s="16"/>
      <c r="PLP233" s="15"/>
      <c r="PLQ233" s="15"/>
      <c r="PLR233" s="10"/>
      <c r="PLS233" s="10"/>
      <c r="PLT233" s="19"/>
      <c r="PLU233" s="19"/>
      <c r="PLX233" s="16"/>
      <c r="PLY233" s="15"/>
      <c r="PLZ233" s="15"/>
      <c r="PMA233" s="15"/>
      <c r="PMB233" s="16"/>
      <c r="PMC233" s="16"/>
      <c r="PMD233" s="16"/>
      <c r="PME233" s="16"/>
      <c r="PMF233" s="16"/>
      <c r="PMG233" s="15"/>
      <c r="PMH233" s="15"/>
      <c r="PMI233" s="10"/>
      <c r="PMJ233" s="10"/>
      <c r="PMK233" s="19"/>
      <c r="PML233" s="19"/>
      <c r="PMO233" s="16"/>
      <c r="PMP233" s="15"/>
      <c r="PMQ233" s="15"/>
      <c r="PMR233" s="15"/>
      <c r="PMS233" s="16"/>
      <c r="PMT233" s="16"/>
      <c r="PMU233" s="16"/>
      <c r="PMV233" s="16"/>
      <c r="PMW233" s="16"/>
      <c r="PMX233" s="15"/>
      <c r="PMY233" s="15"/>
      <c r="PMZ233" s="10"/>
      <c r="PNA233" s="10"/>
      <c r="PNB233" s="19"/>
      <c r="PNC233" s="19"/>
      <c r="PNF233" s="16"/>
      <c r="PNG233" s="15"/>
      <c r="PNH233" s="15"/>
      <c r="PNI233" s="15"/>
      <c r="PNJ233" s="16"/>
      <c r="PNK233" s="16"/>
      <c r="PNL233" s="16"/>
      <c r="PNM233" s="16"/>
      <c r="PNN233" s="16"/>
      <c r="PNO233" s="15"/>
      <c r="PNP233" s="15"/>
      <c r="PNQ233" s="10"/>
      <c r="PNR233" s="10"/>
      <c r="PNS233" s="19"/>
      <c r="PNT233" s="19"/>
      <c r="PNW233" s="16"/>
      <c r="PNX233" s="15"/>
      <c r="PNY233" s="15"/>
      <c r="PNZ233" s="15"/>
      <c r="POA233" s="16"/>
      <c r="POB233" s="16"/>
      <c r="POC233" s="16"/>
      <c r="POD233" s="16"/>
      <c r="POE233" s="16"/>
      <c r="POF233" s="15"/>
      <c r="POG233" s="15"/>
      <c r="POH233" s="10"/>
      <c r="POI233" s="10"/>
      <c r="POJ233" s="19"/>
      <c r="POK233" s="19"/>
      <c r="PON233" s="16"/>
      <c r="POO233" s="15"/>
      <c r="POP233" s="15"/>
      <c r="POQ233" s="15"/>
      <c r="POR233" s="16"/>
      <c r="POS233" s="16"/>
      <c r="POT233" s="16"/>
      <c r="POU233" s="16"/>
      <c r="POV233" s="16"/>
      <c r="POW233" s="15"/>
      <c r="POX233" s="15"/>
      <c r="POY233" s="10"/>
      <c r="POZ233" s="10"/>
      <c r="PPA233" s="19"/>
      <c r="PPB233" s="19"/>
      <c r="PPE233" s="16"/>
      <c r="PPF233" s="15"/>
      <c r="PPG233" s="15"/>
      <c r="PPH233" s="15"/>
      <c r="PPI233" s="16"/>
      <c r="PPJ233" s="16"/>
      <c r="PPK233" s="16"/>
      <c r="PPL233" s="16"/>
      <c r="PPM233" s="16"/>
      <c r="PPN233" s="15"/>
      <c r="PPO233" s="15"/>
      <c r="PPP233" s="10"/>
      <c r="PPQ233" s="10"/>
      <c r="PPR233" s="19"/>
      <c r="PPS233" s="19"/>
      <c r="PPV233" s="16"/>
      <c r="PPW233" s="15"/>
      <c r="PPX233" s="15"/>
      <c r="PPY233" s="15"/>
      <c r="PPZ233" s="16"/>
      <c r="PQA233" s="16"/>
      <c r="PQB233" s="16"/>
      <c r="PQC233" s="16"/>
      <c r="PQD233" s="16"/>
      <c r="PQE233" s="15"/>
      <c r="PQF233" s="15"/>
      <c r="PQG233" s="10"/>
      <c r="PQH233" s="10"/>
      <c r="PQI233" s="19"/>
      <c r="PQJ233" s="19"/>
      <c r="PQM233" s="16"/>
      <c r="PQN233" s="15"/>
      <c r="PQO233" s="15"/>
      <c r="PQP233" s="15"/>
      <c r="PQQ233" s="16"/>
      <c r="PQR233" s="16"/>
      <c r="PQS233" s="16"/>
      <c r="PQT233" s="16"/>
      <c r="PQU233" s="16"/>
      <c r="PQV233" s="15"/>
      <c r="PQW233" s="15"/>
      <c r="PQX233" s="10"/>
      <c r="PQY233" s="10"/>
      <c r="PQZ233" s="19"/>
      <c r="PRA233" s="19"/>
      <c r="PRD233" s="16"/>
      <c r="PRE233" s="15"/>
      <c r="PRF233" s="15"/>
      <c r="PRG233" s="15"/>
      <c r="PRH233" s="16"/>
      <c r="PRI233" s="16"/>
      <c r="PRJ233" s="16"/>
      <c r="PRK233" s="16"/>
      <c r="PRL233" s="16"/>
      <c r="PRM233" s="15"/>
      <c r="PRN233" s="15"/>
      <c r="PRO233" s="10"/>
      <c r="PRP233" s="10"/>
      <c r="PRQ233" s="19"/>
      <c r="PRR233" s="19"/>
      <c r="PRU233" s="16"/>
      <c r="PRV233" s="15"/>
      <c r="PRW233" s="15"/>
      <c r="PRX233" s="15"/>
      <c r="PRY233" s="16"/>
      <c r="PRZ233" s="16"/>
      <c r="PSA233" s="16"/>
      <c r="PSB233" s="16"/>
      <c r="PSC233" s="16"/>
      <c r="PSD233" s="15"/>
      <c r="PSE233" s="15"/>
      <c r="PSF233" s="10"/>
      <c r="PSG233" s="10"/>
      <c r="PSH233" s="19"/>
      <c r="PSI233" s="19"/>
      <c r="PSL233" s="16"/>
      <c r="PSM233" s="15"/>
      <c r="PSN233" s="15"/>
      <c r="PSO233" s="15"/>
      <c r="PSP233" s="16"/>
      <c r="PSQ233" s="16"/>
      <c r="PSR233" s="16"/>
      <c r="PSS233" s="16"/>
      <c r="PST233" s="16"/>
      <c r="PSU233" s="15"/>
      <c r="PSV233" s="15"/>
      <c r="PSW233" s="10"/>
      <c r="PSX233" s="10"/>
      <c r="PSY233" s="19"/>
      <c r="PSZ233" s="19"/>
      <c r="PTC233" s="16"/>
      <c r="PTD233" s="15"/>
      <c r="PTE233" s="15"/>
      <c r="PTF233" s="15"/>
      <c r="PTG233" s="16"/>
      <c r="PTH233" s="16"/>
      <c r="PTI233" s="16"/>
      <c r="PTJ233" s="16"/>
      <c r="PTK233" s="16"/>
      <c r="PTL233" s="15"/>
      <c r="PTM233" s="15"/>
      <c r="PTN233" s="10"/>
      <c r="PTO233" s="10"/>
      <c r="PTP233" s="19"/>
      <c r="PTQ233" s="19"/>
      <c r="PTT233" s="16"/>
      <c r="PTU233" s="15"/>
      <c r="PTV233" s="15"/>
      <c r="PTW233" s="15"/>
      <c r="PTX233" s="16"/>
      <c r="PTY233" s="16"/>
      <c r="PTZ233" s="16"/>
      <c r="PUA233" s="16"/>
      <c r="PUB233" s="16"/>
      <c r="PUC233" s="15"/>
      <c r="PUD233" s="15"/>
      <c r="PUE233" s="10"/>
      <c r="PUF233" s="10"/>
      <c r="PUG233" s="19"/>
      <c r="PUH233" s="19"/>
      <c r="PUK233" s="16"/>
      <c r="PUL233" s="15"/>
      <c r="PUM233" s="15"/>
      <c r="PUN233" s="15"/>
      <c r="PUO233" s="16"/>
      <c r="PUP233" s="16"/>
      <c r="PUQ233" s="16"/>
      <c r="PUR233" s="16"/>
      <c r="PUS233" s="16"/>
      <c r="PUT233" s="15"/>
      <c r="PUU233" s="15"/>
      <c r="PUV233" s="10"/>
      <c r="PUW233" s="10"/>
      <c r="PUX233" s="19"/>
      <c r="PUY233" s="19"/>
      <c r="PVB233" s="16"/>
      <c r="PVC233" s="15"/>
      <c r="PVD233" s="15"/>
      <c r="PVE233" s="15"/>
      <c r="PVF233" s="16"/>
      <c r="PVG233" s="16"/>
      <c r="PVH233" s="16"/>
      <c r="PVI233" s="16"/>
      <c r="PVJ233" s="16"/>
      <c r="PVK233" s="15"/>
      <c r="PVL233" s="15"/>
      <c r="PVM233" s="10"/>
      <c r="PVN233" s="10"/>
      <c r="PVO233" s="19"/>
      <c r="PVP233" s="19"/>
      <c r="PVS233" s="16"/>
      <c r="PVT233" s="15"/>
      <c r="PVU233" s="15"/>
      <c r="PVV233" s="15"/>
      <c r="PVW233" s="16"/>
      <c r="PVX233" s="16"/>
      <c r="PVY233" s="16"/>
      <c r="PVZ233" s="16"/>
      <c r="PWA233" s="16"/>
      <c r="PWB233" s="15"/>
      <c r="PWC233" s="15"/>
      <c r="PWD233" s="10"/>
      <c r="PWE233" s="10"/>
      <c r="PWF233" s="19"/>
      <c r="PWG233" s="19"/>
      <c r="PWJ233" s="16"/>
      <c r="PWK233" s="15"/>
      <c r="PWL233" s="15"/>
      <c r="PWM233" s="15"/>
      <c r="PWN233" s="16"/>
      <c r="PWO233" s="16"/>
      <c r="PWP233" s="16"/>
      <c r="PWQ233" s="16"/>
      <c r="PWR233" s="16"/>
      <c r="PWS233" s="15"/>
      <c r="PWT233" s="15"/>
      <c r="PWU233" s="10"/>
      <c r="PWV233" s="10"/>
      <c r="PWW233" s="19"/>
      <c r="PWX233" s="19"/>
      <c r="PXA233" s="16"/>
      <c r="PXB233" s="15"/>
      <c r="PXC233" s="15"/>
      <c r="PXD233" s="15"/>
      <c r="PXE233" s="16"/>
      <c r="PXF233" s="16"/>
      <c r="PXG233" s="16"/>
      <c r="PXH233" s="16"/>
      <c r="PXI233" s="16"/>
      <c r="PXJ233" s="15"/>
      <c r="PXK233" s="15"/>
      <c r="PXL233" s="10"/>
      <c r="PXM233" s="10"/>
      <c r="PXN233" s="19"/>
      <c r="PXO233" s="19"/>
      <c r="PXR233" s="16"/>
      <c r="PXS233" s="15"/>
      <c r="PXT233" s="15"/>
      <c r="PXU233" s="15"/>
      <c r="PXV233" s="16"/>
      <c r="PXW233" s="16"/>
      <c r="PXX233" s="16"/>
      <c r="PXY233" s="16"/>
      <c r="PXZ233" s="16"/>
      <c r="PYA233" s="15"/>
      <c r="PYB233" s="15"/>
      <c r="PYC233" s="10"/>
      <c r="PYD233" s="10"/>
      <c r="PYE233" s="19"/>
      <c r="PYF233" s="19"/>
      <c r="PYI233" s="16"/>
      <c r="PYJ233" s="15"/>
      <c r="PYK233" s="15"/>
      <c r="PYL233" s="15"/>
      <c r="PYM233" s="16"/>
      <c r="PYN233" s="16"/>
      <c r="PYO233" s="16"/>
      <c r="PYP233" s="16"/>
      <c r="PYQ233" s="16"/>
      <c r="PYR233" s="15"/>
      <c r="PYS233" s="15"/>
      <c r="PYT233" s="10"/>
      <c r="PYU233" s="10"/>
      <c r="PYV233" s="19"/>
      <c r="PYW233" s="19"/>
      <c r="PYZ233" s="16"/>
      <c r="PZA233" s="15"/>
      <c r="PZB233" s="15"/>
      <c r="PZC233" s="15"/>
      <c r="PZD233" s="16"/>
      <c r="PZE233" s="16"/>
      <c r="PZF233" s="16"/>
      <c r="PZG233" s="16"/>
      <c r="PZH233" s="16"/>
      <c r="PZI233" s="15"/>
      <c r="PZJ233" s="15"/>
      <c r="PZK233" s="10"/>
      <c r="PZL233" s="10"/>
      <c r="PZM233" s="19"/>
      <c r="PZN233" s="19"/>
      <c r="PZQ233" s="16"/>
      <c r="PZR233" s="15"/>
      <c r="PZS233" s="15"/>
      <c r="PZT233" s="15"/>
      <c r="PZU233" s="16"/>
      <c r="PZV233" s="16"/>
      <c r="PZW233" s="16"/>
      <c r="PZX233" s="16"/>
      <c r="PZY233" s="16"/>
      <c r="PZZ233" s="15"/>
      <c r="QAA233" s="15"/>
      <c r="QAB233" s="10"/>
      <c r="QAC233" s="10"/>
      <c r="QAD233" s="19"/>
      <c r="QAE233" s="19"/>
      <c r="QAH233" s="16"/>
      <c r="QAI233" s="15"/>
      <c r="QAJ233" s="15"/>
      <c r="QAK233" s="15"/>
      <c r="QAL233" s="16"/>
      <c r="QAM233" s="16"/>
      <c r="QAN233" s="16"/>
      <c r="QAO233" s="16"/>
      <c r="QAP233" s="16"/>
      <c r="QAQ233" s="15"/>
      <c r="QAR233" s="15"/>
      <c r="QAS233" s="10"/>
      <c r="QAT233" s="10"/>
      <c r="QAU233" s="19"/>
      <c r="QAV233" s="19"/>
      <c r="QAY233" s="16"/>
      <c r="QAZ233" s="15"/>
      <c r="QBA233" s="15"/>
      <c r="QBB233" s="15"/>
      <c r="QBC233" s="16"/>
      <c r="QBD233" s="16"/>
      <c r="QBE233" s="16"/>
      <c r="QBF233" s="16"/>
      <c r="QBG233" s="16"/>
      <c r="QBH233" s="15"/>
      <c r="QBI233" s="15"/>
      <c r="QBJ233" s="10"/>
      <c r="QBK233" s="10"/>
      <c r="QBL233" s="19"/>
      <c r="QBM233" s="19"/>
      <c r="QBP233" s="16"/>
      <c r="QBQ233" s="15"/>
      <c r="QBR233" s="15"/>
      <c r="QBS233" s="15"/>
      <c r="QBT233" s="16"/>
      <c r="QBU233" s="16"/>
      <c r="QBV233" s="16"/>
      <c r="QBW233" s="16"/>
      <c r="QBX233" s="16"/>
      <c r="QBY233" s="15"/>
      <c r="QBZ233" s="15"/>
      <c r="QCA233" s="10"/>
      <c r="QCB233" s="10"/>
      <c r="QCC233" s="19"/>
      <c r="QCD233" s="19"/>
      <c r="QCG233" s="16"/>
      <c r="QCH233" s="15"/>
      <c r="QCI233" s="15"/>
      <c r="QCJ233" s="15"/>
      <c r="QCK233" s="16"/>
      <c r="QCL233" s="16"/>
      <c r="QCM233" s="16"/>
      <c r="QCN233" s="16"/>
      <c r="QCO233" s="16"/>
      <c r="QCP233" s="15"/>
      <c r="QCQ233" s="15"/>
      <c r="QCR233" s="10"/>
      <c r="QCS233" s="10"/>
      <c r="QCT233" s="19"/>
      <c r="QCU233" s="19"/>
      <c r="QCX233" s="16"/>
      <c r="QCY233" s="15"/>
      <c r="QCZ233" s="15"/>
      <c r="QDA233" s="15"/>
      <c r="QDB233" s="16"/>
      <c r="QDC233" s="16"/>
      <c r="QDD233" s="16"/>
      <c r="QDE233" s="16"/>
      <c r="QDF233" s="16"/>
      <c r="QDG233" s="15"/>
      <c r="QDH233" s="15"/>
      <c r="QDI233" s="10"/>
      <c r="QDJ233" s="10"/>
      <c r="QDK233" s="19"/>
      <c r="QDL233" s="19"/>
      <c r="QDO233" s="16"/>
      <c r="QDP233" s="15"/>
      <c r="QDQ233" s="15"/>
      <c r="QDR233" s="15"/>
      <c r="QDS233" s="16"/>
      <c r="QDT233" s="16"/>
      <c r="QDU233" s="16"/>
      <c r="QDV233" s="16"/>
      <c r="QDW233" s="16"/>
      <c r="QDX233" s="15"/>
      <c r="QDY233" s="15"/>
      <c r="QDZ233" s="10"/>
      <c r="QEA233" s="10"/>
      <c r="QEB233" s="19"/>
      <c r="QEC233" s="19"/>
      <c r="QEF233" s="16"/>
      <c r="QEG233" s="15"/>
      <c r="QEH233" s="15"/>
      <c r="QEI233" s="15"/>
      <c r="QEJ233" s="16"/>
      <c r="QEK233" s="16"/>
      <c r="QEL233" s="16"/>
      <c r="QEM233" s="16"/>
      <c r="QEN233" s="16"/>
      <c r="QEO233" s="15"/>
      <c r="QEP233" s="15"/>
      <c r="QEQ233" s="10"/>
      <c r="QER233" s="10"/>
      <c r="QES233" s="19"/>
      <c r="QET233" s="19"/>
      <c r="QEW233" s="16"/>
      <c r="QEX233" s="15"/>
      <c r="QEY233" s="15"/>
      <c r="QEZ233" s="15"/>
      <c r="QFA233" s="16"/>
      <c r="QFB233" s="16"/>
      <c r="QFC233" s="16"/>
      <c r="QFD233" s="16"/>
      <c r="QFE233" s="16"/>
      <c r="QFF233" s="15"/>
      <c r="QFG233" s="15"/>
      <c r="QFH233" s="10"/>
      <c r="QFI233" s="10"/>
      <c r="QFJ233" s="19"/>
      <c r="QFK233" s="19"/>
      <c r="QFN233" s="16"/>
      <c r="QFO233" s="15"/>
      <c r="QFP233" s="15"/>
      <c r="QFQ233" s="15"/>
      <c r="QFR233" s="16"/>
      <c r="QFS233" s="16"/>
      <c r="QFT233" s="16"/>
      <c r="QFU233" s="16"/>
      <c r="QFV233" s="16"/>
      <c r="QFW233" s="15"/>
      <c r="QFX233" s="15"/>
      <c r="QFY233" s="10"/>
      <c r="QFZ233" s="10"/>
      <c r="QGA233" s="19"/>
      <c r="QGB233" s="19"/>
      <c r="QGE233" s="16"/>
      <c r="QGF233" s="15"/>
      <c r="QGG233" s="15"/>
      <c r="QGH233" s="15"/>
      <c r="QGI233" s="16"/>
      <c r="QGJ233" s="16"/>
      <c r="QGK233" s="16"/>
      <c r="QGL233" s="16"/>
      <c r="QGM233" s="16"/>
      <c r="QGN233" s="15"/>
      <c r="QGO233" s="15"/>
      <c r="QGP233" s="10"/>
      <c r="QGQ233" s="10"/>
      <c r="QGR233" s="19"/>
      <c r="QGS233" s="19"/>
      <c r="QGV233" s="16"/>
      <c r="QGW233" s="15"/>
      <c r="QGX233" s="15"/>
      <c r="QGY233" s="15"/>
      <c r="QGZ233" s="16"/>
      <c r="QHA233" s="16"/>
      <c r="QHB233" s="16"/>
      <c r="QHC233" s="16"/>
      <c r="QHD233" s="16"/>
      <c r="QHE233" s="15"/>
      <c r="QHF233" s="15"/>
      <c r="QHG233" s="10"/>
      <c r="QHH233" s="10"/>
      <c r="QHI233" s="19"/>
      <c r="QHJ233" s="19"/>
      <c r="QHM233" s="16"/>
      <c r="QHN233" s="15"/>
      <c r="QHO233" s="15"/>
      <c r="QHP233" s="15"/>
      <c r="QHQ233" s="16"/>
      <c r="QHR233" s="16"/>
      <c r="QHS233" s="16"/>
      <c r="QHT233" s="16"/>
      <c r="QHU233" s="16"/>
      <c r="QHV233" s="15"/>
      <c r="QHW233" s="15"/>
      <c r="QHX233" s="10"/>
      <c r="QHY233" s="10"/>
      <c r="QHZ233" s="19"/>
      <c r="QIA233" s="19"/>
      <c r="QID233" s="16"/>
      <c r="QIE233" s="15"/>
      <c r="QIF233" s="15"/>
      <c r="QIG233" s="15"/>
      <c r="QIH233" s="16"/>
      <c r="QII233" s="16"/>
      <c r="QIJ233" s="16"/>
      <c r="QIK233" s="16"/>
      <c r="QIL233" s="16"/>
      <c r="QIM233" s="15"/>
      <c r="QIN233" s="15"/>
      <c r="QIO233" s="10"/>
      <c r="QIP233" s="10"/>
      <c r="QIQ233" s="19"/>
      <c r="QIR233" s="19"/>
      <c r="QIU233" s="16"/>
      <c r="QIV233" s="15"/>
      <c r="QIW233" s="15"/>
      <c r="QIX233" s="15"/>
      <c r="QIY233" s="16"/>
      <c r="QIZ233" s="16"/>
      <c r="QJA233" s="16"/>
      <c r="QJB233" s="16"/>
      <c r="QJC233" s="16"/>
      <c r="QJD233" s="15"/>
      <c r="QJE233" s="15"/>
      <c r="QJF233" s="10"/>
      <c r="QJG233" s="10"/>
      <c r="QJH233" s="19"/>
      <c r="QJI233" s="19"/>
      <c r="QJL233" s="16"/>
      <c r="QJM233" s="15"/>
      <c r="QJN233" s="15"/>
      <c r="QJO233" s="15"/>
      <c r="QJP233" s="16"/>
      <c r="QJQ233" s="16"/>
      <c r="QJR233" s="16"/>
      <c r="QJS233" s="16"/>
      <c r="QJT233" s="16"/>
      <c r="QJU233" s="15"/>
      <c r="QJV233" s="15"/>
      <c r="QJW233" s="10"/>
      <c r="QJX233" s="10"/>
      <c r="QJY233" s="19"/>
      <c r="QJZ233" s="19"/>
      <c r="QKC233" s="16"/>
      <c r="QKD233" s="15"/>
      <c r="QKE233" s="15"/>
      <c r="QKF233" s="15"/>
      <c r="QKG233" s="16"/>
      <c r="QKH233" s="16"/>
      <c r="QKI233" s="16"/>
      <c r="QKJ233" s="16"/>
      <c r="QKK233" s="16"/>
      <c r="QKL233" s="15"/>
      <c r="QKM233" s="15"/>
      <c r="QKN233" s="10"/>
      <c r="QKO233" s="10"/>
      <c r="QKP233" s="19"/>
      <c r="QKQ233" s="19"/>
      <c r="QKT233" s="16"/>
      <c r="QKU233" s="15"/>
      <c r="QKV233" s="15"/>
      <c r="QKW233" s="15"/>
      <c r="QKX233" s="16"/>
      <c r="QKY233" s="16"/>
      <c r="QKZ233" s="16"/>
      <c r="QLA233" s="16"/>
      <c r="QLB233" s="16"/>
      <c r="QLC233" s="15"/>
      <c r="QLD233" s="15"/>
      <c r="QLE233" s="10"/>
      <c r="QLF233" s="10"/>
      <c r="QLG233" s="19"/>
      <c r="QLH233" s="19"/>
      <c r="QLK233" s="16"/>
      <c r="QLL233" s="15"/>
      <c r="QLM233" s="15"/>
      <c r="QLN233" s="15"/>
      <c r="QLO233" s="16"/>
      <c r="QLP233" s="16"/>
      <c r="QLQ233" s="16"/>
      <c r="QLR233" s="16"/>
      <c r="QLS233" s="16"/>
      <c r="QLT233" s="15"/>
      <c r="QLU233" s="15"/>
      <c r="QLV233" s="10"/>
      <c r="QLW233" s="10"/>
      <c r="QLX233" s="19"/>
      <c r="QLY233" s="19"/>
      <c r="QMB233" s="16"/>
      <c r="QMC233" s="15"/>
      <c r="QMD233" s="15"/>
      <c r="QME233" s="15"/>
      <c r="QMF233" s="16"/>
      <c r="QMG233" s="16"/>
      <c r="QMH233" s="16"/>
      <c r="QMI233" s="16"/>
      <c r="QMJ233" s="16"/>
      <c r="QMK233" s="15"/>
      <c r="QML233" s="15"/>
      <c r="QMM233" s="10"/>
      <c r="QMN233" s="10"/>
      <c r="QMO233" s="19"/>
      <c r="QMP233" s="19"/>
      <c r="QMS233" s="16"/>
      <c r="QMT233" s="15"/>
      <c r="QMU233" s="15"/>
      <c r="QMV233" s="15"/>
      <c r="QMW233" s="16"/>
      <c r="QMX233" s="16"/>
      <c r="QMY233" s="16"/>
      <c r="QMZ233" s="16"/>
      <c r="QNA233" s="16"/>
      <c r="QNB233" s="15"/>
      <c r="QNC233" s="15"/>
      <c r="QND233" s="10"/>
      <c r="QNE233" s="10"/>
      <c r="QNF233" s="19"/>
      <c r="QNG233" s="19"/>
      <c r="QNJ233" s="16"/>
      <c r="QNK233" s="15"/>
      <c r="QNL233" s="15"/>
      <c r="QNM233" s="15"/>
      <c r="QNN233" s="16"/>
      <c r="QNO233" s="16"/>
      <c r="QNP233" s="16"/>
      <c r="QNQ233" s="16"/>
      <c r="QNR233" s="16"/>
      <c r="QNS233" s="15"/>
      <c r="QNT233" s="15"/>
      <c r="QNU233" s="10"/>
      <c r="QNV233" s="10"/>
      <c r="QNW233" s="19"/>
      <c r="QNX233" s="19"/>
      <c r="QOA233" s="16"/>
      <c r="QOB233" s="15"/>
      <c r="QOC233" s="15"/>
      <c r="QOD233" s="15"/>
      <c r="QOE233" s="16"/>
      <c r="QOF233" s="16"/>
      <c r="QOG233" s="16"/>
      <c r="QOH233" s="16"/>
      <c r="QOI233" s="16"/>
      <c r="QOJ233" s="15"/>
      <c r="QOK233" s="15"/>
      <c r="QOL233" s="10"/>
      <c r="QOM233" s="10"/>
      <c r="QON233" s="19"/>
      <c r="QOO233" s="19"/>
      <c r="QOR233" s="16"/>
      <c r="QOS233" s="15"/>
      <c r="QOT233" s="15"/>
      <c r="QOU233" s="15"/>
      <c r="QOV233" s="16"/>
      <c r="QOW233" s="16"/>
      <c r="QOX233" s="16"/>
      <c r="QOY233" s="16"/>
      <c r="QOZ233" s="16"/>
      <c r="QPA233" s="15"/>
      <c r="QPB233" s="15"/>
      <c r="QPC233" s="10"/>
      <c r="QPD233" s="10"/>
      <c r="QPE233" s="19"/>
      <c r="QPF233" s="19"/>
      <c r="QPI233" s="16"/>
      <c r="QPJ233" s="15"/>
      <c r="QPK233" s="15"/>
      <c r="QPL233" s="15"/>
      <c r="QPM233" s="16"/>
      <c r="QPN233" s="16"/>
      <c r="QPO233" s="16"/>
      <c r="QPP233" s="16"/>
      <c r="QPQ233" s="16"/>
      <c r="QPR233" s="15"/>
      <c r="QPS233" s="15"/>
      <c r="QPT233" s="10"/>
      <c r="QPU233" s="10"/>
      <c r="QPV233" s="19"/>
      <c r="QPW233" s="19"/>
      <c r="QPZ233" s="16"/>
      <c r="QQA233" s="15"/>
      <c r="QQB233" s="15"/>
      <c r="QQC233" s="15"/>
      <c r="QQD233" s="16"/>
      <c r="QQE233" s="16"/>
      <c r="QQF233" s="16"/>
      <c r="QQG233" s="16"/>
      <c r="QQH233" s="16"/>
      <c r="QQI233" s="15"/>
      <c r="QQJ233" s="15"/>
      <c r="QQK233" s="10"/>
      <c r="QQL233" s="10"/>
      <c r="QQM233" s="19"/>
      <c r="QQN233" s="19"/>
      <c r="QQQ233" s="16"/>
      <c r="QQR233" s="15"/>
      <c r="QQS233" s="15"/>
      <c r="QQT233" s="15"/>
      <c r="QQU233" s="16"/>
      <c r="QQV233" s="16"/>
      <c r="QQW233" s="16"/>
      <c r="QQX233" s="16"/>
      <c r="QQY233" s="16"/>
      <c r="QQZ233" s="15"/>
      <c r="QRA233" s="15"/>
      <c r="QRB233" s="10"/>
      <c r="QRC233" s="10"/>
      <c r="QRD233" s="19"/>
      <c r="QRE233" s="19"/>
      <c r="QRH233" s="16"/>
      <c r="QRI233" s="15"/>
      <c r="QRJ233" s="15"/>
      <c r="QRK233" s="15"/>
      <c r="QRL233" s="16"/>
      <c r="QRM233" s="16"/>
      <c r="QRN233" s="16"/>
      <c r="QRO233" s="16"/>
      <c r="QRP233" s="16"/>
      <c r="QRQ233" s="15"/>
      <c r="QRR233" s="15"/>
      <c r="QRS233" s="10"/>
      <c r="QRT233" s="10"/>
      <c r="QRU233" s="19"/>
      <c r="QRV233" s="19"/>
      <c r="QRY233" s="16"/>
      <c r="QRZ233" s="15"/>
      <c r="QSA233" s="15"/>
      <c r="QSB233" s="15"/>
      <c r="QSC233" s="16"/>
      <c r="QSD233" s="16"/>
      <c r="QSE233" s="16"/>
      <c r="QSF233" s="16"/>
      <c r="QSG233" s="16"/>
      <c r="QSH233" s="15"/>
      <c r="QSI233" s="15"/>
      <c r="QSJ233" s="10"/>
      <c r="QSK233" s="10"/>
      <c r="QSL233" s="19"/>
      <c r="QSM233" s="19"/>
      <c r="QSP233" s="16"/>
      <c r="QSQ233" s="15"/>
      <c r="QSR233" s="15"/>
      <c r="QSS233" s="15"/>
      <c r="QST233" s="16"/>
      <c r="QSU233" s="16"/>
      <c r="QSV233" s="16"/>
      <c r="QSW233" s="16"/>
      <c r="QSX233" s="16"/>
      <c r="QSY233" s="15"/>
      <c r="QSZ233" s="15"/>
      <c r="QTA233" s="10"/>
      <c r="QTB233" s="10"/>
      <c r="QTC233" s="19"/>
      <c r="QTD233" s="19"/>
      <c r="QTG233" s="16"/>
      <c r="QTH233" s="15"/>
      <c r="QTI233" s="15"/>
      <c r="QTJ233" s="15"/>
      <c r="QTK233" s="16"/>
      <c r="QTL233" s="16"/>
      <c r="QTM233" s="16"/>
      <c r="QTN233" s="16"/>
      <c r="QTO233" s="16"/>
      <c r="QTP233" s="15"/>
      <c r="QTQ233" s="15"/>
      <c r="QTR233" s="10"/>
      <c r="QTS233" s="10"/>
      <c r="QTT233" s="19"/>
      <c r="QTU233" s="19"/>
      <c r="QTX233" s="16"/>
      <c r="QTY233" s="15"/>
      <c r="QTZ233" s="15"/>
      <c r="QUA233" s="15"/>
      <c r="QUB233" s="16"/>
      <c r="QUC233" s="16"/>
      <c r="QUD233" s="16"/>
      <c r="QUE233" s="16"/>
      <c r="QUF233" s="16"/>
      <c r="QUG233" s="15"/>
      <c r="QUH233" s="15"/>
      <c r="QUI233" s="10"/>
      <c r="QUJ233" s="10"/>
      <c r="QUK233" s="19"/>
      <c r="QUL233" s="19"/>
      <c r="QUO233" s="16"/>
      <c r="QUP233" s="15"/>
      <c r="QUQ233" s="15"/>
      <c r="QUR233" s="15"/>
      <c r="QUS233" s="16"/>
      <c r="QUT233" s="16"/>
      <c r="QUU233" s="16"/>
      <c r="QUV233" s="16"/>
      <c r="QUW233" s="16"/>
      <c r="QUX233" s="15"/>
      <c r="QUY233" s="15"/>
      <c r="QUZ233" s="10"/>
      <c r="QVA233" s="10"/>
      <c r="QVB233" s="19"/>
      <c r="QVC233" s="19"/>
      <c r="QVF233" s="16"/>
      <c r="QVG233" s="15"/>
      <c r="QVH233" s="15"/>
      <c r="QVI233" s="15"/>
      <c r="QVJ233" s="16"/>
      <c r="QVK233" s="16"/>
      <c r="QVL233" s="16"/>
      <c r="QVM233" s="16"/>
      <c r="QVN233" s="16"/>
      <c r="QVO233" s="15"/>
      <c r="QVP233" s="15"/>
      <c r="QVQ233" s="10"/>
      <c r="QVR233" s="10"/>
      <c r="QVS233" s="19"/>
      <c r="QVT233" s="19"/>
      <c r="QVW233" s="16"/>
      <c r="QVX233" s="15"/>
      <c r="QVY233" s="15"/>
      <c r="QVZ233" s="15"/>
      <c r="QWA233" s="16"/>
      <c r="QWB233" s="16"/>
      <c r="QWC233" s="16"/>
      <c r="QWD233" s="16"/>
      <c r="QWE233" s="16"/>
      <c r="QWF233" s="15"/>
      <c r="QWG233" s="15"/>
      <c r="QWH233" s="10"/>
      <c r="QWI233" s="10"/>
      <c r="QWJ233" s="19"/>
      <c r="QWK233" s="19"/>
      <c r="QWN233" s="16"/>
      <c r="QWO233" s="15"/>
      <c r="QWP233" s="15"/>
      <c r="QWQ233" s="15"/>
      <c r="QWR233" s="16"/>
      <c r="QWS233" s="16"/>
      <c r="QWT233" s="16"/>
      <c r="QWU233" s="16"/>
      <c r="QWV233" s="16"/>
      <c r="QWW233" s="15"/>
      <c r="QWX233" s="15"/>
      <c r="QWY233" s="10"/>
      <c r="QWZ233" s="10"/>
      <c r="QXA233" s="19"/>
      <c r="QXB233" s="19"/>
      <c r="QXE233" s="16"/>
      <c r="QXF233" s="15"/>
      <c r="QXG233" s="15"/>
      <c r="QXH233" s="15"/>
      <c r="QXI233" s="16"/>
      <c r="QXJ233" s="16"/>
      <c r="QXK233" s="16"/>
      <c r="QXL233" s="16"/>
      <c r="QXM233" s="16"/>
      <c r="QXN233" s="15"/>
      <c r="QXO233" s="15"/>
      <c r="QXP233" s="10"/>
      <c r="QXQ233" s="10"/>
      <c r="QXR233" s="19"/>
      <c r="QXS233" s="19"/>
      <c r="QXV233" s="16"/>
      <c r="QXW233" s="15"/>
      <c r="QXX233" s="15"/>
      <c r="QXY233" s="15"/>
      <c r="QXZ233" s="16"/>
      <c r="QYA233" s="16"/>
      <c r="QYB233" s="16"/>
      <c r="QYC233" s="16"/>
      <c r="QYD233" s="16"/>
      <c r="QYE233" s="15"/>
      <c r="QYF233" s="15"/>
      <c r="QYG233" s="10"/>
      <c r="QYH233" s="10"/>
      <c r="QYI233" s="19"/>
      <c r="QYJ233" s="19"/>
      <c r="QYM233" s="16"/>
      <c r="QYN233" s="15"/>
      <c r="QYO233" s="15"/>
      <c r="QYP233" s="15"/>
      <c r="QYQ233" s="16"/>
      <c r="QYR233" s="16"/>
      <c r="QYS233" s="16"/>
      <c r="QYT233" s="16"/>
      <c r="QYU233" s="16"/>
      <c r="QYV233" s="15"/>
      <c r="QYW233" s="15"/>
      <c r="QYX233" s="10"/>
      <c r="QYY233" s="10"/>
      <c r="QYZ233" s="19"/>
      <c r="QZA233" s="19"/>
      <c r="QZD233" s="16"/>
      <c r="QZE233" s="15"/>
      <c r="QZF233" s="15"/>
      <c r="QZG233" s="15"/>
      <c r="QZH233" s="16"/>
      <c r="QZI233" s="16"/>
      <c r="QZJ233" s="16"/>
      <c r="QZK233" s="16"/>
      <c r="QZL233" s="16"/>
      <c r="QZM233" s="15"/>
      <c r="QZN233" s="15"/>
      <c r="QZO233" s="10"/>
      <c r="QZP233" s="10"/>
      <c r="QZQ233" s="19"/>
      <c r="QZR233" s="19"/>
      <c r="QZU233" s="16"/>
      <c r="QZV233" s="15"/>
      <c r="QZW233" s="15"/>
      <c r="QZX233" s="15"/>
      <c r="QZY233" s="16"/>
      <c r="QZZ233" s="16"/>
      <c r="RAA233" s="16"/>
      <c r="RAB233" s="16"/>
      <c r="RAC233" s="16"/>
      <c r="RAD233" s="15"/>
      <c r="RAE233" s="15"/>
      <c r="RAF233" s="10"/>
      <c r="RAG233" s="10"/>
      <c r="RAH233" s="19"/>
      <c r="RAI233" s="19"/>
      <c r="RAL233" s="16"/>
      <c r="RAM233" s="15"/>
      <c r="RAN233" s="15"/>
      <c r="RAO233" s="15"/>
      <c r="RAP233" s="16"/>
      <c r="RAQ233" s="16"/>
      <c r="RAR233" s="16"/>
      <c r="RAS233" s="16"/>
      <c r="RAT233" s="16"/>
      <c r="RAU233" s="15"/>
      <c r="RAV233" s="15"/>
      <c r="RAW233" s="10"/>
      <c r="RAX233" s="10"/>
      <c r="RAY233" s="19"/>
      <c r="RAZ233" s="19"/>
      <c r="RBC233" s="16"/>
      <c r="RBD233" s="15"/>
      <c r="RBE233" s="15"/>
      <c r="RBF233" s="15"/>
      <c r="RBG233" s="16"/>
      <c r="RBH233" s="16"/>
      <c r="RBI233" s="16"/>
      <c r="RBJ233" s="16"/>
      <c r="RBK233" s="16"/>
      <c r="RBL233" s="15"/>
      <c r="RBM233" s="15"/>
      <c r="RBN233" s="10"/>
      <c r="RBO233" s="10"/>
      <c r="RBP233" s="19"/>
      <c r="RBQ233" s="19"/>
      <c r="RBT233" s="16"/>
      <c r="RBU233" s="15"/>
      <c r="RBV233" s="15"/>
      <c r="RBW233" s="15"/>
      <c r="RBX233" s="16"/>
      <c r="RBY233" s="16"/>
      <c r="RBZ233" s="16"/>
      <c r="RCA233" s="16"/>
      <c r="RCB233" s="16"/>
      <c r="RCC233" s="15"/>
      <c r="RCD233" s="15"/>
      <c r="RCE233" s="10"/>
      <c r="RCF233" s="10"/>
      <c r="RCG233" s="19"/>
      <c r="RCH233" s="19"/>
      <c r="RCK233" s="16"/>
      <c r="RCL233" s="15"/>
      <c r="RCM233" s="15"/>
      <c r="RCN233" s="15"/>
      <c r="RCO233" s="16"/>
      <c r="RCP233" s="16"/>
      <c r="RCQ233" s="16"/>
      <c r="RCR233" s="16"/>
      <c r="RCS233" s="16"/>
      <c r="RCT233" s="15"/>
      <c r="RCU233" s="15"/>
      <c r="RCV233" s="10"/>
      <c r="RCW233" s="10"/>
      <c r="RCX233" s="19"/>
      <c r="RCY233" s="19"/>
      <c r="RDB233" s="16"/>
      <c r="RDC233" s="15"/>
      <c r="RDD233" s="15"/>
      <c r="RDE233" s="15"/>
      <c r="RDF233" s="16"/>
      <c r="RDG233" s="16"/>
      <c r="RDH233" s="16"/>
      <c r="RDI233" s="16"/>
      <c r="RDJ233" s="16"/>
      <c r="RDK233" s="15"/>
      <c r="RDL233" s="15"/>
      <c r="RDM233" s="10"/>
      <c r="RDN233" s="10"/>
      <c r="RDO233" s="19"/>
      <c r="RDP233" s="19"/>
      <c r="RDS233" s="16"/>
      <c r="RDT233" s="15"/>
      <c r="RDU233" s="15"/>
      <c r="RDV233" s="15"/>
      <c r="RDW233" s="16"/>
      <c r="RDX233" s="16"/>
      <c r="RDY233" s="16"/>
      <c r="RDZ233" s="16"/>
      <c r="REA233" s="16"/>
      <c r="REB233" s="15"/>
      <c r="REC233" s="15"/>
      <c r="RED233" s="10"/>
      <c r="REE233" s="10"/>
      <c r="REF233" s="19"/>
      <c r="REG233" s="19"/>
      <c r="REJ233" s="16"/>
      <c r="REK233" s="15"/>
      <c r="REL233" s="15"/>
      <c r="REM233" s="15"/>
      <c r="REN233" s="16"/>
      <c r="REO233" s="16"/>
      <c r="REP233" s="16"/>
      <c r="REQ233" s="16"/>
      <c r="RER233" s="16"/>
      <c r="RES233" s="15"/>
      <c r="RET233" s="15"/>
      <c r="REU233" s="10"/>
      <c r="REV233" s="10"/>
      <c r="REW233" s="19"/>
      <c r="REX233" s="19"/>
      <c r="RFA233" s="16"/>
      <c r="RFB233" s="15"/>
      <c r="RFC233" s="15"/>
      <c r="RFD233" s="15"/>
      <c r="RFE233" s="16"/>
      <c r="RFF233" s="16"/>
      <c r="RFG233" s="16"/>
      <c r="RFH233" s="16"/>
      <c r="RFI233" s="16"/>
      <c r="RFJ233" s="15"/>
      <c r="RFK233" s="15"/>
      <c r="RFL233" s="10"/>
      <c r="RFM233" s="10"/>
      <c r="RFN233" s="19"/>
      <c r="RFO233" s="19"/>
      <c r="RFR233" s="16"/>
      <c r="RFS233" s="15"/>
      <c r="RFT233" s="15"/>
      <c r="RFU233" s="15"/>
      <c r="RFV233" s="16"/>
      <c r="RFW233" s="16"/>
      <c r="RFX233" s="16"/>
      <c r="RFY233" s="16"/>
      <c r="RFZ233" s="16"/>
      <c r="RGA233" s="15"/>
      <c r="RGB233" s="15"/>
      <c r="RGC233" s="10"/>
      <c r="RGD233" s="10"/>
      <c r="RGE233" s="19"/>
      <c r="RGF233" s="19"/>
      <c r="RGI233" s="16"/>
      <c r="RGJ233" s="15"/>
      <c r="RGK233" s="15"/>
      <c r="RGL233" s="15"/>
      <c r="RGM233" s="16"/>
      <c r="RGN233" s="16"/>
      <c r="RGO233" s="16"/>
      <c r="RGP233" s="16"/>
      <c r="RGQ233" s="16"/>
      <c r="RGR233" s="15"/>
      <c r="RGS233" s="15"/>
      <c r="RGT233" s="10"/>
      <c r="RGU233" s="10"/>
      <c r="RGV233" s="19"/>
      <c r="RGW233" s="19"/>
      <c r="RGZ233" s="16"/>
      <c r="RHA233" s="15"/>
      <c r="RHB233" s="15"/>
      <c r="RHC233" s="15"/>
      <c r="RHD233" s="16"/>
      <c r="RHE233" s="16"/>
      <c r="RHF233" s="16"/>
      <c r="RHG233" s="16"/>
      <c r="RHH233" s="16"/>
      <c r="RHI233" s="15"/>
      <c r="RHJ233" s="15"/>
      <c r="RHK233" s="10"/>
      <c r="RHL233" s="10"/>
      <c r="RHM233" s="19"/>
      <c r="RHN233" s="19"/>
      <c r="RHQ233" s="16"/>
      <c r="RHR233" s="15"/>
      <c r="RHS233" s="15"/>
      <c r="RHT233" s="15"/>
      <c r="RHU233" s="16"/>
      <c r="RHV233" s="16"/>
      <c r="RHW233" s="16"/>
      <c r="RHX233" s="16"/>
      <c r="RHY233" s="16"/>
      <c r="RHZ233" s="15"/>
      <c r="RIA233" s="15"/>
      <c r="RIB233" s="10"/>
      <c r="RIC233" s="10"/>
      <c r="RID233" s="19"/>
      <c r="RIE233" s="19"/>
      <c r="RIH233" s="16"/>
      <c r="RII233" s="15"/>
      <c r="RIJ233" s="15"/>
      <c r="RIK233" s="15"/>
      <c r="RIL233" s="16"/>
      <c r="RIM233" s="16"/>
      <c r="RIN233" s="16"/>
      <c r="RIO233" s="16"/>
      <c r="RIP233" s="16"/>
      <c r="RIQ233" s="15"/>
      <c r="RIR233" s="15"/>
      <c r="RIS233" s="10"/>
      <c r="RIT233" s="10"/>
      <c r="RIU233" s="19"/>
      <c r="RIV233" s="19"/>
      <c r="RIY233" s="16"/>
      <c r="RIZ233" s="15"/>
      <c r="RJA233" s="15"/>
      <c r="RJB233" s="15"/>
      <c r="RJC233" s="16"/>
      <c r="RJD233" s="16"/>
      <c r="RJE233" s="16"/>
      <c r="RJF233" s="16"/>
      <c r="RJG233" s="16"/>
      <c r="RJH233" s="15"/>
      <c r="RJI233" s="15"/>
      <c r="RJJ233" s="10"/>
      <c r="RJK233" s="10"/>
      <c r="RJL233" s="19"/>
      <c r="RJM233" s="19"/>
      <c r="RJP233" s="16"/>
      <c r="RJQ233" s="15"/>
      <c r="RJR233" s="15"/>
      <c r="RJS233" s="15"/>
      <c r="RJT233" s="16"/>
      <c r="RJU233" s="16"/>
      <c r="RJV233" s="16"/>
      <c r="RJW233" s="16"/>
      <c r="RJX233" s="16"/>
      <c r="RJY233" s="15"/>
      <c r="RJZ233" s="15"/>
      <c r="RKA233" s="10"/>
      <c r="RKB233" s="10"/>
      <c r="RKC233" s="19"/>
      <c r="RKD233" s="19"/>
      <c r="RKG233" s="16"/>
      <c r="RKH233" s="15"/>
      <c r="RKI233" s="15"/>
      <c r="RKJ233" s="15"/>
      <c r="RKK233" s="16"/>
      <c r="RKL233" s="16"/>
      <c r="RKM233" s="16"/>
      <c r="RKN233" s="16"/>
      <c r="RKO233" s="16"/>
      <c r="RKP233" s="15"/>
      <c r="RKQ233" s="15"/>
      <c r="RKR233" s="10"/>
      <c r="RKS233" s="10"/>
      <c r="RKT233" s="19"/>
      <c r="RKU233" s="19"/>
      <c r="RKX233" s="16"/>
      <c r="RKY233" s="15"/>
      <c r="RKZ233" s="15"/>
      <c r="RLA233" s="15"/>
      <c r="RLB233" s="16"/>
      <c r="RLC233" s="16"/>
      <c r="RLD233" s="16"/>
      <c r="RLE233" s="16"/>
      <c r="RLF233" s="16"/>
      <c r="RLG233" s="15"/>
      <c r="RLH233" s="15"/>
      <c r="RLI233" s="10"/>
      <c r="RLJ233" s="10"/>
      <c r="RLK233" s="19"/>
      <c r="RLL233" s="19"/>
      <c r="RLO233" s="16"/>
      <c r="RLP233" s="15"/>
      <c r="RLQ233" s="15"/>
      <c r="RLR233" s="15"/>
      <c r="RLS233" s="16"/>
      <c r="RLT233" s="16"/>
      <c r="RLU233" s="16"/>
      <c r="RLV233" s="16"/>
      <c r="RLW233" s="16"/>
      <c r="RLX233" s="15"/>
      <c r="RLY233" s="15"/>
      <c r="RLZ233" s="10"/>
      <c r="RMA233" s="10"/>
      <c r="RMB233" s="19"/>
      <c r="RMC233" s="19"/>
      <c r="RMF233" s="16"/>
      <c r="RMG233" s="15"/>
      <c r="RMH233" s="15"/>
      <c r="RMI233" s="15"/>
      <c r="RMJ233" s="16"/>
      <c r="RMK233" s="16"/>
      <c r="RML233" s="16"/>
      <c r="RMM233" s="16"/>
      <c r="RMN233" s="16"/>
      <c r="RMO233" s="15"/>
      <c r="RMP233" s="15"/>
      <c r="RMQ233" s="10"/>
      <c r="RMR233" s="10"/>
      <c r="RMS233" s="19"/>
      <c r="RMT233" s="19"/>
      <c r="RMW233" s="16"/>
      <c r="RMX233" s="15"/>
      <c r="RMY233" s="15"/>
      <c r="RMZ233" s="15"/>
      <c r="RNA233" s="16"/>
      <c r="RNB233" s="16"/>
      <c r="RNC233" s="16"/>
      <c r="RND233" s="16"/>
      <c r="RNE233" s="16"/>
      <c r="RNF233" s="15"/>
      <c r="RNG233" s="15"/>
      <c r="RNH233" s="10"/>
      <c r="RNI233" s="10"/>
      <c r="RNJ233" s="19"/>
      <c r="RNK233" s="19"/>
      <c r="RNN233" s="16"/>
      <c r="RNO233" s="15"/>
      <c r="RNP233" s="15"/>
      <c r="RNQ233" s="15"/>
      <c r="RNR233" s="16"/>
      <c r="RNS233" s="16"/>
      <c r="RNT233" s="16"/>
      <c r="RNU233" s="16"/>
      <c r="RNV233" s="16"/>
      <c r="RNW233" s="15"/>
      <c r="RNX233" s="15"/>
      <c r="RNY233" s="10"/>
      <c r="RNZ233" s="10"/>
      <c r="ROA233" s="19"/>
      <c r="ROB233" s="19"/>
      <c r="ROE233" s="16"/>
      <c r="ROF233" s="15"/>
      <c r="ROG233" s="15"/>
      <c r="ROH233" s="15"/>
      <c r="ROI233" s="16"/>
      <c r="ROJ233" s="16"/>
      <c r="ROK233" s="16"/>
      <c r="ROL233" s="16"/>
      <c r="ROM233" s="16"/>
      <c r="RON233" s="15"/>
      <c r="ROO233" s="15"/>
      <c r="ROP233" s="10"/>
      <c r="ROQ233" s="10"/>
      <c r="ROR233" s="19"/>
      <c r="ROS233" s="19"/>
      <c r="ROV233" s="16"/>
      <c r="ROW233" s="15"/>
      <c r="ROX233" s="15"/>
      <c r="ROY233" s="15"/>
      <c r="ROZ233" s="16"/>
      <c r="RPA233" s="16"/>
      <c r="RPB233" s="16"/>
      <c r="RPC233" s="16"/>
      <c r="RPD233" s="16"/>
      <c r="RPE233" s="15"/>
      <c r="RPF233" s="15"/>
      <c r="RPG233" s="10"/>
      <c r="RPH233" s="10"/>
      <c r="RPI233" s="19"/>
      <c r="RPJ233" s="19"/>
      <c r="RPM233" s="16"/>
      <c r="RPN233" s="15"/>
      <c r="RPO233" s="15"/>
      <c r="RPP233" s="15"/>
      <c r="RPQ233" s="16"/>
      <c r="RPR233" s="16"/>
      <c r="RPS233" s="16"/>
      <c r="RPT233" s="16"/>
      <c r="RPU233" s="16"/>
      <c r="RPV233" s="15"/>
      <c r="RPW233" s="15"/>
      <c r="RPX233" s="10"/>
      <c r="RPY233" s="10"/>
      <c r="RPZ233" s="19"/>
      <c r="RQA233" s="19"/>
      <c r="RQD233" s="16"/>
      <c r="RQE233" s="15"/>
      <c r="RQF233" s="15"/>
      <c r="RQG233" s="15"/>
      <c r="RQH233" s="16"/>
      <c r="RQI233" s="16"/>
      <c r="RQJ233" s="16"/>
      <c r="RQK233" s="16"/>
      <c r="RQL233" s="16"/>
      <c r="RQM233" s="15"/>
      <c r="RQN233" s="15"/>
      <c r="RQO233" s="10"/>
      <c r="RQP233" s="10"/>
      <c r="RQQ233" s="19"/>
      <c r="RQR233" s="19"/>
      <c r="RQU233" s="16"/>
      <c r="RQV233" s="15"/>
      <c r="RQW233" s="15"/>
      <c r="RQX233" s="15"/>
      <c r="RQY233" s="16"/>
      <c r="RQZ233" s="16"/>
      <c r="RRA233" s="16"/>
      <c r="RRB233" s="16"/>
      <c r="RRC233" s="16"/>
      <c r="RRD233" s="15"/>
      <c r="RRE233" s="15"/>
      <c r="RRF233" s="10"/>
      <c r="RRG233" s="10"/>
      <c r="RRH233" s="19"/>
      <c r="RRI233" s="19"/>
      <c r="RRL233" s="16"/>
      <c r="RRM233" s="15"/>
      <c r="RRN233" s="15"/>
      <c r="RRO233" s="15"/>
      <c r="RRP233" s="16"/>
      <c r="RRQ233" s="16"/>
      <c r="RRR233" s="16"/>
      <c r="RRS233" s="16"/>
      <c r="RRT233" s="16"/>
      <c r="RRU233" s="15"/>
      <c r="RRV233" s="15"/>
      <c r="RRW233" s="10"/>
      <c r="RRX233" s="10"/>
      <c r="RRY233" s="19"/>
      <c r="RRZ233" s="19"/>
      <c r="RSC233" s="16"/>
      <c r="RSD233" s="15"/>
      <c r="RSE233" s="15"/>
      <c r="RSF233" s="15"/>
      <c r="RSG233" s="16"/>
      <c r="RSH233" s="16"/>
      <c r="RSI233" s="16"/>
      <c r="RSJ233" s="16"/>
      <c r="RSK233" s="16"/>
      <c r="RSL233" s="15"/>
      <c r="RSM233" s="15"/>
      <c r="RSN233" s="10"/>
      <c r="RSO233" s="10"/>
      <c r="RSP233" s="19"/>
      <c r="RSQ233" s="19"/>
      <c r="RST233" s="16"/>
      <c r="RSU233" s="15"/>
      <c r="RSV233" s="15"/>
      <c r="RSW233" s="15"/>
      <c r="RSX233" s="16"/>
      <c r="RSY233" s="16"/>
      <c r="RSZ233" s="16"/>
      <c r="RTA233" s="16"/>
      <c r="RTB233" s="16"/>
      <c r="RTC233" s="15"/>
      <c r="RTD233" s="15"/>
      <c r="RTE233" s="10"/>
      <c r="RTF233" s="10"/>
      <c r="RTG233" s="19"/>
      <c r="RTH233" s="19"/>
      <c r="RTK233" s="16"/>
      <c r="RTL233" s="15"/>
      <c r="RTM233" s="15"/>
      <c r="RTN233" s="15"/>
      <c r="RTO233" s="16"/>
      <c r="RTP233" s="16"/>
      <c r="RTQ233" s="16"/>
      <c r="RTR233" s="16"/>
      <c r="RTS233" s="16"/>
      <c r="RTT233" s="15"/>
      <c r="RTU233" s="15"/>
      <c r="RTV233" s="10"/>
      <c r="RTW233" s="10"/>
      <c r="RTX233" s="19"/>
      <c r="RTY233" s="19"/>
      <c r="RUB233" s="16"/>
      <c r="RUC233" s="15"/>
      <c r="RUD233" s="15"/>
      <c r="RUE233" s="15"/>
      <c r="RUF233" s="16"/>
      <c r="RUG233" s="16"/>
      <c r="RUH233" s="16"/>
      <c r="RUI233" s="16"/>
      <c r="RUJ233" s="16"/>
      <c r="RUK233" s="15"/>
      <c r="RUL233" s="15"/>
      <c r="RUM233" s="10"/>
      <c r="RUN233" s="10"/>
      <c r="RUO233" s="19"/>
      <c r="RUP233" s="19"/>
      <c r="RUS233" s="16"/>
      <c r="RUT233" s="15"/>
      <c r="RUU233" s="15"/>
      <c r="RUV233" s="15"/>
      <c r="RUW233" s="16"/>
      <c r="RUX233" s="16"/>
      <c r="RUY233" s="16"/>
      <c r="RUZ233" s="16"/>
      <c r="RVA233" s="16"/>
      <c r="RVB233" s="15"/>
      <c r="RVC233" s="15"/>
      <c r="RVD233" s="10"/>
      <c r="RVE233" s="10"/>
      <c r="RVF233" s="19"/>
      <c r="RVG233" s="19"/>
      <c r="RVJ233" s="16"/>
      <c r="RVK233" s="15"/>
      <c r="RVL233" s="15"/>
      <c r="RVM233" s="15"/>
      <c r="RVN233" s="16"/>
      <c r="RVO233" s="16"/>
      <c r="RVP233" s="16"/>
      <c r="RVQ233" s="16"/>
      <c r="RVR233" s="16"/>
      <c r="RVS233" s="15"/>
      <c r="RVT233" s="15"/>
      <c r="RVU233" s="10"/>
      <c r="RVV233" s="10"/>
      <c r="RVW233" s="19"/>
      <c r="RVX233" s="19"/>
      <c r="RWA233" s="16"/>
      <c r="RWB233" s="15"/>
      <c r="RWC233" s="15"/>
      <c r="RWD233" s="15"/>
      <c r="RWE233" s="16"/>
      <c r="RWF233" s="16"/>
      <c r="RWG233" s="16"/>
      <c r="RWH233" s="16"/>
      <c r="RWI233" s="16"/>
      <c r="RWJ233" s="15"/>
      <c r="RWK233" s="15"/>
      <c r="RWL233" s="10"/>
      <c r="RWM233" s="10"/>
      <c r="RWN233" s="19"/>
      <c r="RWO233" s="19"/>
      <c r="RWR233" s="16"/>
      <c r="RWS233" s="15"/>
      <c r="RWT233" s="15"/>
      <c r="RWU233" s="15"/>
      <c r="RWV233" s="16"/>
      <c r="RWW233" s="16"/>
      <c r="RWX233" s="16"/>
      <c r="RWY233" s="16"/>
      <c r="RWZ233" s="16"/>
      <c r="RXA233" s="15"/>
      <c r="RXB233" s="15"/>
      <c r="RXC233" s="10"/>
      <c r="RXD233" s="10"/>
      <c r="RXE233" s="19"/>
      <c r="RXF233" s="19"/>
      <c r="RXI233" s="16"/>
      <c r="RXJ233" s="15"/>
      <c r="RXK233" s="15"/>
      <c r="RXL233" s="15"/>
      <c r="RXM233" s="16"/>
      <c r="RXN233" s="16"/>
      <c r="RXO233" s="16"/>
      <c r="RXP233" s="16"/>
      <c r="RXQ233" s="16"/>
      <c r="RXR233" s="15"/>
      <c r="RXS233" s="15"/>
      <c r="RXT233" s="10"/>
      <c r="RXU233" s="10"/>
      <c r="RXV233" s="19"/>
      <c r="RXW233" s="19"/>
      <c r="RXZ233" s="16"/>
      <c r="RYA233" s="15"/>
      <c r="RYB233" s="15"/>
      <c r="RYC233" s="15"/>
      <c r="RYD233" s="16"/>
      <c r="RYE233" s="16"/>
      <c r="RYF233" s="16"/>
      <c r="RYG233" s="16"/>
      <c r="RYH233" s="16"/>
      <c r="RYI233" s="15"/>
      <c r="RYJ233" s="15"/>
      <c r="RYK233" s="10"/>
      <c r="RYL233" s="10"/>
      <c r="RYM233" s="19"/>
      <c r="RYN233" s="19"/>
      <c r="RYQ233" s="16"/>
      <c r="RYR233" s="15"/>
      <c r="RYS233" s="15"/>
      <c r="RYT233" s="15"/>
      <c r="RYU233" s="16"/>
      <c r="RYV233" s="16"/>
      <c r="RYW233" s="16"/>
      <c r="RYX233" s="16"/>
      <c r="RYY233" s="16"/>
      <c r="RYZ233" s="15"/>
      <c r="RZA233" s="15"/>
      <c r="RZB233" s="10"/>
      <c r="RZC233" s="10"/>
      <c r="RZD233" s="19"/>
      <c r="RZE233" s="19"/>
      <c r="RZH233" s="16"/>
      <c r="RZI233" s="15"/>
      <c r="RZJ233" s="15"/>
      <c r="RZK233" s="15"/>
      <c r="RZL233" s="16"/>
      <c r="RZM233" s="16"/>
      <c r="RZN233" s="16"/>
      <c r="RZO233" s="16"/>
      <c r="RZP233" s="16"/>
      <c r="RZQ233" s="15"/>
      <c r="RZR233" s="15"/>
      <c r="RZS233" s="10"/>
      <c r="RZT233" s="10"/>
      <c r="RZU233" s="19"/>
      <c r="RZV233" s="19"/>
      <c r="RZY233" s="16"/>
      <c r="RZZ233" s="15"/>
      <c r="SAA233" s="15"/>
      <c r="SAB233" s="15"/>
      <c r="SAC233" s="16"/>
      <c r="SAD233" s="16"/>
      <c r="SAE233" s="16"/>
      <c r="SAF233" s="16"/>
      <c r="SAG233" s="16"/>
      <c r="SAH233" s="15"/>
      <c r="SAI233" s="15"/>
      <c r="SAJ233" s="10"/>
      <c r="SAK233" s="10"/>
      <c r="SAL233" s="19"/>
      <c r="SAM233" s="19"/>
      <c r="SAP233" s="16"/>
      <c r="SAQ233" s="15"/>
      <c r="SAR233" s="15"/>
      <c r="SAS233" s="15"/>
      <c r="SAT233" s="16"/>
      <c r="SAU233" s="16"/>
      <c r="SAV233" s="16"/>
      <c r="SAW233" s="16"/>
      <c r="SAX233" s="16"/>
      <c r="SAY233" s="15"/>
      <c r="SAZ233" s="15"/>
      <c r="SBA233" s="10"/>
      <c r="SBB233" s="10"/>
      <c r="SBC233" s="19"/>
      <c r="SBD233" s="19"/>
      <c r="SBG233" s="16"/>
      <c r="SBH233" s="15"/>
      <c r="SBI233" s="15"/>
      <c r="SBJ233" s="15"/>
      <c r="SBK233" s="16"/>
      <c r="SBL233" s="16"/>
      <c r="SBM233" s="16"/>
      <c r="SBN233" s="16"/>
      <c r="SBO233" s="16"/>
      <c r="SBP233" s="15"/>
      <c r="SBQ233" s="15"/>
      <c r="SBR233" s="10"/>
      <c r="SBS233" s="10"/>
      <c r="SBT233" s="19"/>
      <c r="SBU233" s="19"/>
      <c r="SBX233" s="16"/>
      <c r="SBY233" s="15"/>
      <c r="SBZ233" s="15"/>
      <c r="SCA233" s="15"/>
      <c r="SCB233" s="16"/>
      <c r="SCC233" s="16"/>
      <c r="SCD233" s="16"/>
      <c r="SCE233" s="16"/>
      <c r="SCF233" s="16"/>
      <c r="SCG233" s="15"/>
      <c r="SCH233" s="15"/>
      <c r="SCI233" s="10"/>
      <c r="SCJ233" s="10"/>
      <c r="SCK233" s="19"/>
      <c r="SCL233" s="19"/>
      <c r="SCO233" s="16"/>
      <c r="SCP233" s="15"/>
      <c r="SCQ233" s="15"/>
      <c r="SCR233" s="15"/>
      <c r="SCS233" s="16"/>
      <c r="SCT233" s="16"/>
      <c r="SCU233" s="16"/>
      <c r="SCV233" s="16"/>
      <c r="SCW233" s="16"/>
      <c r="SCX233" s="15"/>
      <c r="SCY233" s="15"/>
      <c r="SCZ233" s="10"/>
      <c r="SDA233" s="10"/>
      <c r="SDB233" s="19"/>
      <c r="SDC233" s="19"/>
      <c r="SDF233" s="16"/>
      <c r="SDG233" s="15"/>
      <c r="SDH233" s="15"/>
      <c r="SDI233" s="15"/>
      <c r="SDJ233" s="16"/>
      <c r="SDK233" s="16"/>
      <c r="SDL233" s="16"/>
      <c r="SDM233" s="16"/>
      <c r="SDN233" s="16"/>
      <c r="SDO233" s="15"/>
      <c r="SDP233" s="15"/>
      <c r="SDQ233" s="10"/>
      <c r="SDR233" s="10"/>
      <c r="SDS233" s="19"/>
      <c r="SDT233" s="19"/>
      <c r="SDW233" s="16"/>
      <c r="SDX233" s="15"/>
      <c r="SDY233" s="15"/>
      <c r="SDZ233" s="15"/>
      <c r="SEA233" s="16"/>
      <c r="SEB233" s="16"/>
      <c r="SEC233" s="16"/>
      <c r="SED233" s="16"/>
      <c r="SEE233" s="16"/>
      <c r="SEF233" s="15"/>
      <c r="SEG233" s="15"/>
      <c r="SEH233" s="10"/>
      <c r="SEI233" s="10"/>
      <c r="SEJ233" s="19"/>
      <c r="SEK233" s="19"/>
      <c r="SEN233" s="16"/>
      <c r="SEO233" s="15"/>
      <c r="SEP233" s="15"/>
      <c r="SEQ233" s="15"/>
      <c r="SER233" s="16"/>
      <c r="SES233" s="16"/>
      <c r="SET233" s="16"/>
      <c r="SEU233" s="16"/>
      <c r="SEV233" s="16"/>
      <c r="SEW233" s="15"/>
      <c r="SEX233" s="15"/>
      <c r="SEY233" s="10"/>
      <c r="SEZ233" s="10"/>
      <c r="SFA233" s="19"/>
      <c r="SFB233" s="19"/>
      <c r="SFE233" s="16"/>
      <c r="SFF233" s="15"/>
      <c r="SFG233" s="15"/>
      <c r="SFH233" s="15"/>
      <c r="SFI233" s="16"/>
      <c r="SFJ233" s="16"/>
      <c r="SFK233" s="16"/>
      <c r="SFL233" s="16"/>
      <c r="SFM233" s="16"/>
      <c r="SFN233" s="15"/>
      <c r="SFO233" s="15"/>
      <c r="SFP233" s="10"/>
      <c r="SFQ233" s="10"/>
      <c r="SFR233" s="19"/>
      <c r="SFS233" s="19"/>
      <c r="SFV233" s="16"/>
      <c r="SFW233" s="15"/>
      <c r="SFX233" s="15"/>
      <c r="SFY233" s="15"/>
      <c r="SFZ233" s="16"/>
      <c r="SGA233" s="16"/>
      <c r="SGB233" s="16"/>
      <c r="SGC233" s="16"/>
      <c r="SGD233" s="16"/>
      <c r="SGE233" s="15"/>
      <c r="SGF233" s="15"/>
      <c r="SGG233" s="10"/>
      <c r="SGH233" s="10"/>
      <c r="SGI233" s="19"/>
      <c r="SGJ233" s="19"/>
      <c r="SGM233" s="16"/>
      <c r="SGN233" s="15"/>
      <c r="SGO233" s="15"/>
      <c r="SGP233" s="15"/>
      <c r="SGQ233" s="16"/>
      <c r="SGR233" s="16"/>
      <c r="SGS233" s="16"/>
      <c r="SGT233" s="16"/>
      <c r="SGU233" s="16"/>
      <c r="SGV233" s="15"/>
      <c r="SGW233" s="15"/>
      <c r="SGX233" s="10"/>
      <c r="SGY233" s="10"/>
      <c r="SGZ233" s="19"/>
      <c r="SHA233" s="19"/>
      <c r="SHD233" s="16"/>
      <c r="SHE233" s="15"/>
      <c r="SHF233" s="15"/>
      <c r="SHG233" s="15"/>
      <c r="SHH233" s="16"/>
      <c r="SHI233" s="16"/>
      <c r="SHJ233" s="16"/>
      <c r="SHK233" s="16"/>
      <c r="SHL233" s="16"/>
      <c r="SHM233" s="15"/>
      <c r="SHN233" s="15"/>
      <c r="SHO233" s="10"/>
      <c r="SHP233" s="10"/>
      <c r="SHQ233" s="19"/>
      <c r="SHR233" s="19"/>
      <c r="SHU233" s="16"/>
      <c r="SHV233" s="15"/>
      <c r="SHW233" s="15"/>
      <c r="SHX233" s="15"/>
      <c r="SHY233" s="16"/>
      <c r="SHZ233" s="16"/>
      <c r="SIA233" s="16"/>
      <c r="SIB233" s="16"/>
      <c r="SIC233" s="16"/>
      <c r="SID233" s="15"/>
      <c r="SIE233" s="15"/>
      <c r="SIF233" s="10"/>
      <c r="SIG233" s="10"/>
      <c r="SIH233" s="19"/>
      <c r="SII233" s="19"/>
      <c r="SIL233" s="16"/>
      <c r="SIM233" s="15"/>
      <c r="SIN233" s="15"/>
      <c r="SIO233" s="15"/>
      <c r="SIP233" s="16"/>
      <c r="SIQ233" s="16"/>
      <c r="SIR233" s="16"/>
      <c r="SIS233" s="16"/>
      <c r="SIT233" s="16"/>
      <c r="SIU233" s="15"/>
      <c r="SIV233" s="15"/>
      <c r="SIW233" s="10"/>
      <c r="SIX233" s="10"/>
      <c r="SIY233" s="19"/>
      <c r="SIZ233" s="19"/>
      <c r="SJC233" s="16"/>
      <c r="SJD233" s="15"/>
      <c r="SJE233" s="15"/>
      <c r="SJF233" s="15"/>
      <c r="SJG233" s="16"/>
      <c r="SJH233" s="16"/>
      <c r="SJI233" s="16"/>
      <c r="SJJ233" s="16"/>
      <c r="SJK233" s="16"/>
      <c r="SJL233" s="15"/>
      <c r="SJM233" s="15"/>
      <c r="SJN233" s="10"/>
      <c r="SJO233" s="10"/>
      <c r="SJP233" s="19"/>
      <c r="SJQ233" s="19"/>
      <c r="SJT233" s="16"/>
      <c r="SJU233" s="15"/>
      <c r="SJV233" s="15"/>
      <c r="SJW233" s="15"/>
      <c r="SJX233" s="16"/>
      <c r="SJY233" s="16"/>
      <c r="SJZ233" s="16"/>
      <c r="SKA233" s="16"/>
      <c r="SKB233" s="16"/>
      <c r="SKC233" s="15"/>
      <c r="SKD233" s="15"/>
      <c r="SKE233" s="10"/>
      <c r="SKF233" s="10"/>
      <c r="SKG233" s="19"/>
      <c r="SKH233" s="19"/>
      <c r="SKK233" s="16"/>
      <c r="SKL233" s="15"/>
      <c r="SKM233" s="15"/>
      <c r="SKN233" s="15"/>
      <c r="SKO233" s="16"/>
      <c r="SKP233" s="16"/>
      <c r="SKQ233" s="16"/>
      <c r="SKR233" s="16"/>
      <c r="SKS233" s="16"/>
      <c r="SKT233" s="15"/>
      <c r="SKU233" s="15"/>
      <c r="SKV233" s="10"/>
      <c r="SKW233" s="10"/>
      <c r="SKX233" s="19"/>
      <c r="SKY233" s="19"/>
      <c r="SLB233" s="16"/>
      <c r="SLC233" s="15"/>
      <c r="SLD233" s="15"/>
      <c r="SLE233" s="15"/>
      <c r="SLF233" s="16"/>
      <c r="SLG233" s="16"/>
      <c r="SLH233" s="16"/>
      <c r="SLI233" s="16"/>
      <c r="SLJ233" s="16"/>
      <c r="SLK233" s="15"/>
      <c r="SLL233" s="15"/>
      <c r="SLM233" s="10"/>
      <c r="SLN233" s="10"/>
      <c r="SLO233" s="19"/>
      <c r="SLP233" s="19"/>
      <c r="SLS233" s="16"/>
      <c r="SLT233" s="15"/>
      <c r="SLU233" s="15"/>
      <c r="SLV233" s="15"/>
      <c r="SLW233" s="16"/>
      <c r="SLX233" s="16"/>
      <c r="SLY233" s="16"/>
      <c r="SLZ233" s="16"/>
      <c r="SMA233" s="16"/>
      <c r="SMB233" s="15"/>
      <c r="SMC233" s="15"/>
      <c r="SMD233" s="10"/>
      <c r="SME233" s="10"/>
      <c r="SMF233" s="19"/>
      <c r="SMG233" s="19"/>
      <c r="SMJ233" s="16"/>
      <c r="SMK233" s="15"/>
      <c r="SML233" s="15"/>
      <c r="SMM233" s="15"/>
      <c r="SMN233" s="16"/>
      <c r="SMO233" s="16"/>
      <c r="SMP233" s="16"/>
      <c r="SMQ233" s="16"/>
      <c r="SMR233" s="16"/>
      <c r="SMS233" s="15"/>
      <c r="SMT233" s="15"/>
      <c r="SMU233" s="10"/>
      <c r="SMV233" s="10"/>
      <c r="SMW233" s="19"/>
      <c r="SMX233" s="19"/>
      <c r="SNA233" s="16"/>
      <c r="SNB233" s="15"/>
      <c r="SNC233" s="15"/>
      <c r="SND233" s="15"/>
      <c r="SNE233" s="16"/>
      <c r="SNF233" s="16"/>
      <c r="SNG233" s="16"/>
      <c r="SNH233" s="16"/>
      <c r="SNI233" s="16"/>
      <c r="SNJ233" s="15"/>
      <c r="SNK233" s="15"/>
      <c r="SNL233" s="10"/>
      <c r="SNM233" s="10"/>
      <c r="SNN233" s="19"/>
      <c r="SNO233" s="19"/>
      <c r="SNR233" s="16"/>
      <c r="SNS233" s="15"/>
      <c r="SNT233" s="15"/>
      <c r="SNU233" s="15"/>
      <c r="SNV233" s="16"/>
      <c r="SNW233" s="16"/>
      <c r="SNX233" s="16"/>
      <c r="SNY233" s="16"/>
      <c r="SNZ233" s="16"/>
      <c r="SOA233" s="15"/>
      <c r="SOB233" s="15"/>
      <c r="SOC233" s="10"/>
      <c r="SOD233" s="10"/>
      <c r="SOE233" s="19"/>
      <c r="SOF233" s="19"/>
      <c r="SOI233" s="16"/>
      <c r="SOJ233" s="15"/>
      <c r="SOK233" s="15"/>
      <c r="SOL233" s="15"/>
      <c r="SOM233" s="16"/>
      <c r="SON233" s="16"/>
      <c r="SOO233" s="16"/>
      <c r="SOP233" s="16"/>
      <c r="SOQ233" s="16"/>
      <c r="SOR233" s="15"/>
      <c r="SOS233" s="15"/>
      <c r="SOT233" s="10"/>
      <c r="SOU233" s="10"/>
      <c r="SOV233" s="19"/>
      <c r="SOW233" s="19"/>
      <c r="SOZ233" s="16"/>
      <c r="SPA233" s="15"/>
      <c r="SPB233" s="15"/>
      <c r="SPC233" s="15"/>
      <c r="SPD233" s="16"/>
      <c r="SPE233" s="16"/>
      <c r="SPF233" s="16"/>
      <c r="SPG233" s="16"/>
      <c r="SPH233" s="16"/>
      <c r="SPI233" s="15"/>
      <c r="SPJ233" s="15"/>
      <c r="SPK233" s="10"/>
      <c r="SPL233" s="10"/>
      <c r="SPM233" s="19"/>
      <c r="SPN233" s="19"/>
      <c r="SPQ233" s="16"/>
      <c r="SPR233" s="15"/>
      <c r="SPS233" s="15"/>
      <c r="SPT233" s="15"/>
      <c r="SPU233" s="16"/>
      <c r="SPV233" s="16"/>
      <c r="SPW233" s="16"/>
      <c r="SPX233" s="16"/>
      <c r="SPY233" s="16"/>
      <c r="SPZ233" s="15"/>
      <c r="SQA233" s="15"/>
      <c r="SQB233" s="10"/>
      <c r="SQC233" s="10"/>
      <c r="SQD233" s="19"/>
      <c r="SQE233" s="19"/>
      <c r="SQH233" s="16"/>
      <c r="SQI233" s="15"/>
      <c r="SQJ233" s="15"/>
      <c r="SQK233" s="15"/>
      <c r="SQL233" s="16"/>
      <c r="SQM233" s="16"/>
      <c r="SQN233" s="16"/>
      <c r="SQO233" s="16"/>
      <c r="SQP233" s="16"/>
      <c r="SQQ233" s="15"/>
      <c r="SQR233" s="15"/>
      <c r="SQS233" s="10"/>
      <c r="SQT233" s="10"/>
      <c r="SQU233" s="19"/>
      <c r="SQV233" s="19"/>
      <c r="SQY233" s="16"/>
      <c r="SQZ233" s="15"/>
      <c r="SRA233" s="15"/>
      <c r="SRB233" s="15"/>
      <c r="SRC233" s="16"/>
      <c r="SRD233" s="16"/>
      <c r="SRE233" s="16"/>
      <c r="SRF233" s="16"/>
      <c r="SRG233" s="16"/>
      <c r="SRH233" s="15"/>
      <c r="SRI233" s="15"/>
      <c r="SRJ233" s="10"/>
      <c r="SRK233" s="10"/>
      <c r="SRL233" s="19"/>
      <c r="SRM233" s="19"/>
      <c r="SRP233" s="16"/>
      <c r="SRQ233" s="15"/>
      <c r="SRR233" s="15"/>
      <c r="SRS233" s="15"/>
      <c r="SRT233" s="16"/>
      <c r="SRU233" s="16"/>
      <c r="SRV233" s="16"/>
      <c r="SRW233" s="16"/>
      <c r="SRX233" s="16"/>
      <c r="SRY233" s="15"/>
      <c r="SRZ233" s="15"/>
      <c r="SSA233" s="10"/>
      <c r="SSB233" s="10"/>
      <c r="SSC233" s="19"/>
      <c r="SSD233" s="19"/>
      <c r="SSG233" s="16"/>
      <c r="SSH233" s="15"/>
      <c r="SSI233" s="15"/>
      <c r="SSJ233" s="15"/>
      <c r="SSK233" s="16"/>
      <c r="SSL233" s="16"/>
      <c r="SSM233" s="16"/>
      <c r="SSN233" s="16"/>
      <c r="SSO233" s="16"/>
      <c r="SSP233" s="15"/>
      <c r="SSQ233" s="15"/>
      <c r="SSR233" s="10"/>
      <c r="SSS233" s="10"/>
      <c r="SST233" s="19"/>
      <c r="SSU233" s="19"/>
      <c r="SSX233" s="16"/>
      <c r="SSY233" s="15"/>
      <c r="SSZ233" s="15"/>
      <c r="STA233" s="15"/>
      <c r="STB233" s="16"/>
      <c r="STC233" s="16"/>
      <c r="STD233" s="16"/>
      <c r="STE233" s="16"/>
      <c r="STF233" s="16"/>
      <c r="STG233" s="15"/>
      <c r="STH233" s="15"/>
      <c r="STI233" s="10"/>
      <c r="STJ233" s="10"/>
      <c r="STK233" s="19"/>
      <c r="STL233" s="19"/>
      <c r="STO233" s="16"/>
      <c r="STP233" s="15"/>
      <c r="STQ233" s="15"/>
      <c r="STR233" s="15"/>
      <c r="STS233" s="16"/>
      <c r="STT233" s="16"/>
      <c r="STU233" s="16"/>
      <c r="STV233" s="16"/>
      <c r="STW233" s="16"/>
      <c r="STX233" s="15"/>
      <c r="STY233" s="15"/>
      <c r="STZ233" s="10"/>
      <c r="SUA233" s="10"/>
      <c r="SUB233" s="19"/>
      <c r="SUC233" s="19"/>
      <c r="SUF233" s="16"/>
      <c r="SUG233" s="15"/>
      <c r="SUH233" s="15"/>
      <c r="SUI233" s="15"/>
      <c r="SUJ233" s="16"/>
      <c r="SUK233" s="16"/>
      <c r="SUL233" s="16"/>
      <c r="SUM233" s="16"/>
      <c r="SUN233" s="16"/>
      <c r="SUO233" s="15"/>
      <c r="SUP233" s="15"/>
      <c r="SUQ233" s="10"/>
      <c r="SUR233" s="10"/>
      <c r="SUS233" s="19"/>
      <c r="SUT233" s="19"/>
      <c r="SUW233" s="16"/>
      <c r="SUX233" s="15"/>
      <c r="SUY233" s="15"/>
      <c r="SUZ233" s="15"/>
      <c r="SVA233" s="16"/>
      <c r="SVB233" s="16"/>
      <c r="SVC233" s="16"/>
      <c r="SVD233" s="16"/>
      <c r="SVE233" s="16"/>
      <c r="SVF233" s="15"/>
      <c r="SVG233" s="15"/>
      <c r="SVH233" s="10"/>
      <c r="SVI233" s="10"/>
      <c r="SVJ233" s="19"/>
      <c r="SVK233" s="19"/>
      <c r="SVN233" s="16"/>
      <c r="SVO233" s="15"/>
      <c r="SVP233" s="15"/>
      <c r="SVQ233" s="15"/>
      <c r="SVR233" s="16"/>
      <c r="SVS233" s="16"/>
      <c r="SVT233" s="16"/>
      <c r="SVU233" s="16"/>
      <c r="SVV233" s="16"/>
      <c r="SVW233" s="15"/>
      <c r="SVX233" s="15"/>
      <c r="SVY233" s="10"/>
      <c r="SVZ233" s="10"/>
      <c r="SWA233" s="19"/>
      <c r="SWB233" s="19"/>
      <c r="SWE233" s="16"/>
      <c r="SWF233" s="15"/>
      <c r="SWG233" s="15"/>
      <c r="SWH233" s="15"/>
      <c r="SWI233" s="16"/>
      <c r="SWJ233" s="16"/>
      <c r="SWK233" s="16"/>
      <c r="SWL233" s="16"/>
      <c r="SWM233" s="16"/>
      <c r="SWN233" s="15"/>
      <c r="SWO233" s="15"/>
      <c r="SWP233" s="10"/>
      <c r="SWQ233" s="10"/>
      <c r="SWR233" s="19"/>
      <c r="SWS233" s="19"/>
      <c r="SWV233" s="16"/>
      <c r="SWW233" s="15"/>
      <c r="SWX233" s="15"/>
      <c r="SWY233" s="15"/>
      <c r="SWZ233" s="16"/>
      <c r="SXA233" s="16"/>
      <c r="SXB233" s="16"/>
      <c r="SXC233" s="16"/>
      <c r="SXD233" s="16"/>
      <c r="SXE233" s="15"/>
      <c r="SXF233" s="15"/>
      <c r="SXG233" s="10"/>
      <c r="SXH233" s="10"/>
      <c r="SXI233" s="19"/>
      <c r="SXJ233" s="19"/>
      <c r="SXM233" s="16"/>
      <c r="SXN233" s="15"/>
      <c r="SXO233" s="15"/>
      <c r="SXP233" s="15"/>
      <c r="SXQ233" s="16"/>
      <c r="SXR233" s="16"/>
      <c r="SXS233" s="16"/>
      <c r="SXT233" s="16"/>
      <c r="SXU233" s="16"/>
      <c r="SXV233" s="15"/>
      <c r="SXW233" s="15"/>
      <c r="SXX233" s="10"/>
      <c r="SXY233" s="10"/>
      <c r="SXZ233" s="19"/>
      <c r="SYA233" s="19"/>
      <c r="SYD233" s="16"/>
      <c r="SYE233" s="15"/>
      <c r="SYF233" s="15"/>
      <c r="SYG233" s="15"/>
      <c r="SYH233" s="16"/>
      <c r="SYI233" s="16"/>
      <c r="SYJ233" s="16"/>
      <c r="SYK233" s="16"/>
      <c r="SYL233" s="16"/>
      <c r="SYM233" s="15"/>
      <c r="SYN233" s="15"/>
      <c r="SYO233" s="10"/>
      <c r="SYP233" s="10"/>
      <c r="SYQ233" s="19"/>
      <c r="SYR233" s="19"/>
      <c r="SYU233" s="16"/>
      <c r="SYV233" s="15"/>
      <c r="SYW233" s="15"/>
      <c r="SYX233" s="15"/>
      <c r="SYY233" s="16"/>
      <c r="SYZ233" s="16"/>
      <c r="SZA233" s="16"/>
      <c r="SZB233" s="16"/>
      <c r="SZC233" s="16"/>
      <c r="SZD233" s="15"/>
      <c r="SZE233" s="15"/>
      <c r="SZF233" s="10"/>
      <c r="SZG233" s="10"/>
      <c r="SZH233" s="19"/>
      <c r="SZI233" s="19"/>
      <c r="SZL233" s="16"/>
      <c r="SZM233" s="15"/>
      <c r="SZN233" s="15"/>
      <c r="SZO233" s="15"/>
      <c r="SZP233" s="16"/>
      <c r="SZQ233" s="16"/>
      <c r="SZR233" s="16"/>
      <c r="SZS233" s="16"/>
      <c r="SZT233" s="16"/>
      <c r="SZU233" s="15"/>
      <c r="SZV233" s="15"/>
      <c r="SZW233" s="10"/>
      <c r="SZX233" s="10"/>
      <c r="SZY233" s="19"/>
      <c r="SZZ233" s="19"/>
      <c r="TAC233" s="16"/>
      <c r="TAD233" s="15"/>
      <c r="TAE233" s="15"/>
      <c r="TAF233" s="15"/>
      <c r="TAG233" s="16"/>
      <c r="TAH233" s="16"/>
      <c r="TAI233" s="16"/>
      <c r="TAJ233" s="16"/>
      <c r="TAK233" s="16"/>
      <c r="TAL233" s="15"/>
      <c r="TAM233" s="15"/>
      <c r="TAN233" s="10"/>
      <c r="TAO233" s="10"/>
      <c r="TAP233" s="19"/>
      <c r="TAQ233" s="19"/>
      <c r="TAT233" s="16"/>
      <c r="TAU233" s="15"/>
      <c r="TAV233" s="15"/>
      <c r="TAW233" s="15"/>
      <c r="TAX233" s="16"/>
      <c r="TAY233" s="16"/>
      <c r="TAZ233" s="16"/>
      <c r="TBA233" s="16"/>
      <c r="TBB233" s="16"/>
      <c r="TBC233" s="15"/>
      <c r="TBD233" s="15"/>
      <c r="TBE233" s="10"/>
      <c r="TBF233" s="10"/>
      <c r="TBG233" s="19"/>
      <c r="TBH233" s="19"/>
      <c r="TBK233" s="16"/>
      <c r="TBL233" s="15"/>
      <c r="TBM233" s="15"/>
      <c r="TBN233" s="15"/>
      <c r="TBO233" s="16"/>
      <c r="TBP233" s="16"/>
      <c r="TBQ233" s="16"/>
      <c r="TBR233" s="16"/>
      <c r="TBS233" s="16"/>
      <c r="TBT233" s="15"/>
      <c r="TBU233" s="15"/>
      <c r="TBV233" s="10"/>
      <c r="TBW233" s="10"/>
      <c r="TBX233" s="19"/>
      <c r="TBY233" s="19"/>
      <c r="TCB233" s="16"/>
      <c r="TCC233" s="15"/>
      <c r="TCD233" s="15"/>
      <c r="TCE233" s="15"/>
      <c r="TCF233" s="16"/>
      <c r="TCG233" s="16"/>
      <c r="TCH233" s="16"/>
      <c r="TCI233" s="16"/>
      <c r="TCJ233" s="16"/>
      <c r="TCK233" s="15"/>
      <c r="TCL233" s="15"/>
      <c r="TCM233" s="10"/>
      <c r="TCN233" s="10"/>
      <c r="TCO233" s="19"/>
      <c r="TCP233" s="19"/>
      <c r="TCS233" s="16"/>
      <c r="TCT233" s="15"/>
      <c r="TCU233" s="15"/>
      <c r="TCV233" s="15"/>
      <c r="TCW233" s="16"/>
      <c r="TCX233" s="16"/>
      <c r="TCY233" s="16"/>
      <c r="TCZ233" s="16"/>
      <c r="TDA233" s="16"/>
      <c r="TDB233" s="15"/>
      <c r="TDC233" s="15"/>
      <c r="TDD233" s="10"/>
      <c r="TDE233" s="10"/>
      <c r="TDF233" s="19"/>
      <c r="TDG233" s="19"/>
      <c r="TDJ233" s="16"/>
      <c r="TDK233" s="15"/>
      <c r="TDL233" s="15"/>
      <c r="TDM233" s="15"/>
      <c r="TDN233" s="16"/>
      <c r="TDO233" s="16"/>
      <c r="TDP233" s="16"/>
      <c r="TDQ233" s="16"/>
      <c r="TDR233" s="16"/>
      <c r="TDS233" s="15"/>
      <c r="TDT233" s="15"/>
      <c r="TDU233" s="10"/>
      <c r="TDV233" s="10"/>
      <c r="TDW233" s="19"/>
      <c r="TDX233" s="19"/>
      <c r="TEA233" s="16"/>
      <c r="TEB233" s="15"/>
      <c r="TEC233" s="15"/>
      <c r="TED233" s="15"/>
      <c r="TEE233" s="16"/>
      <c r="TEF233" s="16"/>
      <c r="TEG233" s="16"/>
      <c r="TEH233" s="16"/>
      <c r="TEI233" s="16"/>
      <c r="TEJ233" s="15"/>
      <c r="TEK233" s="15"/>
      <c r="TEL233" s="10"/>
      <c r="TEM233" s="10"/>
      <c r="TEN233" s="19"/>
      <c r="TEO233" s="19"/>
      <c r="TER233" s="16"/>
      <c r="TES233" s="15"/>
      <c r="TET233" s="15"/>
      <c r="TEU233" s="15"/>
      <c r="TEV233" s="16"/>
      <c r="TEW233" s="16"/>
      <c r="TEX233" s="16"/>
      <c r="TEY233" s="16"/>
      <c r="TEZ233" s="16"/>
      <c r="TFA233" s="15"/>
      <c r="TFB233" s="15"/>
      <c r="TFC233" s="10"/>
      <c r="TFD233" s="10"/>
      <c r="TFE233" s="19"/>
      <c r="TFF233" s="19"/>
      <c r="TFI233" s="16"/>
      <c r="TFJ233" s="15"/>
      <c r="TFK233" s="15"/>
      <c r="TFL233" s="15"/>
      <c r="TFM233" s="16"/>
      <c r="TFN233" s="16"/>
      <c r="TFO233" s="16"/>
      <c r="TFP233" s="16"/>
      <c r="TFQ233" s="16"/>
      <c r="TFR233" s="15"/>
      <c r="TFS233" s="15"/>
      <c r="TFT233" s="10"/>
      <c r="TFU233" s="10"/>
      <c r="TFV233" s="19"/>
      <c r="TFW233" s="19"/>
      <c r="TFZ233" s="16"/>
      <c r="TGA233" s="15"/>
      <c r="TGB233" s="15"/>
      <c r="TGC233" s="15"/>
      <c r="TGD233" s="16"/>
      <c r="TGE233" s="16"/>
      <c r="TGF233" s="16"/>
      <c r="TGG233" s="16"/>
      <c r="TGH233" s="16"/>
      <c r="TGI233" s="15"/>
      <c r="TGJ233" s="15"/>
      <c r="TGK233" s="10"/>
      <c r="TGL233" s="10"/>
      <c r="TGM233" s="19"/>
      <c r="TGN233" s="19"/>
      <c r="TGQ233" s="16"/>
      <c r="TGR233" s="15"/>
      <c r="TGS233" s="15"/>
      <c r="TGT233" s="15"/>
      <c r="TGU233" s="16"/>
      <c r="TGV233" s="16"/>
      <c r="TGW233" s="16"/>
      <c r="TGX233" s="16"/>
      <c r="TGY233" s="16"/>
      <c r="TGZ233" s="15"/>
      <c r="THA233" s="15"/>
      <c r="THB233" s="10"/>
      <c r="THC233" s="10"/>
      <c r="THD233" s="19"/>
      <c r="THE233" s="19"/>
      <c r="THH233" s="16"/>
      <c r="THI233" s="15"/>
      <c r="THJ233" s="15"/>
      <c r="THK233" s="15"/>
      <c r="THL233" s="16"/>
      <c r="THM233" s="16"/>
      <c r="THN233" s="16"/>
      <c r="THO233" s="16"/>
      <c r="THP233" s="16"/>
      <c r="THQ233" s="15"/>
      <c r="THR233" s="15"/>
      <c r="THS233" s="10"/>
      <c r="THT233" s="10"/>
      <c r="THU233" s="19"/>
      <c r="THV233" s="19"/>
      <c r="THY233" s="16"/>
      <c r="THZ233" s="15"/>
      <c r="TIA233" s="15"/>
      <c r="TIB233" s="15"/>
      <c r="TIC233" s="16"/>
      <c r="TID233" s="16"/>
      <c r="TIE233" s="16"/>
      <c r="TIF233" s="16"/>
      <c r="TIG233" s="16"/>
      <c r="TIH233" s="15"/>
      <c r="TII233" s="15"/>
      <c r="TIJ233" s="10"/>
      <c r="TIK233" s="10"/>
      <c r="TIL233" s="19"/>
      <c r="TIM233" s="19"/>
      <c r="TIP233" s="16"/>
      <c r="TIQ233" s="15"/>
      <c r="TIR233" s="15"/>
      <c r="TIS233" s="15"/>
      <c r="TIT233" s="16"/>
      <c r="TIU233" s="16"/>
      <c r="TIV233" s="16"/>
      <c r="TIW233" s="16"/>
      <c r="TIX233" s="16"/>
      <c r="TIY233" s="15"/>
      <c r="TIZ233" s="15"/>
      <c r="TJA233" s="10"/>
      <c r="TJB233" s="10"/>
      <c r="TJC233" s="19"/>
      <c r="TJD233" s="19"/>
      <c r="TJG233" s="16"/>
      <c r="TJH233" s="15"/>
      <c r="TJI233" s="15"/>
      <c r="TJJ233" s="15"/>
      <c r="TJK233" s="16"/>
      <c r="TJL233" s="16"/>
      <c r="TJM233" s="16"/>
      <c r="TJN233" s="16"/>
      <c r="TJO233" s="16"/>
      <c r="TJP233" s="15"/>
      <c r="TJQ233" s="15"/>
      <c r="TJR233" s="10"/>
      <c r="TJS233" s="10"/>
      <c r="TJT233" s="19"/>
      <c r="TJU233" s="19"/>
      <c r="TJX233" s="16"/>
      <c r="TJY233" s="15"/>
      <c r="TJZ233" s="15"/>
      <c r="TKA233" s="15"/>
      <c r="TKB233" s="16"/>
      <c r="TKC233" s="16"/>
      <c r="TKD233" s="16"/>
      <c r="TKE233" s="16"/>
      <c r="TKF233" s="16"/>
      <c r="TKG233" s="15"/>
      <c r="TKH233" s="15"/>
      <c r="TKI233" s="10"/>
      <c r="TKJ233" s="10"/>
      <c r="TKK233" s="19"/>
      <c r="TKL233" s="19"/>
      <c r="TKO233" s="16"/>
      <c r="TKP233" s="15"/>
      <c r="TKQ233" s="15"/>
      <c r="TKR233" s="15"/>
      <c r="TKS233" s="16"/>
      <c r="TKT233" s="16"/>
      <c r="TKU233" s="16"/>
      <c r="TKV233" s="16"/>
      <c r="TKW233" s="16"/>
      <c r="TKX233" s="15"/>
      <c r="TKY233" s="15"/>
      <c r="TKZ233" s="10"/>
      <c r="TLA233" s="10"/>
      <c r="TLB233" s="19"/>
      <c r="TLC233" s="19"/>
      <c r="TLF233" s="16"/>
      <c r="TLG233" s="15"/>
      <c r="TLH233" s="15"/>
      <c r="TLI233" s="15"/>
      <c r="TLJ233" s="16"/>
      <c r="TLK233" s="16"/>
      <c r="TLL233" s="16"/>
      <c r="TLM233" s="16"/>
      <c r="TLN233" s="16"/>
      <c r="TLO233" s="15"/>
      <c r="TLP233" s="15"/>
      <c r="TLQ233" s="10"/>
      <c r="TLR233" s="10"/>
      <c r="TLS233" s="19"/>
      <c r="TLT233" s="19"/>
      <c r="TLW233" s="16"/>
      <c r="TLX233" s="15"/>
      <c r="TLY233" s="15"/>
      <c r="TLZ233" s="15"/>
      <c r="TMA233" s="16"/>
      <c r="TMB233" s="16"/>
      <c r="TMC233" s="16"/>
      <c r="TMD233" s="16"/>
      <c r="TME233" s="16"/>
      <c r="TMF233" s="15"/>
      <c r="TMG233" s="15"/>
      <c r="TMH233" s="10"/>
      <c r="TMI233" s="10"/>
      <c r="TMJ233" s="19"/>
      <c r="TMK233" s="19"/>
      <c r="TMN233" s="16"/>
      <c r="TMO233" s="15"/>
      <c r="TMP233" s="15"/>
      <c r="TMQ233" s="15"/>
      <c r="TMR233" s="16"/>
      <c r="TMS233" s="16"/>
      <c r="TMT233" s="16"/>
      <c r="TMU233" s="16"/>
      <c r="TMV233" s="16"/>
      <c r="TMW233" s="15"/>
      <c r="TMX233" s="15"/>
      <c r="TMY233" s="10"/>
      <c r="TMZ233" s="10"/>
      <c r="TNA233" s="19"/>
      <c r="TNB233" s="19"/>
      <c r="TNE233" s="16"/>
      <c r="TNF233" s="15"/>
      <c r="TNG233" s="15"/>
      <c r="TNH233" s="15"/>
      <c r="TNI233" s="16"/>
      <c r="TNJ233" s="16"/>
      <c r="TNK233" s="16"/>
      <c r="TNL233" s="16"/>
      <c r="TNM233" s="16"/>
      <c r="TNN233" s="15"/>
      <c r="TNO233" s="15"/>
      <c r="TNP233" s="10"/>
      <c r="TNQ233" s="10"/>
      <c r="TNR233" s="19"/>
      <c r="TNS233" s="19"/>
      <c r="TNV233" s="16"/>
      <c r="TNW233" s="15"/>
      <c r="TNX233" s="15"/>
      <c r="TNY233" s="15"/>
      <c r="TNZ233" s="16"/>
      <c r="TOA233" s="16"/>
      <c r="TOB233" s="16"/>
      <c r="TOC233" s="16"/>
      <c r="TOD233" s="16"/>
      <c r="TOE233" s="15"/>
      <c r="TOF233" s="15"/>
      <c r="TOG233" s="10"/>
      <c r="TOH233" s="10"/>
      <c r="TOI233" s="19"/>
      <c r="TOJ233" s="19"/>
      <c r="TOM233" s="16"/>
      <c r="TON233" s="15"/>
      <c r="TOO233" s="15"/>
      <c r="TOP233" s="15"/>
      <c r="TOQ233" s="16"/>
      <c r="TOR233" s="16"/>
      <c r="TOS233" s="16"/>
      <c r="TOT233" s="16"/>
      <c r="TOU233" s="16"/>
      <c r="TOV233" s="15"/>
      <c r="TOW233" s="15"/>
      <c r="TOX233" s="10"/>
      <c r="TOY233" s="10"/>
      <c r="TOZ233" s="19"/>
      <c r="TPA233" s="19"/>
      <c r="TPD233" s="16"/>
      <c r="TPE233" s="15"/>
      <c r="TPF233" s="15"/>
      <c r="TPG233" s="15"/>
      <c r="TPH233" s="16"/>
      <c r="TPI233" s="16"/>
      <c r="TPJ233" s="16"/>
      <c r="TPK233" s="16"/>
      <c r="TPL233" s="16"/>
      <c r="TPM233" s="15"/>
      <c r="TPN233" s="15"/>
      <c r="TPO233" s="10"/>
      <c r="TPP233" s="10"/>
      <c r="TPQ233" s="19"/>
      <c r="TPR233" s="19"/>
      <c r="TPU233" s="16"/>
      <c r="TPV233" s="15"/>
      <c r="TPW233" s="15"/>
      <c r="TPX233" s="15"/>
      <c r="TPY233" s="16"/>
      <c r="TPZ233" s="16"/>
      <c r="TQA233" s="16"/>
      <c r="TQB233" s="16"/>
      <c r="TQC233" s="16"/>
      <c r="TQD233" s="15"/>
      <c r="TQE233" s="15"/>
      <c r="TQF233" s="10"/>
      <c r="TQG233" s="10"/>
      <c r="TQH233" s="19"/>
      <c r="TQI233" s="19"/>
      <c r="TQL233" s="16"/>
      <c r="TQM233" s="15"/>
      <c r="TQN233" s="15"/>
      <c r="TQO233" s="15"/>
      <c r="TQP233" s="16"/>
      <c r="TQQ233" s="16"/>
      <c r="TQR233" s="16"/>
      <c r="TQS233" s="16"/>
      <c r="TQT233" s="16"/>
      <c r="TQU233" s="15"/>
      <c r="TQV233" s="15"/>
      <c r="TQW233" s="10"/>
      <c r="TQX233" s="10"/>
      <c r="TQY233" s="19"/>
      <c r="TQZ233" s="19"/>
      <c r="TRC233" s="16"/>
      <c r="TRD233" s="15"/>
      <c r="TRE233" s="15"/>
      <c r="TRF233" s="15"/>
      <c r="TRG233" s="16"/>
      <c r="TRH233" s="16"/>
      <c r="TRI233" s="16"/>
      <c r="TRJ233" s="16"/>
      <c r="TRK233" s="16"/>
      <c r="TRL233" s="15"/>
      <c r="TRM233" s="15"/>
      <c r="TRN233" s="10"/>
      <c r="TRO233" s="10"/>
      <c r="TRP233" s="19"/>
      <c r="TRQ233" s="19"/>
      <c r="TRT233" s="16"/>
      <c r="TRU233" s="15"/>
      <c r="TRV233" s="15"/>
      <c r="TRW233" s="15"/>
      <c r="TRX233" s="16"/>
      <c r="TRY233" s="16"/>
      <c r="TRZ233" s="16"/>
      <c r="TSA233" s="16"/>
      <c r="TSB233" s="16"/>
      <c r="TSC233" s="15"/>
      <c r="TSD233" s="15"/>
      <c r="TSE233" s="10"/>
      <c r="TSF233" s="10"/>
      <c r="TSG233" s="19"/>
      <c r="TSH233" s="19"/>
      <c r="TSK233" s="16"/>
      <c r="TSL233" s="15"/>
      <c r="TSM233" s="15"/>
      <c r="TSN233" s="15"/>
      <c r="TSO233" s="16"/>
      <c r="TSP233" s="16"/>
      <c r="TSQ233" s="16"/>
      <c r="TSR233" s="16"/>
      <c r="TSS233" s="16"/>
      <c r="TST233" s="15"/>
      <c r="TSU233" s="15"/>
      <c r="TSV233" s="10"/>
      <c r="TSW233" s="10"/>
      <c r="TSX233" s="19"/>
      <c r="TSY233" s="19"/>
      <c r="TTB233" s="16"/>
      <c r="TTC233" s="15"/>
      <c r="TTD233" s="15"/>
      <c r="TTE233" s="15"/>
      <c r="TTF233" s="16"/>
      <c r="TTG233" s="16"/>
      <c r="TTH233" s="16"/>
      <c r="TTI233" s="16"/>
      <c r="TTJ233" s="16"/>
      <c r="TTK233" s="15"/>
      <c r="TTL233" s="15"/>
      <c r="TTM233" s="10"/>
      <c r="TTN233" s="10"/>
      <c r="TTO233" s="19"/>
      <c r="TTP233" s="19"/>
      <c r="TTS233" s="16"/>
      <c r="TTT233" s="15"/>
      <c r="TTU233" s="15"/>
      <c r="TTV233" s="15"/>
      <c r="TTW233" s="16"/>
      <c r="TTX233" s="16"/>
      <c r="TTY233" s="16"/>
      <c r="TTZ233" s="16"/>
      <c r="TUA233" s="16"/>
      <c r="TUB233" s="15"/>
      <c r="TUC233" s="15"/>
      <c r="TUD233" s="10"/>
      <c r="TUE233" s="10"/>
      <c r="TUF233" s="19"/>
      <c r="TUG233" s="19"/>
      <c r="TUJ233" s="16"/>
      <c r="TUK233" s="15"/>
      <c r="TUL233" s="15"/>
      <c r="TUM233" s="15"/>
      <c r="TUN233" s="16"/>
      <c r="TUO233" s="16"/>
      <c r="TUP233" s="16"/>
      <c r="TUQ233" s="16"/>
      <c r="TUR233" s="16"/>
      <c r="TUS233" s="15"/>
      <c r="TUT233" s="15"/>
      <c r="TUU233" s="10"/>
      <c r="TUV233" s="10"/>
      <c r="TUW233" s="19"/>
      <c r="TUX233" s="19"/>
      <c r="TVA233" s="16"/>
      <c r="TVB233" s="15"/>
      <c r="TVC233" s="15"/>
      <c r="TVD233" s="15"/>
      <c r="TVE233" s="16"/>
      <c r="TVF233" s="16"/>
      <c r="TVG233" s="16"/>
      <c r="TVH233" s="16"/>
      <c r="TVI233" s="16"/>
      <c r="TVJ233" s="15"/>
      <c r="TVK233" s="15"/>
      <c r="TVL233" s="10"/>
      <c r="TVM233" s="10"/>
      <c r="TVN233" s="19"/>
      <c r="TVO233" s="19"/>
      <c r="TVR233" s="16"/>
      <c r="TVS233" s="15"/>
      <c r="TVT233" s="15"/>
      <c r="TVU233" s="15"/>
      <c r="TVV233" s="16"/>
      <c r="TVW233" s="16"/>
      <c r="TVX233" s="16"/>
      <c r="TVY233" s="16"/>
      <c r="TVZ233" s="16"/>
      <c r="TWA233" s="15"/>
      <c r="TWB233" s="15"/>
      <c r="TWC233" s="10"/>
      <c r="TWD233" s="10"/>
      <c r="TWE233" s="19"/>
      <c r="TWF233" s="19"/>
      <c r="TWI233" s="16"/>
      <c r="TWJ233" s="15"/>
      <c r="TWK233" s="15"/>
      <c r="TWL233" s="15"/>
      <c r="TWM233" s="16"/>
      <c r="TWN233" s="16"/>
      <c r="TWO233" s="16"/>
      <c r="TWP233" s="16"/>
      <c r="TWQ233" s="16"/>
      <c r="TWR233" s="15"/>
      <c r="TWS233" s="15"/>
      <c r="TWT233" s="10"/>
      <c r="TWU233" s="10"/>
      <c r="TWV233" s="19"/>
      <c r="TWW233" s="19"/>
      <c r="TWZ233" s="16"/>
      <c r="TXA233" s="15"/>
      <c r="TXB233" s="15"/>
      <c r="TXC233" s="15"/>
      <c r="TXD233" s="16"/>
      <c r="TXE233" s="16"/>
      <c r="TXF233" s="16"/>
      <c r="TXG233" s="16"/>
      <c r="TXH233" s="16"/>
      <c r="TXI233" s="15"/>
      <c r="TXJ233" s="15"/>
      <c r="TXK233" s="10"/>
      <c r="TXL233" s="10"/>
      <c r="TXM233" s="19"/>
      <c r="TXN233" s="19"/>
      <c r="TXQ233" s="16"/>
      <c r="TXR233" s="15"/>
      <c r="TXS233" s="15"/>
      <c r="TXT233" s="15"/>
      <c r="TXU233" s="16"/>
      <c r="TXV233" s="16"/>
      <c r="TXW233" s="16"/>
      <c r="TXX233" s="16"/>
      <c r="TXY233" s="16"/>
      <c r="TXZ233" s="15"/>
      <c r="TYA233" s="15"/>
      <c r="TYB233" s="10"/>
      <c r="TYC233" s="10"/>
      <c r="TYD233" s="19"/>
      <c r="TYE233" s="19"/>
      <c r="TYH233" s="16"/>
      <c r="TYI233" s="15"/>
      <c r="TYJ233" s="15"/>
      <c r="TYK233" s="15"/>
      <c r="TYL233" s="16"/>
      <c r="TYM233" s="16"/>
      <c r="TYN233" s="16"/>
      <c r="TYO233" s="16"/>
      <c r="TYP233" s="16"/>
      <c r="TYQ233" s="15"/>
      <c r="TYR233" s="15"/>
      <c r="TYS233" s="10"/>
      <c r="TYT233" s="10"/>
      <c r="TYU233" s="19"/>
      <c r="TYV233" s="19"/>
      <c r="TYY233" s="16"/>
      <c r="TYZ233" s="15"/>
      <c r="TZA233" s="15"/>
      <c r="TZB233" s="15"/>
      <c r="TZC233" s="16"/>
      <c r="TZD233" s="16"/>
      <c r="TZE233" s="16"/>
      <c r="TZF233" s="16"/>
      <c r="TZG233" s="16"/>
      <c r="TZH233" s="15"/>
      <c r="TZI233" s="15"/>
      <c r="TZJ233" s="10"/>
      <c r="TZK233" s="10"/>
      <c r="TZL233" s="19"/>
      <c r="TZM233" s="19"/>
      <c r="TZP233" s="16"/>
      <c r="TZQ233" s="15"/>
      <c r="TZR233" s="15"/>
      <c r="TZS233" s="15"/>
      <c r="TZT233" s="16"/>
      <c r="TZU233" s="16"/>
      <c r="TZV233" s="16"/>
      <c r="TZW233" s="16"/>
      <c r="TZX233" s="16"/>
      <c r="TZY233" s="15"/>
      <c r="TZZ233" s="15"/>
      <c r="UAA233" s="10"/>
      <c r="UAB233" s="10"/>
      <c r="UAC233" s="19"/>
      <c r="UAD233" s="19"/>
      <c r="UAG233" s="16"/>
      <c r="UAH233" s="15"/>
      <c r="UAI233" s="15"/>
      <c r="UAJ233" s="15"/>
      <c r="UAK233" s="16"/>
      <c r="UAL233" s="16"/>
      <c r="UAM233" s="16"/>
      <c r="UAN233" s="16"/>
      <c r="UAO233" s="16"/>
      <c r="UAP233" s="15"/>
      <c r="UAQ233" s="15"/>
      <c r="UAR233" s="10"/>
      <c r="UAS233" s="10"/>
      <c r="UAT233" s="19"/>
      <c r="UAU233" s="19"/>
      <c r="UAX233" s="16"/>
      <c r="UAY233" s="15"/>
      <c r="UAZ233" s="15"/>
      <c r="UBA233" s="15"/>
      <c r="UBB233" s="16"/>
      <c r="UBC233" s="16"/>
      <c r="UBD233" s="16"/>
      <c r="UBE233" s="16"/>
      <c r="UBF233" s="16"/>
      <c r="UBG233" s="15"/>
      <c r="UBH233" s="15"/>
      <c r="UBI233" s="10"/>
      <c r="UBJ233" s="10"/>
      <c r="UBK233" s="19"/>
      <c r="UBL233" s="19"/>
      <c r="UBO233" s="16"/>
      <c r="UBP233" s="15"/>
      <c r="UBQ233" s="15"/>
      <c r="UBR233" s="15"/>
      <c r="UBS233" s="16"/>
      <c r="UBT233" s="16"/>
      <c r="UBU233" s="16"/>
      <c r="UBV233" s="16"/>
      <c r="UBW233" s="16"/>
      <c r="UBX233" s="15"/>
      <c r="UBY233" s="15"/>
      <c r="UBZ233" s="10"/>
      <c r="UCA233" s="10"/>
      <c r="UCB233" s="19"/>
      <c r="UCC233" s="19"/>
      <c r="UCF233" s="16"/>
      <c r="UCG233" s="15"/>
      <c r="UCH233" s="15"/>
      <c r="UCI233" s="15"/>
      <c r="UCJ233" s="16"/>
      <c r="UCK233" s="16"/>
      <c r="UCL233" s="16"/>
      <c r="UCM233" s="16"/>
      <c r="UCN233" s="16"/>
      <c r="UCO233" s="15"/>
      <c r="UCP233" s="15"/>
      <c r="UCQ233" s="10"/>
      <c r="UCR233" s="10"/>
      <c r="UCS233" s="19"/>
      <c r="UCT233" s="19"/>
      <c r="UCW233" s="16"/>
      <c r="UCX233" s="15"/>
      <c r="UCY233" s="15"/>
      <c r="UCZ233" s="15"/>
      <c r="UDA233" s="16"/>
      <c r="UDB233" s="16"/>
      <c r="UDC233" s="16"/>
      <c r="UDD233" s="16"/>
      <c r="UDE233" s="16"/>
      <c r="UDF233" s="15"/>
      <c r="UDG233" s="15"/>
      <c r="UDH233" s="10"/>
      <c r="UDI233" s="10"/>
      <c r="UDJ233" s="19"/>
      <c r="UDK233" s="19"/>
      <c r="UDN233" s="16"/>
      <c r="UDO233" s="15"/>
      <c r="UDP233" s="15"/>
      <c r="UDQ233" s="15"/>
      <c r="UDR233" s="16"/>
      <c r="UDS233" s="16"/>
      <c r="UDT233" s="16"/>
      <c r="UDU233" s="16"/>
      <c r="UDV233" s="16"/>
      <c r="UDW233" s="15"/>
      <c r="UDX233" s="15"/>
      <c r="UDY233" s="10"/>
      <c r="UDZ233" s="10"/>
      <c r="UEA233" s="19"/>
      <c r="UEB233" s="19"/>
      <c r="UEE233" s="16"/>
      <c r="UEF233" s="15"/>
      <c r="UEG233" s="15"/>
      <c r="UEH233" s="15"/>
      <c r="UEI233" s="16"/>
      <c r="UEJ233" s="16"/>
      <c r="UEK233" s="16"/>
      <c r="UEL233" s="16"/>
      <c r="UEM233" s="16"/>
      <c r="UEN233" s="15"/>
      <c r="UEO233" s="15"/>
      <c r="UEP233" s="10"/>
      <c r="UEQ233" s="10"/>
      <c r="UER233" s="19"/>
      <c r="UES233" s="19"/>
      <c r="UEV233" s="16"/>
      <c r="UEW233" s="15"/>
      <c r="UEX233" s="15"/>
      <c r="UEY233" s="15"/>
      <c r="UEZ233" s="16"/>
      <c r="UFA233" s="16"/>
      <c r="UFB233" s="16"/>
      <c r="UFC233" s="16"/>
      <c r="UFD233" s="16"/>
      <c r="UFE233" s="15"/>
      <c r="UFF233" s="15"/>
      <c r="UFG233" s="10"/>
      <c r="UFH233" s="10"/>
      <c r="UFI233" s="19"/>
      <c r="UFJ233" s="19"/>
      <c r="UFM233" s="16"/>
      <c r="UFN233" s="15"/>
      <c r="UFO233" s="15"/>
      <c r="UFP233" s="15"/>
      <c r="UFQ233" s="16"/>
      <c r="UFR233" s="16"/>
      <c r="UFS233" s="16"/>
      <c r="UFT233" s="16"/>
      <c r="UFU233" s="16"/>
      <c r="UFV233" s="15"/>
      <c r="UFW233" s="15"/>
      <c r="UFX233" s="10"/>
      <c r="UFY233" s="10"/>
      <c r="UFZ233" s="19"/>
      <c r="UGA233" s="19"/>
      <c r="UGD233" s="16"/>
      <c r="UGE233" s="15"/>
      <c r="UGF233" s="15"/>
      <c r="UGG233" s="15"/>
      <c r="UGH233" s="16"/>
      <c r="UGI233" s="16"/>
      <c r="UGJ233" s="16"/>
      <c r="UGK233" s="16"/>
      <c r="UGL233" s="16"/>
      <c r="UGM233" s="15"/>
      <c r="UGN233" s="15"/>
      <c r="UGO233" s="10"/>
      <c r="UGP233" s="10"/>
      <c r="UGQ233" s="19"/>
      <c r="UGR233" s="19"/>
      <c r="UGU233" s="16"/>
      <c r="UGV233" s="15"/>
      <c r="UGW233" s="15"/>
      <c r="UGX233" s="15"/>
      <c r="UGY233" s="16"/>
      <c r="UGZ233" s="16"/>
      <c r="UHA233" s="16"/>
      <c r="UHB233" s="16"/>
      <c r="UHC233" s="16"/>
      <c r="UHD233" s="15"/>
      <c r="UHE233" s="15"/>
      <c r="UHF233" s="10"/>
      <c r="UHG233" s="10"/>
      <c r="UHH233" s="19"/>
      <c r="UHI233" s="19"/>
      <c r="UHL233" s="16"/>
      <c r="UHM233" s="15"/>
      <c r="UHN233" s="15"/>
      <c r="UHO233" s="15"/>
      <c r="UHP233" s="16"/>
      <c r="UHQ233" s="16"/>
      <c r="UHR233" s="16"/>
      <c r="UHS233" s="16"/>
      <c r="UHT233" s="16"/>
      <c r="UHU233" s="15"/>
      <c r="UHV233" s="15"/>
      <c r="UHW233" s="10"/>
      <c r="UHX233" s="10"/>
      <c r="UHY233" s="19"/>
      <c r="UHZ233" s="19"/>
      <c r="UIC233" s="16"/>
      <c r="UID233" s="15"/>
      <c r="UIE233" s="15"/>
      <c r="UIF233" s="15"/>
      <c r="UIG233" s="16"/>
      <c r="UIH233" s="16"/>
      <c r="UII233" s="16"/>
      <c r="UIJ233" s="16"/>
      <c r="UIK233" s="16"/>
      <c r="UIL233" s="15"/>
      <c r="UIM233" s="15"/>
      <c r="UIN233" s="10"/>
      <c r="UIO233" s="10"/>
      <c r="UIP233" s="19"/>
      <c r="UIQ233" s="19"/>
      <c r="UIT233" s="16"/>
      <c r="UIU233" s="15"/>
      <c r="UIV233" s="15"/>
      <c r="UIW233" s="15"/>
      <c r="UIX233" s="16"/>
      <c r="UIY233" s="16"/>
      <c r="UIZ233" s="16"/>
      <c r="UJA233" s="16"/>
      <c r="UJB233" s="16"/>
      <c r="UJC233" s="15"/>
      <c r="UJD233" s="15"/>
      <c r="UJE233" s="10"/>
      <c r="UJF233" s="10"/>
      <c r="UJG233" s="19"/>
      <c r="UJH233" s="19"/>
      <c r="UJK233" s="16"/>
      <c r="UJL233" s="15"/>
      <c r="UJM233" s="15"/>
      <c r="UJN233" s="15"/>
      <c r="UJO233" s="16"/>
      <c r="UJP233" s="16"/>
      <c r="UJQ233" s="16"/>
      <c r="UJR233" s="16"/>
      <c r="UJS233" s="16"/>
      <c r="UJT233" s="15"/>
      <c r="UJU233" s="15"/>
      <c r="UJV233" s="10"/>
      <c r="UJW233" s="10"/>
      <c r="UJX233" s="19"/>
      <c r="UJY233" s="19"/>
      <c r="UKB233" s="16"/>
      <c r="UKC233" s="15"/>
      <c r="UKD233" s="15"/>
      <c r="UKE233" s="15"/>
      <c r="UKF233" s="16"/>
      <c r="UKG233" s="16"/>
      <c r="UKH233" s="16"/>
      <c r="UKI233" s="16"/>
      <c r="UKJ233" s="16"/>
      <c r="UKK233" s="15"/>
      <c r="UKL233" s="15"/>
      <c r="UKM233" s="10"/>
      <c r="UKN233" s="10"/>
      <c r="UKO233" s="19"/>
      <c r="UKP233" s="19"/>
      <c r="UKS233" s="16"/>
      <c r="UKT233" s="15"/>
      <c r="UKU233" s="15"/>
      <c r="UKV233" s="15"/>
      <c r="UKW233" s="16"/>
      <c r="UKX233" s="16"/>
      <c r="UKY233" s="16"/>
      <c r="UKZ233" s="16"/>
      <c r="ULA233" s="16"/>
      <c r="ULB233" s="15"/>
      <c r="ULC233" s="15"/>
      <c r="ULD233" s="10"/>
      <c r="ULE233" s="10"/>
      <c r="ULF233" s="19"/>
      <c r="ULG233" s="19"/>
      <c r="ULJ233" s="16"/>
      <c r="ULK233" s="15"/>
      <c r="ULL233" s="15"/>
      <c r="ULM233" s="15"/>
      <c r="ULN233" s="16"/>
      <c r="ULO233" s="16"/>
      <c r="ULP233" s="16"/>
      <c r="ULQ233" s="16"/>
      <c r="ULR233" s="16"/>
      <c r="ULS233" s="15"/>
      <c r="ULT233" s="15"/>
      <c r="ULU233" s="10"/>
      <c r="ULV233" s="10"/>
      <c r="ULW233" s="19"/>
      <c r="ULX233" s="19"/>
      <c r="UMA233" s="16"/>
      <c r="UMB233" s="15"/>
      <c r="UMC233" s="15"/>
      <c r="UMD233" s="15"/>
      <c r="UME233" s="16"/>
      <c r="UMF233" s="16"/>
      <c r="UMG233" s="16"/>
      <c r="UMH233" s="16"/>
      <c r="UMI233" s="16"/>
      <c r="UMJ233" s="15"/>
      <c r="UMK233" s="15"/>
      <c r="UML233" s="10"/>
      <c r="UMM233" s="10"/>
      <c r="UMN233" s="19"/>
      <c r="UMO233" s="19"/>
      <c r="UMR233" s="16"/>
      <c r="UMS233" s="15"/>
      <c r="UMT233" s="15"/>
      <c r="UMU233" s="15"/>
      <c r="UMV233" s="16"/>
      <c r="UMW233" s="16"/>
      <c r="UMX233" s="16"/>
      <c r="UMY233" s="16"/>
      <c r="UMZ233" s="16"/>
      <c r="UNA233" s="15"/>
      <c r="UNB233" s="15"/>
      <c r="UNC233" s="10"/>
      <c r="UND233" s="10"/>
      <c r="UNE233" s="19"/>
      <c r="UNF233" s="19"/>
      <c r="UNI233" s="16"/>
      <c r="UNJ233" s="15"/>
      <c r="UNK233" s="15"/>
      <c r="UNL233" s="15"/>
      <c r="UNM233" s="16"/>
      <c r="UNN233" s="16"/>
      <c r="UNO233" s="16"/>
      <c r="UNP233" s="16"/>
      <c r="UNQ233" s="16"/>
      <c r="UNR233" s="15"/>
      <c r="UNS233" s="15"/>
      <c r="UNT233" s="10"/>
      <c r="UNU233" s="10"/>
      <c r="UNV233" s="19"/>
      <c r="UNW233" s="19"/>
      <c r="UNZ233" s="16"/>
      <c r="UOA233" s="15"/>
      <c r="UOB233" s="15"/>
      <c r="UOC233" s="15"/>
      <c r="UOD233" s="16"/>
      <c r="UOE233" s="16"/>
      <c r="UOF233" s="16"/>
      <c r="UOG233" s="16"/>
      <c r="UOH233" s="16"/>
      <c r="UOI233" s="15"/>
      <c r="UOJ233" s="15"/>
      <c r="UOK233" s="10"/>
      <c r="UOL233" s="10"/>
      <c r="UOM233" s="19"/>
      <c r="UON233" s="19"/>
      <c r="UOQ233" s="16"/>
      <c r="UOR233" s="15"/>
      <c r="UOS233" s="15"/>
      <c r="UOT233" s="15"/>
      <c r="UOU233" s="16"/>
      <c r="UOV233" s="16"/>
      <c r="UOW233" s="16"/>
      <c r="UOX233" s="16"/>
      <c r="UOY233" s="16"/>
      <c r="UOZ233" s="15"/>
      <c r="UPA233" s="15"/>
      <c r="UPB233" s="10"/>
      <c r="UPC233" s="10"/>
      <c r="UPD233" s="19"/>
      <c r="UPE233" s="19"/>
      <c r="UPH233" s="16"/>
      <c r="UPI233" s="15"/>
      <c r="UPJ233" s="15"/>
      <c r="UPK233" s="15"/>
      <c r="UPL233" s="16"/>
      <c r="UPM233" s="16"/>
      <c r="UPN233" s="16"/>
      <c r="UPO233" s="16"/>
      <c r="UPP233" s="16"/>
      <c r="UPQ233" s="15"/>
      <c r="UPR233" s="15"/>
      <c r="UPS233" s="10"/>
      <c r="UPT233" s="10"/>
      <c r="UPU233" s="19"/>
      <c r="UPV233" s="19"/>
      <c r="UPY233" s="16"/>
      <c r="UPZ233" s="15"/>
      <c r="UQA233" s="15"/>
      <c r="UQB233" s="15"/>
      <c r="UQC233" s="16"/>
      <c r="UQD233" s="16"/>
      <c r="UQE233" s="16"/>
      <c r="UQF233" s="16"/>
      <c r="UQG233" s="16"/>
      <c r="UQH233" s="15"/>
      <c r="UQI233" s="15"/>
      <c r="UQJ233" s="10"/>
      <c r="UQK233" s="10"/>
      <c r="UQL233" s="19"/>
      <c r="UQM233" s="19"/>
      <c r="UQP233" s="16"/>
      <c r="UQQ233" s="15"/>
      <c r="UQR233" s="15"/>
      <c r="UQS233" s="15"/>
      <c r="UQT233" s="16"/>
      <c r="UQU233" s="16"/>
      <c r="UQV233" s="16"/>
      <c r="UQW233" s="16"/>
      <c r="UQX233" s="16"/>
      <c r="UQY233" s="15"/>
      <c r="UQZ233" s="15"/>
      <c r="URA233" s="10"/>
      <c r="URB233" s="10"/>
      <c r="URC233" s="19"/>
      <c r="URD233" s="19"/>
      <c r="URG233" s="16"/>
      <c r="URH233" s="15"/>
      <c r="URI233" s="15"/>
      <c r="URJ233" s="15"/>
      <c r="URK233" s="16"/>
      <c r="URL233" s="16"/>
      <c r="URM233" s="16"/>
      <c r="URN233" s="16"/>
      <c r="URO233" s="16"/>
      <c r="URP233" s="15"/>
      <c r="URQ233" s="15"/>
      <c r="URR233" s="10"/>
      <c r="URS233" s="10"/>
      <c r="URT233" s="19"/>
      <c r="URU233" s="19"/>
      <c r="URX233" s="16"/>
      <c r="URY233" s="15"/>
      <c r="URZ233" s="15"/>
      <c r="USA233" s="15"/>
      <c r="USB233" s="16"/>
      <c r="USC233" s="16"/>
      <c r="USD233" s="16"/>
      <c r="USE233" s="16"/>
      <c r="USF233" s="16"/>
      <c r="USG233" s="15"/>
      <c r="USH233" s="15"/>
      <c r="USI233" s="10"/>
      <c r="USJ233" s="10"/>
      <c r="USK233" s="19"/>
      <c r="USL233" s="19"/>
      <c r="USO233" s="16"/>
      <c r="USP233" s="15"/>
      <c r="USQ233" s="15"/>
      <c r="USR233" s="15"/>
      <c r="USS233" s="16"/>
      <c r="UST233" s="16"/>
      <c r="USU233" s="16"/>
      <c r="USV233" s="16"/>
      <c r="USW233" s="16"/>
      <c r="USX233" s="15"/>
      <c r="USY233" s="15"/>
      <c r="USZ233" s="10"/>
      <c r="UTA233" s="10"/>
      <c r="UTB233" s="19"/>
      <c r="UTC233" s="19"/>
      <c r="UTF233" s="16"/>
      <c r="UTG233" s="15"/>
      <c r="UTH233" s="15"/>
      <c r="UTI233" s="15"/>
      <c r="UTJ233" s="16"/>
      <c r="UTK233" s="16"/>
      <c r="UTL233" s="16"/>
      <c r="UTM233" s="16"/>
      <c r="UTN233" s="16"/>
      <c r="UTO233" s="15"/>
      <c r="UTP233" s="15"/>
      <c r="UTQ233" s="10"/>
      <c r="UTR233" s="10"/>
      <c r="UTS233" s="19"/>
      <c r="UTT233" s="19"/>
      <c r="UTW233" s="16"/>
      <c r="UTX233" s="15"/>
      <c r="UTY233" s="15"/>
      <c r="UTZ233" s="15"/>
      <c r="UUA233" s="16"/>
      <c r="UUB233" s="16"/>
      <c r="UUC233" s="16"/>
      <c r="UUD233" s="16"/>
      <c r="UUE233" s="16"/>
      <c r="UUF233" s="15"/>
      <c r="UUG233" s="15"/>
      <c r="UUH233" s="10"/>
      <c r="UUI233" s="10"/>
      <c r="UUJ233" s="19"/>
      <c r="UUK233" s="19"/>
      <c r="UUN233" s="16"/>
      <c r="UUO233" s="15"/>
      <c r="UUP233" s="15"/>
      <c r="UUQ233" s="15"/>
      <c r="UUR233" s="16"/>
      <c r="UUS233" s="16"/>
      <c r="UUT233" s="16"/>
      <c r="UUU233" s="16"/>
      <c r="UUV233" s="16"/>
      <c r="UUW233" s="15"/>
      <c r="UUX233" s="15"/>
      <c r="UUY233" s="10"/>
      <c r="UUZ233" s="10"/>
      <c r="UVA233" s="19"/>
      <c r="UVB233" s="19"/>
      <c r="UVE233" s="16"/>
      <c r="UVF233" s="15"/>
      <c r="UVG233" s="15"/>
      <c r="UVH233" s="15"/>
      <c r="UVI233" s="16"/>
      <c r="UVJ233" s="16"/>
      <c r="UVK233" s="16"/>
      <c r="UVL233" s="16"/>
      <c r="UVM233" s="16"/>
      <c r="UVN233" s="15"/>
      <c r="UVO233" s="15"/>
      <c r="UVP233" s="10"/>
      <c r="UVQ233" s="10"/>
      <c r="UVR233" s="19"/>
      <c r="UVS233" s="19"/>
      <c r="UVV233" s="16"/>
      <c r="UVW233" s="15"/>
      <c r="UVX233" s="15"/>
      <c r="UVY233" s="15"/>
      <c r="UVZ233" s="16"/>
      <c r="UWA233" s="16"/>
      <c r="UWB233" s="16"/>
      <c r="UWC233" s="16"/>
      <c r="UWD233" s="16"/>
      <c r="UWE233" s="15"/>
      <c r="UWF233" s="15"/>
      <c r="UWG233" s="10"/>
      <c r="UWH233" s="10"/>
      <c r="UWI233" s="19"/>
      <c r="UWJ233" s="19"/>
      <c r="UWM233" s="16"/>
      <c r="UWN233" s="15"/>
      <c r="UWO233" s="15"/>
      <c r="UWP233" s="15"/>
      <c r="UWQ233" s="16"/>
      <c r="UWR233" s="16"/>
      <c r="UWS233" s="16"/>
      <c r="UWT233" s="16"/>
      <c r="UWU233" s="16"/>
      <c r="UWV233" s="15"/>
      <c r="UWW233" s="15"/>
      <c r="UWX233" s="10"/>
      <c r="UWY233" s="10"/>
      <c r="UWZ233" s="19"/>
      <c r="UXA233" s="19"/>
      <c r="UXD233" s="16"/>
      <c r="UXE233" s="15"/>
      <c r="UXF233" s="15"/>
      <c r="UXG233" s="15"/>
      <c r="UXH233" s="16"/>
      <c r="UXI233" s="16"/>
      <c r="UXJ233" s="16"/>
      <c r="UXK233" s="16"/>
      <c r="UXL233" s="16"/>
      <c r="UXM233" s="15"/>
      <c r="UXN233" s="15"/>
      <c r="UXO233" s="10"/>
      <c r="UXP233" s="10"/>
      <c r="UXQ233" s="19"/>
      <c r="UXR233" s="19"/>
      <c r="UXU233" s="16"/>
      <c r="UXV233" s="15"/>
      <c r="UXW233" s="15"/>
      <c r="UXX233" s="15"/>
      <c r="UXY233" s="16"/>
      <c r="UXZ233" s="16"/>
      <c r="UYA233" s="16"/>
      <c r="UYB233" s="16"/>
      <c r="UYC233" s="16"/>
      <c r="UYD233" s="15"/>
      <c r="UYE233" s="15"/>
      <c r="UYF233" s="10"/>
      <c r="UYG233" s="10"/>
      <c r="UYH233" s="19"/>
      <c r="UYI233" s="19"/>
      <c r="UYL233" s="16"/>
      <c r="UYM233" s="15"/>
      <c r="UYN233" s="15"/>
      <c r="UYO233" s="15"/>
      <c r="UYP233" s="16"/>
      <c r="UYQ233" s="16"/>
      <c r="UYR233" s="16"/>
      <c r="UYS233" s="16"/>
      <c r="UYT233" s="16"/>
      <c r="UYU233" s="15"/>
      <c r="UYV233" s="15"/>
      <c r="UYW233" s="10"/>
      <c r="UYX233" s="10"/>
      <c r="UYY233" s="19"/>
      <c r="UYZ233" s="19"/>
      <c r="UZC233" s="16"/>
      <c r="UZD233" s="15"/>
      <c r="UZE233" s="15"/>
      <c r="UZF233" s="15"/>
      <c r="UZG233" s="16"/>
      <c r="UZH233" s="16"/>
      <c r="UZI233" s="16"/>
      <c r="UZJ233" s="16"/>
      <c r="UZK233" s="16"/>
      <c r="UZL233" s="15"/>
      <c r="UZM233" s="15"/>
      <c r="UZN233" s="10"/>
      <c r="UZO233" s="10"/>
      <c r="UZP233" s="19"/>
      <c r="UZQ233" s="19"/>
      <c r="UZT233" s="16"/>
      <c r="UZU233" s="15"/>
      <c r="UZV233" s="15"/>
      <c r="UZW233" s="15"/>
      <c r="UZX233" s="16"/>
      <c r="UZY233" s="16"/>
      <c r="UZZ233" s="16"/>
      <c r="VAA233" s="16"/>
      <c r="VAB233" s="16"/>
      <c r="VAC233" s="15"/>
      <c r="VAD233" s="15"/>
      <c r="VAE233" s="10"/>
      <c r="VAF233" s="10"/>
      <c r="VAG233" s="19"/>
      <c r="VAH233" s="19"/>
      <c r="VAK233" s="16"/>
      <c r="VAL233" s="15"/>
      <c r="VAM233" s="15"/>
      <c r="VAN233" s="15"/>
      <c r="VAO233" s="16"/>
      <c r="VAP233" s="16"/>
      <c r="VAQ233" s="16"/>
      <c r="VAR233" s="16"/>
      <c r="VAS233" s="16"/>
      <c r="VAT233" s="15"/>
      <c r="VAU233" s="15"/>
      <c r="VAV233" s="10"/>
      <c r="VAW233" s="10"/>
      <c r="VAX233" s="19"/>
      <c r="VAY233" s="19"/>
      <c r="VBB233" s="16"/>
      <c r="VBC233" s="15"/>
      <c r="VBD233" s="15"/>
      <c r="VBE233" s="15"/>
      <c r="VBF233" s="16"/>
      <c r="VBG233" s="16"/>
      <c r="VBH233" s="16"/>
      <c r="VBI233" s="16"/>
      <c r="VBJ233" s="16"/>
      <c r="VBK233" s="15"/>
      <c r="VBL233" s="15"/>
      <c r="VBM233" s="10"/>
      <c r="VBN233" s="10"/>
      <c r="VBO233" s="19"/>
      <c r="VBP233" s="19"/>
      <c r="VBS233" s="16"/>
      <c r="VBT233" s="15"/>
      <c r="VBU233" s="15"/>
      <c r="VBV233" s="15"/>
      <c r="VBW233" s="16"/>
      <c r="VBX233" s="16"/>
      <c r="VBY233" s="16"/>
      <c r="VBZ233" s="16"/>
      <c r="VCA233" s="16"/>
      <c r="VCB233" s="15"/>
      <c r="VCC233" s="15"/>
      <c r="VCD233" s="10"/>
      <c r="VCE233" s="10"/>
      <c r="VCF233" s="19"/>
      <c r="VCG233" s="19"/>
      <c r="VCJ233" s="16"/>
      <c r="VCK233" s="15"/>
      <c r="VCL233" s="15"/>
      <c r="VCM233" s="15"/>
      <c r="VCN233" s="16"/>
      <c r="VCO233" s="16"/>
      <c r="VCP233" s="16"/>
      <c r="VCQ233" s="16"/>
      <c r="VCR233" s="16"/>
      <c r="VCS233" s="15"/>
      <c r="VCT233" s="15"/>
      <c r="VCU233" s="10"/>
      <c r="VCV233" s="10"/>
      <c r="VCW233" s="19"/>
      <c r="VCX233" s="19"/>
      <c r="VDA233" s="16"/>
      <c r="VDB233" s="15"/>
      <c r="VDC233" s="15"/>
      <c r="VDD233" s="15"/>
      <c r="VDE233" s="16"/>
      <c r="VDF233" s="16"/>
      <c r="VDG233" s="16"/>
      <c r="VDH233" s="16"/>
      <c r="VDI233" s="16"/>
      <c r="VDJ233" s="15"/>
      <c r="VDK233" s="15"/>
      <c r="VDL233" s="10"/>
      <c r="VDM233" s="10"/>
      <c r="VDN233" s="19"/>
      <c r="VDO233" s="19"/>
      <c r="VDR233" s="16"/>
      <c r="VDS233" s="15"/>
      <c r="VDT233" s="15"/>
      <c r="VDU233" s="15"/>
      <c r="VDV233" s="16"/>
      <c r="VDW233" s="16"/>
      <c r="VDX233" s="16"/>
      <c r="VDY233" s="16"/>
      <c r="VDZ233" s="16"/>
      <c r="VEA233" s="15"/>
      <c r="VEB233" s="15"/>
      <c r="VEC233" s="10"/>
      <c r="VED233" s="10"/>
      <c r="VEE233" s="19"/>
      <c r="VEF233" s="19"/>
      <c r="VEI233" s="16"/>
      <c r="VEJ233" s="15"/>
      <c r="VEK233" s="15"/>
      <c r="VEL233" s="15"/>
      <c r="VEM233" s="16"/>
      <c r="VEN233" s="16"/>
      <c r="VEO233" s="16"/>
      <c r="VEP233" s="16"/>
      <c r="VEQ233" s="16"/>
      <c r="VER233" s="15"/>
      <c r="VES233" s="15"/>
      <c r="VET233" s="10"/>
      <c r="VEU233" s="10"/>
      <c r="VEV233" s="19"/>
      <c r="VEW233" s="19"/>
      <c r="VEZ233" s="16"/>
      <c r="VFA233" s="15"/>
      <c r="VFB233" s="15"/>
      <c r="VFC233" s="15"/>
      <c r="VFD233" s="16"/>
      <c r="VFE233" s="16"/>
      <c r="VFF233" s="16"/>
      <c r="VFG233" s="16"/>
      <c r="VFH233" s="16"/>
      <c r="VFI233" s="15"/>
      <c r="VFJ233" s="15"/>
      <c r="VFK233" s="10"/>
      <c r="VFL233" s="10"/>
      <c r="VFM233" s="19"/>
      <c r="VFN233" s="19"/>
      <c r="VFQ233" s="16"/>
      <c r="VFR233" s="15"/>
      <c r="VFS233" s="15"/>
      <c r="VFT233" s="15"/>
      <c r="VFU233" s="16"/>
      <c r="VFV233" s="16"/>
      <c r="VFW233" s="16"/>
      <c r="VFX233" s="16"/>
      <c r="VFY233" s="16"/>
      <c r="VFZ233" s="15"/>
      <c r="VGA233" s="15"/>
      <c r="VGB233" s="10"/>
      <c r="VGC233" s="10"/>
      <c r="VGD233" s="19"/>
      <c r="VGE233" s="19"/>
      <c r="VGH233" s="16"/>
      <c r="VGI233" s="15"/>
      <c r="VGJ233" s="15"/>
      <c r="VGK233" s="15"/>
      <c r="VGL233" s="16"/>
      <c r="VGM233" s="16"/>
      <c r="VGN233" s="16"/>
      <c r="VGO233" s="16"/>
      <c r="VGP233" s="16"/>
      <c r="VGQ233" s="15"/>
      <c r="VGR233" s="15"/>
      <c r="VGS233" s="10"/>
      <c r="VGT233" s="10"/>
      <c r="VGU233" s="19"/>
      <c r="VGV233" s="19"/>
      <c r="VGY233" s="16"/>
      <c r="VGZ233" s="15"/>
      <c r="VHA233" s="15"/>
      <c r="VHB233" s="15"/>
      <c r="VHC233" s="16"/>
      <c r="VHD233" s="16"/>
      <c r="VHE233" s="16"/>
      <c r="VHF233" s="16"/>
      <c r="VHG233" s="16"/>
      <c r="VHH233" s="15"/>
      <c r="VHI233" s="15"/>
      <c r="VHJ233" s="10"/>
      <c r="VHK233" s="10"/>
      <c r="VHL233" s="19"/>
      <c r="VHM233" s="19"/>
      <c r="VHP233" s="16"/>
      <c r="VHQ233" s="15"/>
      <c r="VHR233" s="15"/>
      <c r="VHS233" s="15"/>
      <c r="VHT233" s="16"/>
      <c r="VHU233" s="16"/>
      <c r="VHV233" s="16"/>
      <c r="VHW233" s="16"/>
      <c r="VHX233" s="16"/>
      <c r="VHY233" s="15"/>
      <c r="VHZ233" s="15"/>
      <c r="VIA233" s="10"/>
      <c r="VIB233" s="10"/>
      <c r="VIC233" s="19"/>
      <c r="VID233" s="19"/>
      <c r="VIG233" s="16"/>
      <c r="VIH233" s="15"/>
      <c r="VII233" s="15"/>
      <c r="VIJ233" s="15"/>
      <c r="VIK233" s="16"/>
      <c r="VIL233" s="16"/>
      <c r="VIM233" s="16"/>
      <c r="VIN233" s="16"/>
      <c r="VIO233" s="16"/>
      <c r="VIP233" s="15"/>
      <c r="VIQ233" s="15"/>
      <c r="VIR233" s="10"/>
      <c r="VIS233" s="10"/>
      <c r="VIT233" s="19"/>
      <c r="VIU233" s="19"/>
      <c r="VIX233" s="16"/>
      <c r="VIY233" s="15"/>
      <c r="VIZ233" s="15"/>
      <c r="VJA233" s="15"/>
      <c r="VJB233" s="16"/>
      <c r="VJC233" s="16"/>
      <c r="VJD233" s="16"/>
      <c r="VJE233" s="16"/>
      <c r="VJF233" s="16"/>
      <c r="VJG233" s="15"/>
      <c r="VJH233" s="15"/>
      <c r="VJI233" s="10"/>
      <c r="VJJ233" s="10"/>
      <c r="VJK233" s="19"/>
      <c r="VJL233" s="19"/>
      <c r="VJO233" s="16"/>
      <c r="VJP233" s="15"/>
      <c r="VJQ233" s="15"/>
      <c r="VJR233" s="15"/>
      <c r="VJS233" s="16"/>
      <c r="VJT233" s="16"/>
      <c r="VJU233" s="16"/>
      <c r="VJV233" s="16"/>
      <c r="VJW233" s="16"/>
      <c r="VJX233" s="15"/>
      <c r="VJY233" s="15"/>
      <c r="VJZ233" s="10"/>
      <c r="VKA233" s="10"/>
      <c r="VKB233" s="19"/>
      <c r="VKC233" s="19"/>
      <c r="VKF233" s="16"/>
      <c r="VKG233" s="15"/>
      <c r="VKH233" s="15"/>
      <c r="VKI233" s="15"/>
      <c r="VKJ233" s="16"/>
      <c r="VKK233" s="16"/>
      <c r="VKL233" s="16"/>
      <c r="VKM233" s="16"/>
      <c r="VKN233" s="16"/>
      <c r="VKO233" s="15"/>
      <c r="VKP233" s="15"/>
      <c r="VKQ233" s="10"/>
      <c r="VKR233" s="10"/>
      <c r="VKS233" s="19"/>
      <c r="VKT233" s="19"/>
      <c r="VKW233" s="16"/>
      <c r="VKX233" s="15"/>
      <c r="VKY233" s="15"/>
      <c r="VKZ233" s="15"/>
      <c r="VLA233" s="16"/>
      <c r="VLB233" s="16"/>
      <c r="VLC233" s="16"/>
      <c r="VLD233" s="16"/>
      <c r="VLE233" s="16"/>
      <c r="VLF233" s="15"/>
      <c r="VLG233" s="15"/>
      <c r="VLH233" s="10"/>
      <c r="VLI233" s="10"/>
      <c r="VLJ233" s="19"/>
      <c r="VLK233" s="19"/>
      <c r="VLN233" s="16"/>
      <c r="VLO233" s="15"/>
      <c r="VLP233" s="15"/>
      <c r="VLQ233" s="15"/>
      <c r="VLR233" s="16"/>
      <c r="VLS233" s="16"/>
      <c r="VLT233" s="16"/>
      <c r="VLU233" s="16"/>
      <c r="VLV233" s="16"/>
      <c r="VLW233" s="15"/>
      <c r="VLX233" s="15"/>
      <c r="VLY233" s="10"/>
      <c r="VLZ233" s="10"/>
      <c r="VMA233" s="19"/>
      <c r="VMB233" s="19"/>
      <c r="VME233" s="16"/>
      <c r="VMF233" s="15"/>
      <c r="VMG233" s="15"/>
      <c r="VMH233" s="15"/>
      <c r="VMI233" s="16"/>
      <c r="VMJ233" s="16"/>
      <c r="VMK233" s="16"/>
      <c r="VML233" s="16"/>
      <c r="VMM233" s="16"/>
      <c r="VMN233" s="15"/>
      <c r="VMO233" s="15"/>
      <c r="VMP233" s="10"/>
      <c r="VMQ233" s="10"/>
      <c r="VMR233" s="19"/>
      <c r="VMS233" s="19"/>
      <c r="VMV233" s="16"/>
      <c r="VMW233" s="15"/>
      <c r="VMX233" s="15"/>
      <c r="VMY233" s="15"/>
      <c r="VMZ233" s="16"/>
      <c r="VNA233" s="16"/>
      <c r="VNB233" s="16"/>
      <c r="VNC233" s="16"/>
      <c r="VND233" s="16"/>
      <c r="VNE233" s="15"/>
      <c r="VNF233" s="15"/>
      <c r="VNG233" s="10"/>
      <c r="VNH233" s="10"/>
      <c r="VNI233" s="19"/>
      <c r="VNJ233" s="19"/>
      <c r="VNM233" s="16"/>
      <c r="VNN233" s="15"/>
      <c r="VNO233" s="15"/>
      <c r="VNP233" s="15"/>
      <c r="VNQ233" s="16"/>
      <c r="VNR233" s="16"/>
      <c r="VNS233" s="16"/>
      <c r="VNT233" s="16"/>
      <c r="VNU233" s="16"/>
      <c r="VNV233" s="15"/>
      <c r="VNW233" s="15"/>
      <c r="VNX233" s="10"/>
      <c r="VNY233" s="10"/>
      <c r="VNZ233" s="19"/>
      <c r="VOA233" s="19"/>
      <c r="VOD233" s="16"/>
      <c r="VOE233" s="15"/>
      <c r="VOF233" s="15"/>
      <c r="VOG233" s="15"/>
      <c r="VOH233" s="16"/>
      <c r="VOI233" s="16"/>
      <c r="VOJ233" s="16"/>
      <c r="VOK233" s="16"/>
      <c r="VOL233" s="16"/>
      <c r="VOM233" s="15"/>
      <c r="VON233" s="15"/>
      <c r="VOO233" s="10"/>
      <c r="VOP233" s="10"/>
      <c r="VOQ233" s="19"/>
      <c r="VOR233" s="19"/>
      <c r="VOU233" s="16"/>
      <c r="VOV233" s="15"/>
      <c r="VOW233" s="15"/>
      <c r="VOX233" s="15"/>
      <c r="VOY233" s="16"/>
      <c r="VOZ233" s="16"/>
      <c r="VPA233" s="16"/>
      <c r="VPB233" s="16"/>
      <c r="VPC233" s="16"/>
      <c r="VPD233" s="15"/>
      <c r="VPE233" s="15"/>
      <c r="VPF233" s="10"/>
      <c r="VPG233" s="10"/>
      <c r="VPH233" s="19"/>
      <c r="VPI233" s="19"/>
      <c r="VPL233" s="16"/>
      <c r="VPM233" s="15"/>
      <c r="VPN233" s="15"/>
      <c r="VPO233" s="15"/>
      <c r="VPP233" s="16"/>
      <c r="VPQ233" s="16"/>
      <c r="VPR233" s="16"/>
      <c r="VPS233" s="16"/>
      <c r="VPT233" s="16"/>
      <c r="VPU233" s="15"/>
      <c r="VPV233" s="15"/>
      <c r="VPW233" s="10"/>
      <c r="VPX233" s="10"/>
      <c r="VPY233" s="19"/>
      <c r="VPZ233" s="19"/>
      <c r="VQC233" s="16"/>
      <c r="VQD233" s="15"/>
      <c r="VQE233" s="15"/>
      <c r="VQF233" s="15"/>
      <c r="VQG233" s="16"/>
      <c r="VQH233" s="16"/>
      <c r="VQI233" s="16"/>
      <c r="VQJ233" s="16"/>
      <c r="VQK233" s="16"/>
      <c r="VQL233" s="15"/>
      <c r="VQM233" s="15"/>
      <c r="VQN233" s="10"/>
      <c r="VQO233" s="10"/>
      <c r="VQP233" s="19"/>
      <c r="VQQ233" s="19"/>
      <c r="VQT233" s="16"/>
      <c r="VQU233" s="15"/>
      <c r="VQV233" s="15"/>
      <c r="VQW233" s="15"/>
      <c r="VQX233" s="16"/>
      <c r="VQY233" s="16"/>
      <c r="VQZ233" s="16"/>
      <c r="VRA233" s="16"/>
      <c r="VRB233" s="16"/>
      <c r="VRC233" s="15"/>
      <c r="VRD233" s="15"/>
      <c r="VRE233" s="10"/>
      <c r="VRF233" s="10"/>
      <c r="VRG233" s="19"/>
      <c r="VRH233" s="19"/>
      <c r="VRK233" s="16"/>
      <c r="VRL233" s="15"/>
      <c r="VRM233" s="15"/>
      <c r="VRN233" s="15"/>
      <c r="VRO233" s="16"/>
      <c r="VRP233" s="16"/>
      <c r="VRQ233" s="16"/>
      <c r="VRR233" s="16"/>
      <c r="VRS233" s="16"/>
      <c r="VRT233" s="15"/>
      <c r="VRU233" s="15"/>
      <c r="VRV233" s="10"/>
      <c r="VRW233" s="10"/>
      <c r="VRX233" s="19"/>
      <c r="VRY233" s="19"/>
      <c r="VSB233" s="16"/>
      <c r="VSC233" s="15"/>
      <c r="VSD233" s="15"/>
      <c r="VSE233" s="15"/>
      <c r="VSF233" s="16"/>
      <c r="VSG233" s="16"/>
      <c r="VSH233" s="16"/>
      <c r="VSI233" s="16"/>
      <c r="VSJ233" s="16"/>
      <c r="VSK233" s="15"/>
      <c r="VSL233" s="15"/>
      <c r="VSM233" s="10"/>
      <c r="VSN233" s="10"/>
      <c r="VSO233" s="19"/>
      <c r="VSP233" s="19"/>
      <c r="VSS233" s="16"/>
      <c r="VST233" s="15"/>
      <c r="VSU233" s="15"/>
      <c r="VSV233" s="15"/>
      <c r="VSW233" s="16"/>
      <c r="VSX233" s="16"/>
      <c r="VSY233" s="16"/>
      <c r="VSZ233" s="16"/>
      <c r="VTA233" s="16"/>
      <c r="VTB233" s="15"/>
      <c r="VTC233" s="15"/>
      <c r="VTD233" s="10"/>
      <c r="VTE233" s="10"/>
      <c r="VTF233" s="19"/>
      <c r="VTG233" s="19"/>
      <c r="VTJ233" s="16"/>
      <c r="VTK233" s="15"/>
      <c r="VTL233" s="15"/>
      <c r="VTM233" s="15"/>
      <c r="VTN233" s="16"/>
      <c r="VTO233" s="16"/>
      <c r="VTP233" s="16"/>
      <c r="VTQ233" s="16"/>
      <c r="VTR233" s="16"/>
      <c r="VTS233" s="15"/>
      <c r="VTT233" s="15"/>
      <c r="VTU233" s="10"/>
      <c r="VTV233" s="10"/>
      <c r="VTW233" s="19"/>
      <c r="VTX233" s="19"/>
      <c r="VUA233" s="16"/>
      <c r="VUB233" s="15"/>
      <c r="VUC233" s="15"/>
      <c r="VUD233" s="15"/>
      <c r="VUE233" s="16"/>
      <c r="VUF233" s="16"/>
      <c r="VUG233" s="16"/>
      <c r="VUH233" s="16"/>
      <c r="VUI233" s="16"/>
      <c r="VUJ233" s="15"/>
      <c r="VUK233" s="15"/>
      <c r="VUL233" s="10"/>
      <c r="VUM233" s="10"/>
      <c r="VUN233" s="19"/>
      <c r="VUO233" s="19"/>
      <c r="VUR233" s="16"/>
      <c r="VUS233" s="15"/>
      <c r="VUT233" s="15"/>
      <c r="VUU233" s="15"/>
      <c r="VUV233" s="16"/>
      <c r="VUW233" s="16"/>
      <c r="VUX233" s="16"/>
      <c r="VUY233" s="16"/>
      <c r="VUZ233" s="16"/>
      <c r="VVA233" s="15"/>
      <c r="VVB233" s="15"/>
      <c r="VVC233" s="10"/>
      <c r="VVD233" s="10"/>
      <c r="VVE233" s="19"/>
      <c r="VVF233" s="19"/>
      <c r="VVI233" s="16"/>
      <c r="VVJ233" s="15"/>
      <c r="VVK233" s="15"/>
      <c r="VVL233" s="15"/>
      <c r="VVM233" s="16"/>
      <c r="VVN233" s="16"/>
      <c r="VVO233" s="16"/>
      <c r="VVP233" s="16"/>
      <c r="VVQ233" s="16"/>
      <c r="VVR233" s="15"/>
      <c r="VVS233" s="15"/>
      <c r="VVT233" s="10"/>
      <c r="VVU233" s="10"/>
      <c r="VVV233" s="19"/>
      <c r="VVW233" s="19"/>
      <c r="VVZ233" s="16"/>
      <c r="VWA233" s="15"/>
      <c r="VWB233" s="15"/>
      <c r="VWC233" s="15"/>
      <c r="VWD233" s="16"/>
      <c r="VWE233" s="16"/>
      <c r="VWF233" s="16"/>
      <c r="VWG233" s="16"/>
      <c r="VWH233" s="16"/>
      <c r="VWI233" s="15"/>
      <c r="VWJ233" s="15"/>
      <c r="VWK233" s="10"/>
      <c r="VWL233" s="10"/>
      <c r="VWM233" s="19"/>
      <c r="VWN233" s="19"/>
      <c r="VWQ233" s="16"/>
      <c r="VWR233" s="15"/>
      <c r="VWS233" s="15"/>
      <c r="VWT233" s="15"/>
      <c r="VWU233" s="16"/>
      <c r="VWV233" s="16"/>
      <c r="VWW233" s="16"/>
      <c r="VWX233" s="16"/>
      <c r="VWY233" s="16"/>
      <c r="VWZ233" s="15"/>
      <c r="VXA233" s="15"/>
      <c r="VXB233" s="10"/>
      <c r="VXC233" s="10"/>
      <c r="VXD233" s="19"/>
      <c r="VXE233" s="19"/>
      <c r="VXH233" s="16"/>
      <c r="VXI233" s="15"/>
      <c r="VXJ233" s="15"/>
      <c r="VXK233" s="15"/>
      <c r="VXL233" s="16"/>
      <c r="VXM233" s="16"/>
      <c r="VXN233" s="16"/>
      <c r="VXO233" s="16"/>
      <c r="VXP233" s="16"/>
      <c r="VXQ233" s="15"/>
      <c r="VXR233" s="15"/>
      <c r="VXS233" s="10"/>
      <c r="VXT233" s="10"/>
      <c r="VXU233" s="19"/>
      <c r="VXV233" s="19"/>
      <c r="VXY233" s="16"/>
      <c r="VXZ233" s="15"/>
      <c r="VYA233" s="15"/>
      <c r="VYB233" s="15"/>
      <c r="VYC233" s="16"/>
      <c r="VYD233" s="16"/>
      <c r="VYE233" s="16"/>
      <c r="VYF233" s="16"/>
      <c r="VYG233" s="16"/>
      <c r="VYH233" s="15"/>
      <c r="VYI233" s="15"/>
      <c r="VYJ233" s="10"/>
      <c r="VYK233" s="10"/>
      <c r="VYL233" s="19"/>
      <c r="VYM233" s="19"/>
      <c r="VYP233" s="16"/>
      <c r="VYQ233" s="15"/>
      <c r="VYR233" s="15"/>
      <c r="VYS233" s="15"/>
      <c r="VYT233" s="16"/>
      <c r="VYU233" s="16"/>
      <c r="VYV233" s="16"/>
      <c r="VYW233" s="16"/>
      <c r="VYX233" s="16"/>
      <c r="VYY233" s="15"/>
      <c r="VYZ233" s="15"/>
      <c r="VZA233" s="10"/>
      <c r="VZB233" s="10"/>
      <c r="VZC233" s="19"/>
      <c r="VZD233" s="19"/>
      <c r="VZG233" s="16"/>
      <c r="VZH233" s="15"/>
      <c r="VZI233" s="15"/>
      <c r="VZJ233" s="15"/>
      <c r="VZK233" s="16"/>
      <c r="VZL233" s="16"/>
      <c r="VZM233" s="16"/>
      <c r="VZN233" s="16"/>
      <c r="VZO233" s="16"/>
      <c r="VZP233" s="15"/>
      <c r="VZQ233" s="15"/>
      <c r="VZR233" s="10"/>
      <c r="VZS233" s="10"/>
      <c r="VZT233" s="19"/>
      <c r="VZU233" s="19"/>
      <c r="VZX233" s="16"/>
      <c r="VZY233" s="15"/>
      <c r="VZZ233" s="15"/>
      <c r="WAA233" s="15"/>
      <c r="WAB233" s="16"/>
      <c r="WAC233" s="16"/>
      <c r="WAD233" s="16"/>
      <c r="WAE233" s="16"/>
      <c r="WAF233" s="16"/>
      <c r="WAG233" s="15"/>
      <c r="WAH233" s="15"/>
      <c r="WAI233" s="10"/>
      <c r="WAJ233" s="10"/>
      <c r="WAK233" s="19"/>
      <c r="WAL233" s="19"/>
      <c r="WAO233" s="16"/>
      <c r="WAP233" s="15"/>
      <c r="WAQ233" s="15"/>
      <c r="WAR233" s="15"/>
      <c r="WAS233" s="16"/>
      <c r="WAT233" s="16"/>
      <c r="WAU233" s="16"/>
      <c r="WAV233" s="16"/>
      <c r="WAW233" s="16"/>
      <c r="WAX233" s="15"/>
      <c r="WAY233" s="15"/>
      <c r="WAZ233" s="10"/>
      <c r="WBA233" s="10"/>
      <c r="WBB233" s="19"/>
      <c r="WBC233" s="19"/>
      <c r="WBF233" s="16"/>
      <c r="WBG233" s="15"/>
      <c r="WBH233" s="15"/>
      <c r="WBI233" s="15"/>
      <c r="WBJ233" s="16"/>
      <c r="WBK233" s="16"/>
      <c r="WBL233" s="16"/>
      <c r="WBM233" s="16"/>
      <c r="WBN233" s="16"/>
      <c r="WBO233" s="15"/>
      <c r="WBP233" s="15"/>
      <c r="WBQ233" s="10"/>
      <c r="WBR233" s="10"/>
      <c r="WBS233" s="19"/>
      <c r="WBT233" s="19"/>
      <c r="WBW233" s="16"/>
      <c r="WBX233" s="15"/>
      <c r="WBY233" s="15"/>
      <c r="WBZ233" s="15"/>
      <c r="WCA233" s="16"/>
      <c r="WCB233" s="16"/>
      <c r="WCC233" s="16"/>
      <c r="WCD233" s="16"/>
      <c r="WCE233" s="16"/>
      <c r="WCF233" s="15"/>
      <c r="WCG233" s="15"/>
      <c r="WCH233" s="10"/>
      <c r="WCI233" s="10"/>
      <c r="WCJ233" s="19"/>
      <c r="WCK233" s="19"/>
      <c r="WCN233" s="16"/>
      <c r="WCO233" s="15"/>
      <c r="WCP233" s="15"/>
      <c r="WCQ233" s="15"/>
      <c r="WCR233" s="16"/>
      <c r="WCS233" s="16"/>
      <c r="WCT233" s="16"/>
      <c r="WCU233" s="16"/>
      <c r="WCV233" s="16"/>
      <c r="WCW233" s="15"/>
      <c r="WCX233" s="15"/>
      <c r="WCY233" s="10"/>
      <c r="WCZ233" s="10"/>
      <c r="WDA233" s="19"/>
      <c r="WDB233" s="19"/>
      <c r="WDE233" s="16"/>
      <c r="WDF233" s="15"/>
      <c r="WDG233" s="15"/>
      <c r="WDH233" s="15"/>
      <c r="WDI233" s="16"/>
      <c r="WDJ233" s="16"/>
      <c r="WDK233" s="16"/>
      <c r="WDL233" s="16"/>
      <c r="WDM233" s="16"/>
      <c r="WDN233" s="15"/>
      <c r="WDO233" s="15"/>
      <c r="WDP233" s="10"/>
      <c r="WDQ233" s="10"/>
      <c r="WDR233" s="19"/>
      <c r="WDS233" s="19"/>
      <c r="WDV233" s="16"/>
      <c r="WDW233" s="15"/>
      <c r="WDX233" s="15"/>
      <c r="WDY233" s="15"/>
      <c r="WDZ233" s="16"/>
      <c r="WEA233" s="16"/>
      <c r="WEB233" s="16"/>
      <c r="WEC233" s="16"/>
      <c r="WED233" s="16"/>
      <c r="WEE233" s="15"/>
      <c r="WEF233" s="15"/>
      <c r="WEG233" s="10"/>
      <c r="WEH233" s="10"/>
      <c r="WEI233" s="19"/>
      <c r="WEJ233" s="19"/>
      <c r="WEM233" s="16"/>
      <c r="WEN233" s="15"/>
      <c r="WEO233" s="15"/>
      <c r="WEP233" s="15"/>
      <c r="WEQ233" s="16"/>
      <c r="WER233" s="16"/>
      <c r="WES233" s="16"/>
      <c r="WET233" s="16"/>
      <c r="WEU233" s="16"/>
      <c r="WEV233" s="15"/>
      <c r="WEW233" s="15"/>
      <c r="WEX233" s="10"/>
      <c r="WEY233" s="10"/>
      <c r="WEZ233" s="19"/>
      <c r="WFA233" s="19"/>
      <c r="WFD233" s="16"/>
      <c r="WFE233" s="15"/>
      <c r="WFF233" s="15"/>
      <c r="WFG233" s="15"/>
      <c r="WFH233" s="16"/>
      <c r="WFI233" s="16"/>
      <c r="WFJ233" s="16"/>
      <c r="WFK233" s="16"/>
      <c r="WFL233" s="16"/>
      <c r="WFM233" s="15"/>
      <c r="WFN233" s="15"/>
      <c r="WFO233" s="10"/>
      <c r="WFP233" s="10"/>
      <c r="WFQ233" s="19"/>
      <c r="WFR233" s="19"/>
      <c r="WFU233" s="16"/>
      <c r="WFV233" s="15"/>
      <c r="WFW233" s="15"/>
      <c r="WFX233" s="15"/>
      <c r="WFY233" s="16"/>
      <c r="WFZ233" s="16"/>
      <c r="WGA233" s="16"/>
      <c r="WGB233" s="16"/>
      <c r="WGC233" s="16"/>
      <c r="WGD233" s="15"/>
      <c r="WGE233" s="15"/>
      <c r="WGF233" s="10"/>
      <c r="WGG233" s="10"/>
      <c r="WGH233" s="19"/>
      <c r="WGI233" s="19"/>
      <c r="WGL233" s="16"/>
      <c r="WGM233" s="15"/>
      <c r="WGN233" s="15"/>
      <c r="WGO233" s="15"/>
      <c r="WGP233" s="16"/>
      <c r="WGQ233" s="16"/>
      <c r="WGR233" s="16"/>
      <c r="WGS233" s="16"/>
      <c r="WGT233" s="16"/>
      <c r="WGU233" s="15"/>
      <c r="WGV233" s="15"/>
      <c r="WGW233" s="10"/>
      <c r="WGX233" s="10"/>
      <c r="WGY233" s="19"/>
      <c r="WGZ233" s="19"/>
      <c r="WHC233" s="16"/>
      <c r="WHD233" s="15"/>
      <c r="WHE233" s="15"/>
      <c r="WHF233" s="15"/>
      <c r="WHG233" s="16"/>
      <c r="WHH233" s="16"/>
      <c r="WHI233" s="16"/>
      <c r="WHJ233" s="16"/>
      <c r="WHK233" s="16"/>
      <c r="WHL233" s="15"/>
      <c r="WHM233" s="15"/>
      <c r="WHN233" s="10"/>
      <c r="WHO233" s="10"/>
      <c r="WHP233" s="19"/>
      <c r="WHQ233" s="19"/>
      <c r="WHT233" s="16"/>
      <c r="WHU233" s="15"/>
      <c r="WHV233" s="15"/>
      <c r="WHW233" s="15"/>
      <c r="WHX233" s="16"/>
      <c r="WHY233" s="16"/>
      <c r="WHZ233" s="16"/>
      <c r="WIA233" s="16"/>
      <c r="WIB233" s="16"/>
      <c r="WIC233" s="15"/>
      <c r="WID233" s="15"/>
      <c r="WIE233" s="10"/>
      <c r="WIF233" s="10"/>
      <c r="WIG233" s="19"/>
      <c r="WIH233" s="19"/>
      <c r="WIK233" s="16"/>
      <c r="WIL233" s="15"/>
      <c r="WIM233" s="15"/>
      <c r="WIN233" s="15"/>
      <c r="WIO233" s="16"/>
      <c r="WIP233" s="16"/>
      <c r="WIQ233" s="16"/>
      <c r="WIR233" s="16"/>
      <c r="WIS233" s="16"/>
      <c r="WIT233" s="15"/>
      <c r="WIU233" s="15"/>
      <c r="WIV233" s="10"/>
      <c r="WIW233" s="10"/>
      <c r="WIX233" s="19"/>
      <c r="WIY233" s="19"/>
      <c r="WJB233" s="16"/>
      <c r="WJC233" s="15"/>
      <c r="WJD233" s="15"/>
      <c r="WJE233" s="15"/>
      <c r="WJF233" s="16"/>
      <c r="WJG233" s="16"/>
      <c r="WJH233" s="16"/>
      <c r="WJI233" s="16"/>
      <c r="WJJ233" s="16"/>
      <c r="WJK233" s="15"/>
      <c r="WJL233" s="15"/>
      <c r="WJM233" s="10"/>
      <c r="WJN233" s="10"/>
      <c r="WJO233" s="19"/>
      <c r="WJP233" s="19"/>
      <c r="WJS233" s="16"/>
      <c r="WJT233" s="15"/>
      <c r="WJU233" s="15"/>
      <c r="WJV233" s="15"/>
      <c r="WJW233" s="16"/>
      <c r="WJX233" s="16"/>
      <c r="WJY233" s="16"/>
      <c r="WJZ233" s="16"/>
      <c r="WKA233" s="16"/>
      <c r="WKB233" s="15"/>
      <c r="WKC233" s="15"/>
      <c r="WKD233" s="10"/>
      <c r="WKE233" s="10"/>
      <c r="WKF233" s="19"/>
      <c r="WKG233" s="19"/>
      <c r="WKJ233" s="16"/>
      <c r="WKK233" s="15"/>
      <c r="WKL233" s="15"/>
      <c r="WKM233" s="15"/>
      <c r="WKN233" s="16"/>
      <c r="WKO233" s="16"/>
      <c r="WKP233" s="16"/>
      <c r="WKQ233" s="16"/>
      <c r="WKR233" s="16"/>
      <c r="WKS233" s="15"/>
      <c r="WKT233" s="15"/>
      <c r="WKU233" s="10"/>
      <c r="WKV233" s="10"/>
      <c r="WKW233" s="19"/>
      <c r="WKX233" s="19"/>
      <c r="WLA233" s="16"/>
      <c r="WLB233" s="15"/>
      <c r="WLC233" s="15"/>
      <c r="WLD233" s="15"/>
      <c r="WLE233" s="16"/>
      <c r="WLF233" s="16"/>
      <c r="WLG233" s="16"/>
      <c r="WLH233" s="16"/>
      <c r="WLI233" s="16"/>
      <c r="WLJ233" s="15"/>
      <c r="WLK233" s="15"/>
      <c r="WLL233" s="10"/>
      <c r="WLM233" s="10"/>
      <c r="WLN233" s="19"/>
      <c r="WLO233" s="19"/>
      <c r="WLR233" s="16"/>
      <c r="WLS233" s="15"/>
      <c r="WLT233" s="15"/>
      <c r="WLU233" s="15"/>
      <c r="WLV233" s="16"/>
      <c r="WLW233" s="16"/>
      <c r="WLX233" s="16"/>
      <c r="WLY233" s="16"/>
      <c r="WLZ233" s="16"/>
      <c r="WMA233" s="15"/>
      <c r="WMB233" s="15"/>
      <c r="WMC233" s="10"/>
      <c r="WMD233" s="10"/>
      <c r="WME233" s="19"/>
      <c r="WMF233" s="19"/>
      <c r="WMI233" s="16"/>
      <c r="WMJ233" s="15"/>
      <c r="WMK233" s="15"/>
      <c r="WML233" s="15"/>
      <c r="WMM233" s="16"/>
      <c r="WMN233" s="16"/>
      <c r="WMO233" s="16"/>
      <c r="WMP233" s="16"/>
      <c r="WMQ233" s="16"/>
      <c r="WMR233" s="15"/>
      <c r="WMS233" s="15"/>
      <c r="WMT233" s="10"/>
      <c r="WMU233" s="10"/>
      <c r="WMV233" s="19"/>
      <c r="WMW233" s="19"/>
      <c r="WMZ233" s="16"/>
      <c r="WNA233" s="15"/>
      <c r="WNB233" s="15"/>
      <c r="WNC233" s="15"/>
      <c r="WND233" s="16"/>
      <c r="WNE233" s="16"/>
      <c r="WNF233" s="16"/>
      <c r="WNG233" s="16"/>
      <c r="WNH233" s="16"/>
      <c r="WNI233" s="15"/>
      <c r="WNJ233" s="15"/>
      <c r="WNK233" s="10"/>
      <c r="WNL233" s="10"/>
      <c r="WNM233" s="19"/>
      <c r="WNN233" s="19"/>
      <c r="WNQ233" s="16"/>
      <c r="WNR233" s="15"/>
      <c r="WNS233" s="15"/>
      <c r="WNT233" s="15"/>
      <c r="WNU233" s="16"/>
      <c r="WNV233" s="16"/>
      <c r="WNW233" s="16"/>
      <c r="WNX233" s="16"/>
      <c r="WNY233" s="16"/>
      <c r="WNZ233" s="15"/>
      <c r="WOA233" s="15"/>
      <c r="WOB233" s="10"/>
      <c r="WOC233" s="10"/>
      <c r="WOD233" s="19"/>
      <c r="WOE233" s="19"/>
      <c r="WOH233" s="16"/>
      <c r="WOI233" s="15"/>
      <c r="WOJ233" s="15"/>
      <c r="WOK233" s="15"/>
      <c r="WOL233" s="16"/>
      <c r="WOM233" s="16"/>
      <c r="WON233" s="16"/>
      <c r="WOO233" s="16"/>
      <c r="WOP233" s="16"/>
      <c r="WOQ233" s="15"/>
      <c r="WOR233" s="15"/>
      <c r="WOS233" s="10"/>
      <c r="WOT233" s="10"/>
      <c r="WOU233" s="19"/>
      <c r="WOV233" s="19"/>
      <c r="WOY233" s="16"/>
      <c r="WOZ233" s="15"/>
      <c r="WPA233" s="15"/>
      <c r="WPB233" s="15"/>
      <c r="WPC233" s="16"/>
      <c r="WPD233" s="16"/>
      <c r="WPE233" s="16"/>
      <c r="WPF233" s="16"/>
      <c r="WPG233" s="16"/>
      <c r="WPH233" s="15"/>
      <c r="WPI233" s="15"/>
      <c r="WPJ233" s="10"/>
      <c r="WPK233" s="10"/>
      <c r="WPL233" s="19"/>
      <c r="WPM233" s="19"/>
      <c r="WPP233" s="16"/>
      <c r="WPQ233" s="15"/>
      <c r="WPR233" s="15"/>
      <c r="WPS233" s="15"/>
      <c r="WPT233" s="16"/>
      <c r="WPU233" s="16"/>
      <c r="WPV233" s="16"/>
      <c r="WPW233" s="16"/>
      <c r="WPX233" s="16"/>
      <c r="WPY233" s="15"/>
      <c r="WPZ233" s="15"/>
      <c r="WQA233" s="10"/>
      <c r="WQB233" s="10"/>
      <c r="WQC233" s="19"/>
      <c r="WQD233" s="19"/>
      <c r="WQG233" s="16"/>
      <c r="WQH233" s="15"/>
      <c r="WQI233" s="15"/>
      <c r="WQJ233" s="15"/>
      <c r="WQK233" s="16"/>
      <c r="WQL233" s="16"/>
      <c r="WQM233" s="16"/>
      <c r="WQN233" s="16"/>
      <c r="WQO233" s="16"/>
      <c r="WQP233" s="15"/>
      <c r="WQQ233" s="15"/>
      <c r="WQR233" s="10"/>
      <c r="WQS233" s="10"/>
      <c r="WQT233" s="19"/>
      <c r="WQU233" s="19"/>
      <c r="WQX233" s="16"/>
      <c r="WQY233" s="15"/>
      <c r="WQZ233" s="15"/>
      <c r="WRA233" s="15"/>
      <c r="WRB233" s="16"/>
      <c r="WRC233" s="16"/>
      <c r="WRD233" s="16"/>
      <c r="WRE233" s="16"/>
      <c r="WRF233" s="16"/>
      <c r="WRG233" s="15"/>
      <c r="WRH233" s="15"/>
      <c r="WRI233" s="10"/>
      <c r="WRJ233" s="10"/>
      <c r="WRK233" s="19"/>
      <c r="WRL233" s="19"/>
      <c r="WRO233" s="16"/>
      <c r="WRP233" s="15"/>
      <c r="WRQ233" s="15"/>
      <c r="WRR233" s="15"/>
      <c r="WRS233" s="16"/>
      <c r="WRT233" s="16"/>
      <c r="WRU233" s="16"/>
      <c r="WRV233" s="16"/>
      <c r="WRW233" s="16"/>
      <c r="WRX233" s="15"/>
      <c r="WRY233" s="15"/>
      <c r="WRZ233" s="10"/>
      <c r="WSA233" s="10"/>
      <c r="WSB233" s="19"/>
      <c r="WSC233" s="19"/>
      <c r="WSF233" s="16"/>
      <c r="WSG233" s="15"/>
      <c r="WSH233" s="15"/>
      <c r="WSI233" s="15"/>
      <c r="WSJ233" s="16"/>
      <c r="WSK233" s="16"/>
      <c r="WSL233" s="16"/>
      <c r="WSM233" s="16"/>
      <c r="WSN233" s="16"/>
      <c r="WSO233" s="15"/>
      <c r="WSP233" s="15"/>
      <c r="WSQ233" s="10"/>
      <c r="WSR233" s="10"/>
      <c r="WSS233" s="19"/>
      <c r="WST233" s="19"/>
      <c r="WSW233" s="16"/>
      <c r="WSX233" s="15"/>
      <c r="WSY233" s="15"/>
      <c r="WSZ233" s="15"/>
      <c r="WTA233" s="16"/>
      <c r="WTB233" s="16"/>
      <c r="WTC233" s="16"/>
      <c r="WTD233" s="16"/>
      <c r="WTE233" s="16"/>
      <c r="WTF233" s="15"/>
      <c r="WTG233" s="15"/>
      <c r="WTH233" s="10"/>
      <c r="WTI233" s="10"/>
      <c r="WTJ233" s="19"/>
      <c r="WTK233" s="19"/>
      <c r="WTN233" s="16"/>
      <c r="WTO233" s="15"/>
      <c r="WTP233" s="15"/>
      <c r="WTQ233" s="15"/>
      <c r="WTR233" s="16"/>
      <c r="WTS233" s="16"/>
      <c r="WTT233" s="16"/>
      <c r="WTU233" s="16"/>
      <c r="WTV233" s="16"/>
      <c r="WTW233" s="15"/>
      <c r="WTX233" s="15"/>
      <c r="WTY233" s="10"/>
      <c r="WTZ233" s="10"/>
      <c r="WUA233" s="19"/>
      <c r="WUB233" s="19"/>
      <c r="WUE233" s="16"/>
      <c r="WUF233" s="15"/>
      <c r="WUG233" s="15"/>
      <c r="WUH233" s="15"/>
      <c r="WUI233" s="16"/>
      <c r="WUJ233" s="16"/>
      <c r="WUK233" s="16"/>
      <c r="WUL233" s="16"/>
      <c r="WUM233" s="16"/>
      <c r="WUN233" s="15"/>
      <c r="WUO233" s="15"/>
      <c r="WUP233" s="10"/>
      <c r="WUQ233" s="10"/>
      <c r="WUR233" s="19"/>
      <c r="WUS233" s="19"/>
      <c r="WUV233" s="16"/>
      <c r="WUW233" s="15"/>
      <c r="WUX233" s="15"/>
      <c r="WUY233" s="15"/>
      <c r="WUZ233" s="16"/>
      <c r="WVA233" s="16"/>
      <c r="WVB233" s="16"/>
      <c r="WVC233" s="16"/>
      <c r="WVD233" s="16"/>
      <c r="WVE233" s="15"/>
      <c r="WVF233" s="15"/>
      <c r="WVG233" s="10"/>
      <c r="WVH233" s="10"/>
      <c r="WVI233" s="19"/>
      <c r="WVJ233" s="19"/>
      <c r="WVM233" s="16"/>
      <c r="WVN233" s="15"/>
      <c r="WVO233" s="15"/>
      <c r="WVP233" s="15"/>
      <c r="WVQ233" s="16"/>
      <c r="WVR233" s="16"/>
      <c r="WVS233" s="16"/>
      <c r="WVT233" s="16"/>
      <c r="WVU233" s="16"/>
      <c r="WVV233" s="15"/>
      <c r="WVW233" s="15"/>
      <c r="WVX233" s="10"/>
      <c r="WVY233" s="10"/>
      <c r="WVZ233" s="19"/>
      <c r="WWA233" s="19"/>
      <c r="WWD233" s="16"/>
      <c r="WWE233" s="15"/>
      <c r="WWF233" s="15"/>
      <c r="WWG233" s="15"/>
      <c r="WWH233" s="16"/>
      <c r="WWI233" s="16"/>
      <c r="WWJ233" s="16"/>
      <c r="WWK233" s="16"/>
      <c r="WWL233" s="16"/>
      <c r="WWM233" s="15"/>
      <c r="WWN233" s="15"/>
      <c r="WWO233" s="10"/>
      <c r="WWP233" s="10"/>
      <c r="WWQ233" s="19"/>
      <c r="WWR233" s="19"/>
      <c r="WWU233" s="16"/>
      <c r="WWV233" s="15"/>
      <c r="WWW233" s="15"/>
      <c r="WWX233" s="15"/>
      <c r="WWY233" s="16"/>
      <c r="WWZ233" s="16"/>
      <c r="WXA233" s="16"/>
      <c r="WXB233" s="16"/>
      <c r="WXC233" s="16"/>
      <c r="WXD233" s="15"/>
      <c r="WXE233" s="15"/>
      <c r="WXF233" s="10"/>
      <c r="WXG233" s="10"/>
      <c r="WXH233" s="19"/>
      <c r="WXI233" s="19"/>
      <c r="WXL233" s="16"/>
      <c r="WXM233" s="15"/>
      <c r="WXN233" s="15"/>
      <c r="WXO233" s="15"/>
      <c r="WXP233" s="16"/>
      <c r="WXQ233" s="16"/>
      <c r="WXR233" s="16"/>
      <c r="WXS233" s="16"/>
      <c r="WXT233" s="16"/>
      <c r="WXU233" s="15"/>
      <c r="WXV233" s="15"/>
      <c r="WXW233" s="10"/>
      <c r="WXX233" s="10"/>
      <c r="WXY233" s="19"/>
      <c r="WXZ233" s="19"/>
      <c r="WYC233" s="16"/>
      <c r="WYD233" s="15"/>
      <c r="WYE233" s="15"/>
      <c r="WYF233" s="15"/>
      <c r="WYG233" s="16"/>
      <c r="WYH233" s="16"/>
      <c r="WYI233" s="16"/>
      <c r="WYJ233" s="16"/>
      <c r="WYK233" s="16"/>
      <c r="WYL233" s="15"/>
      <c r="WYM233" s="15"/>
      <c r="WYN233" s="10"/>
      <c r="WYO233" s="10"/>
      <c r="WYP233" s="19"/>
      <c r="WYQ233" s="19"/>
      <c r="WYT233" s="16"/>
      <c r="WYU233" s="15"/>
      <c r="WYV233" s="15"/>
      <c r="WYW233" s="15"/>
      <c r="WYX233" s="16"/>
      <c r="WYY233" s="16"/>
      <c r="WYZ233" s="16"/>
      <c r="WZA233" s="16"/>
      <c r="WZB233" s="16"/>
      <c r="WZC233" s="15"/>
      <c r="WZD233" s="15"/>
      <c r="WZE233" s="10"/>
      <c r="WZF233" s="10"/>
      <c r="WZG233" s="19"/>
      <c r="WZH233" s="19"/>
      <c r="WZK233" s="16"/>
      <c r="WZL233" s="15"/>
      <c r="WZM233" s="15"/>
      <c r="WZN233" s="15"/>
      <c r="WZO233" s="16"/>
      <c r="WZP233" s="16"/>
      <c r="WZQ233" s="16"/>
      <c r="WZR233" s="16"/>
      <c r="WZS233" s="16"/>
      <c r="WZT233" s="15"/>
      <c r="WZU233" s="15"/>
      <c r="WZV233" s="10"/>
      <c r="WZW233" s="10"/>
      <c r="WZX233" s="19"/>
      <c r="WZY233" s="19"/>
      <c r="XAB233" s="16"/>
      <c r="XAC233" s="15"/>
      <c r="XAD233" s="15"/>
      <c r="XAE233" s="15"/>
      <c r="XAF233" s="16"/>
      <c r="XAG233" s="16"/>
      <c r="XAH233" s="16"/>
      <c r="XAI233" s="16"/>
      <c r="XAJ233" s="16"/>
      <c r="XAK233" s="15"/>
      <c r="XAL233" s="15"/>
      <c r="XAM233" s="10"/>
      <c r="XAN233" s="10"/>
      <c r="XAO233" s="19"/>
      <c r="XAP233" s="19"/>
      <c r="XAS233" s="16"/>
      <c r="XAT233" s="15"/>
      <c r="XAU233" s="15"/>
      <c r="XAV233" s="15"/>
      <c r="XAW233" s="16"/>
      <c r="XAX233" s="16"/>
      <c r="XAY233" s="16"/>
      <c r="XAZ233" s="16"/>
      <c r="XBA233" s="16"/>
      <c r="XBB233" s="15"/>
      <c r="XBC233" s="15"/>
      <c r="XBD233" s="10"/>
      <c r="XBE233" s="10"/>
      <c r="XBF233" s="19"/>
      <c r="XBG233" s="19"/>
      <c r="XBJ233" s="16"/>
      <c r="XBK233" s="15"/>
      <c r="XBL233" s="15"/>
      <c r="XBM233" s="15"/>
      <c r="XBN233" s="16"/>
      <c r="XBO233" s="16"/>
      <c r="XBP233" s="16"/>
      <c r="XBQ233" s="16"/>
      <c r="XBR233" s="16"/>
      <c r="XBS233" s="15"/>
      <c r="XBT233" s="15"/>
      <c r="XBU233" s="10"/>
      <c r="XBV233" s="10"/>
      <c r="XBW233" s="19"/>
      <c r="XBX233" s="19"/>
      <c r="XCA233" s="16"/>
      <c r="XCB233" s="15"/>
      <c r="XCC233" s="15"/>
      <c r="XCD233" s="15"/>
      <c r="XCE233" s="16"/>
      <c r="XCF233" s="16"/>
      <c r="XCG233" s="16"/>
      <c r="XCH233" s="16"/>
      <c r="XCI233" s="16"/>
      <c r="XCJ233" s="15"/>
      <c r="XCK233" s="15"/>
      <c r="XCL233" s="10"/>
      <c r="XCM233" s="10"/>
      <c r="XCN233" s="19"/>
      <c r="XCO233" s="19"/>
      <c r="XCR233" s="16"/>
      <c r="XCS233" s="15"/>
      <c r="XCT233" s="15"/>
      <c r="XCU233" s="15"/>
      <c r="XCV233" s="16"/>
      <c r="XCW233" s="16"/>
      <c r="XCX233" s="16"/>
      <c r="XCY233" s="16"/>
      <c r="XCZ233" s="16"/>
      <c r="XDA233" s="15"/>
      <c r="XDB233" s="15"/>
      <c r="XDC233" s="10"/>
      <c r="XDD233" s="10"/>
      <c r="XDE233" s="19"/>
      <c r="XDF233" s="19"/>
      <c r="XDI233" s="16"/>
      <c r="XDJ233" s="15"/>
      <c r="XDK233" s="15"/>
      <c r="XDL233" s="15"/>
      <c r="XDM233" s="16"/>
      <c r="XDN233" s="16"/>
      <c r="XDO233" s="16"/>
      <c r="XDP233" s="16"/>
      <c r="XDQ233" s="16"/>
      <c r="XDR233" s="15"/>
      <c r="XDS233" s="15"/>
      <c r="XDT233" s="10"/>
      <c r="XDU233" s="10"/>
      <c r="XDV233" s="19"/>
      <c r="XDW233" s="19"/>
      <c r="XDZ233" s="16"/>
      <c r="XEA233" s="15"/>
      <c r="XEB233" s="15"/>
      <c r="XEC233" s="15"/>
      <c r="XED233" s="16"/>
      <c r="XEE233" s="16"/>
      <c r="XEF233" s="16"/>
      <c r="XEG233" s="16"/>
      <c r="XEH233" s="16"/>
      <c r="XEI233" s="15"/>
      <c r="XEJ233" s="15"/>
      <c r="XEK233" s="10"/>
      <c r="XEL233" s="10"/>
      <c r="XEM233" s="19"/>
      <c r="XEN233" s="19"/>
      <c r="XEQ233" s="16"/>
      <c r="XER233" s="15"/>
      <c r="XES233" s="15"/>
      <c r="XET233" s="15"/>
      <c r="XEU233" s="16"/>
      <c r="XEV233" s="16"/>
      <c r="XEW233" s="16"/>
      <c r="XEX233" s="16"/>
      <c r="XEY233" s="16"/>
      <c r="XEZ233" s="15"/>
      <c r="XFA233" s="15"/>
      <c r="XFB233" s="10"/>
      <c r="XFC233" s="10"/>
      <c r="XFD233" s="19"/>
    </row>
    <row r="234" spans="1:4094 4097:8191 8194:12288 12291:16384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1072</v>
      </c>
      <c r="E234" s="32" t="s">
        <v>166</v>
      </c>
      <c r="F234" s="32" t="s">
        <v>656</v>
      </c>
      <c r="G234" s="32" t="s">
        <v>178</v>
      </c>
      <c r="H234" s="32" t="s">
        <v>352</v>
      </c>
      <c r="I234" s="31" t="s">
        <v>379</v>
      </c>
      <c r="J234" s="31">
        <v>10</v>
      </c>
      <c r="K234" s="33" t="s">
        <v>718</v>
      </c>
      <c r="L234" s="33" t="s">
        <v>700</v>
      </c>
      <c r="M234" s="34" t="s">
        <v>703</v>
      </c>
      <c r="N234" s="34" t="s">
        <v>1734</v>
      </c>
      <c r="O234" s="35">
        <v>1</v>
      </c>
      <c r="P234" s="35"/>
      <c r="Q234" s="32"/>
      <c r="S234" s="1">
        <f t="shared" si="87"/>
        <v>0</v>
      </c>
      <c r="T234" s="1">
        <f t="shared" si="88"/>
        <v>0</v>
      </c>
      <c r="U234" s="1">
        <f t="shared" si="89"/>
        <v>0</v>
      </c>
      <c r="V234" s="1">
        <f t="shared" si="90"/>
        <v>0</v>
      </c>
      <c r="W234" s="1">
        <f t="shared" si="91"/>
        <v>0</v>
      </c>
      <c r="X234" s="1">
        <f t="shared" si="92"/>
        <v>0</v>
      </c>
      <c r="Y234" s="1">
        <f t="shared" si="93"/>
        <v>0</v>
      </c>
      <c r="Z234" s="1">
        <f t="shared" si="94"/>
        <v>0</v>
      </c>
      <c r="AA234" s="1">
        <f t="shared" si="95"/>
        <v>0</v>
      </c>
      <c r="AB234" s="1">
        <f t="shared" si="96"/>
        <v>1</v>
      </c>
      <c r="AD234" s="1">
        <f t="shared" si="97"/>
        <v>0</v>
      </c>
      <c r="AE234" s="1">
        <f t="shared" si="98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4094 4097:8191 8194:12288 12291:16384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1213</v>
      </c>
      <c r="E235" s="32" t="s">
        <v>164</v>
      </c>
      <c r="F235" s="32" t="s">
        <v>1214</v>
      </c>
      <c r="G235" s="32" t="s">
        <v>1216</v>
      </c>
      <c r="H235" s="32" t="s">
        <v>352</v>
      </c>
      <c r="I235" s="31" t="s">
        <v>1215</v>
      </c>
      <c r="J235" s="31">
        <v>99</v>
      </c>
      <c r="K235" s="33" t="s">
        <v>718</v>
      </c>
      <c r="L235" s="33" t="s">
        <v>689</v>
      </c>
      <c r="M235" s="34" t="s">
        <v>1385</v>
      </c>
      <c r="N235" s="34" t="s">
        <v>1727</v>
      </c>
      <c r="O235" s="35">
        <v>1</v>
      </c>
      <c r="P235" s="35"/>
      <c r="Q235" s="32"/>
      <c r="R235" s="15"/>
      <c r="S235" s="1">
        <f t="shared" si="87"/>
        <v>0</v>
      </c>
      <c r="T235" s="1">
        <f t="shared" si="88"/>
        <v>0</v>
      </c>
      <c r="U235" s="1">
        <f t="shared" si="89"/>
        <v>0</v>
      </c>
      <c r="V235" s="1">
        <f t="shared" si="90"/>
        <v>0</v>
      </c>
      <c r="W235" s="1">
        <f t="shared" si="91"/>
        <v>0</v>
      </c>
      <c r="X235" s="1">
        <f t="shared" si="92"/>
        <v>0</v>
      </c>
      <c r="Y235" s="1">
        <f t="shared" si="93"/>
        <v>0</v>
      </c>
      <c r="Z235" s="1">
        <f t="shared" si="94"/>
        <v>0</v>
      </c>
      <c r="AA235" s="1">
        <f t="shared" si="95"/>
        <v>0</v>
      </c>
      <c r="AB235" s="1">
        <f t="shared" si="96"/>
        <v>0</v>
      </c>
      <c r="AD235" s="1">
        <f t="shared" si="97"/>
        <v>0</v>
      </c>
      <c r="AE235" s="1">
        <f t="shared" si="98"/>
        <v>1</v>
      </c>
      <c r="AF235" s="1">
        <f t="shared" si="83"/>
        <v>0</v>
      </c>
      <c r="AG235" s="1">
        <f t="shared" si="84"/>
        <v>1</v>
      </c>
      <c r="AH235" s="1">
        <f t="shared" si="85"/>
        <v>0</v>
      </c>
      <c r="AI235" s="1">
        <f t="shared" si="86"/>
        <v>1</v>
      </c>
      <c r="AJ235" s="15"/>
      <c r="AK235" s="15"/>
      <c r="AL235" s="15"/>
      <c r="AM235" s="15"/>
      <c r="AN235" s="15"/>
      <c r="AO235" s="15"/>
      <c r="AP235" s="15"/>
      <c r="AQ235" s="15"/>
      <c r="AR235" s="15"/>
      <c r="AS235" s="10"/>
      <c r="AT235" s="10"/>
      <c r="AU235" s="21"/>
      <c r="AV235" s="21"/>
      <c r="AY235" s="21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0"/>
      <c r="BK235" s="10"/>
      <c r="BL235" s="21"/>
      <c r="BM235" s="21"/>
      <c r="BP235" s="21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0"/>
      <c r="CB235" s="10"/>
      <c r="CC235" s="21"/>
      <c r="CD235" s="21"/>
      <c r="CG235" s="21"/>
      <c r="CH235" s="15"/>
      <c r="CI235" s="15"/>
      <c r="CJ235" s="15"/>
      <c r="CK235" s="15"/>
      <c r="CL235" s="15"/>
      <c r="CM235" s="15"/>
      <c r="CN235" s="15"/>
      <c r="CO235" s="15"/>
      <c r="CP235" s="15"/>
      <c r="CQ235" s="15"/>
      <c r="CR235" s="10"/>
      <c r="CS235" s="10"/>
      <c r="CT235" s="21"/>
      <c r="CU235" s="21"/>
      <c r="CX235" s="21"/>
      <c r="CY235" s="15"/>
      <c r="CZ235" s="15"/>
      <c r="DA235" s="15"/>
      <c r="DB235" s="15"/>
      <c r="DC235" s="15"/>
      <c r="DD235" s="15"/>
      <c r="DE235" s="15"/>
      <c r="DF235" s="15"/>
      <c r="DG235" s="15"/>
      <c r="DH235" s="15"/>
      <c r="DI235" s="10"/>
      <c r="DJ235" s="10"/>
      <c r="DK235" s="21"/>
      <c r="DL235" s="21"/>
      <c r="DO235" s="21"/>
      <c r="DP235" s="15"/>
      <c r="DQ235" s="15"/>
      <c r="DR235" s="15"/>
      <c r="DS235" s="15"/>
      <c r="DT235" s="15"/>
      <c r="DU235" s="15"/>
      <c r="DV235" s="15"/>
      <c r="DW235" s="15"/>
      <c r="DX235" s="15"/>
      <c r="DY235" s="15"/>
      <c r="DZ235" s="10"/>
      <c r="EA235" s="10"/>
      <c r="EB235" s="21"/>
      <c r="EC235" s="21"/>
      <c r="EF235" s="21"/>
      <c r="EG235" s="15"/>
      <c r="EH235" s="15"/>
      <c r="EI235" s="15"/>
      <c r="EJ235" s="15"/>
      <c r="EK235" s="15"/>
      <c r="EL235" s="15"/>
      <c r="EM235" s="15"/>
      <c r="EN235" s="15"/>
      <c r="EO235" s="15"/>
      <c r="EP235" s="15"/>
      <c r="EQ235" s="10"/>
      <c r="ER235" s="10"/>
      <c r="ES235" s="21"/>
      <c r="ET235" s="21"/>
      <c r="EW235" s="21"/>
      <c r="EX235" s="15"/>
      <c r="EY235" s="15"/>
      <c r="EZ235" s="15"/>
      <c r="FA235" s="15"/>
      <c r="FB235" s="15"/>
      <c r="FC235" s="15"/>
      <c r="FD235" s="15"/>
      <c r="FE235" s="15"/>
      <c r="FF235" s="15"/>
      <c r="FG235" s="15"/>
      <c r="FH235" s="10"/>
      <c r="FI235" s="10"/>
      <c r="FJ235" s="21"/>
      <c r="FK235" s="21"/>
      <c r="FN235" s="21"/>
      <c r="FO235" s="15"/>
      <c r="FP235" s="15"/>
      <c r="FQ235" s="15"/>
      <c r="FR235" s="15"/>
      <c r="FS235" s="15"/>
      <c r="FT235" s="15"/>
      <c r="FU235" s="15"/>
      <c r="FV235" s="15"/>
      <c r="FW235" s="15"/>
      <c r="FX235" s="15"/>
      <c r="FY235" s="10"/>
      <c r="FZ235" s="10"/>
      <c r="GA235" s="21"/>
      <c r="GB235" s="21"/>
      <c r="GE235" s="21"/>
      <c r="GF235" s="15"/>
      <c r="GG235" s="15"/>
      <c r="GH235" s="15"/>
      <c r="GI235" s="15"/>
      <c r="GJ235" s="15"/>
      <c r="GK235" s="15"/>
      <c r="GL235" s="15"/>
      <c r="GM235" s="15"/>
      <c r="GN235" s="15"/>
      <c r="GO235" s="15"/>
      <c r="GP235" s="10"/>
      <c r="GQ235" s="10"/>
      <c r="GR235" s="21"/>
      <c r="GS235" s="21"/>
      <c r="GV235" s="21"/>
      <c r="GW235" s="15"/>
      <c r="GX235" s="15"/>
      <c r="GY235" s="15"/>
      <c r="GZ235" s="15"/>
      <c r="HA235" s="15"/>
      <c r="HB235" s="15"/>
      <c r="HC235" s="15"/>
      <c r="HD235" s="15"/>
      <c r="HE235" s="15"/>
      <c r="HF235" s="15"/>
      <c r="HG235" s="10"/>
      <c r="HH235" s="10"/>
      <c r="HI235" s="21"/>
      <c r="HJ235" s="21"/>
      <c r="HM235" s="21"/>
      <c r="HN235" s="15"/>
      <c r="HO235" s="15"/>
      <c r="HP235" s="15"/>
      <c r="HQ235" s="15"/>
      <c r="HR235" s="15"/>
      <c r="HS235" s="15"/>
      <c r="HT235" s="15"/>
      <c r="HU235" s="15"/>
      <c r="HV235" s="15"/>
      <c r="HW235" s="15"/>
      <c r="HX235" s="10"/>
      <c r="HY235" s="10"/>
      <c r="HZ235" s="21"/>
      <c r="IA235" s="21"/>
      <c r="ID235" s="21"/>
      <c r="IE235" s="15"/>
      <c r="IF235" s="15"/>
      <c r="IG235" s="15"/>
      <c r="IH235" s="15"/>
      <c r="II235" s="15"/>
      <c r="IJ235" s="15"/>
      <c r="IK235" s="15"/>
      <c r="IL235" s="15"/>
      <c r="IM235" s="15"/>
      <c r="IN235" s="15"/>
      <c r="IO235" s="10"/>
      <c r="IP235" s="10"/>
      <c r="IQ235" s="21"/>
      <c r="IR235" s="21"/>
      <c r="IU235" s="21"/>
      <c r="IV235" s="15"/>
      <c r="IW235" s="15"/>
      <c r="IX235" s="15"/>
      <c r="IY235" s="15"/>
      <c r="IZ235" s="15"/>
      <c r="JA235" s="15"/>
      <c r="JB235" s="15"/>
      <c r="JC235" s="15"/>
      <c r="JD235" s="15"/>
      <c r="JE235" s="15"/>
      <c r="JF235" s="10"/>
      <c r="JG235" s="10"/>
      <c r="JH235" s="21"/>
      <c r="JI235" s="21"/>
      <c r="JL235" s="21"/>
      <c r="JM235" s="15"/>
      <c r="JN235" s="15"/>
      <c r="JO235" s="15"/>
      <c r="JP235" s="15"/>
      <c r="JQ235" s="15"/>
      <c r="JR235" s="15"/>
      <c r="JS235" s="15"/>
      <c r="JT235" s="15"/>
      <c r="JU235" s="15"/>
      <c r="JV235" s="15"/>
      <c r="JW235" s="10"/>
      <c r="JX235" s="10"/>
      <c r="JY235" s="21"/>
      <c r="JZ235" s="21"/>
      <c r="KC235" s="21"/>
      <c r="KD235" s="15"/>
      <c r="KE235" s="15"/>
      <c r="KF235" s="15"/>
      <c r="KG235" s="15"/>
      <c r="KH235" s="15"/>
      <c r="KI235" s="15"/>
      <c r="KJ235" s="15"/>
      <c r="KK235" s="15"/>
      <c r="KL235" s="15"/>
      <c r="KM235" s="15"/>
      <c r="KN235" s="10"/>
      <c r="KO235" s="10"/>
      <c r="KP235" s="21"/>
      <c r="KQ235" s="21"/>
      <c r="KT235" s="21"/>
      <c r="KU235" s="15"/>
      <c r="KV235" s="15"/>
      <c r="KW235" s="15"/>
      <c r="KX235" s="15"/>
      <c r="KY235" s="15"/>
      <c r="KZ235" s="15"/>
      <c r="LA235" s="15"/>
      <c r="LB235" s="15"/>
      <c r="LC235" s="15"/>
      <c r="LD235" s="15"/>
      <c r="LE235" s="10"/>
      <c r="LF235" s="10"/>
      <c r="LG235" s="21"/>
      <c r="LH235" s="21"/>
      <c r="LK235" s="21"/>
      <c r="LL235" s="15"/>
      <c r="LM235" s="15"/>
      <c r="LN235" s="15"/>
      <c r="LO235" s="15"/>
      <c r="LP235" s="15"/>
      <c r="LQ235" s="15"/>
      <c r="LR235" s="15"/>
      <c r="LS235" s="15"/>
      <c r="LT235" s="15"/>
      <c r="LU235" s="15"/>
      <c r="LV235" s="10"/>
      <c r="LW235" s="10"/>
      <c r="LX235" s="21"/>
      <c r="LY235" s="21"/>
      <c r="MB235" s="21"/>
      <c r="MC235" s="15"/>
      <c r="MD235" s="15"/>
      <c r="ME235" s="15"/>
      <c r="MF235" s="15"/>
      <c r="MG235" s="15"/>
      <c r="MH235" s="15"/>
      <c r="MI235" s="15"/>
      <c r="MJ235" s="15"/>
      <c r="MK235" s="15"/>
      <c r="ML235" s="15"/>
      <c r="MM235" s="10"/>
      <c r="MN235" s="10"/>
      <c r="MO235" s="21"/>
      <c r="MP235" s="21"/>
      <c r="MS235" s="21"/>
      <c r="MT235" s="15"/>
      <c r="MU235" s="15"/>
      <c r="MV235" s="15"/>
      <c r="MW235" s="15"/>
      <c r="MX235" s="15"/>
      <c r="MY235" s="15"/>
      <c r="MZ235" s="15"/>
      <c r="NA235" s="15"/>
      <c r="NB235" s="15"/>
      <c r="NC235" s="15"/>
      <c r="ND235" s="10"/>
      <c r="NE235" s="10"/>
      <c r="NF235" s="21"/>
      <c r="NG235" s="21"/>
      <c r="NJ235" s="21"/>
      <c r="NK235" s="15"/>
      <c r="NL235" s="15"/>
      <c r="NM235" s="15"/>
      <c r="NN235" s="15"/>
      <c r="NO235" s="15"/>
      <c r="NP235" s="15"/>
      <c r="NQ235" s="15"/>
      <c r="NR235" s="15"/>
      <c r="NS235" s="15"/>
      <c r="NT235" s="15"/>
      <c r="NU235" s="10"/>
      <c r="NV235" s="10"/>
      <c r="NW235" s="21"/>
      <c r="NX235" s="21"/>
      <c r="OA235" s="21"/>
      <c r="OB235" s="15"/>
      <c r="OC235" s="15"/>
      <c r="OD235" s="15"/>
      <c r="OE235" s="15"/>
      <c r="OF235" s="15"/>
      <c r="OG235" s="15"/>
      <c r="OH235" s="15"/>
      <c r="OI235" s="15"/>
      <c r="OJ235" s="15"/>
      <c r="OK235" s="15"/>
      <c r="OL235" s="10"/>
      <c r="OM235" s="10"/>
      <c r="ON235" s="21"/>
      <c r="OO235" s="21"/>
      <c r="OR235" s="21"/>
      <c r="OS235" s="15"/>
      <c r="OT235" s="15"/>
      <c r="OU235" s="15"/>
      <c r="OV235" s="15"/>
      <c r="OW235" s="15"/>
      <c r="OX235" s="15"/>
      <c r="OY235" s="15"/>
      <c r="OZ235" s="15"/>
      <c r="PA235" s="15"/>
      <c r="PB235" s="15"/>
      <c r="PC235" s="10"/>
      <c r="PD235" s="10"/>
      <c r="PE235" s="21"/>
      <c r="PF235" s="21"/>
      <c r="PI235" s="21"/>
      <c r="PJ235" s="15"/>
      <c r="PK235" s="15"/>
      <c r="PL235" s="15"/>
      <c r="PM235" s="15"/>
      <c r="PN235" s="15"/>
      <c r="PO235" s="15"/>
      <c r="PP235" s="15"/>
      <c r="PQ235" s="15"/>
      <c r="PR235" s="15"/>
      <c r="PS235" s="15"/>
      <c r="PT235" s="10"/>
      <c r="PU235" s="10"/>
      <c r="PV235" s="21"/>
      <c r="PW235" s="21"/>
      <c r="PZ235" s="21"/>
      <c r="QA235" s="15"/>
      <c r="QB235" s="15"/>
      <c r="QC235" s="15"/>
      <c r="QD235" s="15"/>
      <c r="QE235" s="15"/>
      <c r="QF235" s="15"/>
      <c r="QG235" s="15"/>
      <c r="QH235" s="15"/>
      <c r="QI235" s="15"/>
      <c r="QJ235" s="15"/>
      <c r="QK235" s="10"/>
      <c r="QL235" s="10"/>
      <c r="QM235" s="21"/>
      <c r="QN235" s="21"/>
      <c r="QQ235" s="21"/>
      <c r="QR235" s="15"/>
      <c r="QS235" s="15"/>
      <c r="QT235" s="15"/>
      <c r="QU235" s="15"/>
      <c r="QV235" s="15"/>
      <c r="QW235" s="15"/>
      <c r="QX235" s="15"/>
      <c r="QY235" s="15"/>
      <c r="QZ235" s="15"/>
      <c r="RA235" s="15"/>
      <c r="RB235" s="10"/>
      <c r="RC235" s="10"/>
      <c r="RD235" s="21"/>
      <c r="RE235" s="21"/>
      <c r="RH235" s="21"/>
      <c r="RI235" s="15"/>
      <c r="RJ235" s="15"/>
      <c r="RK235" s="15"/>
      <c r="RL235" s="15"/>
      <c r="RM235" s="15"/>
      <c r="RN235" s="15"/>
      <c r="RO235" s="15"/>
      <c r="RP235" s="15"/>
      <c r="RQ235" s="15"/>
      <c r="RR235" s="15"/>
      <c r="RS235" s="10"/>
      <c r="RT235" s="10"/>
      <c r="RU235" s="21"/>
      <c r="RV235" s="21"/>
      <c r="RY235" s="21"/>
      <c r="RZ235" s="15"/>
      <c r="SA235" s="15"/>
      <c r="SB235" s="15"/>
      <c r="SC235" s="15"/>
      <c r="SD235" s="15"/>
      <c r="SE235" s="15"/>
      <c r="SF235" s="15"/>
      <c r="SG235" s="15"/>
      <c r="SH235" s="15"/>
      <c r="SI235" s="15"/>
      <c r="SJ235" s="10"/>
      <c r="SK235" s="10"/>
      <c r="SL235" s="21"/>
      <c r="SM235" s="21"/>
      <c r="SP235" s="21"/>
      <c r="SQ235" s="15"/>
      <c r="SR235" s="15"/>
      <c r="SS235" s="15"/>
      <c r="ST235" s="15"/>
      <c r="SU235" s="15"/>
      <c r="SV235" s="15"/>
      <c r="SW235" s="15"/>
      <c r="SX235" s="15"/>
      <c r="SY235" s="15"/>
      <c r="SZ235" s="15"/>
      <c r="TA235" s="10"/>
      <c r="TB235" s="10"/>
      <c r="TC235" s="21"/>
      <c r="TD235" s="21"/>
      <c r="TG235" s="21"/>
      <c r="TH235" s="15"/>
      <c r="TI235" s="15"/>
      <c r="TJ235" s="15"/>
      <c r="TK235" s="15"/>
      <c r="TL235" s="15"/>
      <c r="TM235" s="15"/>
      <c r="TN235" s="15"/>
      <c r="TO235" s="15"/>
      <c r="TP235" s="15"/>
      <c r="TQ235" s="15"/>
      <c r="TR235" s="10"/>
      <c r="TS235" s="10"/>
      <c r="TT235" s="21"/>
      <c r="TU235" s="21"/>
      <c r="TX235" s="21"/>
      <c r="TY235" s="15"/>
      <c r="TZ235" s="15"/>
      <c r="UA235" s="15"/>
      <c r="UB235" s="15"/>
      <c r="UC235" s="15"/>
      <c r="UD235" s="15"/>
      <c r="UE235" s="15"/>
      <c r="UF235" s="15"/>
      <c r="UG235" s="15"/>
      <c r="UH235" s="15"/>
      <c r="UI235" s="10"/>
      <c r="UJ235" s="10"/>
      <c r="UK235" s="21"/>
      <c r="UL235" s="21"/>
      <c r="UO235" s="21"/>
      <c r="UP235" s="15"/>
      <c r="UQ235" s="15"/>
      <c r="UR235" s="15"/>
      <c r="US235" s="15"/>
      <c r="UT235" s="15"/>
      <c r="UU235" s="15"/>
      <c r="UV235" s="15"/>
      <c r="UW235" s="15"/>
      <c r="UX235" s="15"/>
      <c r="UY235" s="15"/>
      <c r="UZ235" s="10"/>
      <c r="VA235" s="10"/>
      <c r="VB235" s="21"/>
      <c r="VC235" s="21"/>
      <c r="VF235" s="21"/>
      <c r="VG235" s="15"/>
      <c r="VH235" s="15"/>
      <c r="VI235" s="15"/>
      <c r="VJ235" s="15"/>
      <c r="VK235" s="15"/>
      <c r="VL235" s="15"/>
      <c r="VM235" s="15"/>
      <c r="VN235" s="15"/>
      <c r="VO235" s="15"/>
      <c r="VP235" s="15"/>
      <c r="VQ235" s="10"/>
      <c r="VR235" s="10"/>
      <c r="VS235" s="21"/>
      <c r="VT235" s="21"/>
      <c r="VW235" s="21"/>
      <c r="VX235" s="15"/>
      <c r="VY235" s="15"/>
      <c r="VZ235" s="15"/>
      <c r="WA235" s="15"/>
      <c r="WB235" s="15"/>
      <c r="WC235" s="15"/>
      <c r="WD235" s="15"/>
      <c r="WE235" s="15"/>
      <c r="WF235" s="15"/>
      <c r="WG235" s="15"/>
      <c r="WH235" s="10"/>
      <c r="WI235" s="10"/>
      <c r="WJ235" s="21"/>
      <c r="WK235" s="21"/>
      <c r="WN235" s="21"/>
      <c r="WO235" s="15"/>
      <c r="WP235" s="15"/>
      <c r="WQ235" s="15"/>
      <c r="WR235" s="15"/>
      <c r="WS235" s="15"/>
      <c r="WT235" s="15"/>
      <c r="WU235" s="15"/>
      <c r="WV235" s="15"/>
      <c r="WW235" s="15"/>
      <c r="WX235" s="15"/>
      <c r="WY235" s="10"/>
      <c r="WZ235" s="10"/>
      <c r="XA235" s="21"/>
      <c r="XB235" s="21"/>
      <c r="XE235" s="21"/>
      <c r="XF235" s="15"/>
      <c r="XG235" s="15"/>
      <c r="XH235" s="15"/>
      <c r="XI235" s="15"/>
      <c r="XJ235" s="15"/>
      <c r="XK235" s="15"/>
      <c r="XL235" s="15"/>
      <c r="XM235" s="15"/>
      <c r="XN235" s="15"/>
      <c r="XO235" s="15"/>
      <c r="XP235" s="10"/>
      <c r="XQ235" s="10"/>
      <c r="XR235" s="21"/>
      <c r="XS235" s="21"/>
      <c r="XV235" s="21"/>
      <c r="XW235" s="15"/>
      <c r="XX235" s="15"/>
      <c r="XY235" s="15"/>
      <c r="XZ235" s="15"/>
      <c r="YA235" s="15"/>
      <c r="YB235" s="15"/>
      <c r="YC235" s="15"/>
      <c r="YD235" s="15"/>
      <c r="YE235" s="15"/>
      <c r="YF235" s="15"/>
      <c r="YG235" s="10"/>
      <c r="YH235" s="10"/>
      <c r="YI235" s="21"/>
      <c r="YJ235" s="21"/>
      <c r="YM235" s="21"/>
      <c r="YN235" s="15"/>
      <c r="YO235" s="15"/>
      <c r="YP235" s="15"/>
      <c r="YQ235" s="15"/>
      <c r="YR235" s="15"/>
      <c r="YS235" s="15"/>
      <c r="YT235" s="15"/>
      <c r="YU235" s="15"/>
      <c r="YV235" s="15"/>
      <c r="YW235" s="15"/>
      <c r="YX235" s="10"/>
      <c r="YY235" s="10"/>
      <c r="YZ235" s="21"/>
      <c r="ZA235" s="21"/>
      <c r="ZD235" s="21"/>
      <c r="ZE235" s="15"/>
      <c r="ZF235" s="15"/>
      <c r="ZG235" s="15"/>
      <c r="ZH235" s="15"/>
      <c r="ZI235" s="15"/>
      <c r="ZJ235" s="15"/>
      <c r="ZK235" s="15"/>
      <c r="ZL235" s="15"/>
      <c r="ZM235" s="15"/>
      <c r="ZN235" s="15"/>
      <c r="ZO235" s="10"/>
      <c r="ZP235" s="10"/>
      <c r="ZQ235" s="21"/>
      <c r="ZR235" s="21"/>
      <c r="ZU235" s="21"/>
      <c r="ZV235" s="15"/>
      <c r="ZW235" s="15"/>
      <c r="ZX235" s="15"/>
      <c r="ZY235" s="15"/>
      <c r="ZZ235" s="15"/>
      <c r="AAA235" s="15"/>
      <c r="AAB235" s="15"/>
      <c r="AAC235" s="15"/>
      <c r="AAD235" s="15"/>
      <c r="AAE235" s="15"/>
      <c r="AAF235" s="10"/>
      <c r="AAG235" s="10"/>
      <c r="AAH235" s="21"/>
      <c r="AAI235" s="21"/>
      <c r="AAL235" s="21"/>
      <c r="AAM235" s="15"/>
      <c r="AAN235" s="15"/>
      <c r="AAO235" s="15"/>
      <c r="AAP235" s="15"/>
      <c r="AAQ235" s="15"/>
      <c r="AAR235" s="15"/>
      <c r="AAS235" s="15"/>
      <c r="AAT235" s="15"/>
      <c r="AAU235" s="15"/>
      <c r="AAV235" s="15"/>
      <c r="AAW235" s="10"/>
      <c r="AAX235" s="10"/>
      <c r="AAY235" s="21"/>
      <c r="AAZ235" s="21"/>
      <c r="ABC235" s="21"/>
      <c r="ABD235" s="15"/>
      <c r="ABE235" s="15"/>
      <c r="ABF235" s="15"/>
      <c r="ABG235" s="15"/>
      <c r="ABH235" s="15"/>
      <c r="ABI235" s="15"/>
      <c r="ABJ235" s="15"/>
      <c r="ABK235" s="15"/>
      <c r="ABL235" s="15"/>
      <c r="ABM235" s="15"/>
      <c r="ABN235" s="10"/>
      <c r="ABO235" s="10"/>
      <c r="ABP235" s="21"/>
      <c r="ABQ235" s="21"/>
      <c r="ABT235" s="21"/>
      <c r="ABU235" s="15"/>
      <c r="ABV235" s="15"/>
      <c r="ABW235" s="15"/>
      <c r="ABX235" s="15"/>
      <c r="ABY235" s="15"/>
      <c r="ABZ235" s="15"/>
      <c r="ACA235" s="15"/>
      <c r="ACB235" s="15"/>
      <c r="ACC235" s="15"/>
      <c r="ACD235" s="15"/>
      <c r="ACE235" s="10"/>
      <c r="ACF235" s="10"/>
      <c r="ACG235" s="21"/>
      <c r="ACH235" s="21"/>
      <c r="ACK235" s="21"/>
      <c r="ACL235" s="15"/>
      <c r="ACM235" s="15"/>
      <c r="ACN235" s="15"/>
      <c r="ACO235" s="15"/>
      <c r="ACP235" s="15"/>
      <c r="ACQ235" s="15"/>
      <c r="ACR235" s="15"/>
      <c r="ACS235" s="15"/>
      <c r="ACT235" s="15"/>
      <c r="ACU235" s="15"/>
      <c r="ACV235" s="10"/>
      <c r="ACW235" s="10"/>
      <c r="ACX235" s="21"/>
      <c r="ACY235" s="21"/>
      <c r="ADB235" s="21"/>
      <c r="ADC235" s="15"/>
      <c r="ADD235" s="15"/>
      <c r="ADE235" s="15"/>
      <c r="ADF235" s="15"/>
      <c r="ADG235" s="15"/>
      <c r="ADH235" s="15"/>
      <c r="ADI235" s="15"/>
      <c r="ADJ235" s="15"/>
      <c r="ADK235" s="15"/>
      <c r="ADL235" s="15"/>
      <c r="ADM235" s="10"/>
      <c r="ADN235" s="10"/>
      <c r="ADO235" s="21"/>
      <c r="ADP235" s="21"/>
      <c r="ADS235" s="21"/>
      <c r="ADT235" s="15"/>
      <c r="ADU235" s="15"/>
      <c r="ADV235" s="15"/>
      <c r="ADW235" s="15"/>
      <c r="ADX235" s="15"/>
      <c r="ADY235" s="15"/>
      <c r="ADZ235" s="15"/>
      <c r="AEA235" s="15"/>
      <c r="AEB235" s="15"/>
      <c r="AEC235" s="15"/>
      <c r="AED235" s="10"/>
      <c r="AEE235" s="10"/>
      <c r="AEF235" s="21"/>
      <c r="AEG235" s="21"/>
      <c r="AEJ235" s="21"/>
      <c r="AEK235" s="15"/>
      <c r="AEL235" s="15"/>
      <c r="AEM235" s="15"/>
      <c r="AEN235" s="15"/>
      <c r="AEO235" s="15"/>
      <c r="AEP235" s="15"/>
      <c r="AEQ235" s="15"/>
      <c r="AER235" s="15"/>
      <c r="AES235" s="15"/>
      <c r="AET235" s="15"/>
      <c r="AEU235" s="10"/>
      <c r="AEV235" s="10"/>
      <c r="AEW235" s="21"/>
      <c r="AEX235" s="21"/>
      <c r="AFA235" s="21"/>
      <c r="AFB235" s="15"/>
      <c r="AFC235" s="15"/>
      <c r="AFD235" s="15"/>
      <c r="AFE235" s="15"/>
      <c r="AFF235" s="15"/>
      <c r="AFG235" s="15"/>
      <c r="AFH235" s="15"/>
      <c r="AFI235" s="15"/>
      <c r="AFJ235" s="15"/>
      <c r="AFK235" s="15"/>
      <c r="AFL235" s="10"/>
      <c r="AFM235" s="10"/>
      <c r="AFN235" s="21"/>
      <c r="AFO235" s="21"/>
      <c r="AFR235" s="21"/>
      <c r="AFS235" s="15"/>
      <c r="AFT235" s="15"/>
      <c r="AFU235" s="15"/>
      <c r="AFV235" s="15"/>
      <c r="AFW235" s="15"/>
      <c r="AFX235" s="15"/>
      <c r="AFY235" s="15"/>
      <c r="AFZ235" s="15"/>
      <c r="AGA235" s="15"/>
      <c r="AGB235" s="15"/>
      <c r="AGC235" s="10"/>
      <c r="AGD235" s="10"/>
      <c r="AGE235" s="21"/>
      <c r="AGF235" s="21"/>
      <c r="AGI235" s="21"/>
      <c r="AGJ235" s="15"/>
      <c r="AGK235" s="15"/>
      <c r="AGL235" s="15"/>
      <c r="AGM235" s="15"/>
      <c r="AGN235" s="15"/>
      <c r="AGO235" s="15"/>
      <c r="AGP235" s="15"/>
      <c r="AGQ235" s="15"/>
      <c r="AGR235" s="15"/>
      <c r="AGS235" s="15"/>
      <c r="AGT235" s="10"/>
      <c r="AGU235" s="10"/>
      <c r="AGV235" s="21"/>
      <c r="AGW235" s="21"/>
      <c r="AGZ235" s="21"/>
      <c r="AHA235" s="15"/>
      <c r="AHB235" s="15"/>
      <c r="AHC235" s="15"/>
      <c r="AHD235" s="15"/>
      <c r="AHE235" s="15"/>
      <c r="AHF235" s="15"/>
      <c r="AHG235" s="15"/>
      <c r="AHH235" s="15"/>
      <c r="AHI235" s="15"/>
      <c r="AHJ235" s="15"/>
      <c r="AHK235" s="10"/>
      <c r="AHL235" s="10"/>
      <c r="AHM235" s="21"/>
      <c r="AHN235" s="21"/>
      <c r="AHQ235" s="21"/>
      <c r="AHR235" s="15"/>
      <c r="AHS235" s="15"/>
      <c r="AHT235" s="15"/>
      <c r="AHU235" s="15"/>
      <c r="AHV235" s="15"/>
      <c r="AHW235" s="15"/>
      <c r="AHX235" s="15"/>
      <c r="AHY235" s="15"/>
      <c r="AHZ235" s="15"/>
      <c r="AIA235" s="15"/>
      <c r="AIB235" s="10"/>
      <c r="AIC235" s="10"/>
      <c r="AID235" s="21"/>
      <c r="AIE235" s="21"/>
      <c r="AIH235" s="21"/>
      <c r="AII235" s="15"/>
      <c r="AIJ235" s="15"/>
      <c r="AIK235" s="15"/>
      <c r="AIL235" s="15"/>
      <c r="AIM235" s="15"/>
      <c r="AIN235" s="15"/>
      <c r="AIO235" s="15"/>
      <c r="AIP235" s="15"/>
      <c r="AIQ235" s="15"/>
      <c r="AIR235" s="15"/>
      <c r="AIS235" s="10"/>
      <c r="AIT235" s="10"/>
      <c r="AIU235" s="21"/>
      <c r="AIV235" s="21"/>
      <c r="AIY235" s="21"/>
      <c r="AIZ235" s="15"/>
      <c r="AJA235" s="15"/>
      <c r="AJB235" s="15"/>
      <c r="AJC235" s="15"/>
      <c r="AJD235" s="15"/>
      <c r="AJE235" s="15"/>
      <c r="AJF235" s="15"/>
      <c r="AJG235" s="15"/>
      <c r="AJH235" s="15"/>
      <c r="AJI235" s="15"/>
      <c r="AJJ235" s="10"/>
      <c r="AJK235" s="10"/>
      <c r="AJL235" s="21"/>
      <c r="AJM235" s="21"/>
      <c r="AJP235" s="21"/>
      <c r="AJQ235" s="15"/>
      <c r="AJR235" s="15"/>
      <c r="AJS235" s="15"/>
      <c r="AJT235" s="15"/>
      <c r="AJU235" s="15"/>
      <c r="AJV235" s="15"/>
      <c r="AJW235" s="15"/>
      <c r="AJX235" s="15"/>
      <c r="AJY235" s="15"/>
      <c r="AJZ235" s="15"/>
      <c r="AKA235" s="10"/>
      <c r="AKB235" s="10"/>
      <c r="AKC235" s="21"/>
      <c r="AKD235" s="21"/>
      <c r="AKG235" s="21"/>
      <c r="AKH235" s="15"/>
      <c r="AKI235" s="15"/>
      <c r="AKJ235" s="15"/>
      <c r="AKK235" s="15"/>
      <c r="AKL235" s="15"/>
      <c r="AKM235" s="15"/>
      <c r="AKN235" s="15"/>
      <c r="AKO235" s="15"/>
      <c r="AKP235" s="15"/>
      <c r="AKQ235" s="15"/>
      <c r="AKR235" s="10"/>
      <c r="AKS235" s="10"/>
      <c r="AKT235" s="21"/>
      <c r="AKU235" s="21"/>
      <c r="AKX235" s="21"/>
      <c r="AKY235" s="15"/>
      <c r="AKZ235" s="15"/>
      <c r="ALA235" s="15"/>
      <c r="ALB235" s="15"/>
      <c r="ALC235" s="15"/>
      <c r="ALD235" s="15"/>
      <c r="ALE235" s="15"/>
      <c r="ALF235" s="15"/>
      <c r="ALG235" s="15"/>
      <c r="ALH235" s="15"/>
      <c r="ALI235" s="10"/>
      <c r="ALJ235" s="10"/>
      <c r="ALK235" s="21"/>
      <c r="ALL235" s="21"/>
      <c r="ALO235" s="21"/>
      <c r="ALP235" s="15"/>
      <c r="ALQ235" s="15"/>
      <c r="ALR235" s="15"/>
      <c r="ALS235" s="15"/>
      <c r="ALT235" s="15"/>
      <c r="ALU235" s="15"/>
      <c r="ALV235" s="15"/>
      <c r="ALW235" s="15"/>
      <c r="ALX235" s="15"/>
      <c r="ALY235" s="15"/>
      <c r="ALZ235" s="10"/>
      <c r="AMA235" s="10"/>
      <c r="AMB235" s="21"/>
      <c r="AMC235" s="21"/>
      <c r="AMF235" s="21"/>
      <c r="AMG235" s="15"/>
      <c r="AMH235" s="15"/>
      <c r="AMI235" s="15"/>
      <c r="AMJ235" s="15"/>
      <c r="AMK235" s="15"/>
      <c r="AML235" s="15"/>
      <c r="AMM235" s="15"/>
      <c r="AMN235" s="15"/>
      <c r="AMO235" s="15"/>
      <c r="AMP235" s="15"/>
      <c r="AMQ235" s="10"/>
      <c r="AMR235" s="10"/>
      <c r="AMS235" s="21"/>
      <c r="AMT235" s="21"/>
      <c r="AMW235" s="21"/>
      <c r="AMX235" s="15"/>
      <c r="AMY235" s="15"/>
      <c r="AMZ235" s="15"/>
      <c r="ANA235" s="15"/>
      <c r="ANB235" s="15"/>
      <c r="ANC235" s="15"/>
      <c r="AND235" s="15"/>
      <c r="ANE235" s="15"/>
      <c r="ANF235" s="15"/>
      <c r="ANG235" s="15"/>
      <c r="ANH235" s="10"/>
      <c r="ANI235" s="10"/>
      <c r="ANJ235" s="21"/>
      <c r="ANK235" s="21"/>
      <c r="ANN235" s="21"/>
      <c r="ANO235" s="15"/>
      <c r="ANP235" s="15"/>
      <c r="ANQ235" s="15"/>
      <c r="ANR235" s="15"/>
      <c r="ANS235" s="15"/>
      <c r="ANT235" s="15"/>
      <c r="ANU235" s="15"/>
      <c r="ANV235" s="15"/>
      <c r="ANW235" s="15"/>
      <c r="ANX235" s="15"/>
      <c r="ANY235" s="10"/>
      <c r="ANZ235" s="10"/>
      <c r="AOA235" s="21"/>
      <c r="AOB235" s="21"/>
      <c r="AOE235" s="21"/>
      <c r="AOF235" s="15"/>
      <c r="AOG235" s="15"/>
      <c r="AOH235" s="15"/>
      <c r="AOI235" s="15"/>
      <c r="AOJ235" s="15"/>
      <c r="AOK235" s="15"/>
      <c r="AOL235" s="15"/>
      <c r="AOM235" s="15"/>
      <c r="AON235" s="15"/>
      <c r="AOO235" s="15"/>
      <c r="AOP235" s="10"/>
      <c r="AOQ235" s="10"/>
      <c r="AOR235" s="21"/>
      <c r="AOS235" s="21"/>
      <c r="AOV235" s="21"/>
      <c r="AOW235" s="15"/>
      <c r="AOX235" s="15"/>
      <c r="AOY235" s="15"/>
      <c r="AOZ235" s="15"/>
      <c r="APA235" s="15"/>
      <c r="APB235" s="15"/>
      <c r="APC235" s="15"/>
      <c r="APD235" s="15"/>
      <c r="APE235" s="15"/>
      <c r="APF235" s="15"/>
      <c r="APG235" s="10"/>
      <c r="APH235" s="10"/>
      <c r="API235" s="21"/>
      <c r="APJ235" s="21"/>
      <c r="APM235" s="21"/>
      <c r="APN235" s="15"/>
      <c r="APO235" s="15"/>
      <c r="APP235" s="15"/>
      <c r="APQ235" s="15"/>
      <c r="APR235" s="15"/>
      <c r="APS235" s="15"/>
      <c r="APT235" s="15"/>
      <c r="APU235" s="15"/>
      <c r="APV235" s="15"/>
      <c r="APW235" s="15"/>
      <c r="APX235" s="10"/>
      <c r="APY235" s="10"/>
      <c r="APZ235" s="21"/>
      <c r="AQA235" s="21"/>
      <c r="AQD235" s="21"/>
      <c r="AQE235" s="15"/>
      <c r="AQF235" s="15"/>
      <c r="AQG235" s="15"/>
      <c r="AQH235" s="15"/>
      <c r="AQI235" s="15"/>
      <c r="AQJ235" s="15"/>
      <c r="AQK235" s="15"/>
      <c r="AQL235" s="15"/>
      <c r="AQM235" s="15"/>
      <c r="AQN235" s="15"/>
      <c r="AQO235" s="10"/>
      <c r="AQP235" s="10"/>
      <c r="AQQ235" s="21"/>
      <c r="AQR235" s="21"/>
      <c r="AQU235" s="21"/>
      <c r="AQV235" s="15"/>
      <c r="AQW235" s="15"/>
      <c r="AQX235" s="15"/>
      <c r="AQY235" s="15"/>
      <c r="AQZ235" s="15"/>
      <c r="ARA235" s="15"/>
      <c r="ARB235" s="15"/>
      <c r="ARC235" s="15"/>
      <c r="ARD235" s="15"/>
      <c r="ARE235" s="15"/>
      <c r="ARF235" s="10"/>
      <c r="ARG235" s="10"/>
      <c r="ARH235" s="21"/>
      <c r="ARI235" s="21"/>
      <c r="ARL235" s="21"/>
      <c r="ARM235" s="15"/>
      <c r="ARN235" s="15"/>
      <c r="ARO235" s="15"/>
      <c r="ARP235" s="15"/>
      <c r="ARQ235" s="15"/>
      <c r="ARR235" s="15"/>
      <c r="ARS235" s="15"/>
      <c r="ART235" s="15"/>
      <c r="ARU235" s="15"/>
      <c r="ARV235" s="15"/>
      <c r="ARW235" s="10"/>
      <c r="ARX235" s="10"/>
      <c r="ARY235" s="21"/>
      <c r="ARZ235" s="21"/>
      <c r="ASC235" s="21"/>
      <c r="ASD235" s="15"/>
      <c r="ASE235" s="15"/>
      <c r="ASF235" s="15"/>
      <c r="ASG235" s="15"/>
      <c r="ASH235" s="15"/>
      <c r="ASI235" s="15"/>
      <c r="ASJ235" s="15"/>
      <c r="ASK235" s="15"/>
      <c r="ASL235" s="15"/>
      <c r="ASM235" s="15"/>
      <c r="ASN235" s="10"/>
      <c r="ASO235" s="10"/>
      <c r="ASP235" s="21"/>
      <c r="ASQ235" s="21"/>
      <c r="AST235" s="21"/>
      <c r="ASU235" s="15"/>
      <c r="ASV235" s="15"/>
      <c r="ASW235" s="15"/>
      <c r="ASX235" s="15"/>
      <c r="ASY235" s="15"/>
      <c r="ASZ235" s="15"/>
      <c r="ATA235" s="15"/>
      <c r="ATB235" s="15"/>
      <c r="ATC235" s="15"/>
      <c r="ATD235" s="15"/>
      <c r="ATE235" s="10"/>
      <c r="ATF235" s="10"/>
      <c r="ATG235" s="21"/>
      <c r="ATH235" s="21"/>
      <c r="ATK235" s="21"/>
      <c r="ATL235" s="15"/>
      <c r="ATM235" s="15"/>
      <c r="ATN235" s="15"/>
      <c r="ATO235" s="15"/>
      <c r="ATP235" s="15"/>
      <c r="ATQ235" s="15"/>
      <c r="ATR235" s="15"/>
      <c r="ATS235" s="15"/>
      <c r="ATT235" s="15"/>
      <c r="ATU235" s="15"/>
      <c r="ATV235" s="10"/>
      <c r="ATW235" s="10"/>
      <c r="ATX235" s="21"/>
      <c r="ATY235" s="21"/>
      <c r="AUB235" s="21"/>
      <c r="AUC235" s="15"/>
      <c r="AUD235" s="15"/>
      <c r="AUE235" s="15"/>
      <c r="AUF235" s="15"/>
      <c r="AUG235" s="15"/>
      <c r="AUH235" s="15"/>
      <c r="AUI235" s="15"/>
      <c r="AUJ235" s="15"/>
      <c r="AUK235" s="15"/>
      <c r="AUL235" s="15"/>
      <c r="AUM235" s="10"/>
      <c r="AUN235" s="10"/>
      <c r="AUO235" s="21"/>
      <c r="AUP235" s="21"/>
      <c r="AUS235" s="21"/>
      <c r="AUT235" s="15"/>
      <c r="AUU235" s="15"/>
      <c r="AUV235" s="15"/>
      <c r="AUW235" s="15"/>
      <c r="AUX235" s="15"/>
      <c r="AUY235" s="15"/>
      <c r="AUZ235" s="15"/>
      <c r="AVA235" s="15"/>
      <c r="AVB235" s="15"/>
      <c r="AVC235" s="15"/>
      <c r="AVD235" s="10"/>
      <c r="AVE235" s="10"/>
      <c r="AVF235" s="21"/>
      <c r="AVG235" s="21"/>
      <c r="AVJ235" s="21"/>
      <c r="AVK235" s="15"/>
      <c r="AVL235" s="15"/>
      <c r="AVM235" s="15"/>
      <c r="AVN235" s="15"/>
      <c r="AVO235" s="15"/>
      <c r="AVP235" s="15"/>
      <c r="AVQ235" s="15"/>
      <c r="AVR235" s="15"/>
      <c r="AVS235" s="15"/>
      <c r="AVT235" s="15"/>
      <c r="AVU235" s="10"/>
      <c r="AVV235" s="10"/>
      <c r="AVW235" s="21"/>
      <c r="AVX235" s="21"/>
      <c r="AWA235" s="21"/>
      <c r="AWB235" s="15"/>
      <c r="AWC235" s="15"/>
      <c r="AWD235" s="15"/>
      <c r="AWE235" s="15"/>
      <c r="AWF235" s="15"/>
      <c r="AWG235" s="15"/>
      <c r="AWH235" s="15"/>
      <c r="AWI235" s="15"/>
      <c r="AWJ235" s="15"/>
      <c r="AWK235" s="15"/>
      <c r="AWL235" s="10"/>
      <c r="AWM235" s="10"/>
      <c r="AWN235" s="21"/>
      <c r="AWO235" s="21"/>
      <c r="AWR235" s="21"/>
      <c r="AWS235" s="15"/>
      <c r="AWT235" s="15"/>
      <c r="AWU235" s="15"/>
      <c r="AWV235" s="15"/>
      <c r="AWW235" s="15"/>
      <c r="AWX235" s="15"/>
      <c r="AWY235" s="15"/>
      <c r="AWZ235" s="15"/>
      <c r="AXA235" s="15"/>
      <c r="AXB235" s="15"/>
      <c r="AXC235" s="10"/>
      <c r="AXD235" s="10"/>
      <c r="AXE235" s="21"/>
      <c r="AXF235" s="21"/>
      <c r="AXI235" s="21"/>
      <c r="AXJ235" s="15"/>
      <c r="AXK235" s="15"/>
      <c r="AXL235" s="15"/>
      <c r="AXM235" s="15"/>
      <c r="AXN235" s="15"/>
      <c r="AXO235" s="15"/>
      <c r="AXP235" s="15"/>
      <c r="AXQ235" s="15"/>
      <c r="AXR235" s="15"/>
      <c r="AXS235" s="15"/>
      <c r="AXT235" s="10"/>
      <c r="AXU235" s="10"/>
      <c r="AXV235" s="21"/>
      <c r="AXW235" s="21"/>
      <c r="AXZ235" s="21"/>
      <c r="AYA235" s="15"/>
      <c r="AYB235" s="15"/>
      <c r="AYC235" s="15"/>
      <c r="AYD235" s="15"/>
      <c r="AYE235" s="15"/>
      <c r="AYF235" s="15"/>
      <c r="AYG235" s="15"/>
      <c r="AYH235" s="15"/>
      <c r="AYI235" s="15"/>
      <c r="AYJ235" s="15"/>
      <c r="AYK235" s="10"/>
      <c r="AYL235" s="10"/>
      <c r="AYM235" s="21"/>
      <c r="AYN235" s="21"/>
      <c r="AYQ235" s="21"/>
      <c r="AYR235" s="15"/>
      <c r="AYS235" s="15"/>
      <c r="AYT235" s="15"/>
      <c r="AYU235" s="15"/>
      <c r="AYV235" s="15"/>
      <c r="AYW235" s="15"/>
      <c r="AYX235" s="15"/>
      <c r="AYY235" s="15"/>
      <c r="AYZ235" s="15"/>
      <c r="AZA235" s="15"/>
      <c r="AZB235" s="10"/>
      <c r="AZC235" s="10"/>
      <c r="AZD235" s="21"/>
      <c r="AZE235" s="21"/>
      <c r="AZH235" s="21"/>
      <c r="AZI235" s="15"/>
      <c r="AZJ235" s="15"/>
      <c r="AZK235" s="15"/>
      <c r="AZL235" s="15"/>
      <c r="AZM235" s="15"/>
      <c r="AZN235" s="15"/>
      <c r="AZO235" s="15"/>
      <c r="AZP235" s="15"/>
      <c r="AZQ235" s="15"/>
      <c r="AZR235" s="15"/>
      <c r="AZS235" s="10"/>
      <c r="AZT235" s="10"/>
      <c r="AZU235" s="21"/>
      <c r="AZV235" s="21"/>
      <c r="AZY235" s="21"/>
      <c r="AZZ235" s="15"/>
      <c r="BAA235" s="15"/>
      <c r="BAB235" s="15"/>
      <c r="BAC235" s="15"/>
      <c r="BAD235" s="15"/>
      <c r="BAE235" s="15"/>
      <c r="BAF235" s="15"/>
      <c r="BAG235" s="15"/>
      <c r="BAH235" s="15"/>
      <c r="BAI235" s="15"/>
      <c r="BAJ235" s="10"/>
      <c r="BAK235" s="10"/>
      <c r="BAL235" s="21"/>
      <c r="BAM235" s="21"/>
      <c r="BAP235" s="21"/>
      <c r="BAQ235" s="15"/>
      <c r="BAR235" s="15"/>
      <c r="BAS235" s="15"/>
      <c r="BAT235" s="15"/>
      <c r="BAU235" s="15"/>
      <c r="BAV235" s="15"/>
      <c r="BAW235" s="15"/>
      <c r="BAX235" s="15"/>
      <c r="BAY235" s="15"/>
      <c r="BAZ235" s="15"/>
      <c r="BBA235" s="10"/>
      <c r="BBB235" s="10"/>
      <c r="BBC235" s="21"/>
      <c r="BBD235" s="21"/>
      <c r="BBG235" s="21"/>
      <c r="BBH235" s="15"/>
      <c r="BBI235" s="15"/>
      <c r="BBJ235" s="15"/>
      <c r="BBK235" s="15"/>
      <c r="BBL235" s="15"/>
      <c r="BBM235" s="15"/>
      <c r="BBN235" s="15"/>
      <c r="BBO235" s="15"/>
      <c r="BBP235" s="15"/>
      <c r="BBQ235" s="15"/>
      <c r="BBR235" s="10"/>
      <c r="BBS235" s="10"/>
      <c r="BBT235" s="21"/>
      <c r="BBU235" s="21"/>
      <c r="BBX235" s="21"/>
      <c r="BBY235" s="15"/>
      <c r="BBZ235" s="15"/>
      <c r="BCA235" s="15"/>
      <c r="BCB235" s="15"/>
      <c r="BCC235" s="15"/>
      <c r="BCD235" s="15"/>
      <c r="BCE235" s="15"/>
      <c r="BCF235" s="15"/>
      <c r="BCG235" s="15"/>
      <c r="BCH235" s="15"/>
      <c r="BCI235" s="10"/>
      <c r="BCJ235" s="10"/>
      <c r="BCK235" s="21"/>
      <c r="BCL235" s="21"/>
      <c r="BCO235" s="21"/>
      <c r="BCP235" s="15"/>
      <c r="BCQ235" s="15"/>
      <c r="BCR235" s="15"/>
      <c r="BCS235" s="15"/>
      <c r="BCT235" s="15"/>
      <c r="BCU235" s="15"/>
      <c r="BCV235" s="15"/>
      <c r="BCW235" s="15"/>
      <c r="BCX235" s="15"/>
      <c r="BCY235" s="15"/>
      <c r="BCZ235" s="10"/>
      <c r="BDA235" s="10"/>
      <c r="BDB235" s="21"/>
      <c r="BDC235" s="21"/>
      <c r="BDF235" s="21"/>
      <c r="BDG235" s="15"/>
      <c r="BDH235" s="15"/>
      <c r="BDI235" s="15"/>
      <c r="BDJ235" s="15"/>
      <c r="BDK235" s="15"/>
      <c r="BDL235" s="15"/>
      <c r="BDM235" s="15"/>
      <c r="BDN235" s="15"/>
      <c r="BDO235" s="15"/>
      <c r="BDP235" s="15"/>
      <c r="BDQ235" s="10"/>
      <c r="BDR235" s="10"/>
      <c r="BDS235" s="21"/>
      <c r="BDT235" s="21"/>
      <c r="BDW235" s="21"/>
      <c r="BDX235" s="15"/>
      <c r="BDY235" s="15"/>
      <c r="BDZ235" s="15"/>
      <c r="BEA235" s="15"/>
      <c r="BEB235" s="15"/>
      <c r="BEC235" s="15"/>
      <c r="BED235" s="15"/>
      <c r="BEE235" s="15"/>
      <c r="BEF235" s="15"/>
      <c r="BEG235" s="15"/>
      <c r="BEH235" s="10"/>
      <c r="BEI235" s="10"/>
      <c r="BEJ235" s="21"/>
      <c r="BEK235" s="21"/>
      <c r="BEN235" s="21"/>
      <c r="BEO235" s="15"/>
      <c r="BEP235" s="15"/>
      <c r="BEQ235" s="15"/>
      <c r="BER235" s="15"/>
      <c r="BES235" s="15"/>
      <c r="BET235" s="15"/>
      <c r="BEU235" s="15"/>
      <c r="BEV235" s="15"/>
      <c r="BEW235" s="15"/>
      <c r="BEX235" s="15"/>
      <c r="BEY235" s="10"/>
      <c r="BEZ235" s="10"/>
      <c r="BFA235" s="21"/>
      <c r="BFB235" s="21"/>
      <c r="BFE235" s="21"/>
      <c r="BFF235" s="15"/>
      <c r="BFG235" s="15"/>
      <c r="BFH235" s="15"/>
      <c r="BFI235" s="15"/>
      <c r="BFJ235" s="15"/>
      <c r="BFK235" s="15"/>
      <c r="BFL235" s="15"/>
      <c r="BFM235" s="15"/>
      <c r="BFN235" s="15"/>
      <c r="BFO235" s="15"/>
      <c r="BFP235" s="10"/>
      <c r="BFQ235" s="10"/>
      <c r="BFR235" s="21"/>
      <c r="BFS235" s="21"/>
      <c r="BFV235" s="21"/>
      <c r="BFW235" s="15"/>
      <c r="BFX235" s="15"/>
      <c r="BFY235" s="15"/>
      <c r="BFZ235" s="15"/>
      <c r="BGA235" s="15"/>
      <c r="BGB235" s="15"/>
      <c r="BGC235" s="15"/>
      <c r="BGD235" s="15"/>
      <c r="BGE235" s="15"/>
      <c r="BGF235" s="15"/>
      <c r="BGG235" s="10"/>
      <c r="BGH235" s="10"/>
      <c r="BGI235" s="21"/>
      <c r="BGJ235" s="21"/>
      <c r="BGM235" s="21"/>
      <c r="BGN235" s="15"/>
      <c r="BGO235" s="15"/>
      <c r="BGP235" s="15"/>
      <c r="BGQ235" s="15"/>
      <c r="BGR235" s="15"/>
      <c r="BGS235" s="15"/>
      <c r="BGT235" s="15"/>
      <c r="BGU235" s="15"/>
      <c r="BGV235" s="15"/>
      <c r="BGW235" s="15"/>
      <c r="BGX235" s="10"/>
      <c r="BGY235" s="10"/>
      <c r="BGZ235" s="21"/>
      <c r="BHA235" s="21"/>
      <c r="BHD235" s="21"/>
      <c r="BHE235" s="15"/>
      <c r="BHF235" s="15"/>
      <c r="BHG235" s="15"/>
      <c r="BHH235" s="15"/>
      <c r="BHI235" s="15"/>
      <c r="BHJ235" s="15"/>
      <c r="BHK235" s="15"/>
      <c r="BHL235" s="15"/>
      <c r="BHM235" s="15"/>
      <c r="BHN235" s="15"/>
      <c r="BHO235" s="10"/>
      <c r="BHP235" s="10"/>
      <c r="BHQ235" s="21"/>
      <c r="BHR235" s="21"/>
      <c r="BHU235" s="21"/>
      <c r="BHV235" s="15"/>
      <c r="BHW235" s="15"/>
      <c r="BHX235" s="15"/>
      <c r="BHY235" s="15"/>
      <c r="BHZ235" s="15"/>
      <c r="BIA235" s="15"/>
      <c r="BIB235" s="15"/>
      <c r="BIC235" s="15"/>
      <c r="BID235" s="15"/>
      <c r="BIE235" s="15"/>
      <c r="BIF235" s="10"/>
      <c r="BIG235" s="10"/>
      <c r="BIH235" s="21"/>
      <c r="BII235" s="21"/>
      <c r="BIL235" s="21"/>
      <c r="BIM235" s="15"/>
      <c r="BIN235" s="15"/>
      <c r="BIO235" s="15"/>
      <c r="BIP235" s="15"/>
      <c r="BIQ235" s="15"/>
      <c r="BIR235" s="15"/>
      <c r="BIS235" s="15"/>
      <c r="BIT235" s="15"/>
      <c r="BIU235" s="15"/>
      <c r="BIV235" s="15"/>
      <c r="BIW235" s="10"/>
      <c r="BIX235" s="10"/>
      <c r="BIY235" s="21"/>
      <c r="BIZ235" s="21"/>
      <c r="BJC235" s="21"/>
      <c r="BJD235" s="15"/>
      <c r="BJE235" s="15"/>
      <c r="BJF235" s="15"/>
      <c r="BJG235" s="15"/>
      <c r="BJH235" s="15"/>
      <c r="BJI235" s="15"/>
      <c r="BJJ235" s="15"/>
      <c r="BJK235" s="15"/>
      <c r="BJL235" s="15"/>
      <c r="BJM235" s="15"/>
      <c r="BJN235" s="10"/>
      <c r="BJO235" s="10"/>
      <c r="BJP235" s="21"/>
      <c r="BJQ235" s="21"/>
      <c r="BJT235" s="21"/>
      <c r="BJU235" s="15"/>
      <c r="BJV235" s="15"/>
      <c r="BJW235" s="15"/>
      <c r="BJX235" s="15"/>
      <c r="BJY235" s="15"/>
      <c r="BJZ235" s="15"/>
      <c r="BKA235" s="15"/>
      <c r="BKB235" s="15"/>
      <c r="BKC235" s="15"/>
      <c r="BKD235" s="15"/>
      <c r="BKE235" s="10"/>
      <c r="BKF235" s="10"/>
      <c r="BKG235" s="21"/>
      <c r="BKH235" s="21"/>
      <c r="BKK235" s="21"/>
      <c r="BKL235" s="15"/>
      <c r="BKM235" s="15"/>
      <c r="BKN235" s="15"/>
      <c r="BKO235" s="15"/>
      <c r="BKP235" s="15"/>
      <c r="BKQ235" s="15"/>
      <c r="BKR235" s="15"/>
      <c r="BKS235" s="15"/>
      <c r="BKT235" s="15"/>
      <c r="BKU235" s="15"/>
      <c r="BKV235" s="10"/>
      <c r="BKW235" s="10"/>
      <c r="BKX235" s="21"/>
      <c r="BKY235" s="21"/>
      <c r="BLB235" s="21"/>
      <c r="BLC235" s="15"/>
      <c r="BLD235" s="15"/>
      <c r="BLE235" s="15"/>
      <c r="BLF235" s="15"/>
      <c r="BLG235" s="15"/>
      <c r="BLH235" s="15"/>
      <c r="BLI235" s="15"/>
      <c r="BLJ235" s="15"/>
      <c r="BLK235" s="15"/>
      <c r="BLL235" s="15"/>
      <c r="BLM235" s="10"/>
      <c r="BLN235" s="10"/>
      <c r="BLO235" s="21"/>
      <c r="BLP235" s="21"/>
      <c r="BLS235" s="21"/>
      <c r="BLT235" s="15"/>
      <c r="BLU235" s="15"/>
      <c r="BLV235" s="15"/>
      <c r="BLW235" s="15"/>
      <c r="BLX235" s="15"/>
      <c r="BLY235" s="15"/>
      <c r="BLZ235" s="15"/>
      <c r="BMA235" s="15"/>
      <c r="BMB235" s="15"/>
      <c r="BMC235" s="15"/>
      <c r="BMD235" s="10"/>
      <c r="BME235" s="10"/>
      <c r="BMF235" s="21"/>
      <c r="BMG235" s="21"/>
      <c r="BMJ235" s="21"/>
      <c r="BMK235" s="15"/>
      <c r="BML235" s="15"/>
      <c r="BMM235" s="15"/>
      <c r="BMN235" s="15"/>
      <c r="BMO235" s="15"/>
      <c r="BMP235" s="15"/>
      <c r="BMQ235" s="15"/>
      <c r="BMR235" s="15"/>
      <c r="BMS235" s="15"/>
      <c r="BMT235" s="15"/>
      <c r="BMU235" s="10"/>
      <c r="BMV235" s="10"/>
      <c r="BMW235" s="21"/>
      <c r="BMX235" s="21"/>
      <c r="BNA235" s="21"/>
      <c r="BNB235" s="15"/>
      <c r="BNC235" s="15"/>
      <c r="BND235" s="15"/>
      <c r="BNE235" s="15"/>
      <c r="BNF235" s="15"/>
      <c r="BNG235" s="15"/>
      <c r="BNH235" s="15"/>
      <c r="BNI235" s="15"/>
      <c r="BNJ235" s="15"/>
      <c r="BNK235" s="15"/>
      <c r="BNL235" s="10"/>
      <c r="BNM235" s="10"/>
      <c r="BNN235" s="21"/>
      <c r="BNO235" s="21"/>
      <c r="BNR235" s="21"/>
      <c r="BNS235" s="15"/>
      <c r="BNT235" s="15"/>
      <c r="BNU235" s="15"/>
      <c r="BNV235" s="15"/>
      <c r="BNW235" s="15"/>
      <c r="BNX235" s="15"/>
      <c r="BNY235" s="15"/>
      <c r="BNZ235" s="15"/>
      <c r="BOA235" s="15"/>
      <c r="BOB235" s="15"/>
      <c r="BOC235" s="10"/>
      <c r="BOD235" s="10"/>
      <c r="BOE235" s="21"/>
      <c r="BOF235" s="21"/>
      <c r="BOI235" s="21"/>
      <c r="BOJ235" s="15"/>
      <c r="BOK235" s="15"/>
      <c r="BOL235" s="15"/>
      <c r="BOM235" s="15"/>
      <c r="BON235" s="15"/>
      <c r="BOO235" s="15"/>
      <c r="BOP235" s="15"/>
      <c r="BOQ235" s="15"/>
      <c r="BOR235" s="15"/>
      <c r="BOS235" s="15"/>
      <c r="BOT235" s="10"/>
      <c r="BOU235" s="10"/>
      <c r="BOV235" s="21"/>
      <c r="BOW235" s="21"/>
      <c r="BOZ235" s="21"/>
      <c r="BPA235" s="15"/>
      <c r="BPB235" s="15"/>
      <c r="BPC235" s="15"/>
      <c r="BPD235" s="15"/>
      <c r="BPE235" s="15"/>
      <c r="BPF235" s="15"/>
      <c r="BPG235" s="15"/>
      <c r="BPH235" s="15"/>
      <c r="BPI235" s="15"/>
      <c r="BPJ235" s="15"/>
      <c r="BPK235" s="10"/>
      <c r="BPL235" s="10"/>
      <c r="BPM235" s="21"/>
      <c r="BPN235" s="21"/>
      <c r="BPQ235" s="21"/>
      <c r="BPR235" s="15"/>
      <c r="BPS235" s="15"/>
      <c r="BPT235" s="15"/>
      <c r="BPU235" s="15"/>
      <c r="BPV235" s="15"/>
      <c r="BPW235" s="15"/>
      <c r="BPX235" s="15"/>
      <c r="BPY235" s="15"/>
      <c r="BPZ235" s="15"/>
      <c r="BQA235" s="15"/>
      <c r="BQB235" s="10"/>
      <c r="BQC235" s="10"/>
      <c r="BQD235" s="21"/>
      <c r="BQE235" s="21"/>
      <c r="BQH235" s="21"/>
      <c r="BQI235" s="15"/>
      <c r="BQJ235" s="15"/>
      <c r="BQK235" s="15"/>
      <c r="BQL235" s="15"/>
      <c r="BQM235" s="15"/>
      <c r="BQN235" s="15"/>
      <c r="BQO235" s="15"/>
      <c r="BQP235" s="15"/>
      <c r="BQQ235" s="15"/>
      <c r="BQR235" s="15"/>
      <c r="BQS235" s="10"/>
      <c r="BQT235" s="10"/>
      <c r="BQU235" s="21"/>
      <c r="BQV235" s="21"/>
      <c r="BQY235" s="21"/>
      <c r="BQZ235" s="15"/>
      <c r="BRA235" s="15"/>
      <c r="BRB235" s="15"/>
      <c r="BRC235" s="15"/>
      <c r="BRD235" s="15"/>
      <c r="BRE235" s="15"/>
      <c r="BRF235" s="15"/>
      <c r="BRG235" s="15"/>
      <c r="BRH235" s="15"/>
      <c r="BRI235" s="15"/>
      <c r="BRJ235" s="10"/>
      <c r="BRK235" s="10"/>
      <c r="BRL235" s="21"/>
      <c r="BRM235" s="21"/>
      <c r="BRP235" s="21"/>
      <c r="BRQ235" s="15"/>
      <c r="BRR235" s="15"/>
      <c r="BRS235" s="15"/>
      <c r="BRT235" s="15"/>
      <c r="BRU235" s="15"/>
      <c r="BRV235" s="15"/>
      <c r="BRW235" s="15"/>
      <c r="BRX235" s="15"/>
      <c r="BRY235" s="15"/>
      <c r="BRZ235" s="15"/>
      <c r="BSA235" s="10"/>
      <c r="BSB235" s="10"/>
      <c r="BSC235" s="21"/>
      <c r="BSD235" s="21"/>
      <c r="BSG235" s="21"/>
      <c r="BSH235" s="15"/>
      <c r="BSI235" s="15"/>
      <c r="BSJ235" s="15"/>
      <c r="BSK235" s="15"/>
      <c r="BSL235" s="15"/>
      <c r="BSM235" s="15"/>
      <c r="BSN235" s="15"/>
      <c r="BSO235" s="15"/>
      <c r="BSP235" s="15"/>
      <c r="BSQ235" s="15"/>
      <c r="BSR235" s="10"/>
      <c r="BSS235" s="10"/>
      <c r="BST235" s="21"/>
      <c r="BSU235" s="21"/>
      <c r="BSX235" s="21"/>
      <c r="BSY235" s="15"/>
      <c r="BSZ235" s="15"/>
      <c r="BTA235" s="15"/>
      <c r="BTB235" s="15"/>
      <c r="BTC235" s="15"/>
      <c r="BTD235" s="15"/>
      <c r="BTE235" s="15"/>
      <c r="BTF235" s="15"/>
      <c r="BTG235" s="15"/>
      <c r="BTH235" s="15"/>
      <c r="BTI235" s="10"/>
      <c r="BTJ235" s="10"/>
      <c r="BTK235" s="21"/>
      <c r="BTL235" s="21"/>
      <c r="BTO235" s="21"/>
      <c r="BTP235" s="15"/>
      <c r="BTQ235" s="15"/>
      <c r="BTR235" s="15"/>
      <c r="BTS235" s="15"/>
      <c r="BTT235" s="15"/>
      <c r="BTU235" s="15"/>
      <c r="BTV235" s="15"/>
      <c r="BTW235" s="15"/>
      <c r="BTX235" s="15"/>
      <c r="BTY235" s="15"/>
      <c r="BTZ235" s="10"/>
      <c r="BUA235" s="10"/>
      <c r="BUB235" s="21"/>
      <c r="BUC235" s="21"/>
      <c r="BUF235" s="21"/>
      <c r="BUG235" s="15"/>
      <c r="BUH235" s="15"/>
      <c r="BUI235" s="15"/>
      <c r="BUJ235" s="15"/>
      <c r="BUK235" s="15"/>
      <c r="BUL235" s="15"/>
      <c r="BUM235" s="15"/>
      <c r="BUN235" s="15"/>
      <c r="BUO235" s="15"/>
      <c r="BUP235" s="15"/>
      <c r="BUQ235" s="10"/>
      <c r="BUR235" s="10"/>
      <c r="BUS235" s="21"/>
      <c r="BUT235" s="21"/>
      <c r="BUW235" s="21"/>
      <c r="BUX235" s="15"/>
      <c r="BUY235" s="15"/>
      <c r="BUZ235" s="15"/>
      <c r="BVA235" s="15"/>
      <c r="BVB235" s="15"/>
      <c r="BVC235" s="15"/>
      <c r="BVD235" s="15"/>
      <c r="BVE235" s="15"/>
      <c r="BVF235" s="15"/>
      <c r="BVG235" s="15"/>
      <c r="BVH235" s="10"/>
      <c r="BVI235" s="10"/>
      <c r="BVJ235" s="21"/>
      <c r="BVK235" s="21"/>
      <c r="BVN235" s="21"/>
      <c r="BVO235" s="15"/>
      <c r="BVP235" s="15"/>
      <c r="BVQ235" s="15"/>
      <c r="BVR235" s="15"/>
      <c r="BVS235" s="15"/>
      <c r="BVT235" s="15"/>
      <c r="BVU235" s="15"/>
      <c r="BVV235" s="15"/>
      <c r="BVW235" s="15"/>
      <c r="BVX235" s="15"/>
      <c r="BVY235" s="10"/>
      <c r="BVZ235" s="10"/>
      <c r="BWA235" s="21"/>
      <c r="BWB235" s="21"/>
      <c r="BWE235" s="21"/>
      <c r="BWF235" s="15"/>
      <c r="BWG235" s="15"/>
      <c r="BWH235" s="15"/>
      <c r="BWI235" s="15"/>
      <c r="BWJ235" s="15"/>
      <c r="BWK235" s="15"/>
      <c r="BWL235" s="15"/>
      <c r="BWM235" s="15"/>
      <c r="BWN235" s="15"/>
      <c r="BWO235" s="15"/>
      <c r="BWP235" s="10"/>
      <c r="BWQ235" s="10"/>
      <c r="BWR235" s="21"/>
      <c r="BWS235" s="21"/>
      <c r="BWV235" s="21"/>
      <c r="BWW235" s="15"/>
      <c r="BWX235" s="15"/>
      <c r="BWY235" s="15"/>
      <c r="BWZ235" s="15"/>
      <c r="BXA235" s="15"/>
      <c r="BXB235" s="15"/>
      <c r="BXC235" s="15"/>
      <c r="BXD235" s="15"/>
      <c r="BXE235" s="15"/>
      <c r="BXF235" s="15"/>
      <c r="BXG235" s="10"/>
      <c r="BXH235" s="10"/>
      <c r="BXI235" s="21"/>
      <c r="BXJ235" s="21"/>
      <c r="BXM235" s="21"/>
      <c r="BXN235" s="15"/>
      <c r="BXO235" s="15"/>
      <c r="BXP235" s="15"/>
      <c r="BXQ235" s="15"/>
      <c r="BXR235" s="15"/>
      <c r="BXS235" s="15"/>
      <c r="BXT235" s="15"/>
      <c r="BXU235" s="15"/>
      <c r="BXV235" s="15"/>
      <c r="BXW235" s="15"/>
      <c r="BXX235" s="10"/>
      <c r="BXY235" s="10"/>
      <c r="BXZ235" s="21"/>
      <c r="BYA235" s="21"/>
      <c r="BYD235" s="21"/>
      <c r="BYE235" s="15"/>
      <c r="BYF235" s="15"/>
      <c r="BYG235" s="15"/>
      <c r="BYH235" s="15"/>
      <c r="BYI235" s="15"/>
      <c r="BYJ235" s="15"/>
      <c r="BYK235" s="15"/>
      <c r="BYL235" s="15"/>
      <c r="BYM235" s="15"/>
      <c r="BYN235" s="15"/>
      <c r="BYO235" s="10"/>
      <c r="BYP235" s="10"/>
      <c r="BYQ235" s="21"/>
      <c r="BYR235" s="21"/>
      <c r="BYU235" s="21"/>
      <c r="BYV235" s="15"/>
      <c r="BYW235" s="15"/>
      <c r="BYX235" s="15"/>
      <c r="BYY235" s="15"/>
      <c r="BYZ235" s="15"/>
      <c r="BZA235" s="15"/>
      <c r="BZB235" s="15"/>
      <c r="BZC235" s="15"/>
      <c r="BZD235" s="15"/>
      <c r="BZE235" s="15"/>
      <c r="BZF235" s="10"/>
      <c r="BZG235" s="10"/>
      <c r="BZH235" s="21"/>
      <c r="BZI235" s="21"/>
      <c r="BZL235" s="21"/>
      <c r="BZM235" s="15"/>
      <c r="BZN235" s="15"/>
      <c r="BZO235" s="15"/>
      <c r="BZP235" s="15"/>
      <c r="BZQ235" s="15"/>
      <c r="BZR235" s="15"/>
      <c r="BZS235" s="15"/>
      <c r="BZT235" s="15"/>
      <c r="BZU235" s="15"/>
      <c r="BZV235" s="15"/>
      <c r="BZW235" s="10"/>
      <c r="BZX235" s="10"/>
      <c r="BZY235" s="21"/>
      <c r="BZZ235" s="21"/>
      <c r="CAC235" s="21"/>
      <c r="CAD235" s="15"/>
      <c r="CAE235" s="15"/>
      <c r="CAF235" s="15"/>
      <c r="CAG235" s="15"/>
      <c r="CAH235" s="15"/>
      <c r="CAI235" s="15"/>
      <c r="CAJ235" s="15"/>
      <c r="CAK235" s="15"/>
      <c r="CAL235" s="15"/>
      <c r="CAM235" s="15"/>
      <c r="CAN235" s="10"/>
      <c r="CAO235" s="10"/>
      <c r="CAP235" s="21"/>
      <c r="CAQ235" s="21"/>
      <c r="CAT235" s="21"/>
      <c r="CAU235" s="15"/>
      <c r="CAV235" s="15"/>
      <c r="CAW235" s="15"/>
      <c r="CAX235" s="15"/>
      <c r="CAY235" s="15"/>
      <c r="CAZ235" s="15"/>
      <c r="CBA235" s="15"/>
      <c r="CBB235" s="15"/>
      <c r="CBC235" s="15"/>
      <c r="CBD235" s="15"/>
      <c r="CBE235" s="10"/>
      <c r="CBF235" s="10"/>
      <c r="CBG235" s="21"/>
      <c r="CBH235" s="21"/>
      <c r="CBK235" s="21"/>
      <c r="CBL235" s="15"/>
      <c r="CBM235" s="15"/>
      <c r="CBN235" s="15"/>
      <c r="CBO235" s="15"/>
      <c r="CBP235" s="15"/>
      <c r="CBQ235" s="15"/>
      <c r="CBR235" s="15"/>
      <c r="CBS235" s="15"/>
      <c r="CBT235" s="15"/>
      <c r="CBU235" s="15"/>
      <c r="CBV235" s="10"/>
      <c r="CBW235" s="10"/>
      <c r="CBX235" s="21"/>
      <c r="CBY235" s="21"/>
      <c r="CCB235" s="21"/>
      <c r="CCC235" s="15"/>
      <c r="CCD235" s="15"/>
      <c r="CCE235" s="15"/>
      <c r="CCF235" s="15"/>
      <c r="CCG235" s="15"/>
      <c r="CCH235" s="15"/>
      <c r="CCI235" s="15"/>
      <c r="CCJ235" s="15"/>
      <c r="CCK235" s="15"/>
      <c r="CCL235" s="15"/>
      <c r="CCM235" s="10"/>
      <c r="CCN235" s="10"/>
      <c r="CCO235" s="21"/>
      <c r="CCP235" s="21"/>
      <c r="CCS235" s="21"/>
      <c r="CCT235" s="15"/>
      <c r="CCU235" s="15"/>
      <c r="CCV235" s="15"/>
      <c r="CCW235" s="15"/>
      <c r="CCX235" s="15"/>
      <c r="CCY235" s="15"/>
      <c r="CCZ235" s="15"/>
      <c r="CDA235" s="15"/>
      <c r="CDB235" s="15"/>
      <c r="CDC235" s="15"/>
      <c r="CDD235" s="10"/>
      <c r="CDE235" s="10"/>
      <c r="CDF235" s="21"/>
      <c r="CDG235" s="21"/>
      <c r="CDJ235" s="21"/>
      <c r="CDK235" s="15"/>
      <c r="CDL235" s="15"/>
      <c r="CDM235" s="15"/>
      <c r="CDN235" s="15"/>
      <c r="CDO235" s="15"/>
      <c r="CDP235" s="15"/>
      <c r="CDQ235" s="15"/>
      <c r="CDR235" s="15"/>
      <c r="CDS235" s="15"/>
      <c r="CDT235" s="15"/>
      <c r="CDU235" s="10"/>
      <c r="CDV235" s="10"/>
      <c r="CDW235" s="21"/>
      <c r="CDX235" s="21"/>
      <c r="CEA235" s="21"/>
      <c r="CEB235" s="15"/>
      <c r="CEC235" s="15"/>
      <c r="CED235" s="15"/>
      <c r="CEE235" s="15"/>
      <c r="CEF235" s="15"/>
      <c r="CEG235" s="15"/>
      <c r="CEH235" s="15"/>
      <c r="CEI235" s="15"/>
      <c r="CEJ235" s="15"/>
      <c r="CEK235" s="15"/>
      <c r="CEL235" s="10"/>
      <c r="CEM235" s="10"/>
      <c r="CEN235" s="21"/>
      <c r="CEO235" s="21"/>
      <c r="CER235" s="21"/>
      <c r="CES235" s="15"/>
      <c r="CET235" s="15"/>
      <c r="CEU235" s="15"/>
      <c r="CEV235" s="15"/>
      <c r="CEW235" s="15"/>
      <c r="CEX235" s="15"/>
      <c r="CEY235" s="15"/>
      <c r="CEZ235" s="15"/>
      <c r="CFA235" s="15"/>
      <c r="CFB235" s="15"/>
      <c r="CFC235" s="10"/>
      <c r="CFD235" s="10"/>
      <c r="CFE235" s="21"/>
      <c r="CFF235" s="21"/>
      <c r="CFI235" s="21"/>
      <c r="CFJ235" s="15"/>
      <c r="CFK235" s="15"/>
      <c r="CFL235" s="15"/>
      <c r="CFM235" s="15"/>
      <c r="CFN235" s="15"/>
      <c r="CFO235" s="15"/>
      <c r="CFP235" s="15"/>
      <c r="CFQ235" s="15"/>
      <c r="CFR235" s="15"/>
      <c r="CFS235" s="15"/>
      <c r="CFT235" s="10"/>
      <c r="CFU235" s="10"/>
      <c r="CFV235" s="21"/>
      <c r="CFW235" s="21"/>
      <c r="CFZ235" s="21"/>
      <c r="CGA235" s="15"/>
      <c r="CGB235" s="15"/>
      <c r="CGC235" s="15"/>
      <c r="CGD235" s="15"/>
      <c r="CGE235" s="15"/>
      <c r="CGF235" s="15"/>
      <c r="CGG235" s="15"/>
      <c r="CGH235" s="15"/>
      <c r="CGI235" s="15"/>
      <c r="CGJ235" s="15"/>
      <c r="CGK235" s="10"/>
      <c r="CGL235" s="10"/>
      <c r="CGM235" s="21"/>
      <c r="CGN235" s="21"/>
      <c r="CGQ235" s="21"/>
      <c r="CGR235" s="15"/>
      <c r="CGS235" s="15"/>
      <c r="CGT235" s="15"/>
      <c r="CGU235" s="15"/>
      <c r="CGV235" s="15"/>
      <c r="CGW235" s="15"/>
      <c r="CGX235" s="15"/>
      <c r="CGY235" s="15"/>
      <c r="CGZ235" s="15"/>
      <c r="CHA235" s="15"/>
      <c r="CHB235" s="10"/>
      <c r="CHC235" s="10"/>
      <c r="CHD235" s="21"/>
      <c r="CHE235" s="21"/>
      <c r="CHH235" s="21"/>
      <c r="CHI235" s="15"/>
      <c r="CHJ235" s="15"/>
      <c r="CHK235" s="15"/>
      <c r="CHL235" s="15"/>
      <c r="CHM235" s="15"/>
      <c r="CHN235" s="15"/>
      <c r="CHO235" s="15"/>
      <c r="CHP235" s="15"/>
      <c r="CHQ235" s="15"/>
      <c r="CHR235" s="15"/>
      <c r="CHS235" s="10"/>
      <c r="CHT235" s="10"/>
      <c r="CHU235" s="21"/>
      <c r="CHV235" s="21"/>
      <c r="CHY235" s="21"/>
      <c r="CHZ235" s="15"/>
      <c r="CIA235" s="15"/>
      <c r="CIB235" s="15"/>
      <c r="CIC235" s="15"/>
      <c r="CID235" s="15"/>
      <c r="CIE235" s="15"/>
      <c r="CIF235" s="15"/>
      <c r="CIG235" s="15"/>
      <c r="CIH235" s="15"/>
      <c r="CII235" s="15"/>
      <c r="CIJ235" s="10"/>
      <c r="CIK235" s="10"/>
      <c r="CIL235" s="21"/>
      <c r="CIM235" s="21"/>
      <c r="CIP235" s="21"/>
      <c r="CIQ235" s="15"/>
      <c r="CIR235" s="15"/>
      <c r="CIS235" s="15"/>
      <c r="CIT235" s="15"/>
      <c r="CIU235" s="15"/>
      <c r="CIV235" s="15"/>
      <c r="CIW235" s="15"/>
      <c r="CIX235" s="15"/>
      <c r="CIY235" s="15"/>
      <c r="CIZ235" s="15"/>
      <c r="CJA235" s="10"/>
      <c r="CJB235" s="10"/>
      <c r="CJC235" s="21"/>
      <c r="CJD235" s="21"/>
      <c r="CJG235" s="21"/>
      <c r="CJH235" s="15"/>
      <c r="CJI235" s="15"/>
      <c r="CJJ235" s="15"/>
      <c r="CJK235" s="15"/>
      <c r="CJL235" s="15"/>
      <c r="CJM235" s="15"/>
      <c r="CJN235" s="15"/>
      <c r="CJO235" s="15"/>
      <c r="CJP235" s="15"/>
      <c r="CJQ235" s="15"/>
      <c r="CJR235" s="10"/>
      <c r="CJS235" s="10"/>
      <c r="CJT235" s="21"/>
      <c r="CJU235" s="21"/>
      <c r="CJX235" s="21"/>
      <c r="CJY235" s="15"/>
      <c r="CJZ235" s="15"/>
      <c r="CKA235" s="15"/>
      <c r="CKB235" s="15"/>
      <c r="CKC235" s="15"/>
      <c r="CKD235" s="15"/>
      <c r="CKE235" s="15"/>
      <c r="CKF235" s="15"/>
      <c r="CKG235" s="15"/>
      <c r="CKH235" s="15"/>
      <c r="CKI235" s="10"/>
      <c r="CKJ235" s="10"/>
      <c r="CKK235" s="21"/>
      <c r="CKL235" s="21"/>
      <c r="CKO235" s="21"/>
      <c r="CKP235" s="15"/>
      <c r="CKQ235" s="15"/>
      <c r="CKR235" s="15"/>
      <c r="CKS235" s="15"/>
      <c r="CKT235" s="15"/>
      <c r="CKU235" s="15"/>
      <c r="CKV235" s="15"/>
      <c r="CKW235" s="15"/>
      <c r="CKX235" s="15"/>
      <c r="CKY235" s="15"/>
      <c r="CKZ235" s="10"/>
      <c r="CLA235" s="10"/>
      <c r="CLB235" s="21"/>
      <c r="CLC235" s="21"/>
      <c r="CLF235" s="21"/>
      <c r="CLG235" s="15"/>
      <c r="CLH235" s="15"/>
      <c r="CLI235" s="15"/>
      <c r="CLJ235" s="15"/>
      <c r="CLK235" s="15"/>
      <c r="CLL235" s="15"/>
      <c r="CLM235" s="15"/>
      <c r="CLN235" s="15"/>
      <c r="CLO235" s="15"/>
      <c r="CLP235" s="15"/>
      <c r="CLQ235" s="10"/>
      <c r="CLR235" s="10"/>
      <c r="CLS235" s="21"/>
      <c r="CLT235" s="21"/>
      <c r="CLW235" s="21"/>
      <c r="CLX235" s="15"/>
      <c r="CLY235" s="15"/>
      <c r="CLZ235" s="15"/>
      <c r="CMA235" s="15"/>
      <c r="CMB235" s="15"/>
      <c r="CMC235" s="15"/>
      <c r="CMD235" s="15"/>
      <c r="CME235" s="15"/>
      <c r="CMF235" s="15"/>
      <c r="CMG235" s="15"/>
      <c r="CMH235" s="10"/>
      <c r="CMI235" s="10"/>
      <c r="CMJ235" s="21"/>
      <c r="CMK235" s="21"/>
      <c r="CMN235" s="21"/>
      <c r="CMO235" s="15"/>
      <c r="CMP235" s="15"/>
      <c r="CMQ235" s="15"/>
      <c r="CMR235" s="15"/>
      <c r="CMS235" s="15"/>
      <c r="CMT235" s="15"/>
      <c r="CMU235" s="15"/>
      <c r="CMV235" s="15"/>
      <c r="CMW235" s="15"/>
      <c r="CMX235" s="15"/>
      <c r="CMY235" s="10"/>
      <c r="CMZ235" s="10"/>
      <c r="CNA235" s="21"/>
      <c r="CNB235" s="21"/>
      <c r="CNE235" s="21"/>
      <c r="CNF235" s="15"/>
      <c r="CNG235" s="15"/>
      <c r="CNH235" s="15"/>
      <c r="CNI235" s="15"/>
      <c r="CNJ235" s="15"/>
      <c r="CNK235" s="15"/>
      <c r="CNL235" s="15"/>
      <c r="CNM235" s="15"/>
      <c r="CNN235" s="15"/>
      <c r="CNO235" s="15"/>
      <c r="CNP235" s="10"/>
      <c r="CNQ235" s="10"/>
      <c r="CNR235" s="21"/>
      <c r="CNS235" s="21"/>
      <c r="CNV235" s="21"/>
      <c r="CNW235" s="15"/>
      <c r="CNX235" s="15"/>
      <c r="CNY235" s="15"/>
      <c r="CNZ235" s="15"/>
      <c r="COA235" s="15"/>
      <c r="COB235" s="15"/>
      <c r="COC235" s="15"/>
      <c r="COD235" s="15"/>
      <c r="COE235" s="15"/>
      <c r="COF235" s="15"/>
      <c r="COG235" s="10"/>
      <c r="COH235" s="10"/>
      <c r="COI235" s="21"/>
      <c r="COJ235" s="21"/>
      <c r="COM235" s="21"/>
      <c r="CON235" s="15"/>
      <c r="COO235" s="15"/>
      <c r="COP235" s="15"/>
      <c r="COQ235" s="15"/>
      <c r="COR235" s="15"/>
      <c r="COS235" s="15"/>
      <c r="COT235" s="15"/>
      <c r="COU235" s="15"/>
      <c r="COV235" s="15"/>
      <c r="COW235" s="15"/>
      <c r="COX235" s="10"/>
      <c r="COY235" s="10"/>
      <c r="COZ235" s="21"/>
      <c r="CPA235" s="21"/>
      <c r="CPD235" s="21"/>
      <c r="CPE235" s="15"/>
      <c r="CPF235" s="15"/>
      <c r="CPG235" s="15"/>
      <c r="CPH235" s="15"/>
      <c r="CPI235" s="15"/>
      <c r="CPJ235" s="15"/>
      <c r="CPK235" s="15"/>
      <c r="CPL235" s="15"/>
      <c r="CPM235" s="15"/>
      <c r="CPN235" s="15"/>
      <c r="CPO235" s="10"/>
      <c r="CPP235" s="10"/>
      <c r="CPQ235" s="21"/>
      <c r="CPR235" s="21"/>
      <c r="CPU235" s="21"/>
      <c r="CPV235" s="15"/>
      <c r="CPW235" s="15"/>
      <c r="CPX235" s="15"/>
      <c r="CPY235" s="15"/>
      <c r="CPZ235" s="15"/>
      <c r="CQA235" s="15"/>
      <c r="CQB235" s="15"/>
      <c r="CQC235" s="15"/>
      <c r="CQD235" s="15"/>
      <c r="CQE235" s="15"/>
      <c r="CQF235" s="10"/>
      <c r="CQG235" s="10"/>
      <c r="CQH235" s="21"/>
      <c r="CQI235" s="21"/>
      <c r="CQL235" s="21"/>
      <c r="CQM235" s="15"/>
      <c r="CQN235" s="15"/>
      <c r="CQO235" s="15"/>
      <c r="CQP235" s="15"/>
      <c r="CQQ235" s="15"/>
      <c r="CQR235" s="15"/>
      <c r="CQS235" s="15"/>
      <c r="CQT235" s="15"/>
      <c r="CQU235" s="15"/>
      <c r="CQV235" s="15"/>
      <c r="CQW235" s="10"/>
      <c r="CQX235" s="10"/>
      <c r="CQY235" s="21"/>
      <c r="CQZ235" s="21"/>
      <c r="CRC235" s="21"/>
      <c r="CRD235" s="15"/>
      <c r="CRE235" s="15"/>
      <c r="CRF235" s="15"/>
      <c r="CRG235" s="15"/>
      <c r="CRH235" s="15"/>
      <c r="CRI235" s="15"/>
      <c r="CRJ235" s="15"/>
      <c r="CRK235" s="15"/>
      <c r="CRL235" s="15"/>
      <c r="CRM235" s="15"/>
      <c r="CRN235" s="10"/>
      <c r="CRO235" s="10"/>
      <c r="CRP235" s="21"/>
      <c r="CRQ235" s="21"/>
      <c r="CRT235" s="21"/>
      <c r="CRU235" s="15"/>
      <c r="CRV235" s="15"/>
      <c r="CRW235" s="15"/>
      <c r="CRX235" s="15"/>
      <c r="CRY235" s="15"/>
      <c r="CRZ235" s="15"/>
      <c r="CSA235" s="15"/>
      <c r="CSB235" s="15"/>
      <c r="CSC235" s="15"/>
      <c r="CSD235" s="15"/>
      <c r="CSE235" s="10"/>
      <c r="CSF235" s="10"/>
      <c r="CSG235" s="21"/>
      <c r="CSH235" s="21"/>
      <c r="CSK235" s="21"/>
      <c r="CSL235" s="15"/>
      <c r="CSM235" s="15"/>
      <c r="CSN235" s="15"/>
      <c r="CSO235" s="15"/>
      <c r="CSP235" s="15"/>
      <c r="CSQ235" s="15"/>
      <c r="CSR235" s="15"/>
      <c r="CSS235" s="15"/>
      <c r="CST235" s="15"/>
      <c r="CSU235" s="15"/>
      <c r="CSV235" s="10"/>
      <c r="CSW235" s="10"/>
      <c r="CSX235" s="21"/>
      <c r="CSY235" s="21"/>
      <c r="CTB235" s="21"/>
      <c r="CTC235" s="15"/>
      <c r="CTD235" s="15"/>
      <c r="CTE235" s="15"/>
      <c r="CTF235" s="15"/>
      <c r="CTG235" s="15"/>
      <c r="CTH235" s="15"/>
      <c r="CTI235" s="15"/>
      <c r="CTJ235" s="15"/>
      <c r="CTK235" s="15"/>
      <c r="CTL235" s="15"/>
      <c r="CTM235" s="10"/>
      <c r="CTN235" s="10"/>
      <c r="CTO235" s="21"/>
      <c r="CTP235" s="21"/>
      <c r="CTS235" s="21"/>
      <c r="CTT235" s="15"/>
      <c r="CTU235" s="15"/>
      <c r="CTV235" s="15"/>
      <c r="CTW235" s="15"/>
      <c r="CTX235" s="15"/>
      <c r="CTY235" s="15"/>
      <c r="CTZ235" s="15"/>
      <c r="CUA235" s="15"/>
      <c r="CUB235" s="15"/>
      <c r="CUC235" s="15"/>
      <c r="CUD235" s="10"/>
      <c r="CUE235" s="10"/>
      <c r="CUF235" s="21"/>
      <c r="CUG235" s="21"/>
      <c r="CUJ235" s="21"/>
      <c r="CUK235" s="15"/>
      <c r="CUL235" s="15"/>
      <c r="CUM235" s="15"/>
      <c r="CUN235" s="15"/>
      <c r="CUO235" s="15"/>
      <c r="CUP235" s="15"/>
      <c r="CUQ235" s="15"/>
      <c r="CUR235" s="15"/>
      <c r="CUS235" s="15"/>
      <c r="CUT235" s="15"/>
      <c r="CUU235" s="10"/>
      <c r="CUV235" s="10"/>
      <c r="CUW235" s="21"/>
      <c r="CUX235" s="21"/>
      <c r="CVA235" s="21"/>
      <c r="CVB235" s="15"/>
      <c r="CVC235" s="15"/>
      <c r="CVD235" s="15"/>
      <c r="CVE235" s="15"/>
      <c r="CVF235" s="15"/>
      <c r="CVG235" s="15"/>
      <c r="CVH235" s="15"/>
      <c r="CVI235" s="15"/>
      <c r="CVJ235" s="15"/>
      <c r="CVK235" s="15"/>
      <c r="CVL235" s="10"/>
      <c r="CVM235" s="10"/>
      <c r="CVN235" s="21"/>
      <c r="CVO235" s="21"/>
      <c r="CVR235" s="21"/>
      <c r="CVS235" s="15"/>
      <c r="CVT235" s="15"/>
      <c r="CVU235" s="15"/>
      <c r="CVV235" s="15"/>
      <c r="CVW235" s="15"/>
      <c r="CVX235" s="15"/>
      <c r="CVY235" s="15"/>
      <c r="CVZ235" s="15"/>
      <c r="CWA235" s="15"/>
      <c r="CWB235" s="15"/>
      <c r="CWC235" s="10"/>
      <c r="CWD235" s="10"/>
      <c r="CWE235" s="21"/>
      <c r="CWF235" s="21"/>
      <c r="CWI235" s="21"/>
      <c r="CWJ235" s="15"/>
      <c r="CWK235" s="15"/>
      <c r="CWL235" s="15"/>
      <c r="CWM235" s="15"/>
      <c r="CWN235" s="15"/>
      <c r="CWO235" s="15"/>
      <c r="CWP235" s="15"/>
      <c r="CWQ235" s="15"/>
      <c r="CWR235" s="15"/>
      <c r="CWS235" s="15"/>
      <c r="CWT235" s="10"/>
      <c r="CWU235" s="10"/>
      <c r="CWV235" s="21"/>
      <c r="CWW235" s="21"/>
      <c r="CWZ235" s="21"/>
      <c r="CXA235" s="15"/>
      <c r="CXB235" s="15"/>
      <c r="CXC235" s="15"/>
      <c r="CXD235" s="15"/>
      <c r="CXE235" s="15"/>
      <c r="CXF235" s="15"/>
      <c r="CXG235" s="15"/>
      <c r="CXH235" s="15"/>
      <c r="CXI235" s="15"/>
      <c r="CXJ235" s="15"/>
      <c r="CXK235" s="10"/>
      <c r="CXL235" s="10"/>
      <c r="CXM235" s="21"/>
      <c r="CXN235" s="21"/>
      <c r="CXQ235" s="21"/>
      <c r="CXR235" s="15"/>
      <c r="CXS235" s="15"/>
      <c r="CXT235" s="15"/>
      <c r="CXU235" s="15"/>
      <c r="CXV235" s="15"/>
      <c r="CXW235" s="15"/>
      <c r="CXX235" s="15"/>
      <c r="CXY235" s="15"/>
      <c r="CXZ235" s="15"/>
      <c r="CYA235" s="15"/>
      <c r="CYB235" s="10"/>
      <c r="CYC235" s="10"/>
      <c r="CYD235" s="21"/>
      <c r="CYE235" s="21"/>
      <c r="CYH235" s="21"/>
      <c r="CYI235" s="15"/>
      <c r="CYJ235" s="15"/>
      <c r="CYK235" s="15"/>
      <c r="CYL235" s="15"/>
      <c r="CYM235" s="15"/>
      <c r="CYN235" s="15"/>
      <c r="CYO235" s="15"/>
      <c r="CYP235" s="15"/>
      <c r="CYQ235" s="15"/>
      <c r="CYR235" s="15"/>
      <c r="CYS235" s="10"/>
      <c r="CYT235" s="10"/>
      <c r="CYU235" s="21"/>
      <c r="CYV235" s="21"/>
      <c r="CYY235" s="21"/>
      <c r="CYZ235" s="15"/>
      <c r="CZA235" s="15"/>
      <c r="CZB235" s="15"/>
      <c r="CZC235" s="15"/>
      <c r="CZD235" s="15"/>
      <c r="CZE235" s="15"/>
      <c r="CZF235" s="15"/>
      <c r="CZG235" s="15"/>
      <c r="CZH235" s="15"/>
      <c r="CZI235" s="15"/>
      <c r="CZJ235" s="10"/>
      <c r="CZK235" s="10"/>
      <c r="CZL235" s="21"/>
      <c r="CZM235" s="21"/>
      <c r="CZP235" s="21"/>
      <c r="CZQ235" s="15"/>
      <c r="CZR235" s="15"/>
      <c r="CZS235" s="15"/>
      <c r="CZT235" s="15"/>
      <c r="CZU235" s="15"/>
      <c r="CZV235" s="15"/>
      <c r="CZW235" s="15"/>
      <c r="CZX235" s="15"/>
      <c r="CZY235" s="15"/>
      <c r="CZZ235" s="15"/>
      <c r="DAA235" s="10"/>
      <c r="DAB235" s="10"/>
      <c r="DAC235" s="21"/>
      <c r="DAD235" s="21"/>
      <c r="DAG235" s="21"/>
      <c r="DAH235" s="15"/>
      <c r="DAI235" s="15"/>
      <c r="DAJ235" s="15"/>
      <c r="DAK235" s="15"/>
      <c r="DAL235" s="15"/>
      <c r="DAM235" s="15"/>
      <c r="DAN235" s="15"/>
      <c r="DAO235" s="15"/>
      <c r="DAP235" s="15"/>
      <c r="DAQ235" s="15"/>
      <c r="DAR235" s="10"/>
      <c r="DAS235" s="10"/>
      <c r="DAT235" s="21"/>
      <c r="DAU235" s="21"/>
      <c r="DAX235" s="21"/>
      <c r="DAY235" s="15"/>
      <c r="DAZ235" s="15"/>
      <c r="DBA235" s="15"/>
      <c r="DBB235" s="15"/>
      <c r="DBC235" s="15"/>
      <c r="DBD235" s="15"/>
      <c r="DBE235" s="15"/>
      <c r="DBF235" s="15"/>
      <c r="DBG235" s="15"/>
      <c r="DBH235" s="15"/>
      <c r="DBI235" s="10"/>
      <c r="DBJ235" s="10"/>
      <c r="DBK235" s="21"/>
      <c r="DBL235" s="21"/>
      <c r="DBO235" s="21"/>
      <c r="DBP235" s="15"/>
      <c r="DBQ235" s="15"/>
      <c r="DBR235" s="15"/>
      <c r="DBS235" s="15"/>
      <c r="DBT235" s="15"/>
      <c r="DBU235" s="15"/>
      <c r="DBV235" s="15"/>
      <c r="DBW235" s="15"/>
      <c r="DBX235" s="15"/>
      <c r="DBY235" s="15"/>
      <c r="DBZ235" s="10"/>
      <c r="DCA235" s="10"/>
      <c r="DCB235" s="21"/>
      <c r="DCC235" s="21"/>
      <c r="DCF235" s="21"/>
      <c r="DCG235" s="15"/>
      <c r="DCH235" s="15"/>
      <c r="DCI235" s="15"/>
      <c r="DCJ235" s="15"/>
      <c r="DCK235" s="15"/>
      <c r="DCL235" s="15"/>
      <c r="DCM235" s="15"/>
      <c r="DCN235" s="15"/>
      <c r="DCO235" s="15"/>
      <c r="DCP235" s="15"/>
      <c r="DCQ235" s="10"/>
      <c r="DCR235" s="10"/>
      <c r="DCS235" s="21"/>
      <c r="DCT235" s="21"/>
      <c r="DCW235" s="21"/>
      <c r="DCX235" s="15"/>
      <c r="DCY235" s="15"/>
      <c r="DCZ235" s="15"/>
      <c r="DDA235" s="15"/>
      <c r="DDB235" s="15"/>
      <c r="DDC235" s="15"/>
      <c r="DDD235" s="15"/>
      <c r="DDE235" s="15"/>
      <c r="DDF235" s="15"/>
      <c r="DDG235" s="15"/>
      <c r="DDH235" s="10"/>
      <c r="DDI235" s="10"/>
      <c r="DDJ235" s="21"/>
      <c r="DDK235" s="21"/>
      <c r="DDN235" s="21"/>
      <c r="DDO235" s="15"/>
      <c r="DDP235" s="15"/>
      <c r="DDQ235" s="15"/>
      <c r="DDR235" s="15"/>
      <c r="DDS235" s="15"/>
      <c r="DDT235" s="15"/>
      <c r="DDU235" s="15"/>
      <c r="DDV235" s="15"/>
      <c r="DDW235" s="15"/>
      <c r="DDX235" s="15"/>
      <c r="DDY235" s="10"/>
      <c r="DDZ235" s="10"/>
      <c r="DEA235" s="21"/>
      <c r="DEB235" s="21"/>
      <c r="DEE235" s="21"/>
      <c r="DEF235" s="15"/>
      <c r="DEG235" s="15"/>
      <c r="DEH235" s="15"/>
      <c r="DEI235" s="15"/>
      <c r="DEJ235" s="15"/>
      <c r="DEK235" s="15"/>
      <c r="DEL235" s="15"/>
      <c r="DEM235" s="15"/>
      <c r="DEN235" s="15"/>
      <c r="DEO235" s="15"/>
      <c r="DEP235" s="10"/>
      <c r="DEQ235" s="10"/>
      <c r="DER235" s="21"/>
      <c r="DES235" s="21"/>
      <c r="DEV235" s="21"/>
      <c r="DEW235" s="15"/>
      <c r="DEX235" s="15"/>
      <c r="DEY235" s="15"/>
      <c r="DEZ235" s="15"/>
      <c r="DFA235" s="15"/>
      <c r="DFB235" s="15"/>
      <c r="DFC235" s="15"/>
      <c r="DFD235" s="15"/>
      <c r="DFE235" s="15"/>
      <c r="DFF235" s="15"/>
      <c r="DFG235" s="10"/>
      <c r="DFH235" s="10"/>
      <c r="DFI235" s="21"/>
      <c r="DFJ235" s="21"/>
      <c r="DFM235" s="21"/>
      <c r="DFN235" s="15"/>
      <c r="DFO235" s="15"/>
      <c r="DFP235" s="15"/>
      <c r="DFQ235" s="15"/>
      <c r="DFR235" s="15"/>
      <c r="DFS235" s="15"/>
      <c r="DFT235" s="15"/>
      <c r="DFU235" s="15"/>
      <c r="DFV235" s="15"/>
      <c r="DFW235" s="15"/>
      <c r="DFX235" s="10"/>
      <c r="DFY235" s="10"/>
      <c r="DFZ235" s="21"/>
      <c r="DGA235" s="21"/>
      <c r="DGD235" s="21"/>
      <c r="DGE235" s="15"/>
      <c r="DGF235" s="15"/>
      <c r="DGG235" s="15"/>
      <c r="DGH235" s="15"/>
      <c r="DGI235" s="15"/>
      <c r="DGJ235" s="15"/>
      <c r="DGK235" s="15"/>
      <c r="DGL235" s="15"/>
      <c r="DGM235" s="15"/>
      <c r="DGN235" s="15"/>
      <c r="DGO235" s="10"/>
      <c r="DGP235" s="10"/>
      <c r="DGQ235" s="21"/>
      <c r="DGR235" s="21"/>
      <c r="DGU235" s="21"/>
      <c r="DGV235" s="15"/>
      <c r="DGW235" s="15"/>
      <c r="DGX235" s="15"/>
      <c r="DGY235" s="15"/>
      <c r="DGZ235" s="15"/>
      <c r="DHA235" s="15"/>
      <c r="DHB235" s="15"/>
      <c r="DHC235" s="15"/>
      <c r="DHD235" s="15"/>
      <c r="DHE235" s="15"/>
      <c r="DHF235" s="10"/>
      <c r="DHG235" s="10"/>
      <c r="DHH235" s="21"/>
      <c r="DHI235" s="21"/>
      <c r="DHL235" s="21"/>
      <c r="DHM235" s="15"/>
      <c r="DHN235" s="15"/>
      <c r="DHO235" s="15"/>
      <c r="DHP235" s="15"/>
      <c r="DHQ235" s="15"/>
      <c r="DHR235" s="15"/>
      <c r="DHS235" s="15"/>
      <c r="DHT235" s="15"/>
      <c r="DHU235" s="15"/>
      <c r="DHV235" s="15"/>
      <c r="DHW235" s="10"/>
      <c r="DHX235" s="10"/>
      <c r="DHY235" s="21"/>
      <c r="DHZ235" s="21"/>
      <c r="DIC235" s="21"/>
      <c r="DID235" s="15"/>
      <c r="DIE235" s="15"/>
      <c r="DIF235" s="15"/>
      <c r="DIG235" s="15"/>
      <c r="DIH235" s="15"/>
      <c r="DII235" s="15"/>
      <c r="DIJ235" s="15"/>
      <c r="DIK235" s="15"/>
      <c r="DIL235" s="15"/>
      <c r="DIM235" s="15"/>
      <c r="DIN235" s="10"/>
      <c r="DIO235" s="10"/>
      <c r="DIP235" s="21"/>
      <c r="DIQ235" s="21"/>
      <c r="DIT235" s="21"/>
      <c r="DIU235" s="15"/>
      <c r="DIV235" s="15"/>
      <c r="DIW235" s="15"/>
      <c r="DIX235" s="15"/>
      <c r="DIY235" s="15"/>
      <c r="DIZ235" s="15"/>
      <c r="DJA235" s="15"/>
      <c r="DJB235" s="15"/>
      <c r="DJC235" s="15"/>
      <c r="DJD235" s="15"/>
      <c r="DJE235" s="10"/>
      <c r="DJF235" s="10"/>
      <c r="DJG235" s="21"/>
      <c r="DJH235" s="21"/>
      <c r="DJK235" s="21"/>
      <c r="DJL235" s="15"/>
      <c r="DJM235" s="15"/>
      <c r="DJN235" s="15"/>
      <c r="DJO235" s="15"/>
      <c r="DJP235" s="15"/>
      <c r="DJQ235" s="15"/>
      <c r="DJR235" s="15"/>
      <c r="DJS235" s="15"/>
      <c r="DJT235" s="15"/>
      <c r="DJU235" s="15"/>
      <c r="DJV235" s="10"/>
      <c r="DJW235" s="10"/>
      <c r="DJX235" s="21"/>
      <c r="DJY235" s="21"/>
      <c r="DKB235" s="21"/>
      <c r="DKC235" s="15"/>
      <c r="DKD235" s="15"/>
      <c r="DKE235" s="15"/>
      <c r="DKF235" s="15"/>
      <c r="DKG235" s="15"/>
      <c r="DKH235" s="15"/>
      <c r="DKI235" s="15"/>
      <c r="DKJ235" s="15"/>
      <c r="DKK235" s="15"/>
      <c r="DKL235" s="15"/>
      <c r="DKM235" s="10"/>
      <c r="DKN235" s="10"/>
      <c r="DKO235" s="21"/>
      <c r="DKP235" s="21"/>
      <c r="DKS235" s="21"/>
      <c r="DKT235" s="15"/>
      <c r="DKU235" s="15"/>
      <c r="DKV235" s="15"/>
      <c r="DKW235" s="15"/>
      <c r="DKX235" s="15"/>
      <c r="DKY235" s="15"/>
      <c r="DKZ235" s="15"/>
      <c r="DLA235" s="15"/>
      <c r="DLB235" s="15"/>
      <c r="DLC235" s="15"/>
      <c r="DLD235" s="10"/>
      <c r="DLE235" s="10"/>
      <c r="DLF235" s="21"/>
      <c r="DLG235" s="21"/>
      <c r="DLJ235" s="21"/>
      <c r="DLK235" s="15"/>
      <c r="DLL235" s="15"/>
      <c r="DLM235" s="15"/>
      <c r="DLN235" s="15"/>
      <c r="DLO235" s="15"/>
      <c r="DLP235" s="15"/>
      <c r="DLQ235" s="15"/>
      <c r="DLR235" s="15"/>
      <c r="DLS235" s="15"/>
      <c r="DLT235" s="15"/>
      <c r="DLU235" s="10"/>
      <c r="DLV235" s="10"/>
      <c r="DLW235" s="21"/>
      <c r="DLX235" s="21"/>
      <c r="DMA235" s="21"/>
      <c r="DMB235" s="15"/>
      <c r="DMC235" s="15"/>
      <c r="DMD235" s="15"/>
      <c r="DME235" s="15"/>
      <c r="DMF235" s="15"/>
      <c r="DMG235" s="15"/>
      <c r="DMH235" s="15"/>
      <c r="DMI235" s="15"/>
      <c r="DMJ235" s="15"/>
      <c r="DMK235" s="15"/>
      <c r="DML235" s="10"/>
      <c r="DMM235" s="10"/>
      <c r="DMN235" s="21"/>
      <c r="DMO235" s="21"/>
      <c r="DMR235" s="21"/>
      <c r="DMS235" s="15"/>
      <c r="DMT235" s="15"/>
      <c r="DMU235" s="15"/>
      <c r="DMV235" s="15"/>
      <c r="DMW235" s="15"/>
      <c r="DMX235" s="15"/>
      <c r="DMY235" s="15"/>
      <c r="DMZ235" s="15"/>
      <c r="DNA235" s="15"/>
      <c r="DNB235" s="15"/>
      <c r="DNC235" s="10"/>
      <c r="DND235" s="10"/>
      <c r="DNE235" s="21"/>
      <c r="DNF235" s="21"/>
      <c r="DNI235" s="21"/>
      <c r="DNJ235" s="15"/>
      <c r="DNK235" s="15"/>
      <c r="DNL235" s="15"/>
      <c r="DNM235" s="15"/>
      <c r="DNN235" s="15"/>
      <c r="DNO235" s="15"/>
      <c r="DNP235" s="15"/>
      <c r="DNQ235" s="15"/>
      <c r="DNR235" s="15"/>
      <c r="DNS235" s="15"/>
      <c r="DNT235" s="10"/>
      <c r="DNU235" s="10"/>
      <c r="DNV235" s="21"/>
      <c r="DNW235" s="21"/>
      <c r="DNZ235" s="21"/>
      <c r="DOA235" s="15"/>
      <c r="DOB235" s="15"/>
      <c r="DOC235" s="15"/>
      <c r="DOD235" s="15"/>
      <c r="DOE235" s="15"/>
      <c r="DOF235" s="15"/>
      <c r="DOG235" s="15"/>
      <c r="DOH235" s="15"/>
      <c r="DOI235" s="15"/>
      <c r="DOJ235" s="15"/>
      <c r="DOK235" s="10"/>
      <c r="DOL235" s="10"/>
      <c r="DOM235" s="21"/>
      <c r="DON235" s="21"/>
      <c r="DOQ235" s="21"/>
      <c r="DOR235" s="15"/>
      <c r="DOS235" s="15"/>
      <c r="DOT235" s="15"/>
      <c r="DOU235" s="15"/>
      <c r="DOV235" s="15"/>
      <c r="DOW235" s="15"/>
      <c r="DOX235" s="15"/>
      <c r="DOY235" s="15"/>
      <c r="DOZ235" s="15"/>
      <c r="DPA235" s="15"/>
      <c r="DPB235" s="10"/>
      <c r="DPC235" s="10"/>
      <c r="DPD235" s="21"/>
      <c r="DPE235" s="21"/>
      <c r="DPH235" s="21"/>
      <c r="DPI235" s="15"/>
      <c r="DPJ235" s="15"/>
      <c r="DPK235" s="15"/>
      <c r="DPL235" s="15"/>
      <c r="DPM235" s="15"/>
      <c r="DPN235" s="15"/>
      <c r="DPO235" s="15"/>
      <c r="DPP235" s="15"/>
      <c r="DPQ235" s="15"/>
      <c r="DPR235" s="15"/>
      <c r="DPS235" s="10"/>
      <c r="DPT235" s="10"/>
      <c r="DPU235" s="21"/>
      <c r="DPV235" s="21"/>
      <c r="DPY235" s="21"/>
      <c r="DPZ235" s="15"/>
      <c r="DQA235" s="15"/>
      <c r="DQB235" s="15"/>
      <c r="DQC235" s="15"/>
      <c r="DQD235" s="15"/>
      <c r="DQE235" s="15"/>
      <c r="DQF235" s="15"/>
      <c r="DQG235" s="15"/>
      <c r="DQH235" s="15"/>
      <c r="DQI235" s="15"/>
      <c r="DQJ235" s="10"/>
      <c r="DQK235" s="10"/>
      <c r="DQL235" s="21"/>
      <c r="DQM235" s="21"/>
      <c r="DQP235" s="21"/>
      <c r="DQQ235" s="15"/>
      <c r="DQR235" s="15"/>
      <c r="DQS235" s="15"/>
      <c r="DQT235" s="15"/>
      <c r="DQU235" s="15"/>
      <c r="DQV235" s="15"/>
      <c r="DQW235" s="15"/>
      <c r="DQX235" s="15"/>
      <c r="DQY235" s="15"/>
      <c r="DQZ235" s="15"/>
      <c r="DRA235" s="10"/>
      <c r="DRB235" s="10"/>
      <c r="DRC235" s="21"/>
      <c r="DRD235" s="21"/>
      <c r="DRG235" s="21"/>
      <c r="DRH235" s="15"/>
      <c r="DRI235" s="15"/>
      <c r="DRJ235" s="15"/>
      <c r="DRK235" s="15"/>
      <c r="DRL235" s="15"/>
      <c r="DRM235" s="15"/>
      <c r="DRN235" s="15"/>
      <c r="DRO235" s="15"/>
      <c r="DRP235" s="15"/>
      <c r="DRQ235" s="15"/>
      <c r="DRR235" s="10"/>
      <c r="DRS235" s="10"/>
      <c r="DRT235" s="21"/>
      <c r="DRU235" s="21"/>
      <c r="DRX235" s="21"/>
      <c r="DRY235" s="15"/>
      <c r="DRZ235" s="15"/>
      <c r="DSA235" s="15"/>
      <c r="DSB235" s="15"/>
      <c r="DSC235" s="15"/>
      <c r="DSD235" s="15"/>
      <c r="DSE235" s="15"/>
      <c r="DSF235" s="15"/>
      <c r="DSG235" s="15"/>
      <c r="DSH235" s="15"/>
      <c r="DSI235" s="10"/>
      <c r="DSJ235" s="10"/>
      <c r="DSK235" s="21"/>
      <c r="DSL235" s="21"/>
      <c r="DSO235" s="21"/>
      <c r="DSP235" s="15"/>
      <c r="DSQ235" s="15"/>
      <c r="DSR235" s="15"/>
      <c r="DSS235" s="15"/>
      <c r="DST235" s="15"/>
      <c r="DSU235" s="15"/>
      <c r="DSV235" s="15"/>
      <c r="DSW235" s="15"/>
      <c r="DSX235" s="15"/>
      <c r="DSY235" s="15"/>
      <c r="DSZ235" s="10"/>
      <c r="DTA235" s="10"/>
      <c r="DTB235" s="21"/>
      <c r="DTC235" s="21"/>
      <c r="DTF235" s="21"/>
      <c r="DTG235" s="15"/>
      <c r="DTH235" s="15"/>
      <c r="DTI235" s="15"/>
      <c r="DTJ235" s="15"/>
      <c r="DTK235" s="15"/>
      <c r="DTL235" s="15"/>
      <c r="DTM235" s="15"/>
      <c r="DTN235" s="15"/>
      <c r="DTO235" s="15"/>
      <c r="DTP235" s="15"/>
      <c r="DTQ235" s="10"/>
      <c r="DTR235" s="10"/>
      <c r="DTS235" s="21"/>
      <c r="DTT235" s="21"/>
      <c r="DTW235" s="21"/>
      <c r="DTX235" s="15"/>
      <c r="DTY235" s="15"/>
      <c r="DTZ235" s="15"/>
      <c r="DUA235" s="15"/>
      <c r="DUB235" s="15"/>
      <c r="DUC235" s="15"/>
      <c r="DUD235" s="15"/>
      <c r="DUE235" s="15"/>
      <c r="DUF235" s="15"/>
      <c r="DUG235" s="15"/>
      <c r="DUH235" s="10"/>
      <c r="DUI235" s="10"/>
      <c r="DUJ235" s="21"/>
      <c r="DUK235" s="21"/>
      <c r="DUN235" s="21"/>
      <c r="DUO235" s="15"/>
      <c r="DUP235" s="15"/>
      <c r="DUQ235" s="15"/>
      <c r="DUR235" s="15"/>
      <c r="DUS235" s="15"/>
      <c r="DUT235" s="15"/>
      <c r="DUU235" s="15"/>
      <c r="DUV235" s="15"/>
      <c r="DUW235" s="15"/>
      <c r="DUX235" s="15"/>
      <c r="DUY235" s="10"/>
      <c r="DUZ235" s="10"/>
      <c r="DVA235" s="21"/>
      <c r="DVB235" s="21"/>
      <c r="DVE235" s="21"/>
      <c r="DVF235" s="15"/>
      <c r="DVG235" s="15"/>
      <c r="DVH235" s="15"/>
      <c r="DVI235" s="15"/>
      <c r="DVJ235" s="15"/>
      <c r="DVK235" s="15"/>
      <c r="DVL235" s="15"/>
      <c r="DVM235" s="15"/>
      <c r="DVN235" s="15"/>
      <c r="DVO235" s="15"/>
      <c r="DVP235" s="10"/>
      <c r="DVQ235" s="10"/>
      <c r="DVR235" s="21"/>
      <c r="DVS235" s="21"/>
      <c r="DVV235" s="21"/>
      <c r="DVW235" s="15"/>
      <c r="DVX235" s="15"/>
      <c r="DVY235" s="15"/>
      <c r="DVZ235" s="15"/>
      <c r="DWA235" s="15"/>
      <c r="DWB235" s="15"/>
      <c r="DWC235" s="15"/>
      <c r="DWD235" s="15"/>
      <c r="DWE235" s="15"/>
      <c r="DWF235" s="15"/>
      <c r="DWG235" s="10"/>
      <c r="DWH235" s="10"/>
      <c r="DWI235" s="21"/>
      <c r="DWJ235" s="21"/>
      <c r="DWM235" s="21"/>
      <c r="DWN235" s="15"/>
      <c r="DWO235" s="15"/>
      <c r="DWP235" s="15"/>
      <c r="DWQ235" s="15"/>
      <c r="DWR235" s="15"/>
      <c r="DWS235" s="15"/>
      <c r="DWT235" s="15"/>
      <c r="DWU235" s="15"/>
      <c r="DWV235" s="15"/>
      <c r="DWW235" s="15"/>
      <c r="DWX235" s="10"/>
      <c r="DWY235" s="10"/>
      <c r="DWZ235" s="21"/>
      <c r="DXA235" s="21"/>
      <c r="DXD235" s="21"/>
      <c r="DXE235" s="15"/>
      <c r="DXF235" s="15"/>
      <c r="DXG235" s="15"/>
      <c r="DXH235" s="15"/>
      <c r="DXI235" s="15"/>
      <c r="DXJ235" s="15"/>
      <c r="DXK235" s="15"/>
      <c r="DXL235" s="15"/>
      <c r="DXM235" s="15"/>
      <c r="DXN235" s="15"/>
      <c r="DXO235" s="10"/>
      <c r="DXP235" s="10"/>
      <c r="DXQ235" s="21"/>
      <c r="DXR235" s="21"/>
      <c r="DXU235" s="21"/>
      <c r="DXV235" s="15"/>
      <c r="DXW235" s="15"/>
      <c r="DXX235" s="15"/>
      <c r="DXY235" s="15"/>
      <c r="DXZ235" s="15"/>
      <c r="DYA235" s="15"/>
      <c r="DYB235" s="15"/>
      <c r="DYC235" s="15"/>
      <c r="DYD235" s="15"/>
      <c r="DYE235" s="15"/>
      <c r="DYF235" s="10"/>
      <c r="DYG235" s="10"/>
      <c r="DYH235" s="21"/>
      <c r="DYI235" s="21"/>
      <c r="DYL235" s="21"/>
      <c r="DYM235" s="15"/>
      <c r="DYN235" s="15"/>
      <c r="DYO235" s="15"/>
      <c r="DYP235" s="15"/>
      <c r="DYQ235" s="15"/>
      <c r="DYR235" s="15"/>
      <c r="DYS235" s="15"/>
      <c r="DYT235" s="15"/>
      <c r="DYU235" s="15"/>
      <c r="DYV235" s="15"/>
      <c r="DYW235" s="10"/>
      <c r="DYX235" s="10"/>
      <c r="DYY235" s="21"/>
      <c r="DYZ235" s="21"/>
      <c r="DZC235" s="21"/>
      <c r="DZD235" s="15"/>
      <c r="DZE235" s="15"/>
      <c r="DZF235" s="15"/>
      <c r="DZG235" s="15"/>
      <c r="DZH235" s="15"/>
      <c r="DZI235" s="15"/>
      <c r="DZJ235" s="15"/>
      <c r="DZK235" s="15"/>
      <c r="DZL235" s="15"/>
      <c r="DZM235" s="15"/>
      <c r="DZN235" s="10"/>
      <c r="DZO235" s="10"/>
      <c r="DZP235" s="21"/>
      <c r="DZQ235" s="21"/>
      <c r="DZT235" s="21"/>
      <c r="DZU235" s="15"/>
      <c r="DZV235" s="15"/>
      <c r="DZW235" s="15"/>
      <c r="DZX235" s="15"/>
      <c r="DZY235" s="15"/>
      <c r="DZZ235" s="15"/>
      <c r="EAA235" s="15"/>
      <c r="EAB235" s="15"/>
      <c r="EAC235" s="15"/>
      <c r="EAD235" s="15"/>
      <c r="EAE235" s="10"/>
      <c r="EAF235" s="10"/>
      <c r="EAG235" s="21"/>
      <c r="EAH235" s="21"/>
      <c r="EAK235" s="21"/>
      <c r="EAL235" s="15"/>
      <c r="EAM235" s="15"/>
      <c r="EAN235" s="15"/>
      <c r="EAO235" s="15"/>
      <c r="EAP235" s="15"/>
      <c r="EAQ235" s="15"/>
      <c r="EAR235" s="15"/>
      <c r="EAS235" s="15"/>
      <c r="EAT235" s="15"/>
      <c r="EAU235" s="15"/>
      <c r="EAV235" s="10"/>
      <c r="EAW235" s="10"/>
      <c r="EAX235" s="21"/>
      <c r="EAY235" s="21"/>
      <c r="EBB235" s="21"/>
      <c r="EBC235" s="15"/>
      <c r="EBD235" s="15"/>
      <c r="EBE235" s="15"/>
      <c r="EBF235" s="15"/>
      <c r="EBG235" s="15"/>
      <c r="EBH235" s="15"/>
      <c r="EBI235" s="15"/>
      <c r="EBJ235" s="15"/>
      <c r="EBK235" s="15"/>
      <c r="EBL235" s="15"/>
      <c r="EBM235" s="10"/>
      <c r="EBN235" s="10"/>
      <c r="EBO235" s="21"/>
      <c r="EBP235" s="21"/>
      <c r="EBS235" s="21"/>
      <c r="EBT235" s="15"/>
      <c r="EBU235" s="15"/>
      <c r="EBV235" s="15"/>
      <c r="EBW235" s="15"/>
      <c r="EBX235" s="15"/>
      <c r="EBY235" s="15"/>
      <c r="EBZ235" s="15"/>
      <c r="ECA235" s="15"/>
      <c r="ECB235" s="15"/>
      <c r="ECC235" s="15"/>
      <c r="ECD235" s="10"/>
      <c r="ECE235" s="10"/>
      <c r="ECF235" s="21"/>
      <c r="ECG235" s="21"/>
      <c r="ECJ235" s="21"/>
      <c r="ECK235" s="15"/>
      <c r="ECL235" s="15"/>
      <c r="ECM235" s="15"/>
      <c r="ECN235" s="15"/>
      <c r="ECO235" s="15"/>
      <c r="ECP235" s="15"/>
      <c r="ECQ235" s="15"/>
      <c r="ECR235" s="15"/>
      <c r="ECS235" s="15"/>
      <c r="ECT235" s="15"/>
      <c r="ECU235" s="10"/>
      <c r="ECV235" s="10"/>
      <c r="ECW235" s="21"/>
      <c r="ECX235" s="21"/>
      <c r="EDA235" s="21"/>
      <c r="EDB235" s="15"/>
      <c r="EDC235" s="15"/>
      <c r="EDD235" s="15"/>
      <c r="EDE235" s="15"/>
      <c r="EDF235" s="15"/>
      <c r="EDG235" s="15"/>
      <c r="EDH235" s="15"/>
      <c r="EDI235" s="15"/>
      <c r="EDJ235" s="15"/>
      <c r="EDK235" s="15"/>
      <c r="EDL235" s="10"/>
      <c r="EDM235" s="10"/>
      <c r="EDN235" s="21"/>
      <c r="EDO235" s="21"/>
      <c r="EDR235" s="21"/>
      <c r="EDS235" s="15"/>
      <c r="EDT235" s="15"/>
      <c r="EDU235" s="15"/>
      <c r="EDV235" s="15"/>
      <c r="EDW235" s="15"/>
      <c r="EDX235" s="15"/>
      <c r="EDY235" s="15"/>
      <c r="EDZ235" s="15"/>
      <c r="EEA235" s="15"/>
      <c r="EEB235" s="15"/>
      <c r="EEC235" s="10"/>
      <c r="EED235" s="10"/>
      <c r="EEE235" s="21"/>
      <c r="EEF235" s="21"/>
      <c r="EEI235" s="21"/>
      <c r="EEJ235" s="15"/>
      <c r="EEK235" s="15"/>
      <c r="EEL235" s="15"/>
      <c r="EEM235" s="15"/>
      <c r="EEN235" s="15"/>
      <c r="EEO235" s="15"/>
      <c r="EEP235" s="15"/>
      <c r="EEQ235" s="15"/>
      <c r="EER235" s="15"/>
      <c r="EES235" s="15"/>
      <c r="EET235" s="10"/>
      <c r="EEU235" s="10"/>
      <c r="EEV235" s="21"/>
      <c r="EEW235" s="21"/>
      <c r="EEZ235" s="21"/>
      <c r="EFA235" s="15"/>
      <c r="EFB235" s="15"/>
      <c r="EFC235" s="15"/>
      <c r="EFD235" s="15"/>
      <c r="EFE235" s="15"/>
      <c r="EFF235" s="15"/>
      <c r="EFG235" s="15"/>
      <c r="EFH235" s="15"/>
      <c r="EFI235" s="15"/>
      <c r="EFJ235" s="15"/>
      <c r="EFK235" s="10"/>
      <c r="EFL235" s="10"/>
      <c r="EFM235" s="21"/>
      <c r="EFN235" s="21"/>
      <c r="EFQ235" s="21"/>
      <c r="EFR235" s="15"/>
      <c r="EFS235" s="15"/>
      <c r="EFT235" s="15"/>
      <c r="EFU235" s="15"/>
      <c r="EFV235" s="15"/>
      <c r="EFW235" s="15"/>
      <c r="EFX235" s="15"/>
      <c r="EFY235" s="15"/>
      <c r="EFZ235" s="15"/>
      <c r="EGA235" s="15"/>
      <c r="EGB235" s="10"/>
      <c r="EGC235" s="10"/>
      <c r="EGD235" s="21"/>
      <c r="EGE235" s="21"/>
      <c r="EGH235" s="21"/>
      <c r="EGI235" s="15"/>
      <c r="EGJ235" s="15"/>
      <c r="EGK235" s="15"/>
      <c r="EGL235" s="15"/>
      <c r="EGM235" s="15"/>
      <c r="EGN235" s="15"/>
      <c r="EGO235" s="15"/>
      <c r="EGP235" s="15"/>
      <c r="EGQ235" s="15"/>
      <c r="EGR235" s="15"/>
      <c r="EGS235" s="10"/>
      <c r="EGT235" s="10"/>
      <c r="EGU235" s="21"/>
      <c r="EGV235" s="21"/>
      <c r="EGY235" s="21"/>
      <c r="EGZ235" s="15"/>
      <c r="EHA235" s="15"/>
      <c r="EHB235" s="15"/>
      <c r="EHC235" s="15"/>
      <c r="EHD235" s="15"/>
      <c r="EHE235" s="15"/>
      <c r="EHF235" s="15"/>
      <c r="EHG235" s="15"/>
      <c r="EHH235" s="15"/>
      <c r="EHI235" s="15"/>
      <c r="EHJ235" s="10"/>
      <c r="EHK235" s="10"/>
      <c r="EHL235" s="21"/>
      <c r="EHM235" s="21"/>
      <c r="EHP235" s="21"/>
      <c r="EHQ235" s="15"/>
      <c r="EHR235" s="15"/>
      <c r="EHS235" s="15"/>
      <c r="EHT235" s="15"/>
      <c r="EHU235" s="15"/>
      <c r="EHV235" s="15"/>
      <c r="EHW235" s="15"/>
      <c r="EHX235" s="15"/>
      <c r="EHY235" s="15"/>
      <c r="EHZ235" s="15"/>
      <c r="EIA235" s="10"/>
      <c r="EIB235" s="10"/>
      <c r="EIC235" s="21"/>
      <c r="EID235" s="21"/>
      <c r="EIG235" s="21"/>
      <c r="EIH235" s="15"/>
      <c r="EII235" s="15"/>
      <c r="EIJ235" s="15"/>
      <c r="EIK235" s="15"/>
      <c r="EIL235" s="15"/>
      <c r="EIM235" s="15"/>
      <c r="EIN235" s="15"/>
      <c r="EIO235" s="15"/>
      <c r="EIP235" s="15"/>
      <c r="EIQ235" s="15"/>
      <c r="EIR235" s="10"/>
      <c r="EIS235" s="10"/>
      <c r="EIT235" s="21"/>
      <c r="EIU235" s="21"/>
      <c r="EIX235" s="21"/>
      <c r="EIY235" s="15"/>
      <c r="EIZ235" s="15"/>
      <c r="EJA235" s="15"/>
      <c r="EJB235" s="15"/>
      <c r="EJC235" s="15"/>
      <c r="EJD235" s="15"/>
      <c r="EJE235" s="15"/>
      <c r="EJF235" s="15"/>
      <c r="EJG235" s="15"/>
      <c r="EJH235" s="15"/>
      <c r="EJI235" s="10"/>
      <c r="EJJ235" s="10"/>
      <c r="EJK235" s="21"/>
      <c r="EJL235" s="21"/>
      <c r="EJO235" s="21"/>
      <c r="EJP235" s="15"/>
      <c r="EJQ235" s="15"/>
      <c r="EJR235" s="15"/>
      <c r="EJS235" s="15"/>
      <c r="EJT235" s="15"/>
      <c r="EJU235" s="15"/>
      <c r="EJV235" s="15"/>
      <c r="EJW235" s="15"/>
      <c r="EJX235" s="15"/>
      <c r="EJY235" s="15"/>
      <c r="EJZ235" s="10"/>
      <c r="EKA235" s="10"/>
      <c r="EKB235" s="21"/>
      <c r="EKC235" s="21"/>
      <c r="EKF235" s="21"/>
      <c r="EKG235" s="15"/>
      <c r="EKH235" s="15"/>
      <c r="EKI235" s="15"/>
      <c r="EKJ235" s="15"/>
      <c r="EKK235" s="15"/>
      <c r="EKL235" s="15"/>
      <c r="EKM235" s="15"/>
      <c r="EKN235" s="15"/>
      <c r="EKO235" s="15"/>
      <c r="EKP235" s="15"/>
      <c r="EKQ235" s="10"/>
      <c r="EKR235" s="10"/>
      <c r="EKS235" s="21"/>
      <c r="EKT235" s="21"/>
      <c r="EKW235" s="21"/>
      <c r="EKX235" s="15"/>
      <c r="EKY235" s="15"/>
      <c r="EKZ235" s="15"/>
      <c r="ELA235" s="15"/>
      <c r="ELB235" s="15"/>
      <c r="ELC235" s="15"/>
      <c r="ELD235" s="15"/>
      <c r="ELE235" s="15"/>
      <c r="ELF235" s="15"/>
      <c r="ELG235" s="15"/>
      <c r="ELH235" s="10"/>
      <c r="ELI235" s="10"/>
      <c r="ELJ235" s="21"/>
      <c r="ELK235" s="21"/>
      <c r="ELN235" s="21"/>
      <c r="ELO235" s="15"/>
      <c r="ELP235" s="15"/>
      <c r="ELQ235" s="15"/>
      <c r="ELR235" s="15"/>
      <c r="ELS235" s="15"/>
      <c r="ELT235" s="15"/>
      <c r="ELU235" s="15"/>
      <c r="ELV235" s="15"/>
      <c r="ELW235" s="15"/>
      <c r="ELX235" s="15"/>
      <c r="ELY235" s="10"/>
      <c r="ELZ235" s="10"/>
      <c r="EMA235" s="21"/>
      <c r="EMB235" s="21"/>
      <c r="EME235" s="21"/>
      <c r="EMF235" s="15"/>
      <c r="EMG235" s="15"/>
      <c r="EMH235" s="15"/>
      <c r="EMI235" s="15"/>
      <c r="EMJ235" s="15"/>
      <c r="EMK235" s="15"/>
      <c r="EML235" s="15"/>
      <c r="EMM235" s="15"/>
      <c r="EMN235" s="15"/>
      <c r="EMO235" s="15"/>
      <c r="EMP235" s="10"/>
      <c r="EMQ235" s="10"/>
      <c r="EMR235" s="21"/>
      <c r="EMS235" s="21"/>
      <c r="EMV235" s="21"/>
      <c r="EMW235" s="15"/>
      <c r="EMX235" s="15"/>
      <c r="EMY235" s="15"/>
      <c r="EMZ235" s="15"/>
      <c r="ENA235" s="15"/>
      <c r="ENB235" s="15"/>
      <c r="ENC235" s="15"/>
      <c r="END235" s="15"/>
      <c r="ENE235" s="15"/>
      <c r="ENF235" s="15"/>
      <c r="ENG235" s="10"/>
      <c r="ENH235" s="10"/>
      <c r="ENI235" s="21"/>
      <c r="ENJ235" s="21"/>
      <c r="ENM235" s="21"/>
      <c r="ENN235" s="15"/>
      <c r="ENO235" s="15"/>
      <c r="ENP235" s="15"/>
      <c r="ENQ235" s="15"/>
      <c r="ENR235" s="15"/>
      <c r="ENS235" s="15"/>
      <c r="ENT235" s="15"/>
      <c r="ENU235" s="15"/>
      <c r="ENV235" s="15"/>
      <c r="ENW235" s="15"/>
      <c r="ENX235" s="10"/>
      <c r="ENY235" s="10"/>
      <c r="ENZ235" s="21"/>
      <c r="EOA235" s="21"/>
      <c r="EOD235" s="21"/>
      <c r="EOE235" s="15"/>
      <c r="EOF235" s="15"/>
      <c r="EOG235" s="15"/>
      <c r="EOH235" s="15"/>
      <c r="EOI235" s="15"/>
      <c r="EOJ235" s="15"/>
      <c r="EOK235" s="15"/>
      <c r="EOL235" s="15"/>
      <c r="EOM235" s="15"/>
      <c r="EON235" s="15"/>
      <c r="EOO235" s="10"/>
      <c r="EOP235" s="10"/>
      <c r="EOQ235" s="21"/>
      <c r="EOR235" s="21"/>
      <c r="EOU235" s="21"/>
      <c r="EOV235" s="15"/>
      <c r="EOW235" s="15"/>
      <c r="EOX235" s="15"/>
      <c r="EOY235" s="15"/>
      <c r="EOZ235" s="15"/>
      <c r="EPA235" s="15"/>
      <c r="EPB235" s="15"/>
      <c r="EPC235" s="15"/>
      <c r="EPD235" s="15"/>
      <c r="EPE235" s="15"/>
      <c r="EPF235" s="10"/>
      <c r="EPG235" s="10"/>
      <c r="EPH235" s="21"/>
      <c r="EPI235" s="21"/>
      <c r="EPL235" s="21"/>
      <c r="EPM235" s="15"/>
      <c r="EPN235" s="15"/>
      <c r="EPO235" s="15"/>
      <c r="EPP235" s="15"/>
      <c r="EPQ235" s="15"/>
      <c r="EPR235" s="15"/>
      <c r="EPS235" s="15"/>
      <c r="EPT235" s="15"/>
      <c r="EPU235" s="15"/>
      <c r="EPV235" s="15"/>
      <c r="EPW235" s="10"/>
      <c r="EPX235" s="10"/>
      <c r="EPY235" s="21"/>
      <c r="EPZ235" s="21"/>
      <c r="EQC235" s="21"/>
      <c r="EQD235" s="15"/>
      <c r="EQE235" s="15"/>
      <c r="EQF235" s="15"/>
      <c r="EQG235" s="15"/>
      <c r="EQH235" s="15"/>
      <c r="EQI235" s="15"/>
      <c r="EQJ235" s="15"/>
      <c r="EQK235" s="15"/>
      <c r="EQL235" s="15"/>
      <c r="EQM235" s="15"/>
      <c r="EQN235" s="10"/>
      <c r="EQO235" s="10"/>
      <c r="EQP235" s="21"/>
      <c r="EQQ235" s="21"/>
      <c r="EQT235" s="21"/>
      <c r="EQU235" s="15"/>
      <c r="EQV235" s="15"/>
      <c r="EQW235" s="15"/>
      <c r="EQX235" s="15"/>
      <c r="EQY235" s="15"/>
      <c r="EQZ235" s="15"/>
      <c r="ERA235" s="15"/>
      <c r="ERB235" s="15"/>
      <c r="ERC235" s="15"/>
      <c r="ERD235" s="15"/>
      <c r="ERE235" s="10"/>
      <c r="ERF235" s="10"/>
      <c r="ERG235" s="21"/>
      <c r="ERH235" s="21"/>
      <c r="ERK235" s="21"/>
      <c r="ERL235" s="15"/>
      <c r="ERM235" s="15"/>
      <c r="ERN235" s="15"/>
      <c r="ERO235" s="15"/>
      <c r="ERP235" s="15"/>
      <c r="ERQ235" s="15"/>
      <c r="ERR235" s="15"/>
      <c r="ERS235" s="15"/>
      <c r="ERT235" s="15"/>
      <c r="ERU235" s="15"/>
      <c r="ERV235" s="10"/>
      <c r="ERW235" s="10"/>
      <c r="ERX235" s="21"/>
      <c r="ERY235" s="21"/>
      <c r="ESB235" s="21"/>
      <c r="ESC235" s="15"/>
      <c r="ESD235" s="15"/>
      <c r="ESE235" s="15"/>
      <c r="ESF235" s="15"/>
      <c r="ESG235" s="15"/>
      <c r="ESH235" s="15"/>
      <c r="ESI235" s="15"/>
      <c r="ESJ235" s="15"/>
      <c r="ESK235" s="15"/>
      <c r="ESL235" s="15"/>
      <c r="ESM235" s="10"/>
      <c r="ESN235" s="10"/>
      <c r="ESO235" s="21"/>
      <c r="ESP235" s="21"/>
      <c r="ESS235" s="21"/>
      <c r="EST235" s="15"/>
      <c r="ESU235" s="15"/>
      <c r="ESV235" s="15"/>
      <c r="ESW235" s="15"/>
      <c r="ESX235" s="15"/>
      <c r="ESY235" s="15"/>
      <c r="ESZ235" s="15"/>
      <c r="ETA235" s="15"/>
      <c r="ETB235" s="15"/>
      <c r="ETC235" s="15"/>
      <c r="ETD235" s="10"/>
      <c r="ETE235" s="10"/>
      <c r="ETF235" s="21"/>
      <c r="ETG235" s="21"/>
      <c r="ETJ235" s="21"/>
      <c r="ETK235" s="15"/>
      <c r="ETL235" s="15"/>
      <c r="ETM235" s="15"/>
      <c r="ETN235" s="15"/>
      <c r="ETO235" s="15"/>
      <c r="ETP235" s="15"/>
      <c r="ETQ235" s="15"/>
      <c r="ETR235" s="15"/>
      <c r="ETS235" s="15"/>
      <c r="ETT235" s="15"/>
      <c r="ETU235" s="10"/>
      <c r="ETV235" s="10"/>
      <c r="ETW235" s="21"/>
      <c r="ETX235" s="21"/>
      <c r="EUA235" s="21"/>
      <c r="EUB235" s="15"/>
      <c r="EUC235" s="15"/>
      <c r="EUD235" s="15"/>
      <c r="EUE235" s="15"/>
      <c r="EUF235" s="15"/>
      <c r="EUG235" s="15"/>
      <c r="EUH235" s="15"/>
      <c r="EUI235" s="15"/>
      <c r="EUJ235" s="15"/>
      <c r="EUK235" s="15"/>
      <c r="EUL235" s="10"/>
      <c r="EUM235" s="10"/>
      <c r="EUN235" s="21"/>
      <c r="EUO235" s="21"/>
      <c r="EUR235" s="21"/>
      <c r="EUS235" s="15"/>
      <c r="EUT235" s="15"/>
      <c r="EUU235" s="15"/>
      <c r="EUV235" s="15"/>
      <c r="EUW235" s="15"/>
      <c r="EUX235" s="15"/>
      <c r="EUY235" s="15"/>
      <c r="EUZ235" s="15"/>
      <c r="EVA235" s="15"/>
      <c r="EVB235" s="15"/>
      <c r="EVC235" s="10"/>
      <c r="EVD235" s="10"/>
      <c r="EVE235" s="21"/>
      <c r="EVF235" s="21"/>
      <c r="EVI235" s="21"/>
      <c r="EVJ235" s="15"/>
      <c r="EVK235" s="15"/>
      <c r="EVL235" s="15"/>
      <c r="EVM235" s="15"/>
      <c r="EVN235" s="15"/>
      <c r="EVO235" s="15"/>
      <c r="EVP235" s="15"/>
      <c r="EVQ235" s="15"/>
      <c r="EVR235" s="15"/>
      <c r="EVS235" s="15"/>
      <c r="EVT235" s="10"/>
      <c r="EVU235" s="10"/>
      <c r="EVV235" s="21"/>
      <c r="EVW235" s="21"/>
      <c r="EVZ235" s="21"/>
      <c r="EWA235" s="15"/>
      <c r="EWB235" s="15"/>
      <c r="EWC235" s="15"/>
      <c r="EWD235" s="15"/>
      <c r="EWE235" s="15"/>
      <c r="EWF235" s="15"/>
      <c r="EWG235" s="15"/>
      <c r="EWH235" s="15"/>
      <c r="EWI235" s="15"/>
      <c r="EWJ235" s="15"/>
      <c r="EWK235" s="10"/>
      <c r="EWL235" s="10"/>
      <c r="EWM235" s="21"/>
      <c r="EWN235" s="21"/>
      <c r="EWQ235" s="21"/>
      <c r="EWR235" s="15"/>
      <c r="EWS235" s="15"/>
      <c r="EWT235" s="15"/>
      <c r="EWU235" s="15"/>
      <c r="EWV235" s="15"/>
      <c r="EWW235" s="15"/>
      <c r="EWX235" s="15"/>
      <c r="EWY235" s="15"/>
      <c r="EWZ235" s="15"/>
      <c r="EXA235" s="15"/>
      <c r="EXB235" s="10"/>
      <c r="EXC235" s="10"/>
      <c r="EXD235" s="21"/>
      <c r="EXE235" s="21"/>
      <c r="EXH235" s="21"/>
      <c r="EXI235" s="15"/>
      <c r="EXJ235" s="15"/>
      <c r="EXK235" s="15"/>
      <c r="EXL235" s="15"/>
      <c r="EXM235" s="15"/>
      <c r="EXN235" s="15"/>
      <c r="EXO235" s="15"/>
      <c r="EXP235" s="15"/>
      <c r="EXQ235" s="15"/>
      <c r="EXR235" s="15"/>
      <c r="EXS235" s="10"/>
      <c r="EXT235" s="10"/>
      <c r="EXU235" s="21"/>
      <c r="EXV235" s="21"/>
      <c r="EXY235" s="21"/>
      <c r="EXZ235" s="15"/>
      <c r="EYA235" s="15"/>
      <c r="EYB235" s="15"/>
      <c r="EYC235" s="15"/>
      <c r="EYD235" s="15"/>
      <c r="EYE235" s="15"/>
      <c r="EYF235" s="15"/>
      <c r="EYG235" s="15"/>
      <c r="EYH235" s="15"/>
      <c r="EYI235" s="15"/>
      <c r="EYJ235" s="10"/>
      <c r="EYK235" s="10"/>
      <c r="EYL235" s="21"/>
      <c r="EYM235" s="21"/>
      <c r="EYP235" s="21"/>
      <c r="EYQ235" s="15"/>
      <c r="EYR235" s="15"/>
      <c r="EYS235" s="15"/>
      <c r="EYT235" s="15"/>
      <c r="EYU235" s="15"/>
      <c r="EYV235" s="15"/>
      <c r="EYW235" s="15"/>
      <c r="EYX235" s="15"/>
      <c r="EYY235" s="15"/>
      <c r="EYZ235" s="15"/>
      <c r="EZA235" s="10"/>
      <c r="EZB235" s="10"/>
      <c r="EZC235" s="21"/>
      <c r="EZD235" s="21"/>
      <c r="EZG235" s="21"/>
      <c r="EZH235" s="15"/>
      <c r="EZI235" s="15"/>
      <c r="EZJ235" s="15"/>
      <c r="EZK235" s="15"/>
      <c r="EZL235" s="15"/>
      <c r="EZM235" s="15"/>
      <c r="EZN235" s="15"/>
      <c r="EZO235" s="15"/>
      <c r="EZP235" s="15"/>
      <c r="EZQ235" s="15"/>
      <c r="EZR235" s="10"/>
      <c r="EZS235" s="10"/>
      <c r="EZT235" s="21"/>
      <c r="EZU235" s="21"/>
      <c r="EZX235" s="21"/>
      <c r="EZY235" s="15"/>
      <c r="EZZ235" s="15"/>
      <c r="FAA235" s="15"/>
      <c r="FAB235" s="15"/>
      <c r="FAC235" s="15"/>
      <c r="FAD235" s="15"/>
      <c r="FAE235" s="15"/>
      <c r="FAF235" s="15"/>
      <c r="FAG235" s="15"/>
      <c r="FAH235" s="15"/>
      <c r="FAI235" s="10"/>
      <c r="FAJ235" s="10"/>
      <c r="FAK235" s="21"/>
      <c r="FAL235" s="21"/>
      <c r="FAO235" s="21"/>
      <c r="FAP235" s="15"/>
      <c r="FAQ235" s="15"/>
      <c r="FAR235" s="15"/>
      <c r="FAS235" s="15"/>
      <c r="FAT235" s="15"/>
      <c r="FAU235" s="15"/>
      <c r="FAV235" s="15"/>
      <c r="FAW235" s="15"/>
      <c r="FAX235" s="15"/>
      <c r="FAY235" s="15"/>
      <c r="FAZ235" s="10"/>
      <c r="FBA235" s="10"/>
      <c r="FBB235" s="21"/>
      <c r="FBC235" s="21"/>
      <c r="FBF235" s="21"/>
      <c r="FBG235" s="15"/>
      <c r="FBH235" s="15"/>
      <c r="FBI235" s="15"/>
      <c r="FBJ235" s="15"/>
      <c r="FBK235" s="15"/>
      <c r="FBL235" s="15"/>
      <c r="FBM235" s="15"/>
      <c r="FBN235" s="15"/>
      <c r="FBO235" s="15"/>
      <c r="FBP235" s="15"/>
      <c r="FBQ235" s="10"/>
      <c r="FBR235" s="10"/>
      <c r="FBS235" s="21"/>
      <c r="FBT235" s="21"/>
      <c r="FBW235" s="21"/>
      <c r="FBX235" s="15"/>
      <c r="FBY235" s="15"/>
      <c r="FBZ235" s="15"/>
      <c r="FCA235" s="15"/>
      <c r="FCB235" s="15"/>
      <c r="FCC235" s="15"/>
      <c r="FCD235" s="15"/>
      <c r="FCE235" s="15"/>
      <c r="FCF235" s="15"/>
      <c r="FCG235" s="15"/>
      <c r="FCH235" s="10"/>
      <c r="FCI235" s="10"/>
      <c r="FCJ235" s="21"/>
      <c r="FCK235" s="21"/>
      <c r="FCN235" s="21"/>
      <c r="FCO235" s="15"/>
      <c r="FCP235" s="15"/>
      <c r="FCQ235" s="15"/>
      <c r="FCR235" s="15"/>
      <c r="FCS235" s="15"/>
      <c r="FCT235" s="15"/>
      <c r="FCU235" s="15"/>
      <c r="FCV235" s="15"/>
      <c r="FCW235" s="15"/>
      <c r="FCX235" s="15"/>
      <c r="FCY235" s="10"/>
      <c r="FCZ235" s="10"/>
      <c r="FDA235" s="21"/>
      <c r="FDB235" s="21"/>
      <c r="FDE235" s="21"/>
      <c r="FDF235" s="15"/>
      <c r="FDG235" s="15"/>
      <c r="FDH235" s="15"/>
      <c r="FDI235" s="15"/>
      <c r="FDJ235" s="15"/>
      <c r="FDK235" s="15"/>
      <c r="FDL235" s="15"/>
      <c r="FDM235" s="15"/>
      <c r="FDN235" s="15"/>
      <c r="FDO235" s="15"/>
      <c r="FDP235" s="10"/>
      <c r="FDQ235" s="10"/>
      <c r="FDR235" s="21"/>
      <c r="FDS235" s="21"/>
      <c r="FDV235" s="21"/>
      <c r="FDW235" s="15"/>
      <c r="FDX235" s="15"/>
      <c r="FDY235" s="15"/>
      <c r="FDZ235" s="15"/>
      <c r="FEA235" s="15"/>
      <c r="FEB235" s="15"/>
      <c r="FEC235" s="15"/>
      <c r="FED235" s="15"/>
      <c r="FEE235" s="15"/>
      <c r="FEF235" s="15"/>
      <c r="FEG235" s="10"/>
      <c r="FEH235" s="10"/>
      <c r="FEI235" s="21"/>
      <c r="FEJ235" s="21"/>
      <c r="FEM235" s="21"/>
      <c r="FEN235" s="15"/>
      <c r="FEO235" s="15"/>
      <c r="FEP235" s="15"/>
      <c r="FEQ235" s="15"/>
      <c r="FER235" s="15"/>
      <c r="FES235" s="15"/>
      <c r="FET235" s="15"/>
      <c r="FEU235" s="15"/>
      <c r="FEV235" s="15"/>
      <c r="FEW235" s="15"/>
      <c r="FEX235" s="10"/>
      <c r="FEY235" s="10"/>
      <c r="FEZ235" s="21"/>
      <c r="FFA235" s="21"/>
      <c r="FFD235" s="21"/>
      <c r="FFE235" s="15"/>
      <c r="FFF235" s="15"/>
      <c r="FFG235" s="15"/>
      <c r="FFH235" s="15"/>
      <c r="FFI235" s="15"/>
      <c r="FFJ235" s="15"/>
      <c r="FFK235" s="15"/>
      <c r="FFL235" s="15"/>
      <c r="FFM235" s="15"/>
      <c r="FFN235" s="15"/>
      <c r="FFO235" s="10"/>
      <c r="FFP235" s="10"/>
      <c r="FFQ235" s="21"/>
      <c r="FFR235" s="21"/>
      <c r="FFU235" s="21"/>
      <c r="FFV235" s="15"/>
      <c r="FFW235" s="15"/>
      <c r="FFX235" s="15"/>
      <c r="FFY235" s="15"/>
      <c r="FFZ235" s="15"/>
      <c r="FGA235" s="15"/>
      <c r="FGB235" s="15"/>
      <c r="FGC235" s="15"/>
      <c r="FGD235" s="15"/>
      <c r="FGE235" s="15"/>
      <c r="FGF235" s="10"/>
      <c r="FGG235" s="10"/>
      <c r="FGH235" s="21"/>
      <c r="FGI235" s="21"/>
      <c r="FGL235" s="21"/>
      <c r="FGM235" s="15"/>
      <c r="FGN235" s="15"/>
      <c r="FGO235" s="15"/>
      <c r="FGP235" s="15"/>
      <c r="FGQ235" s="15"/>
      <c r="FGR235" s="15"/>
      <c r="FGS235" s="15"/>
      <c r="FGT235" s="15"/>
      <c r="FGU235" s="15"/>
      <c r="FGV235" s="15"/>
      <c r="FGW235" s="10"/>
      <c r="FGX235" s="10"/>
      <c r="FGY235" s="21"/>
      <c r="FGZ235" s="21"/>
      <c r="FHC235" s="21"/>
      <c r="FHD235" s="15"/>
      <c r="FHE235" s="15"/>
      <c r="FHF235" s="15"/>
      <c r="FHG235" s="15"/>
      <c r="FHH235" s="15"/>
      <c r="FHI235" s="15"/>
      <c r="FHJ235" s="15"/>
      <c r="FHK235" s="15"/>
      <c r="FHL235" s="15"/>
      <c r="FHM235" s="15"/>
      <c r="FHN235" s="10"/>
      <c r="FHO235" s="10"/>
      <c r="FHP235" s="21"/>
      <c r="FHQ235" s="21"/>
      <c r="FHT235" s="21"/>
      <c r="FHU235" s="15"/>
      <c r="FHV235" s="15"/>
      <c r="FHW235" s="15"/>
      <c r="FHX235" s="15"/>
      <c r="FHY235" s="15"/>
      <c r="FHZ235" s="15"/>
      <c r="FIA235" s="15"/>
      <c r="FIB235" s="15"/>
      <c r="FIC235" s="15"/>
      <c r="FID235" s="15"/>
      <c r="FIE235" s="10"/>
      <c r="FIF235" s="10"/>
      <c r="FIG235" s="21"/>
      <c r="FIH235" s="21"/>
      <c r="FIK235" s="21"/>
      <c r="FIL235" s="15"/>
      <c r="FIM235" s="15"/>
      <c r="FIN235" s="15"/>
      <c r="FIO235" s="15"/>
      <c r="FIP235" s="15"/>
      <c r="FIQ235" s="15"/>
      <c r="FIR235" s="15"/>
      <c r="FIS235" s="15"/>
      <c r="FIT235" s="15"/>
      <c r="FIU235" s="15"/>
      <c r="FIV235" s="10"/>
      <c r="FIW235" s="10"/>
      <c r="FIX235" s="21"/>
      <c r="FIY235" s="21"/>
      <c r="FJB235" s="21"/>
      <c r="FJC235" s="15"/>
      <c r="FJD235" s="15"/>
      <c r="FJE235" s="15"/>
      <c r="FJF235" s="15"/>
      <c r="FJG235" s="15"/>
      <c r="FJH235" s="15"/>
      <c r="FJI235" s="15"/>
      <c r="FJJ235" s="15"/>
      <c r="FJK235" s="15"/>
      <c r="FJL235" s="15"/>
      <c r="FJM235" s="10"/>
      <c r="FJN235" s="10"/>
      <c r="FJO235" s="21"/>
      <c r="FJP235" s="21"/>
      <c r="FJS235" s="21"/>
      <c r="FJT235" s="15"/>
      <c r="FJU235" s="15"/>
      <c r="FJV235" s="15"/>
      <c r="FJW235" s="15"/>
      <c r="FJX235" s="15"/>
      <c r="FJY235" s="15"/>
      <c r="FJZ235" s="15"/>
      <c r="FKA235" s="15"/>
      <c r="FKB235" s="15"/>
      <c r="FKC235" s="15"/>
      <c r="FKD235" s="10"/>
      <c r="FKE235" s="10"/>
      <c r="FKF235" s="21"/>
      <c r="FKG235" s="21"/>
      <c r="FKJ235" s="21"/>
      <c r="FKK235" s="15"/>
      <c r="FKL235" s="15"/>
      <c r="FKM235" s="15"/>
      <c r="FKN235" s="15"/>
      <c r="FKO235" s="15"/>
      <c r="FKP235" s="15"/>
      <c r="FKQ235" s="15"/>
      <c r="FKR235" s="15"/>
      <c r="FKS235" s="15"/>
      <c r="FKT235" s="15"/>
      <c r="FKU235" s="10"/>
      <c r="FKV235" s="10"/>
      <c r="FKW235" s="21"/>
      <c r="FKX235" s="21"/>
      <c r="FLA235" s="21"/>
      <c r="FLB235" s="15"/>
      <c r="FLC235" s="15"/>
      <c r="FLD235" s="15"/>
      <c r="FLE235" s="15"/>
      <c r="FLF235" s="15"/>
      <c r="FLG235" s="15"/>
      <c r="FLH235" s="15"/>
      <c r="FLI235" s="15"/>
      <c r="FLJ235" s="15"/>
      <c r="FLK235" s="15"/>
      <c r="FLL235" s="10"/>
      <c r="FLM235" s="10"/>
      <c r="FLN235" s="21"/>
      <c r="FLO235" s="21"/>
      <c r="FLR235" s="21"/>
      <c r="FLS235" s="15"/>
      <c r="FLT235" s="15"/>
      <c r="FLU235" s="15"/>
      <c r="FLV235" s="15"/>
      <c r="FLW235" s="15"/>
      <c r="FLX235" s="15"/>
      <c r="FLY235" s="15"/>
      <c r="FLZ235" s="15"/>
      <c r="FMA235" s="15"/>
      <c r="FMB235" s="15"/>
      <c r="FMC235" s="10"/>
      <c r="FMD235" s="10"/>
      <c r="FME235" s="21"/>
      <c r="FMF235" s="21"/>
      <c r="FMI235" s="21"/>
      <c r="FMJ235" s="15"/>
      <c r="FMK235" s="15"/>
      <c r="FML235" s="15"/>
      <c r="FMM235" s="15"/>
      <c r="FMN235" s="15"/>
      <c r="FMO235" s="15"/>
      <c r="FMP235" s="15"/>
      <c r="FMQ235" s="15"/>
      <c r="FMR235" s="15"/>
      <c r="FMS235" s="15"/>
      <c r="FMT235" s="10"/>
      <c r="FMU235" s="10"/>
      <c r="FMV235" s="21"/>
      <c r="FMW235" s="21"/>
      <c r="FMZ235" s="21"/>
      <c r="FNA235" s="15"/>
      <c r="FNB235" s="15"/>
      <c r="FNC235" s="15"/>
      <c r="FND235" s="15"/>
      <c r="FNE235" s="15"/>
      <c r="FNF235" s="15"/>
      <c r="FNG235" s="15"/>
      <c r="FNH235" s="15"/>
      <c r="FNI235" s="15"/>
      <c r="FNJ235" s="15"/>
      <c r="FNK235" s="10"/>
      <c r="FNL235" s="10"/>
      <c r="FNM235" s="21"/>
      <c r="FNN235" s="21"/>
      <c r="FNQ235" s="21"/>
      <c r="FNR235" s="15"/>
      <c r="FNS235" s="15"/>
      <c r="FNT235" s="15"/>
      <c r="FNU235" s="15"/>
      <c r="FNV235" s="15"/>
      <c r="FNW235" s="15"/>
      <c r="FNX235" s="15"/>
      <c r="FNY235" s="15"/>
      <c r="FNZ235" s="15"/>
      <c r="FOA235" s="15"/>
      <c r="FOB235" s="10"/>
      <c r="FOC235" s="10"/>
      <c r="FOD235" s="21"/>
      <c r="FOE235" s="21"/>
      <c r="FOH235" s="21"/>
      <c r="FOI235" s="15"/>
      <c r="FOJ235" s="15"/>
      <c r="FOK235" s="15"/>
      <c r="FOL235" s="15"/>
      <c r="FOM235" s="15"/>
      <c r="FON235" s="15"/>
      <c r="FOO235" s="15"/>
      <c r="FOP235" s="15"/>
      <c r="FOQ235" s="15"/>
      <c r="FOR235" s="15"/>
      <c r="FOS235" s="10"/>
      <c r="FOT235" s="10"/>
      <c r="FOU235" s="21"/>
      <c r="FOV235" s="21"/>
      <c r="FOY235" s="21"/>
      <c r="FOZ235" s="15"/>
      <c r="FPA235" s="15"/>
      <c r="FPB235" s="15"/>
      <c r="FPC235" s="15"/>
      <c r="FPD235" s="15"/>
      <c r="FPE235" s="15"/>
      <c r="FPF235" s="15"/>
      <c r="FPG235" s="15"/>
      <c r="FPH235" s="15"/>
      <c r="FPI235" s="15"/>
      <c r="FPJ235" s="10"/>
      <c r="FPK235" s="10"/>
      <c r="FPL235" s="21"/>
      <c r="FPM235" s="21"/>
      <c r="FPP235" s="21"/>
      <c r="FPQ235" s="15"/>
      <c r="FPR235" s="15"/>
      <c r="FPS235" s="15"/>
      <c r="FPT235" s="15"/>
      <c r="FPU235" s="15"/>
      <c r="FPV235" s="15"/>
      <c r="FPW235" s="15"/>
      <c r="FPX235" s="15"/>
      <c r="FPY235" s="15"/>
      <c r="FPZ235" s="15"/>
      <c r="FQA235" s="10"/>
      <c r="FQB235" s="10"/>
      <c r="FQC235" s="21"/>
      <c r="FQD235" s="21"/>
      <c r="FQG235" s="21"/>
      <c r="FQH235" s="15"/>
      <c r="FQI235" s="15"/>
      <c r="FQJ235" s="15"/>
      <c r="FQK235" s="15"/>
      <c r="FQL235" s="15"/>
      <c r="FQM235" s="15"/>
      <c r="FQN235" s="15"/>
      <c r="FQO235" s="15"/>
      <c r="FQP235" s="15"/>
      <c r="FQQ235" s="15"/>
      <c r="FQR235" s="10"/>
      <c r="FQS235" s="10"/>
      <c r="FQT235" s="21"/>
      <c r="FQU235" s="21"/>
      <c r="FQX235" s="21"/>
      <c r="FQY235" s="15"/>
      <c r="FQZ235" s="15"/>
      <c r="FRA235" s="15"/>
      <c r="FRB235" s="15"/>
      <c r="FRC235" s="15"/>
      <c r="FRD235" s="15"/>
      <c r="FRE235" s="15"/>
      <c r="FRF235" s="15"/>
      <c r="FRG235" s="15"/>
      <c r="FRH235" s="15"/>
      <c r="FRI235" s="10"/>
      <c r="FRJ235" s="10"/>
      <c r="FRK235" s="21"/>
      <c r="FRL235" s="21"/>
      <c r="FRO235" s="21"/>
      <c r="FRP235" s="15"/>
      <c r="FRQ235" s="15"/>
      <c r="FRR235" s="15"/>
      <c r="FRS235" s="15"/>
      <c r="FRT235" s="15"/>
      <c r="FRU235" s="15"/>
      <c r="FRV235" s="15"/>
      <c r="FRW235" s="15"/>
      <c r="FRX235" s="15"/>
      <c r="FRY235" s="15"/>
      <c r="FRZ235" s="10"/>
      <c r="FSA235" s="10"/>
      <c r="FSB235" s="21"/>
      <c r="FSC235" s="21"/>
      <c r="FSF235" s="21"/>
      <c r="FSG235" s="15"/>
      <c r="FSH235" s="15"/>
      <c r="FSI235" s="15"/>
      <c r="FSJ235" s="15"/>
      <c r="FSK235" s="15"/>
      <c r="FSL235" s="15"/>
      <c r="FSM235" s="15"/>
      <c r="FSN235" s="15"/>
      <c r="FSO235" s="15"/>
      <c r="FSP235" s="15"/>
      <c r="FSQ235" s="10"/>
      <c r="FSR235" s="10"/>
      <c r="FSS235" s="21"/>
      <c r="FST235" s="21"/>
      <c r="FSW235" s="21"/>
      <c r="FSX235" s="15"/>
      <c r="FSY235" s="15"/>
      <c r="FSZ235" s="15"/>
      <c r="FTA235" s="15"/>
      <c r="FTB235" s="15"/>
      <c r="FTC235" s="15"/>
      <c r="FTD235" s="15"/>
      <c r="FTE235" s="15"/>
      <c r="FTF235" s="15"/>
      <c r="FTG235" s="15"/>
      <c r="FTH235" s="10"/>
      <c r="FTI235" s="10"/>
      <c r="FTJ235" s="21"/>
      <c r="FTK235" s="21"/>
      <c r="FTN235" s="21"/>
      <c r="FTO235" s="15"/>
      <c r="FTP235" s="15"/>
      <c r="FTQ235" s="15"/>
      <c r="FTR235" s="15"/>
      <c r="FTS235" s="15"/>
      <c r="FTT235" s="15"/>
      <c r="FTU235" s="15"/>
      <c r="FTV235" s="15"/>
      <c r="FTW235" s="15"/>
      <c r="FTX235" s="15"/>
      <c r="FTY235" s="10"/>
      <c r="FTZ235" s="10"/>
      <c r="FUA235" s="21"/>
      <c r="FUB235" s="21"/>
      <c r="FUE235" s="21"/>
      <c r="FUF235" s="15"/>
      <c r="FUG235" s="15"/>
      <c r="FUH235" s="15"/>
      <c r="FUI235" s="15"/>
      <c r="FUJ235" s="15"/>
      <c r="FUK235" s="15"/>
      <c r="FUL235" s="15"/>
      <c r="FUM235" s="15"/>
      <c r="FUN235" s="15"/>
      <c r="FUO235" s="15"/>
      <c r="FUP235" s="10"/>
      <c r="FUQ235" s="10"/>
      <c r="FUR235" s="21"/>
      <c r="FUS235" s="21"/>
      <c r="FUV235" s="21"/>
      <c r="FUW235" s="15"/>
      <c r="FUX235" s="15"/>
      <c r="FUY235" s="15"/>
      <c r="FUZ235" s="15"/>
      <c r="FVA235" s="15"/>
      <c r="FVB235" s="15"/>
      <c r="FVC235" s="15"/>
      <c r="FVD235" s="15"/>
      <c r="FVE235" s="15"/>
      <c r="FVF235" s="15"/>
      <c r="FVG235" s="10"/>
      <c r="FVH235" s="10"/>
      <c r="FVI235" s="21"/>
      <c r="FVJ235" s="21"/>
      <c r="FVM235" s="21"/>
      <c r="FVN235" s="15"/>
      <c r="FVO235" s="15"/>
      <c r="FVP235" s="15"/>
      <c r="FVQ235" s="15"/>
      <c r="FVR235" s="15"/>
      <c r="FVS235" s="15"/>
      <c r="FVT235" s="15"/>
      <c r="FVU235" s="15"/>
      <c r="FVV235" s="15"/>
      <c r="FVW235" s="15"/>
      <c r="FVX235" s="10"/>
      <c r="FVY235" s="10"/>
      <c r="FVZ235" s="21"/>
      <c r="FWA235" s="21"/>
      <c r="FWD235" s="21"/>
      <c r="FWE235" s="15"/>
      <c r="FWF235" s="15"/>
      <c r="FWG235" s="15"/>
      <c r="FWH235" s="15"/>
      <c r="FWI235" s="15"/>
      <c r="FWJ235" s="15"/>
      <c r="FWK235" s="15"/>
      <c r="FWL235" s="15"/>
      <c r="FWM235" s="15"/>
      <c r="FWN235" s="15"/>
      <c r="FWO235" s="10"/>
      <c r="FWP235" s="10"/>
      <c r="FWQ235" s="21"/>
      <c r="FWR235" s="21"/>
      <c r="FWU235" s="21"/>
      <c r="FWV235" s="15"/>
      <c r="FWW235" s="15"/>
      <c r="FWX235" s="15"/>
      <c r="FWY235" s="15"/>
      <c r="FWZ235" s="15"/>
      <c r="FXA235" s="15"/>
      <c r="FXB235" s="15"/>
      <c r="FXC235" s="15"/>
      <c r="FXD235" s="15"/>
      <c r="FXE235" s="15"/>
      <c r="FXF235" s="10"/>
      <c r="FXG235" s="10"/>
      <c r="FXH235" s="21"/>
      <c r="FXI235" s="21"/>
      <c r="FXL235" s="21"/>
      <c r="FXM235" s="15"/>
      <c r="FXN235" s="15"/>
      <c r="FXO235" s="15"/>
      <c r="FXP235" s="15"/>
      <c r="FXQ235" s="15"/>
      <c r="FXR235" s="15"/>
      <c r="FXS235" s="15"/>
      <c r="FXT235" s="15"/>
      <c r="FXU235" s="15"/>
      <c r="FXV235" s="15"/>
      <c r="FXW235" s="10"/>
      <c r="FXX235" s="10"/>
      <c r="FXY235" s="21"/>
      <c r="FXZ235" s="21"/>
      <c r="FYC235" s="21"/>
      <c r="FYD235" s="15"/>
      <c r="FYE235" s="15"/>
      <c r="FYF235" s="15"/>
      <c r="FYG235" s="15"/>
      <c r="FYH235" s="15"/>
      <c r="FYI235" s="15"/>
      <c r="FYJ235" s="15"/>
      <c r="FYK235" s="15"/>
      <c r="FYL235" s="15"/>
      <c r="FYM235" s="15"/>
      <c r="FYN235" s="10"/>
      <c r="FYO235" s="10"/>
      <c r="FYP235" s="21"/>
      <c r="FYQ235" s="21"/>
      <c r="FYT235" s="21"/>
      <c r="FYU235" s="15"/>
      <c r="FYV235" s="15"/>
      <c r="FYW235" s="15"/>
      <c r="FYX235" s="15"/>
      <c r="FYY235" s="15"/>
      <c r="FYZ235" s="15"/>
      <c r="FZA235" s="15"/>
      <c r="FZB235" s="15"/>
      <c r="FZC235" s="15"/>
      <c r="FZD235" s="15"/>
      <c r="FZE235" s="10"/>
      <c r="FZF235" s="10"/>
      <c r="FZG235" s="21"/>
      <c r="FZH235" s="21"/>
      <c r="FZK235" s="21"/>
      <c r="FZL235" s="15"/>
      <c r="FZM235" s="15"/>
      <c r="FZN235" s="15"/>
      <c r="FZO235" s="15"/>
      <c r="FZP235" s="15"/>
      <c r="FZQ235" s="15"/>
      <c r="FZR235" s="15"/>
      <c r="FZS235" s="15"/>
      <c r="FZT235" s="15"/>
      <c r="FZU235" s="15"/>
      <c r="FZV235" s="10"/>
      <c r="FZW235" s="10"/>
      <c r="FZX235" s="21"/>
      <c r="FZY235" s="21"/>
      <c r="GAB235" s="21"/>
      <c r="GAC235" s="15"/>
      <c r="GAD235" s="15"/>
      <c r="GAE235" s="15"/>
      <c r="GAF235" s="15"/>
      <c r="GAG235" s="15"/>
      <c r="GAH235" s="15"/>
      <c r="GAI235" s="15"/>
      <c r="GAJ235" s="15"/>
      <c r="GAK235" s="15"/>
      <c r="GAL235" s="15"/>
      <c r="GAM235" s="10"/>
      <c r="GAN235" s="10"/>
      <c r="GAO235" s="21"/>
      <c r="GAP235" s="21"/>
      <c r="GAS235" s="21"/>
      <c r="GAT235" s="15"/>
      <c r="GAU235" s="15"/>
      <c r="GAV235" s="15"/>
      <c r="GAW235" s="15"/>
      <c r="GAX235" s="15"/>
      <c r="GAY235" s="15"/>
      <c r="GAZ235" s="15"/>
      <c r="GBA235" s="15"/>
      <c r="GBB235" s="15"/>
      <c r="GBC235" s="15"/>
      <c r="GBD235" s="10"/>
      <c r="GBE235" s="10"/>
      <c r="GBF235" s="21"/>
      <c r="GBG235" s="21"/>
      <c r="GBJ235" s="21"/>
      <c r="GBK235" s="15"/>
      <c r="GBL235" s="15"/>
      <c r="GBM235" s="15"/>
      <c r="GBN235" s="15"/>
      <c r="GBO235" s="15"/>
      <c r="GBP235" s="15"/>
      <c r="GBQ235" s="15"/>
      <c r="GBR235" s="15"/>
      <c r="GBS235" s="15"/>
      <c r="GBT235" s="15"/>
      <c r="GBU235" s="10"/>
      <c r="GBV235" s="10"/>
      <c r="GBW235" s="21"/>
      <c r="GBX235" s="21"/>
      <c r="GCA235" s="21"/>
      <c r="GCB235" s="15"/>
      <c r="GCC235" s="15"/>
      <c r="GCD235" s="15"/>
      <c r="GCE235" s="15"/>
      <c r="GCF235" s="15"/>
      <c r="GCG235" s="15"/>
      <c r="GCH235" s="15"/>
      <c r="GCI235" s="15"/>
      <c r="GCJ235" s="15"/>
      <c r="GCK235" s="15"/>
      <c r="GCL235" s="10"/>
      <c r="GCM235" s="10"/>
      <c r="GCN235" s="21"/>
      <c r="GCO235" s="21"/>
      <c r="GCR235" s="21"/>
      <c r="GCS235" s="15"/>
      <c r="GCT235" s="15"/>
      <c r="GCU235" s="15"/>
      <c r="GCV235" s="15"/>
      <c r="GCW235" s="15"/>
      <c r="GCX235" s="15"/>
      <c r="GCY235" s="15"/>
      <c r="GCZ235" s="15"/>
      <c r="GDA235" s="15"/>
      <c r="GDB235" s="15"/>
      <c r="GDC235" s="10"/>
      <c r="GDD235" s="10"/>
      <c r="GDE235" s="21"/>
      <c r="GDF235" s="21"/>
      <c r="GDI235" s="21"/>
      <c r="GDJ235" s="15"/>
      <c r="GDK235" s="15"/>
      <c r="GDL235" s="15"/>
      <c r="GDM235" s="15"/>
      <c r="GDN235" s="15"/>
      <c r="GDO235" s="15"/>
      <c r="GDP235" s="15"/>
      <c r="GDQ235" s="15"/>
      <c r="GDR235" s="15"/>
      <c r="GDS235" s="15"/>
      <c r="GDT235" s="10"/>
      <c r="GDU235" s="10"/>
      <c r="GDV235" s="21"/>
      <c r="GDW235" s="21"/>
      <c r="GDZ235" s="21"/>
      <c r="GEA235" s="15"/>
      <c r="GEB235" s="15"/>
      <c r="GEC235" s="15"/>
      <c r="GED235" s="15"/>
      <c r="GEE235" s="15"/>
      <c r="GEF235" s="15"/>
      <c r="GEG235" s="15"/>
      <c r="GEH235" s="15"/>
      <c r="GEI235" s="15"/>
      <c r="GEJ235" s="15"/>
      <c r="GEK235" s="10"/>
      <c r="GEL235" s="10"/>
      <c r="GEM235" s="21"/>
      <c r="GEN235" s="21"/>
      <c r="GEQ235" s="21"/>
      <c r="GER235" s="15"/>
      <c r="GES235" s="15"/>
      <c r="GET235" s="15"/>
      <c r="GEU235" s="15"/>
      <c r="GEV235" s="15"/>
      <c r="GEW235" s="15"/>
      <c r="GEX235" s="15"/>
      <c r="GEY235" s="15"/>
      <c r="GEZ235" s="15"/>
      <c r="GFA235" s="15"/>
      <c r="GFB235" s="10"/>
      <c r="GFC235" s="10"/>
      <c r="GFD235" s="21"/>
      <c r="GFE235" s="21"/>
      <c r="GFH235" s="21"/>
      <c r="GFI235" s="15"/>
      <c r="GFJ235" s="15"/>
      <c r="GFK235" s="15"/>
      <c r="GFL235" s="15"/>
      <c r="GFM235" s="15"/>
      <c r="GFN235" s="15"/>
      <c r="GFO235" s="15"/>
      <c r="GFP235" s="15"/>
      <c r="GFQ235" s="15"/>
      <c r="GFR235" s="15"/>
      <c r="GFS235" s="10"/>
      <c r="GFT235" s="10"/>
      <c r="GFU235" s="21"/>
      <c r="GFV235" s="21"/>
      <c r="GFY235" s="21"/>
      <c r="GFZ235" s="15"/>
      <c r="GGA235" s="15"/>
      <c r="GGB235" s="15"/>
      <c r="GGC235" s="15"/>
      <c r="GGD235" s="15"/>
      <c r="GGE235" s="15"/>
      <c r="GGF235" s="15"/>
      <c r="GGG235" s="15"/>
      <c r="GGH235" s="15"/>
      <c r="GGI235" s="15"/>
      <c r="GGJ235" s="10"/>
      <c r="GGK235" s="10"/>
      <c r="GGL235" s="21"/>
      <c r="GGM235" s="21"/>
      <c r="GGP235" s="21"/>
      <c r="GGQ235" s="15"/>
      <c r="GGR235" s="15"/>
      <c r="GGS235" s="15"/>
      <c r="GGT235" s="15"/>
      <c r="GGU235" s="15"/>
      <c r="GGV235" s="15"/>
      <c r="GGW235" s="15"/>
      <c r="GGX235" s="15"/>
      <c r="GGY235" s="15"/>
      <c r="GGZ235" s="15"/>
      <c r="GHA235" s="10"/>
      <c r="GHB235" s="10"/>
      <c r="GHC235" s="21"/>
      <c r="GHD235" s="21"/>
      <c r="GHG235" s="21"/>
      <c r="GHH235" s="15"/>
      <c r="GHI235" s="15"/>
      <c r="GHJ235" s="15"/>
      <c r="GHK235" s="15"/>
      <c r="GHL235" s="15"/>
      <c r="GHM235" s="15"/>
      <c r="GHN235" s="15"/>
      <c r="GHO235" s="15"/>
      <c r="GHP235" s="15"/>
      <c r="GHQ235" s="15"/>
      <c r="GHR235" s="10"/>
      <c r="GHS235" s="10"/>
      <c r="GHT235" s="21"/>
      <c r="GHU235" s="21"/>
      <c r="GHX235" s="21"/>
      <c r="GHY235" s="15"/>
      <c r="GHZ235" s="15"/>
      <c r="GIA235" s="15"/>
      <c r="GIB235" s="15"/>
      <c r="GIC235" s="15"/>
      <c r="GID235" s="15"/>
      <c r="GIE235" s="15"/>
      <c r="GIF235" s="15"/>
      <c r="GIG235" s="15"/>
      <c r="GIH235" s="15"/>
      <c r="GII235" s="10"/>
      <c r="GIJ235" s="10"/>
      <c r="GIK235" s="21"/>
      <c r="GIL235" s="21"/>
      <c r="GIO235" s="21"/>
      <c r="GIP235" s="15"/>
      <c r="GIQ235" s="15"/>
      <c r="GIR235" s="15"/>
      <c r="GIS235" s="15"/>
      <c r="GIT235" s="15"/>
      <c r="GIU235" s="15"/>
      <c r="GIV235" s="15"/>
      <c r="GIW235" s="15"/>
      <c r="GIX235" s="15"/>
      <c r="GIY235" s="15"/>
      <c r="GIZ235" s="10"/>
      <c r="GJA235" s="10"/>
      <c r="GJB235" s="21"/>
      <c r="GJC235" s="21"/>
      <c r="GJF235" s="21"/>
      <c r="GJG235" s="15"/>
      <c r="GJH235" s="15"/>
      <c r="GJI235" s="15"/>
      <c r="GJJ235" s="15"/>
      <c r="GJK235" s="15"/>
      <c r="GJL235" s="15"/>
      <c r="GJM235" s="15"/>
      <c r="GJN235" s="15"/>
      <c r="GJO235" s="15"/>
      <c r="GJP235" s="15"/>
      <c r="GJQ235" s="10"/>
      <c r="GJR235" s="10"/>
      <c r="GJS235" s="21"/>
      <c r="GJT235" s="21"/>
      <c r="GJW235" s="21"/>
      <c r="GJX235" s="15"/>
      <c r="GJY235" s="15"/>
      <c r="GJZ235" s="15"/>
      <c r="GKA235" s="15"/>
      <c r="GKB235" s="15"/>
      <c r="GKC235" s="15"/>
      <c r="GKD235" s="15"/>
      <c r="GKE235" s="15"/>
      <c r="GKF235" s="15"/>
      <c r="GKG235" s="15"/>
      <c r="GKH235" s="10"/>
      <c r="GKI235" s="10"/>
      <c r="GKJ235" s="21"/>
      <c r="GKK235" s="21"/>
      <c r="GKN235" s="21"/>
      <c r="GKO235" s="15"/>
      <c r="GKP235" s="15"/>
      <c r="GKQ235" s="15"/>
      <c r="GKR235" s="15"/>
      <c r="GKS235" s="15"/>
      <c r="GKT235" s="15"/>
      <c r="GKU235" s="15"/>
      <c r="GKV235" s="15"/>
      <c r="GKW235" s="15"/>
      <c r="GKX235" s="15"/>
      <c r="GKY235" s="10"/>
      <c r="GKZ235" s="10"/>
      <c r="GLA235" s="21"/>
      <c r="GLB235" s="21"/>
      <c r="GLE235" s="21"/>
      <c r="GLF235" s="15"/>
      <c r="GLG235" s="15"/>
      <c r="GLH235" s="15"/>
      <c r="GLI235" s="15"/>
      <c r="GLJ235" s="15"/>
      <c r="GLK235" s="15"/>
      <c r="GLL235" s="15"/>
      <c r="GLM235" s="15"/>
      <c r="GLN235" s="15"/>
      <c r="GLO235" s="15"/>
      <c r="GLP235" s="10"/>
      <c r="GLQ235" s="10"/>
      <c r="GLR235" s="21"/>
      <c r="GLS235" s="21"/>
      <c r="GLV235" s="21"/>
      <c r="GLW235" s="15"/>
      <c r="GLX235" s="15"/>
      <c r="GLY235" s="15"/>
      <c r="GLZ235" s="15"/>
      <c r="GMA235" s="15"/>
      <c r="GMB235" s="15"/>
      <c r="GMC235" s="15"/>
      <c r="GMD235" s="15"/>
      <c r="GME235" s="15"/>
      <c r="GMF235" s="15"/>
      <c r="GMG235" s="10"/>
      <c r="GMH235" s="10"/>
      <c r="GMI235" s="21"/>
      <c r="GMJ235" s="21"/>
      <c r="GMM235" s="21"/>
      <c r="GMN235" s="15"/>
      <c r="GMO235" s="15"/>
      <c r="GMP235" s="15"/>
      <c r="GMQ235" s="15"/>
      <c r="GMR235" s="15"/>
      <c r="GMS235" s="15"/>
      <c r="GMT235" s="15"/>
      <c r="GMU235" s="15"/>
      <c r="GMV235" s="15"/>
      <c r="GMW235" s="15"/>
      <c r="GMX235" s="10"/>
      <c r="GMY235" s="10"/>
      <c r="GMZ235" s="21"/>
      <c r="GNA235" s="21"/>
      <c r="GND235" s="21"/>
      <c r="GNE235" s="15"/>
      <c r="GNF235" s="15"/>
      <c r="GNG235" s="15"/>
      <c r="GNH235" s="15"/>
      <c r="GNI235" s="15"/>
      <c r="GNJ235" s="15"/>
      <c r="GNK235" s="15"/>
      <c r="GNL235" s="15"/>
      <c r="GNM235" s="15"/>
      <c r="GNN235" s="15"/>
      <c r="GNO235" s="10"/>
      <c r="GNP235" s="10"/>
      <c r="GNQ235" s="21"/>
      <c r="GNR235" s="21"/>
      <c r="GNU235" s="21"/>
      <c r="GNV235" s="15"/>
      <c r="GNW235" s="15"/>
      <c r="GNX235" s="15"/>
      <c r="GNY235" s="15"/>
      <c r="GNZ235" s="15"/>
      <c r="GOA235" s="15"/>
      <c r="GOB235" s="15"/>
      <c r="GOC235" s="15"/>
      <c r="GOD235" s="15"/>
      <c r="GOE235" s="15"/>
      <c r="GOF235" s="10"/>
      <c r="GOG235" s="10"/>
      <c r="GOH235" s="21"/>
      <c r="GOI235" s="21"/>
      <c r="GOL235" s="21"/>
      <c r="GOM235" s="15"/>
      <c r="GON235" s="15"/>
      <c r="GOO235" s="15"/>
      <c r="GOP235" s="15"/>
      <c r="GOQ235" s="15"/>
      <c r="GOR235" s="15"/>
      <c r="GOS235" s="15"/>
      <c r="GOT235" s="15"/>
      <c r="GOU235" s="15"/>
      <c r="GOV235" s="15"/>
      <c r="GOW235" s="10"/>
      <c r="GOX235" s="10"/>
      <c r="GOY235" s="21"/>
      <c r="GOZ235" s="21"/>
      <c r="GPC235" s="21"/>
      <c r="GPD235" s="15"/>
      <c r="GPE235" s="15"/>
      <c r="GPF235" s="15"/>
      <c r="GPG235" s="15"/>
      <c r="GPH235" s="15"/>
      <c r="GPI235" s="15"/>
      <c r="GPJ235" s="15"/>
      <c r="GPK235" s="15"/>
      <c r="GPL235" s="15"/>
      <c r="GPM235" s="15"/>
      <c r="GPN235" s="10"/>
      <c r="GPO235" s="10"/>
      <c r="GPP235" s="21"/>
      <c r="GPQ235" s="21"/>
      <c r="GPT235" s="21"/>
      <c r="GPU235" s="15"/>
      <c r="GPV235" s="15"/>
      <c r="GPW235" s="15"/>
      <c r="GPX235" s="15"/>
      <c r="GPY235" s="15"/>
      <c r="GPZ235" s="15"/>
      <c r="GQA235" s="15"/>
      <c r="GQB235" s="15"/>
      <c r="GQC235" s="15"/>
      <c r="GQD235" s="15"/>
      <c r="GQE235" s="10"/>
      <c r="GQF235" s="10"/>
      <c r="GQG235" s="21"/>
      <c r="GQH235" s="21"/>
      <c r="GQK235" s="21"/>
      <c r="GQL235" s="15"/>
      <c r="GQM235" s="15"/>
      <c r="GQN235" s="15"/>
      <c r="GQO235" s="15"/>
      <c r="GQP235" s="15"/>
      <c r="GQQ235" s="15"/>
      <c r="GQR235" s="15"/>
      <c r="GQS235" s="15"/>
      <c r="GQT235" s="15"/>
      <c r="GQU235" s="15"/>
      <c r="GQV235" s="10"/>
      <c r="GQW235" s="10"/>
      <c r="GQX235" s="21"/>
      <c r="GQY235" s="21"/>
      <c r="GRB235" s="21"/>
      <c r="GRC235" s="15"/>
      <c r="GRD235" s="15"/>
      <c r="GRE235" s="15"/>
      <c r="GRF235" s="15"/>
      <c r="GRG235" s="15"/>
      <c r="GRH235" s="15"/>
      <c r="GRI235" s="15"/>
      <c r="GRJ235" s="15"/>
      <c r="GRK235" s="15"/>
      <c r="GRL235" s="15"/>
      <c r="GRM235" s="10"/>
      <c r="GRN235" s="10"/>
      <c r="GRO235" s="21"/>
      <c r="GRP235" s="21"/>
      <c r="GRS235" s="21"/>
      <c r="GRT235" s="15"/>
      <c r="GRU235" s="15"/>
      <c r="GRV235" s="15"/>
      <c r="GRW235" s="15"/>
      <c r="GRX235" s="15"/>
      <c r="GRY235" s="15"/>
      <c r="GRZ235" s="15"/>
      <c r="GSA235" s="15"/>
      <c r="GSB235" s="15"/>
      <c r="GSC235" s="15"/>
      <c r="GSD235" s="10"/>
      <c r="GSE235" s="10"/>
      <c r="GSF235" s="21"/>
      <c r="GSG235" s="21"/>
      <c r="GSJ235" s="21"/>
      <c r="GSK235" s="15"/>
      <c r="GSL235" s="15"/>
      <c r="GSM235" s="15"/>
      <c r="GSN235" s="15"/>
      <c r="GSO235" s="15"/>
      <c r="GSP235" s="15"/>
      <c r="GSQ235" s="15"/>
      <c r="GSR235" s="15"/>
      <c r="GSS235" s="15"/>
      <c r="GST235" s="15"/>
      <c r="GSU235" s="10"/>
      <c r="GSV235" s="10"/>
      <c r="GSW235" s="21"/>
      <c r="GSX235" s="21"/>
      <c r="GTA235" s="21"/>
      <c r="GTB235" s="15"/>
      <c r="GTC235" s="15"/>
      <c r="GTD235" s="15"/>
      <c r="GTE235" s="15"/>
      <c r="GTF235" s="15"/>
      <c r="GTG235" s="15"/>
      <c r="GTH235" s="15"/>
      <c r="GTI235" s="15"/>
      <c r="GTJ235" s="15"/>
      <c r="GTK235" s="15"/>
      <c r="GTL235" s="10"/>
      <c r="GTM235" s="10"/>
      <c r="GTN235" s="21"/>
      <c r="GTO235" s="21"/>
      <c r="GTR235" s="21"/>
      <c r="GTS235" s="15"/>
      <c r="GTT235" s="15"/>
      <c r="GTU235" s="15"/>
      <c r="GTV235" s="15"/>
      <c r="GTW235" s="15"/>
      <c r="GTX235" s="15"/>
      <c r="GTY235" s="15"/>
      <c r="GTZ235" s="15"/>
      <c r="GUA235" s="15"/>
      <c r="GUB235" s="15"/>
      <c r="GUC235" s="10"/>
      <c r="GUD235" s="10"/>
      <c r="GUE235" s="21"/>
      <c r="GUF235" s="21"/>
      <c r="GUI235" s="21"/>
      <c r="GUJ235" s="15"/>
      <c r="GUK235" s="15"/>
      <c r="GUL235" s="15"/>
      <c r="GUM235" s="15"/>
      <c r="GUN235" s="15"/>
      <c r="GUO235" s="15"/>
      <c r="GUP235" s="15"/>
      <c r="GUQ235" s="15"/>
      <c r="GUR235" s="15"/>
      <c r="GUS235" s="15"/>
      <c r="GUT235" s="10"/>
      <c r="GUU235" s="10"/>
      <c r="GUV235" s="21"/>
      <c r="GUW235" s="21"/>
      <c r="GUZ235" s="21"/>
      <c r="GVA235" s="15"/>
      <c r="GVB235" s="15"/>
      <c r="GVC235" s="15"/>
      <c r="GVD235" s="15"/>
      <c r="GVE235" s="15"/>
      <c r="GVF235" s="15"/>
      <c r="GVG235" s="15"/>
      <c r="GVH235" s="15"/>
      <c r="GVI235" s="15"/>
      <c r="GVJ235" s="15"/>
      <c r="GVK235" s="10"/>
      <c r="GVL235" s="10"/>
      <c r="GVM235" s="21"/>
      <c r="GVN235" s="21"/>
      <c r="GVQ235" s="21"/>
      <c r="GVR235" s="15"/>
      <c r="GVS235" s="15"/>
      <c r="GVT235" s="15"/>
      <c r="GVU235" s="15"/>
      <c r="GVV235" s="15"/>
      <c r="GVW235" s="15"/>
      <c r="GVX235" s="15"/>
      <c r="GVY235" s="15"/>
      <c r="GVZ235" s="15"/>
      <c r="GWA235" s="15"/>
      <c r="GWB235" s="10"/>
      <c r="GWC235" s="10"/>
      <c r="GWD235" s="21"/>
      <c r="GWE235" s="21"/>
      <c r="GWH235" s="21"/>
      <c r="GWI235" s="15"/>
      <c r="GWJ235" s="15"/>
      <c r="GWK235" s="15"/>
      <c r="GWL235" s="15"/>
      <c r="GWM235" s="15"/>
      <c r="GWN235" s="15"/>
      <c r="GWO235" s="15"/>
      <c r="GWP235" s="15"/>
      <c r="GWQ235" s="15"/>
      <c r="GWR235" s="15"/>
      <c r="GWS235" s="10"/>
      <c r="GWT235" s="10"/>
      <c r="GWU235" s="21"/>
      <c r="GWV235" s="21"/>
      <c r="GWY235" s="21"/>
      <c r="GWZ235" s="15"/>
      <c r="GXA235" s="15"/>
      <c r="GXB235" s="15"/>
      <c r="GXC235" s="15"/>
      <c r="GXD235" s="15"/>
      <c r="GXE235" s="15"/>
      <c r="GXF235" s="15"/>
      <c r="GXG235" s="15"/>
      <c r="GXH235" s="15"/>
      <c r="GXI235" s="15"/>
      <c r="GXJ235" s="10"/>
      <c r="GXK235" s="10"/>
      <c r="GXL235" s="21"/>
      <c r="GXM235" s="21"/>
      <c r="GXP235" s="21"/>
      <c r="GXQ235" s="15"/>
      <c r="GXR235" s="15"/>
      <c r="GXS235" s="15"/>
      <c r="GXT235" s="15"/>
      <c r="GXU235" s="15"/>
      <c r="GXV235" s="15"/>
      <c r="GXW235" s="15"/>
      <c r="GXX235" s="15"/>
      <c r="GXY235" s="15"/>
      <c r="GXZ235" s="15"/>
      <c r="GYA235" s="10"/>
      <c r="GYB235" s="10"/>
      <c r="GYC235" s="21"/>
      <c r="GYD235" s="21"/>
      <c r="GYG235" s="21"/>
      <c r="GYH235" s="15"/>
      <c r="GYI235" s="15"/>
      <c r="GYJ235" s="15"/>
      <c r="GYK235" s="15"/>
      <c r="GYL235" s="15"/>
      <c r="GYM235" s="15"/>
      <c r="GYN235" s="15"/>
      <c r="GYO235" s="15"/>
      <c r="GYP235" s="15"/>
      <c r="GYQ235" s="15"/>
      <c r="GYR235" s="10"/>
      <c r="GYS235" s="10"/>
      <c r="GYT235" s="21"/>
      <c r="GYU235" s="21"/>
      <c r="GYX235" s="21"/>
      <c r="GYY235" s="15"/>
      <c r="GYZ235" s="15"/>
      <c r="GZA235" s="15"/>
      <c r="GZB235" s="15"/>
      <c r="GZC235" s="15"/>
      <c r="GZD235" s="15"/>
      <c r="GZE235" s="15"/>
      <c r="GZF235" s="15"/>
      <c r="GZG235" s="15"/>
      <c r="GZH235" s="15"/>
      <c r="GZI235" s="10"/>
      <c r="GZJ235" s="10"/>
      <c r="GZK235" s="21"/>
      <c r="GZL235" s="21"/>
      <c r="GZO235" s="21"/>
      <c r="GZP235" s="15"/>
      <c r="GZQ235" s="15"/>
      <c r="GZR235" s="15"/>
      <c r="GZS235" s="15"/>
      <c r="GZT235" s="15"/>
      <c r="GZU235" s="15"/>
      <c r="GZV235" s="15"/>
      <c r="GZW235" s="15"/>
      <c r="GZX235" s="15"/>
      <c r="GZY235" s="15"/>
      <c r="GZZ235" s="10"/>
      <c r="HAA235" s="10"/>
      <c r="HAB235" s="21"/>
      <c r="HAC235" s="21"/>
      <c r="HAF235" s="21"/>
      <c r="HAG235" s="15"/>
      <c r="HAH235" s="15"/>
      <c r="HAI235" s="15"/>
      <c r="HAJ235" s="15"/>
      <c r="HAK235" s="15"/>
      <c r="HAL235" s="15"/>
      <c r="HAM235" s="15"/>
      <c r="HAN235" s="15"/>
      <c r="HAO235" s="15"/>
      <c r="HAP235" s="15"/>
      <c r="HAQ235" s="10"/>
      <c r="HAR235" s="10"/>
      <c r="HAS235" s="21"/>
      <c r="HAT235" s="21"/>
      <c r="HAW235" s="21"/>
      <c r="HAX235" s="15"/>
      <c r="HAY235" s="15"/>
      <c r="HAZ235" s="15"/>
      <c r="HBA235" s="15"/>
      <c r="HBB235" s="15"/>
      <c r="HBC235" s="15"/>
      <c r="HBD235" s="15"/>
      <c r="HBE235" s="15"/>
      <c r="HBF235" s="15"/>
      <c r="HBG235" s="15"/>
      <c r="HBH235" s="10"/>
      <c r="HBI235" s="10"/>
      <c r="HBJ235" s="21"/>
      <c r="HBK235" s="21"/>
      <c r="HBN235" s="21"/>
      <c r="HBO235" s="15"/>
      <c r="HBP235" s="15"/>
      <c r="HBQ235" s="15"/>
      <c r="HBR235" s="15"/>
      <c r="HBS235" s="15"/>
      <c r="HBT235" s="15"/>
      <c r="HBU235" s="15"/>
      <c r="HBV235" s="15"/>
      <c r="HBW235" s="15"/>
      <c r="HBX235" s="15"/>
      <c r="HBY235" s="10"/>
      <c r="HBZ235" s="10"/>
      <c r="HCA235" s="21"/>
      <c r="HCB235" s="21"/>
      <c r="HCE235" s="21"/>
      <c r="HCF235" s="15"/>
      <c r="HCG235" s="15"/>
      <c r="HCH235" s="15"/>
      <c r="HCI235" s="15"/>
      <c r="HCJ235" s="15"/>
      <c r="HCK235" s="15"/>
      <c r="HCL235" s="15"/>
      <c r="HCM235" s="15"/>
      <c r="HCN235" s="15"/>
      <c r="HCO235" s="15"/>
      <c r="HCP235" s="10"/>
      <c r="HCQ235" s="10"/>
      <c r="HCR235" s="21"/>
      <c r="HCS235" s="21"/>
      <c r="HCV235" s="21"/>
      <c r="HCW235" s="15"/>
      <c r="HCX235" s="15"/>
      <c r="HCY235" s="15"/>
      <c r="HCZ235" s="15"/>
      <c r="HDA235" s="15"/>
      <c r="HDB235" s="15"/>
      <c r="HDC235" s="15"/>
      <c r="HDD235" s="15"/>
      <c r="HDE235" s="15"/>
      <c r="HDF235" s="15"/>
      <c r="HDG235" s="10"/>
      <c r="HDH235" s="10"/>
      <c r="HDI235" s="21"/>
      <c r="HDJ235" s="21"/>
      <c r="HDM235" s="21"/>
      <c r="HDN235" s="15"/>
      <c r="HDO235" s="15"/>
      <c r="HDP235" s="15"/>
      <c r="HDQ235" s="15"/>
      <c r="HDR235" s="15"/>
      <c r="HDS235" s="15"/>
      <c r="HDT235" s="15"/>
      <c r="HDU235" s="15"/>
      <c r="HDV235" s="15"/>
      <c r="HDW235" s="15"/>
      <c r="HDX235" s="10"/>
      <c r="HDY235" s="10"/>
      <c r="HDZ235" s="21"/>
      <c r="HEA235" s="21"/>
      <c r="HED235" s="21"/>
      <c r="HEE235" s="15"/>
      <c r="HEF235" s="15"/>
      <c r="HEG235" s="15"/>
      <c r="HEH235" s="15"/>
      <c r="HEI235" s="15"/>
      <c r="HEJ235" s="15"/>
      <c r="HEK235" s="15"/>
      <c r="HEL235" s="15"/>
      <c r="HEM235" s="15"/>
      <c r="HEN235" s="15"/>
      <c r="HEO235" s="10"/>
      <c r="HEP235" s="10"/>
      <c r="HEQ235" s="21"/>
      <c r="HER235" s="21"/>
      <c r="HEU235" s="21"/>
      <c r="HEV235" s="15"/>
      <c r="HEW235" s="15"/>
      <c r="HEX235" s="15"/>
      <c r="HEY235" s="15"/>
      <c r="HEZ235" s="15"/>
      <c r="HFA235" s="15"/>
      <c r="HFB235" s="15"/>
      <c r="HFC235" s="15"/>
      <c r="HFD235" s="15"/>
      <c r="HFE235" s="15"/>
      <c r="HFF235" s="10"/>
      <c r="HFG235" s="10"/>
      <c r="HFH235" s="21"/>
      <c r="HFI235" s="21"/>
      <c r="HFL235" s="21"/>
      <c r="HFM235" s="15"/>
      <c r="HFN235" s="15"/>
      <c r="HFO235" s="15"/>
      <c r="HFP235" s="15"/>
      <c r="HFQ235" s="15"/>
      <c r="HFR235" s="15"/>
      <c r="HFS235" s="15"/>
      <c r="HFT235" s="15"/>
      <c r="HFU235" s="15"/>
      <c r="HFV235" s="15"/>
      <c r="HFW235" s="10"/>
      <c r="HFX235" s="10"/>
      <c r="HFY235" s="21"/>
      <c r="HFZ235" s="21"/>
      <c r="HGC235" s="21"/>
      <c r="HGD235" s="15"/>
      <c r="HGE235" s="15"/>
      <c r="HGF235" s="15"/>
      <c r="HGG235" s="15"/>
      <c r="HGH235" s="15"/>
      <c r="HGI235" s="15"/>
      <c r="HGJ235" s="15"/>
      <c r="HGK235" s="15"/>
      <c r="HGL235" s="15"/>
      <c r="HGM235" s="15"/>
      <c r="HGN235" s="10"/>
      <c r="HGO235" s="10"/>
      <c r="HGP235" s="21"/>
      <c r="HGQ235" s="21"/>
      <c r="HGT235" s="21"/>
      <c r="HGU235" s="15"/>
      <c r="HGV235" s="15"/>
      <c r="HGW235" s="15"/>
      <c r="HGX235" s="15"/>
      <c r="HGY235" s="15"/>
      <c r="HGZ235" s="15"/>
      <c r="HHA235" s="15"/>
      <c r="HHB235" s="15"/>
      <c r="HHC235" s="15"/>
      <c r="HHD235" s="15"/>
      <c r="HHE235" s="10"/>
      <c r="HHF235" s="10"/>
      <c r="HHG235" s="21"/>
      <c r="HHH235" s="21"/>
      <c r="HHK235" s="21"/>
      <c r="HHL235" s="15"/>
      <c r="HHM235" s="15"/>
      <c r="HHN235" s="15"/>
      <c r="HHO235" s="15"/>
      <c r="HHP235" s="15"/>
      <c r="HHQ235" s="15"/>
      <c r="HHR235" s="15"/>
      <c r="HHS235" s="15"/>
      <c r="HHT235" s="15"/>
      <c r="HHU235" s="15"/>
      <c r="HHV235" s="10"/>
      <c r="HHW235" s="10"/>
      <c r="HHX235" s="21"/>
      <c r="HHY235" s="21"/>
      <c r="HIB235" s="21"/>
      <c r="HIC235" s="15"/>
      <c r="HID235" s="15"/>
      <c r="HIE235" s="15"/>
      <c r="HIF235" s="15"/>
      <c r="HIG235" s="15"/>
      <c r="HIH235" s="15"/>
      <c r="HII235" s="15"/>
      <c r="HIJ235" s="15"/>
      <c r="HIK235" s="15"/>
      <c r="HIL235" s="15"/>
      <c r="HIM235" s="10"/>
      <c r="HIN235" s="10"/>
      <c r="HIO235" s="21"/>
      <c r="HIP235" s="21"/>
      <c r="HIS235" s="21"/>
      <c r="HIT235" s="15"/>
      <c r="HIU235" s="15"/>
      <c r="HIV235" s="15"/>
      <c r="HIW235" s="15"/>
      <c r="HIX235" s="15"/>
      <c r="HIY235" s="15"/>
      <c r="HIZ235" s="15"/>
      <c r="HJA235" s="15"/>
      <c r="HJB235" s="15"/>
      <c r="HJC235" s="15"/>
      <c r="HJD235" s="10"/>
      <c r="HJE235" s="10"/>
      <c r="HJF235" s="21"/>
      <c r="HJG235" s="21"/>
      <c r="HJJ235" s="21"/>
      <c r="HJK235" s="15"/>
      <c r="HJL235" s="15"/>
      <c r="HJM235" s="15"/>
      <c r="HJN235" s="15"/>
      <c r="HJO235" s="15"/>
      <c r="HJP235" s="15"/>
      <c r="HJQ235" s="15"/>
      <c r="HJR235" s="15"/>
      <c r="HJS235" s="15"/>
      <c r="HJT235" s="15"/>
      <c r="HJU235" s="10"/>
      <c r="HJV235" s="10"/>
      <c r="HJW235" s="21"/>
      <c r="HJX235" s="21"/>
      <c r="HKA235" s="21"/>
      <c r="HKB235" s="15"/>
      <c r="HKC235" s="15"/>
      <c r="HKD235" s="15"/>
      <c r="HKE235" s="15"/>
      <c r="HKF235" s="15"/>
      <c r="HKG235" s="15"/>
      <c r="HKH235" s="15"/>
      <c r="HKI235" s="15"/>
      <c r="HKJ235" s="15"/>
      <c r="HKK235" s="15"/>
      <c r="HKL235" s="10"/>
      <c r="HKM235" s="10"/>
      <c r="HKN235" s="21"/>
      <c r="HKO235" s="21"/>
      <c r="HKR235" s="21"/>
      <c r="HKS235" s="15"/>
      <c r="HKT235" s="15"/>
      <c r="HKU235" s="15"/>
      <c r="HKV235" s="15"/>
      <c r="HKW235" s="15"/>
      <c r="HKX235" s="15"/>
      <c r="HKY235" s="15"/>
      <c r="HKZ235" s="15"/>
      <c r="HLA235" s="15"/>
      <c r="HLB235" s="15"/>
      <c r="HLC235" s="10"/>
      <c r="HLD235" s="10"/>
      <c r="HLE235" s="21"/>
      <c r="HLF235" s="21"/>
      <c r="HLI235" s="21"/>
      <c r="HLJ235" s="15"/>
      <c r="HLK235" s="15"/>
      <c r="HLL235" s="15"/>
      <c r="HLM235" s="15"/>
      <c r="HLN235" s="15"/>
      <c r="HLO235" s="15"/>
      <c r="HLP235" s="15"/>
      <c r="HLQ235" s="15"/>
      <c r="HLR235" s="15"/>
      <c r="HLS235" s="15"/>
      <c r="HLT235" s="10"/>
      <c r="HLU235" s="10"/>
      <c r="HLV235" s="21"/>
      <c r="HLW235" s="21"/>
      <c r="HLZ235" s="21"/>
      <c r="HMA235" s="15"/>
      <c r="HMB235" s="15"/>
      <c r="HMC235" s="15"/>
      <c r="HMD235" s="15"/>
      <c r="HME235" s="15"/>
      <c r="HMF235" s="15"/>
      <c r="HMG235" s="15"/>
      <c r="HMH235" s="15"/>
      <c r="HMI235" s="15"/>
      <c r="HMJ235" s="15"/>
      <c r="HMK235" s="10"/>
      <c r="HML235" s="10"/>
      <c r="HMM235" s="21"/>
      <c r="HMN235" s="21"/>
      <c r="HMQ235" s="21"/>
      <c r="HMR235" s="15"/>
      <c r="HMS235" s="15"/>
      <c r="HMT235" s="15"/>
      <c r="HMU235" s="15"/>
      <c r="HMV235" s="15"/>
      <c r="HMW235" s="15"/>
      <c r="HMX235" s="15"/>
      <c r="HMY235" s="15"/>
      <c r="HMZ235" s="15"/>
      <c r="HNA235" s="15"/>
      <c r="HNB235" s="10"/>
      <c r="HNC235" s="10"/>
      <c r="HND235" s="21"/>
      <c r="HNE235" s="21"/>
      <c r="HNH235" s="21"/>
      <c r="HNI235" s="15"/>
      <c r="HNJ235" s="15"/>
      <c r="HNK235" s="15"/>
      <c r="HNL235" s="15"/>
      <c r="HNM235" s="15"/>
      <c r="HNN235" s="15"/>
      <c r="HNO235" s="15"/>
      <c r="HNP235" s="15"/>
      <c r="HNQ235" s="15"/>
      <c r="HNR235" s="15"/>
      <c r="HNS235" s="10"/>
      <c r="HNT235" s="10"/>
      <c r="HNU235" s="21"/>
      <c r="HNV235" s="21"/>
      <c r="HNY235" s="21"/>
      <c r="HNZ235" s="15"/>
      <c r="HOA235" s="15"/>
      <c r="HOB235" s="15"/>
      <c r="HOC235" s="15"/>
      <c r="HOD235" s="15"/>
      <c r="HOE235" s="15"/>
      <c r="HOF235" s="15"/>
      <c r="HOG235" s="15"/>
      <c r="HOH235" s="15"/>
      <c r="HOI235" s="15"/>
      <c r="HOJ235" s="10"/>
      <c r="HOK235" s="10"/>
      <c r="HOL235" s="21"/>
      <c r="HOM235" s="21"/>
      <c r="HOP235" s="21"/>
      <c r="HOQ235" s="15"/>
      <c r="HOR235" s="15"/>
      <c r="HOS235" s="15"/>
      <c r="HOT235" s="15"/>
      <c r="HOU235" s="15"/>
      <c r="HOV235" s="15"/>
      <c r="HOW235" s="15"/>
      <c r="HOX235" s="15"/>
      <c r="HOY235" s="15"/>
      <c r="HOZ235" s="15"/>
      <c r="HPA235" s="10"/>
      <c r="HPB235" s="10"/>
      <c r="HPC235" s="21"/>
      <c r="HPD235" s="21"/>
      <c r="HPG235" s="21"/>
      <c r="HPH235" s="15"/>
      <c r="HPI235" s="15"/>
      <c r="HPJ235" s="15"/>
      <c r="HPK235" s="15"/>
      <c r="HPL235" s="15"/>
      <c r="HPM235" s="15"/>
      <c r="HPN235" s="15"/>
      <c r="HPO235" s="15"/>
      <c r="HPP235" s="15"/>
      <c r="HPQ235" s="15"/>
      <c r="HPR235" s="10"/>
      <c r="HPS235" s="10"/>
      <c r="HPT235" s="21"/>
      <c r="HPU235" s="21"/>
      <c r="HPX235" s="21"/>
      <c r="HPY235" s="15"/>
      <c r="HPZ235" s="15"/>
      <c r="HQA235" s="15"/>
      <c r="HQB235" s="15"/>
      <c r="HQC235" s="15"/>
      <c r="HQD235" s="15"/>
      <c r="HQE235" s="15"/>
      <c r="HQF235" s="15"/>
      <c r="HQG235" s="15"/>
      <c r="HQH235" s="15"/>
      <c r="HQI235" s="10"/>
      <c r="HQJ235" s="10"/>
      <c r="HQK235" s="21"/>
      <c r="HQL235" s="21"/>
      <c r="HQO235" s="21"/>
      <c r="HQP235" s="15"/>
      <c r="HQQ235" s="15"/>
      <c r="HQR235" s="15"/>
      <c r="HQS235" s="15"/>
      <c r="HQT235" s="15"/>
      <c r="HQU235" s="15"/>
      <c r="HQV235" s="15"/>
      <c r="HQW235" s="15"/>
      <c r="HQX235" s="15"/>
      <c r="HQY235" s="15"/>
      <c r="HQZ235" s="10"/>
      <c r="HRA235" s="10"/>
      <c r="HRB235" s="21"/>
      <c r="HRC235" s="21"/>
      <c r="HRF235" s="21"/>
      <c r="HRG235" s="15"/>
      <c r="HRH235" s="15"/>
      <c r="HRI235" s="15"/>
      <c r="HRJ235" s="15"/>
      <c r="HRK235" s="15"/>
      <c r="HRL235" s="15"/>
      <c r="HRM235" s="15"/>
      <c r="HRN235" s="15"/>
      <c r="HRO235" s="15"/>
      <c r="HRP235" s="15"/>
      <c r="HRQ235" s="10"/>
      <c r="HRR235" s="10"/>
      <c r="HRS235" s="21"/>
      <c r="HRT235" s="21"/>
      <c r="HRW235" s="21"/>
      <c r="HRX235" s="15"/>
      <c r="HRY235" s="15"/>
      <c r="HRZ235" s="15"/>
      <c r="HSA235" s="15"/>
      <c r="HSB235" s="15"/>
      <c r="HSC235" s="15"/>
      <c r="HSD235" s="15"/>
      <c r="HSE235" s="15"/>
      <c r="HSF235" s="15"/>
      <c r="HSG235" s="15"/>
      <c r="HSH235" s="10"/>
      <c r="HSI235" s="10"/>
      <c r="HSJ235" s="21"/>
      <c r="HSK235" s="21"/>
      <c r="HSN235" s="21"/>
      <c r="HSO235" s="15"/>
      <c r="HSP235" s="15"/>
      <c r="HSQ235" s="15"/>
      <c r="HSR235" s="15"/>
      <c r="HSS235" s="15"/>
      <c r="HST235" s="15"/>
      <c r="HSU235" s="15"/>
      <c r="HSV235" s="15"/>
      <c r="HSW235" s="15"/>
      <c r="HSX235" s="15"/>
      <c r="HSY235" s="10"/>
      <c r="HSZ235" s="10"/>
      <c r="HTA235" s="21"/>
      <c r="HTB235" s="21"/>
      <c r="HTE235" s="21"/>
      <c r="HTF235" s="15"/>
      <c r="HTG235" s="15"/>
      <c r="HTH235" s="15"/>
      <c r="HTI235" s="15"/>
      <c r="HTJ235" s="15"/>
      <c r="HTK235" s="15"/>
      <c r="HTL235" s="15"/>
      <c r="HTM235" s="15"/>
      <c r="HTN235" s="15"/>
      <c r="HTO235" s="15"/>
      <c r="HTP235" s="10"/>
      <c r="HTQ235" s="10"/>
      <c r="HTR235" s="21"/>
      <c r="HTS235" s="21"/>
      <c r="HTV235" s="21"/>
      <c r="HTW235" s="15"/>
      <c r="HTX235" s="15"/>
      <c r="HTY235" s="15"/>
      <c r="HTZ235" s="15"/>
      <c r="HUA235" s="15"/>
      <c r="HUB235" s="15"/>
      <c r="HUC235" s="15"/>
      <c r="HUD235" s="15"/>
      <c r="HUE235" s="15"/>
      <c r="HUF235" s="15"/>
      <c r="HUG235" s="10"/>
      <c r="HUH235" s="10"/>
      <c r="HUI235" s="21"/>
      <c r="HUJ235" s="21"/>
      <c r="HUM235" s="21"/>
      <c r="HUN235" s="15"/>
      <c r="HUO235" s="15"/>
      <c r="HUP235" s="15"/>
      <c r="HUQ235" s="15"/>
      <c r="HUR235" s="15"/>
      <c r="HUS235" s="15"/>
      <c r="HUT235" s="15"/>
      <c r="HUU235" s="15"/>
      <c r="HUV235" s="15"/>
      <c r="HUW235" s="15"/>
      <c r="HUX235" s="10"/>
      <c r="HUY235" s="10"/>
      <c r="HUZ235" s="21"/>
      <c r="HVA235" s="21"/>
      <c r="HVD235" s="21"/>
      <c r="HVE235" s="15"/>
      <c r="HVF235" s="15"/>
      <c r="HVG235" s="15"/>
      <c r="HVH235" s="15"/>
      <c r="HVI235" s="15"/>
      <c r="HVJ235" s="15"/>
      <c r="HVK235" s="15"/>
      <c r="HVL235" s="15"/>
      <c r="HVM235" s="15"/>
      <c r="HVN235" s="15"/>
      <c r="HVO235" s="10"/>
      <c r="HVP235" s="10"/>
      <c r="HVQ235" s="21"/>
      <c r="HVR235" s="21"/>
      <c r="HVU235" s="21"/>
      <c r="HVV235" s="15"/>
      <c r="HVW235" s="15"/>
      <c r="HVX235" s="15"/>
      <c r="HVY235" s="15"/>
      <c r="HVZ235" s="15"/>
      <c r="HWA235" s="15"/>
      <c r="HWB235" s="15"/>
      <c r="HWC235" s="15"/>
      <c r="HWD235" s="15"/>
      <c r="HWE235" s="15"/>
      <c r="HWF235" s="10"/>
      <c r="HWG235" s="10"/>
      <c r="HWH235" s="21"/>
      <c r="HWI235" s="21"/>
      <c r="HWL235" s="21"/>
      <c r="HWM235" s="15"/>
      <c r="HWN235" s="15"/>
      <c r="HWO235" s="15"/>
      <c r="HWP235" s="15"/>
      <c r="HWQ235" s="15"/>
      <c r="HWR235" s="15"/>
      <c r="HWS235" s="15"/>
      <c r="HWT235" s="15"/>
      <c r="HWU235" s="15"/>
      <c r="HWV235" s="15"/>
      <c r="HWW235" s="10"/>
      <c r="HWX235" s="10"/>
      <c r="HWY235" s="21"/>
      <c r="HWZ235" s="21"/>
      <c r="HXC235" s="21"/>
      <c r="HXD235" s="15"/>
      <c r="HXE235" s="15"/>
      <c r="HXF235" s="15"/>
      <c r="HXG235" s="15"/>
      <c r="HXH235" s="15"/>
      <c r="HXI235" s="15"/>
      <c r="HXJ235" s="15"/>
      <c r="HXK235" s="15"/>
      <c r="HXL235" s="15"/>
      <c r="HXM235" s="15"/>
      <c r="HXN235" s="10"/>
      <c r="HXO235" s="10"/>
      <c r="HXP235" s="21"/>
      <c r="HXQ235" s="21"/>
      <c r="HXT235" s="21"/>
      <c r="HXU235" s="15"/>
      <c r="HXV235" s="15"/>
      <c r="HXW235" s="15"/>
      <c r="HXX235" s="15"/>
      <c r="HXY235" s="15"/>
      <c r="HXZ235" s="15"/>
      <c r="HYA235" s="15"/>
      <c r="HYB235" s="15"/>
      <c r="HYC235" s="15"/>
      <c r="HYD235" s="15"/>
      <c r="HYE235" s="10"/>
      <c r="HYF235" s="10"/>
      <c r="HYG235" s="21"/>
      <c r="HYH235" s="21"/>
      <c r="HYK235" s="21"/>
      <c r="HYL235" s="15"/>
      <c r="HYM235" s="15"/>
      <c r="HYN235" s="15"/>
      <c r="HYO235" s="15"/>
      <c r="HYP235" s="15"/>
      <c r="HYQ235" s="15"/>
      <c r="HYR235" s="15"/>
      <c r="HYS235" s="15"/>
      <c r="HYT235" s="15"/>
      <c r="HYU235" s="15"/>
      <c r="HYV235" s="10"/>
      <c r="HYW235" s="10"/>
      <c r="HYX235" s="21"/>
      <c r="HYY235" s="21"/>
      <c r="HZB235" s="21"/>
      <c r="HZC235" s="15"/>
      <c r="HZD235" s="15"/>
      <c r="HZE235" s="15"/>
      <c r="HZF235" s="15"/>
      <c r="HZG235" s="15"/>
      <c r="HZH235" s="15"/>
      <c r="HZI235" s="15"/>
      <c r="HZJ235" s="15"/>
      <c r="HZK235" s="15"/>
      <c r="HZL235" s="15"/>
      <c r="HZM235" s="10"/>
      <c r="HZN235" s="10"/>
      <c r="HZO235" s="21"/>
      <c r="HZP235" s="21"/>
      <c r="HZS235" s="21"/>
      <c r="HZT235" s="15"/>
      <c r="HZU235" s="15"/>
      <c r="HZV235" s="15"/>
      <c r="HZW235" s="15"/>
      <c r="HZX235" s="15"/>
      <c r="HZY235" s="15"/>
      <c r="HZZ235" s="15"/>
      <c r="IAA235" s="15"/>
      <c r="IAB235" s="15"/>
      <c r="IAC235" s="15"/>
      <c r="IAD235" s="10"/>
      <c r="IAE235" s="10"/>
      <c r="IAF235" s="21"/>
      <c r="IAG235" s="21"/>
      <c r="IAJ235" s="21"/>
      <c r="IAK235" s="15"/>
      <c r="IAL235" s="15"/>
      <c r="IAM235" s="15"/>
      <c r="IAN235" s="15"/>
      <c r="IAO235" s="15"/>
      <c r="IAP235" s="15"/>
      <c r="IAQ235" s="15"/>
      <c r="IAR235" s="15"/>
      <c r="IAS235" s="15"/>
      <c r="IAT235" s="15"/>
      <c r="IAU235" s="10"/>
      <c r="IAV235" s="10"/>
      <c r="IAW235" s="21"/>
      <c r="IAX235" s="21"/>
      <c r="IBA235" s="21"/>
      <c r="IBB235" s="15"/>
      <c r="IBC235" s="15"/>
      <c r="IBD235" s="15"/>
      <c r="IBE235" s="15"/>
      <c r="IBF235" s="15"/>
      <c r="IBG235" s="15"/>
      <c r="IBH235" s="15"/>
      <c r="IBI235" s="15"/>
      <c r="IBJ235" s="15"/>
      <c r="IBK235" s="15"/>
      <c r="IBL235" s="10"/>
      <c r="IBM235" s="10"/>
      <c r="IBN235" s="21"/>
      <c r="IBO235" s="21"/>
      <c r="IBR235" s="21"/>
      <c r="IBS235" s="15"/>
      <c r="IBT235" s="15"/>
      <c r="IBU235" s="15"/>
      <c r="IBV235" s="15"/>
      <c r="IBW235" s="15"/>
      <c r="IBX235" s="15"/>
      <c r="IBY235" s="15"/>
      <c r="IBZ235" s="15"/>
      <c r="ICA235" s="15"/>
      <c r="ICB235" s="15"/>
      <c r="ICC235" s="10"/>
      <c r="ICD235" s="10"/>
      <c r="ICE235" s="21"/>
      <c r="ICF235" s="21"/>
      <c r="ICI235" s="21"/>
      <c r="ICJ235" s="15"/>
      <c r="ICK235" s="15"/>
      <c r="ICL235" s="15"/>
      <c r="ICM235" s="15"/>
      <c r="ICN235" s="15"/>
      <c r="ICO235" s="15"/>
      <c r="ICP235" s="15"/>
      <c r="ICQ235" s="15"/>
      <c r="ICR235" s="15"/>
      <c r="ICS235" s="15"/>
      <c r="ICT235" s="10"/>
      <c r="ICU235" s="10"/>
      <c r="ICV235" s="21"/>
      <c r="ICW235" s="21"/>
      <c r="ICZ235" s="21"/>
      <c r="IDA235" s="15"/>
      <c r="IDB235" s="15"/>
      <c r="IDC235" s="15"/>
      <c r="IDD235" s="15"/>
      <c r="IDE235" s="15"/>
      <c r="IDF235" s="15"/>
      <c r="IDG235" s="15"/>
      <c r="IDH235" s="15"/>
      <c r="IDI235" s="15"/>
      <c r="IDJ235" s="15"/>
      <c r="IDK235" s="10"/>
      <c r="IDL235" s="10"/>
      <c r="IDM235" s="21"/>
      <c r="IDN235" s="21"/>
      <c r="IDQ235" s="21"/>
      <c r="IDR235" s="15"/>
      <c r="IDS235" s="15"/>
      <c r="IDT235" s="15"/>
      <c r="IDU235" s="15"/>
      <c r="IDV235" s="15"/>
      <c r="IDW235" s="15"/>
      <c r="IDX235" s="15"/>
      <c r="IDY235" s="15"/>
      <c r="IDZ235" s="15"/>
      <c r="IEA235" s="15"/>
      <c r="IEB235" s="10"/>
      <c r="IEC235" s="10"/>
      <c r="IED235" s="21"/>
      <c r="IEE235" s="21"/>
      <c r="IEH235" s="21"/>
      <c r="IEI235" s="15"/>
      <c r="IEJ235" s="15"/>
      <c r="IEK235" s="15"/>
      <c r="IEL235" s="15"/>
      <c r="IEM235" s="15"/>
      <c r="IEN235" s="15"/>
      <c r="IEO235" s="15"/>
      <c r="IEP235" s="15"/>
      <c r="IEQ235" s="15"/>
      <c r="IER235" s="15"/>
      <c r="IES235" s="10"/>
      <c r="IET235" s="10"/>
      <c r="IEU235" s="21"/>
      <c r="IEV235" s="21"/>
      <c r="IEY235" s="21"/>
      <c r="IEZ235" s="15"/>
      <c r="IFA235" s="15"/>
      <c r="IFB235" s="15"/>
      <c r="IFC235" s="15"/>
      <c r="IFD235" s="15"/>
      <c r="IFE235" s="15"/>
      <c r="IFF235" s="15"/>
      <c r="IFG235" s="15"/>
      <c r="IFH235" s="15"/>
      <c r="IFI235" s="15"/>
      <c r="IFJ235" s="10"/>
      <c r="IFK235" s="10"/>
      <c r="IFL235" s="21"/>
      <c r="IFM235" s="21"/>
      <c r="IFP235" s="21"/>
      <c r="IFQ235" s="15"/>
      <c r="IFR235" s="15"/>
      <c r="IFS235" s="15"/>
      <c r="IFT235" s="15"/>
      <c r="IFU235" s="15"/>
      <c r="IFV235" s="15"/>
      <c r="IFW235" s="15"/>
      <c r="IFX235" s="15"/>
      <c r="IFY235" s="15"/>
      <c r="IFZ235" s="15"/>
      <c r="IGA235" s="10"/>
      <c r="IGB235" s="10"/>
      <c r="IGC235" s="21"/>
      <c r="IGD235" s="21"/>
      <c r="IGG235" s="21"/>
      <c r="IGH235" s="15"/>
      <c r="IGI235" s="15"/>
      <c r="IGJ235" s="15"/>
      <c r="IGK235" s="15"/>
      <c r="IGL235" s="15"/>
      <c r="IGM235" s="15"/>
      <c r="IGN235" s="15"/>
      <c r="IGO235" s="15"/>
      <c r="IGP235" s="15"/>
      <c r="IGQ235" s="15"/>
      <c r="IGR235" s="10"/>
      <c r="IGS235" s="10"/>
      <c r="IGT235" s="21"/>
      <c r="IGU235" s="21"/>
      <c r="IGX235" s="21"/>
      <c r="IGY235" s="15"/>
      <c r="IGZ235" s="15"/>
      <c r="IHA235" s="15"/>
      <c r="IHB235" s="15"/>
      <c r="IHC235" s="15"/>
      <c r="IHD235" s="15"/>
      <c r="IHE235" s="15"/>
      <c r="IHF235" s="15"/>
      <c r="IHG235" s="15"/>
      <c r="IHH235" s="15"/>
      <c r="IHI235" s="10"/>
      <c r="IHJ235" s="10"/>
      <c r="IHK235" s="21"/>
      <c r="IHL235" s="21"/>
      <c r="IHO235" s="21"/>
      <c r="IHP235" s="15"/>
      <c r="IHQ235" s="15"/>
      <c r="IHR235" s="15"/>
      <c r="IHS235" s="15"/>
      <c r="IHT235" s="15"/>
      <c r="IHU235" s="15"/>
      <c r="IHV235" s="15"/>
      <c r="IHW235" s="15"/>
      <c r="IHX235" s="15"/>
      <c r="IHY235" s="15"/>
      <c r="IHZ235" s="10"/>
      <c r="IIA235" s="10"/>
      <c r="IIB235" s="21"/>
      <c r="IIC235" s="21"/>
      <c r="IIF235" s="21"/>
      <c r="IIG235" s="15"/>
      <c r="IIH235" s="15"/>
      <c r="III235" s="15"/>
      <c r="IIJ235" s="15"/>
      <c r="IIK235" s="15"/>
      <c r="IIL235" s="15"/>
      <c r="IIM235" s="15"/>
      <c r="IIN235" s="15"/>
      <c r="IIO235" s="15"/>
      <c r="IIP235" s="15"/>
      <c r="IIQ235" s="10"/>
      <c r="IIR235" s="10"/>
      <c r="IIS235" s="21"/>
      <c r="IIT235" s="21"/>
      <c r="IIW235" s="21"/>
      <c r="IIX235" s="15"/>
      <c r="IIY235" s="15"/>
      <c r="IIZ235" s="15"/>
      <c r="IJA235" s="15"/>
      <c r="IJB235" s="15"/>
      <c r="IJC235" s="15"/>
      <c r="IJD235" s="15"/>
      <c r="IJE235" s="15"/>
      <c r="IJF235" s="15"/>
      <c r="IJG235" s="15"/>
      <c r="IJH235" s="10"/>
      <c r="IJI235" s="10"/>
      <c r="IJJ235" s="21"/>
      <c r="IJK235" s="21"/>
      <c r="IJN235" s="21"/>
      <c r="IJO235" s="15"/>
      <c r="IJP235" s="15"/>
      <c r="IJQ235" s="15"/>
      <c r="IJR235" s="15"/>
      <c r="IJS235" s="15"/>
      <c r="IJT235" s="15"/>
      <c r="IJU235" s="15"/>
      <c r="IJV235" s="15"/>
      <c r="IJW235" s="15"/>
      <c r="IJX235" s="15"/>
      <c r="IJY235" s="10"/>
      <c r="IJZ235" s="10"/>
      <c r="IKA235" s="21"/>
      <c r="IKB235" s="21"/>
      <c r="IKE235" s="21"/>
      <c r="IKF235" s="15"/>
      <c r="IKG235" s="15"/>
      <c r="IKH235" s="15"/>
      <c r="IKI235" s="15"/>
      <c r="IKJ235" s="15"/>
      <c r="IKK235" s="15"/>
      <c r="IKL235" s="15"/>
      <c r="IKM235" s="15"/>
      <c r="IKN235" s="15"/>
      <c r="IKO235" s="15"/>
      <c r="IKP235" s="10"/>
      <c r="IKQ235" s="10"/>
      <c r="IKR235" s="21"/>
      <c r="IKS235" s="21"/>
      <c r="IKV235" s="21"/>
      <c r="IKW235" s="15"/>
      <c r="IKX235" s="15"/>
      <c r="IKY235" s="15"/>
      <c r="IKZ235" s="15"/>
      <c r="ILA235" s="15"/>
      <c r="ILB235" s="15"/>
      <c r="ILC235" s="15"/>
      <c r="ILD235" s="15"/>
      <c r="ILE235" s="15"/>
      <c r="ILF235" s="15"/>
      <c r="ILG235" s="10"/>
      <c r="ILH235" s="10"/>
      <c r="ILI235" s="21"/>
      <c r="ILJ235" s="21"/>
      <c r="ILM235" s="21"/>
      <c r="ILN235" s="15"/>
      <c r="ILO235" s="15"/>
      <c r="ILP235" s="15"/>
      <c r="ILQ235" s="15"/>
      <c r="ILR235" s="15"/>
      <c r="ILS235" s="15"/>
      <c r="ILT235" s="15"/>
      <c r="ILU235" s="15"/>
      <c r="ILV235" s="15"/>
      <c r="ILW235" s="15"/>
      <c r="ILX235" s="10"/>
      <c r="ILY235" s="10"/>
      <c r="ILZ235" s="21"/>
      <c r="IMA235" s="21"/>
      <c r="IMD235" s="21"/>
      <c r="IME235" s="15"/>
      <c r="IMF235" s="15"/>
      <c r="IMG235" s="15"/>
      <c r="IMH235" s="15"/>
      <c r="IMI235" s="15"/>
      <c r="IMJ235" s="15"/>
      <c r="IMK235" s="15"/>
      <c r="IML235" s="15"/>
      <c r="IMM235" s="15"/>
      <c r="IMN235" s="15"/>
      <c r="IMO235" s="10"/>
      <c r="IMP235" s="10"/>
      <c r="IMQ235" s="21"/>
      <c r="IMR235" s="21"/>
      <c r="IMU235" s="21"/>
      <c r="IMV235" s="15"/>
      <c r="IMW235" s="15"/>
      <c r="IMX235" s="15"/>
      <c r="IMY235" s="15"/>
      <c r="IMZ235" s="15"/>
      <c r="INA235" s="15"/>
      <c r="INB235" s="15"/>
      <c r="INC235" s="15"/>
      <c r="IND235" s="15"/>
      <c r="INE235" s="15"/>
      <c r="INF235" s="10"/>
      <c r="ING235" s="10"/>
      <c r="INH235" s="21"/>
      <c r="INI235" s="21"/>
      <c r="INL235" s="21"/>
      <c r="INM235" s="15"/>
      <c r="INN235" s="15"/>
      <c r="INO235" s="15"/>
      <c r="INP235" s="15"/>
      <c r="INQ235" s="15"/>
      <c r="INR235" s="15"/>
      <c r="INS235" s="15"/>
      <c r="INT235" s="15"/>
      <c r="INU235" s="15"/>
      <c r="INV235" s="15"/>
      <c r="INW235" s="10"/>
      <c r="INX235" s="10"/>
      <c r="INY235" s="21"/>
      <c r="INZ235" s="21"/>
      <c r="IOC235" s="21"/>
      <c r="IOD235" s="15"/>
      <c r="IOE235" s="15"/>
      <c r="IOF235" s="15"/>
      <c r="IOG235" s="15"/>
      <c r="IOH235" s="15"/>
      <c r="IOI235" s="15"/>
      <c r="IOJ235" s="15"/>
      <c r="IOK235" s="15"/>
      <c r="IOL235" s="15"/>
      <c r="IOM235" s="15"/>
      <c r="ION235" s="10"/>
      <c r="IOO235" s="10"/>
      <c r="IOP235" s="21"/>
      <c r="IOQ235" s="21"/>
      <c r="IOT235" s="21"/>
      <c r="IOU235" s="15"/>
      <c r="IOV235" s="15"/>
      <c r="IOW235" s="15"/>
      <c r="IOX235" s="15"/>
      <c r="IOY235" s="15"/>
      <c r="IOZ235" s="15"/>
      <c r="IPA235" s="15"/>
      <c r="IPB235" s="15"/>
      <c r="IPC235" s="15"/>
      <c r="IPD235" s="15"/>
      <c r="IPE235" s="10"/>
      <c r="IPF235" s="10"/>
      <c r="IPG235" s="21"/>
      <c r="IPH235" s="21"/>
      <c r="IPK235" s="21"/>
      <c r="IPL235" s="15"/>
      <c r="IPM235" s="15"/>
      <c r="IPN235" s="15"/>
      <c r="IPO235" s="15"/>
      <c r="IPP235" s="15"/>
      <c r="IPQ235" s="15"/>
      <c r="IPR235" s="15"/>
      <c r="IPS235" s="15"/>
      <c r="IPT235" s="15"/>
      <c r="IPU235" s="15"/>
      <c r="IPV235" s="10"/>
      <c r="IPW235" s="10"/>
      <c r="IPX235" s="21"/>
      <c r="IPY235" s="21"/>
      <c r="IQB235" s="21"/>
      <c r="IQC235" s="15"/>
      <c r="IQD235" s="15"/>
      <c r="IQE235" s="15"/>
      <c r="IQF235" s="15"/>
      <c r="IQG235" s="15"/>
      <c r="IQH235" s="15"/>
      <c r="IQI235" s="15"/>
      <c r="IQJ235" s="15"/>
      <c r="IQK235" s="15"/>
      <c r="IQL235" s="15"/>
      <c r="IQM235" s="10"/>
      <c r="IQN235" s="10"/>
      <c r="IQO235" s="21"/>
      <c r="IQP235" s="21"/>
      <c r="IQS235" s="21"/>
      <c r="IQT235" s="15"/>
      <c r="IQU235" s="15"/>
      <c r="IQV235" s="15"/>
      <c r="IQW235" s="15"/>
      <c r="IQX235" s="15"/>
      <c r="IQY235" s="15"/>
      <c r="IQZ235" s="15"/>
      <c r="IRA235" s="15"/>
      <c r="IRB235" s="15"/>
      <c r="IRC235" s="15"/>
      <c r="IRD235" s="10"/>
      <c r="IRE235" s="10"/>
      <c r="IRF235" s="21"/>
      <c r="IRG235" s="21"/>
      <c r="IRJ235" s="21"/>
      <c r="IRK235" s="15"/>
      <c r="IRL235" s="15"/>
      <c r="IRM235" s="15"/>
      <c r="IRN235" s="15"/>
      <c r="IRO235" s="15"/>
      <c r="IRP235" s="15"/>
      <c r="IRQ235" s="15"/>
      <c r="IRR235" s="15"/>
      <c r="IRS235" s="15"/>
      <c r="IRT235" s="15"/>
      <c r="IRU235" s="10"/>
      <c r="IRV235" s="10"/>
      <c r="IRW235" s="21"/>
      <c r="IRX235" s="21"/>
      <c r="ISA235" s="21"/>
      <c r="ISB235" s="15"/>
      <c r="ISC235" s="15"/>
      <c r="ISD235" s="15"/>
      <c r="ISE235" s="15"/>
      <c r="ISF235" s="15"/>
      <c r="ISG235" s="15"/>
      <c r="ISH235" s="15"/>
      <c r="ISI235" s="15"/>
      <c r="ISJ235" s="15"/>
      <c r="ISK235" s="15"/>
      <c r="ISL235" s="10"/>
      <c r="ISM235" s="10"/>
      <c r="ISN235" s="21"/>
      <c r="ISO235" s="21"/>
      <c r="ISR235" s="21"/>
      <c r="ISS235" s="15"/>
      <c r="IST235" s="15"/>
      <c r="ISU235" s="15"/>
      <c r="ISV235" s="15"/>
      <c r="ISW235" s="15"/>
      <c r="ISX235" s="15"/>
      <c r="ISY235" s="15"/>
      <c r="ISZ235" s="15"/>
      <c r="ITA235" s="15"/>
      <c r="ITB235" s="15"/>
      <c r="ITC235" s="10"/>
      <c r="ITD235" s="10"/>
      <c r="ITE235" s="21"/>
      <c r="ITF235" s="21"/>
      <c r="ITI235" s="21"/>
      <c r="ITJ235" s="15"/>
      <c r="ITK235" s="15"/>
      <c r="ITL235" s="15"/>
      <c r="ITM235" s="15"/>
      <c r="ITN235" s="15"/>
      <c r="ITO235" s="15"/>
      <c r="ITP235" s="15"/>
      <c r="ITQ235" s="15"/>
      <c r="ITR235" s="15"/>
      <c r="ITS235" s="15"/>
      <c r="ITT235" s="10"/>
      <c r="ITU235" s="10"/>
      <c r="ITV235" s="21"/>
      <c r="ITW235" s="21"/>
      <c r="ITZ235" s="21"/>
      <c r="IUA235" s="15"/>
      <c r="IUB235" s="15"/>
      <c r="IUC235" s="15"/>
      <c r="IUD235" s="15"/>
      <c r="IUE235" s="15"/>
      <c r="IUF235" s="15"/>
      <c r="IUG235" s="15"/>
      <c r="IUH235" s="15"/>
      <c r="IUI235" s="15"/>
      <c r="IUJ235" s="15"/>
      <c r="IUK235" s="10"/>
      <c r="IUL235" s="10"/>
      <c r="IUM235" s="21"/>
      <c r="IUN235" s="21"/>
      <c r="IUQ235" s="21"/>
      <c r="IUR235" s="15"/>
      <c r="IUS235" s="15"/>
      <c r="IUT235" s="15"/>
      <c r="IUU235" s="15"/>
      <c r="IUV235" s="15"/>
      <c r="IUW235" s="15"/>
      <c r="IUX235" s="15"/>
      <c r="IUY235" s="15"/>
      <c r="IUZ235" s="15"/>
      <c r="IVA235" s="15"/>
      <c r="IVB235" s="10"/>
      <c r="IVC235" s="10"/>
      <c r="IVD235" s="21"/>
      <c r="IVE235" s="21"/>
      <c r="IVH235" s="21"/>
      <c r="IVI235" s="15"/>
      <c r="IVJ235" s="15"/>
      <c r="IVK235" s="15"/>
      <c r="IVL235" s="15"/>
      <c r="IVM235" s="15"/>
      <c r="IVN235" s="15"/>
      <c r="IVO235" s="15"/>
      <c r="IVP235" s="15"/>
      <c r="IVQ235" s="15"/>
      <c r="IVR235" s="15"/>
      <c r="IVS235" s="10"/>
      <c r="IVT235" s="10"/>
      <c r="IVU235" s="21"/>
      <c r="IVV235" s="21"/>
      <c r="IVY235" s="21"/>
      <c r="IVZ235" s="15"/>
      <c r="IWA235" s="15"/>
      <c r="IWB235" s="15"/>
      <c r="IWC235" s="15"/>
      <c r="IWD235" s="15"/>
      <c r="IWE235" s="15"/>
      <c r="IWF235" s="15"/>
      <c r="IWG235" s="15"/>
      <c r="IWH235" s="15"/>
      <c r="IWI235" s="15"/>
      <c r="IWJ235" s="10"/>
      <c r="IWK235" s="10"/>
      <c r="IWL235" s="21"/>
      <c r="IWM235" s="21"/>
      <c r="IWP235" s="21"/>
      <c r="IWQ235" s="15"/>
      <c r="IWR235" s="15"/>
      <c r="IWS235" s="15"/>
      <c r="IWT235" s="15"/>
      <c r="IWU235" s="15"/>
      <c r="IWV235" s="15"/>
      <c r="IWW235" s="15"/>
      <c r="IWX235" s="15"/>
      <c r="IWY235" s="15"/>
      <c r="IWZ235" s="15"/>
      <c r="IXA235" s="10"/>
      <c r="IXB235" s="10"/>
      <c r="IXC235" s="21"/>
      <c r="IXD235" s="21"/>
      <c r="IXG235" s="21"/>
      <c r="IXH235" s="15"/>
      <c r="IXI235" s="15"/>
      <c r="IXJ235" s="15"/>
      <c r="IXK235" s="15"/>
      <c r="IXL235" s="15"/>
      <c r="IXM235" s="15"/>
      <c r="IXN235" s="15"/>
      <c r="IXO235" s="15"/>
      <c r="IXP235" s="15"/>
      <c r="IXQ235" s="15"/>
      <c r="IXR235" s="10"/>
      <c r="IXS235" s="10"/>
      <c r="IXT235" s="21"/>
      <c r="IXU235" s="21"/>
      <c r="IXX235" s="21"/>
      <c r="IXY235" s="15"/>
      <c r="IXZ235" s="15"/>
      <c r="IYA235" s="15"/>
      <c r="IYB235" s="15"/>
      <c r="IYC235" s="15"/>
      <c r="IYD235" s="15"/>
      <c r="IYE235" s="15"/>
      <c r="IYF235" s="15"/>
      <c r="IYG235" s="15"/>
      <c r="IYH235" s="15"/>
      <c r="IYI235" s="10"/>
      <c r="IYJ235" s="10"/>
      <c r="IYK235" s="21"/>
      <c r="IYL235" s="21"/>
      <c r="IYO235" s="21"/>
      <c r="IYP235" s="15"/>
      <c r="IYQ235" s="15"/>
      <c r="IYR235" s="15"/>
      <c r="IYS235" s="15"/>
      <c r="IYT235" s="15"/>
      <c r="IYU235" s="15"/>
      <c r="IYV235" s="15"/>
      <c r="IYW235" s="15"/>
      <c r="IYX235" s="15"/>
      <c r="IYY235" s="15"/>
      <c r="IYZ235" s="10"/>
      <c r="IZA235" s="10"/>
      <c r="IZB235" s="21"/>
      <c r="IZC235" s="21"/>
      <c r="IZF235" s="21"/>
      <c r="IZG235" s="15"/>
      <c r="IZH235" s="15"/>
      <c r="IZI235" s="15"/>
      <c r="IZJ235" s="15"/>
      <c r="IZK235" s="15"/>
      <c r="IZL235" s="15"/>
      <c r="IZM235" s="15"/>
      <c r="IZN235" s="15"/>
      <c r="IZO235" s="15"/>
      <c r="IZP235" s="15"/>
      <c r="IZQ235" s="10"/>
      <c r="IZR235" s="10"/>
      <c r="IZS235" s="21"/>
      <c r="IZT235" s="21"/>
      <c r="IZW235" s="21"/>
      <c r="IZX235" s="15"/>
      <c r="IZY235" s="15"/>
      <c r="IZZ235" s="15"/>
      <c r="JAA235" s="15"/>
      <c r="JAB235" s="15"/>
      <c r="JAC235" s="15"/>
      <c r="JAD235" s="15"/>
      <c r="JAE235" s="15"/>
      <c r="JAF235" s="15"/>
      <c r="JAG235" s="15"/>
      <c r="JAH235" s="10"/>
      <c r="JAI235" s="10"/>
      <c r="JAJ235" s="21"/>
      <c r="JAK235" s="21"/>
      <c r="JAN235" s="21"/>
      <c r="JAO235" s="15"/>
      <c r="JAP235" s="15"/>
      <c r="JAQ235" s="15"/>
      <c r="JAR235" s="15"/>
      <c r="JAS235" s="15"/>
      <c r="JAT235" s="15"/>
      <c r="JAU235" s="15"/>
      <c r="JAV235" s="15"/>
      <c r="JAW235" s="15"/>
      <c r="JAX235" s="15"/>
      <c r="JAY235" s="10"/>
      <c r="JAZ235" s="10"/>
      <c r="JBA235" s="21"/>
      <c r="JBB235" s="21"/>
      <c r="JBE235" s="21"/>
      <c r="JBF235" s="15"/>
      <c r="JBG235" s="15"/>
      <c r="JBH235" s="15"/>
      <c r="JBI235" s="15"/>
      <c r="JBJ235" s="15"/>
      <c r="JBK235" s="15"/>
      <c r="JBL235" s="15"/>
      <c r="JBM235" s="15"/>
      <c r="JBN235" s="15"/>
      <c r="JBO235" s="15"/>
      <c r="JBP235" s="10"/>
      <c r="JBQ235" s="10"/>
      <c r="JBR235" s="21"/>
      <c r="JBS235" s="21"/>
      <c r="JBV235" s="21"/>
      <c r="JBW235" s="15"/>
      <c r="JBX235" s="15"/>
      <c r="JBY235" s="15"/>
      <c r="JBZ235" s="15"/>
      <c r="JCA235" s="15"/>
      <c r="JCB235" s="15"/>
      <c r="JCC235" s="15"/>
      <c r="JCD235" s="15"/>
      <c r="JCE235" s="15"/>
      <c r="JCF235" s="15"/>
      <c r="JCG235" s="10"/>
      <c r="JCH235" s="10"/>
      <c r="JCI235" s="21"/>
      <c r="JCJ235" s="21"/>
      <c r="JCM235" s="21"/>
      <c r="JCN235" s="15"/>
      <c r="JCO235" s="15"/>
      <c r="JCP235" s="15"/>
      <c r="JCQ235" s="15"/>
      <c r="JCR235" s="15"/>
      <c r="JCS235" s="15"/>
      <c r="JCT235" s="15"/>
      <c r="JCU235" s="15"/>
      <c r="JCV235" s="15"/>
      <c r="JCW235" s="15"/>
      <c r="JCX235" s="10"/>
      <c r="JCY235" s="10"/>
      <c r="JCZ235" s="21"/>
      <c r="JDA235" s="21"/>
      <c r="JDD235" s="21"/>
      <c r="JDE235" s="15"/>
      <c r="JDF235" s="15"/>
      <c r="JDG235" s="15"/>
      <c r="JDH235" s="15"/>
      <c r="JDI235" s="15"/>
      <c r="JDJ235" s="15"/>
      <c r="JDK235" s="15"/>
      <c r="JDL235" s="15"/>
      <c r="JDM235" s="15"/>
      <c r="JDN235" s="15"/>
      <c r="JDO235" s="10"/>
      <c r="JDP235" s="10"/>
      <c r="JDQ235" s="21"/>
      <c r="JDR235" s="21"/>
      <c r="JDU235" s="21"/>
      <c r="JDV235" s="15"/>
      <c r="JDW235" s="15"/>
      <c r="JDX235" s="15"/>
      <c r="JDY235" s="15"/>
      <c r="JDZ235" s="15"/>
      <c r="JEA235" s="15"/>
      <c r="JEB235" s="15"/>
      <c r="JEC235" s="15"/>
      <c r="JED235" s="15"/>
      <c r="JEE235" s="15"/>
      <c r="JEF235" s="10"/>
      <c r="JEG235" s="10"/>
      <c r="JEH235" s="21"/>
      <c r="JEI235" s="21"/>
      <c r="JEL235" s="21"/>
      <c r="JEM235" s="15"/>
      <c r="JEN235" s="15"/>
      <c r="JEO235" s="15"/>
      <c r="JEP235" s="15"/>
      <c r="JEQ235" s="15"/>
      <c r="JER235" s="15"/>
      <c r="JES235" s="15"/>
      <c r="JET235" s="15"/>
      <c r="JEU235" s="15"/>
      <c r="JEV235" s="15"/>
      <c r="JEW235" s="10"/>
      <c r="JEX235" s="10"/>
      <c r="JEY235" s="21"/>
      <c r="JEZ235" s="21"/>
      <c r="JFC235" s="21"/>
      <c r="JFD235" s="15"/>
      <c r="JFE235" s="15"/>
      <c r="JFF235" s="15"/>
      <c r="JFG235" s="15"/>
      <c r="JFH235" s="15"/>
      <c r="JFI235" s="15"/>
      <c r="JFJ235" s="15"/>
      <c r="JFK235" s="15"/>
      <c r="JFL235" s="15"/>
      <c r="JFM235" s="15"/>
      <c r="JFN235" s="10"/>
      <c r="JFO235" s="10"/>
      <c r="JFP235" s="21"/>
      <c r="JFQ235" s="21"/>
      <c r="JFT235" s="21"/>
      <c r="JFU235" s="15"/>
      <c r="JFV235" s="15"/>
      <c r="JFW235" s="15"/>
      <c r="JFX235" s="15"/>
      <c r="JFY235" s="15"/>
      <c r="JFZ235" s="15"/>
      <c r="JGA235" s="15"/>
      <c r="JGB235" s="15"/>
      <c r="JGC235" s="15"/>
      <c r="JGD235" s="15"/>
      <c r="JGE235" s="10"/>
      <c r="JGF235" s="10"/>
      <c r="JGG235" s="21"/>
      <c r="JGH235" s="21"/>
      <c r="JGK235" s="21"/>
      <c r="JGL235" s="15"/>
      <c r="JGM235" s="15"/>
      <c r="JGN235" s="15"/>
      <c r="JGO235" s="15"/>
      <c r="JGP235" s="15"/>
      <c r="JGQ235" s="15"/>
      <c r="JGR235" s="15"/>
      <c r="JGS235" s="15"/>
      <c r="JGT235" s="15"/>
      <c r="JGU235" s="15"/>
      <c r="JGV235" s="10"/>
      <c r="JGW235" s="10"/>
      <c r="JGX235" s="21"/>
      <c r="JGY235" s="21"/>
      <c r="JHB235" s="21"/>
      <c r="JHC235" s="15"/>
      <c r="JHD235" s="15"/>
      <c r="JHE235" s="15"/>
      <c r="JHF235" s="15"/>
      <c r="JHG235" s="15"/>
      <c r="JHH235" s="15"/>
      <c r="JHI235" s="15"/>
      <c r="JHJ235" s="15"/>
      <c r="JHK235" s="15"/>
      <c r="JHL235" s="15"/>
      <c r="JHM235" s="10"/>
      <c r="JHN235" s="10"/>
      <c r="JHO235" s="21"/>
      <c r="JHP235" s="21"/>
      <c r="JHS235" s="21"/>
      <c r="JHT235" s="15"/>
      <c r="JHU235" s="15"/>
      <c r="JHV235" s="15"/>
      <c r="JHW235" s="15"/>
      <c r="JHX235" s="15"/>
      <c r="JHY235" s="15"/>
      <c r="JHZ235" s="15"/>
      <c r="JIA235" s="15"/>
      <c r="JIB235" s="15"/>
      <c r="JIC235" s="15"/>
      <c r="JID235" s="10"/>
      <c r="JIE235" s="10"/>
      <c r="JIF235" s="21"/>
      <c r="JIG235" s="21"/>
      <c r="JIJ235" s="21"/>
      <c r="JIK235" s="15"/>
      <c r="JIL235" s="15"/>
      <c r="JIM235" s="15"/>
      <c r="JIN235" s="15"/>
      <c r="JIO235" s="15"/>
      <c r="JIP235" s="15"/>
      <c r="JIQ235" s="15"/>
      <c r="JIR235" s="15"/>
      <c r="JIS235" s="15"/>
      <c r="JIT235" s="15"/>
      <c r="JIU235" s="10"/>
      <c r="JIV235" s="10"/>
      <c r="JIW235" s="21"/>
      <c r="JIX235" s="21"/>
      <c r="JJA235" s="21"/>
      <c r="JJB235" s="15"/>
      <c r="JJC235" s="15"/>
      <c r="JJD235" s="15"/>
      <c r="JJE235" s="15"/>
      <c r="JJF235" s="15"/>
      <c r="JJG235" s="15"/>
      <c r="JJH235" s="15"/>
      <c r="JJI235" s="15"/>
      <c r="JJJ235" s="15"/>
      <c r="JJK235" s="15"/>
      <c r="JJL235" s="10"/>
      <c r="JJM235" s="10"/>
      <c r="JJN235" s="21"/>
      <c r="JJO235" s="21"/>
      <c r="JJR235" s="21"/>
      <c r="JJS235" s="15"/>
      <c r="JJT235" s="15"/>
      <c r="JJU235" s="15"/>
      <c r="JJV235" s="15"/>
      <c r="JJW235" s="15"/>
      <c r="JJX235" s="15"/>
      <c r="JJY235" s="15"/>
      <c r="JJZ235" s="15"/>
      <c r="JKA235" s="15"/>
      <c r="JKB235" s="15"/>
      <c r="JKC235" s="10"/>
      <c r="JKD235" s="10"/>
      <c r="JKE235" s="21"/>
      <c r="JKF235" s="21"/>
      <c r="JKI235" s="21"/>
      <c r="JKJ235" s="15"/>
      <c r="JKK235" s="15"/>
      <c r="JKL235" s="15"/>
      <c r="JKM235" s="15"/>
      <c r="JKN235" s="15"/>
      <c r="JKO235" s="15"/>
      <c r="JKP235" s="15"/>
      <c r="JKQ235" s="15"/>
      <c r="JKR235" s="15"/>
      <c r="JKS235" s="15"/>
      <c r="JKT235" s="10"/>
      <c r="JKU235" s="10"/>
      <c r="JKV235" s="21"/>
      <c r="JKW235" s="21"/>
      <c r="JKZ235" s="21"/>
      <c r="JLA235" s="15"/>
      <c r="JLB235" s="15"/>
      <c r="JLC235" s="15"/>
      <c r="JLD235" s="15"/>
      <c r="JLE235" s="15"/>
      <c r="JLF235" s="15"/>
      <c r="JLG235" s="15"/>
      <c r="JLH235" s="15"/>
      <c r="JLI235" s="15"/>
      <c r="JLJ235" s="15"/>
      <c r="JLK235" s="10"/>
      <c r="JLL235" s="10"/>
      <c r="JLM235" s="21"/>
      <c r="JLN235" s="21"/>
      <c r="JLQ235" s="21"/>
      <c r="JLR235" s="15"/>
      <c r="JLS235" s="15"/>
      <c r="JLT235" s="15"/>
      <c r="JLU235" s="15"/>
      <c r="JLV235" s="15"/>
      <c r="JLW235" s="15"/>
      <c r="JLX235" s="15"/>
      <c r="JLY235" s="15"/>
      <c r="JLZ235" s="15"/>
      <c r="JMA235" s="15"/>
      <c r="JMB235" s="10"/>
      <c r="JMC235" s="10"/>
      <c r="JMD235" s="21"/>
      <c r="JME235" s="21"/>
      <c r="JMH235" s="21"/>
      <c r="JMI235" s="15"/>
      <c r="JMJ235" s="15"/>
      <c r="JMK235" s="15"/>
      <c r="JML235" s="15"/>
      <c r="JMM235" s="15"/>
      <c r="JMN235" s="15"/>
      <c r="JMO235" s="15"/>
      <c r="JMP235" s="15"/>
      <c r="JMQ235" s="15"/>
      <c r="JMR235" s="15"/>
      <c r="JMS235" s="10"/>
      <c r="JMT235" s="10"/>
      <c r="JMU235" s="21"/>
      <c r="JMV235" s="21"/>
      <c r="JMY235" s="21"/>
      <c r="JMZ235" s="15"/>
      <c r="JNA235" s="15"/>
      <c r="JNB235" s="15"/>
      <c r="JNC235" s="15"/>
      <c r="JND235" s="15"/>
      <c r="JNE235" s="15"/>
      <c r="JNF235" s="15"/>
      <c r="JNG235" s="15"/>
      <c r="JNH235" s="15"/>
      <c r="JNI235" s="15"/>
      <c r="JNJ235" s="10"/>
      <c r="JNK235" s="10"/>
      <c r="JNL235" s="21"/>
      <c r="JNM235" s="21"/>
      <c r="JNP235" s="21"/>
      <c r="JNQ235" s="15"/>
      <c r="JNR235" s="15"/>
      <c r="JNS235" s="15"/>
      <c r="JNT235" s="15"/>
      <c r="JNU235" s="15"/>
      <c r="JNV235" s="15"/>
      <c r="JNW235" s="15"/>
      <c r="JNX235" s="15"/>
      <c r="JNY235" s="15"/>
      <c r="JNZ235" s="15"/>
      <c r="JOA235" s="10"/>
      <c r="JOB235" s="10"/>
      <c r="JOC235" s="21"/>
      <c r="JOD235" s="21"/>
      <c r="JOG235" s="21"/>
      <c r="JOH235" s="15"/>
      <c r="JOI235" s="15"/>
      <c r="JOJ235" s="15"/>
      <c r="JOK235" s="15"/>
      <c r="JOL235" s="15"/>
      <c r="JOM235" s="15"/>
      <c r="JON235" s="15"/>
      <c r="JOO235" s="15"/>
      <c r="JOP235" s="15"/>
      <c r="JOQ235" s="15"/>
      <c r="JOR235" s="10"/>
      <c r="JOS235" s="10"/>
      <c r="JOT235" s="21"/>
      <c r="JOU235" s="21"/>
      <c r="JOX235" s="21"/>
      <c r="JOY235" s="15"/>
      <c r="JOZ235" s="15"/>
      <c r="JPA235" s="15"/>
      <c r="JPB235" s="15"/>
      <c r="JPC235" s="15"/>
      <c r="JPD235" s="15"/>
      <c r="JPE235" s="15"/>
      <c r="JPF235" s="15"/>
      <c r="JPG235" s="15"/>
      <c r="JPH235" s="15"/>
      <c r="JPI235" s="10"/>
      <c r="JPJ235" s="10"/>
      <c r="JPK235" s="21"/>
      <c r="JPL235" s="21"/>
      <c r="JPO235" s="21"/>
      <c r="JPP235" s="15"/>
      <c r="JPQ235" s="15"/>
      <c r="JPR235" s="15"/>
      <c r="JPS235" s="15"/>
      <c r="JPT235" s="15"/>
      <c r="JPU235" s="15"/>
      <c r="JPV235" s="15"/>
      <c r="JPW235" s="15"/>
      <c r="JPX235" s="15"/>
      <c r="JPY235" s="15"/>
      <c r="JPZ235" s="10"/>
      <c r="JQA235" s="10"/>
      <c r="JQB235" s="21"/>
      <c r="JQC235" s="21"/>
      <c r="JQF235" s="21"/>
      <c r="JQG235" s="15"/>
      <c r="JQH235" s="15"/>
      <c r="JQI235" s="15"/>
      <c r="JQJ235" s="15"/>
      <c r="JQK235" s="15"/>
      <c r="JQL235" s="15"/>
      <c r="JQM235" s="15"/>
      <c r="JQN235" s="15"/>
      <c r="JQO235" s="15"/>
      <c r="JQP235" s="15"/>
      <c r="JQQ235" s="10"/>
      <c r="JQR235" s="10"/>
      <c r="JQS235" s="21"/>
      <c r="JQT235" s="21"/>
      <c r="JQW235" s="21"/>
      <c r="JQX235" s="15"/>
      <c r="JQY235" s="15"/>
      <c r="JQZ235" s="15"/>
      <c r="JRA235" s="15"/>
      <c r="JRB235" s="15"/>
      <c r="JRC235" s="15"/>
      <c r="JRD235" s="15"/>
      <c r="JRE235" s="15"/>
      <c r="JRF235" s="15"/>
      <c r="JRG235" s="15"/>
      <c r="JRH235" s="10"/>
      <c r="JRI235" s="10"/>
      <c r="JRJ235" s="21"/>
      <c r="JRK235" s="21"/>
      <c r="JRN235" s="21"/>
      <c r="JRO235" s="15"/>
      <c r="JRP235" s="15"/>
      <c r="JRQ235" s="15"/>
      <c r="JRR235" s="15"/>
      <c r="JRS235" s="15"/>
      <c r="JRT235" s="15"/>
      <c r="JRU235" s="15"/>
      <c r="JRV235" s="15"/>
      <c r="JRW235" s="15"/>
      <c r="JRX235" s="15"/>
      <c r="JRY235" s="10"/>
      <c r="JRZ235" s="10"/>
      <c r="JSA235" s="21"/>
      <c r="JSB235" s="21"/>
      <c r="JSE235" s="21"/>
      <c r="JSF235" s="15"/>
      <c r="JSG235" s="15"/>
      <c r="JSH235" s="15"/>
      <c r="JSI235" s="15"/>
      <c r="JSJ235" s="15"/>
      <c r="JSK235" s="15"/>
      <c r="JSL235" s="15"/>
      <c r="JSM235" s="15"/>
      <c r="JSN235" s="15"/>
      <c r="JSO235" s="15"/>
      <c r="JSP235" s="10"/>
      <c r="JSQ235" s="10"/>
      <c r="JSR235" s="21"/>
      <c r="JSS235" s="21"/>
      <c r="JSV235" s="21"/>
      <c r="JSW235" s="15"/>
      <c r="JSX235" s="15"/>
      <c r="JSY235" s="15"/>
      <c r="JSZ235" s="15"/>
      <c r="JTA235" s="15"/>
      <c r="JTB235" s="15"/>
      <c r="JTC235" s="15"/>
      <c r="JTD235" s="15"/>
      <c r="JTE235" s="15"/>
      <c r="JTF235" s="15"/>
      <c r="JTG235" s="10"/>
      <c r="JTH235" s="10"/>
      <c r="JTI235" s="21"/>
      <c r="JTJ235" s="21"/>
      <c r="JTM235" s="21"/>
      <c r="JTN235" s="15"/>
      <c r="JTO235" s="15"/>
      <c r="JTP235" s="15"/>
      <c r="JTQ235" s="15"/>
      <c r="JTR235" s="15"/>
      <c r="JTS235" s="15"/>
      <c r="JTT235" s="15"/>
      <c r="JTU235" s="15"/>
      <c r="JTV235" s="15"/>
      <c r="JTW235" s="15"/>
      <c r="JTX235" s="10"/>
      <c r="JTY235" s="10"/>
      <c r="JTZ235" s="21"/>
      <c r="JUA235" s="21"/>
      <c r="JUD235" s="21"/>
      <c r="JUE235" s="15"/>
      <c r="JUF235" s="15"/>
      <c r="JUG235" s="15"/>
      <c r="JUH235" s="15"/>
      <c r="JUI235" s="15"/>
      <c r="JUJ235" s="15"/>
      <c r="JUK235" s="15"/>
      <c r="JUL235" s="15"/>
      <c r="JUM235" s="15"/>
      <c r="JUN235" s="15"/>
      <c r="JUO235" s="10"/>
      <c r="JUP235" s="10"/>
      <c r="JUQ235" s="21"/>
      <c r="JUR235" s="21"/>
      <c r="JUU235" s="21"/>
      <c r="JUV235" s="15"/>
      <c r="JUW235" s="15"/>
      <c r="JUX235" s="15"/>
      <c r="JUY235" s="15"/>
      <c r="JUZ235" s="15"/>
      <c r="JVA235" s="15"/>
      <c r="JVB235" s="15"/>
      <c r="JVC235" s="15"/>
      <c r="JVD235" s="15"/>
      <c r="JVE235" s="15"/>
      <c r="JVF235" s="10"/>
      <c r="JVG235" s="10"/>
      <c r="JVH235" s="21"/>
      <c r="JVI235" s="21"/>
      <c r="JVL235" s="21"/>
      <c r="JVM235" s="15"/>
      <c r="JVN235" s="15"/>
      <c r="JVO235" s="15"/>
      <c r="JVP235" s="15"/>
      <c r="JVQ235" s="15"/>
      <c r="JVR235" s="15"/>
      <c r="JVS235" s="15"/>
      <c r="JVT235" s="15"/>
      <c r="JVU235" s="15"/>
      <c r="JVV235" s="15"/>
      <c r="JVW235" s="10"/>
      <c r="JVX235" s="10"/>
      <c r="JVY235" s="21"/>
      <c r="JVZ235" s="21"/>
      <c r="JWC235" s="21"/>
      <c r="JWD235" s="15"/>
      <c r="JWE235" s="15"/>
      <c r="JWF235" s="15"/>
      <c r="JWG235" s="15"/>
      <c r="JWH235" s="15"/>
      <c r="JWI235" s="15"/>
      <c r="JWJ235" s="15"/>
      <c r="JWK235" s="15"/>
      <c r="JWL235" s="15"/>
      <c r="JWM235" s="15"/>
      <c r="JWN235" s="10"/>
      <c r="JWO235" s="10"/>
      <c r="JWP235" s="21"/>
      <c r="JWQ235" s="21"/>
      <c r="JWT235" s="21"/>
      <c r="JWU235" s="15"/>
      <c r="JWV235" s="15"/>
      <c r="JWW235" s="15"/>
      <c r="JWX235" s="15"/>
      <c r="JWY235" s="15"/>
      <c r="JWZ235" s="15"/>
      <c r="JXA235" s="15"/>
      <c r="JXB235" s="15"/>
      <c r="JXC235" s="15"/>
      <c r="JXD235" s="15"/>
      <c r="JXE235" s="10"/>
      <c r="JXF235" s="10"/>
      <c r="JXG235" s="21"/>
      <c r="JXH235" s="21"/>
      <c r="JXK235" s="21"/>
      <c r="JXL235" s="15"/>
      <c r="JXM235" s="15"/>
      <c r="JXN235" s="15"/>
      <c r="JXO235" s="15"/>
      <c r="JXP235" s="15"/>
      <c r="JXQ235" s="15"/>
      <c r="JXR235" s="15"/>
      <c r="JXS235" s="15"/>
      <c r="JXT235" s="15"/>
      <c r="JXU235" s="15"/>
      <c r="JXV235" s="10"/>
      <c r="JXW235" s="10"/>
      <c r="JXX235" s="21"/>
      <c r="JXY235" s="21"/>
      <c r="JYB235" s="21"/>
      <c r="JYC235" s="15"/>
      <c r="JYD235" s="15"/>
      <c r="JYE235" s="15"/>
      <c r="JYF235" s="15"/>
      <c r="JYG235" s="15"/>
      <c r="JYH235" s="15"/>
      <c r="JYI235" s="15"/>
      <c r="JYJ235" s="15"/>
      <c r="JYK235" s="15"/>
      <c r="JYL235" s="15"/>
      <c r="JYM235" s="10"/>
      <c r="JYN235" s="10"/>
      <c r="JYO235" s="21"/>
      <c r="JYP235" s="21"/>
      <c r="JYS235" s="21"/>
      <c r="JYT235" s="15"/>
      <c r="JYU235" s="15"/>
      <c r="JYV235" s="15"/>
      <c r="JYW235" s="15"/>
      <c r="JYX235" s="15"/>
      <c r="JYY235" s="15"/>
      <c r="JYZ235" s="15"/>
      <c r="JZA235" s="15"/>
      <c r="JZB235" s="15"/>
      <c r="JZC235" s="15"/>
      <c r="JZD235" s="10"/>
      <c r="JZE235" s="10"/>
      <c r="JZF235" s="21"/>
      <c r="JZG235" s="21"/>
      <c r="JZJ235" s="21"/>
      <c r="JZK235" s="15"/>
      <c r="JZL235" s="15"/>
      <c r="JZM235" s="15"/>
      <c r="JZN235" s="15"/>
      <c r="JZO235" s="15"/>
      <c r="JZP235" s="15"/>
      <c r="JZQ235" s="15"/>
      <c r="JZR235" s="15"/>
      <c r="JZS235" s="15"/>
      <c r="JZT235" s="15"/>
      <c r="JZU235" s="10"/>
      <c r="JZV235" s="10"/>
      <c r="JZW235" s="21"/>
      <c r="JZX235" s="21"/>
      <c r="KAA235" s="21"/>
      <c r="KAB235" s="15"/>
      <c r="KAC235" s="15"/>
      <c r="KAD235" s="15"/>
      <c r="KAE235" s="15"/>
      <c r="KAF235" s="15"/>
      <c r="KAG235" s="15"/>
      <c r="KAH235" s="15"/>
      <c r="KAI235" s="15"/>
      <c r="KAJ235" s="15"/>
      <c r="KAK235" s="15"/>
      <c r="KAL235" s="10"/>
      <c r="KAM235" s="10"/>
      <c r="KAN235" s="21"/>
      <c r="KAO235" s="21"/>
      <c r="KAR235" s="21"/>
      <c r="KAS235" s="15"/>
      <c r="KAT235" s="15"/>
      <c r="KAU235" s="15"/>
      <c r="KAV235" s="15"/>
      <c r="KAW235" s="15"/>
      <c r="KAX235" s="15"/>
      <c r="KAY235" s="15"/>
      <c r="KAZ235" s="15"/>
      <c r="KBA235" s="15"/>
      <c r="KBB235" s="15"/>
      <c r="KBC235" s="10"/>
      <c r="KBD235" s="10"/>
      <c r="KBE235" s="21"/>
      <c r="KBF235" s="21"/>
      <c r="KBI235" s="21"/>
      <c r="KBJ235" s="15"/>
      <c r="KBK235" s="15"/>
      <c r="KBL235" s="15"/>
      <c r="KBM235" s="15"/>
      <c r="KBN235" s="15"/>
      <c r="KBO235" s="15"/>
      <c r="KBP235" s="15"/>
      <c r="KBQ235" s="15"/>
      <c r="KBR235" s="15"/>
      <c r="KBS235" s="15"/>
      <c r="KBT235" s="10"/>
      <c r="KBU235" s="10"/>
      <c r="KBV235" s="21"/>
      <c r="KBW235" s="21"/>
      <c r="KBZ235" s="21"/>
      <c r="KCA235" s="15"/>
      <c r="KCB235" s="15"/>
      <c r="KCC235" s="15"/>
      <c r="KCD235" s="15"/>
      <c r="KCE235" s="15"/>
      <c r="KCF235" s="15"/>
      <c r="KCG235" s="15"/>
      <c r="KCH235" s="15"/>
      <c r="KCI235" s="15"/>
      <c r="KCJ235" s="15"/>
      <c r="KCK235" s="10"/>
      <c r="KCL235" s="10"/>
      <c r="KCM235" s="21"/>
      <c r="KCN235" s="21"/>
      <c r="KCQ235" s="21"/>
      <c r="KCR235" s="15"/>
      <c r="KCS235" s="15"/>
      <c r="KCT235" s="15"/>
      <c r="KCU235" s="15"/>
      <c r="KCV235" s="15"/>
      <c r="KCW235" s="15"/>
      <c r="KCX235" s="15"/>
      <c r="KCY235" s="15"/>
      <c r="KCZ235" s="15"/>
      <c r="KDA235" s="15"/>
      <c r="KDB235" s="10"/>
      <c r="KDC235" s="10"/>
      <c r="KDD235" s="21"/>
      <c r="KDE235" s="21"/>
      <c r="KDH235" s="21"/>
      <c r="KDI235" s="15"/>
      <c r="KDJ235" s="15"/>
      <c r="KDK235" s="15"/>
      <c r="KDL235" s="15"/>
      <c r="KDM235" s="15"/>
      <c r="KDN235" s="15"/>
      <c r="KDO235" s="15"/>
      <c r="KDP235" s="15"/>
      <c r="KDQ235" s="15"/>
      <c r="KDR235" s="15"/>
      <c r="KDS235" s="10"/>
      <c r="KDT235" s="10"/>
      <c r="KDU235" s="21"/>
      <c r="KDV235" s="21"/>
      <c r="KDY235" s="21"/>
      <c r="KDZ235" s="15"/>
      <c r="KEA235" s="15"/>
      <c r="KEB235" s="15"/>
      <c r="KEC235" s="15"/>
      <c r="KED235" s="15"/>
      <c r="KEE235" s="15"/>
      <c r="KEF235" s="15"/>
      <c r="KEG235" s="15"/>
      <c r="KEH235" s="15"/>
      <c r="KEI235" s="15"/>
      <c r="KEJ235" s="10"/>
      <c r="KEK235" s="10"/>
      <c r="KEL235" s="21"/>
      <c r="KEM235" s="21"/>
      <c r="KEP235" s="21"/>
      <c r="KEQ235" s="15"/>
      <c r="KER235" s="15"/>
      <c r="KES235" s="15"/>
      <c r="KET235" s="15"/>
      <c r="KEU235" s="15"/>
      <c r="KEV235" s="15"/>
      <c r="KEW235" s="15"/>
      <c r="KEX235" s="15"/>
      <c r="KEY235" s="15"/>
      <c r="KEZ235" s="15"/>
      <c r="KFA235" s="10"/>
      <c r="KFB235" s="10"/>
      <c r="KFC235" s="21"/>
      <c r="KFD235" s="21"/>
      <c r="KFG235" s="21"/>
      <c r="KFH235" s="15"/>
      <c r="KFI235" s="15"/>
      <c r="KFJ235" s="15"/>
      <c r="KFK235" s="15"/>
      <c r="KFL235" s="15"/>
      <c r="KFM235" s="15"/>
      <c r="KFN235" s="15"/>
      <c r="KFO235" s="15"/>
      <c r="KFP235" s="15"/>
      <c r="KFQ235" s="15"/>
      <c r="KFR235" s="10"/>
      <c r="KFS235" s="10"/>
      <c r="KFT235" s="21"/>
      <c r="KFU235" s="21"/>
      <c r="KFX235" s="21"/>
      <c r="KFY235" s="15"/>
      <c r="KFZ235" s="15"/>
      <c r="KGA235" s="15"/>
      <c r="KGB235" s="15"/>
      <c r="KGC235" s="15"/>
      <c r="KGD235" s="15"/>
      <c r="KGE235" s="15"/>
      <c r="KGF235" s="15"/>
      <c r="KGG235" s="15"/>
      <c r="KGH235" s="15"/>
      <c r="KGI235" s="10"/>
      <c r="KGJ235" s="10"/>
      <c r="KGK235" s="21"/>
      <c r="KGL235" s="21"/>
      <c r="KGO235" s="21"/>
      <c r="KGP235" s="15"/>
      <c r="KGQ235" s="15"/>
      <c r="KGR235" s="15"/>
      <c r="KGS235" s="15"/>
      <c r="KGT235" s="15"/>
      <c r="KGU235" s="15"/>
      <c r="KGV235" s="15"/>
      <c r="KGW235" s="15"/>
      <c r="KGX235" s="15"/>
      <c r="KGY235" s="15"/>
      <c r="KGZ235" s="10"/>
      <c r="KHA235" s="10"/>
      <c r="KHB235" s="21"/>
      <c r="KHC235" s="21"/>
      <c r="KHF235" s="21"/>
      <c r="KHG235" s="15"/>
      <c r="KHH235" s="15"/>
      <c r="KHI235" s="15"/>
      <c r="KHJ235" s="15"/>
      <c r="KHK235" s="15"/>
      <c r="KHL235" s="15"/>
      <c r="KHM235" s="15"/>
      <c r="KHN235" s="15"/>
      <c r="KHO235" s="15"/>
      <c r="KHP235" s="15"/>
      <c r="KHQ235" s="10"/>
      <c r="KHR235" s="10"/>
      <c r="KHS235" s="21"/>
      <c r="KHT235" s="21"/>
      <c r="KHW235" s="21"/>
      <c r="KHX235" s="15"/>
      <c r="KHY235" s="15"/>
      <c r="KHZ235" s="15"/>
      <c r="KIA235" s="15"/>
      <c r="KIB235" s="15"/>
      <c r="KIC235" s="15"/>
      <c r="KID235" s="15"/>
      <c r="KIE235" s="15"/>
      <c r="KIF235" s="15"/>
      <c r="KIG235" s="15"/>
      <c r="KIH235" s="10"/>
      <c r="KII235" s="10"/>
      <c r="KIJ235" s="21"/>
      <c r="KIK235" s="21"/>
      <c r="KIN235" s="21"/>
      <c r="KIO235" s="15"/>
      <c r="KIP235" s="15"/>
      <c r="KIQ235" s="15"/>
      <c r="KIR235" s="15"/>
      <c r="KIS235" s="15"/>
      <c r="KIT235" s="15"/>
      <c r="KIU235" s="15"/>
      <c r="KIV235" s="15"/>
      <c r="KIW235" s="15"/>
      <c r="KIX235" s="15"/>
      <c r="KIY235" s="10"/>
      <c r="KIZ235" s="10"/>
      <c r="KJA235" s="21"/>
      <c r="KJB235" s="21"/>
      <c r="KJE235" s="21"/>
      <c r="KJF235" s="15"/>
      <c r="KJG235" s="15"/>
      <c r="KJH235" s="15"/>
      <c r="KJI235" s="15"/>
      <c r="KJJ235" s="15"/>
      <c r="KJK235" s="15"/>
      <c r="KJL235" s="15"/>
      <c r="KJM235" s="15"/>
      <c r="KJN235" s="15"/>
      <c r="KJO235" s="15"/>
      <c r="KJP235" s="10"/>
      <c r="KJQ235" s="10"/>
      <c r="KJR235" s="21"/>
      <c r="KJS235" s="21"/>
      <c r="KJV235" s="21"/>
      <c r="KJW235" s="15"/>
      <c r="KJX235" s="15"/>
      <c r="KJY235" s="15"/>
      <c r="KJZ235" s="15"/>
      <c r="KKA235" s="15"/>
      <c r="KKB235" s="15"/>
      <c r="KKC235" s="15"/>
      <c r="KKD235" s="15"/>
      <c r="KKE235" s="15"/>
      <c r="KKF235" s="15"/>
      <c r="KKG235" s="10"/>
      <c r="KKH235" s="10"/>
      <c r="KKI235" s="21"/>
      <c r="KKJ235" s="21"/>
      <c r="KKM235" s="21"/>
      <c r="KKN235" s="15"/>
      <c r="KKO235" s="15"/>
      <c r="KKP235" s="15"/>
      <c r="KKQ235" s="15"/>
      <c r="KKR235" s="15"/>
      <c r="KKS235" s="15"/>
      <c r="KKT235" s="15"/>
      <c r="KKU235" s="15"/>
      <c r="KKV235" s="15"/>
      <c r="KKW235" s="15"/>
      <c r="KKX235" s="10"/>
      <c r="KKY235" s="10"/>
      <c r="KKZ235" s="21"/>
      <c r="KLA235" s="21"/>
      <c r="KLD235" s="21"/>
      <c r="KLE235" s="15"/>
      <c r="KLF235" s="15"/>
      <c r="KLG235" s="15"/>
      <c r="KLH235" s="15"/>
      <c r="KLI235" s="15"/>
      <c r="KLJ235" s="15"/>
      <c r="KLK235" s="15"/>
      <c r="KLL235" s="15"/>
      <c r="KLM235" s="15"/>
      <c r="KLN235" s="15"/>
      <c r="KLO235" s="10"/>
      <c r="KLP235" s="10"/>
      <c r="KLQ235" s="21"/>
      <c r="KLR235" s="21"/>
      <c r="KLU235" s="21"/>
      <c r="KLV235" s="15"/>
      <c r="KLW235" s="15"/>
      <c r="KLX235" s="15"/>
      <c r="KLY235" s="15"/>
      <c r="KLZ235" s="15"/>
      <c r="KMA235" s="15"/>
      <c r="KMB235" s="15"/>
      <c r="KMC235" s="15"/>
      <c r="KMD235" s="15"/>
      <c r="KME235" s="15"/>
      <c r="KMF235" s="10"/>
      <c r="KMG235" s="10"/>
      <c r="KMH235" s="21"/>
      <c r="KMI235" s="21"/>
      <c r="KML235" s="21"/>
      <c r="KMM235" s="15"/>
      <c r="KMN235" s="15"/>
      <c r="KMO235" s="15"/>
      <c r="KMP235" s="15"/>
      <c r="KMQ235" s="15"/>
      <c r="KMR235" s="15"/>
      <c r="KMS235" s="15"/>
      <c r="KMT235" s="15"/>
      <c r="KMU235" s="15"/>
      <c r="KMV235" s="15"/>
      <c r="KMW235" s="10"/>
      <c r="KMX235" s="10"/>
      <c r="KMY235" s="21"/>
      <c r="KMZ235" s="21"/>
      <c r="KNC235" s="21"/>
      <c r="KND235" s="15"/>
      <c r="KNE235" s="15"/>
      <c r="KNF235" s="15"/>
      <c r="KNG235" s="15"/>
      <c r="KNH235" s="15"/>
      <c r="KNI235" s="15"/>
      <c r="KNJ235" s="15"/>
      <c r="KNK235" s="15"/>
      <c r="KNL235" s="15"/>
      <c r="KNM235" s="15"/>
      <c r="KNN235" s="10"/>
      <c r="KNO235" s="10"/>
      <c r="KNP235" s="21"/>
      <c r="KNQ235" s="21"/>
      <c r="KNT235" s="21"/>
      <c r="KNU235" s="15"/>
      <c r="KNV235" s="15"/>
      <c r="KNW235" s="15"/>
      <c r="KNX235" s="15"/>
      <c r="KNY235" s="15"/>
      <c r="KNZ235" s="15"/>
      <c r="KOA235" s="15"/>
      <c r="KOB235" s="15"/>
      <c r="KOC235" s="15"/>
      <c r="KOD235" s="15"/>
      <c r="KOE235" s="10"/>
      <c r="KOF235" s="10"/>
      <c r="KOG235" s="21"/>
      <c r="KOH235" s="21"/>
      <c r="KOK235" s="21"/>
      <c r="KOL235" s="15"/>
      <c r="KOM235" s="15"/>
      <c r="KON235" s="15"/>
      <c r="KOO235" s="15"/>
      <c r="KOP235" s="15"/>
      <c r="KOQ235" s="15"/>
      <c r="KOR235" s="15"/>
      <c r="KOS235" s="15"/>
      <c r="KOT235" s="15"/>
      <c r="KOU235" s="15"/>
      <c r="KOV235" s="10"/>
      <c r="KOW235" s="10"/>
      <c r="KOX235" s="21"/>
      <c r="KOY235" s="21"/>
      <c r="KPB235" s="21"/>
      <c r="KPC235" s="15"/>
      <c r="KPD235" s="15"/>
      <c r="KPE235" s="15"/>
      <c r="KPF235" s="15"/>
      <c r="KPG235" s="15"/>
      <c r="KPH235" s="15"/>
      <c r="KPI235" s="15"/>
      <c r="KPJ235" s="15"/>
      <c r="KPK235" s="15"/>
      <c r="KPL235" s="15"/>
      <c r="KPM235" s="10"/>
      <c r="KPN235" s="10"/>
      <c r="KPO235" s="21"/>
      <c r="KPP235" s="21"/>
      <c r="KPS235" s="21"/>
      <c r="KPT235" s="15"/>
      <c r="KPU235" s="15"/>
      <c r="KPV235" s="15"/>
      <c r="KPW235" s="15"/>
      <c r="KPX235" s="15"/>
      <c r="KPY235" s="15"/>
      <c r="KPZ235" s="15"/>
      <c r="KQA235" s="15"/>
      <c r="KQB235" s="15"/>
      <c r="KQC235" s="15"/>
      <c r="KQD235" s="10"/>
      <c r="KQE235" s="10"/>
      <c r="KQF235" s="21"/>
      <c r="KQG235" s="21"/>
      <c r="KQJ235" s="21"/>
      <c r="KQK235" s="15"/>
      <c r="KQL235" s="15"/>
      <c r="KQM235" s="15"/>
      <c r="KQN235" s="15"/>
      <c r="KQO235" s="15"/>
      <c r="KQP235" s="15"/>
      <c r="KQQ235" s="15"/>
      <c r="KQR235" s="15"/>
      <c r="KQS235" s="15"/>
      <c r="KQT235" s="15"/>
      <c r="KQU235" s="10"/>
      <c r="KQV235" s="10"/>
      <c r="KQW235" s="21"/>
      <c r="KQX235" s="21"/>
      <c r="KRA235" s="21"/>
      <c r="KRB235" s="15"/>
      <c r="KRC235" s="15"/>
      <c r="KRD235" s="15"/>
      <c r="KRE235" s="15"/>
      <c r="KRF235" s="15"/>
      <c r="KRG235" s="15"/>
      <c r="KRH235" s="15"/>
      <c r="KRI235" s="15"/>
      <c r="KRJ235" s="15"/>
      <c r="KRK235" s="15"/>
      <c r="KRL235" s="10"/>
      <c r="KRM235" s="10"/>
      <c r="KRN235" s="21"/>
      <c r="KRO235" s="21"/>
      <c r="KRR235" s="21"/>
      <c r="KRS235" s="15"/>
      <c r="KRT235" s="15"/>
      <c r="KRU235" s="15"/>
      <c r="KRV235" s="15"/>
      <c r="KRW235" s="15"/>
      <c r="KRX235" s="15"/>
      <c r="KRY235" s="15"/>
      <c r="KRZ235" s="15"/>
      <c r="KSA235" s="15"/>
      <c r="KSB235" s="15"/>
      <c r="KSC235" s="10"/>
      <c r="KSD235" s="10"/>
      <c r="KSE235" s="21"/>
      <c r="KSF235" s="21"/>
      <c r="KSI235" s="21"/>
      <c r="KSJ235" s="15"/>
      <c r="KSK235" s="15"/>
      <c r="KSL235" s="15"/>
      <c r="KSM235" s="15"/>
      <c r="KSN235" s="15"/>
      <c r="KSO235" s="15"/>
      <c r="KSP235" s="15"/>
      <c r="KSQ235" s="15"/>
      <c r="KSR235" s="15"/>
      <c r="KSS235" s="15"/>
      <c r="KST235" s="10"/>
      <c r="KSU235" s="10"/>
      <c r="KSV235" s="21"/>
      <c r="KSW235" s="21"/>
      <c r="KSZ235" s="21"/>
      <c r="KTA235" s="15"/>
      <c r="KTB235" s="15"/>
      <c r="KTC235" s="15"/>
      <c r="KTD235" s="15"/>
      <c r="KTE235" s="15"/>
      <c r="KTF235" s="15"/>
      <c r="KTG235" s="15"/>
      <c r="KTH235" s="15"/>
      <c r="KTI235" s="15"/>
      <c r="KTJ235" s="15"/>
      <c r="KTK235" s="10"/>
      <c r="KTL235" s="10"/>
      <c r="KTM235" s="21"/>
      <c r="KTN235" s="21"/>
      <c r="KTQ235" s="21"/>
      <c r="KTR235" s="15"/>
      <c r="KTS235" s="15"/>
      <c r="KTT235" s="15"/>
      <c r="KTU235" s="15"/>
      <c r="KTV235" s="15"/>
      <c r="KTW235" s="15"/>
      <c r="KTX235" s="15"/>
      <c r="KTY235" s="15"/>
      <c r="KTZ235" s="15"/>
      <c r="KUA235" s="15"/>
      <c r="KUB235" s="10"/>
      <c r="KUC235" s="10"/>
      <c r="KUD235" s="21"/>
      <c r="KUE235" s="21"/>
      <c r="KUH235" s="21"/>
      <c r="KUI235" s="15"/>
      <c r="KUJ235" s="15"/>
      <c r="KUK235" s="15"/>
      <c r="KUL235" s="15"/>
      <c r="KUM235" s="15"/>
      <c r="KUN235" s="15"/>
      <c r="KUO235" s="15"/>
      <c r="KUP235" s="15"/>
      <c r="KUQ235" s="15"/>
      <c r="KUR235" s="15"/>
      <c r="KUS235" s="10"/>
      <c r="KUT235" s="10"/>
      <c r="KUU235" s="21"/>
      <c r="KUV235" s="21"/>
      <c r="KUY235" s="21"/>
      <c r="KUZ235" s="15"/>
      <c r="KVA235" s="15"/>
      <c r="KVB235" s="15"/>
      <c r="KVC235" s="15"/>
      <c r="KVD235" s="15"/>
      <c r="KVE235" s="15"/>
      <c r="KVF235" s="15"/>
      <c r="KVG235" s="15"/>
      <c r="KVH235" s="15"/>
      <c r="KVI235" s="15"/>
      <c r="KVJ235" s="10"/>
      <c r="KVK235" s="10"/>
      <c r="KVL235" s="21"/>
      <c r="KVM235" s="21"/>
      <c r="KVP235" s="21"/>
      <c r="KVQ235" s="15"/>
      <c r="KVR235" s="15"/>
      <c r="KVS235" s="15"/>
      <c r="KVT235" s="15"/>
      <c r="KVU235" s="15"/>
      <c r="KVV235" s="15"/>
      <c r="KVW235" s="15"/>
      <c r="KVX235" s="15"/>
      <c r="KVY235" s="15"/>
      <c r="KVZ235" s="15"/>
      <c r="KWA235" s="10"/>
      <c r="KWB235" s="10"/>
      <c r="KWC235" s="21"/>
      <c r="KWD235" s="21"/>
      <c r="KWG235" s="21"/>
      <c r="KWH235" s="15"/>
      <c r="KWI235" s="15"/>
      <c r="KWJ235" s="15"/>
      <c r="KWK235" s="15"/>
      <c r="KWL235" s="15"/>
      <c r="KWM235" s="15"/>
      <c r="KWN235" s="15"/>
      <c r="KWO235" s="15"/>
      <c r="KWP235" s="15"/>
      <c r="KWQ235" s="15"/>
      <c r="KWR235" s="10"/>
      <c r="KWS235" s="10"/>
      <c r="KWT235" s="21"/>
      <c r="KWU235" s="21"/>
      <c r="KWX235" s="21"/>
      <c r="KWY235" s="15"/>
      <c r="KWZ235" s="15"/>
      <c r="KXA235" s="15"/>
      <c r="KXB235" s="15"/>
      <c r="KXC235" s="15"/>
      <c r="KXD235" s="15"/>
      <c r="KXE235" s="15"/>
      <c r="KXF235" s="15"/>
      <c r="KXG235" s="15"/>
      <c r="KXH235" s="15"/>
      <c r="KXI235" s="10"/>
      <c r="KXJ235" s="10"/>
      <c r="KXK235" s="21"/>
      <c r="KXL235" s="21"/>
      <c r="KXO235" s="21"/>
      <c r="KXP235" s="15"/>
      <c r="KXQ235" s="15"/>
      <c r="KXR235" s="15"/>
      <c r="KXS235" s="15"/>
      <c r="KXT235" s="15"/>
      <c r="KXU235" s="15"/>
      <c r="KXV235" s="15"/>
      <c r="KXW235" s="15"/>
      <c r="KXX235" s="15"/>
      <c r="KXY235" s="15"/>
      <c r="KXZ235" s="10"/>
      <c r="KYA235" s="10"/>
      <c r="KYB235" s="21"/>
      <c r="KYC235" s="21"/>
      <c r="KYF235" s="21"/>
      <c r="KYG235" s="15"/>
      <c r="KYH235" s="15"/>
      <c r="KYI235" s="15"/>
      <c r="KYJ235" s="15"/>
      <c r="KYK235" s="15"/>
      <c r="KYL235" s="15"/>
      <c r="KYM235" s="15"/>
      <c r="KYN235" s="15"/>
      <c r="KYO235" s="15"/>
      <c r="KYP235" s="15"/>
      <c r="KYQ235" s="10"/>
      <c r="KYR235" s="10"/>
      <c r="KYS235" s="21"/>
      <c r="KYT235" s="21"/>
      <c r="KYW235" s="21"/>
      <c r="KYX235" s="15"/>
      <c r="KYY235" s="15"/>
      <c r="KYZ235" s="15"/>
      <c r="KZA235" s="15"/>
      <c r="KZB235" s="15"/>
      <c r="KZC235" s="15"/>
      <c r="KZD235" s="15"/>
      <c r="KZE235" s="15"/>
      <c r="KZF235" s="15"/>
      <c r="KZG235" s="15"/>
      <c r="KZH235" s="10"/>
      <c r="KZI235" s="10"/>
      <c r="KZJ235" s="21"/>
      <c r="KZK235" s="21"/>
      <c r="KZN235" s="21"/>
      <c r="KZO235" s="15"/>
      <c r="KZP235" s="15"/>
      <c r="KZQ235" s="15"/>
      <c r="KZR235" s="15"/>
      <c r="KZS235" s="15"/>
      <c r="KZT235" s="15"/>
      <c r="KZU235" s="15"/>
      <c r="KZV235" s="15"/>
      <c r="KZW235" s="15"/>
      <c r="KZX235" s="15"/>
      <c r="KZY235" s="10"/>
      <c r="KZZ235" s="10"/>
      <c r="LAA235" s="21"/>
      <c r="LAB235" s="21"/>
      <c r="LAE235" s="21"/>
      <c r="LAF235" s="15"/>
      <c r="LAG235" s="15"/>
      <c r="LAH235" s="15"/>
      <c r="LAI235" s="15"/>
      <c r="LAJ235" s="15"/>
      <c r="LAK235" s="15"/>
      <c r="LAL235" s="15"/>
      <c r="LAM235" s="15"/>
      <c r="LAN235" s="15"/>
      <c r="LAO235" s="15"/>
      <c r="LAP235" s="10"/>
      <c r="LAQ235" s="10"/>
      <c r="LAR235" s="21"/>
      <c r="LAS235" s="21"/>
      <c r="LAV235" s="21"/>
      <c r="LAW235" s="15"/>
      <c r="LAX235" s="15"/>
      <c r="LAY235" s="15"/>
      <c r="LAZ235" s="15"/>
      <c r="LBA235" s="15"/>
      <c r="LBB235" s="15"/>
      <c r="LBC235" s="15"/>
      <c r="LBD235" s="15"/>
      <c r="LBE235" s="15"/>
      <c r="LBF235" s="15"/>
      <c r="LBG235" s="10"/>
      <c r="LBH235" s="10"/>
      <c r="LBI235" s="21"/>
      <c r="LBJ235" s="21"/>
      <c r="LBM235" s="21"/>
      <c r="LBN235" s="15"/>
      <c r="LBO235" s="15"/>
      <c r="LBP235" s="15"/>
      <c r="LBQ235" s="15"/>
      <c r="LBR235" s="15"/>
      <c r="LBS235" s="15"/>
      <c r="LBT235" s="15"/>
      <c r="LBU235" s="15"/>
      <c r="LBV235" s="15"/>
      <c r="LBW235" s="15"/>
      <c r="LBX235" s="10"/>
      <c r="LBY235" s="10"/>
      <c r="LBZ235" s="21"/>
      <c r="LCA235" s="21"/>
      <c r="LCD235" s="21"/>
      <c r="LCE235" s="15"/>
      <c r="LCF235" s="15"/>
      <c r="LCG235" s="15"/>
      <c r="LCH235" s="15"/>
      <c r="LCI235" s="15"/>
      <c r="LCJ235" s="15"/>
      <c r="LCK235" s="15"/>
      <c r="LCL235" s="15"/>
      <c r="LCM235" s="15"/>
      <c r="LCN235" s="15"/>
      <c r="LCO235" s="10"/>
      <c r="LCP235" s="10"/>
      <c r="LCQ235" s="21"/>
      <c r="LCR235" s="21"/>
      <c r="LCU235" s="21"/>
      <c r="LCV235" s="15"/>
      <c r="LCW235" s="15"/>
      <c r="LCX235" s="15"/>
      <c r="LCY235" s="15"/>
      <c r="LCZ235" s="15"/>
      <c r="LDA235" s="15"/>
      <c r="LDB235" s="15"/>
      <c r="LDC235" s="15"/>
      <c r="LDD235" s="15"/>
      <c r="LDE235" s="15"/>
      <c r="LDF235" s="10"/>
      <c r="LDG235" s="10"/>
      <c r="LDH235" s="21"/>
      <c r="LDI235" s="21"/>
      <c r="LDL235" s="21"/>
      <c r="LDM235" s="15"/>
      <c r="LDN235" s="15"/>
      <c r="LDO235" s="15"/>
      <c r="LDP235" s="15"/>
      <c r="LDQ235" s="15"/>
      <c r="LDR235" s="15"/>
      <c r="LDS235" s="15"/>
      <c r="LDT235" s="15"/>
      <c r="LDU235" s="15"/>
      <c r="LDV235" s="15"/>
      <c r="LDW235" s="10"/>
      <c r="LDX235" s="10"/>
      <c r="LDY235" s="21"/>
      <c r="LDZ235" s="21"/>
      <c r="LEC235" s="21"/>
      <c r="LED235" s="15"/>
      <c r="LEE235" s="15"/>
      <c r="LEF235" s="15"/>
      <c r="LEG235" s="15"/>
      <c r="LEH235" s="15"/>
      <c r="LEI235" s="15"/>
      <c r="LEJ235" s="15"/>
      <c r="LEK235" s="15"/>
      <c r="LEL235" s="15"/>
      <c r="LEM235" s="15"/>
      <c r="LEN235" s="10"/>
      <c r="LEO235" s="10"/>
      <c r="LEP235" s="21"/>
      <c r="LEQ235" s="21"/>
      <c r="LET235" s="21"/>
      <c r="LEU235" s="15"/>
      <c r="LEV235" s="15"/>
      <c r="LEW235" s="15"/>
      <c r="LEX235" s="15"/>
      <c r="LEY235" s="15"/>
      <c r="LEZ235" s="15"/>
      <c r="LFA235" s="15"/>
      <c r="LFB235" s="15"/>
      <c r="LFC235" s="15"/>
      <c r="LFD235" s="15"/>
      <c r="LFE235" s="10"/>
      <c r="LFF235" s="10"/>
      <c r="LFG235" s="21"/>
      <c r="LFH235" s="21"/>
      <c r="LFK235" s="21"/>
      <c r="LFL235" s="15"/>
      <c r="LFM235" s="15"/>
      <c r="LFN235" s="15"/>
      <c r="LFO235" s="15"/>
      <c r="LFP235" s="15"/>
      <c r="LFQ235" s="15"/>
      <c r="LFR235" s="15"/>
      <c r="LFS235" s="15"/>
      <c r="LFT235" s="15"/>
      <c r="LFU235" s="15"/>
      <c r="LFV235" s="10"/>
      <c r="LFW235" s="10"/>
      <c r="LFX235" s="21"/>
      <c r="LFY235" s="21"/>
      <c r="LGB235" s="21"/>
      <c r="LGC235" s="15"/>
      <c r="LGD235" s="15"/>
      <c r="LGE235" s="15"/>
      <c r="LGF235" s="15"/>
      <c r="LGG235" s="15"/>
      <c r="LGH235" s="15"/>
      <c r="LGI235" s="15"/>
      <c r="LGJ235" s="15"/>
      <c r="LGK235" s="15"/>
      <c r="LGL235" s="15"/>
      <c r="LGM235" s="10"/>
      <c r="LGN235" s="10"/>
      <c r="LGO235" s="21"/>
      <c r="LGP235" s="21"/>
      <c r="LGS235" s="21"/>
      <c r="LGT235" s="15"/>
      <c r="LGU235" s="15"/>
      <c r="LGV235" s="15"/>
      <c r="LGW235" s="15"/>
      <c r="LGX235" s="15"/>
      <c r="LGY235" s="15"/>
      <c r="LGZ235" s="15"/>
      <c r="LHA235" s="15"/>
      <c r="LHB235" s="15"/>
      <c r="LHC235" s="15"/>
      <c r="LHD235" s="10"/>
      <c r="LHE235" s="10"/>
      <c r="LHF235" s="21"/>
      <c r="LHG235" s="21"/>
      <c r="LHJ235" s="21"/>
      <c r="LHK235" s="15"/>
      <c r="LHL235" s="15"/>
      <c r="LHM235" s="15"/>
      <c r="LHN235" s="15"/>
      <c r="LHO235" s="15"/>
      <c r="LHP235" s="15"/>
      <c r="LHQ235" s="15"/>
      <c r="LHR235" s="15"/>
      <c r="LHS235" s="15"/>
      <c r="LHT235" s="15"/>
      <c r="LHU235" s="10"/>
      <c r="LHV235" s="10"/>
      <c r="LHW235" s="21"/>
      <c r="LHX235" s="21"/>
      <c r="LIA235" s="21"/>
      <c r="LIB235" s="15"/>
      <c r="LIC235" s="15"/>
      <c r="LID235" s="15"/>
      <c r="LIE235" s="15"/>
      <c r="LIF235" s="15"/>
      <c r="LIG235" s="15"/>
      <c r="LIH235" s="15"/>
      <c r="LII235" s="15"/>
      <c r="LIJ235" s="15"/>
      <c r="LIK235" s="15"/>
      <c r="LIL235" s="10"/>
      <c r="LIM235" s="10"/>
      <c r="LIN235" s="21"/>
      <c r="LIO235" s="21"/>
      <c r="LIR235" s="21"/>
      <c r="LIS235" s="15"/>
      <c r="LIT235" s="15"/>
      <c r="LIU235" s="15"/>
      <c r="LIV235" s="15"/>
      <c r="LIW235" s="15"/>
      <c r="LIX235" s="15"/>
      <c r="LIY235" s="15"/>
      <c r="LIZ235" s="15"/>
      <c r="LJA235" s="15"/>
      <c r="LJB235" s="15"/>
      <c r="LJC235" s="10"/>
      <c r="LJD235" s="10"/>
      <c r="LJE235" s="21"/>
      <c r="LJF235" s="21"/>
      <c r="LJI235" s="21"/>
      <c r="LJJ235" s="15"/>
      <c r="LJK235" s="15"/>
      <c r="LJL235" s="15"/>
      <c r="LJM235" s="15"/>
      <c r="LJN235" s="15"/>
      <c r="LJO235" s="15"/>
      <c r="LJP235" s="15"/>
      <c r="LJQ235" s="15"/>
      <c r="LJR235" s="15"/>
      <c r="LJS235" s="15"/>
      <c r="LJT235" s="10"/>
      <c r="LJU235" s="10"/>
      <c r="LJV235" s="21"/>
      <c r="LJW235" s="21"/>
      <c r="LJZ235" s="21"/>
      <c r="LKA235" s="15"/>
      <c r="LKB235" s="15"/>
      <c r="LKC235" s="15"/>
      <c r="LKD235" s="15"/>
      <c r="LKE235" s="15"/>
      <c r="LKF235" s="15"/>
      <c r="LKG235" s="15"/>
      <c r="LKH235" s="15"/>
      <c r="LKI235" s="15"/>
      <c r="LKJ235" s="15"/>
      <c r="LKK235" s="10"/>
      <c r="LKL235" s="10"/>
      <c r="LKM235" s="21"/>
      <c r="LKN235" s="21"/>
      <c r="LKQ235" s="21"/>
      <c r="LKR235" s="15"/>
      <c r="LKS235" s="15"/>
      <c r="LKT235" s="15"/>
      <c r="LKU235" s="15"/>
      <c r="LKV235" s="15"/>
      <c r="LKW235" s="15"/>
      <c r="LKX235" s="15"/>
      <c r="LKY235" s="15"/>
      <c r="LKZ235" s="15"/>
      <c r="LLA235" s="15"/>
      <c r="LLB235" s="10"/>
      <c r="LLC235" s="10"/>
      <c r="LLD235" s="21"/>
      <c r="LLE235" s="21"/>
      <c r="LLH235" s="21"/>
      <c r="LLI235" s="15"/>
      <c r="LLJ235" s="15"/>
      <c r="LLK235" s="15"/>
      <c r="LLL235" s="15"/>
      <c r="LLM235" s="15"/>
      <c r="LLN235" s="15"/>
      <c r="LLO235" s="15"/>
      <c r="LLP235" s="15"/>
      <c r="LLQ235" s="15"/>
      <c r="LLR235" s="15"/>
      <c r="LLS235" s="10"/>
      <c r="LLT235" s="10"/>
      <c r="LLU235" s="21"/>
      <c r="LLV235" s="21"/>
      <c r="LLY235" s="21"/>
      <c r="LLZ235" s="15"/>
      <c r="LMA235" s="15"/>
      <c r="LMB235" s="15"/>
      <c r="LMC235" s="15"/>
      <c r="LMD235" s="15"/>
      <c r="LME235" s="15"/>
      <c r="LMF235" s="15"/>
      <c r="LMG235" s="15"/>
      <c r="LMH235" s="15"/>
      <c r="LMI235" s="15"/>
      <c r="LMJ235" s="10"/>
      <c r="LMK235" s="10"/>
      <c r="LML235" s="21"/>
      <c r="LMM235" s="21"/>
      <c r="LMP235" s="21"/>
      <c r="LMQ235" s="15"/>
      <c r="LMR235" s="15"/>
      <c r="LMS235" s="15"/>
      <c r="LMT235" s="15"/>
      <c r="LMU235" s="15"/>
      <c r="LMV235" s="15"/>
      <c r="LMW235" s="15"/>
      <c r="LMX235" s="15"/>
      <c r="LMY235" s="15"/>
      <c r="LMZ235" s="15"/>
      <c r="LNA235" s="10"/>
      <c r="LNB235" s="10"/>
      <c r="LNC235" s="21"/>
      <c r="LND235" s="21"/>
      <c r="LNG235" s="21"/>
      <c r="LNH235" s="15"/>
      <c r="LNI235" s="15"/>
      <c r="LNJ235" s="15"/>
      <c r="LNK235" s="15"/>
      <c r="LNL235" s="15"/>
      <c r="LNM235" s="15"/>
      <c r="LNN235" s="15"/>
      <c r="LNO235" s="15"/>
      <c r="LNP235" s="15"/>
      <c r="LNQ235" s="15"/>
      <c r="LNR235" s="10"/>
      <c r="LNS235" s="10"/>
      <c r="LNT235" s="21"/>
      <c r="LNU235" s="21"/>
      <c r="LNX235" s="21"/>
      <c r="LNY235" s="15"/>
      <c r="LNZ235" s="15"/>
      <c r="LOA235" s="15"/>
      <c r="LOB235" s="15"/>
      <c r="LOC235" s="15"/>
      <c r="LOD235" s="15"/>
      <c r="LOE235" s="15"/>
      <c r="LOF235" s="15"/>
      <c r="LOG235" s="15"/>
      <c r="LOH235" s="15"/>
      <c r="LOI235" s="10"/>
      <c r="LOJ235" s="10"/>
      <c r="LOK235" s="21"/>
      <c r="LOL235" s="21"/>
      <c r="LOO235" s="21"/>
      <c r="LOP235" s="15"/>
      <c r="LOQ235" s="15"/>
      <c r="LOR235" s="15"/>
      <c r="LOS235" s="15"/>
      <c r="LOT235" s="15"/>
      <c r="LOU235" s="15"/>
      <c r="LOV235" s="15"/>
      <c r="LOW235" s="15"/>
      <c r="LOX235" s="15"/>
      <c r="LOY235" s="15"/>
      <c r="LOZ235" s="10"/>
      <c r="LPA235" s="10"/>
      <c r="LPB235" s="21"/>
      <c r="LPC235" s="21"/>
      <c r="LPF235" s="21"/>
      <c r="LPG235" s="15"/>
      <c r="LPH235" s="15"/>
      <c r="LPI235" s="15"/>
      <c r="LPJ235" s="15"/>
      <c r="LPK235" s="15"/>
      <c r="LPL235" s="15"/>
      <c r="LPM235" s="15"/>
      <c r="LPN235" s="15"/>
      <c r="LPO235" s="15"/>
      <c r="LPP235" s="15"/>
      <c r="LPQ235" s="10"/>
      <c r="LPR235" s="10"/>
      <c r="LPS235" s="21"/>
      <c r="LPT235" s="21"/>
      <c r="LPW235" s="21"/>
      <c r="LPX235" s="15"/>
      <c r="LPY235" s="15"/>
      <c r="LPZ235" s="15"/>
      <c r="LQA235" s="15"/>
      <c r="LQB235" s="15"/>
      <c r="LQC235" s="15"/>
      <c r="LQD235" s="15"/>
      <c r="LQE235" s="15"/>
      <c r="LQF235" s="15"/>
      <c r="LQG235" s="15"/>
      <c r="LQH235" s="10"/>
      <c r="LQI235" s="10"/>
      <c r="LQJ235" s="21"/>
      <c r="LQK235" s="21"/>
      <c r="LQN235" s="21"/>
      <c r="LQO235" s="15"/>
      <c r="LQP235" s="15"/>
      <c r="LQQ235" s="15"/>
      <c r="LQR235" s="15"/>
      <c r="LQS235" s="15"/>
      <c r="LQT235" s="15"/>
      <c r="LQU235" s="15"/>
      <c r="LQV235" s="15"/>
      <c r="LQW235" s="15"/>
      <c r="LQX235" s="15"/>
      <c r="LQY235" s="10"/>
      <c r="LQZ235" s="10"/>
      <c r="LRA235" s="21"/>
      <c r="LRB235" s="21"/>
      <c r="LRE235" s="21"/>
      <c r="LRF235" s="15"/>
      <c r="LRG235" s="15"/>
      <c r="LRH235" s="15"/>
      <c r="LRI235" s="15"/>
      <c r="LRJ235" s="15"/>
      <c r="LRK235" s="15"/>
      <c r="LRL235" s="15"/>
      <c r="LRM235" s="15"/>
      <c r="LRN235" s="15"/>
      <c r="LRO235" s="15"/>
      <c r="LRP235" s="10"/>
      <c r="LRQ235" s="10"/>
      <c r="LRR235" s="21"/>
      <c r="LRS235" s="21"/>
      <c r="LRV235" s="21"/>
      <c r="LRW235" s="15"/>
      <c r="LRX235" s="15"/>
      <c r="LRY235" s="15"/>
      <c r="LRZ235" s="15"/>
      <c r="LSA235" s="15"/>
      <c r="LSB235" s="15"/>
      <c r="LSC235" s="15"/>
      <c r="LSD235" s="15"/>
      <c r="LSE235" s="15"/>
      <c r="LSF235" s="15"/>
      <c r="LSG235" s="10"/>
      <c r="LSH235" s="10"/>
      <c r="LSI235" s="21"/>
      <c r="LSJ235" s="21"/>
      <c r="LSM235" s="21"/>
      <c r="LSN235" s="15"/>
      <c r="LSO235" s="15"/>
      <c r="LSP235" s="15"/>
      <c r="LSQ235" s="15"/>
      <c r="LSR235" s="15"/>
      <c r="LSS235" s="15"/>
      <c r="LST235" s="15"/>
      <c r="LSU235" s="15"/>
      <c r="LSV235" s="15"/>
      <c r="LSW235" s="15"/>
      <c r="LSX235" s="10"/>
      <c r="LSY235" s="10"/>
      <c r="LSZ235" s="21"/>
      <c r="LTA235" s="21"/>
      <c r="LTD235" s="21"/>
      <c r="LTE235" s="15"/>
      <c r="LTF235" s="15"/>
      <c r="LTG235" s="15"/>
      <c r="LTH235" s="15"/>
      <c r="LTI235" s="15"/>
      <c r="LTJ235" s="15"/>
      <c r="LTK235" s="15"/>
      <c r="LTL235" s="15"/>
      <c r="LTM235" s="15"/>
      <c r="LTN235" s="15"/>
      <c r="LTO235" s="10"/>
      <c r="LTP235" s="10"/>
      <c r="LTQ235" s="21"/>
      <c r="LTR235" s="21"/>
      <c r="LTU235" s="21"/>
      <c r="LTV235" s="15"/>
      <c r="LTW235" s="15"/>
      <c r="LTX235" s="15"/>
      <c r="LTY235" s="15"/>
      <c r="LTZ235" s="15"/>
      <c r="LUA235" s="15"/>
      <c r="LUB235" s="15"/>
      <c r="LUC235" s="15"/>
      <c r="LUD235" s="15"/>
      <c r="LUE235" s="15"/>
      <c r="LUF235" s="10"/>
      <c r="LUG235" s="10"/>
      <c r="LUH235" s="21"/>
      <c r="LUI235" s="21"/>
      <c r="LUL235" s="21"/>
      <c r="LUM235" s="15"/>
      <c r="LUN235" s="15"/>
      <c r="LUO235" s="15"/>
      <c r="LUP235" s="15"/>
      <c r="LUQ235" s="15"/>
      <c r="LUR235" s="15"/>
      <c r="LUS235" s="15"/>
      <c r="LUT235" s="15"/>
      <c r="LUU235" s="15"/>
      <c r="LUV235" s="15"/>
      <c r="LUW235" s="10"/>
      <c r="LUX235" s="10"/>
      <c r="LUY235" s="21"/>
      <c r="LUZ235" s="21"/>
      <c r="LVC235" s="21"/>
      <c r="LVD235" s="15"/>
      <c r="LVE235" s="15"/>
      <c r="LVF235" s="15"/>
      <c r="LVG235" s="15"/>
      <c r="LVH235" s="15"/>
      <c r="LVI235" s="15"/>
      <c r="LVJ235" s="15"/>
      <c r="LVK235" s="15"/>
      <c r="LVL235" s="15"/>
      <c r="LVM235" s="15"/>
      <c r="LVN235" s="10"/>
      <c r="LVO235" s="10"/>
      <c r="LVP235" s="21"/>
      <c r="LVQ235" s="21"/>
      <c r="LVT235" s="21"/>
      <c r="LVU235" s="15"/>
      <c r="LVV235" s="15"/>
      <c r="LVW235" s="15"/>
      <c r="LVX235" s="15"/>
      <c r="LVY235" s="15"/>
      <c r="LVZ235" s="15"/>
      <c r="LWA235" s="15"/>
      <c r="LWB235" s="15"/>
      <c r="LWC235" s="15"/>
      <c r="LWD235" s="15"/>
      <c r="LWE235" s="10"/>
      <c r="LWF235" s="10"/>
      <c r="LWG235" s="21"/>
      <c r="LWH235" s="21"/>
      <c r="LWK235" s="21"/>
      <c r="LWL235" s="15"/>
      <c r="LWM235" s="15"/>
      <c r="LWN235" s="15"/>
      <c r="LWO235" s="15"/>
      <c r="LWP235" s="15"/>
      <c r="LWQ235" s="15"/>
      <c r="LWR235" s="15"/>
      <c r="LWS235" s="15"/>
      <c r="LWT235" s="15"/>
      <c r="LWU235" s="15"/>
      <c r="LWV235" s="10"/>
      <c r="LWW235" s="10"/>
      <c r="LWX235" s="21"/>
      <c r="LWY235" s="21"/>
      <c r="LXB235" s="21"/>
      <c r="LXC235" s="15"/>
      <c r="LXD235" s="15"/>
      <c r="LXE235" s="15"/>
      <c r="LXF235" s="15"/>
      <c r="LXG235" s="15"/>
      <c r="LXH235" s="15"/>
      <c r="LXI235" s="15"/>
      <c r="LXJ235" s="15"/>
      <c r="LXK235" s="15"/>
      <c r="LXL235" s="15"/>
      <c r="LXM235" s="10"/>
      <c r="LXN235" s="10"/>
      <c r="LXO235" s="21"/>
      <c r="LXP235" s="21"/>
      <c r="LXS235" s="21"/>
      <c r="LXT235" s="15"/>
      <c r="LXU235" s="15"/>
      <c r="LXV235" s="15"/>
      <c r="LXW235" s="15"/>
      <c r="LXX235" s="15"/>
      <c r="LXY235" s="15"/>
      <c r="LXZ235" s="15"/>
      <c r="LYA235" s="15"/>
      <c r="LYB235" s="15"/>
      <c r="LYC235" s="15"/>
      <c r="LYD235" s="10"/>
      <c r="LYE235" s="10"/>
      <c r="LYF235" s="21"/>
      <c r="LYG235" s="21"/>
      <c r="LYJ235" s="21"/>
      <c r="LYK235" s="15"/>
      <c r="LYL235" s="15"/>
      <c r="LYM235" s="15"/>
      <c r="LYN235" s="15"/>
      <c r="LYO235" s="15"/>
      <c r="LYP235" s="15"/>
      <c r="LYQ235" s="15"/>
      <c r="LYR235" s="15"/>
      <c r="LYS235" s="15"/>
      <c r="LYT235" s="15"/>
      <c r="LYU235" s="10"/>
      <c r="LYV235" s="10"/>
      <c r="LYW235" s="21"/>
      <c r="LYX235" s="21"/>
      <c r="LZA235" s="21"/>
      <c r="LZB235" s="15"/>
      <c r="LZC235" s="15"/>
      <c r="LZD235" s="15"/>
      <c r="LZE235" s="15"/>
      <c r="LZF235" s="15"/>
      <c r="LZG235" s="15"/>
      <c r="LZH235" s="15"/>
      <c r="LZI235" s="15"/>
      <c r="LZJ235" s="15"/>
      <c r="LZK235" s="15"/>
      <c r="LZL235" s="10"/>
      <c r="LZM235" s="10"/>
      <c r="LZN235" s="21"/>
      <c r="LZO235" s="21"/>
      <c r="LZR235" s="21"/>
      <c r="LZS235" s="15"/>
      <c r="LZT235" s="15"/>
      <c r="LZU235" s="15"/>
      <c r="LZV235" s="15"/>
      <c r="LZW235" s="15"/>
      <c r="LZX235" s="15"/>
      <c r="LZY235" s="15"/>
      <c r="LZZ235" s="15"/>
      <c r="MAA235" s="15"/>
      <c r="MAB235" s="15"/>
      <c r="MAC235" s="10"/>
      <c r="MAD235" s="10"/>
      <c r="MAE235" s="21"/>
      <c r="MAF235" s="21"/>
      <c r="MAI235" s="21"/>
      <c r="MAJ235" s="15"/>
      <c r="MAK235" s="15"/>
      <c r="MAL235" s="15"/>
      <c r="MAM235" s="15"/>
      <c r="MAN235" s="15"/>
      <c r="MAO235" s="15"/>
      <c r="MAP235" s="15"/>
      <c r="MAQ235" s="15"/>
      <c r="MAR235" s="15"/>
      <c r="MAS235" s="15"/>
      <c r="MAT235" s="10"/>
      <c r="MAU235" s="10"/>
      <c r="MAV235" s="21"/>
      <c r="MAW235" s="21"/>
      <c r="MAZ235" s="21"/>
      <c r="MBA235" s="15"/>
      <c r="MBB235" s="15"/>
      <c r="MBC235" s="15"/>
      <c r="MBD235" s="15"/>
      <c r="MBE235" s="15"/>
      <c r="MBF235" s="15"/>
      <c r="MBG235" s="15"/>
      <c r="MBH235" s="15"/>
      <c r="MBI235" s="15"/>
      <c r="MBJ235" s="15"/>
      <c r="MBK235" s="10"/>
      <c r="MBL235" s="10"/>
      <c r="MBM235" s="21"/>
      <c r="MBN235" s="21"/>
      <c r="MBQ235" s="21"/>
      <c r="MBR235" s="15"/>
      <c r="MBS235" s="15"/>
      <c r="MBT235" s="15"/>
      <c r="MBU235" s="15"/>
      <c r="MBV235" s="15"/>
      <c r="MBW235" s="15"/>
      <c r="MBX235" s="15"/>
      <c r="MBY235" s="15"/>
      <c r="MBZ235" s="15"/>
      <c r="MCA235" s="15"/>
      <c r="MCB235" s="10"/>
      <c r="MCC235" s="10"/>
      <c r="MCD235" s="21"/>
      <c r="MCE235" s="21"/>
      <c r="MCH235" s="21"/>
      <c r="MCI235" s="15"/>
      <c r="MCJ235" s="15"/>
      <c r="MCK235" s="15"/>
      <c r="MCL235" s="15"/>
      <c r="MCM235" s="15"/>
      <c r="MCN235" s="15"/>
      <c r="MCO235" s="15"/>
      <c r="MCP235" s="15"/>
      <c r="MCQ235" s="15"/>
      <c r="MCR235" s="15"/>
      <c r="MCS235" s="10"/>
      <c r="MCT235" s="10"/>
      <c r="MCU235" s="21"/>
      <c r="MCV235" s="21"/>
      <c r="MCY235" s="21"/>
      <c r="MCZ235" s="15"/>
      <c r="MDA235" s="15"/>
      <c r="MDB235" s="15"/>
      <c r="MDC235" s="15"/>
      <c r="MDD235" s="15"/>
      <c r="MDE235" s="15"/>
      <c r="MDF235" s="15"/>
      <c r="MDG235" s="15"/>
      <c r="MDH235" s="15"/>
      <c r="MDI235" s="15"/>
      <c r="MDJ235" s="10"/>
      <c r="MDK235" s="10"/>
      <c r="MDL235" s="21"/>
      <c r="MDM235" s="21"/>
      <c r="MDP235" s="21"/>
      <c r="MDQ235" s="15"/>
      <c r="MDR235" s="15"/>
      <c r="MDS235" s="15"/>
      <c r="MDT235" s="15"/>
      <c r="MDU235" s="15"/>
      <c r="MDV235" s="15"/>
      <c r="MDW235" s="15"/>
      <c r="MDX235" s="15"/>
      <c r="MDY235" s="15"/>
      <c r="MDZ235" s="15"/>
      <c r="MEA235" s="10"/>
      <c r="MEB235" s="10"/>
      <c r="MEC235" s="21"/>
      <c r="MED235" s="21"/>
      <c r="MEG235" s="21"/>
      <c r="MEH235" s="15"/>
      <c r="MEI235" s="15"/>
      <c r="MEJ235" s="15"/>
      <c r="MEK235" s="15"/>
      <c r="MEL235" s="15"/>
      <c r="MEM235" s="15"/>
      <c r="MEN235" s="15"/>
      <c r="MEO235" s="15"/>
      <c r="MEP235" s="15"/>
      <c r="MEQ235" s="15"/>
      <c r="MER235" s="10"/>
      <c r="MES235" s="10"/>
      <c r="MET235" s="21"/>
      <c r="MEU235" s="21"/>
      <c r="MEX235" s="21"/>
      <c r="MEY235" s="15"/>
      <c r="MEZ235" s="15"/>
      <c r="MFA235" s="15"/>
      <c r="MFB235" s="15"/>
      <c r="MFC235" s="15"/>
      <c r="MFD235" s="15"/>
      <c r="MFE235" s="15"/>
      <c r="MFF235" s="15"/>
      <c r="MFG235" s="15"/>
      <c r="MFH235" s="15"/>
      <c r="MFI235" s="10"/>
      <c r="MFJ235" s="10"/>
      <c r="MFK235" s="21"/>
      <c r="MFL235" s="21"/>
      <c r="MFO235" s="21"/>
      <c r="MFP235" s="15"/>
      <c r="MFQ235" s="15"/>
      <c r="MFR235" s="15"/>
      <c r="MFS235" s="15"/>
      <c r="MFT235" s="15"/>
      <c r="MFU235" s="15"/>
      <c r="MFV235" s="15"/>
      <c r="MFW235" s="15"/>
      <c r="MFX235" s="15"/>
      <c r="MFY235" s="15"/>
      <c r="MFZ235" s="10"/>
      <c r="MGA235" s="10"/>
      <c r="MGB235" s="21"/>
      <c r="MGC235" s="21"/>
      <c r="MGF235" s="21"/>
      <c r="MGG235" s="15"/>
      <c r="MGH235" s="15"/>
      <c r="MGI235" s="15"/>
      <c r="MGJ235" s="15"/>
      <c r="MGK235" s="15"/>
      <c r="MGL235" s="15"/>
      <c r="MGM235" s="15"/>
      <c r="MGN235" s="15"/>
      <c r="MGO235" s="15"/>
      <c r="MGP235" s="15"/>
      <c r="MGQ235" s="10"/>
      <c r="MGR235" s="10"/>
      <c r="MGS235" s="21"/>
      <c r="MGT235" s="21"/>
      <c r="MGW235" s="21"/>
      <c r="MGX235" s="15"/>
      <c r="MGY235" s="15"/>
      <c r="MGZ235" s="15"/>
      <c r="MHA235" s="15"/>
      <c r="MHB235" s="15"/>
      <c r="MHC235" s="15"/>
      <c r="MHD235" s="15"/>
      <c r="MHE235" s="15"/>
      <c r="MHF235" s="15"/>
      <c r="MHG235" s="15"/>
      <c r="MHH235" s="10"/>
      <c r="MHI235" s="10"/>
      <c r="MHJ235" s="21"/>
      <c r="MHK235" s="21"/>
      <c r="MHN235" s="21"/>
      <c r="MHO235" s="15"/>
      <c r="MHP235" s="15"/>
      <c r="MHQ235" s="15"/>
      <c r="MHR235" s="15"/>
      <c r="MHS235" s="15"/>
      <c r="MHT235" s="15"/>
      <c r="MHU235" s="15"/>
      <c r="MHV235" s="15"/>
      <c r="MHW235" s="15"/>
      <c r="MHX235" s="15"/>
      <c r="MHY235" s="10"/>
      <c r="MHZ235" s="10"/>
      <c r="MIA235" s="21"/>
      <c r="MIB235" s="21"/>
      <c r="MIE235" s="21"/>
      <c r="MIF235" s="15"/>
      <c r="MIG235" s="15"/>
      <c r="MIH235" s="15"/>
      <c r="MII235" s="15"/>
      <c r="MIJ235" s="15"/>
      <c r="MIK235" s="15"/>
      <c r="MIL235" s="15"/>
      <c r="MIM235" s="15"/>
      <c r="MIN235" s="15"/>
      <c r="MIO235" s="15"/>
      <c r="MIP235" s="10"/>
      <c r="MIQ235" s="10"/>
      <c r="MIR235" s="21"/>
      <c r="MIS235" s="21"/>
      <c r="MIV235" s="21"/>
      <c r="MIW235" s="15"/>
      <c r="MIX235" s="15"/>
      <c r="MIY235" s="15"/>
      <c r="MIZ235" s="15"/>
      <c r="MJA235" s="15"/>
      <c r="MJB235" s="15"/>
      <c r="MJC235" s="15"/>
      <c r="MJD235" s="15"/>
      <c r="MJE235" s="15"/>
      <c r="MJF235" s="15"/>
      <c r="MJG235" s="10"/>
      <c r="MJH235" s="10"/>
      <c r="MJI235" s="21"/>
      <c r="MJJ235" s="21"/>
      <c r="MJM235" s="21"/>
      <c r="MJN235" s="15"/>
      <c r="MJO235" s="15"/>
      <c r="MJP235" s="15"/>
      <c r="MJQ235" s="15"/>
      <c r="MJR235" s="15"/>
      <c r="MJS235" s="15"/>
      <c r="MJT235" s="15"/>
      <c r="MJU235" s="15"/>
      <c r="MJV235" s="15"/>
      <c r="MJW235" s="15"/>
      <c r="MJX235" s="10"/>
      <c r="MJY235" s="10"/>
      <c r="MJZ235" s="21"/>
      <c r="MKA235" s="21"/>
      <c r="MKD235" s="21"/>
      <c r="MKE235" s="15"/>
      <c r="MKF235" s="15"/>
      <c r="MKG235" s="15"/>
      <c r="MKH235" s="15"/>
      <c r="MKI235" s="15"/>
      <c r="MKJ235" s="15"/>
      <c r="MKK235" s="15"/>
      <c r="MKL235" s="15"/>
      <c r="MKM235" s="15"/>
      <c r="MKN235" s="15"/>
      <c r="MKO235" s="10"/>
      <c r="MKP235" s="10"/>
      <c r="MKQ235" s="21"/>
      <c r="MKR235" s="21"/>
      <c r="MKU235" s="21"/>
      <c r="MKV235" s="15"/>
      <c r="MKW235" s="15"/>
      <c r="MKX235" s="15"/>
      <c r="MKY235" s="15"/>
      <c r="MKZ235" s="15"/>
      <c r="MLA235" s="15"/>
      <c r="MLB235" s="15"/>
      <c r="MLC235" s="15"/>
      <c r="MLD235" s="15"/>
      <c r="MLE235" s="15"/>
      <c r="MLF235" s="10"/>
      <c r="MLG235" s="10"/>
      <c r="MLH235" s="21"/>
      <c r="MLI235" s="21"/>
      <c r="MLL235" s="21"/>
      <c r="MLM235" s="15"/>
      <c r="MLN235" s="15"/>
      <c r="MLO235" s="15"/>
      <c r="MLP235" s="15"/>
      <c r="MLQ235" s="15"/>
      <c r="MLR235" s="15"/>
      <c r="MLS235" s="15"/>
      <c r="MLT235" s="15"/>
      <c r="MLU235" s="15"/>
      <c r="MLV235" s="15"/>
      <c r="MLW235" s="10"/>
      <c r="MLX235" s="10"/>
      <c r="MLY235" s="21"/>
      <c r="MLZ235" s="21"/>
      <c r="MMC235" s="21"/>
      <c r="MMD235" s="15"/>
      <c r="MME235" s="15"/>
      <c r="MMF235" s="15"/>
      <c r="MMG235" s="15"/>
      <c r="MMH235" s="15"/>
      <c r="MMI235" s="15"/>
      <c r="MMJ235" s="15"/>
      <c r="MMK235" s="15"/>
      <c r="MML235" s="15"/>
      <c r="MMM235" s="15"/>
      <c r="MMN235" s="10"/>
      <c r="MMO235" s="10"/>
      <c r="MMP235" s="21"/>
      <c r="MMQ235" s="21"/>
      <c r="MMT235" s="21"/>
      <c r="MMU235" s="15"/>
      <c r="MMV235" s="15"/>
      <c r="MMW235" s="15"/>
      <c r="MMX235" s="15"/>
      <c r="MMY235" s="15"/>
      <c r="MMZ235" s="15"/>
      <c r="MNA235" s="15"/>
      <c r="MNB235" s="15"/>
      <c r="MNC235" s="15"/>
      <c r="MND235" s="15"/>
      <c r="MNE235" s="10"/>
      <c r="MNF235" s="10"/>
      <c r="MNG235" s="21"/>
      <c r="MNH235" s="21"/>
      <c r="MNK235" s="21"/>
      <c r="MNL235" s="15"/>
      <c r="MNM235" s="15"/>
      <c r="MNN235" s="15"/>
      <c r="MNO235" s="15"/>
      <c r="MNP235" s="15"/>
      <c r="MNQ235" s="15"/>
      <c r="MNR235" s="15"/>
      <c r="MNS235" s="15"/>
      <c r="MNT235" s="15"/>
      <c r="MNU235" s="15"/>
      <c r="MNV235" s="10"/>
      <c r="MNW235" s="10"/>
      <c r="MNX235" s="21"/>
      <c r="MNY235" s="21"/>
      <c r="MOB235" s="21"/>
      <c r="MOC235" s="15"/>
      <c r="MOD235" s="15"/>
      <c r="MOE235" s="15"/>
      <c r="MOF235" s="15"/>
      <c r="MOG235" s="15"/>
      <c r="MOH235" s="15"/>
      <c r="MOI235" s="15"/>
      <c r="MOJ235" s="15"/>
      <c r="MOK235" s="15"/>
      <c r="MOL235" s="15"/>
      <c r="MOM235" s="10"/>
      <c r="MON235" s="10"/>
      <c r="MOO235" s="21"/>
      <c r="MOP235" s="21"/>
      <c r="MOS235" s="21"/>
      <c r="MOT235" s="15"/>
      <c r="MOU235" s="15"/>
      <c r="MOV235" s="15"/>
      <c r="MOW235" s="15"/>
      <c r="MOX235" s="15"/>
      <c r="MOY235" s="15"/>
      <c r="MOZ235" s="15"/>
      <c r="MPA235" s="15"/>
      <c r="MPB235" s="15"/>
      <c r="MPC235" s="15"/>
      <c r="MPD235" s="10"/>
      <c r="MPE235" s="10"/>
      <c r="MPF235" s="21"/>
      <c r="MPG235" s="21"/>
      <c r="MPJ235" s="21"/>
      <c r="MPK235" s="15"/>
      <c r="MPL235" s="15"/>
      <c r="MPM235" s="15"/>
      <c r="MPN235" s="15"/>
      <c r="MPO235" s="15"/>
      <c r="MPP235" s="15"/>
      <c r="MPQ235" s="15"/>
      <c r="MPR235" s="15"/>
      <c r="MPS235" s="15"/>
      <c r="MPT235" s="15"/>
      <c r="MPU235" s="10"/>
      <c r="MPV235" s="10"/>
      <c r="MPW235" s="21"/>
      <c r="MPX235" s="21"/>
      <c r="MQA235" s="21"/>
      <c r="MQB235" s="15"/>
      <c r="MQC235" s="15"/>
      <c r="MQD235" s="15"/>
      <c r="MQE235" s="15"/>
      <c r="MQF235" s="15"/>
      <c r="MQG235" s="15"/>
      <c r="MQH235" s="15"/>
      <c r="MQI235" s="15"/>
      <c r="MQJ235" s="15"/>
      <c r="MQK235" s="15"/>
      <c r="MQL235" s="10"/>
      <c r="MQM235" s="10"/>
      <c r="MQN235" s="21"/>
      <c r="MQO235" s="21"/>
      <c r="MQR235" s="21"/>
      <c r="MQS235" s="15"/>
      <c r="MQT235" s="15"/>
      <c r="MQU235" s="15"/>
      <c r="MQV235" s="15"/>
      <c r="MQW235" s="15"/>
      <c r="MQX235" s="15"/>
      <c r="MQY235" s="15"/>
      <c r="MQZ235" s="15"/>
      <c r="MRA235" s="15"/>
      <c r="MRB235" s="15"/>
      <c r="MRC235" s="10"/>
      <c r="MRD235" s="10"/>
      <c r="MRE235" s="21"/>
      <c r="MRF235" s="21"/>
      <c r="MRI235" s="21"/>
      <c r="MRJ235" s="15"/>
      <c r="MRK235" s="15"/>
      <c r="MRL235" s="15"/>
      <c r="MRM235" s="15"/>
      <c r="MRN235" s="15"/>
      <c r="MRO235" s="15"/>
      <c r="MRP235" s="15"/>
      <c r="MRQ235" s="15"/>
      <c r="MRR235" s="15"/>
      <c r="MRS235" s="15"/>
      <c r="MRT235" s="10"/>
      <c r="MRU235" s="10"/>
      <c r="MRV235" s="21"/>
      <c r="MRW235" s="21"/>
      <c r="MRZ235" s="21"/>
      <c r="MSA235" s="15"/>
      <c r="MSB235" s="15"/>
      <c r="MSC235" s="15"/>
      <c r="MSD235" s="15"/>
      <c r="MSE235" s="15"/>
      <c r="MSF235" s="15"/>
      <c r="MSG235" s="15"/>
      <c r="MSH235" s="15"/>
      <c r="MSI235" s="15"/>
      <c r="MSJ235" s="15"/>
      <c r="MSK235" s="10"/>
      <c r="MSL235" s="10"/>
      <c r="MSM235" s="21"/>
      <c r="MSN235" s="21"/>
      <c r="MSQ235" s="21"/>
      <c r="MSR235" s="15"/>
      <c r="MSS235" s="15"/>
      <c r="MST235" s="15"/>
      <c r="MSU235" s="15"/>
      <c r="MSV235" s="15"/>
      <c r="MSW235" s="15"/>
      <c r="MSX235" s="15"/>
      <c r="MSY235" s="15"/>
      <c r="MSZ235" s="15"/>
      <c r="MTA235" s="15"/>
      <c r="MTB235" s="10"/>
      <c r="MTC235" s="10"/>
      <c r="MTD235" s="21"/>
      <c r="MTE235" s="21"/>
      <c r="MTH235" s="21"/>
      <c r="MTI235" s="15"/>
      <c r="MTJ235" s="15"/>
      <c r="MTK235" s="15"/>
      <c r="MTL235" s="15"/>
      <c r="MTM235" s="15"/>
      <c r="MTN235" s="15"/>
      <c r="MTO235" s="15"/>
      <c r="MTP235" s="15"/>
      <c r="MTQ235" s="15"/>
      <c r="MTR235" s="15"/>
      <c r="MTS235" s="10"/>
      <c r="MTT235" s="10"/>
      <c r="MTU235" s="21"/>
      <c r="MTV235" s="21"/>
      <c r="MTY235" s="21"/>
      <c r="MTZ235" s="15"/>
      <c r="MUA235" s="15"/>
      <c r="MUB235" s="15"/>
      <c r="MUC235" s="15"/>
      <c r="MUD235" s="15"/>
      <c r="MUE235" s="15"/>
      <c r="MUF235" s="15"/>
      <c r="MUG235" s="15"/>
      <c r="MUH235" s="15"/>
      <c r="MUI235" s="15"/>
      <c r="MUJ235" s="10"/>
      <c r="MUK235" s="10"/>
      <c r="MUL235" s="21"/>
      <c r="MUM235" s="21"/>
      <c r="MUP235" s="21"/>
      <c r="MUQ235" s="15"/>
      <c r="MUR235" s="15"/>
      <c r="MUS235" s="15"/>
      <c r="MUT235" s="15"/>
      <c r="MUU235" s="15"/>
      <c r="MUV235" s="15"/>
      <c r="MUW235" s="15"/>
      <c r="MUX235" s="15"/>
      <c r="MUY235" s="15"/>
      <c r="MUZ235" s="15"/>
      <c r="MVA235" s="10"/>
      <c r="MVB235" s="10"/>
      <c r="MVC235" s="21"/>
      <c r="MVD235" s="21"/>
      <c r="MVG235" s="21"/>
      <c r="MVH235" s="15"/>
      <c r="MVI235" s="15"/>
      <c r="MVJ235" s="15"/>
      <c r="MVK235" s="15"/>
      <c r="MVL235" s="15"/>
      <c r="MVM235" s="15"/>
      <c r="MVN235" s="15"/>
      <c r="MVO235" s="15"/>
      <c r="MVP235" s="15"/>
      <c r="MVQ235" s="15"/>
      <c r="MVR235" s="10"/>
      <c r="MVS235" s="10"/>
      <c r="MVT235" s="21"/>
      <c r="MVU235" s="21"/>
      <c r="MVX235" s="21"/>
      <c r="MVY235" s="15"/>
      <c r="MVZ235" s="15"/>
      <c r="MWA235" s="15"/>
      <c r="MWB235" s="15"/>
      <c r="MWC235" s="15"/>
      <c r="MWD235" s="15"/>
      <c r="MWE235" s="15"/>
      <c r="MWF235" s="15"/>
      <c r="MWG235" s="15"/>
      <c r="MWH235" s="15"/>
      <c r="MWI235" s="10"/>
      <c r="MWJ235" s="10"/>
      <c r="MWK235" s="21"/>
      <c r="MWL235" s="21"/>
      <c r="MWO235" s="21"/>
      <c r="MWP235" s="15"/>
      <c r="MWQ235" s="15"/>
      <c r="MWR235" s="15"/>
      <c r="MWS235" s="15"/>
      <c r="MWT235" s="15"/>
      <c r="MWU235" s="15"/>
      <c r="MWV235" s="15"/>
      <c r="MWW235" s="15"/>
      <c r="MWX235" s="15"/>
      <c r="MWY235" s="15"/>
      <c r="MWZ235" s="10"/>
      <c r="MXA235" s="10"/>
      <c r="MXB235" s="21"/>
      <c r="MXC235" s="21"/>
      <c r="MXF235" s="21"/>
      <c r="MXG235" s="15"/>
      <c r="MXH235" s="15"/>
      <c r="MXI235" s="15"/>
      <c r="MXJ235" s="15"/>
      <c r="MXK235" s="15"/>
      <c r="MXL235" s="15"/>
      <c r="MXM235" s="15"/>
      <c r="MXN235" s="15"/>
      <c r="MXO235" s="15"/>
      <c r="MXP235" s="15"/>
      <c r="MXQ235" s="10"/>
      <c r="MXR235" s="10"/>
      <c r="MXS235" s="21"/>
      <c r="MXT235" s="21"/>
      <c r="MXW235" s="21"/>
      <c r="MXX235" s="15"/>
      <c r="MXY235" s="15"/>
      <c r="MXZ235" s="15"/>
      <c r="MYA235" s="15"/>
      <c r="MYB235" s="15"/>
      <c r="MYC235" s="15"/>
      <c r="MYD235" s="15"/>
      <c r="MYE235" s="15"/>
      <c r="MYF235" s="15"/>
      <c r="MYG235" s="15"/>
      <c r="MYH235" s="10"/>
      <c r="MYI235" s="10"/>
      <c r="MYJ235" s="21"/>
      <c r="MYK235" s="21"/>
      <c r="MYN235" s="21"/>
      <c r="MYO235" s="15"/>
      <c r="MYP235" s="15"/>
      <c r="MYQ235" s="15"/>
      <c r="MYR235" s="15"/>
      <c r="MYS235" s="15"/>
      <c r="MYT235" s="15"/>
      <c r="MYU235" s="15"/>
      <c r="MYV235" s="15"/>
      <c r="MYW235" s="15"/>
      <c r="MYX235" s="15"/>
      <c r="MYY235" s="10"/>
      <c r="MYZ235" s="10"/>
      <c r="MZA235" s="21"/>
      <c r="MZB235" s="21"/>
      <c r="MZE235" s="21"/>
      <c r="MZF235" s="15"/>
      <c r="MZG235" s="15"/>
      <c r="MZH235" s="15"/>
      <c r="MZI235" s="15"/>
      <c r="MZJ235" s="15"/>
      <c r="MZK235" s="15"/>
      <c r="MZL235" s="15"/>
      <c r="MZM235" s="15"/>
      <c r="MZN235" s="15"/>
      <c r="MZO235" s="15"/>
      <c r="MZP235" s="10"/>
      <c r="MZQ235" s="10"/>
      <c r="MZR235" s="21"/>
      <c r="MZS235" s="21"/>
      <c r="MZV235" s="21"/>
      <c r="MZW235" s="15"/>
      <c r="MZX235" s="15"/>
      <c r="MZY235" s="15"/>
      <c r="MZZ235" s="15"/>
      <c r="NAA235" s="15"/>
      <c r="NAB235" s="15"/>
      <c r="NAC235" s="15"/>
      <c r="NAD235" s="15"/>
      <c r="NAE235" s="15"/>
      <c r="NAF235" s="15"/>
      <c r="NAG235" s="10"/>
      <c r="NAH235" s="10"/>
      <c r="NAI235" s="21"/>
      <c r="NAJ235" s="21"/>
      <c r="NAM235" s="21"/>
      <c r="NAN235" s="15"/>
      <c r="NAO235" s="15"/>
      <c r="NAP235" s="15"/>
      <c r="NAQ235" s="15"/>
      <c r="NAR235" s="15"/>
      <c r="NAS235" s="15"/>
      <c r="NAT235" s="15"/>
      <c r="NAU235" s="15"/>
      <c r="NAV235" s="15"/>
      <c r="NAW235" s="15"/>
      <c r="NAX235" s="10"/>
      <c r="NAY235" s="10"/>
      <c r="NAZ235" s="21"/>
      <c r="NBA235" s="21"/>
      <c r="NBD235" s="21"/>
      <c r="NBE235" s="15"/>
      <c r="NBF235" s="15"/>
      <c r="NBG235" s="15"/>
      <c r="NBH235" s="15"/>
      <c r="NBI235" s="15"/>
      <c r="NBJ235" s="15"/>
      <c r="NBK235" s="15"/>
      <c r="NBL235" s="15"/>
      <c r="NBM235" s="15"/>
      <c r="NBN235" s="15"/>
      <c r="NBO235" s="10"/>
      <c r="NBP235" s="10"/>
      <c r="NBQ235" s="21"/>
      <c r="NBR235" s="21"/>
      <c r="NBU235" s="21"/>
      <c r="NBV235" s="15"/>
      <c r="NBW235" s="15"/>
      <c r="NBX235" s="15"/>
      <c r="NBY235" s="15"/>
      <c r="NBZ235" s="15"/>
      <c r="NCA235" s="15"/>
      <c r="NCB235" s="15"/>
      <c r="NCC235" s="15"/>
      <c r="NCD235" s="15"/>
      <c r="NCE235" s="15"/>
      <c r="NCF235" s="10"/>
      <c r="NCG235" s="10"/>
      <c r="NCH235" s="21"/>
      <c r="NCI235" s="21"/>
      <c r="NCL235" s="21"/>
      <c r="NCM235" s="15"/>
      <c r="NCN235" s="15"/>
      <c r="NCO235" s="15"/>
      <c r="NCP235" s="15"/>
      <c r="NCQ235" s="15"/>
      <c r="NCR235" s="15"/>
      <c r="NCS235" s="15"/>
      <c r="NCT235" s="15"/>
      <c r="NCU235" s="15"/>
      <c r="NCV235" s="15"/>
      <c r="NCW235" s="10"/>
      <c r="NCX235" s="10"/>
      <c r="NCY235" s="21"/>
      <c r="NCZ235" s="21"/>
      <c r="NDC235" s="21"/>
      <c r="NDD235" s="15"/>
      <c r="NDE235" s="15"/>
      <c r="NDF235" s="15"/>
      <c r="NDG235" s="15"/>
      <c r="NDH235" s="15"/>
      <c r="NDI235" s="15"/>
      <c r="NDJ235" s="15"/>
      <c r="NDK235" s="15"/>
      <c r="NDL235" s="15"/>
      <c r="NDM235" s="15"/>
      <c r="NDN235" s="10"/>
      <c r="NDO235" s="10"/>
      <c r="NDP235" s="21"/>
      <c r="NDQ235" s="21"/>
      <c r="NDT235" s="21"/>
      <c r="NDU235" s="15"/>
      <c r="NDV235" s="15"/>
      <c r="NDW235" s="15"/>
      <c r="NDX235" s="15"/>
      <c r="NDY235" s="15"/>
      <c r="NDZ235" s="15"/>
      <c r="NEA235" s="15"/>
      <c r="NEB235" s="15"/>
      <c r="NEC235" s="15"/>
      <c r="NED235" s="15"/>
      <c r="NEE235" s="10"/>
      <c r="NEF235" s="10"/>
      <c r="NEG235" s="21"/>
      <c r="NEH235" s="21"/>
      <c r="NEK235" s="21"/>
      <c r="NEL235" s="15"/>
      <c r="NEM235" s="15"/>
      <c r="NEN235" s="15"/>
      <c r="NEO235" s="15"/>
      <c r="NEP235" s="15"/>
      <c r="NEQ235" s="15"/>
      <c r="NER235" s="15"/>
      <c r="NES235" s="15"/>
      <c r="NET235" s="15"/>
      <c r="NEU235" s="15"/>
      <c r="NEV235" s="10"/>
      <c r="NEW235" s="10"/>
      <c r="NEX235" s="21"/>
      <c r="NEY235" s="21"/>
      <c r="NFB235" s="21"/>
      <c r="NFC235" s="15"/>
      <c r="NFD235" s="15"/>
      <c r="NFE235" s="15"/>
      <c r="NFF235" s="15"/>
      <c r="NFG235" s="15"/>
      <c r="NFH235" s="15"/>
      <c r="NFI235" s="15"/>
      <c r="NFJ235" s="15"/>
      <c r="NFK235" s="15"/>
      <c r="NFL235" s="15"/>
      <c r="NFM235" s="10"/>
      <c r="NFN235" s="10"/>
      <c r="NFO235" s="21"/>
      <c r="NFP235" s="21"/>
      <c r="NFS235" s="21"/>
      <c r="NFT235" s="15"/>
      <c r="NFU235" s="15"/>
      <c r="NFV235" s="15"/>
      <c r="NFW235" s="15"/>
      <c r="NFX235" s="15"/>
      <c r="NFY235" s="15"/>
      <c r="NFZ235" s="15"/>
      <c r="NGA235" s="15"/>
      <c r="NGB235" s="15"/>
      <c r="NGC235" s="15"/>
      <c r="NGD235" s="10"/>
      <c r="NGE235" s="10"/>
      <c r="NGF235" s="21"/>
      <c r="NGG235" s="21"/>
      <c r="NGJ235" s="21"/>
      <c r="NGK235" s="15"/>
      <c r="NGL235" s="15"/>
      <c r="NGM235" s="15"/>
      <c r="NGN235" s="15"/>
      <c r="NGO235" s="15"/>
      <c r="NGP235" s="15"/>
      <c r="NGQ235" s="15"/>
      <c r="NGR235" s="15"/>
      <c r="NGS235" s="15"/>
      <c r="NGT235" s="15"/>
      <c r="NGU235" s="10"/>
      <c r="NGV235" s="10"/>
      <c r="NGW235" s="21"/>
      <c r="NGX235" s="21"/>
      <c r="NHA235" s="21"/>
      <c r="NHB235" s="15"/>
      <c r="NHC235" s="15"/>
      <c r="NHD235" s="15"/>
      <c r="NHE235" s="15"/>
      <c r="NHF235" s="15"/>
      <c r="NHG235" s="15"/>
      <c r="NHH235" s="15"/>
      <c r="NHI235" s="15"/>
      <c r="NHJ235" s="15"/>
      <c r="NHK235" s="15"/>
      <c r="NHL235" s="10"/>
      <c r="NHM235" s="10"/>
      <c r="NHN235" s="21"/>
      <c r="NHO235" s="21"/>
      <c r="NHR235" s="21"/>
      <c r="NHS235" s="15"/>
      <c r="NHT235" s="15"/>
      <c r="NHU235" s="15"/>
      <c r="NHV235" s="15"/>
      <c r="NHW235" s="15"/>
      <c r="NHX235" s="15"/>
      <c r="NHY235" s="15"/>
      <c r="NHZ235" s="15"/>
      <c r="NIA235" s="15"/>
      <c r="NIB235" s="15"/>
      <c r="NIC235" s="10"/>
      <c r="NID235" s="10"/>
      <c r="NIE235" s="21"/>
      <c r="NIF235" s="21"/>
      <c r="NII235" s="21"/>
      <c r="NIJ235" s="15"/>
      <c r="NIK235" s="15"/>
      <c r="NIL235" s="15"/>
      <c r="NIM235" s="15"/>
      <c r="NIN235" s="15"/>
      <c r="NIO235" s="15"/>
      <c r="NIP235" s="15"/>
      <c r="NIQ235" s="15"/>
      <c r="NIR235" s="15"/>
      <c r="NIS235" s="15"/>
      <c r="NIT235" s="10"/>
      <c r="NIU235" s="10"/>
      <c r="NIV235" s="21"/>
      <c r="NIW235" s="21"/>
      <c r="NIZ235" s="21"/>
      <c r="NJA235" s="15"/>
      <c r="NJB235" s="15"/>
      <c r="NJC235" s="15"/>
      <c r="NJD235" s="15"/>
      <c r="NJE235" s="15"/>
      <c r="NJF235" s="15"/>
      <c r="NJG235" s="15"/>
      <c r="NJH235" s="15"/>
      <c r="NJI235" s="15"/>
      <c r="NJJ235" s="15"/>
      <c r="NJK235" s="10"/>
      <c r="NJL235" s="10"/>
      <c r="NJM235" s="21"/>
      <c r="NJN235" s="21"/>
      <c r="NJQ235" s="21"/>
      <c r="NJR235" s="15"/>
      <c r="NJS235" s="15"/>
      <c r="NJT235" s="15"/>
      <c r="NJU235" s="15"/>
      <c r="NJV235" s="15"/>
      <c r="NJW235" s="15"/>
      <c r="NJX235" s="15"/>
      <c r="NJY235" s="15"/>
      <c r="NJZ235" s="15"/>
      <c r="NKA235" s="15"/>
      <c r="NKB235" s="10"/>
      <c r="NKC235" s="10"/>
      <c r="NKD235" s="21"/>
      <c r="NKE235" s="21"/>
      <c r="NKH235" s="21"/>
      <c r="NKI235" s="15"/>
      <c r="NKJ235" s="15"/>
      <c r="NKK235" s="15"/>
      <c r="NKL235" s="15"/>
      <c r="NKM235" s="15"/>
      <c r="NKN235" s="15"/>
      <c r="NKO235" s="15"/>
      <c r="NKP235" s="15"/>
      <c r="NKQ235" s="15"/>
      <c r="NKR235" s="15"/>
      <c r="NKS235" s="10"/>
      <c r="NKT235" s="10"/>
      <c r="NKU235" s="21"/>
      <c r="NKV235" s="21"/>
      <c r="NKY235" s="21"/>
      <c r="NKZ235" s="15"/>
      <c r="NLA235" s="15"/>
      <c r="NLB235" s="15"/>
      <c r="NLC235" s="15"/>
      <c r="NLD235" s="15"/>
      <c r="NLE235" s="15"/>
      <c r="NLF235" s="15"/>
      <c r="NLG235" s="15"/>
      <c r="NLH235" s="15"/>
      <c r="NLI235" s="15"/>
      <c r="NLJ235" s="10"/>
      <c r="NLK235" s="10"/>
      <c r="NLL235" s="21"/>
      <c r="NLM235" s="21"/>
      <c r="NLP235" s="21"/>
      <c r="NLQ235" s="15"/>
      <c r="NLR235" s="15"/>
      <c r="NLS235" s="15"/>
      <c r="NLT235" s="15"/>
      <c r="NLU235" s="15"/>
      <c r="NLV235" s="15"/>
      <c r="NLW235" s="15"/>
      <c r="NLX235" s="15"/>
      <c r="NLY235" s="15"/>
      <c r="NLZ235" s="15"/>
      <c r="NMA235" s="10"/>
      <c r="NMB235" s="10"/>
      <c r="NMC235" s="21"/>
      <c r="NMD235" s="21"/>
      <c r="NMG235" s="21"/>
      <c r="NMH235" s="15"/>
      <c r="NMI235" s="15"/>
      <c r="NMJ235" s="15"/>
      <c r="NMK235" s="15"/>
      <c r="NML235" s="15"/>
      <c r="NMM235" s="15"/>
      <c r="NMN235" s="15"/>
      <c r="NMO235" s="15"/>
      <c r="NMP235" s="15"/>
      <c r="NMQ235" s="15"/>
      <c r="NMR235" s="10"/>
      <c r="NMS235" s="10"/>
      <c r="NMT235" s="21"/>
      <c r="NMU235" s="21"/>
      <c r="NMX235" s="21"/>
      <c r="NMY235" s="15"/>
      <c r="NMZ235" s="15"/>
      <c r="NNA235" s="15"/>
      <c r="NNB235" s="15"/>
      <c r="NNC235" s="15"/>
      <c r="NND235" s="15"/>
      <c r="NNE235" s="15"/>
      <c r="NNF235" s="15"/>
      <c r="NNG235" s="15"/>
      <c r="NNH235" s="15"/>
      <c r="NNI235" s="10"/>
      <c r="NNJ235" s="10"/>
      <c r="NNK235" s="21"/>
      <c r="NNL235" s="21"/>
      <c r="NNO235" s="21"/>
      <c r="NNP235" s="15"/>
      <c r="NNQ235" s="15"/>
      <c r="NNR235" s="15"/>
      <c r="NNS235" s="15"/>
      <c r="NNT235" s="15"/>
      <c r="NNU235" s="15"/>
      <c r="NNV235" s="15"/>
      <c r="NNW235" s="15"/>
      <c r="NNX235" s="15"/>
      <c r="NNY235" s="15"/>
      <c r="NNZ235" s="10"/>
      <c r="NOA235" s="10"/>
      <c r="NOB235" s="21"/>
      <c r="NOC235" s="21"/>
      <c r="NOF235" s="21"/>
      <c r="NOG235" s="15"/>
      <c r="NOH235" s="15"/>
      <c r="NOI235" s="15"/>
      <c r="NOJ235" s="15"/>
      <c r="NOK235" s="15"/>
      <c r="NOL235" s="15"/>
      <c r="NOM235" s="15"/>
      <c r="NON235" s="15"/>
      <c r="NOO235" s="15"/>
      <c r="NOP235" s="15"/>
      <c r="NOQ235" s="10"/>
      <c r="NOR235" s="10"/>
      <c r="NOS235" s="21"/>
      <c r="NOT235" s="21"/>
      <c r="NOW235" s="21"/>
      <c r="NOX235" s="15"/>
      <c r="NOY235" s="15"/>
      <c r="NOZ235" s="15"/>
      <c r="NPA235" s="15"/>
      <c r="NPB235" s="15"/>
      <c r="NPC235" s="15"/>
      <c r="NPD235" s="15"/>
      <c r="NPE235" s="15"/>
      <c r="NPF235" s="15"/>
      <c r="NPG235" s="15"/>
      <c r="NPH235" s="10"/>
      <c r="NPI235" s="10"/>
      <c r="NPJ235" s="21"/>
      <c r="NPK235" s="21"/>
      <c r="NPN235" s="21"/>
      <c r="NPO235" s="15"/>
      <c r="NPP235" s="15"/>
      <c r="NPQ235" s="15"/>
      <c r="NPR235" s="15"/>
      <c r="NPS235" s="15"/>
      <c r="NPT235" s="15"/>
      <c r="NPU235" s="15"/>
      <c r="NPV235" s="15"/>
      <c r="NPW235" s="15"/>
      <c r="NPX235" s="15"/>
      <c r="NPY235" s="10"/>
      <c r="NPZ235" s="10"/>
      <c r="NQA235" s="21"/>
      <c r="NQB235" s="21"/>
      <c r="NQE235" s="21"/>
      <c r="NQF235" s="15"/>
      <c r="NQG235" s="15"/>
      <c r="NQH235" s="15"/>
      <c r="NQI235" s="15"/>
      <c r="NQJ235" s="15"/>
      <c r="NQK235" s="15"/>
      <c r="NQL235" s="15"/>
      <c r="NQM235" s="15"/>
      <c r="NQN235" s="15"/>
      <c r="NQO235" s="15"/>
      <c r="NQP235" s="10"/>
      <c r="NQQ235" s="10"/>
      <c r="NQR235" s="21"/>
      <c r="NQS235" s="21"/>
      <c r="NQV235" s="21"/>
      <c r="NQW235" s="15"/>
      <c r="NQX235" s="15"/>
      <c r="NQY235" s="15"/>
      <c r="NQZ235" s="15"/>
      <c r="NRA235" s="15"/>
      <c r="NRB235" s="15"/>
      <c r="NRC235" s="15"/>
      <c r="NRD235" s="15"/>
      <c r="NRE235" s="15"/>
      <c r="NRF235" s="15"/>
      <c r="NRG235" s="10"/>
      <c r="NRH235" s="10"/>
      <c r="NRI235" s="21"/>
      <c r="NRJ235" s="21"/>
      <c r="NRM235" s="21"/>
      <c r="NRN235" s="15"/>
      <c r="NRO235" s="15"/>
      <c r="NRP235" s="15"/>
      <c r="NRQ235" s="15"/>
      <c r="NRR235" s="15"/>
      <c r="NRS235" s="15"/>
      <c r="NRT235" s="15"/>
      <c r="NRU235" s="15"/>
      <c r="NRV235" s="15"/>
      <c r="NRW235" s="15"/>
      <c r="NRX235" s="10"/>
      <c r="NRY235" s="10"/>
      <c r="NRZ235" s="21"/>
      <c r="NSA235" s="21"/>
      <c r="NSD235" s="21"/>
      <c r="NSE235" s="15"/>
      <c r="NSF235" s="15"/>
      <c r="NSG235" s="15"/>
      <c r="NSH235" s="15"/>
      <c r="NSI235" s="15"/>
      <c r="NSJ235" s="15"/>
      <c r="NSK235" s="15"/>
      <c r="NSL235" s="15"/>
      <c r="NSM235" s="15"/>
      <c r="NSN235" s="15"/>
      <c r="NSO235" s="10"/>
      <c r="NSP235" s="10"/>
      <c r="NSQ235" s="21"/>
      <c r="NSR235" s="21"/>
      <c r="NSU235" s="21"/>
      <c r="NSV235" s="15"/>
      <c r="NSW235" s="15"/>
      <c r="NSX235" s="15"/>
      <c r="NSY235" s="15"/>
      <c r="NSZ235" s="15"/>
      <c r="NTA235" s="15"/>
      <c r="NTB235" s="15"/>
      <c r="NTC235" s="15"/>
      <c r="NTD235" s="15"/>
      <c r="NTE235" s="15"/>
      <c r="NTF235" s="10"/>
      <c r="NTG235" s="10"/>
      <c r="NTH235" s="21"/>
      <c r="NTI235" s="21"/>
      <c r="NTL235" s="21"/>
      <c r="NTM235" s="15"/>
      <c r="NTN235" s="15"/>
      <c r="NTO235" s="15"/>
      <c r="NTP235" s="15"/>
      <c r="NTQ235" s="15"/>
      <c r="NTR235" s="15"/>
      <c r="NTS235" s="15"/>
      <c r="NTT235" s="15"/>
      <c r="NTU235" s="15"/>
      <c r="NTV235" s="15"/>
      <c r="NTW235" s="10"/>
      <c r="NTX235" s="10"/>
      <c r="NTY235" s="21"/>
      <c r="NTZ235" s="21"/>
      <c r="NUC235" s="21"/>
      <c r="NUD235" s="15"/>
      <c r="NUE235" s="15"/>
      <c r="NUF235" s="15"/>
      <c r="NUG235" s="15"/>
      <c r="NUH235" s="15"/>
      <c r="NUI235" s="15"/>
      <c r="NUJ235" s="15"/>
      <c r="NUK235" s="15"/>
      <c r="NUL235" s="15"/>
      <c r="NUM235" s="15"/>
      <c r="NUN235" s="10"/>
      <c r="NUO235" s="10"/>
      <c r="NUP235" s="21"/>
      <c r="NUQ235" s="21"/>
      <c r="NUT235" s="21"/>
      <c r="NUU235" s="15"/>
      <c r="NUV235" s="15"/>
      <c r="NUW235" s="15"/>
      <c r="NUX235" s="15"/>
      <c r="NUY235" s="15"/>
      <c r="NUZ235" s="15"/>
      <c r="NVA235" s="15"/>
      <c r="NVB235" s="15"/>
      <c r="NVC235" s="15"/>
      <c r="NVD235" s="15"/>
      <c r="NVE235" s="10"/>
      <c r="NVF235" s="10"/>
      <c r="NVG235" s="21"/>
      <c r="NVH235" s="21"/>
      <c r="NVK235" s="21"/>
      <c r="NVL235" s="15"/>
      <c r="NVM235" s="15"/>
      <c r="NVN235" s="15"/>
      <c r="NVO235" s="15"/>
      <c r="NVP235" s="15"/>
      <c r="NVQ235" s="15"/>
      <c r="NVR235" s="15"/>
      <c r="NVS235" s="15"/>
      <c r="NVT235" s="15"/>
      <c r="NVU235" s="15"/>
      <c r="NVV235" s="10"/>
      <c r="NVW235" s="10"/>
      <c r="NVX235" s="21"/>
      <c r="NVY235" s="21"/>
      <c r="NWB235" s="21"/>
      <c r="NWC235" s="15"/>
      <c r="NWD235" s="15"/>
      <c r="NWE235" s="15"/>
      <c r="NWF235" s="15"/>
      <c r="NWG235" s="15"/>
      <c r="NWH235" s="15"/>
      <c r="NWI235" s="15"/>
      <c r="NWJ235" s="15"/>
      <c r="NWK235" s="15"/>
      <c r="NWL235" s="15"/>
      <c r="NWM235" s="10"/>
      <c r="NWN235" s="10"/>
      <c r="NWO235" s="21"/>
      <c r="NWP235" s="21"/>
      <c r="NWS235" s="21"/>
      <c r="NWT235" s="15"/>
      <c r="NWU235" s="15"/>
      <c r="NWV235" s="15"/>
      <c r="NWW235" s="15"/>
      <c r="NWX235" s="15"/>
      <c r="NWY235" s="15"/>
      <c r="NWZ235" s="15"/>
      <c r="NXA235" s="15"/>
      <c r="NXB235" s="15"/>
      <c r="NXC235" s="15"/>
      <c r="NXD235" s="10"/>
      <c r="NXE235" s="10"/>
      <c r="NXF235" s="21"/>
      <c r="NXG235" s="21"/>
      <c r="NXJ235" s="21"/>
      <c r="NXK235" s="15"/>
      <c r="NXL235" s="15"/>
      <c r="NXM235" s="15"/>
      <c r="NXN235" s="15"/>
      <c r="NXO235" s="15"/>
      <c r="NXP235" s="15"/>
      <c r="NXQ235" s="15"/>
      <c r="NXR235" s="15"/>
      <c r="NXS235" s="15"/>
      <c r="NXT235" s="15"/>
      <c r="NXU235" s="10"/>
      <c r="NXV235" s="10"/>
      <c r="NXW235" s="21"/>
      <c r="NXX235" s="21"/>
      <c r="NYA235" s="21"/>
      <c r="NYB235" s="15"/>
      <c r="NYC235" s="15"/>
      <c r="NYD235" s="15"/>
      <c r="NYE235" s="15"/>
      <c r="NYF235" s="15"/>
      <c r="NYG235" s="15"/>
      <c r="NYH235" s="15"/>
      <c r="NYI235" s="15"/>
      <c r="NYJ235" s="15"/>
      <c r="NYK235" s="15"/>
      <c r="NYL235" s="10"/>
      <c r="NYM235" s="10"/>
      <c r="NYN235" s="21"/>
      <c r="NYO235" s="21"/>
      <c r="NYR235" s="21"/>
      <c r="NYS235" s="15"/>
      <c r="NYT235" s="15"/>
      <c r="NYU235" s="15"/>
      <c r="NYV235" s="15"/>
      <c r="NYW235" s="15"/>
      <c r="NYX235" s="15"/>
      <c r="NYY235" s="15"/>
      <c r="NYZ235" s="15"/>
      <c r="NZA235" s="15"/>
      <c r="NZB235" s="15"/>
      <c r="NZC235" s="10"/>
      <c r="NZD235" s="10"/>
      <c r="NZE235" s="21"/>
      <c r="NZF235" s="21"/>
      <c r="NZI235" s="21"/>
      <c r="NZJ235" s="15"/>
      <c r="NZK235" s="15"/>
      <c r="NZL235" s="15"/>
      <c r="NZM235" s="15"/>
      <c r="NZN235" s="15"/>
      <c r="NZO235" s="15"/>
      <c r="NZP235" s="15"/>
      <c r="NZQ235" s="15"/>
      <c r="NZR235" s="15"/>
      <c r="NZS235" s="15"/>
      <c r="NZT235" s="10"/>
      <c r="NZU235" s="10"/>
      <c r="NZV235" s="21"/>
      <c r="NZW235" s="21"/>
      <c r="NZZ235" s="21"/>
      <c r="OAA235" s="15"/>
      <c r="OAB235" s="15"/>
      <c r="OAC235" s="15"/>
      <c r="OAD235" s="15"/>
      <c r="OAE235" s="15"/>
      <c r="OAF235" s="15"/>
      <c r="OAG235" s="15"/>
      <c r="OAH235" s="15"/>
      <c r="OAI235" s="15"/>
      <c r="OAJ235" s="15"/>
      <c r="OAK235" s="10"/>
      <c r="OAL235" s="10"/>
      <c r="OAM235" s="21"/>
      <c r="OAN235" s="21"/>
      <c r="OAQ235" s="21"/>
      <c r="OAR235" s="15"/>
      <c r="OAS235" s="15"/>
      <c r="OAT235" s="15"/>
      <c r="OAU235" s="15"/>
      <c r="OAV235" s="15"/>
      <c r="OAW235" s="15"/>
      <c r="OAX235" s="15"/>
      <c r="OAY235" s="15"/>
      <c r="OAZ235" s="15"/>
      <c r="OBA235" s="15"/>
      <c r="OBB235" s="10"/>
      <c r="OBC235" s="10"/>
      <c r="OBD235" s="21"/>
      <c r="OBE235" s="21"/>
      <c r="OBH235" s="21"/>
      <c r="OBI235" s="15"/>
      <c r="OBJ235" s="15"/>
      <c r="OBK235" s="15"/>
      <c r="OBL235" s="15"/>
      <c r="OBM235" s="15"/>
      <c r="OBN235" s="15"/>
      <c r="OBO235" s="15"/>
      <c r="OBP235" s="15"/>
      <c r="OBQ235" s="15"/>
      <c r="OBR235" s="15"/>
      <c r="OBS235" s="10"/>
      <c r="OBT235" s="10"/>
      <c r="OBU235" s="21"/>
      <c r="OBV235" s="21"/>
      <c r="OBY235" s="21"/>
      <c r="OBZ235" s="15"/>
      <c r="OCA235" s="15"/>
      <c r="OCB235" s="15"/>
      <c r="OCC235" s="15"/>
      <c r="OCD235" s="15"/>
      <c r="OCE235" s="15"/>
      <c r="OCF235" s="15"/>
      <c r="OCG235" s="15"/>
      <c r="OCH235" s="15"/>
      <c r="OCI235" s="15"/>
      <c r="OCJ235" s="10"/>
      <c r="OCK235" s="10"/>
      <c r="OCL235" s="21"/>
      <c r="OCM235" s="21"/>
      <c r="OCP235" s="21"/>
      <c r="OCQ235" s="15"/>
      <c r="OCR235" s="15"/>
      <c r="OCS235" s="15"/>
      <c r="OCT235" s="15"/>
      <c r="OCU235" s="15"/>
      <c r="OCV235" s="15"/>
      <c r="OCW235" s="15"/>
      <c r="OCX235" s="15"/>
      <c r="OCY235" s="15"/>
      <c r="OCZ235" s="15"/>
      <c r="ODA235" s="10"/>
      <c r="ODB235" s="10"/>
      <c r="ODC235" s="21"/>
      <c r="ODD235" s="21"/>
      <c r="ODG235" s="21"/>
      <c r="ODH235" s="15"/>
      <c r="ODI235" s="15"/>
      <c r="ODJ235" s="15"/>
      <c r="ODK235" s="15"/>
      <c r="ODL235" s="15"/>
      <c r="ODM235" s="15"/>
      <c r="ODN235" s="15"/>
      <c r="ODO235" s="15"/>
      <c r="ODP235" s="15"/>
      <c r="ODQ235" s="15"/>
      <c r="ODR235" s="10"/>
      <c r="ODS235" s="10"/>
      <c r="ODT235" s="21"/>
      <c r="ODU235" s="21"/>
      <c r="ODX235" s="21"/>
      <c r="ODY235" s="15"/>
      <c r="ODZ235" s="15"/>
      <c r="OEA235" s="15"/>
      <c r="OEB235" s="15"/>
      <c r="OEC235" s="15"/>
      <c r="OED235" s="15"/>
      <c r="OEE235" s="15"/>
      <c r="OEF235" s="15"/>
      <c r="OEG235" s="15"/>
      <c r="OEH235" s="15"/>
      <c r="OEI235" s="10"/>
      <c r="OEJ235" s="10"/>
      <c r="OEK235" s="21"/>
      <c r="OEL235" s="21"/>
      <c r="OEO235" s="21"/>
      <c r="OEP235" s="15"/>
      <c r="OEQ235" s="15"/>
      <c r="OER235" s="15"/>
      <c r="OES235" s="15"/>
      <c r="OET235" s="15"/>
      <c r="OEU235" s="15"/>
      <c r="OEV235" s="15"/>
      <c r="OEW235" s="15"/>
      <c r="OEX235" s="15"/>
      <c r="OEY235" s="15"/>
      <c r="OEZ235" s="10"/>
      <c r="OFA235" s="10"/>
      <c r="OFB235" s="21"/>
      <c r="OFC235" s="21"/>
      <c r="OFF235" s="21"/>
      <c r="OFG235" s="15"/>
      <c r="OFH235" s="15"/>
      <c r="OFI235" s="15"/>
      <c r="OFJ235" s="15"/>
      <c r="OFK235" s="15"/>
      <c r="OFL235" s="15"/>
      <c r="OFM235" s="15"/>
      <c r="OFN235" s="15"/>
      <c r="OFO235" s="15"/>
      <c r="OFP235" s="15"/>
      <c r="OFQ235" s="10"/>
      <c r="OFR235" s="10"/>
      <c r="OFS235" s="21"/>
      <c r="OFT235" s="21"/>
      <c r="OFW235" s="21"/>
      <c r="OFX235" s="15"/>
      <c r="OFY235" s="15"/>
      <c r="OFZ235" s="15"/>
      <c r="OGA235" s="15"/>
      <c r="OGB235" s="15"/>
      <c r="OGC235" s="15"/>
      <c r="OGD235" s="15"/>
      <c r="OGE235" s="15"/>
      <c r="OGF235" s="15"/>
      <c r="OGG235" s="15"/>
      <c r="OGH235" s="10"/>
      <c r="OGI235" s="10"/>
      <c r="OGJ235" s="21"/>
      <c r="OGK235" s="21"/>
      <c r="OGN235" s="21"/>
      <c r="OGO235" s="15"/>
      <c r="OGP235" s="15"/>
      <c r="OGQ235" s="15"/>
      <c r="OGR235" s="15"/>
      <c r="OGS235" s="15"/>
      <c r="OGT235" s="15"/>
      <c r="OGU235" s="15"/>
      <c r="OGV235" s="15"/>
      <c r="OGW235" s="15"/>
      <c r="OGX235" s="15"/>
      <c r="OGY235" s="10"/>
      <c r="OGZ235" s="10"/>
      <c r="OHA235" s="21"/>
      <c r="OHB235" s="21"/>
      <c r="OHE235" s="21"/>
      <c r="OHF235" s="15"/>
      <c r="OHG235" s="15"/>
      <c r="OHH235" s="15"/>
      <c r="OHI235" s="15"/>
      <c r="OHJ235" s="15"/>
      <c r="OHK235" s="15"/>
      <c r="OHL235" s="15"/>
      <c r="OHM235" s="15"/>
      <c r="OHN235" s="15"/>
      <c r="OHO235" s="15"/>
      <c r="OHP235" s="10"/>
      <c r="OHQ235" s="10"/>
      <c r="OHR235" s="21"/>
      <c r="OHS235" s="21"/>
      <c r="OHV235" s="21"/>
      <c r="OHW235" s="15"/>
      <c r="OHX235" s="15"/>
      <c r="OHY235" s="15"/>
      <c r="OHZ235" s="15"/>
      <c r="OIA235" s="15"/>
      <c r="OIB235" s="15"/>
      <c r="OIC235" s="15"/>
      <c r="OID235" s="15"/>
      <c r="OIE235" s="15"/>
      <c r="OIF235" s="15"/>
      <c r="OIG235" s="10"/>
      <c r="OIH235" s="10"/>
      <c r="OII235" s="21"/>
      <c r="OIJ235" s="21"/>
      <c r="OIM235" s="21"/>
      <c r="OIN235" s="15"/>
      <c r="OIO235" s="15"/>
      <c r="OIP235" s="15"/>
      <c r="OIQ235" s="15"/>
      <c r="OIR235" s="15"/>
      <c r="OIS235" s="15"/>
      <c r="OIT235" s="15"/>
      <c r="OIU235" s="15"/>
      <c r="OIV235" s="15"/>
      <c r="OIW235" s="15"/>
      <c r="OIX235" s="10"/>
      <c r="OIY235" s="10"/>
      <c r="OIZ235" s="21"/>
      <c r="OJA235" s="21"/>
      <c r="OJD235" s="21"/>
      <c r="OJE235" s="15"/>
      <c r="OJF235" s="15"/>
      <c r="OJG235" s="15"/>
      <c r="OJH235" s="15"/>
      <c r="OJI235" s="15"/>
      <c r="OJJ235" s="15"/>
      <c r="OJK235" s="15"/>
      <c r="OJL235" s="15"/>
      <c r="OJM235" s="15"/>
      <c r="OJN235" s="15"/>
      <c r="OJO235" s="10"/>
      <c r="OJP235" s="10"/>
      <c r="OJQ235" s="21"/>
      <c r="OJR235" s="21"/>
      <c r="OJU235" s="21"/>
      <c r="OJV235" s="15"/>
      <c r="OJW235" s="15"/>
      <c r="OJX235" s="15"/>
      <c r="OJY235" s="15"/>
      <c r="OJZ235" s="15"/>
      <c r="OKA235" s="15"/>
      <c r="OKB235" s="15"/>
      <c r="OKC235" s="15"/>
      <c r="OKD235" s="15"/>
      <c r="OKE235" s="15"/>
      <c r="OKF235" s="10"/>
      <c r="OKG235" s="10"/>
      <c r="OKH235" s="21"/>
      <c r="OKI235" s="21"/>
      <c r="OKL235" s="21"/>
      <c r="OKM235" s="15"/>
      <c r="OKN235" s="15"/>
      <c r="OKO235" s="15"/>
      <c r="OKP235" s="15"/>
      <c r="OKQ235" s="15"/>
      <c r="OKR235" s="15"/>
      <c r="OKS235" s="15"/>
      <c r="OKT235" s="15"/>
      <c r="OKU235" s="15"/>
      <c r="OKV235" s="15"/>
      <c r="OKW235" s="10"/>
      <c r="OKX235" s="10"/>
      <c r="OKY235" s="21"/>
      <c r="OKZ235" s="21"/>
      <c r="OLC235" s="21"/>
      <c r="OLD235" s="15"/>
      <c r="OLE235" s="15"/>
      <c r="OLF235" s="15"/>
      <c r="OLG235" s="15"/>
      <c r="OLH235" s="15"/>
      <c r="OLI235" s="15"/>
      <c r="OLJ235" s="15"/>
      <c r="OLK235" s="15"/>
      <c r="OLL235" s="15"/>
      <c r="OLM235" s="15"/>
      <c r="OLN235" s="10"/>
      <c r="OLO235" s="10"/>
      <c r="OLP235" s="21"/>
      <c r="OLQ235" s="21"/>
      <c r="OLT235" s="21"/>
      <c r="OLU235" s="15"/>
      <c r="OLV235" s="15"/>
      <c r="OLW235" s="15"/>
      <c r="OLX235" s="15"/>
      <c r="OLY235" s="15"/>
      <c r="OLZ235" s="15"/>
      <c r="OMA235" s="15"/>
      <c r="OMB235" s="15"/>
      <c r="OMC235" s="15"/>
      <c r="OMD235" s="15"/>
      <c r="OME235" s="10"/>
      <c r="OMF235" s="10"/>
      <c r="OMG235" s="21"/>
      <c r="OMH235" s="21"/>
      <c r="OMK235" s="21"/>
      <c r="OML235" s="15"/>
      <c r="OMM235" s="15"/>
      <c r="OMN235" s="15"/>
      <c r="OMO235" s="15"/>
      <c r="OMP235" s="15"/>
      <c r="OMQ235" s="15"/>
      <c r="OMR235" s="15"/>
      <c r="OMS235" s="15"/>
      <c r="OMT235" s="15"/>
      <c r="OMU235" s="15"/>
      <c r="OMV235" s="10"/>
      <c r="OMW235" s="10"/>
      <c r="OMX235" s="21"/>
      <c r="OMY235" s="21"/>
      <c r="ONB235" s="21"/>
      <c r="ONC235" s="15"/>
      <c r="OND235" s="15"/>
      <c r="ONE235" s="15"/>
      <c r="ONF235" s="15"/>
      <c r="ONG235" s="15"/>
      <c r="ONH235" s="15"/>
      <c r="ONI235" s="15"/>
      <c r="ONJ235" s="15"/>
      <c r="ONK235" s="15"/>
      <c r="ONL235" s="15"/>
      <c r="ONM235" s="10"/>
      <c r="ONN235" s="10"/>
      <c r="ONO235" s="21"/>
      <c r="ONP235" s="21"/>
      <c r="ONS235" s="21"/>
      <c r="ONT235" s="15"/>
      <c r="ONU235" s="15"/>
      <c r="ONV235" s="15"/>
      <c r="ONW235" s="15"/>
      <c r="ONX235" s="15"/>
      <c r="ONY235" s="15"/>
      <c r="ONZ235" s="15"/>
      <c r="OOA235" s="15"/>
      <c r="OOB235" s="15"/>
      <c r="OOC235" s="15"/>
      <c r="OOD235" s="10"/>
      <c r="OOE235" s="10"/>
      <c r="OOF235" s="21"/>
      <c r="OOG235" s="21"/>
      <c r="OOJ235" s="21"/>
      <c r="OOK235" s="15"/>
      <c r="OOL235" s="15"/>
      <c r="OOM235" s="15"/>
      <c r="OON235" s="15"/>
      <c r="OOO235" s="15"/>
      <c r="OOP235" s="15"/>
      <c r="OOQ235" s="15"/>
      <c r="OOR235" s="15"/>
      <c r="OOS235" s="15"/>
      <c r="OOT235" s="15"/>
      <c r="OOU235" s="10"/>
      <c r="OOV235" s="10"/>
      <c r="OOW235" s="21"/>
      <c r="OOX235" s="21"/>
      <c r="OPA235" s="21"/>
      <c r="OPB235" s="15"/>
      <c r="OPC235" s="15"/>
      <c r="OPD235" s="15"/>
      <c r="OPE235" s="15"/>
      <c r="OPF235" s="15"/>
      <c r="OPG235" s="15"/>
      <c r="OPH235" s="15"/>
      <c r="OPI235" s="15"/>
      <c r="OPJ235" s="15"/>
      <c r="OPK235" s="15"/>
      <c r="OPL235" s="10"/>
      <c r="OPM235" s="10"/>
      <c r="OPN235" s="21"/>
      <c r="OPO235" s="21"/>
      <c r="OPR235" s="21"/>
      <c r="OPS235" s="15"/>
      <c r="OPT235" s="15"/>
      <c r="OPU235" s="15"/>
      <c r="OPV235" s="15"/>
      <c r="OPW235" s="15"/>
      <c r="OPX235" s="15"/>
      <c r="OPY235" s="15"/>
      <c r="OPZ235" s="15"/>
      <c r="OQA235" s="15"/>
      <c r="OQB235" s="15"/>
      <c r="OQC235" s="10"/>
      <c r="OQD235" s="10"/>
      <c r="OQE235" s="21"/>
      <c r="OQF235" s="21"/>
      <c r="OQI235" s="21"/>
      <c r="OQJ235" s="15"/>
      <c r="OQK235" s="15"/>
      <c r="OQL235" s="15"/>
      <c r="OQM235" s="15"/>
      <c r="OQN235" s="15"/>
      <c r="OQO235" s="15"/>
      <c r="OQP235" s="15"/>
      <c r="OQQ235" s="15"/>
      <c r="OQR235" s="15"/>
      <c r="OQS235" s="15"/>
      <c r="OQT235" s="10"/>
      <c r="OQU235" s="10"/>
      <c r="OQV235" s="21"/>
      <c r="OQW235" s="21"/>
      <c r="OQZ235" s="21"/>
      <c r="ORA235" s="15"/>
      <c r="ORB235" s="15"/>
      <c r="ORC235" s="15"/>
      <c r="ORD235" s="15"/>
      <c r="ORE235" s="15"/>
      <c r="ORF235" s="15"/>
      <c r="ORG235" s="15"/>
      <c r="ORH235" s="15"/>
      <c r="ORI235" s="15"/>
      <c r="ORJ235" s="15"/>
      <c r="ORK235" s="10"/>
      <c r="ORL235" s="10"/>
      <c r="ORM235" s="21"/>
      <c r="ORN235" s="21"/>
      <c r="ORQ235" s="21"/>
      <c r="ORR235" s="15"/>
      <c r="ORS235" s="15"/>
      <c r="ORT235" s="15"/>
      <c r="ORU235" s="15"/>
      <c r="ORV235" s="15"/>
      <c r="ORW235" s="15"/>
      <c r="ORX235" s="15"/>
      <c r="ORY235" s="15"/>
      <c r="ORZ235" s="15"/>
      <c r="OSA235" s="15"/>
      <c r="OSB235" s="10"/>
      <c r="OSC235" s="10"/>
      <c r="OSD235" s="21"/>
      <c r="OSE235" s="21"/>
      <c r="OSH235" s="21"/>
      <c r="OSI235" s="15"/>
      <c r="OSJ235" s="15"/>
      <c r="OSK235" s="15"/>
      <c r="OSL235" s="15"/>
      <c r="OSM235" s="15"/>
      <c r="OSN235" s="15"/>
      <c r="OSO235" s="15"/>
      <c r="OSP235" s="15"/>
      <c r="OSQ235" s="15"/>
      <c r="OSR235" s="15"/>
      <c r="OSS235" s="10"/>
      <c r="OST235" s="10"/>
      <c r="OSU235" s="21"/>
      <c r="OSV235" s="21"/>
      <c r="OSY235" s="21"/>
      <c r="OSZ235" s="15"/>
      <c r="OTA235" s="15"/>
      <c r="OTB235" s="15"/>
      <c r="OTC235" s="15"/>
      <c r="OTD235" s="15"/>
      <c r="OTE235" s="15"/>
      <c r="OTF235" s="15"/>
      <c r="OTG235" s="15"/>
      <c r="OTH235" s="15"/>
      <c r="OTI235" s="15"/>
      <c r="OTJ235" s="10"/>
      <c r="OTK235" s="10"/>
      <c r="OTL235" s="21"/>
      <c r="OTM235" s="21"/>
      <c r="OTP235" s="21"/>
      <c r="OTQ235" s="15"/>
      <c r="OTR235" s="15"/>
      <c r="OTS235" s="15"/>
      <c r="OTT235" s="15"/>
      <c r="OTU235" s="15"/>
      <c r="OTV235" s="15"/>
      <c r="OTW235" s="15"/>
      <c r="OTX235" s="15"/>
      <c r="OTY235" s="15"/>
      <c r="OTZ235" s="15"/>
      <c r="OUA235" s="10"/>
      <c r="OUB235" s="10"/>
      <c r="OUC235" s="21"/>
      <c r="OUD235" s="21"/>
      <c r="OUG235" s="21"/>
      <c r="OUH235" s="15"/>
      <c r="OUI235" s="15"/>
      <c r="OUJ235" s="15"/>
      <c r="OUK235" s="15"/>
      <c r="OUL235" s="15"/>
      <c r="OUM235" s="15"/>
      <c r="OUN235" s="15"/>
      <c r="OUO235" s="15"/>
      <c r="OUP235" s="15"/>
      <c r="OUQ235" s="15"/>
      <c r="OUR235" s="10"/>
      <c r="OUS235" s="10"/>
      <c r="OUT235" s="21"/>
      <c r="OUU235" s="21"/>
      <c r="OUX235" s="21"/>
      <c r="OUY235" s="15"/>
      <c r="OUZ235" s="15"/>
      <c r="OVA235" s="15"/>
      <c r="OVB235" s="15"/>
      <c r="OVC235" s="15"/>
      <c r="OVD235" s="15"/>
      <c r="OVE235" s="15"/>
      <c r="OVF235" s="15"/>
      <c r="OVG235" s="15"/>
      <c r="OVH235" s="15"/>
      <c r="OVI235" s="10"/>
      <c r="OVJ235" s="10"/>
      <c r="OVK235" s="21"/>
      <c r="OVL235" s="21"/>
      <c r="OVO235" s="21"/>
      <c r="OVP235" s="15"/>
      <c r="OVQ235" s="15"/>
      <c r="OVR235" s="15"/>
      <c r="OVS235" s="15"/>
      <c r="OVT235" s="15"/>
      <c r="OVU235" s="15"/>
      <c r="OVV235" s="15"/>
      <c r="OVW235" s="15"/>
      <c r="OVX235" s="15"/>
      <c r="OVY235" s="15"/>
      <c r="OVZ235" s="10"/>
      <c r="OWA235" s="10"/>
      <c r="OWB235" s="21"/>
      <c r="OWC235" s="21"/>
      <c r="OWF235" s="21"/>
      <c r="OWG235" s="15"/>
      <c r="OWH235" s="15"/>
      <c r="OWI235" s="15"/>
      <c r="OWJ235" s="15"/>
      <c r="OWK235" s="15"/>
      <c r="OWL235" s="15"/>
      <c r="OWM235" s="15"/>
      <c r="OWN235" s="15"/>
      <c r="OWO235" s="15"/>
      <c r="OWP235" s="15"/>
      <c r="OWQ235" s="10"/>
      <c r="OWR235" s="10"/>
      <c r="OWS235" s="21"/>
      <c r="OWT235" s="21"/>
      <c r="OWW235" s="21"/>
      <c r="OWX235" s="15"/>
      <c r="OWY235" s="15"/>
      <c r="OWZ235" s="15"/>
      <c r="OXA235" s="15"/>
      <c r="OXB235" s="15"/>
      <c r="OXC235" s="15"/>
      <c r="OXD235" s="15"/>
      <c r="OXE235" s="15"/>
      <c r="OXF235" s="15"/>
      <c r="OXG235" s="15"/>
      <c r="OXH235" s="10"/>
      <c r="OXI235" s="10"/>
      <c r="OXJ235" s="21"/>
      <c r="OXK235" s="21"/>
      <c r="OXN235" s="21"/>
      <c r="OXO235" s="15"/>
      <c r="OXP235" s="15"/>
      <c r="OXQ235" s="15"/>
      <c r="OXR235" s="15"/>
      <c r="OXS235" s="15"/>
      <c r="OXT235" s="15"/>
      <c r="OXU235" s="15"/>
      <c r="OXV235" s="15"/>
      <c r="OXW235" s="15"/>
      <c r="OXX235" s="15"/>
      <c r="OXY235" s="10"/>
      <c r="OXZ235" s="10"/>
      <c r="OYA235" s="21"/>
      <c r="OYB235" s="21"/>
      <c r="OYE235" s="21"/>
      <c r="OYF235" s="15"/>
      <c r="OYG235" s="15"/>
      <c r="OYH235" s="15"/>
      <c r="OYI235" s="15"/>
      <c r="OYJ235" s="15"/>
      <c r="OYK235" s="15"/>
      <c r="OYL235" s="15"/>
      <c r="OYM235" s="15"/>
      <c r="OYN235" s="15"/>
      <c r="OYO235" s="15"/>
      <c r="OYP235" s="10"/>
      <c r="OYQ235" s="10"/>
      <c r="OYR235" s="21"/>
      <c r="OYS235" s="21"/>
      <c r="OYV235" s="21"/>
      <c r="OYW235" s="15"/>
      <c r="OYX235" s="15"/>
      <c r="OYY235" s="15"/>
      <c r="OYZ235" s="15"/>
      <c r="OZA235" s="15"/>
      <c r="OZB235" s="15"/>
      <c r="OZC235" s="15"/>
      <c r="OZD235" s="15"/>
      <c r="OZE235" s="15"/>
      <c r="OZF235" s="15"/>
      <c r="OZG235" s="10"/>
      <c r="OZH235" s="10"/>
      <c r="OZI235" s="21"/>
      <c r="OZJ235" s="21"/>
      <c r="OZM235" s="21"/>
      <c r="OZN235" s="15"/>
      <c r="OZO235" s="15"/>
      <c r="OZP235" s="15"/>
      <c r="OZQ235" s="15"/>
      <c r="OZR235" s="15"/>
      <c r="OZS235" s="15"/>
      <c r="OZT235" s="15"/>
      <c r="OZU235" s="15"/>
      <c r="OZV235" s="15"/>
      <c r="OZW235" s="15"/>
      <c r="OZX235" s="10"/>
      <c r="OZY235" s="10"/>
      <c r="OZZ235" s="21"/>
      <c r="PAA235" s="21"/>
      <c r="PAD235" s="21"/>
      <c r="PAE235" s="15"/>
      <c r="PAF235" s="15"/>
      <c r="PAG235" s="15"/>
      <c r="PAH235" s="15"/>
      <c r="PAI235" s="15"/>
      <c r="PAJ235" s="15"/>
      <c r="PAK235" s="15"/>
      <c r="PAL235" s="15"/>
      <c r="PAM235" s="15"/>
      <c r="PAN235" s="15"/>
      <c r="PAO235" s="10"/>
      <c r="PAP235" s="10"/>
      <c r="PAQ235" s="21"/>
      <c r="PAR235" s="21"/>
      <c r="PAU235" s="21"/>
      <c r="PAV235" s="15"/>
      <c r="PAW235" s="15"/>
      <c r="PAX235" s="15"/>
      <c r="PAY235" s="15"/>
      <c r="PAZ235" s="15"/>
      <c r="PBA235" s="15"/>
      <c r="PBB235" s="15"/>
      <c r="PBC235" s="15"/>
      <c r="PBD235" s="15"/>
      <c r="PBE235" s="15"/>
      <c r="PBF235" s="10"/>
      <c r="PBG235" s="10"/>
      <c r="PBH235" s="21"/>
      <c r="PBI235" s="21"/>
      <c r="PBL235" s="21"/>
      <c r="PBM235" s="15"/>
      <c r="PBN235" s="15"/>
      <c r="PBO235" s="15"/>
      <c r="PBP235" s="15"/>
      <c r="PBQ235" s="15"/>
      <c r="PBR235" s="15"/>
      <c r="PBS235" s="15"/>
      <c r="PBT235" s="15"/>
      <c r="PBU235" s="15"/>
      <c r="PBV235" s="15"/>
      <c r="PBW235" s="10"/>
      <c r="PBX235" s="10"/>
      <c r="PBY235" s="21"/>
      <c r="PBZ235" s="21"/>
      <c r="PCC235" s="21"/>
      <c r="PCD235" s="15"/>
      <c r="PCE235" s="15"/>
      <c r="PCF235" s="15"/>
      <c r="PCG235" s="15"/>
      <c r="PCH235" s="15"/>
      <c r="PCI235" s="15"/>
      <c r="PCJ235" s="15"/>
      <c r="PCK235" s="15"/>
      <c r="PCL235" s="15"/>
      <c r="PCM235" s="15"/>
      <c r="PCN235" s="10"/>
      <c r="PCO235" s="10"/>
      <c r="PCP235" s="21"/>
      <c r="PCQ235" s="21"/>
      <c r="PCT235" s="21"/>
      <c r="PCU235" s="15"/>
      <c r="PCV235" s="15"/>
      <c r="PCW235" s="15"/>
      <c r="PCX235" s="15"/>
      <c r="PCY235" s="15"/>
      <c r="PCZ235" s="15"/>
      <c r="PDA235" s="15"/>
      <c r="PDB235" s="15"/>
      <c r="PDC235" s="15"/>
      <c r="PDD235" s="15"/>
      <c r="PDE235" s="10"/>
      <c r="PDF235" s="10"/>
      <c r="PDG235" s="21"/>
      <c r="PDH235" s="21"/>
      <c r="PDK235" s="21"/>
      <c r="PDL235" s="15"/>
      <c r="PDM235" s="15"/>
      <c r="PDN235" s="15"/>
      <c r="PDO235" s="15"/>
      <c r="PDP235" s="15"/>
      <c r="PDQ235" s="15"/>
      <c r="PDR235" s="15"/>
      <c r="PDS235" s="15"/>
      <c r="PDT235" s="15"/>
      <c r="PDU235" s="15"/>
      <c r="PDV235" s="10"/>
      <c r="PDW235" s="10"/>
      <c r="PDX235" s="21"/>
      <c r="PDY235" s="21"/>
      <c r="PEB235" s="21"/>
      <c r="PEC235" s="15"/>
      <c r="PED235" s="15"/>
      <c r="PEE235" s="15"/>
      <c r="PEF235" s="15"/>
      <c r="PEG235" s="15"/>
      <c r="PEH235" s="15"/>
      <c r="PEI235" s="15"/>
      <c r="PEJ235" s="15"/>
      <c r="PEK235" s="15"/>
      <c r="PEL235" s="15"/>
      <c r="PEM235" s="10"/>
      <c r="PEN235" s="10"/>
      <c r="PEO235" s="21"/>
      <c r="PEP235" s="21"/>
      <c r="PES235" s="21"/>
      <c r="PET235" s="15"/>
      <c r="PEU235" s="15"/>
      <c r="PEV235" s="15"/>
      <c r="PEW235" s="15"/>
      <c r="PEX235" s="15"/>
      <c r="PEY235" s="15"/>
      <c r="PEZ235" s="15"/>
      <c r="PFA235" s="15"/>
      <c r="PFB235" s="15"/>
      <c r="PFC235" s="15"/>
      <c r="PFD235" s="10"/>
      <c r="PFE235" s="10"/>
      <c r="PFF235" s="21"/>
      <c r="PFG235" s="21"/>
      <c r="PFJ235" s="21"/>
      <c r="PFK235" s="15"/>
      <c r="PFL235" s="15"/>
      <c r="PFM235" s="15"/>
      <c r="PFN235" s="15"/>
      <c r="PFO235" s="15"/>
      <c r="PFP235" s="15"/>
      <c r="PFQ235" s="15"/>
      <c r="PFR235" s="15"/>
      <c r="PFS235" s="15"/>
      <c r="PFT235" s="15"/>
      <c r="PFU235" s="10"/>
      <c r="PFV235" s="10"/>
      <c r="PFW235" s="21"/>
      <c r="PFX235" s="21"/>
      <c r="PGA235" s="21"/>
      <c r="PGB235" s="15"/>
      <c r="PGC235" s="15"/>
      <c r="PGD235" s="15"/>
      <c r="PGE235" s="15"/>
      <c r="PGF235" s="15"/>
      <c r="PGG235" s="15"/>
      <c r="PGH235" s="15"/>
      <c r="PGI235" s="15"/>
      <c r="PGJ235" s="15"/>
      <c r="PGK235" s="15"/>
      <c r="PGL235" s="10"/>
      <c r="PGM235" s="10"/>
      <c r="PGN235" s="21"/>
      <c r="PGO235" s="21"/>
      <c r="PGR235" s="21"/>
      <c r="PGS235" s="15"/>
      <c r="PGT235" s="15"/>
      <c r="PGU235" s="15"/>
      <c r="PGV235" s="15"/>
      <c r="PGW235" s="15"/>
      <c r="PGX235" s="15"/>
      <c r="PGY235" s="15"/>
      <c r="PGZ235" s="15"/>
      <c r="PHA235" s="15"/>
      <c r="PHB235" s="15"/>
      <c r="PHC235" s="10"/>
      <c r="PHD235" s="10"/>
      <c r="PHE235" s="21"/>
      <c r="PHF235" s="21"/>
      <c r="PHI235" s="21"/>
      <c r="PHJ235" s="15"/>
      <c r="PHK235" s="15"/>
      <c r="PHL235" s="15"/>
      <c r="PHM235" s="15"/>
      <c r="PHN235" s="15"/>
      <c r="PHO235" s="15"/>
      <c r="PHP235" s="15"/>
      <c r="PHQ235" s="15"/>
      <c r="PHR235" s="15"/>
      <c r="PHS235" s="15"/>
      <c r="PHT235" s="10"/>
      <c r="PHU235" s="10"/>
      <c r="PHV235" s="21"/>
      <c r="PHW235" s="21"/>
      <c r="PHZ235" s="21"/>
      <c r="PIA235" s="15"/>
      <c r="PIB235" s="15"/>
      <c r="PIC235" s="15"/>
      <c r="PID235" s="15"/>
      <c r="PIE235" s="15"/>
      <c r="PIF235" s="15"/>
      <c r="PIG235" s="15"/>
      <c r="PIH235" s="15"/>
      <c r="PII235" s="15"/>
      <c r="PIJ235" s="15"/>
      <c r="PIK235" s="10"/>
      <c r="PIL235" s="10"/>
      <c r="PIM235" s="21"/>
      <c r="PIN235" s="21"/>
      <c r="PIQ235" s="21"/>
      <c r="PIR235" s="15"/>
      <c r="PIS235" s="15"/>
      <c r="PIT235" s="15"/>
      <c r="PIU235" s="15"/>
      <c r="PIV235" s="15"/>
      <c r="PIW235" s="15"/>
      <c r="PIX235" s="15"/>
      <c r="PIY235" s="15"/>
      <c r="PIZ235" s="15"/>
      <c r="PJA235" s="15"/>
      <c r="PJB235" s="10"/>
      <c r="PJC235" s="10"/>
      <c r="PJD235" s="21"/>
      <c r="PJE235" s="21"/>
      <c r="PJH235" s="21"/>
      <c r="PJI235" s="15"/>
      <c r="PJJ235" s="15"/>
      <c r="PJK235" s="15"/>
      <c r="PJL235" s="15"/>
      <c r="PJM235" s="15"/>
      <c r="PJN235" s="15"/>
      <c r="PJO235" s="15"/>
      <c r="PJP235" s="15"/>
      <c r="PJQ235" s="15"/>
      <c r="PJR235" s="15"/>
      <c r="PJS235" s="10"/>
      <c r="PJT235" s="10"/>
      <c r="PJU235" s="21"/>
      <c r="PJV235" s="21"/>
      <c r="PJY235" s="21"/>
      <c r="PJZ235" s="15"/>
      <c r="PKA235" s="15"/>
      <c r="PKB235" s="15"/>
      <c r="PKC235" s="15"/>
      <c r="PKD235" s="15"/>
      <c r="PKE235" s="15"/>
      <c r="PKF235" s="15"/>
      <c r="PKG235" s="15"/>
      <c r="PKH235" s="15"/>
      <c r="PKI235" s="15"/>
      <c r="PKJ235" s="10"/>
      <c r="PKK235" s="10"/>
      <c r="PKL235" s="21"/>
      <c r="PKM235" s="21"/>
      <c r="PKP235" s="21"/>
      <c r="PKQ235" s="15"/>
      <c r="PKR235" s="15"/>
      <c r="PKS235" s="15"/>
      <c r="PKT235" s="15"/>
      <c r="PKU235" s="15"/>
      <c r="PKV235" s="15"/>
      <c r="PKW235" s="15"/>
      <c r="PKX235" s="15"/>
      <c r="PKY235" s="15"/>
      <c r="PKZ235" s="15"/>
      <c r="PLA235" s="10"/>
      <c r="PLB235" s="10"/>
      <c r="PLC235" s="21"/>
      <c r="PLD235" s="21"/>
      <c r="PLG235" s="21"/>
      <c r="PLH235" s="15"/>
      <c r="PLI235" s="15"/>
      <c r="PLJ235" s="15"/>
      <c r="PLK235" s="15"/>
      <c r="PLL235" s="15"/>
      <c r="PLM235" s="15"/>
      <c r="PLN235" s="15"/>
      <c r="PLO235" s="15"/>
      <c r="PLP235" s="15"/>
      <c r="PLQ235" s="15"/>
      <c r="PLR235" s="10"/>
      <c r="PLS235" s="10"/>
      <c r="PLT235" s="21"/>
      <c r="PLU235" s="21"/>
      <c r="PLX235" s="21"/>
      <c r="PLY235" s="15"/>
      <c r="PLZ235" s="15"/>
      <c r="PMA235" s="15"/>
      <c r="PMB235" s="15"/>
      <c r="PMC235" s="15"/>
      <c r="PMD235" s="15"/>
      <c r="PME235" s="15"/>
      <c r="PMF235" s="15"/>
      <c r="PMG235" s="15"/>
      <c r="PMH235" s="15"/>
      <c r="PMI235" s="10"/>
      <c r="PMJ235" s="10"/>
      <c r="PMK235" s="21"/>
      <c r="PML235" s="21"/>
      <c r="PMO235" s="21"/>
      <c r="PMP235" s="15"/>
      <c r="PMQ235" s="15"/>
      <c r="PMR235" s="15"/>
      <c r="PMS235" s="15"/>
      <c r="PMT235" s="15"/>
      <c r="PMU235" s="15"/>
      <c r="PMV235" s="15"/>
      <c r="PMW235" s="15"/>
      <c r="PMX235" s="15"/>
      <c r="PMY235" s="15"/>
      <c r="PMZ235" s="10"/>
      <c r="PNA235" s="10"/>
      <c r="PNB235" s="21"/>
      <c r="PNC235" s="21"/>
      <c r="PNF235" s="21"/>
      <c r="PNG235" s="15"/>
      <c r="PNH235" s="15"/>
      <c r="PNI235" s="15"/>
      <c r="PNJ235" s="15"/>
      <c r="PNK235" s="15"/>
      <c r="PNL235" s="15"/>
      <c r="PNM235" s="15"/>
      <c r="PNN235" s="15"/>
      <c r="PNO235" s="15"/>
      <c r="PNP235" s="15"/>
      <c r="PNQ235" s="10"/>
      <c r="PNR235" s="10"/>
      <c r="PNS235" s="21"/>
      <c r="PNT235" s="21"/>
      <c r="PNW235" s="21"/>
      <c r="PNX235" s="15"/>
      <c r="PNY235" s="15"/>
      <c r="PNZ235" s="15"/>
      <c r="POA235" s="15"/>
      <c r="POB235" s="15"/>
      <c r="POC235" s="15"/>
      <c r="POD235" s="15"/>
      <c r="POE235" s="15"/>
      <c r="POF235" s="15"/>
      <c r="POG235" s="15"/>
      <c r="POH235" s="10"/>
      <c r="POI235" s="10"/>
      <c r="POJ235" s="21"/>
      <c r="POK235" s="21"/>
      <c r="PON235" s="21"/>
      <c r="POO235" s="15"/>
      <c r="POP235" s="15"/>
      <c r="POQ235" s="15"/>
      <c r="POR235" s="15"/>
      <c r="POS235" s="15"/>
      <c r="POT235" s="15"/>
      <c r="POU235" s="15"/>
      <c r="POV235" s="15"/>
      <c r="POW235" s="15"/>
      <c r="POX235" s="15"/>
      <c r="POY235" s="10"/>
      <c r="POZ235" s="10"/>
      <c r="PPA235" s="21"/>
      <c r="PPB235" s="21"/>
      <c r="PPE235" s="21"/>
      <c r="PPF235" s="15"/>
      <c r="PPG235" s="15"/>
      <c r="PPH235" s="15"/>
      <c r="PPI235" s="15"/>
      <c r="PPJ235" s="15"/>
      <c r="PPK235" s="15"/>
      <c r="PPL235" s="15"/>
      <c r="PPM235" s="15"/>
      <c r="PPN235" s="15"/>
      <c r="PPO235" s="15"/>
      <c r="PPP235" s="10"/>
      <c r="PPQ235" s="10"/>
      <c r="PPR235" s="21"/>
      <c r="PPS235" s="21"/>
      <c r="PPV235" s="21"/>
      <c r="PPW235" s="15"/>
      <c r="PPX235" s="15"/>
      <c r="PPY235" s="15"/>
      <c r="PPZ235" s="15"/>
      <c r="PQA235" s="15"/>
      <c r="PQB235" s="15"/>
      <c r="PQC235" s="15"/>
      <c r="PQD235" s="15"/>
      <c r="PQE235" s="15"/>
      <c r="PQF235" s="15"/>
      <c r="PQG235" s="10"/>
      <c r="PQH235" s="10"/>
      <c r="PQI235" s="21"/>
      <c r="PQJ235" s="21"/>
      <c r="PQM235" s="21"/>
      <c r="PQN235" s="15"/>
      <c r="PQO235" s="15"/>
      <c r="PQP235" s="15"/>
      <c r="PQQ235" s="15"/>
      <c r="PQR235" s="15"/>
      <c r="PQS235" s="15"/>
      <c r="PQT235" s="15"/>
      <c r="PQU235" s="15"/>
      <c r="PQV235" s="15"/>
      <c r="PQW235" s="15"/>
      <c r="PQX235" s="10"/>
      <c r="PQY235" s="10"/>
      <c r="PQZ235" s="21"/>
      <c r="PRA235" s="21"/>
      <c r="PRD235" s="21"/>
      <c r="PRE235" s="15"/>
      <c r="PRF235" s="15"/>
      <c r="PRG235" s="15"/>
      <c r="PRH235" s="15"/>
      <c r="PRI235" s="15"/>
      <c r="PRJ235" s="15"/>
      <c r="PRK235" s="15"/>
      <c r="PRL235" s="15"/>
      <c r="PRM235" s="15"/>
      <c r="PRN235" s="15"/>
      <c r="PRO235" s="10"/>
      <c r="PRP235" s="10"/>
      <c r="PRQ235" s="21"/>
      <c r="PRR235" s="21"/>
      <c r="PRU235" s="21"/>
      <c r="PRV235" s="15"/>
      <c r="PRW235" s="15"/>
      <c r="PRX235" s="15"/>
      <c r="PRY235" s="15"/>
      <c r="PRZ235" s="15"/>
      <c r="PSA235" s="15"/>
      <c r="PSB235" s="15"/>
      <c r="PSC235" s="15"/>
      <c r="PSD235" s="15"/>
      <c r="PSE235" s="15"/>
      <c r="PSF235" s="10"/>
      <c r="PSG235" s="10"/>
      <c r="PSH235" s="21"/>
      <c r="PSI235" s="21"/>
      <c r="PSL235" s="21"/>
      <c r="PSM235" s="15"/>
      <c r="PSN235" s="15"/>
      <c r="PSO235" s="15"/>
      <c r="PSP235" s="15"/>
      <c r="PSQ235" s="15"/>
      <c r="PSR235" s="15"/>
      <c r="PSS235" s="15"/>
      <c r="PST235" s="15"/>
      <c r="PSU235" s="15"/>
      <c r="PSV235" s="15"/>
      <c r="PSW235" s="10"/>
      <c r="PSX235" s="10"/>
      <c r="PSY235" s="21"/>
      <c r="PSZ235" s="21"/>
      <c r="PTC235" s="21"/>
      <c r="PTD235" s="15"/>
      <c r="PTE235" s="15"/>
      <c r="PTF235" s="15"/>
      <c r="PTG235" s="15"/>
      <c r="PTH235" s="15"/>
      <c r="PTI235" s="15"/>
      <c r="PTJ235" s="15"/>
      <c r="PTK235" s="15"/>
      <c r="PTL235" s="15"/>
      <c r="PTM235" s="15"/>
      <c r="PTN235" s="10"/>
      <c r="PTO235" s="10"/>
      <c r="PTP235" s="21"/>
      <c r="PTQ235" s="21"/>
      <c r="PTT235" s="21"/>
      <c r="PTU235" s="15"/>
      <c r="PTV235" s="15"/>
      <c r="PTW235" s="15"/>
      <c r="PTX235" s="15"/>
      <c r="PTY235" s="15"/>
      <c r="PTZ235" s="15"/>
      <c r="PUA235" s="15"/>
      <c r="PUB235" s="15"/>
      <c r="PUC235" s="15"/>
      <c r="PUD235" s="15"/>
      <c r="PUE235" s="10"/>
      <c r="PUF235" s="10"/>
      <c r="PUG235" s="21"/>
      <c r="PUH235" s="21"/>
      <c r="PUK235" s="21"/>
      <c r="PUL235" s="15"/>
      <c r="PUM235" s="15"/>
      <c r="PUN235" s="15"/>
      <c r="PUO235" s="15"/>
      <c r="PUP235" s="15"/>
      <c r="PUQ235" s="15"/>
      <c r="PUR235" s="15"/>
      <c r="PUS235" s="15"/>
      <c r="PUT235" s="15"/>
      <c r="PUU235" s="15"/>
      <c r="PUV235" s="10"/>
      <c r="PUW235" s="10"/>
      <c r="PUX235" s="21"/>
      <c r="PUY235" s="21"/>
      <c r="PVB235" s="21"/>
      <c r="PVC235" s="15"/>
      <c r="PVD235" s="15"/>
      <c r="PVE235" s="15"/>
      <c r="PVF235" s="15"/>
      <c r="PVG235" s="15"/>
      <c r="PVH235" s="15"/>
      <c r="PVI235" s="15"/>
      <c r="PVJ235" s="15"/>
      <c r="PVK235" s="15"/>
      <c r="PVL235" s="15"/>
      <c r="PVM235" s="10"/>
      <c r="PVN235" s="10"/>
      <c r="PVO235" s="21"/>
      <c r="PVP235" s="21"/>
      <c r="PVS235" s="21"/>
      <c r="PVT235" s="15"/>
      <c r="PVU235" s="15"/>
      <c r="PVV235" s="15"/>
      <c r="PVW235" s="15"/>
      <c r="PVX235" s="15"/>
      <c r="PVY235" s="15"/>
      <c r="PVZ235" s="15"/>
      <c r="PWA235" s="15"/>
      <c r="PWB235" s="15"/>
      <c r="PWC235" s="15"/>
      <c r="PWD235" s="10"/>
      <c r="PWE235" s="10"/>
      <c r="PWF235" s="21"/>
      <c r="PWG235" s="21"/>
      <c r="PWJ235" s="21"/>
      <c r="PWK235" s="15"/>
      <c r="PWL235" s="15"/>
      <c r="PWM235" s="15"/>
      <c r="PWN235" s="15"/>
      <c r="PWO235" s="15"/>
      <c r="PWP235" s="15"/>
      <c r="PWQ235" s="15"/>
      <c r="PWR235" s="15"/>
      <c r="PWS235" s="15"/>
      <c r="PWT235" s="15"/>
      <c r="PWU235" s="10"/>
      <c r="PWV235" s="10"/>
      <c r="PWW235" s="21"/>
      <c r="PWX235" s="21"/>
      <c r="PXA235" s="21"/>
      <c r="PXB235" s="15"/>
      <c r="PXC235" s="15"/>
      <c r="PXD235" s="15"/>
      <c r="PXE235" s="15"/>
      <c r="PXF235" s="15"/>
      <c r="PXG235" s="15"/>
      <c r="PXH235" s="15"/>
      <c r="PXI235" s="15"/>
      <c r="PXJ235" s="15"/>
      <c r="PXK235" s="15"/>
      <c r="PXL235" s="10"/>
      <c r="PXM235" s="10"/>
      <c r="PXN235" s="21"/>
      <c r="PXO235" s="21"/>
      <c r="PXR235" s="21"/>
      <c r="PXS235" s="15"/>
      <c r="PXT235" s="15"/>
      <c r="PXU235" s="15"/>
      <c r="PXV235" s="15"/>
      <c r="PXW235" s="15"/>
      <c r="PXX235" s="15"/>
      <c r="PXY235" s="15"/>
      <c r="PXZ235" s="15"/>
      <c r="PYA235" s="15"/>
      <c r="PYB235" s="15"/>
      <c r="PYC235" s="10"/>
      <c r="PYD235" s="10"/>
      <c r="PYE235" s="21"/>
      <c r="PYF235" s="21"/>
      <c r="PYI235" s="21"/>
      <c r="PYJ235" s="15"/>
      <c r="PYK235" s="15"/>
      <c r="PYL235" s="15"/>
      <c r="PYM235" s="15"/>
      <c r="PYN235" s="15"/>
      <c r="PYO235" s="15"/>
      <c r="PYP235" s="15"/>
      <c r="PYQ235" s="15"/>
      <c r="PYR235" s="15"/>
      <c r="PYS235" s="15"/>
      <c r="PYT235" s="10"/>
      <c r="PYU235" s="10"/>
      <c r="PYV235" s="21"/>
      <c r="PYW235" s="21"/>
      <c r="PYZ235" s="21"/>
      <c r="PZA235" s="15"/>
      <c r="PZB235" s="15"/>
      <c r="PZC235" s="15"/>
      <c r="PZD235" s="15"/>
      <c r="PZE235" s="15"/>
      <c r="PZF235" s="15"/>
      <c r="PZG235" s="15"/>
      <c r="PZH235" s="15"/>
      <c r="PZI235" s="15"/>
      <c r="PZJ235" s="15"/>
      <c r="PZK235" s="10"/>
      <c r="PZL235" s="10"/>
      <c r="PZM235" s="21"/>
      <c r="PZN235" s="21"/>
      <c r="PZQ235" s="21"/>
      <c r="PZR235" s="15"/>
      <c r="PZS235" s="15"/>
      <c r="PZT235" s="15"/>
      <c r="PZU235" s="15"/>
      <c r="PZV235" s="15"/>
      <c r="PZW235" s="15"/>
      <c r="PZX235" s="15"/>
      <c r="PZY235" s="15"/>
      <c r="PZZ235" s="15"/>
      <c r="QAA235" s="15"/>
      <c r="QAB235" s="10"/>
      <c r="QAC235" s="10"/>
      <c r="QAD235" s="21"/>
      <c r="QAE235" s="21"/>
      <c r="QAH235" s="21"/>
      <c r="QAI235" s="15"/>
      <c r="QAJ235" s="15"/>
      <c r="QAK235" s="15"/>
      <c r="QAL235" s="15"/>
      <c r="QAM235" s="15"/>
      <c r="QAN235" s="15"/>
      <c r="QAO235" s="15"/>
      <c r="QAP235" s="15"/>
      <c r="QAQ235" s="15"/>
      <c r="QAR235" s="15"/>
      <c r="QAS235" s="10"/>
      <c r="QAT235" s="10"/>
      <c r="QAU235" s="21"/>
      <c r="QAV235" s="21"/>
      <c r="QAY235" s="21"/>
      <c r="QAZ235" s="15"/>
      <c r="QBA235" s="15"/>
      <c r="QBB235" s="15"/>
      <c r="QBC235" s="15"/>
      <c r="QBD235" s="15"/>
      <c r="QBE235" s="15"/>
      <c r="QBF235" s="15"/>
      <c r="QBG235" s="15"/>
      <c r="QBH235" s="15"/>
      <c r="QBI235" s="15"/>
      <c r="QBJ235" s="10"/>
      <c r="QBK235" s="10"/>
      <c r="QBL235" s="21"/>
      <c r="QBM235" s="21"/>
      <c r="QBP235" s="21"/>
      <c r="QBQ235" s="15"/>
      <c r="QBR235" s="15"/>
      <c r="QBS235" s="15"/>
      <c r="QBT235" s="15"/>
      <c r="QBU235" s="15"/>
      <c r="QBV235" s="15"/>
      <c r="QBW235" s="15"/>
      <c r="QBX235" s="15"/>
      <c r="QBY235" s="15"/>
      <c r="QBZ235" s="15"/>
      <c r="QCA235" s="10"/>
      <c r="QCB235" s="10"/>
      <c r="QCC235" s="21"/>
      <c r="QCD235" s="21"/>
      <c r="QCG235" s="21"/>
      <c r="QCH235" s="15"/>
      <c r="QCI235" s="15"/>
      <c r="QCJ235" s="15"/>
      <c r="QCK235" s="15"/>
      <c r="QCL235" s="15"/>
      <c r="QCM235" s="15"/>
      <c r="QCN235" s="15"/>
      <c r="QCO235" s="15"/>
      <c r="QCP235" s="15"/>
      <c r="QCQ235" s="15"/>
      <c r="QCR235" s="10"/>
      <c r="QCS235" s="10"/>
      <c r="QCT235" s="21"/>
      <c r="QCU235" s="21"/>
      <c r="QCX235" s="21"/>
      <c r="QCY235" s="15"/>
      <c r="QCZ235" s="15"/>
      <c r="QDA235" s="15"/>
      <c r="QDB235" s="15"/>
      <c r="QDC235" s="15"/>
      <c r="QDD235" s="15"/>
      <c r="QDE235" s="15"/>
      <c r="QDF235" s="15"/>
      <c r="QDG235" s="15"/>
      <c r="QDH235" s="15"/>
      <c r="QDI235" s="10"/>
      <c r="QDJ235" s="10"/>
      <c r="QDK235" s="21"/>
      <c r="QDL235" s="21"/>
      <c r="QDO235" s="21"/>
      <c r="QDP235" s="15"/>
      <c r="QDQ235" s="15"/>
      <c r="QDR235" s="15"/>
      <c r="QDS235" s="15"/>
      <c r="QDT235" s="15"/>
      <c r="QDU235" s="15"/>
      <c r="QDV235" s="15"/>
      <c r="QDW235" s="15"/>
      <c r="QDX235" s="15"/>
      <c r="QDY235" s="15"/>
      <c r="QDZ235" s="10"/>
      <c r="QEA235" s="10"/>
      <c r="QEB235" s="21"/>
      <c r="QEC235" s="21"/>
      <c r="QEF235" s="21"/>
      <c r="QEG235" s="15"/>
      <c r="QEH235" s="15"/>
      <c r="QEI235" s="15"/>
      <c r="QEJ235" s="15"/>
      <c r="QEK235" s="15"/>
      <c r="QEL235" s="15"/>
      <c r="QEM235" s="15"/>
      <c r="QEN235" s="15"/>
      <c r="QEO235" s="15"/>
      <c r="QEP235" s="15"/>
      <c r="QEQ235" s="10"/>
      <c r="QER235" s="10"/>
      <c r="QES235" s="21"/>
      <c r="QET235" s="21"/>
      <c r="QEW235" s="21"/>
      <c r="QEX235" s="15"/>
      <c r="QEY235" s="15"/>
      <c r="QEZ235" s="15"/>
      <c r="QFA235" s="15"/>
      <c r="QFB235" s="15"/>
      <c r="QFC235" s="15"/>
      <c r="QFD235" s="15"/>
      <c r="QFE235" s="15"/>
      <c r="QFF235" s="15"/>
      <c r="QFG235" s="15"/>
      <c r="QFH235" s="10"/>
      <c r="QFI235" s="10"/>
      <c r="QFJ235" s="21"/>
      <c r="QFK235" s="21"/>
      <c r="QFN235" s="21"/>
      <c r="QFO235" s="15"/>
      <c r="QFP235" s="15"/>
      <c r="QFQ235" s="15"/>
      <c r="QFR235" s="15"/>
      <c r="QFS235" s="15"/>
      <c r="QFT235" s="15"/>
      <c r="QFU235" s="15"/>
      <c r="QFV235" s="15"/>
      <c r="QFW235" s="15"/>
      <c r="QFX235" s="15"/>
      <c r="QFY235" s="10"/>
      <c r="QFZ235" s="10"/>
      <c r="QGA235" s="21"/>
      <c r="QGB235" s="21"/>
      <c r="QGE235" s="21"/>
      <c r="QGF235" s="15"/>
      <c r="QGG235" s="15"/>
      <c r="QGH235" s="15"/>
      <c r="QGI235" s="15"/>
      <c r="QGJ235" s="15"/>
      <c r="QGK235" s="15"/>
      <c r="QGL235" s="15"/>
      <c r="QGM235" s="15"/>
      <c r="QGN235" s="15"/>
      <c r="QGO235" s="15"/>
      <c r="QGP235" s="10"/>
      <c r="QGQ235" s="10"/>
      <c r="QGR235" s="21"/>
      <c r="QGS235" s="21"/>
      <c r="QGV235" s="21"/>
      <c r="QGW235" s="15"/>
      <c r="QGX235" s="15"/>
      <c r="QGY235" s="15"/>
      <c r="QGZ235" s="15"/>
      <c r="QHA235" s="15"/>
      <c r="QHB235" s="15"/>
      <c r="QHC235" s="15"/>
      <c r="QHD235" s="15"/>
      <c r="QHE235" s="15"/>
      <c r="QHF235" s="15"/>
      <c r="QHG235" s="10"/>
      <c r="QHH235" s="10"/>
      <c r="QHI235" s="21"/>
      <c r="QHJ235" s="21"/>
      <c r="QHM235" s="21"/>
      <c r="QHN235" s="15"/>
      <c r="QHO235" s="15"/>
      <c r="QHP235" s="15"/>
      <c r="QHQ235" s="15"/>
      <c r="QHR235" s="15"/>
      <c r="QHS235" s="15"/>
      <c r="QHT235" s="15"/>
      <c r="QHU235" s="15"/>
      <c r="QHV235" s="15"/>
      <c r="QHW235" s="15"/>
      <c r="QHX235" s="10"/>
      <c r="QHY235" s="10"/>
      <c r="QHZ235" s="21"/>
      <c r="QIA235" s="21"/>
      <c r="QID235" s="21"/>
      <c r="QIE235" s="15"/>
      <c r="QIF235" s="15"/>
      <c r="QIG235" s="15"/>
      <c r="QIH235" s="15"/>
      <c r="QII235" s="15"/>
      <c r="QIJ235" s="15"/>
      <c r="QIK235" s="15"/>
      <c r="QIL235" s="15"/>
      <c r="QIM235" s="15"/>
      <c r="QIN235" s="15"/>
      <c r="QIO235" s="10"/>
      <c r="QIP235" s="10"/>
      <c r="QIQ235" s="21"/>
      <c r="QIR235" s="21"/>
      <c r="QIU235" s="21"/>
      <c r="QIV235" s="15"/>
      <c r="QIW235" s="15"/>
      <c r="QIX235" s="15"/>
      <c r="QIY235" s="15"/>
      <c r="QIZ235" s="15"/>
      <c r="QJA235" s="15"/>
      <c r="QJB235" s="15"/>
      <c r="QJC235" s="15"/>
      <c r="QJD235" s="15"/>
      <c r="QJE235" s="15"/>
      <c r="QJF235" s="10"/>
      <c r="QJG235" s="10"/>
      <c r="QJH235" s="21"/>
      <c r="QJI235" s="21"/>
      <c r="QJL235" s="21"/>
      <c r="QJM235" s="15"/>
      <c r="QJN235" s="15"/>
      <c r="QJO235" s="15"/>
      <c r="QJP235" s="15"/>
      <c r="QJQ235" s="15"/>
      <c r="QJR235" s="15"/>
      <c r="QJS235" s="15"/>
      <c r="QJT235" s="15"/>
      <c r="QJU235" s="15"/>
      <c r="QJV235" s="15"/>
      <c r="QJW235" s="10"/>
      <c r="QJX235" s="10"/>
      <c r="QJY235" s="21"/>
      <c r="QJZ235" s="21"/>
      <c r="QKC235" s="21"/>
      <c r="QKD235" s="15"/>
      <c r="QKE235" s="15"/>
      <c r="QKF235" s="15"/>
      <c r="QKG235" s="15"/>
      <c r="QKH235" s="15"/>
      <c r="QKI235" s="15"/>
      <c r="QKJ235" s="15"/>
      <c r="QKK235" s="15"/>
      <c r="QKL235" s="15"/>
      <c r="QKM235" s="15"/>
      <c r="QKN235" s="10"/>
      <c r="QKO235" s="10"/>
      <c r="QKP235" s="21"/>
      <c r="QKQ235" s="21"/>
      <c r="QKT235" s="21"/>
      <c r="QKU235" s="15"/>
      <c r="QKV235" s="15"/>
      <c r="QKW235" s="15"/>
      <c r="QKX235" s="15"/>
      <c r="QKY235" s="15"/>
      <c r="QKZ235" s="15"/>
      <c r="QLA235" s="15"/>
      <c r="QLB235" s="15"/>
      <c r="QLC235" s="15"/>
      <c r="QLD235" s="15"/>
      <c r="QLE235" s="10"/>
      <c r="QLF235" s="10"/>
      <c r="QLG235" s="21"/>
      <c r="QLH235" s="21"/>
      <c r="QLK235" s="21"/>
      <c r="QLL235" s="15"/>
      <c r="QLM235" s="15"/>
      <c r="QLN235" s="15"/>
      <c r="QLO235" s="15"/>
      <c r="QLP235" s="15"/>
      <c r="QLQ235" s="15"/>
      <c r="QLR235" s="15"/>
      <c r="QLS235" s="15"/>
      <c r="QLT235" s="15"/>
      <c r="QLU235" s="15"/>
      <c r="QLV235" s="10"/>
      <c r="QLW235" s="10"/>
      <c r="QLX235" s="21"/>
      <c r="QLY235" s="21"/>
      <c r="QMB235" s="21"/>
      <c r="QMC235" s="15"/>
      <c r="QMD235" s="15"/>
      <c r="QME235" s="15"/>
      <c r="QMF235" s="15"/>
      <c r="QMG235" s="15"/>
      <c r="QMH235" s="15"/>
      <c r="QMI235" s="15"/>
      <c r="QMJ235" s="15"/>
      <c r="QMK235" s="15"/>
      <c r="QML235" s="15"/>
      <c r="QMM235" s="10"/>
      <c r="QMN235" s="10"/>
      <c r="QMO235" s="21"/>
      <c r="QMP235" s="21"/>
      <c r="QMS235" s="21"/>
      <c r="QMT235" s="15"/>
      <c r="QMU235" s="15"/>
      <c r="QMV235" s="15"/>
      <c r="QMW235" s="15"/>
      <c r="QMX235" s="15"/>
      <c r="QMY235" s="15"/>
      <c r="QMZ235" s="15"/>
      <c r="QNA235" s="15"/>
      <c r="QNB235" s="15"/>
      <c r="QNC235" s="15"/>
      <c r="QND235" s="10"/>
      <c r="QNE235" s="10"/>
      <c r="QNF235" s="21"/>
      <c r="QNG235" s="21"/>
      <c r="QNJ235" s="21"/>
      <c r="QNK235" s="15"/>
      <c r="QNL235" s="15"/>
      <c r="QNM235" s="15"/>
      <c r="QNN235" s="15"/>
      <c r="QNO235" s="15"/>
      <c r="QNP235" s="15"/>
      <c r="QNQ235" s="15"/>
      <c r="QNR235" s="15"/>
      <c r="QNS235" s="15"/>
      <c r="QNT235" s="15"/>
      <c r="QNU235" s="10"/>
      <c r="QNV235" s="10"/>
      <c r="QNW235" s="21"/>
      <c r="QNX235" s="21"/>
      <c r="QOA235" s="21"/>
      <c r="QOB235" s="15"/>
      <c r="QOC235" s="15"/>
      <c r="QOD235" s="15"/>
      <c r="QOE235" s="15"/>
      <c r="QOF235" s="15"/>
      <c r="QOG235" s="15"/>
      <c r="QOH235" s="15"/>
      <c r="QOI235" s="15"/>
      <c r="QOJ235" s="15"/>
      <c r="QOK235" s="15"/>
      <c r="QOL235" s="10"/>
      <c r="QOM235" s="10"/>
      <c r="QON235" s="21"/>
      <c r="QOO235" s="21"/>
      <c r="QOR235" s="21"/>
      <c r="QOS235" s="15"/>
      <c r="QOT235" s="15"/>
      <c r="QOU235" s="15"/>
      <c r="QOV235" s="15"/>
      <c r="QOW235" s="15"/>
      <c r="QOX235" s="15"/>
      <c r="QOY235" s="15"/>
      <c r="QOZ235" s="15"/>
      <c r="QPA235" s="15"/>
      <c r="QPB235" s="15"/>
      <c r="QPC235" s="10"/>
      <c r="QPD235" s="10"/>
      <c r="QPE235" s="21"/>
      <c r="QPF235" s="21"/>
      <c r="QPI235" s="21"/>
      <c r="QPJ235" s="15"/>
      <c r="QPK235" s="15"/>
      <c r="QPL235" s="15"/>
      <c r="QPM235" s="15"/>
      <c r="QPN235" s="15"/>
      <c r="QPO235" s="15"/>
      <c r="QPP235" s="15"/>
      <c r="QPQ235" s="15"/>
      <c r="QPR235" s="15"/>
      <c r="QPS235" s="15"/>
      <c r="QPT235" s="10"/>
      <c r="QPU235" s="10"/>
      <c r="QPV235" s="21"/>
      <c r="QPW235" s="21"/>
      <c r="QPZ235" s="21"/>
      <c r="QQA235" s="15"/>
      <c r="QQB235" s="15"/>
      <c r="QQC235" s="15"/>
      <c r="QQD235" s="15"/>
      <c r="QQE235" s="15"/>
      <c r="QQF235" s="15"/>
      <c r="QQG235" s="15"/>
      <c r="QQH235" s="15"/>
      <c r="QQI235" s="15"/>
      <c r="QQJ235" s="15"/>
      <c r="QQK235" s="10"/>
      <c r="QQL235" s="10"/>
      <c r="QQM235" s="21"/>
      <c r="QQN235" s="21"/>
      <c r="QQQ235" s="21"/>
      <c r="QQR235" s="15"/>
      <c r="QQS235" s="15"/>
      <c r="QQT235" s="15"/>
      <c r="QQU235" s="15"/>
      <c r="QQV235" s="15"/>
      <c r="QQW235" s="15"/>
      <c r="QQX235" s="15"/>
      <c r="QQY235" s="15"/>
      <c r="QQZ235" s="15"/>
      <c r="QRA235" s="15"/>
      <c r="QRB235" s="10"/>
      <c r="QRC235" s="10"/>
      <c r="QRD235" s="21"/>
      <c r="QRE235" s="21"/>
      <c r="QRH235" s="21"/>
      <c r="QRI235" s="15"/>
      <c r="QRJ235" s="15"/>
      <c r="QRK235" s="15"/>
      <c r="QRL235" s="15"/>
      <c r="QRM235" s="15"/>
      <c r="QRN235" s="15"/>
      <c r="QRO235" s="15"/>
      <c r="QRP235" s="15"/>
      <c r="QRQ235" s="15"/>
      <c r="QRR235" s="15"/>
      <c r="QRS235" s="10"/>
      <c r="QRT235" s="10"/>
      <c r="QRU235" s="21"/>
      <c r="QRV235" s="21"/>
      <c r="QRY235" s="21"/>
      <c r="QRZ235" s="15"/>
      <c r="QSA235" s="15"/>
      <c r="QSB235" s="15"/>
      <c r="QSC235" s="15"/>
      <c r="QSD235" s="15"/>
      <c r="QSE235" s="15"/>
      <c r="QSF235" s="15"/>
      <c r="QSG235" s="15"/>
      <c r="QSH235" s="15"/>
      <c r="QSI235" s="15"/>
      <c r="QSJ235" s="10"/>
      <c r="QSK235" s="10"/>
      <c r="QSL235" s="21"/>
      <c r="QSM235" s="21"/>
      <c r="QSP235" s="21"/>
      <c r="QSQ235" s="15"/>
      <c r="QSR235" s="15"/>
      <c r="QSS235" s="15"/>
      <c r="QST235" s="15"/>
      <c r="QSU235" s="15"/>
      <c r="QSV235" s="15"/>
      <c r="QSW235" s="15"/>
      <c r="QSX235" s="15"/>
      <c r="QSY235" s="15"/>
      <c r="QSZ235" s="15"/>
      <c r="QTA235" s="10"/>
      <c r="QTB235" s="10"/>
      <c r="QTC235" s="21"/>
      <c r="QTD235" s="21"/>
      <c r="QTG235" s="21"/>
      <c r="QTH235" s="15"/>
      <c r="QTI235" s="15"/>
      <c r="QTJ235" s="15"/>
      <c r="QTK235" s="15"/>
      <c r="QTL235" s="15"/>
      <c r="QTM235" s="15"/>
      <c r="QTN235" s="15"/>
      <c r="QTO235" s="15"/>
      <c r="QTP235" s="15"/>
      <c r="QTQ235" s="15"/>
      <c r="QTR235" s="10"/>
      <c r="QTS235" s="10"/>
      <c r="QTT235" s="21"/>
      <c r="QTU235" s="21"/>
      <c r="QTX235" s="21"/>
      <c r="QTY235" s="15"/>
      <c r="QTZ235" s="15"/>
      <c r="QUA235" s="15"/>
      <c r="QUB235" s="15"/>
      <c r="QUC235" s="15"/>
      <c r="QUD235" s="15"/>
      <c r="QUE235" s="15"/>
      <c r="QUF235" s="15"/>
      <c r="QUG235" s="15"/>
      <c r="QUH235" s="15"/>
      <c r="QUI235" s="10"/>
      <c r="QUJ235" s="10"/>
      <c r="QUK235" s="21"/>
      <c r="QUL235" s="21"/>
      <c r="QUO235" s="21"/>
      <c r="QUP235" s="15"/>
      <c r="QUQ235" s="15"/>
      <c r="QUR235" s="15"/>
      <c r="QUS235" s="15"/>
      <c r="QUT235" s="15"/>
      <c r="QUU235" s="15"/>
      <c r="QUV235" s="15"/>
      <c r="QUW235" s="15"/>
      <c r="QUX235" s="15"/>
      <c r="QUY235" s="15"/>
      <c r="QUZ235" s="10"/>
      <c r="QVA235" s="10"/>
      <c r="QVB235" s="21"/>
      <c r="QVC235" s="21"/>
      <c r="QVF235" s="21"/>
      <c r="QVG235" s="15"/>
      <c r="QVH235" s="15"/>
      <c r="QVI235" s="15"/>
      <c r="QVJ235" s="15"/>
      <c r="QVK235" s="15"/>
      <c r="QVL235" s="15"/>
      <c r="QVM235" s="15"/>
      <c r="QVN235" s="15"/>
      <c r="QVO235" s="15"/>
      <c r="QVP235" s="15"/>
      <c r="QVQ235" s="10"/>
      <c r="QVR235" s="10"/>
      <c r="QVS235" s="21"/>
      <c r="QVT235" s="21"/>
      <c r="QVW235" s="21"/>
      <c r="QVX235" s="15"/>
      <c r="QVY235" s="15"/>
      <c r="QVZ235" s="15"/>
      <c r="QWA235" s="15"/>
      <c r="QWB235" s="15"/>
      <c r="QWC235" s="15"/>
      <c r="QWD235" s="15"/>
      <c r="QWE235" s="15"/>
      <c r="QWF235" s="15"/>
      <c r="QWG235" s="15"/>
      <c r="QWH235" s="10"/>
      <c r="QWI235" s="10"/>
      <c r="QWJ235" s="21"/>
      <c r="QWK235" s="21"/>
      <c r="QWN235" s="21"/>
      <c r="QWO235" s="15"/>
      <c r="QWP235" s="15"/>
      <c r="QWQ235" s="15"/>
      <c r="QWR235" s="15"/>
      <c r="QWS235" s="15"/>
      <c r="QWT235" s="15"/>
      <c r="QWU235" s="15"/>
      <c r="QWV235" s="15"/>
      <c r="QWW235" s="15"/>
      <c r="QWX235" s="15"/>
      <c r="QWY235" s="10"/>
      <c r="QWZ235" s="10"/>
      <c r="QXA235" s="21"/>
      <c r="QXB235" s="21"/>
      <c r="QXE235" s="21"/>
      <c r="QXF235" s="15"/>
      <c r="QXG235" s="15"/>
      <c r="QXH235" s="15"/>
      <c r="QXI235" s="15"/>
      <c r="QXJ235" s="15"/>
      <c r="QXK235" s="15"/>
      <c r="QXL235" s="15"/>
      <c r="QXM235" s="15"/>
      <c r="QXN235" s="15"/>
      <c r="QXO235" s="15"/>
      <c r="QXP235" s="10"/>
      <c r="QXQ235" s="10"/>
      <c r="QXR235" s="21"/>
      <c r="QXS235" s="21"/>
      <c r="QXV235" s="21"/>
      <c r="QXW235" s="15"/>
      <c r="QXX235" s="15"/>
      <c r="QXY235" s="15"/>
      <c r="QXZ235" s="15"/>
      <c r="QYA235" s="15"/>
      <c r="QYB235" s="15"/>
      <c r="QYC235" s="15"/>
      <c r="QYD235" s="15"/>
      <c r="QYE235" s="15"/>
      <c r="QYF235" s="15"/>
      <c r="QYG235" s="10"/>
      <c r="QYH235" s="10"/>
      <c r="QYI235" s="21"/>
      <c r="QYJ235" s="21"/>
      <c r="QYM235" s="21"/>
      <c r="QYN235" s="15"/>
      <c r="QYO235" s="15"/>
      <c r="QYP235" s="15"/>
      <c r="QYQ235" s="15"/>
      <c r="QYR235" s="15"/>
      <c r="QYS235" s="15"/>
      <c r="QYT235" s="15"/>
      <c r="QYU235" s="15"/>
      <c r="QYV235" s="15"/>
      <c r="QYW235" s="15"/>
      <c r="QYX235" s="10"/>
      <c r="QYY235" s="10"/>
      <c r="QYZ235" s="21"/>
      <c r="QZA235" s="21"/>
      <c r="QZD235" s="21"/>
      <c r="QZE235" s="15"/>
      <c r="QZF235" s="15"/>
      <c r="QZG235" s="15"/>
      <c r="QZH235" s="15"/>
      <c r="QZI235" s="15"/>
      <c r="QZJ235" s="15"/>
      <c r="QZK235" s="15"/>
      <c r="QZL235" s="15"/>
      <c r="QZM235" s="15"/>
      <c r="QZN235" s="15"/>
      <c r="QZO235" s="10"/>
      <c r="QZP235" s="10"/>
      <c r="QZQ235" s="21"/>
      <c r="QZR235" s="21"/>
      <c r="QZU235" s="21"/>
      <c r="QZV235" s="15"/>
      <c r="QZW235" s="15"/>
      <c r="QZX235" s="15"/>
      <c r="QZY235" s="15"/>
      <c r="QZZ235" s="15"/>
      <c r="RAA235" s="15"/>
      <c r="RAB235" s="15"/>
      <c r="RAC235" s="15"/>
      <c r="RAD235" s="15"/>
      <c r="RAE235" s="15"/>
      <c r="RAF235" s="10"/>
      <c r="RAG235" s="10"/>
      <c r="RAH235" s="21"/>
      <c r="RAI235" s="21"/>
      <c r="RAL235" s="21"/>
      <c r="RAM235" s="15"/>
      <c r="RAN235" s="15"/>
      <c r="RAO235" s="15"/>
      <c r="RAP235" s="15"/>
      <c r="RAQ235" s="15"/>
      <c r="RAR235" s="15"/>
      <c r="RAS235" s="15"/>
      <c r="RAT235" s="15"/>
      <c r="RAU235" s="15"/>
      <c r="RAV235" s="15"/>
      <c r="RAW235" s="10"/>
      <c r="RAX235" s="10"/>
      <c r="RAY235" s="21"/>
      <c r="RAZ235" s="21"/>
      <c r="RBC235" s="21"/>
      <c r="RBD235" s="15"/>
      <c r="RBE235" s="15"/>
      <c r="RBF235" s="15"/>
      <c r="RBG235" s="15"/>
      <c r="RBH235" s="15"/>
      <c r="RBI235" s="15"/>
      <c r="RBJ235" s="15"/>
      <c r="RBK235" s="15"/>
      <c r="RBL235" s="15"/>
      <c r="RBM235" s="15"/>
      <c r="RBN235" s="10"/>
      <c r="RBO235" s="10"/>
      <c r="RBP235" s="21"/>
      <c r="RBQ235" s="21"/>
      <c r="RBT235" s="21"/>
      <c r="RBU235" s="15"/>
      <c r="RBV235" s="15"/>
      <c r="RBW235" s="15"/>
      <c r="RBX235" s="15"/>
      <c r="RBY235" s="15"/>
      <c r="RBZ235" s="15"/>
      <c r="RCA235" s="15"/>
      <c r="RCB235" s="15"/>
      <c r="RCC235" s="15"/>
      <c r="RCD235" s="15"/>
      <c r="RCE235" s="10"/>
      <c r="RCF235" s="10"/>
      <c r="RCG235" s="21"/>
      <c r="RCH235" s="21"/>
      <c r="RCK235" s="21"/>
      <c r="RCL235" s="15"/>
      <c r="RCM235" s="15"/>
      <c r="RCN235" s="15"/>
      <c r="RCO235" s="15"/>
      <c r="RCP235" s="15"/>
      <c r="RCQ235" s="15"/>
      <c r="RCR235" s="15"/>
      <c r="RCS235" s="15"/>
      <c r="RCT235" s="15"/>
      <c r="RCU235" s="15"/>
      <c r="RCV235" s="10"/>
      <c r="RCW235" s="10"/>
      <c r="RCX235" s="21"/>
      <c r="RCY235" s="21"/>
      <c r="RDB235" s="21"/>
      <c r="RDC235" s="15"/>
      <c r="RDD235" s="15"/>
      <c r="RDE235" s="15"/>
      <c r="RDF235" s="15"/>
      <c r="RDG235" s="15"/>
      <c r="RDH235" s="15"/>
      <c r="RDI235" s="15"/>
      <c r="RDJ235" s="15"/>
      <c r="RDK235" s="15"/>
      <c r="RDL235" s="15"/>
      <c r="RDM235" s="10"/>
      <c r="RDN235" s="10"/>
      <c r="RDO235" s="21"/>
      <c r="RDP235" s="21"/>
      <c r="RDS235" s="21"/>
      <c r="RDT235" s="15"/>
      <c r="RDU235" s="15"/>
      <c r="RDV235" s="15"/>
      <c r="RDW235" s="15"/>
      <c r="RDX235" s="15"/>
      <c r="RDY235" s="15"/>
      <c r="RDZ235" s="15"/>
      <c r="REA235" s="15"/>
      <c r="REB235" s="15"/>
      <c r="REC235" s="15"/>
      <c r="RED235" s="10"/>
      <c r="REE235" s="10"/>
      <c r="REF235" s="21"/>
      <c r="REG235" s="21"/>
      <c r="REJ235" s="21"/>
      <c r="REK235" s="15"/>
      <c r="REL235" s="15"/>
      <c r="REM235" s="15"/>
      <c r="REN235" s="15"/>
      <c r="REO235" s="15"/>
      <c r="REP235" s="15"/>
      <c r="REQ235" s="15"/>
      <c r="RER235" s="15"/>
      <c r="RES235" s="15"/>
      <c r="RET235" s="15"/>
      <c r="REU235" s="10"/>
      <c r="REV235" s="10"/>
      <c r="REW235" s="21"/>
      <c r="REX235" s="21"/>
      <c r="RFA235" s="21"/>
      <c r="RFB235" s="15"/>
      <c r="RFC235" s="15"/>
      <c r="RFD235" s="15"/>
      <c r="RFE235" s="15"/>
      <c r="RFF235" s="15"/>
      <c r="RFG235" s="15"/>
      <c r="RFH235" s="15"/>
      <c r="RFI235" s="15"/>
      <c r="RFJ235" s="15"/>
      <c r="RFK235" s="15"/>
      <c r="RFL235" s="10"/>
      <c r="RFM235" s="10"/>
      <c r="RFN235" s="21"/>
      <c r="RFO235" s="21"/>
      <c r="RFR235" s="21"/>
      <c r="RFS235" s="15"/>
      <c r="RFT235" s="15"/>
      <c r="RFU235" s="15"/>
      <c r="RFV235" s="15"/>
      <c r="RFW235" s="15"/>
      <c r="RFX235" s="15"/>
      <c r="RFY235" s="15"/>
      <c r="RFZ235" s="15"/>
      <c r="RGA235" s="15"/>
      <c r="RGB235" s="15"/>
      <c r="RGC235" s="10"/>
      <c r="RGD235" s="10"/>
      <c r="RGE235" s="21"/>
      <c r="RGF235" s="21"/>
      <c r="RGI235" s="21"/>
      <c r="RGJ235" s="15"/>
      <c r="RGK235" s="15"/>
      <c r="RGL235" s="15"/>
      <c r="RGM235" s="15"/>
      <c r="RGN235" s="15"/>
      <c r="RGO235" s="15"/>
      <c r="RGP235" s="15"/>
      <c r="RGQ235" s="15"/>
      <c r="RGR235" s="15"/>
      <c r="RGS235" s="15"/>
      <c r="RGT235" s="10"/>
      <c r="RGU235" s="10"/>
      <c r="RGV235" s="21"/>
      <c r="RGW235" s="21"/>
      <c r="RGZ235" s="21"/>
      <c r="RHA235" s="15"/>
      <c r="RHB235" s="15"/>
      <c r="RHC235" s="15"/>
      <c r="RHD235" s="15"/>
      <c r="RHE235" s="15"/>
      <c r="RHF235" s="15"/>
      <c r="RHG235" s="15"/>
      <c r="RHH235" s="15"/>
      <c r="RHI235" s="15"/>
      <c r="RHJ235" s="15"/>
      <c r="RHK235" s="10"/>
      <c r="RHL235" s="10"/>
      <c r="RHM235" s="21"/>
      <c r="RHN235" s="21"/>
      <c r="RHQ235" s="21"/>
      <c r="RHR235" s="15"/>
      <c r="RHS235" s="15"/>
      <c r="RHT235" s="15"/>
      <c r="RHU235" s="15"/>
      <c r="RHV235" s="15"/>
      <c r="RHW235" s="15"/>
      <c r="RHX235" s="15"/>
      <c r="RHY235" s="15"/>
      <c r="RHZ235" s="15"/>
      <c r="RIA235" s="15"/>
      <c r="RIB235" s="10"/>
      <c r="RIC235" s="10"/>
      <c r="RID235" s="21"/>
      <c r="RIE235" s="21"/>
      <c r="RIH235" s="21"/>
      <c r="RII235" s="15"/>
      <c r="RIJ235" s="15"/>
      <c r="RIK235" s="15"/>
      <c r="RIL235" s="15"/>
      <c r="RIM235" s="15"/>
      <c r="RIN235" s="15"/>
      <c r="RIO235" s="15"/>
      <c r="RIP235" s="15"/>
      <c r="RIQ235" s="15"/>
      <c r="RIR235" s="15"/>
      <c r="RIS235" s="10"/>
      <c r="RIT235" s="10"/>
      <c r="RIU235" s="21"/>
      <c r="RIV235" s="21"/>
      <c r="RIY235" s="21"/>
      <c r="RIZ235" s="15"/>
      <c r="RJA235" s="15"/>
      <c r="RJB235" s="15"/>
      <c r="RJC235" s="15"/>
      <c r="RJD235" s="15"/>
      <c r="RJE235" s="15"/>
      <c r="RJF235" s="15"/>
      <c r="RJG235" s="15"/>
      <c r="RJH235" s="15"/>
      <c r="RJI235" s="15"/>
      <c r="RJJ235" s="10"/>
      <c r="RJK235" s="10"/>
      <c r="RJL235" s="21"/>
      <c r="RJM235" s="21"/>
      <c r="RJP235" s="21"/>
      <c r="RJQ235" s="15"/>
      <c r="RJR235" s="15"/>
      <c r="RJS235" s="15"/>
      <c r="RJT235" s="15"/>
      <c r="RJU235" s="15"/>
      <c r="RJV235" s="15"/>
      <c r="RJW235" s="15"/>
      <c r="RJX235" s="15"/>
      <c r="RJY235" s="15"/>
      <c r="RJZ235" s="15"/>
      <c r="RKA235" s="10"/>
      <c r="RKB235" s="10"/>
      <c r="RKC235" s="21"/>
      <c r="RKD235" s="21"/>
      <c r="RKG235" s="21"/>
      <c r="RKH235" s="15"/>
      <c r="RKI235" s="15"/>
      <c r="RKJ235" s="15"/>
      <c r="RKK235" s="15"/>
      <c r="RKL235" s="15"/>
      <c r="RKM235" s="15"/>
      <c r="RKN235" s="15"/>
      <c r="RKO235" s="15"/>
      <c r="RKP235" s="15"/>
      <c r="RKQ235" s="15"/>
      <c r="RKR235" s="10"/>
      <c r="RKS235" s="10"/>
      <c r="RKT235" s="21"/>
      <c r="RKU235" s="21"/>
      <c r="RKX235" s="21"/>
      <c r="RKY235" s="15"/>
      <c r="RKZ235" s="15"/>
      <c r="RLA235" s="15"/>
      <c r="RLB235" s="15"/>
      <c r="RLC235" s="15"/>
      <c r="RLD235" s="15"/>
      <c r="RLE235" s="15"/>
      <c r="RLF235" s="15"/>
      <c r="RLG235" s="15"/>
      <c r="RLH235" s="15"/>
      <c r="RLI235" s="10"/>
      <c r="RLJ235" s="10"/>
      <c r="RLK235" s="21"/>
      <c r="RLL235" s="21"/>
      <c r="RLO235" s="21"/>
      <c r="RLP235" s="15"/>
      <c r="RLQ235" s="15"/>
      <c r="RLR235" s="15"/>
      <c r="RLS235" s="15"/>
      <c r="RLT235" s="15"/>
      <c r="RLU235" s="15"/>
      <c r="RLV235" s="15"/>
      <c r="RLW235" s="15"/>
      <c r="RLX235" s="15"/>
      <c r="RLY235" s="15"/>
      <c r="RLZ235" s="10"/>
      <c r="RMA235" s="10"/>
      <c r="RMB235" s="21"/>
      <c r="RMC235" s="21"/>
      <c r="RMF235" s="21"/>
      <c r="RMG235" s="15"/>
      <c r="RMH235" s="15"/>
      <c r="RMI235" s="15"/>
      <c r="RMJ235" s="15"/>
      <c r="RMK235" s="15"/>
      <c r="RML235" s="15"/>
      <c r="RMM235" s="15"/>
      <c r="RMN235" s="15"/>
      <c r="RMO235" s="15"/>
      <c r="RMP235" s="15"/>
      <c r="RMQ235" s="10"/>
      <c r="RMR235" s="10"/>
      <c r="RMS235" s="21"/>
      <c r="RMT235" s="21"/>
      <c r="RMW235" s="21"/>
      <c r="RMX235" s="15"/>
      <c r="RMY235" s="15"/>
      <c r="RMZ235" s="15"/>
      <c r="RNA235" s="15"/>
      <c r="RNB235" s="15"/>
      <c r="RNC235" s="15"/>
      <c r="RND235" s="15"/>
      <c r="RNE235" s="15"/>
      <c r="RNF235" s="15"/>
      <c r="RNG235" s="15"/>
      <c r="RNH235" s="10"/>
      <c r="RNI235" s="10"/>
      <c r="RNJ235" s="21"/>
      <c r="RNK235" s="21"/>
      <c r="RNN235" s="21"/>
      <c r="RNO235" s="15"/>
      <c r="RNP235" s="15"/>
      <c r="RNQ235" s="15"/>
      <c r="RNR235" s="15"/>
      <c r="RNS235" s="15"/>
      <c r="RNT235" s="15"/>
      <c r="RNU235" s="15"/>
      <c r="RNV235" s="15"/>
      <c r="RNW235" s="15"/>
      <c r="RNX235" s="15"/>
      <c r="RNY235" s="10"/>
      <c r="RNZ235" s="10"/>
      <c r="ROA235" s="21"/>
      <c r="ROB235" s="21"/>
      <c r="ROE235" s="21"/>
      <c r="ROF235" s="15"/>
      <c r="ROG235" s="15"/>
      <c r="ROH235" s="15"/>
      <c r="ROI235" s="15"/>
      <c r="ROJ235" s="15"/>
      <c r="ROK235" s="15"/>
      <c r="ROL235" s="15"/>
      <c r="ROM235" s="15"/>
      <c r="RON235" s="15"/>
      <c r="ROO235" s="15"/>
      <c r="ROP235" s="10"/>
      <c r="ROQ235" s="10"/>
      <c r="ROR235" s="21"/>
      <c r="ROS235" s="21"/>
      <c r="ROV235" s="21"/>
      <c r="ROW235" s="15"/>
      <c r="ROX235" s="15"/>
      <c r="ROY235" s="15"/>
      <c r="ROZ235" s="15"/>
      <c r="RPA235" s="15"/>
      <c r="RPB235" s="15"/>
      <c r="RPC235" s="15"/>
      <c r="RPD235" s="15"/>
      <c r="RPE235" s="15"/>
      <c r="RPF235" s="15"/>
      <c r="RPG235" s="10"/>
      <c r="RPH235" s="10"/>
      <c r="RPI235" s="21"/>
      <c r="RPJ235" s="21"/>
      <c r="RPM235" s="21"/>
      <c r="RPN235" s="15"/>
      <c r="RPO235" s="15"/>
      <c r="RPP235" s="15"/>
      <c r="RPQ235" s="15"/>
      <c r="RPR235" s="15"/>
      <c r="RPS235" s="15"/>
      <c r="RPT235" s="15"/>
      <c r="RPU235" s="15"/>
      <c r="RPV235" s="15"/>
      <c r="RPW235" s="15"/>
      <c r="RPX235" s="10"/>
      <c r="RPY235" s="10"/>
      <c r="RPZ235" s="21"/>
      <c r="RQA235" s="21"/>
      <c r="RQD235" s="21"/>
      <c r="RQE235" s="15"/>
      <c r="RQF235" s="15"/>
      <c r="RQG235" s="15"/>
      <c r="RQH235" s="15"/>
      <c r="RQI235" s="15"/>
      <c r="RQJ235" s="15"/>
      <c r="RQK235" s="15"/>
      <c r="RQL235" s="15"/>
      <c r="RQM235" s="15"/>
      <c r="RQN235" s="15"/>
      <c r="RQO235" s="10"/>
      <c r="RQP235" s="10"/>
      <c r="RQQ235" s="21"/>
      <c r="RQR235" s="21"/>
      <c r="RQU235" s="21"/>
      <c r="RQV235" s="15"/>
      <c r="RQW235" s="15"/>
      <c r="RQX235" s="15"/>
      <c r="RQY235" s="15"/>
      <c r="RQZ235" s="15"/>
      <c r="RRA235" s="15"/>
      <c r="RRB235" s="15"/>
      <c r="RRC235" s="15"/>
      <c r="RRD235" s="15"/>
      <c r="RRE235" s="15"/>
      <c r="RRF235" s="10"/>
      <c r="RRG235" s="10"/>
      <c r="RRH235" s="21"/>
      <c r="RRI235" s="21"/>
      <c r="RRL235" s="21"/>
      <c r="RRM235" s="15"/>
      <c r="RRN235" s="15"/>
      <c r="RRO235" s="15"/>
      <c r="RRP235" s="15"/>
      <c r="RRQ235" s="15"/>
      <c r="RRR235" s="15"/>
      <c r="RRS235" s="15"/>
      <c r="RRT235" s="15"/>
      <c r="RRU235" s="15"/>
      <c r="RRV235" s="15"/>
      <c r="RRW235" s="10"/>
      <c r="RRX235" s="10"/>
      <c r="RRY235" s="21"/>
      <c r="RRZ235" s="21"/>
      <c r="RSC235" s="21"/>
      <c r="RSD235" s="15"/>
      <c r="RSE235" s="15"/>
      <c r="RSF235" s="15"/>
      <c r="RSG235" s="15"/>
      <c r="RSH235" s="15"/>
      <c r="RSI235" s="15"/>
      <c r="RSJ235" s="15"/>
      <c r="RSK235" s="15"/>
      <c r="RSL235" s="15"/>
      <c r="RSM235" s="15"/>
      <c r="RSN235" s="10"/>
      <c r="RSO235" s="10"/>
      <c r="RSP235" s="21"/>
      <c r="RSQ235" s="21"/>
      <c r="RST235" s="21"/>
      <c r="RSU235" s="15"/>
      <c r="RSV235" s="15"/>
      <c r="RSW235" s="15"/>
      <c r="RSX235" s="15"/>
      <c r="RSY235" s="15"/>
      <c r="RSZ235" s="15"/>
      <c r="RTA235" s="15"/>
      <c r="RTB235" s="15"/>
      <c r="RTC235" s="15"/>
      <c r="RTD235" s="15"/>
      <c r="RTE235" s="10"/>
      <c r="RTF235" s="10"/>
      <c r="RTG235" s="21"/>
      <c r="RTH235" s="21"/>
      <c r="RTK235" s="21"/>
      <c r="RTL235" s="15"/>
      <c r="RTM235" s="15"/>
      <c r="RTN235" s="15"/>
      <c r="RTO235" s="15"/>
      <c r="RTP235" s="15"/>
      <c r="RTQ235" s="15"/>
      <c r="RTR235" s="15"/>
      <c r="RTS235" s="15"/>
      <c r="RTT235" s="15"/>
      <c r="RTU235" s="15"/>
      <c r="RTV235" s="10"/>
      <c r="RTW235" s="10"/>
      <c r="RTX235" s="21"/>
      <c r="RTY235" s="21"/>
      <c r="RUB235" s="21"/>
      <c r="RUC235" s="15"/>
      <c r="RUD235" s="15"/>
      <c r="RUE235" s="15"/>
      <c r="RUF235" s="15"/>
      <c r="RUG235" s="15"/>
      <c r="RUH235" s="15"/>
      <c r="RUI235" s="15"/>
      <c r="RUJ235" s="15"/>
      <c r="RUK235" s="15"/>
      <c r="RUL235" s="15"/>
      <c r="RUM235" s="10"/>
      <c r="RUN235" s="10"/>
      <c r="RUO235" s="21"/>
      <c r="RUP235" s="21"/>
      <c r="RUS235" s="21"/>
      <c r="RUT235" s="15"/>
      <c r="RUU235" s="15"/>
      <c r="RUV235" s="15"/>
      <c r="RUW235" s="15"/>
      <c r="RUX235" s="15"/>
      <c r="RUY235" s="15"/>
      <c r="RUZ235" s="15"/>
      <c r="RVA235" s="15"/>
      <c r="RVB235" s="15"/>
      <c r="RVC235" s="15"/>
      <c r="RVD235" s="10"/>
      <c r="RVE235" s="10"/>
      <c r="RVF235" s="21"/>
      <c r="RVG235" s="21"/>
      <c r="RVJ235" s="21"/>
      <c r="RVK235" s="15"/>
      <c r="RVL235" s="15"/>
      <c r="RVM235" s="15"/>
      <c r="RVN235" s="15"/>
      <c r="RVO235" s="15"/>
      <c r="RVP235" s="15"/>
      <c r="RVQ235" s="15"/>
      <c r="RVR235" s="15"/>
      <c r="RVS235" s="15"/>
      <c r="RVT235" s="15"/>
      <c r="RVU235" s="10"/>
      <c r="RVV235" s="10"/>
      <c r="RVW235" s="21"/>
      <c r="RVX235" s="21"/>
      <c r="RWA235" s="21"/>
      <c r="RWB235" s="15"/>
      <c r="RWC235" s="15"/>
      <c r="RWD235" s="15"/>
      <c r="RWE235" s="15"/>
      <c r="RWF235" s="15"/>
      <c r="RWG235" s="15"/>
      <c r="RWH235" s="15"/>
      <c r="RWI235" s="15"/>
      <c r="RWJ235" s="15"/>
      <c r="RWK235" s="15"/>
      <c r="RWL235" s="10"/>
      <c r="RWM235" s="10"/>
      <c r="RWN235" s="21"/>
      <c r="RWO235" s="21"/>
      <c r="RWR235" s="21"/>
      <c r="RWS235" s="15"/>
      <c r="RWT235" s="15"/>
      <c r="RWU235" s="15"/>
      <c r="RWV235" s="15"/>
      <c r="RWW235" s="15"/>
      <c r="RWX235" s="15"/>
      <c r="RWY235" s="15"/>
      <c r="RWZ235" s="15"/>
      <c r="RXA235" s="15"/>
      <c r="RXB235" s="15"/>
      <c r="RXC235" s="10"/>
      <c r="RXD235" s="10"/>
      <c r="RXE235" s="21"/>
      <c r="RXF235" s="21"/>
      <c r="RXI235" s="21"/>
      <c r="RXJ235" s="15"/>
      <c r="RXK235" s="15"/>
      <c r="RXL235" s="15"/>
      <c r="RXM235" s="15"/>
      <c r="RXN235" s="15"/>
      <c r="RXO235" s="15"/>
      <c r="RXP235" s="15"/>
      <c r="RXQ235" s="15"/>
      <c r="RXR235" s="15"/>
      <c r="RXS235" s="15"/>
      <c r="RXT235" s="10"/>
      <c r="RXU235" s="10"/>
      <c r="RXV235" s="21"/>
      <c r="RXW235" s="21"/>
      <c r="RXZ235" s="21"/>
      <c r="RYA235" s="15"/>
      <c r="RYB235" s="15"/>
      <c r="RYC235" s="15"/>
      <c r="RYD235" s="15"/>
      <c r="RYE235" s="15"/>
      <c r="RYF235" s="15"/>
      <c r="RYG235" s="15"/>
      <c r="RYH235" s="15"/>
      <c r="RYI235" s="15"/>
      <c r="RYJ235" s="15"/>
      <c r="RYK235" s="10"/>
      <c r="RYL235" s="10"/>
      <c r="RYM235" s="21"/>
      <c r="RYN235" s="21"/>
      <c r="RYQ235" s="21"/>
      <c r="RYR235" s="15"/>
      <c r="RYS235" s="15"/>
      <c r="RYT235" s="15"/>
      <c r="RYU235" s="15"/>
      <c r="RYV235" s="15"/>
      <c r="RYW235" s="15"/>
      <c r="RYX235" s="15"/>
      <c r="RYY235" s="15"/>
      <c r="RYZ235" s="15"/>
      <c r="RZA235" s="15"/>
      <c r="RZB235" s="10"/>
      <c r="RZC235" s="10"/>
      <c r="RZD235" s="21"/>
      <c r="RZE235" s="21"/>
      <c r="RZH235" s="21"/>
      <c r="RZI235" s="15"/>
      <c r="RZJ235" s="15"/>
      <c r="RZK235" s="15"/>
      <c r="RZL235" s="15"/>
      <c r="RZM235" s="15"/>
      <c r="RZN235" s="15"/>
      <c r="RZO235" s="15"/>
      <c r="RZP235" s="15"/>
      <c r="RZQ235" s="15"/>
      <c r="RZR235" s="15"/>
      <c r="RZS235" s="10"/>
      <c r="RZT235" s="10"/>
      <c r="RZU235" s="21"/>
      <c r="RZV235" s="21"/>
      <c r="RZY235" s="21"/>
      <c r="RZZ235" s="15"/>
      <c r="SAA235" s="15"/>
      <c r="SAB235" s="15"/>
      <c r="SAC235" s="15"/>
      <c r="SAD235" s="15"/>
      <c r="SAE235" s="15"/>
      <c r="SAF235" s="15"/>
      <c r="SAG235" s="15"/>
      <c r="SAH235" s="15"/>
      <c r="SAI235" s="15"/>
      <c r="SAJ235" s="10"/>
      <c r="SAK235" s="10"/>
      <c r="SAL235" s="21"/>
      <c r="SAM235" s="21"/>
      <c r="SAP235" s="21"/>
      <c r="SAQ235" s="15"/>
      <c r="SAR235" s="15"/>
      <c r="SAS235" s="15"/>
      <c r="SAT235" s="15"/>
      <c r="SAU235" s="15"/>
      <c r="SAV235" s="15"/>
      <c r="SAW235" s="15"/>
      <c r="SAX235" s="15"/>
      <c r="SAY235" s="15"/>
      <c r="SAZ235" s="15"/>
      <c r="SBA235" s="10"/>
      <c r="SBB235" s="10"/>
      <c r="SBC235" s="21"/>
      <c r="SBD235" s="21"/>
      <c r="SBG235" s="21"/>
      <c r="SBH235" s="15"/>
      <c r="SBI235" s="15"/>
      <c r="SBJ235" s="15"/>
      <c r="SBK235" s="15"/>
      <c r="SBL235" s="15"/>
      <c r="SBM235" s="15"/>
      <c r="SBN235" s="15"/>
      <c r="SBO235" s="15"/>
      <c r="SBP235" s="15"/>
      <c r="SBQ235" s="15"/>
      <c r="SBR235" s="10"/>
      <c r="SBS235" s="10"/>
      <c r="SBT235" s="21"/>
      <c r="SBU235" s="21"/>
      <c r="SBX235" s="21"/>
      <c r="SBY235" s="15"/>
      <c r="SBZ235" s="15"/>
      <c r="SCA235" s="15"/>
      <c r="SCB235" s="15"/>
      <c r="SCC235" s="15"/>
      <c r="SCD235" s="15"/>
      <c r="SCE235" s="15"/>
      <c r="SCF235" s="15"/>
      <c r="SCG235" s="15"/>
      <c r="SCH235" s="15"/>
      <c r="SCI235" s="10"/>
      <c r="SCJ235" s="10"/>
      <c r="SCK235" s="21"/>
      <c r="SCL235" s="21"/>
      <c r="SCO235" s="21"/>
      <c r="SCP235" s="15"/>
      <c r="SCQ235" s="15"/>
      <c r="SCR235" s="15"/>
      <c r="SCS235" s="15"/>
      <c r="SCT235" s="15"/>
      <c r="SCU235" s="15"/>
      <c r="SCV235" s="15"/>
      <c r="SCW235" s="15"/>
      <c r="SCX235" s="15"/>
      <c r="SCY235" s="15"/>
      <c r="SCZ235" s="10"/>
      <c r="SDA235" s="10"/>
      <c r="SDB235" s="21"/>
      <c r="SDC235" s="21"/>
      <c r="SDF235" s="21"/>
      <c r="SDG235" s="15"/>
      <c r="SDH235" s="15"/>
      <c r="SDI235" s="15"/>
      <c r="SDJ235" s="15"/>
      <c r="SDK235" s="15"/>
      <c r="SDL235" s="15"/>
      <c r="SDM235" s="15"/>
      <c r="SDN235" s="15"/>
      <c r="SDO235" s="15"/>
      <c r="SDP235" s="15"/>
      <c r="SDQ235" s="10"/>
      <c r="SDR235" s="10"/>
      <c r="SDS235" s="21"/>
      <c r="SDT235" s="21"/>
      <c r="SDW235" s="21"/>
      <c r="SDX235" s="15"/>
      <c r="SDY235" s="15"/>
      <c r="SDZ235" s="15"/>
      <c r="SEA235" s="15"/>
      <c r="SEB235" s="15"/>
      <c r="SEC235" s="15"/>
      <c r="SED235" s="15"/>
      <c r="SEE235" s="15"/>
      <c r="SEF235" s="15"/>
      <c r="SEG235" s="15"/>
      <c r="SEH235" s="10"/>
      <c r="SEI235" s="10"/>
      <c r="SEJ235" s="21"/>
      <c r="SEK235" s="21"/>
      <c r="SEN235" s="21"/>
      <c r="SEO235" s="15"/>
      <c r="SEP235" s="15"/>
      <c r="SEQ235" s="15"/>
      <c r="SER235" s="15"/>
      <c r="SES235" s="15"/>
      <c r="SET235" s="15"/>
      <c r="SEU235" s="15"/>
      <c r="SEV235" s="15"/>
      <c r="SEW235" s="15"/>
      <c r="SEX235" s="15"/>
      <c r="SEY235" s="10"/>
      <c r="SEZ235" s="10"/>
      <c r="SFA235" s="21"/>
      <c r="SFB235" s="21"/>
      <c r="SFE235" s="21"/>
      <c r="SFF235" s="15"/>
      <c r="SFG235" s="15"/>
      <c r="SFH235" s="15"/>
      <c r="SFI235" s="15"/>
      <c r="SFJ235" s="15"/>
      <c r="SFK235" s="15"/>
      <c r="SFL235" s="15"/>
      <c r="SFM235" s="15"/>
      <c r="SFN235" s="15"/>
      <c r="SFO235" s="15"/>
      <c r="SFP235" s="10"/>
      <c r="SFQ235" s="10"/>
      <c r="SFR235" s="21"/>
      <c r="SFS235" s="21"/>
      <c r="SFV235" s="21"/>
      <c r="SFW235" s="15"/>
      <c r="SFX235" s="15"/>
      <c r="SFY235" s="15"/>
      <c r="SFZ235" s="15"/>
      <c r="SGA235" s="15"/>
      <c r="SGB235" s="15"/>
      <c r="SGC235" s="15"/>
      <c r="SGD235" s="15"/>
      <c r="SGE235" s="15"/>
      <c r="SGF235" s="15"/>
      <c r="SGG235" s="10"/>
      <c r="SGH235" s="10"/>
      <c r="SGI235" s="21"/>
      <c r="SGJ235" s="21"/>
      <c r="SGM235" s="21"/>
      <c r="SGN235" s="15"/>
      <c r="SGO235" s="15"/>
      <c r="SGP235" s="15"/>
      <c r="SGQ235" s="15"/>
      <c r="SGR235" s="15"/>
      <c r="SGS235" s="15"/>
      <c r="SGT235" s="15"/>
      <c r="SGU235" s="15"/>
      <c r="SGV235" s="15"/>
      <c r="SGW235" s="15"/>
      <c r="SGX235" s="10"/>
      <c r="SGY235" s="10"/>
      <c r="SGZ235" s="21"/>
      <c r="SHA235" s="21"/>
      <c r="SHD235" s="21"/>
      <c r="SHE235" s="15"/>
      <c r="SHF235" s="15"/>
      <c r="SHG235" s="15"/>
      <c r="SHH235" s="15"/>
      <c r="SHI235" s="15"/>
      <c r="SHJ235" s="15"/>
      <c r="SHK235" s="15"/>
      <c r="SHL235" s="15"/>
      <c r="SHM235" s="15"/>
      <c r="SHN235" s="15"/>
      <c r="SHO235" s="10"/>
      <c r="SHP235" s="10"/>
      <c r="SHQ235" s="21"/>
      <c r="SHR235" s="21"/>
      <c r="SHU235" s="21"/>
      <c r="SHV235" s="15"/>
      <c r="SHW235" s="15"/>
      <c r="SHX235" s="15"/>
      <c r="SHY235" s="15"/>
      <c r="SHZ235" s="15"/>
      <c r="SIA235" s="15"/>
      <c r="SIB235" s="15"/>
      <c r="SIC235" s="15"/>
      <c r="SID235" s="15"/>
      <c r="SIE235" s="15"/>
      <c r="SIF235" s="10"/>
      <c r="SIG235" s="10"/>
      <c r="SIH235" s="21"/>
      <c r="SII235" s="21"/>
      <c r="SIL235" s="21"/>
      <c r="SIM235" s="15"/>
      <c r="SIN235" s="15"/>
      <c r="SIO235" s="15"/>
      <c r="SIP235" s="15"/>
      <c r="SIQ235" s="15"/>
      <c r="SIR235" s="15"/>
      <c r="SIS235" s="15"/>
      <c r="SIT235" s="15"/>
      <c r="SIU235" s="15"/>
      <c r="SIV235" s="15"/>
      <c r="SIW235" s="10"/>
      <c r="SIX235" s="10"/>
      <c r="SIY235" s="21"/>
      <c r="SIZ235" s="21"/>
      <c r="SJC235" s="21"/>
      <c r="SJD235" s="15"/>
      <c r="SJE235" s="15"/>
      <c r="SJF235" s="15"/>
      <c r="SJG235" s="15"/>
      <c r="SJH235" s="15"/>
      <c r="SJI235" s="15"/>
      <c r="SJJ235" s="15"/>
      <c r="SJK235" s="15"/>
      <c r="SJL235" s="15"/>
      <c r="SJM235" s="15"/>
      <c r="SJN235" s="10"/>
      <c r="SJO235" s="10"/>
      <c r="SJP235" s="21"/>
      <c r="SJQ235" s="21"/>
      <c r="SJT235" s="21"/>
      <c r="SJU235" s="15"/>
      <c r="SJV235" s="15"/>
      <c r="SJW235" s="15"/>
      <c r="SJX235" s="15"/>
      <c r="SJY235" s="15"/>
      <c r="SJZ235" s="15"/>
      <c r="SKA235" s="15"/>
      <c r="SKB235" s="15"/>
      <c r="SKC235" s="15"/>
      <c r="SKD235" s="15"/>
      <c r="SKE235" s="10"/>
      <c r="SKF235" s="10"/>
      <c r="SKG235" s="21"/>
      <c r="SKH235" s="21"/>
      <c r="SKK235" s="21"/>
      <c r="SKL235" s="15"/>
      <c r="SKM235" s="15"/>
      <c r="SKN235" s="15"/>
      <c r="SKO235" s="15"/>
      <c r="SKP235" s="15"/>
      <c r="SKQ235" s="15"/>
      <c r="SKR235" s="15"/>
      <c r="SKS235" s="15"/>
      <c r="SKT235" s="15"/>
      <c r="SKU235" s="15"/>
      <c r="SKV235" s="10"/>
      <c r="SKW235" s="10"/>
      <c r="SKX235" s="21"/>
      <c r="SKY235" s="21"/>
      <c r="SLB235" s="21"/>
      <c r="SLC235" s="15"/>
      <c r="SLD235" s="15"/>
      <c r="SLE235" s="15"/>
      <c r="SLF235" s="15"/>
      <c r="SLG235" s="15"/>
      <c r="SLH235" s="15"/>
      <c r="SLI235" s="15"/>
      <c r="SLJ235" s="15"/>
      <c r="SLK235" s="15"/>
      <c r="SLL235" s="15"/>
      <c r="SLM235" s="10"/>
      <c r="SLN235" s="10"/>
      <c r="SLO235" s="21"/>
      <c r="SLP235" s="21"/>
      <c r="SLS235" s="21"/>
      <c r="SLT235" s="15"/>
      <c r="SLU235" s="15"/>
      <c r="SLV235" s="15"/>
      <c r="SLW235" s="15"/>
      <c r="SLX235" s="15"/>
      <c r="SLY235" s="15"/>
      <c r="SLZ235" s="15"/>
      <c r="SMA235" s="15"/>
      <c r="SMB235" s="15"/>
      <c r="SMC235" s="15"/>
      <c r="SMD235" s="10"/>
      <c r="SME235" s="10"/>
      <c r="SMF235" s="21"/>
      <c r="SMG235" s="21"/>
      <c r="SMJ235" s="21"/>
      <c r="SMK235" s="15"/>
      <c r="SML235" s="15"/>
      <c r="SMM235" s="15"/>
      <c r="SMN235" s="15"/>
      <c r="SMO235" s="15"/>
      <c r="SMP235" s="15"/>
      <c r="SMQ235" s="15"/>
      <c r="SMR235" s="15"/>
      <c r="SMS235" s="15"/>
      <c r="SMT235" s="15"/>
      <c r="SMU235" s="10"/>
      <c r="SMV235" s="10"/>
      <c r="SMW235" s="21"/>
      <c r="SMX235" s="21"/>
      <c r="SNA235" s="21"/>
      <c r="SNB235" s="15"/>
      <c r="SNC235" s="15"/>
      <c r="SND235" s="15"/>
      <c r="SNE235" s="15"/>
      <c r="SNF235" s="15"/>
      <c r="SNG235" s="15"/>
      <c r="SNH235" s="15"/>
      <c r="SNI235" s="15"/>
      <c r="SNJ235" s="15"/>
      <c r="SNK235" s="15"/>
      <c r="SNL235" s="10"/>
      <c r="SNM235" s="10"/>
      <c r="SNN235" s="21"/>
      <c r="SNO235" s="21"/>
      <c r="SNR235" s="21"/>
      <c r="SNS235" s="15"/>
      <c r="SNT235" s="15"/>
      <c r="SNU235" s="15"/>
      <c r="SNV235" s="15"/>
      <c r="SNW235" s="15"/>
      <c r="SNX235" s="15"/>
      <c r="SNY235" s="15"/>
      <c r="SNZ235" s="15"/>
      <c r="SOA235" s="15"/>
      <c r="SOB235" s="15"/>
      <c r="SOC235" s="10"/>
      <c r="SOD235" s="10"/>
      <c r="SOE235" s="21"/>
      <c r="SOF235" s="21"/>
      <c r="SOI235" s="21"/>
      <c r="SOJ235" s="15"/>
      <c r="SOK235" s="15"/>
      <c r="SOL235" s="15"/>
      <c r="SOM235" s="15"/>
      <c r="SON235" s="15"/>
      <c r="SOO235" s="15"/>
      <c r="SOP235" s="15"/>
      <c r="SOQ235" s="15"/>
      <c r="SOR235" s="15"/>
      <c r="SOS235" s="15"/>
      <c r="SOT235" s="10"/>
      <c r="SOU235" s="10"/>
      <c r="SOV235" s="21"/>
      <c r="SOW235" s="21"/>
      <c r="SOZ235" s="21"/>
      <c r="SPA235" s="15"/>
      <c r="SPB235" s="15"/>
      <c r="SPC235" s="15"/>
      <c r="SPD235" s="15"/>
      <c r="SPE235" s="15"/>
      <c r="SPF235" s="15"/>
      <c r="SPG235" s="15"/>
      <c r="SPH235" s="15"/>
      <c r="SPI235" s="15"/>
      <c r="SPJ235" s="15"/>
      <c r="SPK235" s="10"/>
      <c r="SPL235" s="10"/>
      <c r="SPM235" s="21"/>
      <c r="SPN235" s="21"/>
      <c r="SPQ235" s="21"/>
      <c r="SPR235" s="15"/>
      <c r="SPS235" s="15"/>
      <c r="SPT235" s="15"/>
      <c r="SPU235" s="15"/>
      <c r="SPV235" s="15"/>
      <c r="SPW235" s="15"/>
      <c r="SPX235" s="15"/>
      <c r="SPY235" s="15"/>
      <c r="SPZ235" s="15"/>
      <c r="SQA235" s="15"/>
      <c r="SQB235" s="10"/>
      <c r="SQC235" s="10"/>
      <c r="SQD235" s="21"/>
      <c r="SQE235" s="21"/>
      <c r="SQH235" s="21"/>
      <c r="SQI235" s="15"/>
      <c r="SQJ235" s="15"/>
      <c r="SQK235" s="15"/>
      <c r="SQL235" s="15"/>
      <c r="SQM235" s="15"/>
      <c r="SQN235" s="15"/>
      <c r="SQO235" s="15"/>
      <c r="SQP235" s="15"/>
      <c r="SQQ235" s="15"/>
      <c r="SQR235" s="15"/>
      <c r="SQS235" s="10"/>
      <c r="SQT235" s="10"/>
      <c r="SQU235" s="21"/>
      <c r="SQV235" s="21"/>
      <c r="SQY235" s="21"/>
      <c r="SQZ235" s="15"/>
      <c r="SRA235" s="15"/>
      <c r="SRB235" s="15"/>
      <c r="SRC235" s="15"/>
      <c r="SRD235" s="15"/>
      <c r="SRE235" s="15"/>
      <c r="SRF235" s="15"/>
      <c r="SRG235" s="15"/>
      <c r="SRH235" s="15"/>
      <c r="SRI235" s="15"/>
      <c r="SRJ235" s="10"/>
      <c r="SRK235" s="10"/>
      <c r="SRL235" s="21"/>
      <c r="SRM235" s="21"/>
      <c r="SRP235" s="21"/>
      <c r="SRQ235" s="15"/>
      <c r="SRR235" s="15"/>
      <c r="SRS235" s="15"/>
      <c r="SRT235" s="15"/>
      <c r="SRU235" s="15"/>
      <c r="SRV235" s="15"/>
      <c r="SRW235" s="15"/>
      <c r="SRX235" s="15"/>
      <c r="SRY235" s="15"/>
      <c r="SRZ235" s="15"/>
      <c r="SSA235" s="10"/>
      <c r="SSB235" s="10"/>
      <c r="SSC235" s="21"/>
      <c r="SSD235" s="21"/>
      <c r="SSG235" s="21"/>
      <c r="SSH235" s="15"/>
      <c r="SSI235" s="15"/>
      <c r="SSJ235" s="15"/>
      <c r="SSK235" s="15"/>
      <c r="SSL235" s="15"/>
      <c r="SSM235" s="15"/>
      <c r="SSN235" s="15"/>
      <c r="SSO235" s="15"/>
      <c r="SSP235" s="15"/>
      <c r="SSQ235" s="15"/>
      <c r="SSR235" s="10"/>
      <c r="SSS235" s="10"/>
      <c r="SST235" s="21"/>
      <c r="SSU235" s="21"/>
      <c r="SSX235" s="21"/>
      <c r="SSY235" s="15"/>
      <c r="SSZ235" s="15"/>
      <c r="STA235" s="15"/>
      <c r="STB235" s="15"/>
      <c r="STC235" s="15"/>
      <c r="STD235" s="15"/>
      <c r="STE235" s="15"/>
      <c r="STF235" s="15"/>
      <c r="STG235" s="15"/>
      <c r="STH235" s="15"/>
      <c r="STI235" s="10"/>
      <c r="STJ235" s="10"/>
      <c r="STK235" s="21"/>
      <c r="STL235" s="21"/>
      <c r="STO235" s="21"/>
      <c r="STP235" s="15"/>
      <c r="STQ235" s="15"/>
      <c r="STR235" s="15"/>
      <c r="STS235" s="15"/>
      <c r="STT235" s="15"/>
      <c r="STU235" s="15"/>
      <c r="STV235" s="15"/>
      <c r="STW235" s="15"/>
      <c r="STX235" s="15"/>
      <c r="STY235" s="15"/>
      <c r="STZ235" s="10"/>
      <c r="SUA235" s="10"/>
      <c r="SUB235" s="21"/>
      <c r="SUC235" s="21"/>
      <c r="SUF235" s="21"/>
      <c r="SUG235" s="15"/>
      <c r="SUH235" s="15"/>
      <c r="SUI235" s="15"/>
      <c r="SUJ235" s="15"/>
      <c r="SUK235" s="15"/>
      <c r="SUL235" s="15"/>
      <c r="SUM235" s="15"/>
      <c r="SUN235" s="15"/>
      <c r="SUO235" s="15"/>
      <c r="SUP235" s="15"/>
      <c r="SUQ235" s="10"/>
      <c r="SUR235" s="10"/>
      <c r="SUS235" s="21"/>
      <c r="SUT235" s="21"/>
      <c r="SUW235" s="21"/>
      <c r="SUX235" s="15"/>
      <c r="SUY235" s="15"/>
      <c r="SUZ235" s="15"/>
      <c r="SVA235" s="15"/>
      <c r="SVB235" s="15"/>
      <c r="SVC235" s="15"/>
      <c r="SVD235" s="15"/>
      <c r="SVE235" s="15"/>
      <c r="SVF235" s="15"/>
      <c r="SVG235" s="15"/>
      <c r="SVH235" s="10"/>
      <c r="SVI235" s="10"/>
      <c r="SVJ235" s="21"/>
      <c r="SVK235" s="21"/>
      <c r="SVN235" s="21"/>
      <c r="SVO235" s="15"/>
      <c r="SVP235" s="15"/>
      <c r="SVQ235" s="15"/>
      <c r="SVR235" s="15"/>
      <c r="SVS235" s="15"/>
      <c r="SVT235" s="15"/>
      <c r="SVU235" s="15"/>
      <c r="SVV235" s="15"/>
      <c r="SVW235" s="15"/>
      <c r="SVX235" s="15"/>
      <c r="SVY235" s="10"/>
      <c r="SVZ235" s="10"/>
      <c r="SWA235" s="21"/>
      <c r="SWB235" s="21"/>
      <c r="SWE235" s="21"/>
      <c r="SWF235" s="15"/>
      <c r="SWG235" s="15"/>
      <c r="SWH235" s="15"/>
      <c r="SWI235" s="15"/>
      <c r="SWJ235" s="15"/>
      <c r="SWK235" s="15"/>
      <c r="SWL235" s="15"/>
      <c r="SWM235" s="15"/>
      <c r="SWN235" s="15"/>
      <c r="SWO235" s="15"/>
      <c r="SWP235" s="10"/>
      <c r="SWQ235" s="10"/>
      <c r="SWR235" s="21"/>
      <c r="SWS235" s="21"/>
      <c r="SWV235" s="21"/>
      <c r="SWW235" s="15"/>
      <c r="SWX235" s="15"/>
      <c r="SWY235" s="15"/>
      <c r="SWZ235" s="15"/>
      <c r="SXA235" s="15"/>
      <c r="SXB235" s="15"/>
      <c r="SXC235" s="15"/>
      <c r="SXD235" s="15"/>
      <c r="SXE235" s="15"/>
      <c r="SXF235" s="15"/>
      <c r="SXG235" s="10"/>
      <c r="SXH235" s="10"/>
      <c r="SXI235" s="21"/>
      <c r="SXJ235" s="21"/>
      <c r="SXM235" s="21"/>
      <c r="SXN235" s="15"/>
      <c r="SXO235" s="15"/>
      <c r="SXP235" s="15"/>
      <c r="SXQ235" s="15"/>
      <c r="SXR235" s="15"/>
      <c r="SXS235" s="15"/>
      <c r="SXT235" s="15"/>
      <c r="SXU235" s="15"/>
      <c r="SXV235" s="15"/>
      <c r="SXW235" s="15"/>
      <c r="SXX235" s="10"/>
      <c r="SXY235" s="10"/>
      <c r="SXZ235" s="21"/>
      <c r="SYA235" s="21"/>
      <c r="SYD235" s="21"/>
      <c r="SYE235" s="15"/>
      <c r="SYF235" s="15"/>
      <c r="SYG235" s="15"/>
      <c r="SYH235" s="15"/>
      <c r="SYI235" s="15"/>
      <c r="SYJ235" s="15"/>
      <c r="SYK235" s="15"/>
      <c r="SYL235" s="15"/>
      <c r="SYM235" s="15"/>
      <c r="SYN235" s="15"/>
      <c r="SYO235" s="10"/>
      <c r="SYP235" s="10"/>
      <c r="SYQ235" s="21"/>
      <c r="SYR235" s="21"/>
      <c r="SYU235" s="21"/>
      <c r="SYV235" s="15"/>
      <c r="SYW235" s="15"/>
      <c r="SYX235" s="15"/>
      <c r="SYY235" s="15"/>
      <c r="SYZ235" s="15"/>
      <c r="SZA235" s="15"/>
      <c r="SZB235" s="15"/>
      <c r="SZC235" s="15"/>
      <c r="SZD235" s="15"/>
      <c r="SZE235" s="15"/>
      <c r="SZF235" s="10"/>
      <c r="SZG235" s="10"/>
      <c r="SZH235" s="21"/>
      <c r="SZI235" s="21"/>
      <c r="SZL235" s="21"/>
      <c r="SZM235" s="15"/>
      <c r="SZN235" s="15"/>
      <c r="SZO235" s="15"/>
      <c r="SZP235" s="15"/>
      <c r="SZQ235" s="15"/>
      <c r="SZR235" s="15"/>
      <c r="SZS235" s="15"/>
      <c r="SZT235" s="15"/>
      <c r="SZU235" s="15"/>
      <c r="SZV235" s="15"/>
      <c r="SZW235" s="10"/>
      <c r="SZX235" s="10"/>
      <c r="SZY235" s="21"/>
      <c r="SZZ235" s="21"/>
      <c r="TAC235" s="21"/>
      <c r="TAD235" s="15"/>
      <c r="TAE235" s="15"/>
      <c r="TAF235" s="15"/>
      <c r="TAG235" s="15"/>
      <c r="TAH235" s="15"/>
      <c r="TAI235" s="15"/>
      <c r="TAJ235" s="15"/>
      <c r="TAK235" s="15"/>
      <c r="TAL235" s="15"/>
      <c r="TAM235" s="15"/>
      <c r="TAN235" s="10"/>
      <c r="TAO235" s="10"/>
      <c r="TAP235" s="21"/>
      <c r="TAQ235" s="21"/>
      <c r="TAT235" s="21"/>
      <c r="TAU235" s="15"/>
      <c r="TAV235" s="15"/>
      <c r="TAW235" s="15"/>
      <c r="TAX235" s="15"/>
      <c r="TAY235" s="15"/>
      <c r="TAZ235" s="15"/>
      <c r="TBA235" s="15"/>
      <c r="TBB235" s="15"/>
      <c r="TBC235" s="15"/>
      <c r="TBD235" s="15"/>
      <c r="TBE235" s="10"/>
      <c r="TBF235" s="10"/>
      <c r="TBG235" s="21"/>
      <c r="TBH235" s="21"/>
      <c r="TBK235" s="21"/>
      <c r="TBL235" s="15"/>
      <c r="TBM235" s="15"/>
      <c r="TBN235" s="15"/>
      <c r="TBO235" s="15"/>
      <c r="TBP235" s="15"/>
      <c r="TBQ235" s="15"/>
      <c r="TBR235" s="15"/>
      <c r="TBS235" s="15"/>
      <c r="TBT235" s="15"/>
      <c r="TBU235" s="15"/>
      <c r="TBV235" s="10"/>
      <c r="TBW235" s="10"/>
      <c r="TBX235" s="21"/>
      <c r="TBY235" s="21"/>
      <c r="TCB235" s="21"/>
      <c r="TCC235" s="15"/>
      <c r="TCD235" s="15"/>
      <c r="TCE235" s="15"/>
      <c r="TCF235" s="15"/>
      <c r="TCG235" s="15"/>
      <c r="TCH235" s="15"/>
      <c r="TCI235" s="15"/>
      <c r="TCJ235" s="15"/>
      <c r="TCK235" s="15"/>
      <c r="TCL235" s="15"/>
      <c r="TCM235" s="10"/>
      <c r="TCN235" s="10"/>
      <c r="TCO235" s="21"/>
      <c r="TCP235" s="21"/>
      <c r="TCS235" s="21"/>
      <c r="TCT235" s="15"/>
      <c r="TCU235" s="15"/>
      <c r="TCV235" s="15"/>
      <c r="TCW235" s="15"/>
      <c r="TCX235" s="15"/>
      <c r="TCY235" s="15"/>
      <c r="TCZ235" s="15"/>
      <c r="TDA235" s="15"/>
      <c r="TDB235" s="15"/>
      <c r="TDC235" s="15"/>
      <c r="TDD235" s="10"/>
      <c r="TDE235" s="10"/>
      <c r="TDF235" s="21"/>
      <c r="TDG235" s="21"/>
      <c r="TDJ235" s="21"/>
      <c r="TDK235" s="15"/>
      <c r="TDL235" s="15"/>
      <c r="TDM235" s="15"/>
      <c r="TDN235" s="15"/>
      <c r="TDO235" s="15"/>
      <c r="TDP235" s="15"/>
      <c r="TDQ235" s="15"/>
      <c r="TDR235" s="15"/>
      <c r="TDS235" s="15"/>
      <c r="TDT235" s="15"/>
      <c r="TDU235" s="10"/>
      <c r="TDV235" s="10"/>
      <c r="TDW235" s="21"/>
      <c r="TDX235" s="21"/>
      <c r="TEA235" s="21"/>
      <c r="TEB235" s="15"/>
      <c r="TEC235" s="15"/>
      <c r="TED235" s="15"/>
      <c r="TEE235" s="15"/>
      <c r="TEF235" s="15"/>
      <c r="TEG235" s="15"/>
      <c r="TEH235" s="15"/>
      <c r="TEI235" s="15"/>
      <c r="TEJ235" s="15"/>
      <c r="TEK235" s="15"/>
      <c r="TEL235" s="10"/>
      <c r="TEM235" s="10"/>
      <c r="TEN235" s="21"/>
      <c r="TEO235" s="21"/>
      <c r="TER235" s="21"/>
      <c r="TES235" s="15"/>
      <c r="TET235" s="15"/>
      <c r="TEU235" s="15"/>
      <c r="TEV235" s="15"/>
      <c r="TEW235" s="15"/>
      <c r="TEX235" s="15"/>
      <c r="TEY235" s="15"/>
      <c r="TEZ235" s="15"/>
      <c r="TFA235" s="15"/>
      <c r="TFB235" s="15"/>
      <c r="TFC235" s="10"/>
      <c r="TFD235" s="10"/>
      <c r="TFE235" s="21"/>
      <c r="TFF235" s="21"/>
      <c r="TFI235" s="21"/>
      <c r="TFJ235" s="15"/>
      <c r="TFK235" s="15"/>
      <c r="TFL235" s="15"/>
      <c r="TFM235" s="15"/>
      <c r="TFN235" s="15"/>
      <c r="TFO235" s="15"/>
      <c r="TFP235" s="15"/>
      <c r="TFQ235" s="15"/>
      <c r="TFR235" s="15"/>
      <c r="TFS235" s="15"/>
      <c r="TFT235" s="10"/>
      <c r="TFU235" s="10"/>
      <c r="TFV235" s="21"/>
      <c r="TFW235" s="21"/>
      <c r="TFZ235" s="21"/>
      <c r="TGA235" s="15"/>
      <c r="TGB235" s="15"/>
      <c r="TGC235" s="15"/>
      <c r="TGD235" s="15"/>
      <c r="TGE235" s="15"/>
      <c r="TGF235" s="15"/>
      <c r="TGG235" s="15"/>
      <c r="TGH235" s="15"/>
      <c r="TGI235" s="15"/>
      <c r="TGJ235" s="15"/>
      <c r="TGK235" s="10"/>
      <c r="TGL235" s="10"/>
      <c r="TGM235" s="21"/>
      <c r="TGN235" s="21"/>
      <c r="TGQ235" s="21"/>
      <c r="TGR235" s="15"/>
      <c r="TGS235" s="15"/>
      <c r="TGT235" s="15"/>
      <c r="TGU235" s="15"/>
      <c r="TGV235" s="15"/>
      <c r="TGW235" s="15"/>
      <c r="TGX235" s="15"/>
      <c r="TGY235" s="15"/>
      <c r="TGZ235" s="15"/>
      <c r="THA235" s="15"/>
      <c r="THB235" s="10"/>
      <c r="THC235" s="10"/>
      <c r="THD235" s="21"/>
      <c r="THE235" s="21"/>
      <c r="THH235" s="21"/>
      <c r="THI235" s="15"/>
      <c r="THJ235" s="15"/>
      <c r="THK235" s="15"/>
      <c r="THL235" s="15"/>
      <c r="THM235" s="15"/>
      <c r="THN235" s="15"/>
      <c r="THO235" s="15"/>
      <c r="THP235" s="15"/>
      <c r="THQ235" s="15"/>
      <c r="THR235" s="15"/>
      <c r="THS235" s="10"/>
      <c r="THT235" s="10"/>
      <c r="THU235" s="21"/>
      <c r="THV235" s="21"/>
      <c r="THY235" s="21"/>
      <c r="THZ235" s="15"/>
      <c r="TIA235" s="15"/>
      <c r="TIB235" s="15"/>
      <c r="TIC235" s="15"/>
      <c r="TID235" s="15"/>
      <c r="TIE235" s="15"/>
      <c r="TIF235" s="15"/>
      <c r="TIG235" s="15"/>
      <c r="TIH235" s="15"/>
      <c r="TII235" s="15"/>
      <c r="TIJ235" s="10"/>
      <c r="TIK235" s="10"/>
      <c r="TIL235" s="21"/>
      <c r="TIM235" s="21"/>
      <c r="TIP235" s="21"/>
      <c r="TIQ235" s="15"/>
      <c r="TIR235" s="15"/>
      <c r="TIS235" s="15"/>
      <c r="TIT235" s="15"/>
      <c r="TIU235" s="15"/>
      <c r="TIV235" s="15"/>
      <c r="TIW235" s="15"/>
      <c r="TIX235" s="15"/>
      <c r="TIY235" s="15"/>
      <c r="TIZ235" s="15"/>
      <c r="TJA235" s="10"/>
      <c r="TJB235" s="10"/>
      <c r="TJC235" s="21"/>
      <c r="TJD235" s="21"/>
      <c r="TJG235" s="21"/>
      <c r="TJH235" s="15"/>
      <c r="TJI235" s="15"/>
      <c r="TJJ235" s="15"/>
      <c r="TJK235" s="15"/>
      <c r="TJL235" s="15"/>
      <c r="TJM235" s="15"/>
      <c r="TJN235" s="15"/>
      <c r="TJO235" s="15"/>
      <c r="TJP235" s="15"/>
      <c r="TJQ235" s="15"/>
      <c r="TJR235" s="10"/>
      <c r="TJS235" s="10"/>
      <c r="TJT235" s="21"/>
      <c r="TJU235" s="21"/>
      <c r="TJX235" s="21"/>
      <c r="TJY235" s="15"/>
      <c r="TJZ235" s="15"/>
      <c r="TKA235" s="15"/>
      <c r="TKB235" s="15"/>
      <c r="TKC235" s="15"/>
      <c r="TKD235" s="15"/>
      <c r="TKE235" s="15"/>
      <c r="TKF235" s="15"/>
      <c r="TKG235" s="15"/>
      <c r="TKH235" s="15"/>
      <c r="TKI235" s="10"/>
      <c r="TKJ235" s="10"/>
      <c r="TKK235" s="21"/>
      <c r="TKL235" s="21"/>
      <c r="TKO235" s="21"/>
      <c r="TKP235" s="15"/>
      <c r="TKQ235" s="15"/>
      <c r="TKR235" s="15"/>
      <c r="TKS235" s="15"/>
      <c r="TKT235" s="15"/>
      <c r="TKU235" s="15"/>
      <c r="TKV235" s="15"/>
      <c r="TKW235" s="15"/>
      <c r="TKX235" s="15"/>
      <c r="TKY235" s="15"/>
      <c r="TKZ235" s="10"/>
      <c r="TLA235" s="10"/>
      <c r="TLB235" s="21"/>
      <c r="TLC235" s="21"/>
      <c r="TLF235" s="21"/>
      <c r="TLG235" s="15"/>
      <c r="TLH235" s="15"/>
      <c r="TLI235" s="15"/>
      <c r="TLJ235" s="15"/>
      <c r="TLK235" s="15"/>
      <c r="TLL235" s="15"/>
      <c r="TLM235" s="15"/>
      <c r="TLN235" s="15"/>
      <c r="TLO235" s="15"/>
      <c r="TLP235" s="15"/>
      <c r="TLQ235" s="10"/>
      <c r="TLR235" s="10"/>
      <c r="TLS235" s="21"/>
      <c r="TLT235" s="21"/>
      <c r="TLW235" s="21"/>
      <c r="TLX235" s="15"/>
      <c r="TLY235" s="15"/>
      <c r="TLZ235" s="15"/>
      <c r="TMA235" s="15"/>
      <c r="TMB235" s="15"/>
      <c r="TMC235" s="15"/>
      <c r="TMD235" s="15"/>
      <c r="TME235" s="15"/>
      <c r="TMF235" s="15"/>
      <c r="TMG235" s="15"/>
      <c r="TMH235" s="10"/>
      <c r="TMI235" s="10"/>
      <c r="TMJ235" s="21"/>
      <c r="TMK235" s="21"/>
      <c r="TMN235" s="21"/>
      <c r="TMO235" s="15"/>
      <c r="TMP235" s="15"/>
      <c r="TMQ235" s="15"/>
      <c r="TMR235" s="15"/>
      <c r="TMS235" s="15"/>
      <c r="TMT235" s="15"/>
      <c r="TMU235" s="15"/>
      <c r="TMV235" s="15"/>
      <c r="TMW235" s="15"/>
      <c r="TMX235" s="15"/>
      <c r="TMY235" s="10"/>
      <c r="TMZ235" s="10"/>
      <c r="TNA235" s="21"/>
      <c r="TNB235" s="21"/>
      <c r="TNE235" s="21"/>
      <c r="TNF235" s="15"/>
      <c r="TNG235" s="15"/>
      <c r="TNH235" s="15"/>
      <c r="TNI235" s="15"/>
      <c r="TNJ235" s="15"/>
      <c r="TNK235" s="15"/>
      <c r="TNL235" s="15"/>
      <c r="TNM235" s="15"/>
      <c r="TNN235" s="15"/>
      <c r="TNO235" s="15"/>
      <c r="TNP235" s="10"/>
      <c r="TNQ235" s="10"/>
      <c r="TNR235" s="21"/>
      <c r="TNS235" s="21"/>
      <c r="TNV235" s="21"/>
      <c r="TNW235" s="15"/>
      <c r="TNX235" s="15"/>
      <c r="TNY235" s="15"/>
      <c r="TNZ235" s="15"/>
      <c r="TOA235" s="15"/>
      <c r="TOB235" s="15"/>
      <c r="TOC235" s="15"/>
      <c r="TOD235" s="15"/>
      <c r="TOE235" s="15"/>
      <c r="TOF235" s="15"/>
      <c r="TOG235" s="10"/>
      <c r="TOH235" s="10"/>
      <c r="TOI235" s="21"/>
      <c r="TOJ235" s="21"/>
      <c r="TOM235" s="21"/>
      <c r="TON235" s="15"/>
      <c r="TOO235" s="15"/>
      <c r="TOP235" s="15"/>
      <c r="TOQ235" s="15"/>
      <c r="TOR235" s="15"/>
      <c r="TOS235" s="15"/>
      <c r="TOT235" s="15"/>
      <c r="TOU235" s="15"/>
      <c r="TOV235" s="15"/>
      <c r="TOW235" s="15"/>
      <c r="TOX235" s="10"/>
      <c r="TOY235" s="10"/>
      <c r="TOZ235" s="21"/>
      <c r="TPA235" s="21"/>
      <c r="TPD235" s="21"/>
      <c r="TPE235" s="15"/>
      <c r="TPF235" s="15"/>
      <c r="TPG235" s="15"/>
      <c r="TPH235" s="15"/>
      <c r="TPI235" s="15"/>
      <c r="TPJ235" s="15"/>
      <c r="TPK235" s="15"/>
      <c r="TPL235" s="15"/>
      <c r="TPM235" s="15"/>
      <c r="TPN235" s="15"/>
      <c r="TPO235" s="10"/>
      <c r="TPP235" s="10"/>
      <c r="TPQ235" s="21"/>
      <c r="TPR235" s="21"/>
      <c r="TPU235" s="21"/>
      <c r="TPV235" s="15"/>
      <c r="TPW235" s="15"/>
      <c r="TPX235" s="15"/>
      <c r="TPY235" s="15"/>
      <c r="TPZ235" s="15"/>
      <c r="TQA235" s="15"/>
      <c r="TQB235" s="15"/>
      <c r="TQC235" s="15"/>
      <c r="TQD235" s="15"/>
      <c r="TQE235" s="15"/>
      <c r="TQF235" s="10"/>
      <c r="TQG235" s="10"/>
      <c r="TQH235" s="21"/>
      <c r="TQI235" s="21"/>
      <c r="TQL235" s="21"/>
      <c r="TQM235" s="15"/>
      <c r="TQN235" s="15"/>
      <c r="TQO235" s="15"/>
      <c r="TQP235" s="15"/>
      <c r="TQQ235" s="15"/>
      <c r="TQR235" s="15"/>
      <c r="TQS235" s="15"/>
      <c r="TQT235" s="15"/>
      <c r="TQU235" s="15"/>
      <c r="TQV235" s="15"/>
      <c r="TQW235" s="10"/>
      <c r="TQX235" s="10"/>
      <c r="TQY235" s="21"/>
      <c r="TQZ235" s="21"/>
      <c r="TRC235" s="21"/>
      <c r="TRD235" s="15"/>
      <c r="TRE235" s="15"/>
      <c r="TRF235" s="15"/>
      <c r="TRG235" s="15"/>
      <c r="TRH235" s="15"/>
      <c r="TRI235" s="15"/>
      <c r="TRJ235" s="15"/>
      <c r="TRK235" s="15"/>
      <c r="TRL235" s="15"/>
      <c r="TRM235" s="15"/>
      <c r="TRN235" s="10"/>
      <c r="TRO235" s="10"/>
      <c r="TRP235" s="21"/>
      <c r="TRQ235" s="21"/>
      <c r="TRT235" s="21"/>
      <c r="TRU235" s="15"/>
      <c r="TRV235" s="15"/>
      <c r="TRW235" s="15"/>
      <c r="TRX235" s="15"/>
      <c r="TRY235" s="15"/>
      <c r="TRZ235" s="15"/>
      <c r="TSA235" s="15"/>
      <c r="TSB235" s="15"/>
      <c r="TSC235" s="15"/>
      <c r="TSD235" s="15"/>
      <c r="TSE235" s="10"/>
      <c r="TSF235" s="10"/>
      <c r="TSG235" s="21"/>
      <c r="TSH235" s="21"/>
      <c r="TSK235" s="21"/>
      <c r="TSL235" s="15"/>
      <c r="TSM235" s="15"/>
      <c r="TSN235" s="15"/>
      <c r="TSO235" s="15"/>
      <c r="TSP235" s="15"/>
      <c r="TSQ235" s="15"/>
      <c r="TSR235" s="15"/>
      <c r="TSS235" s="15"/>
      <c r="TST235" s="15"/>
      <c r="TSU235" s="15"/>
      <c r="TSV235" s="10"/>
      <c r="TSW235" s="10"/>
      <c r="TSX235" s="21"/>
      <c r="TSY235" s="21"/>
      <c r="TTB235" s="21"/>
      <c r="TTC235" s="15"/>
      <c r="TTD235" s="15"/>
      <c r="TTE235" s="15"/>
      <c r="TTF235" s="15"/>
      <c r="TTG235" s="15"/>
      <c r="TTH235" s="15"/>
      <c r="TTI235" s="15"/>
      <c r="TTJ235" s="15"/>
      <c r="TTK235" s="15"/>
      <c r="TTL235" s="15"/>
      <c r="TTM235" s="10"/>
      <c r="TTN235" s="10"/>
      <c r="TTO235" s="21"/>
      <c r="TTP235" s="21"/>
      <c r="TTS235" s="21"/>
      <c r="TTT235" s="15"/>
      <c r="TTU235" s="15"/>
      <c r="TTV235" s="15"/>
      <c r="TTW235" s="15"/>
      <c r="TTX235" s="15"/>
      <c r="TTY235" s="15"/>
      <c r="TTZ235" s="15"/>
      <c r="TUA235" s="15"/>
      <c r="TUB235" s="15"/>
      <c r="TUC235" s="15"/>
      <c r="TUD235" s="10"/>
      <c r="TUE235" s="10"/>
      <c r="TUF235" s="21"/>
      <c r="TUG235" s="21"/>
      <c r="TUJ235" s="21"/>
      <c r="TUK235" s="15"/>
      <c r="TUL235" s="15"/>
      <c r="TUM235" s="15"/>
      <c r="TUN235" s="15"/>
      <c r="TUO235" s="15"/>
      <c r="TUP235" s="15"/>
      <c r="TUQ235" s="15"/>
      <c r="TUR235" s="15"/>
      <c r="TUS235" s="15"/>
      <c r="TUT235" s="15"/>
      <c r="TUU235" s="10"/>
      <c r="TUV235" s="10"/>
      <c r="TUW235" s="21"/>
      <c r="TUX235" s="21"/>
      <c r="TVA235" s="21"/>
      <c r="TVB235" s="15"/>
      <c r="TVC235" s="15"/>
      <c r="TVD235" s="15"/>
      <c r="TVE235" s="15"/>
      <c r="TVF235" s="15"/>
      <c r="TVG235" s="15"/>
      <c r="TVH235" s="15"/>
      <c r="TVI235" s="15"/>
      <c r="TVJ235" s="15"/>
      <c r="TVK235" s="15"/>
      <c r="TVL235" s="10"/>
      <c r="TVM235" s="10"/>
      <c r="TVN235" s="21"/>
      <c r="TVO235" s="21"/>
      <c r="TVR235" s="21"/>
      <c r="TVS235" s="15"/>
      <c r="TVT235" s="15"/>
      <c r="TVU235" s="15"/>
      <c r="TVV235" s="15"/>
      <c r="TVW235" s="15"/>
      <c r="TVX235" s="15"/>
      <c r="TVY235" s="15"/>
      <c r="TVZ235" s="15"/>
      <c r="TWA235" s="15"/>
      <c r="TWB235" s="15"/>
      <c r="TWC235" s="10"/>
      <c r="TWD235" s="10"/>
      <c r="TWE235" s="21"/>
      <c r="TWF235" s="21"/>
      <c r="TWI235" s="21"/>
      <c r="TWJ235" s="15"/>
      <c r="TWK235" s="15"/>
      <c r="TWL235" s="15"/>
      <c r="TWM235" s="15"/>
      <c r="TWN235" s="15"/>
      <c r="TWO235" s="15"/>
      <c r="TWP235" s="15"/>
      <c r="TWQ235" s="15"/>
      <c r="TWR235" s="15"/>
      <c r="TWS235" s="15"/>
      <c r="TWT235" s="10"/>
      <c r="TWU235" s="10"/>
      <c r="TWV235" s="21"/>
      <c r="TWW235" s="21"/>
      <c r="TWZ235" s="21"/>
      <c r="TXA235" s="15"/>
      <c r="TXB235" s="15"/>
      <c r="TXC235" s="15"/>
      <c r="TXD235" s="15"/>
      <c r="TXE235" s="15"/>
      <c r="TXF235" s="15"/>
      <c r="TXG235" s="15"/>
      <c r="TXH235" s="15"/>
      <c r="TXI235" s="15"/>
      <c r="TXJ235" s="15"/>
      <c r="TXK235" s="10"/>
      <c r="TXL235" s="10"/>
      <c r="TXM235" s="21"/>
      <c r="TXN235" s="21"/>
      <c r="TXQ235" s="21"/>
      <c r="TXR235" s="15"/>
      <c r="TXS235" s="15"/>
      <c r="TXT235" s="15"/>
      <c r="TXU235" s="15"/>
      <c r="TXV235" s="15"/>
      <c r="TXW235" s="15"/>
      <c r="TXX235" s="15"/>
      <c r="TXY235" s="15"/>
      <c r="TXZ235" s="15"/>
      <c r="TYA235" s="15"/>
      <c r="TYB235" s="10"/>
      <c r="TYC235" s="10"/>
      <c r="TYD235" s="21"/>
      <c r="TYE235" s="21"/>
      <c r="TYH235" s="21"/>
      <c r="TYI235" s="15"/>
      <c r="TYJ235" s="15"/>
      <c r="TYK235" s="15"/>
      <c r="TYL235" s="15"/>
      <c r="TYM235" s="15"/>
      <c r="TYN235" s="15"/>
      <c r="TYO235" s="15"/>
      <c r="TYP235" s="15"/>
      <c r="TYQ235" s="15"/>
      <c r="TYR235" s="15"/>
      <c r="TYS235" s="10"/>
      <c r="TYT235" s="10"/>
      <c r="TYU235" s="21"/>
      <c r="TYV235" s="21"/>
      <c r="TYY235" s="21"/>
      <c r="TYZ235" s="15"/>
      <c r="TZA235" s="15"/>
      <c r="TZB235" s="15"/>
      <c r="TZC235" s="15"/>
      <c r="TZD235" s="15"/>
      <c r="TZE235" s="15"/>
      <c r="TZF235" s="15"/>
      <c r="TZG235" s="15"/>
      <c r="TZH235" s="15"/>
      <c r="TZI235" s="15"/>
      <c r="TZJ235" s="10"/>
      <c r="TZK235" s="10"/>
      <c r="TZL235" s="21"/>
      <c r="TZM235" s="21"/>
      <c r="TZP235" s="21"/>
      <c r="TZQ235" s="15"/>
      <c r="TZR235" s="15"/>
      <c r="TZS235" s="15"/>
      <c r="TZT235" s="15"/>
      <c r="TZU235" s="15"/>
      <c r="TZV235" s="15"/>
      <c r="TZW235" s="15"/>
      <c r="TZX235" s="15"/>
      <c r="TZY235" s="15"/>
      <c r="TZZ235" s="15"/>
      <c r="UAA235" s="10"/>
      <c r="UAB235" s="10"/>
      <c r="UAC235" s="21"/>
      <c r="UAD235" s="21"/>
      <c r="UAG235" s="21"/>
      <c r="UAH235" s="15"/>
      <c r="UAI235" s="15"/>
      <c r="UAJ235" s="15"/>
      <c r="UAK235" s="15"/>
      <c r="UAL235" s="15"/>
      <c r="UAM235" s="15"/>
      <c r="UAN235" s="15"/>
      <c r="UAO235" s="15"/>
      <c r="UAP235" s="15"/>
      <c r="UAQ235" s="15"/>
      <c r="UAR235" s="10"/>
      <c r="UAS235" s="10"/>
      <c r="UAT235" s="21"/>
      <c r="UAU235" s="21"/>
      <c r="UAX235" s="21"/>
      <c r="UAY235" s="15"/>
      <c r="UAZ235" s="15"/>
      <c r="UBA235" s="15"/>
      <c r="UBB235" s="15"/>
      <c r="UBC235" s="15"/>
      <c r="UBD235" s="15"/>
      <c r="UBE235" s="15"/>
      <c r="UBF235" s="15"/>
      <c r="UBG235" s="15"/>
      <c r="UBH235" s="15"/>
      <c r="UBI235" s="10"/>
      <c r="UBJ235" s="10"/>
      <c r="UBK235" s="21"/>
      <c r="UBL235" s="21"/>
      <c r="UBO235" s="21"/>
      <c r="UBP235" s="15"/>
      <c r="UBQ235" s="15"/>
      <c r="UBR235" s="15"/>
      <c r="UBS235" s="15"/>
      <c r="UBT235" s="15"/>
      <c r="UBU235" s="15"/>
      <c r="UBV235" s="15"/>
      <c r="UBW235" s="15"/>
      <c r="UBX235" s="15"/>
      <c r="UBY235" s="15"/>
      <c r="UBZ235" s="10"/>
      <c r="UCA235" s="10"/>
      <c r="UCB235" s="21"/>
      <c r="UCC235" s="21"/>
      <c r="UCF235" s="21"/>
      <c r="UCG235" s="15"/>
      <c r="UCH235" s="15"/>
      <c r="UCI235" s="15"/>
      <c r="UCJ235" s="15"/>
      <c r="UCK235" s="15"/>
      <c r="UCL235" s="15"/>
      <c r="UCM235" s="15"/>
      <c r="UCN235" s="15"/>
      <c r="UCO235" s="15"/>
      <c r="UCP235" s="15"/>
      <c r="UCQ235" s="10"/>
      <c r="UCR235" s="10"/>
      <c r="UCS235" s="21"/>
      <c r="UCT235" s="21"/>
      <c r="UCW235" s="21"/>
      <c r="UCX235" s="15"/>
      <c r="UCY235" s="15"/>
      <c r="UCZ235" s="15"/>
      <c r="UDA235" s="15"/>
      <c r="UDB235" s="15"/>
      <c r="UDC235" s="15"/>
      <c r="UDD235" s="15"/>
      <c r="UDE235" s="15"/>
      <c r="UDF235" s="15"/>
      <c r="UDG235" s="15"/>
      <c r="UDH235" s="10"/>
      <c r="UDI235" s="10"/>
      <c r="UDJ235" s="21"/>
      <c r="UDK235" s="21"/>
      <c r="UDN235" s="21"/>
      <c r="UDO235" s="15"/>
      <c r="UDP235" s="15"/>
      <c r="UDQ235" s="15"/>
      <c r="UDR235" s="15"/>
      <c r="UDS235" s="15"/>
      <c r="UDT235" s="15"/>
      <c r="UDU235" s="15"/>
      <c r="UDV235" s="15"/>
      <c r="UDW235" s="15"/>
      <c r="UDX235" s="15"/>
      <c r="UDY235" s="10"/>
      <c r="UDZ235" s="10"/>
      <c r="UEA235" s="21"/>
      <c r="UEB235" s="21"/>
      <c r="UEE235" s="21"/>
      <c r="UEF235" s="15"/>
      <c r="UEG235" s="15"/>
      <c r="UEH235" s="15"/>
      <c r="UEI235" s="15"/>
      <c r="UEJ235" s="15"/>
      <c r="UEK235" s="15"/>
      <c r="UEL235" s="15"/>
      <c r="UEM235" s="15"/>
      <c r="UEN235" s="15"/>
      <c r="UEO235" s="15"/>
      <c r="UEP235" s="10"/>
      <c r="UEQ235" s="10"/>
      <c r="UER235" s="21"/>
      <c r="UES235" s="21"/>
      <c r="UEV235" s="21"/>
      <c r="UEW235" s="15"/>
      <c r="UEX235" s="15"/>
      <c r="UEY235" s="15"/>
      <c r="UEZ235" s="15"/>
      <c r="UFA235" s="15"/>
      <c r="UFB235" s="15"/>
      <c r="UFC235" s="15"/>
      <c r="UFD235" s="15"/>
      <c r="UFE235" s="15"/>
      <c r="UFF235" s="15"/>
      <c r="UFG235" s="10"/>
      <c r="UFH235" s="10"/>
      <c r="UFI235" s="21"/>
      <c r="UFJ235" s="21"/>
      <c r="UFM235" s="21"/>
      <c r="UFN235" s="15"/>
      <c r="UFO235" s="15"/>
      <c r="UFP235" s="15"/>
      <c r="UFQ235" s="15"/>
      <c r="UFR235" s="15"/>
      <c r="UFS235" s="15"/>
      <c r="UFT235" s="15"/>
      <c r="UFU235" s="15"/>
      <c r="UFV235" s="15"/>
      <c r="UFW235" s="15"/>
      <c r="UFX235" s="10"/>
      <c r="UFY235" s="10"/>
      <c r="UFZ235" s="21"/>
      <c r="UGA235" s="21"/>
      <c r="UGD235" s="21"/>
      <c r="UGE235" s="15"/>
      <c r="UGF235" s="15"/>
      <c r="UGG235" s="15"/>
      <c r="UGH235" s="15"/>
      <c r="UGI235" s="15"/>
      <c r="UGJ235" s="15"/>
      <c r="UGK235" s="15"/>
      <c r="UGL235" s="15"/>
      <c r="UGM235" s="15"/>
      <c r="UGN235" s="15"/>
      <c r="UGO235" s="10"/>
      <c r="UGP235" s="10"/>
      <c r="UGQ235" s="21"/>
      <c r="UGR235" s="21"/>
      <c r="UGU235" s="21"/>
      <c r="UGV235" s="15"/>
      <c r="UGW235" s="15"/>
      <c r="UGX235" s="15"/>
      <c r="UGY235" s="15"/>
      <c r="UGZ235" s="15"/>
      <c r="UHA235" s="15"/>
      <c r="UHB235" s="15"/>
      <c r="UHC235" s="15"/>
      <c r="UHD235" s="15"/>
      <c r="UHE235" s="15"/>
      <c r="UHF235" s="10"/>
      <c r="UHG235" s="10"/>
      <c r="UHH235" s="21"/>
      <c r="UHI235" s="21"/>
      <c r="UHL235" s="21"/>
      <c r="UHM235" s="15"/>
      <c r="UHN235" s="15"/>
      <c r="UHO235" s="15"/>
      <c r="UHP235" s="15"/>
      <c r="UHQ235" s="15"/>
      <c r="UHR235" s="15"/>
      <c r="UHS235" s="15"/>
      <c r="UHT235" s="15"/>
      <c r="UHU235" s="15"/>
      <c r="UHV235" s="15"/>
      <c r="UHW235" s="10"/>
      <c r="UHX235" s="10"/>
      <c r="UHY235" s="21"/>
      <c r="UHZ235" s="21"/>
      <c r="UIC235" s="21"/>
      <c r="UID235" s="15"/>
      <c r="UIE235" s="15"/>
      <c r="UIF235" s="15"/>
      <c r="UIG235" s="15"/>
      <c r="UIH235" s="15"/>
      <c r="UII235" s="15"/>
      <c r="UIJ235" s="15"/>
      <c r="UIK235" s="15"/>
      <c r="UIL235" s="15"/>
      <c r="UIM235" s="15"/>
      <c r="UIN235" s="10"/>
      <c r="UIO235" s="10"/>
      <c r="UIP235" s="21"/>
      <c r="UIQ235" s="21"/>
      <c r="UIT235" s="21"/>
      <c r="UIU235" s="15"/>
      <c r="UIV235" s="15"/>
      <c r="UIW235" s="15"/>
      <c r="UIX235" s="15"/>
      <c r="UIY235" s="15"/>
      <c r="UIZ235" s="15"/>
      <c r="UJA235" s="15"/>
      <c r="UJB235" s="15"/>
      <c r="UJC235" s="15"/>
      <c r="UJD235" s="15"/>
      <c r="UJE235" s="10"/>
      <c r="UJF235" s="10"/>
      <c r="UJG235" s="21"/>
      <c r="UJH235" s="21"/>
      <c r="UJK235" s="21"/>
      <c r="UJL235" s="15"/>
      <c r="UJM235" s="15"/>
      <c r="UJN235" s="15"/>
      <c r="UJO235" s="15"/>
      <c r="UJP235" s="15"/>
      <c r="UJQ235" s="15"/>
      <c r="UJR235" s="15"/>
      <c r="UJS235" s="15"/>
      <c r="UJT235" s="15"/>
      <c r="UJU235" s="15"/>
      <c r="UJV235" s="10"/>
      <c r="UJW235" s="10"/>
      <c r="UJX235" s="21"/>
      <c r="UJY235" s="21"/>
      <c r="UKB235" s="21"/>
      <c r="UKC235" s="15"/>
      <c r="UKD235" s="15"/>
      <c r="UKE235" s="15"/>
      <c r="UKF235" s="15"/>
      <c r="UKG235" s="15"/>
      <c r="UKH235" s="15"/>
      <c r="UKI235" s="15"/>
      <c r="UKJ235" s="15"/>
      <c r="UKK235" s="15"/>
      <c r="UKL235" s="15"/>
      <c r="UKM235" s="10"/>
      <c r="UKN235" s="10"/>
      <c r="UKO235" s="21"/>
      <c r="UKP235" s="21"/>
      <c r="UKS235" s="21"/>
      <c r="UKT235" s="15"/>
      <c r="UKU235" s="15"/>
      <c r="UKV235" s="15"/>
      <c r="UKW235" s="15"/>
      <c r="UKX235" s="15"/>
      <c r="UKY235" s="15"/>
      <c r="UKZ235" s="15"/>
      <c r="ULA235" s="15"/>
      <c r="ULB235" s="15"/>
      <c r="ULC235" s="15"/>
      <c r="ULD235" s="10"/>
      <c r="ULE235" s="10"/>
      <c r="ULF235" s="21"/>
      <c r="ULG235" s="21"/>
      <c r="ULJ235" s="21"/>
      <c r="ULK235" s="15"/>
      <c r="ULL235" s="15"/>
      <c r="ULM235" s="15"/>
      <c r="ULN235" s="15"/>
      <c r="ULO235" s="15"/>
      <c r="ULP235" s="15"/>
      <c r="ULQ235" s="15"/>
      <c r="ULR235" s="15"/>
      <c r="ULS235" s="15"/>
      <c r="ULT235" s="15"/>
      <c r="ULU235" s="10"/>
      <c r="ULV235" s="10"/>
      <c r="ULW235" s="21"/>
      <c r="ULX235" s="21"/>
      <c r="UMA235" s="21"/>
      <c r="UMB235" s="15"/>
      <c r="UMC235" s="15"/>
      <c r="UMD235" s="15"/>
      <c r="UME235" s="15"/>
      <c r="UMF235" s="15"/>
      <c r="UMG235" s="15"/>
      <c r="UMH235" s="15"/>
      <c r="UMI235" s="15"/>
      <c r="UMJ235" s="15"/>
      <c r="UMK235" s="15"/>
      <c r="UML235" s="10"/>
      <c r="UMM235" s="10"/>
      <c r="UMN235" s="21"/>
      <c r="UMO235" s="21"/>
      <c r="UMR235" s="21"/>
      <c r="UMS235" s="15"/>
      <c r="UMT235" s="15"/>
      <c r="UMU235" s="15"/>
      <c r="UMV235" s="15"/>
      <c r="UMW235" s="15"/>
      <c r="UMX235" s="15"/>
      <c r="UMY235" s="15"/>
      <c r="UMZ235" s="15"/>
      <c r="UNA235" s="15"/>
      <c r="UNB235" s="15"/>
      <c r="UNC235" s="10"/>
      <c r="UND235" s="10"/>
      <c r="UNE235" s="21"/>
      <c r="UNF235" s="21"/>
      <c r="UNI235" s="21"/>
      <c r="UNJ235" s="15"/>
      <c r="UNK235" s="15"/>
      <c r="UNL235" s="15"/>
      <c r="UNM235" s="15"/>
      <c r="UNN235" s="15"/>
      <c r="UNO235" s="15"/>
      <c r="UNP235" s="15"/>
      <c r="UNQ235" s="15"/>
      <c r="UNR235" s="15"/>
      <c r="UNS235" s="15"/>
      <c r="UNT235" s="10"/>
      <c r="UNU235" s="10"/>
      <c r="UNV235" s="21"/>
      <c r="UNW235" s="21"/>
      <c r="UNZ235" s="21"/>
      <c r="UOA235" s="15"/>
      <c r="UOB235" s="15"/>
      <c r="UOC235" s="15"/>
      <c r="UOD235" s="15"/>
      <c r="UOE235" s="15"/>
      <c r="UOF235" s="15"/>
      <c r="UOG235" s="15"/>
      <c r="UOH235" s="15"/>
      <c r="UOI235" s="15"/>
      <c r="UOJ235" s="15"/>
      <c r="UOK235" s="10"/>
      <c r="UOL235" s="10"/>
      <c r="UOM235" s="21"/>
      <c r="UON235" s="21"/>
      <c r="UOQ235" s="21"/>
      <c r="UOR235" s="15"/>
      <c r="UOS235" s="15"/>
      <c r="UOT235" s="15"/>
      <c r="UOU235" s="15"/>
      <c r="UOV235" s="15"/>
      <c r="UOW235" s="15"/>
      <c r="UOX235" s="15"/>
      <c r="UOY235" s="15"/>
      <c r="UOZ235" s="15"/>
      <c r="UPA235" s="15"/>
      <c r="UPB235" s="10"/>
      <c r="UPC235" s="10"/>
      <c r="UPD235" s="21"/>
      <c r="UPE235" s="21"/>
      <c r="UPH235" s="21"/>
      <c r="UPI235" s="15"/>
      <c r="UPJ235" s="15"/>
      <c r="UPK235" s="15"/>
      <c r="UPL235" s="15"/>
      <c r="UPM235" s="15"/>
      <c r="UPN235" s="15"/>
      <c r="UPO235" s="15"/>
      <c r="UPP235" s="15"/>
      <c r="UPQ235" s="15"/>
      <c r="UPR235" s="15"/>
      <c r="UPS235" s="10"/>
      <c r="UPT235" s="10"/>
      <c r="UPU235" s="21"/>
      <c r="UPV235" s="21"/>
      <c r="UPY235" s="21"/>
      <c r="UPZ235" s="15"/>
      <c r="UQA235" s="15"/>
      <c r="UQB235" s="15"/>
      <c r="UQC235" s="15"/>
      <c r="UQD235" s="15"/>
      <c r="UQE235" s="15"/>
      <c r="UQF235" s="15"/>
      <c r="UQG235" s="15"/>
      <c r="UQH235" s="15"/>
      <c r="UQI235" s="15"/>
      <c r="UQJ235" s="10"/>
      <c r="UQK235" s="10"/>
      <c r="UQL235" s="21"/>
      <c r="UQM235" s="21"/>
      <c r="UQP235" s="21"/>
      <c r="UQQ235" s="15"/>
      <c r="UQR235" s="15"/>
      <c r="UQS235" s="15"/>
      <c r="UQT235" s="15"/>
      <c r="UQU235" s="15"/>
      <c r="UQV235" s="15"/>
      <c r="UQW235" s="15"/>
      <c r="UQX235" s="15"/>
      <c r="UQY235" s="15"/>
      <c r="UQZ235" s="15"/>
      <c r="URA235" s="10"/>
      <c r="URB235" s="10"/>
      <c r="URC235" s="21"/>
      <c r="URD235" s="21"/>
      <c r="URG235" s="21"/>
      <c r="URH235" s="15"/>
      <c r="URI235" s="15"/>
      <c r="URJ235" s="15"/>
      <c r="URK235" s="15"/>
      <c r="URL235" s="15"/>
      <c r="URM235" s="15"/>
      <c r="URN235" s="15"/>
      <c r="URO235" s="15"/>
      <c r="URP235" s="15"/>
      <c r="URQ235" s="15"/>
      <c r="URR235" s="10"/>
      <c r="URS235" s="10"/>
      <c r="URT235" s="21"/>
      <c r="URU235" s="21"/>
      <c r="URX235" s="21"/>
      <c r="URY235" s="15"/>
      <c r="URZ235" s="15"/>
      <c r="USA235" s="15"/>
      <c r="USB235" s="15"/>
      <c r="USC235" s="15"/>
      <c r="USD235" s="15"/>
      <c r="USE235" s="15"/>
      <c r="USF235" s="15"/>
      <c r="USG235" s="15"/>
      <c r="USH235" s="15"/>
      <c r="USI235" s="10"/>
      <c r="USJ235" s="10"/>
      <c r="USK235" s="21"/>
      <c r="USL235" s="21"/>
      <c r="USO235" s="21"/>
      <c r="USP235" s="15"/>
      <c r="USQ235" s="15"/>
      <c r="USR235" s="15"/>
      <c r="USS235" s="15"/>
      <c r="UST235" s="15"/>
      <c r="USU235" s="15"/>
      <c r="USV235" s="15"/>
      <c r="USW235" s="15"/>
      <c r="USX235" s="15"/>
      <c r="USY235" s="15"/>
      <c r="USZ235" s="10"/>
      <c r="UTA235" s="10"/>
      <c r="UTB235" s="21"/>
      <c r="UTC235" s="21"/>
      <c r="UTF235" s="21"/>
      <c r="UTG235" s="15"/>
      <c r="UTH235" s="15"/>
      <c r="UTI235" s="15"/>
      <c r="UTJ235" s="15"/>
      <c r="UTK235" s="15"/>
      <c r="UTL235" s="15"/>
      <c r="UTM235" s="15"/>
      <c r="UTN235" s="15"/>
      <c r="UTO235" s="15"/>
      <c r="UTP235" s="15"/>
      <c r="UTQ235" s="10"/>
      <c r="UTR235" s="10"/>
      <c r="UTS235" s="21"/>
      <c r="UTT235" s="21"/>
      <c r="UTW235" s="21"/>
      <c r="UTX235" s="15"/>
      <c r="UTY235" s="15"/>
      <c r="UTZ235" s="15"/>
      <c r="UUA235" s="15"/>
      <c r="UUB235" s="15"/>
      <c r="UUC235" s="15"/>
      <c r="UUD235" s="15"/>
      <c r="UUE235" s="15"/>
      <c r="UUF235" s="15"/>
      <c r="UUG235" s="15"/>
      <c r="UUH235" s="10"/>
      <c r="UUI235" s="10"/>
      <c r="UUJ235" s="21"/>
      <c r="UUK235" s="21"/>
      <c r="UUN235" s="21"/>
      <c r="UUO235" s="15"/>
      <c r="UUP235" s="15"/>
      <c r="UUQ235" s="15"/>
      <c r="UUR235" s="15"/>
      <c r="UUS235" s="15"/>
      <c r="UUT235" s="15"/>
      <c r="UUU235" s="15"/>
      <c r="UUV235" s="15"/>
      <c r="UUW235" s="15"/>
      <c r="UUX235" s="15"/>
      <c r="UUY235" s="10"/>
      <c r="UUZ235" s="10"/>
      <c r="UVA235" s="21"/>
      <c r="UVB235" s="21"/>
      <c r="UVE235" s="21"/>
      <c r="UVF235" s="15"/>
      <c r="UVG235" s="15"/>
      <c r="UVH235" s="15"/>
      <c r="UVI235" s="15"/>
      <c r="UVJ235" s="15"/>
      <c r="UVK235" s="15"/>
      <c r="UVL235" s="15"/>
      <c r="UVM235" s="15"/>
      <c r="UVN235" s="15"/>
      <c r="UVO235" s="15"/>
      <c r="UVP235" s="10"/>
      <c r="UVQ235" s="10"/>
      <c r="UVR235" s="21"/>
      <c r="UVS235" s="21"/>
      <c r="UVV235" s="21"/>
      <c r="UVW235" s="15"/>
      <c r="UVX235" s="15"/>
      <c r="UVY235" s="15"/>
      <c r="UVZ235" s="15"/>
      <c r="UWA235" s="15"/>
      <c r="UWB235" s="15"/>
      <c r="UWC235" s="15"/>
      <c r="UWD235" s="15"/>
      <c r="UWE235" s="15"/>
      <c r="UWF235" s="15"/>
      <c r="UWG235" s="10"/>
      <c r="UWH235" s="10"/>
      <c r="UWI235" s="21"/>
      <c r="UWJ235" s="21"/>
      <c r="UWM235" s="21"/>
      <c r="UWN235" s="15"/>
      <c r="UWO235" s="15"/>
      <c r="UWP235" s="15"/>
      <c r="UWQ235" s="15"/>
      <c r="UWR235" s="15"/>
      <c r="UWS235" s="15"/>
      <c r="UWT235" s="15"/>
      <c r="UWU235" s="15"/>
      <c r="UWV235" s="15"/>
      <c r="UWW235" s="15"/>
      <c r="UWX235" s="10"/>
      <c r="UWY235" s="10"/>
      <c r="UWZ235" s="21"/>
      <c r="UXA235" s="21"/>
      <c r="UXD235" s="21"/>
      <c r="UXE235" s="15"/>
      <c r="UXF235" s="15"/>
      <c r="UXG235" s="15"/>
      <c r="UXH235" s="15"/>
      <c r="UXI235" s="15"/>
      <c r="UXJ235" s="15"/>
      <c r="UXK235" s="15"/>
      <c r="UXL235" s="15"/>
      <c r="UXM235" s="15"/>
      <c r="UXN235" s="15"/>
      <c r="UXO235" s="10"/>
      <c r="UXP235" s="10"/>
      <c r="UXQ235" s="21"/>
      <c r="UXR235" s="21"/>
      <c r="UXU235" s="21"/>
      <c r="UXV235" s="15"/>
      <c r="UXW235" s="15"/>
      <c r="UXX235" s="15"/>
      <c r="UXY235" s="15"/>
      <c r="UXZ235" s="15"/>
      <c r="UYA235" s="15"/>
      <c r="UYB235" s="15"/>
      <c r="UYC235" s="15"/>
      <c r="UYD235" s="15"/>
      <c r="UYE235" s="15"/>
      <c r="UYF235" s="10"/>
      <c r="UYG235" s="10"/>
      <c r="UYH235" s="21"/>
      <c r="UYI235" s="21"/>
      <c r="UYL235" s="21"/>
      <c r="UYM235" s="15"/>
      <c r="UYN235" s="15"/>
      <c r="UYO235" s="15"/>
      <c r="UYP235" s="15"/>
      <c r="UYQ235" s="15"/>
      <c r="UYR235" s="15"/>
      <c r="UYS235" s="15"/>
      <c r="UYT235" s="15"/>
      <c r="UYU235" s="15"/>
      <c r="UYV235" s="15"/>
      <c r="UYW235" s="10"/>
      <c r="UYX235" s="10"/>
      <c r="UYY235" s="21"/>
      <c r="UYZ235" s="21"/>
      <c r="UZC235" s="21"/>
      <c r="UZD235" s="15"/>
      <c r="UZE235" s="15"/>
      <c r="UZF235" s="15"/>
      <c r="UZG235" s="15"/>
      <c r="UZH235" s="15"/>
      <c r="UZI235" s="15"/>
      <c r="UZJ235" s="15"/>
      <c r="UZK235" s="15"/>
      <c r="UZL235" s="15"/>
      <c r="UZM235" s="15"/>
      <c r="UZN235" s="10"/>
      <c r="UZO235" s="10"/>
      <c r="UZP235" s="21"/>
      <c r="UZQ235" s="21"/>
      <c r="UZT235" s="21"/>
      <c r="UZU235" s="15"/>
      <c r="UZV235" s="15"/>
      <c r="UZW235" s="15"/>
      <c r="UZX235" s="15"/>
      <c r="UZY235" s="15"/>
      <c r="UZZ235" s="15"/>
      <c r="VAA235" s="15"/>
      <c r="VAB235" s="15"/>
      <c r="VAC235" s="15"/>
      <c r="VAD235" s="15"/>
      <c r="VAE235" s="10"/>
      <c r="VAF235" s="10"/>
      <c r="VAG235" s="21"/>
      <c r="VAH235" s="21"/>
      <c r="VAK235" s="21"/>
      <c r="VAL235" s="15"/>
      <c r="VAM235" s="15"/>
      <c r="VAN235" s="15"/>
      <c r="VAO235" s="15"/>
      <c r="VAP235" s="15"/>
      <c r="VAQ235" s="15"/>
      <c r="VAR235" s="15"/>
      <c r="VAS235" s="15"/>
      <c r="VAT235" s="15"/>
      <c r="VAU235" s="15"/>
      <c r="VAV235" s="10"/>
      <c r="VAW235" s="10"/>
      <c r="VAX235" s="21"/>
      <c r="VAY235" s="21"/>
      <c r="VBB235" s="21"/>
      <c r="VBC235" s="15"/>
      <c r="VBD235" s="15"/>
      <c r="VBE235" s="15"/>
      <c r="VBF235" s="15"/>
      <c r="VBG235" s="15"/>
      <c r="VBH235" s="15"/>
      <c r="VBI235" s="15"/>
      <c r="VBJ235" s="15"/>
      <c r="VBK235" s="15"/>
      <c r="VBL235" s="15"/>
      <c r="VBM235" s="10"/>
      <c r="VBN235" s="10"/>
      <c r="VBO235" s="21"/>
      <c r="VBP235" s="21"/>
      <c r="VBS235" s="21"/>
      <c r="VBT235" s="15"/>
      <c r="VBU235" s="15"/>
      <c r="VBV235" s="15"/>
      <c r="VBW235" s="15"/>
      <c r="VBX235" s="15"/>
      <c r="VBY235" s="15"/>
      <c r="VBZ235" s="15"/>
      <c r="VCA235" s="15"/>
      <c r="VCB235" s="15"/>
      <c r="VCC235" s="15"/>
      <c r="VCD235" s="10"/>
      <c r="VCE235" s="10"/>
      <c r="VCF235" s="21"/>
      <c r="VCG235" s="21"/>
      <c r="VCJ235" s="21"/>
      <c r="VCK235" s="15"/>
      <c r="VCL235" s="15"/>
      <c r="VCM235" s="15"/>
      <c r="VCN235" s="15"/>
      <c r="VCO235" s="15"/>
      <c r="VCP235" s="15"/>
      <c r="VCQ235" s="15"/>
      <c r="VCR235" s="15"/>
      <c r="VCS235" s="15"/>
      <c r="VCT235" s="15"/>
      <c r="VCU235" s="10"/>
      <c r="VCV235" s="10"/>
      <c r="VCW235" s="21"/>
      <c r="VCX235" s="21"/>
      <c r="VDA235" s="21"/>
      <c r="VDB235" s="15"/>
      <c r="VDC235" s="15"/>
      <c r="VDD235" s="15"/>
      <c r="VDE235" s="15"/>
      <c r="VDF235" s="15"/>
      <c r="VDG235" s="15"/>
      <c r="VDH235" s="15"/>
      <c r="VDI235" s="15"/>
      <c r="VDJ235" s="15"/>
      <c r="VDK235" s="15"/>
      <c r="VDL235" s="10"/>
      <c r="VDM235" s="10"/>
      <c r="VDN235" s="21"/>
      <c r="VDO235" s="21"/>
      <c r="VDR235" s="21"/>
      <c r="VDS235" s="15"/>
      <c r="VDT235" s="15"/>
      <c r="VDU235" s="15"/>
      <c r="VDV235" s="15"/>
      <c r="VDW235" s="15"/>
      <c r="VDX235" s="15"/>
      <c r="VDY235" s="15"/>
      <c r="VDZ235" s="15"/>
      <c r="VEA235" s="15"/>
      <c r="VEB235" s="15"/>
      <c r="VEC235" s="10"/>
      <c r="VED235" s="10"/>
      <c r="VEE235" s="21"/>
      <c r="VEF235" s="21"/>
      <c r="VEI235" s="21"/>
      <c r="VEJ235" s="15"/>
      <c r="VEK235" s="15"/>
      <c r="VEL235" s="15"/>
      <c r="VEM235" s="15"/>
      <c r="VEN235" s="15"/>
      <c r="VEO235" s="15"/>
      <c r="VEP235" s="15"/>
      <c r="VEQ235" s="15"/>
      <c r="VER235" s="15"/>
      <c r="VES235" s="15"/>
      <c r="VET235" s="10"/>
      <c r="VEU235" s="10"/>
      <c r="VEV235" s="21"/>
      <c r="VEW235" s="21"/>
      <c r="VEZ235" s="21"/>
      <c r="VFA235" s="15"/>
      <c r="VFB235" s="15"/>
      <c r="VFC235" s="15"/>
      <c r="VFD235" s="15"/>
      <c r="VFE235" s="15"/>
      <c r="VFF235" s="15"/>
      <c r="VFG235" s="15"/>
      <c r="VFH235" s="15"/>
      <c r="VFI235" s="15"/>
      <c r="VFJ235" s="15"/>
      <c r="VFK235" s="10"/>
      <c r="VFL235" s="10"/>
      <c r="VFM235" s="21"/>
      <c r="VFN235" s="21"/>
      <c r="VFQ235" s="21"/>
      <c r="VFR235" s="15"/>
      <c r="VFS235" s="15"/>
      <c r="VFT235" s="15"/>
      <c r="VFU235" s="15"/>
      <c r="VFV235" s="15"/>
      <c r="VFW235" s="15"/>
      <c r="VFX235" s="15"/>
      <c r="VFY235" s="15"/>
      <c r="VFZ235" s="15"/>
      <c r="VGA235" s="15"/>
      <c r="VGB235" s="10"/>
      <c r="VGC235" s="10"/>
      <c r="VGD235" s="21"/>
      <c r="VGE235" s="21"/>
      <c r="VGH235" s="21"/>
      <c r="VGI235" s="15"/>
      <c r="VGJ235" s="15"/>
      <c r="VGK235" s="15"/>
      <c r="VGL235" s="15"/>
      <c r="VGM235" s="15"/>
      <c r="VGN235" s="15"/>
      <c r="VGO235" s="15"/>
      <c r="VGP235" s="15"/>
      <c r="VGQ235" s="15"/>
      <c r="VGR235" s="15"/>
      <c r="VGS235" s="10"/>
      <c r="VGT235" s="10"/>
      <c r="VGU235" s="21"/>
      <c r="VGV235" s="21"/>
      <c r="VGY235" s="21"/>
      <c r="VGZ235" s="15"/>
      <c r="VHA235" s="15"/>
      <c r="VHB235" s="15"/>
      <c r="VHC235" s="15"/>
      <c r="VHD235" s="15"/>
      <c r="VHE235" s="15"/>
      <c r="VHF235" s="15"/>
      <c r="VHG235" s="15"/>
      <c r="VHH235" s="15"/>
      <c r="VHI235" s="15"/>
      <c r="VHJ235" s="10"/>
      <c r="VHK235" s="10"/>
      <c r="VHL235" s="21"/>
      <c r="VHM235" s="21"/>
      <c r="VHP235" s="21"/>
      <c r="VHQ235" s="15"/>
      <c r="VHR235" s="15"/>
      <c r="VHS235" s="15"/>
      <c r="VHT235" s="15"/>
      <c r="VHU235" s="15"/>
      <c r="VHV235" s="15"/>
      <c r="VHW235" s="15"/>
      <c r="VHX235" s="15"/>
      <c r="VHY235" s="15"/>
      <c r="VHZ235" s="15"/>
      <c r="VIA235" s="10"/>
      <c r="VIB235" s="10"/>
      <c r="VIC235" s="21"/>
      <c r="VID235" s="21"/>
      <c r="VIG235" s="21"/>
      <c r="VIH235" s="15"/>
      <c r="VII235" s="15"/>
      <c r="VIJ235" s="15"/>
      <c r="VIK235" s="15"/>
      <c r="VIL235" s="15"/>
      <c r="VIM235" s="15"/>
      <c r="VIN235" s="15"/>
      <c r="VIO235" s="15"/>
      <c r="VIP235" s="15"/>
      <c r="VIQ235" s="15"/>
      <c r="VIR235" s="10"/>
      <c r="VIS235" s="10"/>
      <c r="VIT235" s="21"/>
      <c r="VIU235" s="21"/>
      <c r="VIX235" s="21"/>
      <c r="VIY235" s="15"/>
      <c r="VIZ235" s="15"/>
      <c r="VJA235" s="15"/>
      <c r="VJB235" s="15"/>
      <c r="VJC235" s="15"/>
      <c r="VJD235" s="15"/>
      <c r="VJE235" s="15"/>
      <c r="VJF235" s="15"/>
      <c r="VJG235" s="15"/>
      <c r="VJH235" s="15"/>
      <c r="VJI235" s="10"/>
      <c r="VJJ235" s="10"/>
      <c r="VJK235" s="21"/>
      <c r="VJL235" s="21"/>
      <c r="VJO235" s="21"/>
      <c r="VJP235" s="15"/>
      <c r="VJQ235" s="15"/>
      <c r="VJR235" s="15"/>
      <c r="VJS235" s="15"/>
      <c r="VJT235" s="15"/>
      <c r="VJU235" s="15"/>
      <c r="VJV235" s="15"/>
      <c r="VJW235" s="15"/>
      <c r="VJX235" s="15"/>
      <c r="VJY235" s="15"/>
      <c r="VJZ235" s="10"/>
      <c r="VKA235" s="10"/>
      <c r="VKB235" s="21"/>
      <c r="VKC235" s="21"/>
      <c r="VKF235" s="21"/>
      <c r="VKG235" s="15"/>
      <c r="VKH235" s="15"/>
      <c r="VKI235" s="15"/>
      <c r="VKJ235" s="15"/>
      <c r="VKK235" s="15"/>
      <c r="VKL235" s="15"/>
      <c r="VKM235" s="15"/>
      <c r="VKN235" s="15"/>
      <c r="VKO235" s="15"/>
      <c r="VKP235" s="15"/>
      <c r="VKQ235" s="10"/>
      <c r="VKR235" s="10"/>
      <c r="VKS235" s="21"/>
      <c r="VKT235" s="21"/>
      <c r="VKW235" s="21"/>
      <c r="VKX235" s="15"/>
      <c r="VKY235" s="15"/>
      <c r="VKZ235" s="15"/>
      <c r="VLA235" s="15"/>
      <c r="VLB235" s="15"/>
      <c r="VLC235" s="15"/>
      <c r="VLD235" s="15"/>
      <c r="VLE235" s="15"/>
      <c r="VLF235" s="15"/>
      <c r="VLG235" s="15"/>
      <c r="VLH235" s="10"/>
      <c r="VLI235" s="10"/>
      <c r="VLJ235" s="21"/>
      <c r="VLK235" s="21"/>
      <c r="VLN235" s="21"/>
      <c r="VLO235" s="15"/>
      <c r="VLP235" s="15"/>
      <c r="VLQ235" s="15"/>
      <c r="VLR235" s="15"/>
      <c r="VLS235" s="15"/>
      <c r="VLT235" s="15"/>
      <c r="VLU235" s="15"/>
      <c r="VLV235" s="15"/>
      <c r="VLW235" s="15"/>
      <c r="VLX235" s="15"/>
      <c r="VLY235" s="10"/>
      <c r="VLZ235" s="10"/>
      <c r="VMA235" s="21"/>
      <c r="VMB235" s="21"/>
      <c r="VME235" s="21"/>
      <c r="VMF235" s="15"/>
      <c r="VMG235" s="15"/>
      <c r="VMH235" s="15"/>
      <c r="VMI235" s="15"/>
      <c r="VMJ235" s="15"/>
      <c r="VMK235" s="15"/>
      <c r="VML235" s="15"/>
      <c r="VMM235" s="15"/>
      <c r="VMN235" s="15"/>
      <c r="VMO235" s="15"/>
      <c r="VMP235" s="10"/>
      <c r="VMQ235" s="10"/>
      <c r="VMR235" s="21"/>
      <c r="VMS235" s="21"/>
      <c r="VMV235" s="21"/>
      <c r="VMW235" s="15"/>
      <c r="VMX235" s="15"/>
      <c r="VMY235" s="15"/>
      <c r="VMZ235" s="15"/>
      <c r="VNA235" s="15"/>
      <c r="VNB235" s="15"/>
      <c r="VNC235" s="15"/>
      <c r="VND235" s="15"/>
      <c r="VNE235" s="15"/>
      <c r="VNF235" s="15"/>
      <c r="VNG235" s="10"/>
      <c r="VNH235" s="10"/>
      <c r="VNI235" s="21"/>
      <c r="VNJ235" s="21"/>
      <c r="VNM235" s="21"/>
      <c r="VNN235" s="15"/>
      <c r="VNO235" s="15"/>
      <c r="VNP235" s="15"/>
      <c r="VNQ235" s="15"/>
      <c r="VNR235" s="15"/>
      <c r="VNS235" s="15"/>
      <c r="VNT235" s="15"/>
      <c r="VNU235" s="15"/>
      <c r="VNV235" s="15"/>
      <c r="VNW235" s="15"/>
      <c r="VNX235" s="10"/>
      <c r="VNY235" s="10"/>
      <c r="VNZ235" s="21"/>
      <c r="VOA235" s="21"/>
      <c r="VOD235" s="21"/>
      <c r="VOE235" s="15"/>
      <c r="VOF235" s="15"/>
      <c r="VOG235" s="15"/>
      <c r="VOH235" s="15"/>
      <c r="VOI235" s="15"/>
      <c r="VOJ235" s="15"/>
      <c r="VOK235" s="15"/>
      <c r="VOL235" s="15"/>
      <c r="VOM235" s="15"/>
      <c r="VON235" s="15"/>
      <c r="VOO235" s="10"/>
      <c r="VOP235" s="10"/>
      <c r="VOQ235" s="21"/>
      <c r="VOR235" s="21"/>
      <c r="VOU235" s="21"/>
      <c r="VOV235" s="15"/>
      <c r="VOW235" s="15"/>
      <c r="VOX235" s="15"/>
      <c r="VOY235" s="15"/>
      <c r="VOZ235" s="15"/>
      <c r="VPA235" s="15"/>
      <c r="VPB235" s="15"/>
      <c r="VPC235" s="15"/>
      <c r="VPD235" s="15"/>
      <c r="VPE235" s="15"/>
      <c r="VPF235" s="10"/>
      <c r="VPG235" s="10"/>
      <c r="VPH235" s="21"/>
      <c r="VPI235" s="21"/>
      <c r="VPL235" s="21"/>
      <c r="VPM235" s="15"/>
      <c r="VPN235" s="15"/>
      <c r="VPO235" s="15"/>
      <c r="VPP235" s="15"/>
      <c r="VPQ235" s="15"/>
      <c r="VPR235" s="15"/>
      <c r="VPS235" s="15"/>
      <c r="VPT235" s="15"/>
      <c r="VPU235" s="15"/>
      <c r="VPV235" s="15"/>
      <c r="VPW235" s="10"/>
      <c r="VPX235" s="10"/>
      <c r="VPY235" s="21"/>
      <c r="VPZ235" s="21"/>
      <c r="VQC235" s="21"/>
      <c r="VQD235" s="15"/>
      <c r="VQE235" s="15"/>
      <c r="VQF235" s="15"/>
      <c r="VQG235" s="15"/>
      <c r="VQH235" s="15"/>
      <c r="VQI235" s="15"/>
      <c r="VQJ235" s="15"/>
      <c r="VQK235" s="15"/>
      <c r="VQL235" s="15"/>
      <c r="VQM235" s="15"/>
      <c r="VQN235" s="10"/>
      <c r="VQO235" s="10"/>
      <c r="VQP235" s="21"/>
      <c r="VQQ235" s="21"/>
      <c r="VQT235" s="21"/>
      <c r="VQU235" s="15"/>
      <c r="VQV235" s="15"/>
      <c r="VQW235" s="15"/>
      <c r="VQX235" s="15"/>
      <c r="VQY235" s="15"/>
      <c r="VQZ235" s="15"/>
      <c r="VRA235" s="15"/>
      <c r="VRB235" s="15"/>
      <c r="VRC235" s="15"/>
      <c r="VRD235" s="15"/>
      <c r="VRE235" s="10"/>
      <c r="VRF235" s="10"/>
      <c r="VRG235" s="21"/>
      <c r="VRH235" s="21"/>
      <c r="VRK235" s="21"/>
      <c r="VRL235" s="15"/>
      <c r="VRM235" s="15"/>
      <c r="VRN235" s="15"/>
      <c r="VRO235" s="15"/>
      <c r="VRP235" s="15"/>
      <c r="VRQ235" s="15"/>
      <c r="VRR235" s="15"/>
      <c r="VRS235" s="15"/>
      <c r="VRT235" s="15"/>
      <c r="VRU235" s="15"/>
      <c r="VRV235" s="10"/>
      <c r="VRW235" s="10"/>
      <c r="VRX235" s="21"/>
      <c r="VRY235" s="21"/>
      <c r="VSB235" s="21"/>
      <c r="VSC235" s="15"/>
      <c r="VSD235" s="15"/>
      <c r="VSE235" s="15"/>
      <c r="VSF235" s="15"/>
      <c r="VSG235" s="15"/>
      <c r="VSH235" s="15"/>
      <c r="VSI235" s="15"/>
      <c r="VSJ235" s="15"/>
      <c r="VSK235" s="15"/>
      <c r="VSL235" s="15"/>
      <c r="VSM235" s="10"/>
      <c r="VSN235" s="10"/>
      <c r="VSO235" s="21"/>
      <c r="VSP235" s="21"/>
      <c r="VSS235" s="21"/>
      <c r="VST235" s="15"/>
      <c r="VSU235" s="15"/>
      <c r="VSV235" s="15"/>
      <c r="VSW235" s="15"/>
      <c r="VSX235" s="15"/>
      <c r="VSY235" s="15"/>
      <c r="VSZ235" s="15"/>
      <c r="VTA235" s="15"/>
      <c r="VTB235" s="15"/>
      <c r="VTC235" s="15"/>
      <c r="VTD235" s="10"/>
      <c r="VTE235" s="10"/>
      <c r="VTF235" s="21"/>
      <c r="VTG235" s="21"/>
      <c r="VTJ235" s="21"/>
      <c r="VTK235" s="15"/>
      <c r="VTL235" s="15"/>
      <c r="VTM235" s="15"/>
      <c r="VTN235" s="15"/>
      <c r="VTO235" s="15"/>
      <c r="VTP235" s="15"/>
      <c r="VTQ235" s="15"/>
      <c r="VTR235" s="15"/>
      <c r="VTS235" s="15"/>
      <c r="VTT235" s="15"/>
      <c r="VTU235" s="10"/>
      <c r="VTV235" s="10"/>
      <c r="VTW235" s="21"/>
      <c r="VTX235" s="21"/>
      <c r="VUA235" s="21"/>
      <c r="VUB235" s="15"/>
      <c r="VUC235" s="15"/>
      <c r="VUD235" s="15"/>
      <c r="VUE235" s="15"/>
      <c r="VUF235" s="15"/>
      <c r="VUG235" s="15"/>
      <c r="VUH235" s="15"/>
      <c r="VUI235" s="15"/>
      <c r="VUJ235" s="15"/>
      <c r="VUK235" s="15"/>
      <c r="VUL235" s="10"/>
      <c r="VUM235" s="10"/>
      <c r="VUN235" s="21"/>
      <c r="VUO235" s="21"/>
      <c r="VUR235" s="21"/>
      <c r="VUS235" s="15"/>
      <c r="VUT235" s="15"/>
      <c r="VUU235" s="15"/>
      <c r="VUV235" s="15"/>
      <c r="VUW235" s="15"/>
      <c r="VUX235" s="15"/>
      <c r="VUY235" s="15"/>
      <c r="VUZ235" s="15"/>
      <c r="VVA235" s="15"/>
      <c r="VVB235" s="15"/>
      <c r="VVC235" s="10"/>
      <c r="VVD235" s="10"/>
      <c r="VVE235" s="21"/>
      <c r="VVF235" s="21"/>
      <c r="VVI235" s="21"/>
      <c r="VVJ235" s="15"/>
      <c r="VVK235" s="15"/>
      <c r="VVL235" s="15"/>
      <c r="VVM235" s="15"/>
      <c r="VVN235" s="15"/>
      <c r="VVO235" s="15"/>
      <c r="VVP235" s="15"/>
      <c r="VVQ235" s="15"/>
      <c r="VVR235" s="15"/>
      <c r="VVS235" s="15"/>
      <c r="VVT235" s="10"/>
      <c r="VVU235" s="10"/>
      <c r="VVV235" s="21"/>
      <c r="VVW235" s="21"/>
      <c r="VVZ235" s="21"/>
      <c r="VWA235" s="15"/>
      <c r="VWB235" s="15"/>
      <c r="VWC235" s="15"/>
      <c r="VWD235" s="15"/>
      <c r="VWE235" s="15"/>
      <c r="VWF235" s="15"/>
      <c r="VWG235" s="15"/>
      <c r="VWH235" s="15"/>
      <c r="VWI235" s="15"/>
      <c r="VWJ235" s="15"/>
      <c r="VWK235" s="10"/>
      <c r="VWL235" s="10"/>
      <c r="VWM235" s="21"/>
      <c r="VWN235" s="21"/>
      <c r="VWQ235" s="21"/>
      <c r="VWR235" s="15"/>
      <c r="VWS235" s="15"/>
      <c r="VWT235" s="15"/>
      <c r="VWU235" s="15"/>
      <c r="VWV235" s="15"/>
      <c r="VWW235" s="15"/>
      <c r="VWX235" s="15"/>
      <c r="VWY235" s="15"/>
      <c r="VWZ235" s="15"/>
      <c r="VXA235" s="15"/>
      <c r="VXB235" s="10"/>
      <c r="VXC235" s="10"/>
      <c r="VXD235" s="21"/>
      <c r="VXE235" s="21"/>
      <c r="VXH235" s="21"/>
      <c r="VXI235" s="15"/>
      <c r="VXJ235" s="15"/>
      <c r="VXK235" s="15"/>
      <c r="VXL235" s="15"/>
      <c r="VXM235" s="15"/>
      <c r="VXN235" s="15"/>
      <c r="VXO235" s="15"/>
      <c r="VXP235" s="15"/>
      <c r="VXQ235" s="15"/>
      <c r="VXR235" s="15"/>
      <c r="VXS235" s="10"/>
      <c r="VXT235" s="10"/>
      <c r="VXU235" s="21"/>
      <c r="VXV235" s="21"/>
      <c r="VXY235" s="21"/>
      <c r="VXZ235" s="15"/>
      <c r="VYA235" s="15"/>
      <c r="VYB235" s="15"/>
      <c r="VYC235" s="15"/>
      <c r="VYD235" s="15"/>
      <c r="VYE235" s="15"/>
      <c r="VYF235" s="15"/>
      <c r="VYG235" s="15"/>
      <c r="VYH235" s="15"/>
      <c r="VYI235" s="15"/>
      <c r="VYJ235" s="10"/>
      <c r="VYK235" s="10"/>
      <c r="VYL235" s="21"/>
      <c r="VYM235" s="21"/>
      <c r="VYP235" s="21"/>
      <c r="VYQ235" s="15"/>
      <c r="VYR235" s="15"/>
      <c r="VYS235" s="15"/>
      <c r="VYT235" s="15"/>
      <c r="VYU235" s="15"/>
      <c r="VYV235" s="15"/>
      <c r="VYW235" s="15"/>
      <c r="VYX235" s="15"/>
      <c r="VYY235" s="15"/>
      <c r="VYZ235" s="15"/>
      <c r="VZA235" s="10"/>
      <c r="VZB235" s="10"/>
      <c r="VZC235" s="21"/>
      <c r="VZD235" s="21"/>
      <c r="VZG235" s="21"/>
      <c r="VZH235" s="15"/>
      <c r="VZI235" s="15"/>
      <c r="VZJ235" s="15"/>
      <c r="VZK235" s="15"/>
      <c r="VZL235" s="15"/>
      <c r="VZM235" s="15"/>
      <c r="VZN235" s="15"/>
      <c r="VZO235" s="15"/>
      <c r="VZP235" s="15"/>
      <c r="VZQ235" s="15"/>
      <c r="VZR235" s="10"/>
      <c r="VZS235" s="10"/>
      <c r="VZT235" s="21"/>
      <c r="VZU235" s="21"/>
      <c r="VZX235" s="21"/>
      <c r="VZY235" s="15"/>
      <c r="VZZ235" s="15"/>
      <c r="WAA235" s="15"/>
      <c r="WAB235" s="15"/>
      <c r="WAC235" s="15"/>
      <c r="WAD235" s="15"/>
      <c r="WAE235" s="15"/>
      <c r="WAF235" s="15"/>
      <c r="WAG235" s="15"/>
      <c r="WAH235" s="15"/>
      <c r="WAI235" s="10"/>
      <c r="WAJ235" s="10"/>
      <c r="WAK235" s="21"/>
      <c r="WAL235" s="21"/>
      <c r="WAO235" s="21"/>
      <c r="WAP235" s="15"/>
      <c r="WAQ235" s="15"/>
      <c r="WAR235" s="15"/>
      <c r="WAS235" s="15"/>
      <c r="WAT235" s="15"/>
      <c r="WAU235" s="15"/>
      <c r="WAV235" s="15"/>
      <c r="WAW235" s="15"/>
      <c r="WAX235" s="15"/>
      <c r="WAY235" s="15"/>
      <c r="WAZ235" s="10"/>
      <c r="WBA235" s="10"/>
      <c r="WBB235" s="21"/>
      <c r="WBC235" s="21"/>
      <c r="WBF235" s="21"/>
      <c r="WBG235" s="15"/>
      <c r="WBH235" s="15"/>
      <c r="WBI235" s="15"/>
      <c r="WBJ235" s="15"/>
      <c r="WBK235" s="15"/>
      <c r="WBL235" s="15"/>
      <c r="WBM235" s="15"/>
      <c r="WBN235" s="15"/>
      <c r="WBO235" s="15"/>
      <c r="WBP235" s="15"/>
      <c r="WBQ235" s="10"/>
      <c r="WBR235" s="10"/>
      <c r="WBS235" s="21"/>
      <c r="WBT235" s="21"/>
      <c r="WBW235" s="21"/>
      <c r="WBX235" s="15"/>
      <c r="WBY235" s="15"/>
      <c r="WBZ235" s="15"/>
      <c r="WCA235" s="15"/>
      <c r="WCB235" s="15"/>
      <c r="WCC235" s="15"/>
      <c r="WCD235" s="15"/>
      <c r="WCE235" s="15"/>
      <c r="WCF235" s="15"/>
      <c r="WCG235" s="15"/>
      <c r="WCH235" s="10"/>
      <c r="WCI235" s="10"/>
      <c r="WCJ235" s="21"/>
      <c r="WCK235" s="21"/>
      <c r="WCN235" s="21"/>
      <c r="WCO235" s="15"/>
      <c r="WCP235" s="15"/>
      <c r="WCQ235" s="15"/>
      <c r="WCR235" s="15"/>
      <c r="WCS235" s="15"/>
      <c r="WCT235" s="15"/>
      <c r="WCU235" s="15"/>
      <c r="WCV235" s="15"/>
      <c r="WCW235" s="15"/>
      <c r="WCX235" s="15"/>
      <c r="WCY235" s="10"/>
      <c r="WCZ235" s="10"/>
      <c r="WDA235" s="21"/>
      <c r="WDB235" s="21"/>
      <c r="WDE235" s="21"/>
      <c r="WDF235" s="15"/>
      <c r="WDG235" s="15"/>
      <c r="WDH235" s="15"/>
      <c r="WDI235" s="15"/>
      <c r="WDJ235" s="15"/>
      <c r="WDK235" s="15"/>
      <c r="WDL235" s="15"/>
      <c r="WDM235" s="15"/>
      <c r="WDN235" s="15"/>
      <c r="WDO235" s="15"/>
      <c r="WDP235" s="10"/>
      <c r="WDQ235" s="10"/>
      <c r="WDR235" s="21"/>
      <c r="WDS235" s="21"/>
      <c r="WDV235" s="21"/>
      <c r="WDW235" s="15"/>
      <c r="WDX235" s="15"/>
      <c r="WDY235" s="15"/>
      <c r="WDZ235" s="15"/>
      <c r="WEA235" s="15"/>
      <c r="WEB235" s="15"/>
      <c r="WEC235" s="15"/>
      <c r="WED235" s="15"/>
      <c r="WEE235" s="15"/>
      <c r="WEF235" s="15"/>
      <c r="WEG235" s="10"/>
      <c r="WEH235" s="10"/>
      <c r="WEI235" s="21"/>
      <c r="WEJ235" s="21"/>
      <c r="WEM235" s="21"/>
      <c r="WEN235" s="15"/>
      <c r="WEO235" s="15"/>
      <c r="WEP235" s="15"/>
      <c r="WEQ235" s="15"/>
      <c r="WER235" s="15"/>
      <c r="WES235" s="15"/>
      <c r="WET235" s="15"/>
      <c r="WEU235" s="15"/>
      <c r="WEV235" s="15"/>
      <c r="WEW235" s="15"/>
      <c r="WEX235" s="10"/>
      <c r="WEY235" s="10"/>
      <c r="WEZ235" s="21"/>
      <c r="WFA235" s="21"/>
      <c r="WFD235" s="21"/>
      <c r="WFE235" s="15"/>
      <c r="WFF235" s="15"/>
      <c r="WFG235" s="15"/>
      <c r="WFH235" s="15"/>
      <c r="WFI235" s="15"/>
      <c r="WFJ235" s="15"/>
      <c r="WFK235" s="15"/>
      <c r="WFL235" s="15"/>
      <c r="WFM235" s="15"/>
      <c r="WFN235" s="15"/>
      <c r="WFO235" s="10"/>
      <c r="WFP235" s="10"/>
      <c r="WFQ235" s="21"/>
      <c r="WFR235" s="21"/>
      <c r="WFU235" s="21"/>
      <c r="WFV235" s="15"/>
      <c r="WFW235" s="15"/>
      <c r="WFX235" s="15"/>
      <c r="WFY235" s="15"/>
      <c r="WFZ235" s="15"/>
      <c r="WGA235" s="15"/>
      <c r="WGB235" s="15"/>
      <c r="WGC235" s="15"/>
      <c r="WGD235" s="15"/>
      <c r="WGE235" s="15"/>
      <c r="WGF235" s="10"/>
      <c r="WGG235" s="10"/>
      <c r="WGH235" s="21"/>
      <c r="WGI235" s="21"/>
      <c r="WGL235" s="21"/>
      <c r="WGM235" s="15"/>
      <c r="WGN235" s="15"/>
      <c r="WGO235" s="15"/>
      <c r="WGP235" s="15"/>
      <c r="WGQ235" s="15"/>
      <c r="WGR235" s="15"/>
      <c r="WGS235" s="15"/>
      <c r="WGT235" s="15"/>
      <c r="WGU235" s="15"/>
      <c r="WGV235" s="15"/>
      <c r="WGW235" s="10"/>
      <c r="WGX235" s="10"/>
      <c r="WGY235" s="21"/>
      <c r="WGZ235" s="21"/>
      <c r="WHC235" s="21"/>
      <c r="WHD235" s="15"/>
      <c r="WHE235" s="15"/>
      <c r="WHF235" s="15"/>
      <c r="WHG235" s="15"/>
      <c r="WHH235" s="15"/>
      <c r="WHI235" s="15"/>
      <c r="WHJ235" s="15"/>
      <c r="WHK235" s="15"/>
      <c r="WHL235" s="15"/>
      <c r="WHM235" s="15"/>
      <c r="WHN235" s="10"/>
      <c r="WHO235" s="10"/>
      <c r="WHP235" s="21"/>
      <c r="WHQ235" s="21"/>
      <c r="WHT235" s="21"/>
      <c r="WHU235" s="15"/>
      <c r="WHV235" s="15"/>
      <c r="WHW235" s="15"/>
      <c r="WHX235" s="15"/>
      <c r="WHY235" s="15"/>
      <c r="WHZ235" s="15"/>
      <c r="WIA235" s="15"/>
      <c r="WIB235" s="15"/>
      <c r="WIC235" s="15"/>
      <c r="WID235" s="15"/>
      <c r="WIE235" s="10"/>
      <c r="WIF235" s="10"/>
      <c r="WIG235" s="21"/>
      <c r="WIH235" s="21"/>
      <c r="WIK235" s="21"/>
      <c r="WIL235" s="15"/>
      <c r="WIM235" s="15"/>
      <c r="WIN235" s="15"/>
      <c r="WIO235" s="15"/>
      <c r="WIP235" s="15"/>
      <c r="WIQ235" s="15"/>
      <c r="WIR235" s="15"/>
      <c r="WIS235" s="15"/>
      <c r="WIT235" s="15"/>
      <c r="WIU235" s="15"/>
      <c r="WIV235" s="10"/>
      <c r="WIW235" s="10"/>
      <c r="WIX235" s="21"/>
      <c r="WIY235" s="21"/>
      <c r="WJB235" s="21"/>
      <c r="WJC235" s="15"/>
      <c r="WJD235" s="15"/>
      <c r="WJE235" s="15"/>
      <c r="WJF235" s="15"/>
      <c r="WJG235" s="15"/>
      <c r="WJH235" s="15"/>
      <c r="WJI235" s="15"/>
      <c r="WJJ235" s="15"/>
      <c r="WJK235" s="15"/>
      <c r="WJL235" s="15"/>
      <c r="WJM235" s="10"/>
      <c r="WJN235" s="10"/>
      <c r="WJO235" s="21"/>
      <c r="WJP235" s="21"/>
      <c r="WJS235" s="21"/>
      <c r="WJT235" s="15"/>
      <c r="WJU235" s="15"/>
      <c r="WJV235" s="15"/>
      <c r="WJW235" s="15"/>
      <c r="WJX235" s="15"/>
      <c r="WJY235" s="15"/>
      <c r="WJZ235" s="15"/>
      <c r="WKA235" s="15"/>
      <c r="WKB235" s="15"/>
      <c r="WKC235" s="15"/>
      <c r="WKD235" s="10"/>
      <c r="WKE235" s="10"/>
      <c r="WKF235" s="21"/>
      <c r="WKG235" s="21"/>
      <c r="WKJ235" s="21"/>
      <c r="WKK235" s="15"/>
      <c r="WKL235" s="15"/>
      <c r="WKM235" s="15"/>
      <c r="WKN235" s="15"/>
      <c r="WKO235" s="15"/>
      <c r="WKP235" s="15"/>
      <c r="WKQ235" s="15"/>
      <c r="WKR235" s="15"/>
      <c r="WKS235" s="15"/>
      <c r="WKT235" s="15"/>
      <c r="WKU235" s="10"/>
      <c r="WKV235" s="10"/>
      <c r="WKW235" s="21"/>
      <c r="WKX235" s="21"/>
      <c r="WLA235" s="21"/>
      <c r="WLB235" s="15"/>
      <c r="WLC235" s="15"/>
      <c r="WLD235" s="15"/>
      <c r="WLE235" s="15"/>
      <c r="WLF235" s="15"/>
      <c r="WLG235" s="15"/>
      <c r="WLH235" s="15"/>
      <c r="WLI235" s="15"/>
      <c r="WLJ235" s="15"/>
      <c r="WLK235" s="15"/>
      <c r="WLL235" s="10"/>
      <c r="WLM235" s="10"/>
      <c r="WLN235" s="21"/>
      <c r="WLO235" s="21"/>
      <c r="WLR235" s="21"/>
      <c r="WLS235" s="15"/>
      <c r="WLT235" s="15"/>
      <c r="WLU235" s="15"/>
      <c r="WLV235" s="15"/>
      <c r="WLW235" s="15"/>
      <c r="WLX235" s="15"/>
      <c r="WLY235" s="15"/>
      <c r="WLZ235" s="15"/>
      <c r="WMA235" s="15"/>
      <c r="WMB235" s="15"/>
      <c r="WMC235" s="10"/>
      <c r="WMD235" s="10"/>
      <c r="WME235" s="21"/>
      <c r="WMF235" s="21"/>
      <c r="WMI235" s="21"/>
      <c r="WMJ235" s="15"/>
      <c r="WMK235" s="15"/>
      <c r="WML235" s="15"/>
      <c r="WMM235" s="15"/>
      <c r="WMN235" s="15"/>
      <c r="WMO235" s="15"/>
      <c r="WMP235" s="15"/>
      <c r="WMQ235" s="15"/>
      <c r="WMR235" s="15"/>
      <c r="WMS235" s="15"/>
      <c r="WMT235" s="10"/>
      <c r="WMU235" s="10"/>
      <c r="WMV235" s="21"/>
      <c r="WMW235" s="21"/>
      <c r="WMZ235" s="21"/>
      <c r="WNA235" s="15"/>
      <c r="WNB235" s="15"/>
      <c r="WNC235" s="15"/>
      <c r="WND235" s="15"/>
      <c r="WNE235" s="15"/>
      <c r="WNF235" s="15"/>
      <c r="WNG235" s="15"/>
      <c r="WNH235" s="15"/>
      <c r="WNI235" s="15"/>
      <c r="WNJ235" s="15"/>
      <c r="WNK235" s="10"/>
      <c r="WNL235" s="10"/>
      <c r="WNM235" s="21"/>
      <c r="WNN235" s="21"/>
      <c r="WNQ235" s="21"/>
      <c r="WNR235" s="15"/>
      <c r="WNS235" s="15"/>
      <c r="WNT235" s="15"/>
      <c r="WNU235" s="15"/>
      <c r="WNV235" s="15"/>
      <c r="WNW235" s="15"/>
      <c r="WNX235" s="15"/>
      <c r="WNY235" s="15"/>
      <c r="WNZ235" s="15"/>
      <c r="WOA235" s="15"/>
      <c r="WOB235" s="10"/>
      <c r="WOC235" s="10"/>
      <c r="WOD235" s="21"/>
      <c r="WOE235" s="21"/>
      <c r="WOH235" s="21"/>
      <c r="WOI235" s="15"/>
      <c r="WOJ235" s="15"/>
      <c r="WOK235" s="15"/>
      <c r="WOL235" s="15"/>
      <c r="WOM235" s="15"/>
      <c r="WON235" s="15"/>
      <c r="WOO235" s="15"/>
      <c r="WOP235" s="15"/>
      <c r="WOQ235" s="15"/>
      <c r="WOR235" s="15"/>
      <c r="WOS235" s="10"/>
      <c r="WOT235" s="10"/>
      <c r="WOU235" s="21"/>
      <c r="WOV235" s="21"/>
      <c r="WOY235" s="21"/>
      <c r="WOZ235" s="15"/>
      <c r="WPA235" s="15"/>
      <c r="WPB235" s="15"/>
      <c r="WPC235" s="15"/>
      <c r="WPD235" s="15"/>
      <c r="WPE235" s="15"/>
      <c r="WPF235" s="15"/>
      <c r="WPG235" s="15"/>
      <c r="WPH235" s="15"/>
      <c r="WPI235" s="15"/>
      <c r="WPJ235" s="10"/>
      <c r="WPK235" s="10"/>
      <c r="WPL235" s="21"/>
      <c r="WPM235" s="21"/>
      <c r="WPP235" s="21"/>
      <c r="WPQ235" s="15"/>
      <c r="WPR235" s="15"/>
      <c r="WPS235" s="15"/>
      <c r="WPT235" s="15"/>
      <c r="WPU235" s="15"/>
      <c r="WPV235" s="15"/>
      <c r="WPW235" s="15"/>
      <c r="WPX235" s="15"/>
      <c r="WPY235" s="15"/>
      <c r="WPZ235" s="15"/>
      <c r="WQA235" s="10"/>
      <c r="WQB235" s="10"/>
      <c r="WQC235" s="21"/>
      <c r="WQD235" s="21"/>
      <c r="WQG235" s="21"/>
      <c r="WQH235" s="15"/>
      <c r="WQI235" s="15"/>
      <c r="WQJ235" s="15"/>
      <c r="WQK235" s="15"/>
      <c r="WQL235" s="15"/>
      <c r="WQM235" s="15"/>
      <c r="WQN235" s="15"/>
      <c r="WQO235" s="15"/>
      <c r="WQP235" s="15"/>
      <c r="WQQ235" s="15"/>
      <c r="WQR235" s="10"/>
      <c r="WQS235" s="10"/>
      <c r="WQT235" s="21"/>
      <c r="WQU235" s="21"/>
      <c r="WQX235" s="21"/>
      <c r="WQY235" s="15"/>
      <c r="WQZ235" s="15"/>
      <c r="WRA235" s="15"/>
      <c r="WRB235" s="15"/>
      <c r="WRC235" s="15"/>
      <c r="WRD235" s="15"/>
      <c r="WRE235" s="15"/>
      <c r="WRF235" s="15"/>
      <c r="WRG235" s="15"/>
      <c r="WRH235" s="15"/>
      <c r="WRI235" s="10"/>
      <c r="WRJ235" s="10"/>
      <c r="WRK235" s="21"/>
      <c r="WRL235" s="21"/>
      <c r="WRO235" s="21"/>
      <c r="WRP235" s="15"/>
      <c r="WRQ235" s="15"/>
      <c r="WRR235" s="15"/>
      <c r="WRS235" s="15"/>
      <c r="WRT235" s="15"/>
      <c r="WRU235" s="15"/>
      <c r="WRV235" s="15"/>
      <c r="WRW235" s="15"/>
      <c r="WRX235" s="15"/>
      <c r="WRY235" s="15"/>
      <c r="WRZ235" s="10"/>
      <c r="WSA235" s="10"/>
      <c r="WSB235" s="21"/>
      <c r="WSC235" s="21"/>
      <c r="WSF235" s="21"/>
      <c r="WSG235" s="15"/>
      <c r="WSH235" s="15"/>
      <c r="WSI235" s="15"/>
      <c r="WSJ235" s="15"/>
      <c r="WSK235" s="15"/>
      <c r="WSL235" s="15"/>
      <c r="WSM235" s="15"/>
      <c r="WSN235" s="15"/>
      <c r="WSO235" s="15"/>
      <c r="WSP235" s="15"/>
      <c r="WSQ235" s="10"/>
      <c r="WSR235" s="10"/>
      <c r="WSS235" s="21"/>
      <c r="WST235" s="21"/>
      <c r="WSW235" s="21"/>
      <c r="WSX235" s="15"/>
      <c r="WSY235" s="15"/>
      <c r="WSZ235" s="15"/>
      <c r="WTA235" s="15"/>
      <c r="WTB235" s="15"/>
      <c r="WTC235" s="15"/>
      <c r="WTD235" s="15"/>
      <c r="WTE235" s="15"/>
      <c r="WTF235" s="15"/>
      <c r="WTG235" s="15"/>
      <c r="WTH235" s="10"/>
      <c r="WTI235" s="10"/>
      <c r="WTJ235" s="21"/>
      <c r="WTK235" s="21"/>
      <c r="WTN235" s="21"/>
      <c r="WTO235" s="15"/>
      <c r="WTP235" s="15"/>
      <c r="WTQ235" s="15"/>
      <c r="WTR235" s="15"/>
      <c r="WTS235" s="15"/>
      <c r="WTT235" s="15"/>
      <c r="WTU235" s="15"/>
      <c r="WTV235" s="15"/>
      <c r="WTW235" s="15"/>
      <c r="WTX235" s="15"/>
      <c r="WTY235" s="10"/>
      <c r="WTZ235" s="10"/>
      <c r="WUA235" s="21"/>
      <c r="WUB235" s="21"/>
      <c r="WUE235" s="21"/>
      <c r="WUF235" s="15"/>
      <c r="WUG235" s="15"/>
      <c r="WUH235" s="15"/>
      <c r="WUI235" s="15"/>
      <c r="WUJ235" s="15"/>
      <c r="WUK235" s="15"/>
      <c r="WUL235" s="15"/>
      <c r="WUM235" s="15"/>
      <c r="WUN235" s="15"/>
      <c r="WUO235" s="15"/>
      <c r="WUP235" s="10"/>
      <c r="WUQ235" s="10"/>
      <c r="WUR235" s="21"/>
      <c r="WUS235" s="21"/>
      <c r="WUV235" s="21"/>
      <c r="WUW235" s="15"/>
      <c r="WUX235" s="15"/>
      <c r="WUY235" s="15"/>
      <c r="WUZ235" s="15"/>
      <c r="WVA235" s="15"/>
      <c r="WVB235" s="15"/>
      <c r="WVC235" s="15"/>
      <c r="WVD235" s="15"/>
      <c r="WVE235" s="15"/>
      <c r="WVF235" s="15"/>
      <c r="WVG235" s="10"/>
      <c r="WVH235" s="10"/>
      <c r="WVI235" s="21"/>
      <c r="WVJ235" s="21"/>
      <c r="WVM235" s="21"/>
      <c r="WVN235" s="15"/>
      <c r="WVO235" s="15"/>
      <c r="WVP235" s="15"/>
      <c r="WVQ235" s="15"/>
      <c r="WVR235" s="15"/>
      <c r="WVS235" s="15"/>
      <c r="WVT235" s="15"/>
      <c r="WVU235" s="15"/>
      <c r="WVV235" s="15"/>
      <c r="WVW235" s="15"/>
      <c r="WVX235" s="10"/>
      <c r="WVY235" s="10"/>
      <c r="WVZ235" s="21"/>
      <c r="WWA235" s="21"/>
      <c r="WWD235" s="21"/>
      <c r="WWE235" s="15"/>
      <c r="WWF235" s="15"/>
      <c r="WWG235" s="15"/>
      <c r="WWH235" s="15"/>
      <c r="WWI235" s="15"/>
      <c r="WWJ235" s="15"/>
      <c r="WWK235" s="15"/>
      <c r="WWL235" s="15"/>
      <c r="WWM235" s="15"/>
      <c r="WWN235" s="15"/>
      <c r="WWO235" s="10"/>
      <c r="WWP235" s="10"/>
      <c r="WWQ235" s="21"/>
      <c r="WWR235" s="21"/>
      <c r="WWU235" s="21"/>
      <c r="WWV235" s="15"/>
      <c r="WWW235" s="15"/>
      <c r="WWX235" s="15"/>
      <c r="WWY235" s="15"/>
      <c r="WWZ235" s="15"/>
      <c r="WXA235" s="15"/>
      <c r="WXB235" s="15"/>
      <c r="WXC235" s="15"/>
      <c r="WXD235" s="15"/>
      <c r="WXE235" s="15"/>
      <c r="WXF235" s="10"/>
      <c r="WXG235" s="10"/>
      <c r="WXH235" s="21"/>
      <c r="WXI235" s="21"/>
      <c r="WXL235" s="21"/>
      <c r="WXM235" s="15"/>
      <c r="WXN235" s="15"/>
      <c r="WXO235" s="15"/>
      <c r="WXP235" s="15"/>
      <c r="WXQ235" s="15"/>
      <c r="WXR235" s="15"/>
      <c r="WXS235" s="15"/>
      <c r="WXT235" s="15"/>
      <c r="WXU235" s="15"/>
      <c r="WXV235" s="15"/>
      <c r="WXW235" s="10"/>
      <c r="WXX235" s="10"/>
      <c r="WXY235" s="21"/>
      <c r="WXZ235" s="21"/>
      <c r="WYC235" s="21"/>
      <c r="WYD235" s="15"/>
      <c r="WYE235" s="15"/>
      <c r="WYF235" s="15"/>
      <c r="WYG235" s="15"/>
      <c r="WYH235" s="15"/>
      <c r="WYI235" s="15"/>
      <c r="WYJ235" s="15"/>
      <c r="WYK235" s="15"/>
      <c r="WYL235" s="15"/>
      <c r="WYM235" s="15"/>
      <c r="WYN235" s="10"/>
      <c r="WYO235" s="10"/>
      <c r="WYP235" s="21"/>
      <c r="WYQ235" s="21"/>
      <c r="WYT235" s="21"/>
      <c r="WYU235" s="15"/>
      <c r="WYV235" s="15"/>
      <c r="WYW235" s="15"/>
      <c r="WYX235" s="15"/>
      <c r="WYY235" s="15"/>
      <c r="WYZ235" s="15"/>
      <c r="WZA235" s="15"/>
      <c r="WZB235" s="15"/>
      <c r="WZC235" s="15"/>
      <c r="WZD235" s="15"/>
      <c r="WZE235" s="10"/>
      <c r="WZF235" s="10"/>
      <c r="WZG235" s="21"/>
      <c r="WZH235" s="21"/>
      <c r="WZK235" s="21"/>
      <c r="WZL235" s="15"/>
      <c r="WZM235" s="15"/>
      <c r="WZN235" s="15"/>
      <c r="WZO235" s="15"/>
      <c r="WZP235" s="15"/>
      <c r="WZQ235" s="15"/>
      <c r="WZR235" s="15"/>
      <c r="WZS235" s="15"/>
      <c r="WZT235" s="15"/>
      <c r="WZU235" s="15"/>
      <c r="WZV235" s="10"/>
      <c r="WZW235" s="10"/>
      <c r="WZX235" s="21"/>
      <c r="WZY235" s="21"/>
      <c r="XAB235" s="21"/>
      <c r="XAC235" s="15"/>
      <c r="XAD235" s="15"/>
      <c r="XAE235" s="15"/>
      <c r="XAF235" s="15"/>
      <c r="XAG235" s="15"/>
      <c r="XAH235" s="15"/>
      <c r="XAI235" s="15"/>
      <c r="XAJ235" s="15"/>
      <c r="XAK235" s="15"/>
      <c r="XAL235" s="15"/>
      <c r="XAM235" s="10"/>
      <c r="XAN235" s="10"/>
      <c r="XAO235" s="21"/>
      <c r="XAP235" s="21"/>
      <c r="XAS235" s="21"/>
      <c r="XAT235" s="15"/>
      <c r="XAU235" s="15"/>
      <c r="XAV235" s="15"/>
      <c r="XAW235" s="15"/>
      <c r="XAX235" s="15"/>
      <c r="XAY235" s="15"/>
      <c r="XAZ235" s="15"/>
      <c r="XBA235" s="15"/>
      <c r="XBB235" s="15"/>
      <c r="XBC235" s="15"/>
      <c r="XBD235" s="10"/>
      <c r="XBE235" s="10"/>
      <c r="XBF235" s="21"/>
      <c r="XBG235" s="21"/>
      <c r="XBJ235" s="21"/>
      <c r="XBK235" s="15"/>
      <c r="XBL235" s="15"/>
      <c r="XBM235" s="15"/>
      <c r="XBN235" s="15"/>
      <c r="XBO235" s="15"/>
      <c r="XBP235" s="15"/>
      <c r="XBQ235" s="15"/>
      <c r="XBR235" s="15"/>
      <c r="XBS235" s="15"/>
      <c r="XBT235" s="15"/>
      <c r="XBU235" s="10"/>
      <c r="XBV235" s="10"/>
      <c r="XBW235" s="21"/>
      <c r="XBX235" s="21"/>
      <c r="XCA235" s="21"/>
      <c r="XCB235" s="15"/>
      <c r="XCC235" s="15"/>
      <c r="XCD235" s="15"/>
      <c r="XCE235" s="15"/>
      <c r="XCF235" s="15"/>
      <c r="XCG235" s="15"/>
      <c r="XCH235" s="15"/>
      <c r="XCI235" s="15"/>
      <c r="XCJ235" s="15"/>
      <c r="XCK235" s="15"/>
      <c r="XCL235" s="10"/>
      <c r="XCM235" s="10"/>
      <c r="XCN235" s="21"/>
      <c r="XCO235" s="21"/>
      <c r="XCR235" s="21"/>
      <c r="XCS235" s="15"/>
      <c r="XCT235" s="15"/>
      <c r="XCU235" s="15"/>
      <c r="XCV235" s="15"/>
      <c r="XCW235" s="15"/>
      <c r="XCX235" s="15"/>
      <c r="XCY235" s="15"/>
      <c r="XCZ235" s="15"/>
      <c r="XDA235" s="15"/>
      <c r="XDB235" s="15"/>
      <c r="XDC235" s="10"/>
      <c r="XDD235" s="10"/>
      <c r="XDE235" s="21"/>
      <c r="XDF235" s="21"/>
      <c r="XDI235" s="21"/>
      <c r="XDJ235" s="15"/>
      <c r="XDK235" s="15"/>
      <c r="XDL235" s="15"/>
      <c r="XDM235" s="15"/>
      <c r="XDN235" s="15"/>
      <c r="XDO235" s="15"/>
      <c r="XDP235" s="15"/>
      <c r="XDQ235" s="15"/>
      <c r="XDR235" s="15"/>
      <c r="XDS235" s="15"/>
      <c r="XDT235" s="10"/>
      <c r="XDU235" s="10"/>
      <c r="XDV235" s="21"/>
      <c r="XDW235" s="21"/>
      <c r="XDZ235" s="21"/>
      <c r="XEA235" s="15"/>
      <c r="XEB235" s="15"/>
      <c r="XEC235" s="15"/>
      <c r="XED235" s="15"/>
      <c r="XEE235" s="15"/>
      <c r="XEF235" s="15"/>
      <c r="XEG235" s="15"/>
      <c r="XEH235" s="15"/>
      <c r="XEI235" s="15"/>
      <c r="XEJ235" s="15"/>
      <c r="XEK235" s="10"/>
      <c r="XEL235" s="10"/>
      <c r="XEM235" s="21"/>
      <c r="XEN235" s="21"/>
      <c r="XEQ235" s="21"/>
      <c r="XER235" s="15"/>
      <c r="XES235" s="15"/>
      <c r="XET235" s="15"/>
      <c r="XEU235" s="15"/>
      <c r="XEV235" s="15"/>
      <c r="XEW235" s="15"/>
      <c r="XEX235" s="15"/>
      <c r="XEY235" s="15"/>
      <c r="XEZ235" s="15"/>
      <c r="XFA235" s="15"/>
      <c r="XFB235" s="10"/>
      <c r="XFC235" s="10"/>
      <c r="XFD235" s="21"/>
    </row>
    <row r="236" spans="1:4094 4097:8191 8194:12288 12291:16384" s="1" customFormat="1" ht="14.25" customHeight="1" x14ac:dyDescent="0.25">
      <c r="A236" s="31">
        <v>0</v>
      </c>
      <c r="B236" s="31">
        <v>1</v>
      </c>
      <c r="C236" s="31">
        <v>6</v>
      </c>
      <c r="D236" s="32" t="s">
        <v>965</v>
      </c>
      <c r="E236" s="32" t="s">
        <v>164</v>
      </c>
      <c r="F236" s="32" t="s">
        <v>963</v>
      </c>
      <c r="G236" s="32" t="s">
        <v>1092</v>
      </c>
      <c r="H236" s="32" t="s">
        <v>352</v>
      </c>
      <c r="I236" s="31" t="s">
        <v>964</v>
      </c>
      <c r="J236" s="31">
        <v>1</v>
      </c>
      <c r="K236" s="33" t="s">
        <v>943</v>
      </c>
      <c r="L236" s="33" t="s">
        <v>685</v>
      </c>
      <c r="M236" s="34" t="s">
        <v>1386</v>
      </c>
      <c r="N236" s="34" t="s">
        <v>1732</v>
      </c>
      <c r="O236" s="35">
        <v>1</v>
      </c>
      <c r="P236" s="35"/>
      <c r="Q236" s="32"/>
      <c r="S236" s="1">
        <f t="shared" si="87"/>
        <v>1</v>
      </c>
      <c r="T236" s="1">
        <f t="shared" si="88"/>
        <v>0</v>
      </c>
      <c r="U236" s="1">
        <f t="shared" si="89"/>
        <v>0</v>
      </c>
      <c r="V236" s="1">
        <f t="shared" si="90"/>
        <v>0</v>
      </c>
      <c r="W236" s="1">
        <f t="shared" si="91"/>
        <v>0</v>
      </c>
      <c r="X236" s="1">
        <f t="shared" si="92"/>
        <v>0</v>
      </c>
      <c r="Y236" s="1">
        <f t="shared" si="93"/>
        <v>0</v>
      </c>
      <c r="Z236" s="1">
        <f t="shared" si="94"/>
        <v>0</v>
      </c>
      <c r="AA236" s="1">
        <f t="shared" si="95"/>
        <v>0</v>
      </c>
      <c r="AB236" s="1">
        <f t="shared" si="96"/>
        <v>0</v>
      </c>
      <c r="AD236" s="1">
        <f t="shared" si="97"/>
        <v>0</v>
      </c>
      <c r="AE236" s="1">
        <f t="shared" si="98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4094 4097:8191 8194:12288 12291:16384" s="1" customFormat="1" ht="13.9" customHeight="1" x14ac:dyDescent="0.25">
      <c r="A237" s="31">
        <v>0</v>
      </c>
      <c r="B237" s="31">
        <v>1</v>
      </c>
      <c r="C237" s="31">
        <v>6</v>
      </c>
      <c r="D237" s="32" t="s">
        <v>517</v>
      </c>
      <c r="E237" s="32" t="s">
        <v>166</v>
      </c>
      <c r="F237" s="32" t="s">
        <v>518</v>
      </c>
      <c r="G237" s="32" t="s">
        <v>519</v>
      </c>
      <c r="H237" s="32" t="s">
        <v>352</v>
      </c>
      <c r="I237" s="31" t="s">
        <v>520</v>
      </c>
      <c r="J237" s="31">
        <v>99</v>
      </c>
      <c r="K237" s="33" t="s">
        <v>698</v>
      </c>
      <c r="L237" s="33">
        <v>40</v>
      </c>
      <c r="M237" s="34" t="s">
        <v>959</v>
      </c>
      <c r="N237" s="34" t="s">
        <v>1833</v>
      </c>
      <c r="O237" s="35">
        <v>1</v>
      </c>
      <c r="P237" s="35"/>
      <c r="Q237" s="32"/>
      <c r="S237" s="1">
        <f t="shared" si="87"/>
        <v>0</v>
      </c>
      <c r="T237" s="1">
        <f t="shared" si="88"/>
        <v>0</v>
      </c>
      <c r="U237" s="1">
        <f t="shared" si="89"/>
        <v>0</v>
      </c>
      <c r="V237" s="1">
        <f t="shared" si="90"/>
        <v>0</v>
      </c>
      <c r="W237" s="1">
        <f t="shared" si="91"/>
        <v>0</v>
      </c>
      <c r="X237" s="1">
        <f t="shared" si="92"/>
        <v>0</v>
      </c>
      <c r="Y237" s="1">
        <f t="shared" si="93"/>
        <v>0</v>
      </c>
      <c r="Z237" s="1">
        <f t="shared" si="94"/>
        <v>0</v>
      </c>
      <c r="AA237" s="1">
        <f t="shared" si="95"/>
        <v>0</v>
      </c>
      <c r="AB237" s="1">
        <f t="shared" si="96"/>
        <v>0</v>
      </c>
      <c r="AD237" s="1">
        <f t="shared" si="97"/>
        <v>0</v>
      </c>
      <c r="AE237" s="1">
        <f t="shared" si="98"/>
        <v>1</v>
      </c>
      <c r="AF237" s="1">
        <f t="shared" si="83"/>
        <v>0</v>
      </c>
      <c r="AG237" s="1">
        <f t="shared" si="84"/>
        <v>1</v>
      </c>
      <c r="AH237" s="1">
        <f t="shared" si="85"/>
        <v>0</v>
      </c>
      <c r="AI237" s="1">
        <f t="shared" si="86"/>
        <v>1</v>
      </c>
    </row>
    <row r="238" spans="1:4094 4097:8191 8194:12288 12291:16384" s="1" customFormat="1" ht="14.25" customHeight="1" x14ac:dyDescent="0.25">
      <c r="A238" s="38">
        <v>0</v>
      </c>
      <c r="B238" s="38">
        <v>1</v>
      </c>
      <c r="C238" s="38">
        <v>6</v>
      </c>
      <c r="D238" s="39" t="s">
        <v>1821</v>
      </c>
      <c r="E238" s="39" t="s">
        <v>1822</v>
      </c>
      <c r="F238" s="39" t="s">
        <v>1823</v>
      </c>
      <c r="G238" s="39"/>
      <c r="H238" s="39" t="s">
        <v>352</v>
      </c>
      <c r="I238" s="38" t="s">
        <v>1824</v>
      </c>
      <c r="J238" s="38"/>
      <c r="K238" s="40" t="s">
        <v>699</v>
      </c>
      <c r="L238" s="40"/>
      <c r="M238" s="41"/>
      <c r="N238" s="42"/>
      <c r="O238" s="43"/>
      <c r="P238" s="43">
        <v>1</v>
      </c>
      <c r="Q238" s="39"/>
      <c r="S238" s="1">
        <f t="shared" si="87"/>
        <v>0</v>
      </c>
      <c r="T238" s="1">
        <f t="shared" si="88"/>
        <v>0</v>
      </c>
      <c r="U238" s="1">
        <f t="shared" si="89"/>
        <v>0</v>
      </c>
      <c r="V238" s="1">
        <f t="shared" si="90"/>
        <v>0</v>
      </c>
      <c r="W238" s="1">
        <f t="shared" si="91"/>
        <v>0</v>
      </c>
      <c r="X238" s="1">
        <f t="shared" si="92"/>
        <v>0</v>
      </c>
      <c r="Y238" s="1">
        <f t="shared" si="93"/>
        <v>0</v>
      </c>
      <c r="Z238" s="1">
        <f t="shared" si="94"/>
        <v>0</v>
      </c>
      <c r="AA238" s="1">
        <f t="shared" si="95"/>
        <v>0</v>
      </c>
      <c r="AB238" s="1">
        <f t="shared" si="96"/>
        <v>0</v>
      </c>
      <c r="AD238" s="1">
        <f t="shared" si="97"/>
        <v>0</v>
      </c>
      <c r="AE238" s="1">
        <f t="shared" si="98"/>
        <v>0</v>
      </c>
      <c r="AF238" s="1">
        <f t="shared" si="83"/>
        <v>0</v>
      </c>
      <c r="AG238" s="1">
        <f t="shared" si="84"/>
        <v>0</v>
      </c>
      <c r="AH238" s="1">
        <f t="shared" si="85"/>
        <v>1</v>
      </c>
      <c r="AI238" s="1">
        <f t="shared" si="86"/>
        <v>0</v>
      </c>
    </row>
    <row r="239" spans="1:4094 4097:8191 8194:12288 12291:16384" s="1" customFormat="1" ht="13.9" customHeight="1" x14ac:dyDescent="0.25">
      <c r="A239" s="31">
        <v>0</v>
      </c>
      <c r="B239" s="31">
        <v>1</v>
      </c>
      <c r="C239" s="31">
        <v>6</v>
      </c>
      <c r="D239" s="32" t="s">
        <v>2074</v>
      </c>
      <c r="E239" s="32" t="s">
        <v>166</v>
      </c>
      <c r="F239" s="32" t="s">
        <v>2075</v>
      </c>
      <c r="G239" s="32"/>
      <c r="H239" s="32" t="s">
        <v>352</v>
      </c>
      <c r="I239" s="31" t="s">
        <v>2076</v>
      </c>
      <c r="J239" s="31"/>
      <c r="K239" s="33" t="s">
        <v>699</v>
      </c>
      <c r="L239" s="33"/>
      <c r="M239" s="34"/>
      <c r="N239" s="34" t="s">
        <v>1732</v>
      </c>
      <c r="O239" s="35">
        <v>1</v>
      </c>
      <c r="P239" s="35"/>
      <c r="Q239" s="32" t="s">
        <v>2077</v>
      </c>
      <c r="S239" s="1">
        <f t="shared" si="87"/>
        <v>0</v>
      </c>
      <c r="T239" s="1">
        <f t="shared" si="88"/>
        <v>0</v>
      </c>
      <c r="U239" s="1">
        <f t="shared" si="89"/>
        <v>0</v>
      </c>
      <c r="V239" s="1">
        <f t="shared" si="90"/>
        <v>0</v>
      </c>
      <c r="W239" s="1">
        <f t="shared" si="91"/>
        <v>0</v>
      </c>
      <c r="X239" s="1">
        <f t="shared" si="92"/>
        <v>0</v>
      </c>
      <c r="Y239" s="1">
        <f t="shared" si="93"/>
        <v>0</v>
      </c>
      <c r="Z239" s="1">
        <f t="shared" si="94"/>
        <v>0</v>
      </c>
      <c r="AA239" s="1">
        <f t="shared" si="95"/>
        <v>0</v>
      </c>
      <c r="AB239" s="1">
        <f t="shared" si="96"/>
        <v>0</v>
      </c>
      <c r="AD239" s="1">
        <f t="shared" si="97"/>
        <v>0</v>
      </c>
      <c r="AE239" s="1">
        <f t="shared" si="98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4094 4097:8191 8194:12288 12291:16384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1464</v>
      </c>
      <c r="E240" s="32" t="s">
        <v>166</v>
      </c>
      <c r="F240" s="32" t="s">
        <v>1466</v>
      </c>
      <c r="G240" s="32" t="s">
        <v>1467</v>
      </c>
      <c r="H240" s="32" t="s">
        <v>352</v>
      </c>
      <c r="I240" s="31" t="s">
        <v>1465</v>
      </c>
      <c r="J240" s="31">
        <v>99</v>
      </c>
      <c r="K240" s="33" t="s">
        <v>699</v>
      </c>
      <c r="L240" s="33">
        <v>62</v>
      </c>
      <c r="M240" s="34"/>
      <c r="N240" s="34" t="s">
        <v>1733</v>
      </c>
      <c r="O240" s="35">
        <v>1</v>
      </c>
      <c r="P240" s="35"/>
      <c r="Q240" s="32"/>
      <c r="S240" s="1">
        <f t="shared" si="87"/>
        <v>0</v>
      </c>
      <c r="T240" s="1">
        <f t="shared" si="88"/>
        <v>0</v>
      </c>
      <c r="U240" s="1">
        <f t="shared" si="89"/>
        <v>0</v>
      </c>
      <c r="V240" s="1">
        <f t="shared" si="90"/>
        <v>0</v>
      </c>
      <c r="W240" s="1">
        <f t="shared" si="91"/>
        <v>0</v>
      </c>
      <c r="X240" s="1">
        <f t="shared" si="92"/>
        <v>0</v>
      </c>
      <c r="Y240" s="1">
        <f t="shared" si="93"/>
        <v>0</v>
      </c>
      <c r="Z240" s="1">
        <f t="shared" si="94"/>
        <v>0</v>
      </c>
      <c r="AA240" s="1">
        <f t="shared" si="95"/>
        <v>0</v>
      </c>
      <c r="AB240" s="1">
        <f t="shared" si="96"/>
        <v>0</v>
      </c>
      <c r="AD240" s="1">
        <f t="shared" si="97"/>
        <v>0</v>
      </c>
      <c r="AE240" s="1">
        <f t="shared" si="98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35" s="1" customFormat="1" ht="14.25" customHeight="1" x14ac:dyDescent="0.25">
      <c r="A241" s="31">
        <v>0</v>
      </c>
      <c r="B241" s="31">
        <v>1</v>
      </c>
      <c r="C241" s="31">
        <v>6</v>
      </c>
      <c r="D241" s="32" t="s">
        <v>1180</v>
      </c>
      <c r="E241" s="32" t="s">
        <v>164</v>
      </c>
      <c r="F241" s="32" t="s">
        <v>1654</v>
      </c>
      <c r="G241" s="32" t="s">
        <v>212</v>
      </c>
      <c r="H241" s="32" t="s">
        <v>352</v>
      </c>
      <c r="I241" s="31" t="s">
        <v>1181</v>
      </c>
      <c r="J241" s="31">
        <v>1</v>
      </c>
      <c r="K241" s="33" t="s">
        <v>949</v>
      </c>
      <c r="L241" s="33" t="s">
        <v>683</v>
      </c>
      <c r="M241" s="34" t="s">
        <v>1556</v>
      </c>
      <c r="N241" s="34" t="s">
        <v>1739</v>
      </c>
      <c r="O241" s="35">
        <v>1</v>
      </c>
      <c r="P241" s="35"/>
      <c r="Q241" s="32"/>
      <c r="S241" s="1">
        <f t="shared" si="87"/>
        <v>1</v>
      </c>
      <c r="T241" s="1">
        <f t="shared" si="88"/>
        <v>0</v>
      </c>
      <c r="U241" s="1">
        <f t="shared" si="89"/>
        <v>0</v>
      </c>
      <c r="V241" s="1">
        <f t="shared" si="90"/>
        <v>0</v>
      </c>
      <c r="W241" s="1">
        <f t="shared" si="91"/>
        <v>0</v>
      </c>
      <c r="X241" s="1">
        <f t="shared" si="92"/>
        <v>0</v>
      </c>
      <c r="Y241" s="1">
        <f t="shared" si="93"/>
        <v>0</v>
      </c>
      <c r="Z241" s="1">
        <f t="shared" si="94"/>
        <v>0</v>
      </c>
      <c r="AA241" s="1">
        <f t="shared" si="95"/>
        <v>0</v>
      </c>
      <c r="AB241" s="1">
        <f t="shared" si="96"/>
        <v>0</v>
      </c>
      <c r="AD241" s="1">
        <f t="shared" si="97"/>
        <v>0</v>
      </c>
      <c r="AE241" s="1">
        <f t="shared" si="98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</row>
    <row r="242" spans="1:35" s="1" customFormat="1" ht="14.25" customHeight="1" x14ac:dyDescent="0.25">
      <c r="A242" s="44">
        <v>0</v>
      </c>
      <c r="B242" s="44">
        <v>1</v>
      </c>
      <c r="C242" s="44">
        <v>6</v>
      </c>
      <c r="D242" s="45" t="s">
        <v>2053</v>
      </c>
      <c r="E242" s="45" t="s">
        <v>2054</v>
      </c>
      <c r="F242" s="45" t="s">
        <v>2055</v>
      </c>
      <c r="G242" s="45" t="s">
        <v>207</v>
      </c>
      <c r="H242" s="45" t="s">
        <v>352</v>
      </c>
      <c r="I242" s="44" t="s">
        <v>2056</v>
      </c>
      <c r="J242" s="44">
        <v>3</v>
      </c>
      <c r="K242" s="46" t="s">
        <v>699</v>
      </c>
      <c r="L242" s="46">
        <v>30</v>
      </c>
      <c r="M242" s="47" t="s">
        <v>2057</v>
      </c>
      <c r="N242" s="47" t="s">
        <v>1793</v>
      </c>
      <c r="O242" s="48"/>
      <c r="P242" s="48"/>
      <c r="Q242" s="45"/>
      <c r="S242" s="1">
        <f t="shared" si="87"/>
        <v>0</v>
      </c>
      <c r="T242" s="1">
        <f t="shared" si="88"/>
        <v>0</v>
      </c>
      <c r="U242" s="1">
        <f t="shared" si="89"/>
        <v>1</v>
      </c>
      <c r="V242" s="1">
        <f t="shared" si="90"/>
        <v>0</v>
      </c>
      <c r="W242" s="1">
        <f t="shared" si="91"/>
        <v>0</v>
      </c>
      <c r="X242" s="1">
        <f t="shared" si="92"/>
        <v>0</v>
      </c>
      <c r="Y242" s="1">
        <f t="shared" si="93"/>
        <v>0</v>
      </c>
      <c r="Z242" s="1">
        <f t="shared" si="94"/>
        <v>0</v>
      </c>
      <c r="AA242" s="1">
        <f t="shared" si="95"/>
        <v>0</v>
      </c>
      <c r="AB242" s="1">
        <f t="shared" si="96"/>
        <v>0</v>
      </c>
      <c r="AD242" s="1">
        <f t="shared" si="97"/>
        <v>0</v>
      </c>
      <c r="AE242" s="1">
        <f t="shared" si="98"/>
        <v>0</v>
      </c>
      <c r="AF242" s="1">
        <f t="shared" si="83"/>
        <v>0</v>
      </c>
      <c r="AG242" s="1">
        <f t="shared" si="84"/>
        <v>0</v>
      </c>
      <c r="AH242" s="1">
        <f t="shared" si="85"/>
        <v>0</v>
      </c>
      <c r="AI242" s="1">
        <f t="shared" si="86"/>
        <v>1</v>
      </c>
    </row>
    <row r="243" spans="1:35" s="1" customFormat="1" ht="14.25" customHeight="1" x14ac:dyDescent="0.25">
      <c r="A243" s="31">
        <v>0</v>
      </c>
      <c r="B243" s="31">
        <v>1</v>
      </c>
      <c r="C243" s="31">
        <v>6</v>
      </c>
      <c r="D243" s="32" t="s">
        <v>97</v>
      </c>
      <c r="E243" s="32" t="s">
        <v>166</v>
      </c>
      <c r="F243" s="32" t="s">
        <v>294</v>
      </c>
      <c r="G243" s="32" t="s">
        <v>283</v>
      </c>
      <c r="H243" s="32" t="s">
        <v>352</v>
      </c>
      <c r="I243" s="31" t="s">
        <v>1105</v>
      </c>
      <c r="J243" s="31">
        <v>10</v>
      </c>
      <c r="K243" s="33" t="s">
        <v>943</v>
      </c>
      <c r="L243" s="33" t="s">
        <v>690</v>
      </c>
      <c r="M243" s="34" t="s">
        <v>701</v>
      </c>
      <c r="N243" s="34" t="s">
        <v>1733</v>
      </c>
      <c r="O243" s="35">
        <v>1</v>
      </c>
      <c r="P243" s="35"/>
      <c r="Q243" s="32"/>
      <c r="S243" s="1">
        <f t="shared" si="87"/>
        <v>0</v>
      </c>
      <c r="T243" s="1">
        <f t="shared" si="88"/>
        <v>0</v>
      </c>
      <c r="U243" s="1">
        <f t="shared" si="89"/>
        <v>0</v>
      </c>
      <c r="V243" s="1">
        <f t="shared" si="90"/>
        <v>0</v>
      </c>
      <c r="W243" s="1">
        <f t="shared" si="91"/>
        <v>0</v>
      </c>
      <c r="X243" s="1">
        <f t="shared" si="92"/>
        <v>0</v>
      </c>
      <c r="Y243" s="1">
        <f t="shared" si="93"/>
        <v>0</v>
      </c>
      <c r="Z243" s="1">
        <f t="shared" si="94"/>
        <v>0</v>
      </c>
      <c r="AA243" s="1">
        <f t="shared" si="95"/>
        <v>0</v>
      </c>
      <c r="AB243" s="1">
        <f t="shared" si="96"/>
        <v>1</v>
      </c>
      <c r="AD243" s="1">
        <f t="shared" si="97"/>
        <v>0</v>
      </c>
      <c r="AE243" s="1">
        <f t="shared" si="98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</row>
    <row r="244" spans="1:35" s="1" customFormat="1" ht="14.25" customHeight="1" x14ac:dyDescent="0.25">
      <c r="A244" s="31">
        <v>0</v>
      </c>
      <c r="B244" s="31">
        <v>1</v>
      </c>
      <c r="C244" s="31">
        <v>6</v>
      </c>
      <c r="D244" s="32" t="s">
        <v>599</v>
      </c>
      <c r="E244" s="32" t="s">
        <v>164</v>
      </c>
      <c r="F244" s="32" t="s">
        <v>601</v>
      </c>
      <c r="G244" s="32" t="s">
        <v>39</v>
      </c>
      <c r="H244" s="32" t="s">
        <v>352</v>
      </c>
      <c r="I244" s="31" t="s">
        <v>600</v>
      </c>
      <c r="J244" s="31">
        <v>99</v>
      </c>
      <c r="K244" s="33" t="s">
        <v>943</v>
      </c>
      <c r="L244" s="33" t="s">
        <v>689</v>
      </c>
      <c r="M244" s="34" t="s">
        <v>957</v>
      </c>
      <c r="N244" s="34" t="s">
        <v>1733</v>
      </c>
      <c r="O244" s="35">
        <v>1</v>
      </c>
      <c r="P244" s="35"/>
      <c r="Q244" s="32"/>
      <c r="S244" s="1">
        <f t="shared" si="87"/>
        <v>0</v>
      </c>
      <c r="T244" s="1">
        <f t="shared" si="88"/>
        <v>0</v>
      </c>
      <c r="U244" s="1">
        <f t="shared" si="89"/>
        <v>0</v>
      </c>
      <c r="V244" s="1">
        <f t="shared" si="90"/>
        <v>0</v>
      </c>
      <c r="W244" s="1">
        <f t="shared" si="91"/>
        <v>0</v>
      </c>
      <c r="X244" s="1">
        <f t="shared" si="92"/>
        <v>0</v>
      </c>
      <c r="Y244" s="1">
        <f t="shared" si="93"/>
        <v>0</v>
      </c>
      <c r="Z244" s="1">
        <f t="shared" si="94"/>
        <v>0</v>
      </c>
      <c r="AA244" s="1">
        <f t="shared" si="95"/>
        <v>0</v>
      </c>
      <c r="AB244" s="1">
        <f t="shared" si="96"/>
        <v>0</v>
      </c>
      <c r="AD244" s="1">
        <f t="shared" si="97"/>
        <v>0</v>
      </c>
      <c r="AE244" s="1">
        <f t="shared" si="98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35" s="1" customFormat="1" ht="14.25" customHeight="1" x14ac:dyDescent="0.25">
      <c r="A245" s="31">
        <v>0</v>
      </c>
      <c r="B245" s="31">
        <v>1</v>
      </c>
      <c r="C245" s="31">
        <v>6</v>
      </c>
      <c r="D245" s="32" t="s">
        <v>1146</v>
      </c>
      <c r="E245" s="32" t="s">
        <v>164</v>
      </c>
      <c r="F245" s="32" t="s">
        <v>1148</v>
      </c>
      <c r="G245" s="32" t="s">
        <v>219</v>
      </c>
      <c r="H245" s="32" t="s">
        <v>352</v>
      </c>
      <c r="I245" s="31" t="s">
        <v>1147</v>
      </c>
      <c r="J245" s="31">
        <v>8</v>
      </c>
      <c r="K245" s="33" t="s">
        <v>698</v>
      </c>
      <c r="L245" s="33" t="s">
        <v>1697</v>
      </c>
      <c r="M245" s="34" t="s">
        <v>1387</v>
      </c>
      <c r="N245" s="34" t="s">
        <v>1732</v>
      </c>
      <c r="O245" s="35">
        <v>1</v>
      </c>
      <c r="P245" s="35"/>
      <c r="Q245" s="32"/>
      <c r="S245" s="1">
        <f t="shared" si="87"/>
        <v>0</v>
      </c>
      <c r="T245" s="1">
        <f t="shared" si="88"/>
        <v>0</v>
      </c>
      <c r="U245" s="1">
        <f t="shared" si="89"/>
        <v>0</v>
      </c>
      <c r="V245" s="1">
        <f t="shared" si="90"/>
        <v>0</v>
      </c>
      <c r="W245" s="1">
        <f t="shared" si="91"/>
        <v>0</v>
      </c>
      <c r="X245" s="1">
        <f t="shared" si="92"/>
        <v>0</v>
      </c>
      <c r="Y245" s="1">
        <f t="shared" si="93"/>
        <v>0</v>
      </c>
      <c r="Z245" s="1">
        <f t="shared" si="94"/>
        <v>1</v>
      </c>
      <c r="AA245" s="1">
        <f t="shared" si="95"/>
        <v>0</v>
      </c>
      <c r="AB245" s="1">
        <f t="shared" si="96"/>
        <v>0</v>
      </c>
      <c r="AD245" s="1">
        <f t="shared" si="97"/>
        <v>0</v>
      </c>
      <c r="AE245" s="1">
        <f t="shared" si="98"/>
        <v>1</v>
      </c>
      <c r="AF245" s="1">
        <f t="shared" si="83"/>
        <v>0</v>
      </c>
      <c r="AG245" s="1">
        <f t="shared" si="84"/>
        <v>1</v>
      </c>
      <c r="AH245" s="1">
        <f t="shared" si="85"/>
        <v>0</v>
      </c>
      <c r="AI245" s="1">
        <f t="shared" si="86"/>
        <v>1</v>
      </c>
    </row>
    <row r="246" spans="1:35" s="1" customFormat="1" ht="14.25" customHeight="1" x14ac:dyDescent="0.25">
      <c r="A246" s="31">
        <v>0</v>
      </c>
      <c r="B246" s="31">
        <v>1</v>
      </c>
      <c r="C246" s="31">
        <v>6</v>
      </c>
      <c r="D246" s="32" t="s">
        <v>560</v>
      </c>
      <c r="E246" s="32" t="s">
        <v>166</v>
      </c>
      <c r="F246" s="32" t="s">
        <v>657</v>
      </c>
      <c r="G246" s="32" t="s">
        <v>201</v>
      </c>
      <c r="H246" s="32" t="s">
        <v>352</v>
      </c>
      <c r="I246" s="31" t="s">
        <v>579</v>
      </c>
      <c r="J246" s="31">
        <v>10</v>
      </c>
      <c r="K246" s="33" t="s">
        <v>949</v>
      </c>
      <c r="L246" s="33" t="s">
        <v>689</v>
      </c>
      <c r="M246" s="34" t="s">
        <v>701</v>
      </c>
      <c r="N246" s="34" t="s">
        <v>1732</v>
      </c>
      <c r="O246" s="35">
        <v>1</v>
      </c>
      <c r="P246" s="35"/>
      <c r="Q246" s="36"/>
      <c r="S246" s="1">
        <f t="shared" si="87"/>
        <v>0</v>
      </c>
      <c r="T246" s="1">
        <f t="shared" si="88"/>
        <v>0</v>
      </c>
      <c r="U246" s="1">
        <f t="shared" si="89"/>
        <v>0</v>
      </c>
      <c r="V246" s="1">
        <f t="shared" si="90"/>
        <v>0</v>
      </c>
      <c r="W246" s="1">
        <f t="shared" si="91"/>
        <v>0</v>
      </c>
      <c r="X246" s="1">
        <f t="shared" si="92"/>
        <v>0</v>
      </c>
      <c r="Y246" s="1">
        <f t="shared" si="93"/>
        <v>0</v>
      </c>
      <c r="Z246" s="1">
        <f t="shared" si="94"/>
        <v>0</v>
      </c>
      <c r="AA246" s="1">
        <f t="shared" si="95"/>
        <v>0</v>
      </c>
      <c r="AB246" s="1">
        <f t="shared" si="96"/>
        <v>1</v>
      </c>
      <c r="AD246" s="1">
        <f t="shared" si="97"/>
        <v>0</v>
      </c>
      <c r="AE246" s="1">
        <f t="shared" si="98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35" s="1" customFormat="1" ht="14.25" customHeight="1" x14ac:dyDescent="0.25">
      <c r="A247" s="44">
        <v>0</v>
      </c>
      <c r="B247" s="44">
        <v>1</v>
      </c>
      <c r="C247" s="44">
        <v>6</v>
      </c>
      <c r="D247" s="45" t="s">
        <v>886</v>
      </c>
      <c r="E247" s="45" t="s">
        <v>166</v>
      </c>
      <c r="F247" s="45" t="s">
        <v>926</v>
      </c>
      <c r="G247" s="45" t="s">
        <v>927</v>
      </c>
      <c r="H247" s="45" t="s">
        <v>352</v>
      </c>
      <c r="I247" s="44" t="s">
        <v>940</v>
      </c>
      <c r="J247" s="44">
        <v>99</v>
      </c>
      <c r="K247" s="46" t="s">
        <v>698</v>
      </c>
      <c r="L247" s="46" t="s">
        <v>685</v>
      </c>
      <c r="M247" s="47" t="s">
        <v>1388</v>
      </c>
      <c r="N247" s="47" t="s">
        <v>1722</v>
      </c>
      <c r="O247" s="48"/>
      <c r="P247" s="48"/>
      <c r="Q247" s="45"/>
      <c r="S247" s="1">
        <f t="shared" si="87"/>
        <v>0</v>
      </c>
      <c r="T247" s="1">
        <f t="shared" si="88"/>
        <v>0</v>
      </c>
      <c r="U247" s="1">
        <f t="shared" si="89"/>
        <v>0</v>
      </c>
      <c r="V247" s="1">
        <f t="shared" si="90"/>
        <v>0</v>
      </c>
      <c r="W247" s="1">
        <f t="shared" si="91"/>
        <v>0</v>
      </c>
      <c r="X247" s="1">
        <f t="shared" si="92"/>
        <v>0</v>
      </c>
      <c r="Y247" s="1">
        <f t="shared" si="93"/>
        <v>0</v>
      </c>
      <c r="Z247" s="1">
        <f t="shared" si="94"/>
        <v>0</v>
      </c>
      <c r="AA247" s="1">
        <f t="shared" si="95"/>
        <v>0</v>
      </c>
      <c r="AB247" s="1">
        <f t="shared" si="96"/>
        <v>0</v>
      </c>
      <c r="AD247" s="1">
        <f t="shared" si="97"/>
        <v>0</v>
      </c>
      <c r="AE247" s="1">
        <f t="shared" si="98"/>
        <v>0</v>
      </c>
      <c r="AF247" s="1">
        <f t="shared" si="83"/>
        <v>0</v>
      </c>
      <c r="AG247" s="1">
        <f t="shared" si="84"/>
        <v>0</v>
      </c>
      <c r="AH247" s="1">
        <f t="shared" si="85"/>
        <v>0</v>
      </c>
      <c r="AI247" s="1">
        <f t="shared" si="86"/>
        <v>1</v>
      </c>
    </row>
    <row r="248" spans="1:35" s="1" customFormat="1" ht="14.25" customHeight="1" x14ac:dyDescent="0.25">
      <c r="A248" s="31">
        <v>0</v>
      </c>
      <c r="B248" s="31">
        <v>1</v>
      </c>
      <c r="C248" s="31">
        <v>6</v>
      </c>
      <c r="D248" s="32" t="s">
        <v>99</v>
      </c>
      <c r="E248" s="32" t="s">
        <v>166</v>
      </c>
      <c r="F248" s="32" t="s">
        <v>658</v>
      </c>
      <c r="G248" s="32" t="s">
        <v>660</v>
      </c>
      <c r="H248" s="32" t="s">
        <v>352</v>
      </c>
      <c r="I248" s="31" t="s">
        <v>444</v>
      </c>
      <c r="J248" s="31">
        <v>99</v>
      </c>
      <c r="K248" s="33" t="s">
        <v>718</v>
      </c>
      <c r="L248" s="33" t="s">
        <v>692</v>
      </c>
      <c r="M248" s="34" t="s">
        <v>703</v>
      </c>
      <c r="N248" s="34" t="s">
        <v>1733</v>
      </c>
      <c r="O248" s="35">
        <v>1</v>
      </c>
      <c r="P248" s="35"/>
      <c r="Q248" s="32"/>
      <c r="S248" s="1">
        <f t="shared" si="87"/>
        <v>0</v>
      </c>
      <c r="T248" s="1">
        <f t="shared" si="88"/>
        <v>0</v>
      </c>
      <c r="U248" s="1">
        <f t="shared" si="89"/>
        <v>0</v>
      </c>
      <c r="V248" s="1">
        <f t="shared" si="90"/>
        <v>0</v>
      </c>
      <c r="W248" s="1">
        <f t="shared" si="91"/>
        <v>0</v>
      </c>
      <c r="X248" s="1">
        <f t="shared" si="92"/>
        <v>0</v>
      </c>
      <c r="Y248" s="1">
        <f t="shared" si="93"/>
        <v>0</v>
      </c>
      <c r="Z248" s="1">
        <f t="shared" si="94"/>
        <v>0</v>
      </c>
      <c r="AA248" s="1">
        <f t="shared" si="95"/>
        <v>0</v>
      </c>
      <c r="AB248" s="1">
        <f t="shared" si="96"/>
        <v>0</v>
      </c>
      <c r="AD248" s="1">
        <f t="shared" si="97"/>
        <v>0</v>
      </c>
      <c r="AE248" s="1">
        <f t="shared" si="98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35" s="1" customFormat="1" ht="14.25" customHeight="1" x14ac:dyDescent="0.25">
      <c r="A249" s="31">
        <v>0</v>
      </c>
      <c r="B249" s="31">
        <v>1</v>
      </c>
      <c r="C249" s="31">
        <v>7</v>
      </c>
      <c r="D249" s="32" t="s">
        <v>86</v>
      </c>
      <c r="E249" s="32" t="s">
        <v>29</v>
      </c>
      <c r="F249" s="32" t="s">
        <v>659</v>
      </c>
      <c r="G249" s="32" t="s">
        <v>660</v>
      </c>
      <c r="H249" s="32" t="s">
        <v>352</v>
      </c>
      <c r="I249" s="31" t="s">
        <v>627</v>
      </c>
      <c r="J249" s="31">
        <v>99</v>
      </c>
      <c r="K249" s="33" t="s">
        <v>941</v>
      </c>
      <c r="L249" s="33" t="s">
        <v>689</v>
      </c>
      <c r="M249" s="34" t="s">
        <v>1389</v>
      </c>
      <c r="N249" s="34" t="s">
        <v>1711</v>
      </c>
      <c r="O249" s="35">
        <v>1</v>
      </c>
      <c r="P249" s="35">
        <v>1</v>
      </c>
      <c r="Q249" s="32"/>
      <c r="S249" s="1">
        <f t="shared" si="87"/>
        <v>0</v>
      </c>
      <c r="T249" s="1">
        <f t="shared" si="88"/>
        <v>0</v>
      </c>
      <c r="U249" s="1">
        <f t="shared" si="89"/>
        <v>0</v>
      </c>
      <c r="V249" s="1">
        <f t="shared" si="90"/>
        <v>0</v>
      </c>
      <c r="W249" s="1">
        <f t="shared" si="91"/>
        <v>0</v>
      </c>
      <c r="X249" s="1">
        <f t="shared" si="92"/>
        <v>0</v>
      </c>
      <c r="Y249" s="1">
        <f t="shared" si="93"/>
        <v>0</v>
      </c>
      <c r="Z249" s="1">
        <f t="shared" si="94"/>
        <v>0</v>
      </c>
      <c r="AA249" s="1">
        <f t="shared" si="95"/>
        <v>0</v>
      </c>
      <c r="AB249" s="1">
        <f t="shared" si="96"/>
        <v>0</v>
      </c>
      <c r="AD249" s="1">
        <f t="shared" si="97"/>
        <v>1</v>
      </c>
      <c r="AE249" s="1">
        <f t="shared" si="98"/>
        <v>0</v>
      </c>
      <c r="AF249" s="1">
        <f t="shared" si="83"/>
        <v>1</v>
      </c>
      <c r="AG249" s="1">
        <f t="shared" si="84"/>
        <v>0</v>
      </c>
      <c r="AH249" s="1">
        <f t="shared" si="85"/>
        <v>1</v>
      </c>
      <c r="AI249" s="1">
        <f t="shared" si="86"/>
        <v>0</v>
      </c>
    </row>
    <row r="250" spans="1:35" s="1" customFormat="1" ht="14.25" customHeight="1" x14ac:dyDescent="0.25">
      <c r="A250" s="31">
        <v>0</v>
      </c>
      <c r="B250" s="31">
        <v>1</v>
      </c>
      <c r="C250" s="31">
        <v>7</v>
      </c>
      <c r="D250" s="32" t="s">
        <v>646</v>
      </c>
      <c r="E250" s="32" t="s">
        <v>29</v>
      </c>
      <c r="F250" s="32" t="s">
        <v>622</v>
      </c>
      <c r="G250" s="32" t="s">
        <v>231</v>
      </c>
      <c r="H250" s="32" t="s">
        <v>352</v>
      </c>
      <c r="I250" s="31" t="s">
        <v>623</v>
      </c>
      <c r="J250" s="31">
        <v>99</v>
      </c>
      <c r="K250" s="33" t="s">
        <v>709</v>
      </c>
      <c r="L250" s="33" t="s">
        <v>692</v>
      </c>
      <c r="M250" s="34" t="s">
        <v>960</v>
      </c>
      <c r="N250" s="34" t="s">
        <v>1833</v>
      </c>
      <c r="O250" s="35">
        <v>1</v>
      </c>
      <c r="P250" s="35"/>
      <c r="Q250" s="32"/>
      <c r="S250" s="1">
        <f t="shared" si="87"/>
        <v>0</v>
      </c>
      <c r="T250" s="1">
        <f t="shared" si="88"/>
        <v>0</v>
      </c>
      <c r="U250" s="1">
        <f t="shared" si="89"/>
        <v>0</v>
      </c>
      <c r="V250" s="1">
        <f t="shared" si="90"/>
        <v>0</v>
      </c>
      <c r="W250" s="1">
        <f t="shared" si="91"/>
        <v>0</v>
      </c>
      <c r="X250" s="1">
        <f t="shared" si="92"/>
        <v>0</v>
      </c>
      <c r="Y250" s="1">
        <f t="shared" si="93"/>
        <v>0</v>
      </c>
      <c r="Z250" s="1">
        <f t="shared" si="94"/>
        <v>0</v>
      </c>
      <c r="AA250" s="1">
        <f t="shared" si="95"/>
        <v>0</v>
      </c>
      <c r="AB250" s="1">
        <f t="shared" si="96"/>
        <v>0</v>
      </c>
      <c r="AD250" s="1">
        <f t="shared" si="97"/>
        <v>0</v>
      </c>
      <c r="AE250" s="1">
        <f t="shared" si="98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35" s="1" customFormat="1" ht="14.25" customHeight="1" x14ac:dyDescent="0.25">
      <c r="A251" s="15">
        <v>0</v>
      </c>
      <c r="B251" s="15">
        <v>1</v>
      </c>
      <c r="C251" s="15">
        <v>7</v>
      </c>
      <c r="D251" s="16" t="s">
        <v>970</v>
      </c>
      <c r="E251" s="16" t="s">
        <v>29</v>
      </c>
      <c r="F251" s="16" t="s">
        <v>971</v>
      </c>
      <c r="G251" s="16" t="s">
        <v>972</v>
      </c>
      <c r="H251" s="16" t="s">
        <v>352</v>
      </c>
      <c r="I251" s="15" t="s">
        <v>969</v>
      </c>
      <c r="J251" s="15">
        <v>99</v>
      </c>
      <c r="K251" s="10" t="s">
        <v>699</v>
      </c>
      <c r="L251" s="10">
        <v>20</v>
      </c>
      <c r="M251" s="19" t="s">
        <v>960</v>
      </c>
      <c r="N251" s="19"/>
      <c r="Q251" s="16"/>
      <c r="S251" s="1">
        <f t="shared" si="87"/>
        <v>0</v>
      </c>
      <c r="T251" s="1">
        <f t="shared" si="88"/>
        <v>0</v>
      </c>
      <c r="U251" s="1">
        <f t="shared" si="89"/>
        <v>0</v>
      </c>
      <c r="V251" s="1">
        <f t="shared" si="90"/>
        <v>0</v>
      </c>
      <c r="W251" s="1">
        <f t="shared" si="91"/>
        <v>0</v>
      </c>
      <c r="X251" s="1">
        <f t="shared" si="92"/>
        <v>0</v>
      </c>
      <c r="Y251" s="1">
        <f t="shared" si="93"/>
        <v>0</v>
      </c>
      <c r="Z251" s="1">
        <f t="shared" si="94"/>
        <v>0</v>
      </c>
      <c r="AA251" s="1">
        <f t="shared" si="95"/>
        <v>0</v>
      </c>
      <c r="AB251" s="1">
        <f t="shared" si="96"/>
        <v>0</v>
      </c>
      <c r="AD251" s="1">
        <f t="shared" si="97"/>
        <v>0</v>
      </c>
      <c r="AE251" s="1">
        <f t="shared" si="98"/>
        <v>0</v>
      </c>
      <c r="AF251" s="1">
        <f t="shared" si="83"/>
        <v>0</v>
      </c>
      <c r="AG251" s="1">
        <f t="shared" si="84"/>
        <v>0</v>
      </c>
      <c r="AH251" s="1">
        <f t="shared" si="85"/>
        <v>0</v>
      </c>
      <c r="AI251" s="1">
        <f t="shared" si="86"/>
        <v>1</v>
      </c>
    </row>
    <row r="252" spans="1:35" s="1" customFormat="1" ht="14.25" customHeight="1" x14ac:dyDescent="0.25">
      <c r="A252" s="38">
        <v>0</v>
      </c>
      <c r="B252" s="38">
        <v>1</v>
      </c>
      <c r="C252" s="38">
        <v>7</v>
      </c>
      <c r="D252" s="39" t="s">
        <v>587</v>
      </c>
      <c r="E252" s="39" t="s">
        <v>29</v>
      </c>
      <c r="F252" s="39" t="s">
        <v>588</v>
      </c>
      <c r="G252" s="39" t="s">
        <v>1060</v>
      </c>
      <c r="H252" s="39" t="s">
        <v>352</v>
      </c>
      <c r="I252" s="38" t="s">
        <v>589</v>
      </c>
      <c r="J252" s="38">
        <v>99</v>
      </c>
      <c r="K252" s="40" t="s">
        <v>699</v>
      </c>
      <c r="L252" s="40">
        <v>35</v>
      </c>
      <c r="M252" s="41" t="s">
        <v>1389</v>
      </c>
      <c r="N252" s="41"/>
      <c r="O252" s="43"/>
      <c r="P252" s="43">
        <v>1</v>
      </c>
      <c r="Q252" s="39"/>
      <c r="S252" s="1">
        <f t="shared" si="87"/>
        <v>0</v>
      </c>
      <c r="T252" s="1">
        <f t="shared" si="88"/>
        <v>0</v>
      </c>
      <c r="U252" s="1">
        <f t="shared" si="89"/>
        <v>0</v>
      </c>
      <c r="V252" s="1">
        <f t="shared" si="90"/>
        <v>0</v>
      </c>
      <c r="W252" s="1">
        <f t="shared" si="91"/>
        <v>0</v>
      </c>
      <c r="X252" s="1">
        <f t="shared" si="92"/>
        <v>0</v>
      </c>
      <c r="Y252" s="1">
        <f t="shared" si="93"/>
        <v>0</v>
      </c>
      <c r="Z252" s="1">
        <f t="shared" si="94"/>
        <v>0</v>
      </c>
      <c r="AA252" s="1">
        <f t="shared" si="95"/>
        <v>0</v>
      </c>
      <c r="AB252" s="1">
        <f t="shared" si="96"/>
        <v>0</v>
      </c>
      <c r="AD252" s="1">
        <f t="shared" si="97"/>
        <v>0</v>
      </c>
      <c r="AE252" s="1">
        <f t="shared" si="98"/>
        <v>0</v>
      </c>
      <c r="AF252" s="1">
        <f t="shared" si="83"/>
        <v>0</v>
      </c>
      <c r="AG252" s="1">
        <f t="shared" si="84"/>
        <v>0</v>
      </c>
      <c r="AH252" s="1">
        <f t="shared" si="85"/>
        <v>1</v>
      </c>
      <c r="AI252" s="1">
        <f t="shared" si="86"/>
        <v>0</v>
      </c>
    </row>
    <row r="253" spans="1:35" s="1" customFormat="1" ht="14.25" customHeight="1" x14ac:dyDescent="0.25">
      <c r="A253" s="31">
        <v>0</v>
      </c>
      <c r="B253" s="31">
        <v>1</v>
      </c>
      <c r="C253" s="31">
        <v>7</v>
      </c>
      <c r="D253" s="32" t="s">
        <v>1611</v>
      </c>
      <c r="E253" s="32" t="s">
        <v>29</v>
      </c>
      <c r="F253" s="32" t="s">
        <v>1666</v>
      </c>
      <c r="G253" s="32" t="s">
        <v>310</v>
      </c>
      <c r="H253" s="32" t="s">
        <v>352</v>
      </c>
      <c r="I253" s="31" t="s">
        <v>1612</v>
      </c>
      <c r="J253" s="31"/>
      <c r="K253" s="33" t="s">
        <v>709</v>
      </c>
      <c r="L253" s="33">
        <v>45</v>
      </c>
      <c r="M253" s="34" t="s">
        <v>1784</v>
      </c>
      <c r="N253" s="34" t="s">
        <v>1717</v>
      </c>
      <c r="O253" s="35">
        <v>1</v>
      </c>
      <c r="P253" s="35">
        <v>1</v>
      </c>
      <c r="Q253" s="32"/>
      <c r="S253" s="1">
        <f t="shared" si="87"/>
        <v>0</v>
      </c>
      <c r="T253" s="1">
        <f t="shared" si="88"/>
        <v>0</v>
      </c>
      <c r="U253" s="1">
        <f t="shared" si="89"/>
        <v>0</v>
      </c>
      <c r="V253" s="1">
        <f t="shared" si="90"/>
        <v>0</v>
      </c>
      <c r="W253" s="1">
        <f t="shared" si="91"/>
        <v>0</v>
      </c>
      <c r="X253" s="1">
        <f t="shared" si="92"/>
        <v>0</v>
      </c>
      <c r="Y253" s="1">
        <f t="shared" si="93"/>
        <v>0</v>
      </c>
      <c r="Z253" s="1">
        <f t="shared" si="94"/>
        <v>0</v>
      </c>
      <c r="AA253" s="1">
        <f t="shared" si="95"/>
        <v>0</v>
      </c>
      <c r="AB253" s="1">
        <f t="shared" si="96"/>
        <v>0</v>
      </c>
      <c r="AD253" s="1">
        <f t="shared" si="97"/>
        <v>1</v>
      </c>
      <c r="AE253" s="1">
        <f t="shared" si="98"/>
        <v>0</v>
      </c>
      <c r="AF253" s="1">
        <f t="shared" si="83"/>
        <v>1</v>
      </c>
      <c r="AG253" s="1">
        <f t="shared" si="84"/>
        <v>0</v>
      </c>
      <c r="AH253" s="1">
        <f t="shared" si="85"/>
        <v>1</v>
      </c>
      <c r="AI253" s="1">
        <f t="shared" si="86"/>
        <v>0</v>
      </c>
    </row>
    <row r="254" spans="1:35" s="1" customFormat="1" ht="14.25" customHeight="1" x14ac:dyDescent="0.25">
      <c r="A254" s="31">
        <v>0</v>
      </c>
      <c r="B254" s="31">
        <v>1</v>
      </c>
      <c r="C254" s="31">
        <v>7</v>
      </c>
      <c r="D254" s="32" t="s">
        <v>850</v>
      </c>
      <c r="E254" s="32" t="s">
        <v>29</v>
      </c>
      <c r="F254" s="32" t="s">
        <v>851</v>
      </c>
      <c r="G254" s="32" t="s">
        <v>201</v>
      </c>
      <c r="H254" s="32" t="s">
        <v>352</v>
      </c>
      <c r="I254" s="31" t="s">
        <v>852</v>
      </c>
      <c r="J254" s="31">
        <v>10</v>
      </c>
      <c r="K254" s="33" t="s">
        <v>709</v>
      </c>
      <c r="L254" s="33" t="s">
        <v>689</v>
      </c>
      <c r="M254" s="34" t="s">
        <v>1389</v>
      </c>
      <c r="N254" s="34" t="s">
        <v>1739</v>
      </c>
      <c r="O254" s="35">
        <v>1</v>
      </c>
      <c r="P254" s="35"/>
      <c r="Q254" s="32"/>
      <c r="S254" s="1">
        <f t="shared" si="87"/>
        <v>0</v>
      </c>
      <c r="T254" s="1">
        <f t="shared" si="88"/>
        <v>0</v>
      </c>
      <c r="U254" s="1">
        <f t="shared" si="89"/>
        <v>0</v>
      </c>
      <c r="V254" s="1">
        <f t="shared" si="90"/>
        <v>0</v>
      </c>
      <c r="W254" s="1">
        <f t="shared" si="91"/>
        <v>0</v>
      </c>
      <c r="X254" s="1">
        <f t="shared" si="92"/>
        <v>0</v>
      </c>
      <c r="Y254" s="1">
        <f t="shared" si="93"/>
        <v>0</v>
      </c>
      <c r="Z254" s="1">
        <f t="shared" si="94"/>
        <v>0</v>
      </c>
      <c r="AA254" s="1">
        <f t="shared" si="95"/>
        <v>0</v>
      </c>
      <c r="AB254" s="1">
        <f t="shared" si="96"/>
        <v>1</v>
      </c>
      <c r="AD254" s="1">
        <f t="shared" si="97"/>
        <v>0</v>
      </c>
      <c r="AE254" s="1">
        <f t="shared" si="98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35" s="1" customFormat="1" ht="14.25" customHeight="1" x14ac:dyDescent="0.25">
      <c r="A255" s="31">
        <v>0</v>
      </c>
      <c r="B255" s="31">
        <v>1</v>
      </c>
      <c r="C255" s="31">
        <v>7</v>
      </c>
      <c r="D255" s="32" t="s">
        <v>40</v>
      </c>
      <c r="E255" s="32" t="s">
        <v>29</v>
      </c>
      <c r="F255" s="32" t="s">
        <v>279</v>
      </c>
      <c r="G255" s="32" t="s">
        <v>229</v>
      </c>
      <c r="H255" s="32" t="s">
        <v>352</v>
      </c>
      <c r="I255" s="31" t="s">
        <v>433</v>
      </c>
      <c r="J255" s="31">
        <v>7</v>
      </c>
      <c r="K255" s="33" t="s">
        <v>709</v>
      </c>
      <c r="L255" s="33" t="s">
        <v>692</v>
      </c>
      <c r="M255" s="34" t="s">
        <v>960</v>
      </c>
      <c r="N255" s="34" t="s">
        <v>1711</v>
      </c>
      <c r="O255" s="35">
        <v>1</v>
      </c>
      <c r="P255" s="35">
        <v>1</v>
      </c>
      <c r="Q255" s="32"/>
      <c r="S255" s="1">
        <f t="shared" si="87"/>
        <v>0</v>
      </c>
      <c r="T255" s="1">
        <f t="shared" si="88"/>
        <v>0</v>
      </c>
      <c r="U255" s="1">
        <f t="shared" si="89"/>
        <v>0</v>
      </c>
      <c r="V255" s="1">
        <f t="shared" si="90"/>
        <v>0</v>
      </c>
      <c r="W255" s="1">
        <f t="shared" si="91"/>
        <v>0</v>
      </c>
      <c r="X255" s="1">
        <f t="shared" si="92"/>
        <v>0</v>
      </c>
      <c r="Y255" s="1">
        <f t="shared" si="93"/>
        <v>1</v>
      </c>
      <c r="Z255" s="1">
        <f t="shared" si="94"/>
        <v>0</v>
      </c>
      <c r="AA255" s="1">
        <f t="shared" si="95"/>
        <v>0</v>
      </c>
      <c r="AB255" s="1">
        <f t="shared" si="96"/>
        <v>0</v>
      </c>
      <c r="AD255" s="1">
        <f t="shared" si="97"/>
        <v>1</v>
      </c>
      <c r="AE255" s="1">
        <f t="shared" si="98"/>
        <v>0</v>
      </c>
      <c r="AF255" s="1">
        <f t="shared" si="83"/>
        <v>1</v>
      </c>
      <c r="AG255" s="1">
        <f t="shared" si="84"/>
        <v>0</v>
      </c>
      <c r="AH255" s="1">
        <f t="shared" si="85"/>
        <v>1</v>
      </c>
      <c r="AI255" s="1">
        <f t="shared" si="86"/>
        <v>0</v>
      </c>
    </row>
    <row r="256" spans="1:35" s="1" customFormat="1" ht="14.25" customHeight="1" x14ac:dyDescent="0.25">
      <c r="A256" s="31">
        <v>1</v>
      </c>
      <c r="B256" s="31">
        <v>1</v>
      </c>
      <c r="C256" s="31">
        <v>7</v>
      </c>
      <c r="D256" s="32" t="s">
        <v>40</v>
      </c>
      <c r="E256" s="32" t="s">
        <v>29</v>
      </c>
      <c r="F256" s="32" t="s">
        <v>1585</v>
      </c>
      <c r="G256" s="32" t="s">
        <v>39</v>
      </c>
      <c r="H256" s="32" t="s">
        <v>352</v>
      </c>
      <c r="I256" s="31" t="s">
        <v>1586</v>
      </c>
      <c r="J256" s="31">
        <v>99</v>
      </c>
      <c r="K256" s="33" t="s">
        <v>709</v>
      </c>
      <c r="L256" s="33" t="s">
        <v>692</v>
      </c>
      <c r="M256" s="34" t="s">
        <v>960</v>
      </c>
      <c r="N256" s="34" t="s">
        <v>1711</v>
      </c>
      <c r="O256" s="35">
        <v>1</v>
      </c>
      <c r="P256" s="35">
        <v>1</v>
      </c>
      <c r="Q256" s="32"/>
      <c r="S256" s="1">
        <f t="shared" si="87"/>
        <v>0</v>
      </c>
      <c r="T256" s="1">
        <f t="shared" si="88"/>
        <v>0</v>
      </c>
      <c r="U256" s="1">
        <f t="shared" si="89"/>
        <v>0</v>
      </c>
      <c r="V256" s="1">
        <f t="shared" si="90"/>
        <v>0</v>
      </c>
      <c r="W256" s="1">
        <f t="shared" si="91"/>
        <v>0</v>
      </c>
      <c r="X256" s="1">
        <f t="shared" si="92"/>
        <v>0</v>
      </c>
      <c r="Y256" s="1">
        <f t="shared" si="93"/>
        <v>0</v>
      </c>
      <c r="Z256" s="1">
        <f t="shared" si="94"/>
        <v>0</v>
      </c>
      <c r="AA256" s="1">
        <f t="shared" si="95"/>
        <v>0</v>
      </c>
      <c r="AB256" s="1">
        <f t="shared" si="96"/>
        <v>0</v>
      </c>
      <c r="AD256" s="1">
        <f t="shared" si="97"/>
        <v>1</v>
      </c>
      <c r="AE256" s="1">
        <f t="shared" si="98"/>
        <v>0</v>
      </c>
      <c r="AF256" s="1">
        <f t="shared" si="83"/>
        <v>0</v>
      </c>
      <c r="AG256" s="1">
        <f t="shared" si="84"/>
        <v>0</v>
      </c>
      <c r="AH256" s="1">
        <f t="shared" si="85"/>
        <v>0</v>
      </c>
      <c r="AI256" s="1">
        <f t="shared" si="86"/>
        <v>0</v>
      </c>
    </row>
    <row r="257" spans="1:35" s="1" customFormat="1" ht="14.25" customHeight="1" x14ac:dyDescent="0.25">
      <c r="A257" s="49">
        <v>0</v>
      </c>
      <c r="B257" s="49">
        <v>1</v>
      </c>
      <c r="C257" s="49">
        <v>7</v>
      </c>
      <c r="D257" s="55" t="s">
        <v>1468</v>
      </c>
      <c r="E257" s="50" t="s">
        <v>29</v>
      </c>
      <c r="F257" s="55" t="s">
        <v>991</v>
      </c>
      <c r="G257" s="55" t="s">
        <v>1089</v>
      </c>
      <c r="H257" s="55" t="s">
        <v>352</v>
      </c>
      <c r="I257" s="63" t="s">
        <v>1097</v>
      </c>
      <c r="J257" s="49">
        <v>10</v>
      </c>
      <c r="K257" s="51" t="s">
        <v>709</v>
      </c>
      <c r="L257" s="51" t="s">
        <v>690</v>
      </c>
      <c r="M257" s="52" t="s">
        <v>960</v>
      </c>
      <c r="N257" s="52" t="s">
        <v>1727</v>
      </c>
      <c r="O257" s="53">
        <v>1</v>
      </c>
      <c r="P257" s="53"/>
      <c r="Q257" s="55"/>
      <c r="S257" s="1">
        <f t="shared" si="87"/>
        <v>0</v>
      </c>
      <c r="T257" s="1">
        <f t="shared" si="88"/>
        <v>0</v>
      </c>
      <c r="U257" s="1">
        <f t="shared" si="89"/>
        <v>0</v>
      </c>
      <c r="V257" s="1">
        <f t="shared" si="90"/>
        <v>0</v>
      </c>
      <c r="W257" s="1">
        <f t="shared" si="91"/>
        <v>0</v>
      </c>
      <c r="X257" s="1">
        <f t="shared" si="92"/>
        <v>0</v>
      </c>
      <c r="Y257" s="1">
        <f t="shared" si="93"/>
        <v>0</v>
      </c>
      <c r="Z257" s="1">
        <f t="shared" si="94"/>
        <v>0</v>
      </c>
      <c r="AA257" s="1">
        <f t="shared" si="95"/>
        <v>0</v>
      </c>
      <c r="AB257" s="1">
        <f t="shared" si="96"/>
        <v>1</v>
      </c>
      <c r="AD257" s="1">
        <f t="shared" si="97"/>
        <v>0</v>
      </c>
      <c r="AE257" s="1">
        <f t="shared" si="98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s="1" customFormat="1" ht="14.25" customHeight="1" x14ac:dyDescent="0.25">
      <c r="A258" s="31">
        <v>0</v>
      </c>
      <c r="B258" s="31">
        <v>1</v>
      </c>
      <c r="C258" s="31">
        <v>7</v>
      </c>
      <c r="D258" s="36" t="s">
        <v>1469</v>
      </c>
      <c r="E258" s="32" t="s">
        <v>29</v>
      </c>
      <c r="F258" s="36" t="s">
        <v>989</v>
      </c>
      <c r="G258" s="36" t="s">
        <v>239</v>
      </c>
      <c r="H258" s="36" t="s">
        <v>352</v>
      </c>
      <c r="I258" s="37" t="s">
        <v>990</v>
      </c>
      <c r="J258" s="31">
        <v>1</v>
      </c>
      <c r="K258" s="33" t="s">
        <v>948</v>
      </c>
      <c r="L258" s="33" t="s">
        <v>690</v>
      </c>
      <c r="M258" s="34" t="s">
        <v>960</v>
      </c>
      <c r="N258" s="34" t="s">
        <v>1785</v>
      </c>
      <c r="O258" s="35">
        <v>1</v>
      </c>
      <c r="P258" s="35"/>
      <c r="Q258" s="36"/>
      <c r="S258" s="1">
        <f t="shared" si="87"/>
        <v>1</v>
      </c>
      <c r="T258" s="1">
        <f t="shared" si="88"/>
        <v>0</v>
      </c>
      <c r="U258" s="1">
        <f t="shared" si="89"/>
        <v>0</v>
      </c>
      <c r="V258" s="1">
        <f t="shared" si="90"/>
        <v>0</v>
      </c>
      <c r="W258" s="1">
        <f t="shared" si="91"/>
        <v>0</v>
      </c>
      <c r="X258" s="1">
        <f t="shared" si="92"/>
        <v>0</v>
      </c>
      <c r="Y258" s="1">
        <f t="shared" si="93"/>
        <v>0</v>
      </c>
      <c r="Z258" s="1">
        <f t="shared" si="94"/>
        <v>0</v>
      </c>
      <c r="AA258" s="1">
        <f t="shared" si="95"/>
        <v>0</v>
      </c>
      <c r="AB258" s="1">
        <f t="shared" si="96"/>
        <v>0</v>
      </c>
      <c r="AD258" s="1">
        <f t="shared" si="97"/>
        <v>0</v>
      </c>
      <c r="AE258" s="1">
        <f t="shared" si="98"/>
        <v>1</v>
      </c>
      <c r="AF258" s="1">
        <f t="shared" si="83"/>
        <v>0</v>
      </c>
      <c r="AG258" s="1">
        <f t="shared" si="84"/>
        <v>1</v>
      </c>
      <c r="AH258" s="1">
        <f t="shared" si="85"/>
        <v>0</v>
      </c>
      <c r="AI258" s="1">
        <f t="shared" si="86"/>
        <v>1</v>
      </c>
    </row>
    <row r="259" spans="1:35" s="1" customFormat="1" ht="14.25" customHeight="1" x14ac:dyDescent="0.25">
      <c r="A259" s="31">
        <v>0</v>
      </c>
      <c r="B259" s="31">
        <v>1</v>
      </c>
      <c r="C259" s="31">
        <v>7</v>
      </c>
      <c r="D259" s="36" t="s">
        <v>887</v>
      </c>
      <c r="E259" s="32" t="s">
        <v>29</v>
      </c>
      <c r="F259" s="36" t="s">
        <v>888</v>
      </c>
      <c r="G259" s="36" t="s">
        <v>39</v>
      </c>
      <c r="H259" s="36" t="s">
        <v>353</v>
      </c>
      <c r="I259" s="37" t="s">
        <v>889</v>
      </c>
      <c r="J259" s="31">
        <v>11</v>
      </c>
      <c r="K259" s="33" t="s">
        <v>699</v>
      </c>
      <c r="L259" s="33">
        <v>35</v>
      </c>
      <c r="M259" s="34" t="s">
        <v>1389</v>
      </c>
      <c r="N259" s="34" t="s">
        <v>1930</v>
      </c>
      <c r="O259" s="35">
        <v>1</v>
      </c>
      <c r="P259" s="35"/>
      <c r="Q259" s="36" t="s">
        <v>1887</v>
      </c>
      <c r="S259" s="1">
        <f t="shared" si="87"/>
        <v>0</v>
      </c>
      <c r="T259" s="1">
        <f t="shared" si="88"/>
        <v>0</v>
      </c>
      <c r="U259" s="1">
        <f t="shared" si="89"/>
        <v>0</v>
      </c>
      <c r="V259" s="1">
        <f t="shared" si="90"/>
        <v>0</v>
      </c>
      <c r="W259" s="1">
        <f t="shared" si="91"/>
        <v>0</v>
      </c>
      <c r="X259" s="1">
        <f t="shared" si="92"/>
        <v>0</v>
      </c>
      <c r="Y259" s="1">
        <f t="shared" si="93"/>
        <v>0</v>
      </c>
      <c r="Z259" s="1">
        <f t="shared" si="94"/>
        <v>0</v>
      </c>
      <c r="AA259" s="1">
        <f t="shared" si="95"/>
        <v>0</v>
      </c>
      <c r="AB259" s="1">
        <f t="shared" si="96"/>
        <v>0</v>
      </c>
      <c r="AD259" s="1">
        <f t="shared" si="97"/>
        <v>0</v>
      </c>
      <c r="AE259" s="1">
        <f t="shared" si="98"/>
        <v>1</v>
      </c>
      <c r="AF259" s="1">
        <f t="shared" si="83"/>
        <v>0</v>
      </c>
      <c r="AG259" s="1">
        <f t="shared" si="84"/>
        <v>1</v>
      </c>
      <c r="AH259" s="1">
        <f t="shared" si="85"/>
        <v>0</v>
      </c>
      <c r="AI259" s="1">
        <f t="shared" si="86"/>
        <v>1</v>
      </c>
    </row>
    <row r="260" spans="1:35" s="1" customFormat="1" ht="14.25" customHeight="1" x14ac:dyDescent="0.25">
      <c r="A260" s="31">
        <v>0</v>
      </c>
      <c r="B260" s="31">
        <v>1</v>
      </c>
      <c r="C260" s="31">
        <v>7</v>
      </c>
      <c r="D260" s="36" t="s">
        <v>1071</v>
      </c>
      <c r="E260" s="32" t="s">
        <v>29</v>
      </c>
      <c r="F260" s="36" t="s">
        <v>973</v>
      </c>
      <c r="G260" s="36" t="s">
        <v>202</v>
      </c>
      <c r="H260" s="36" t="s">
        <v>352</v>
      </c>
      <c r="I260" s="37" t="s">
        <v>974</v>
      </c>
      <c r="J260" s="31">
        <v>99</v>
      </c>
      <c r="K260" s="33" t="s">
        <v>709</v>
      </c>
      <c r="L260" s="33" t="s">
        <v>690</v>
      </c>
      <c r="M260" s="34" t="s">
        <v>1426</v>
      </c>
      <c r="N260" s="34" t="s">
        <v>1711</v>
      </c>
      <c r="O260" s="35">
        <v>1</v>
      </c>
      <c r="P260" s="35">
        <v>1</v>
      </c>
      <c r="Q260" s="36"/>
      <c r="S260" s="1">
        <f t="shared" si="87"/>
        <v>0</v>
      </c>
      <c r="T260" s="1">
        <f t="shared" si="88"/>
        <v>0</v>
      </c>
      <c r="U260" s="1">
        <f t="shared" si="89"/>
        <v>0</v>
      </c>
      <c r="V260" s="1">
        <f t="shared" si="90"/>
        <v>0</v>
      </c>
      <c r="W260" s="1">
        <f t="shared" si="91"/>
        <v>0</v>
      </c>
      <c r="X260" s="1">
        <f t="shared" si="92"/>
        <v>0</v>
      </c>
      <c r="Y260" s="1">
        <f t="shared" si="93"/>
        <v>0</v>
      </c>
      <c r="Z260" s="1">
        <f t="shared" si="94"/>
        <v>0</v>
      </c>
      <c r="AA260" s="1">
        <f t="shared" si="95"/>
        <v>0</v>
      </c>
      <c r="AB260" s="1">
        <f t="shared" si="96"/>
        <v>0</v>
      </c>
      <c r="AD260" s="1">
        <f t="shared" si="97"/>
        <v>1</v>
      </c>
      <c r="AE260" s="1">
        <f t="shared" si="98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s="1" customFormat="1" ht="14.25" customHeight="1" x14ac:dyDescent="0.25">
      <c r="A261" s="15">
        <v>0</v>
      </c>
      <c r="B261" s="15">
        <v>1</v>
      </c>
      <c r="C261" s="15">
        <v>7</v>
      </c>
      <c r="D261" s="16" t="s">
        <v>747</v>
      </c>
      <c r="E261" s="16" t="s">
        <v>29</v>
      </c>
      <c r="F261" s="16" t="s">
        <v>748</v>
      </c>
      <c r="G261" s="16" t="s">
        <v>749</v>
      </c>
      <c r="H261" s="16" t="s">
        <v>352</v>
      </c>
      <c r="I261" s="15" t="s">
        <v>750</v>
      </c>
      <c r="J261" s="15">
        <v>99</v>
      </c>
      <c r="K261" s="10" t="s">
        <v>699</v>
      </c>
      <c r="L261" s="10">
        <v>20</v>
      </c>
      <c r="M261" s="19" t="s">
        <v>1107</v>
      </c>
      <c r="N261" s="17"/>
      <c r="Q261" s="16"/>
      <c r="S261" s="1">
        <f t="shared" si="87"/>
        <v>0</v>
      </c>
      <c r="T261" s="1">
        <f t="shared" si="88"/>
        <v>0</v>
      </c>
      <c r="U261" s="1">
        <f t="shared" si="89"/>
        <v>0</v>
      </c>
      <c r="V261" s="1">
        <f t="shared" si="90"/>
        <v>0</v>
      </c>
      <c r="W261" s="1">
        <f t="shared" si="91"/>
        <v>0</v>
      </c>
      <c r="X261" s="1">
        <f t="shared" si="92"/>
        <v>0</v>
      </c>
      <c r="Y261" s="1">
        <f t="shared" si="93"/>
        <v>0</v>
      </c>
      <c r="Z261" s="1">
        <f t="shared" si="94"/>
        <v>0</v>
      </c>
      <c r="AA261" s="1">
        <f t="shared" si="95"/>
        <v>0</v>
      </c>
      <c r="AB261" s="1">
        <f t="shared" si="96"/>
        <v>0</v>
      </c>
      <c r="AD261" s="1">
        <f t="shared" si="97"/>
        <v>0</v>
      </c>
      <c r="AE261" s="1">
        <f t="shared" si="98"/>
        <v>0</v>
      </c>
      <c r="AF261" s="1">
        <f t="shared" si="83"/>
        <v>0</v>
      </c>
      <c r="AG261" s="1">
        <f t="shared" si="84"/>
        <v>0</v>
      </c>
      <c r="AH261" s="1">
        <f t="shared" si="85"/>
        <v>0</v>
      </c>
      <c r="AI261" s="1">
        <f t="shared" si="86"/>
        <v>1</v>
      </c>
    </row>
    <row r="262" spans="1:35" s="1" customFormat="1" ht="14.25" customHeight="1" x14ac:dyDescent="0.25">
      <c r="A262" s="31">
        <v>0</v>
      </c>
      <c r="B262" s="31">
        <v>1</v>
      </c>
      <c r="C262" s="31">
        <v>7</v>
      </c>
      <c r="D262" s="36" t="s">
        <v>819</v>
      </c>
      <c r="E262" s="32" t="s">
        <v>29</v>
      </c>
      <c r="F262" s="36" t="s">
        <v>820</v>
      </c>
      <c r="G262" s="36" t="s">
        <v>917</v>
      </c>
      <c r="H262" s="36" t="s">
        <v>352</v>
      </c>
      <c r="I262" s="37" t="s">
        <v>821</v>
      </c>
      <c r="J262" s="31">
        <v>99</v>
      </c>
      <c r="K262" s="33" t="s">
        <v>942</v>
      </c>
      <c r="L262" s="33" t="s">
        <v>690</v>
      </c>
      <c r="M262" s="34" t="s">
        <v>960</v>
      </c>
      <c r="N262" s="34" t="s">
        <v>1809</v>
      </c>
      <c r="O262" s="35">
        <v>1</v>
      </c>
      <c r="P262" s="35"/>
      <c r="Q262" s="36"/>
      <c r="S262" s="1">
        <f t="shared" si="87"/>
        <v>0</v>
      </c>
      <c r="T262" s="1">
        <f t="shared" si="88"/>
        <v>0</v>
      </c>
      <c r="U262" s="1">
        <f t="shared" si="89"/>
        <v>0</v>
      </c>
      <c r="V262" s="1">
        <f t="shared" si="90"/>
        <v>0</v>
      </c>
      <c r="W262" s="1">
        <f t="shared" si="91"/>
        <v>0</v>
      </c>
      <c r="X262" s="1">
        <f t="shared" si="92"/>
        <v>0</v>
      </c>
      <c r="Y262" s="1">
        <f t="shared" si="93"/>
        <v>0</v>
      </c>
      <c r="Z262" s="1">
        <f t="shared" si="94"/>
        <v>0</v>
      </c>
      <c r="AA262" s="1">
        <f t="shared" si="95"/>
        <v>0</v>
      </c>
      <c r="AB262" s="1">
        <f t="shared" si="96"/>
        <v>0</v>
      </c>
      <c r="AD262" s="1">
        <f t="shared" si="97"/>
        <v>0</v>
      </c>
      <c r="AE262" s="1">
        <f t="shared" si="98"/>
        <v>1</v>
      </c>
      <c r="AF262" s="1">
        <f t="shared" si="83"/>
        <v>0</v>
      </c>
      <c r="AG262" s="1">
        <f t="shared" si="84"/>
        <v>1</v>
      </c>
      <c r="AH262" s="1">
        <f t="shared" si="85"/>
        <v>0</v>
      </c>
      <c r="AI262" s="1">
        <f t="shared" si="86"/>
        <v>1</v>
      </c>
    </row>
    <row r="263" spans="1:35" s="1" customFormat="1" ht="14.25" customHeight="1" x14ac:dyDescent="0.25">
      <c r="A263" s="31">
        <v>0</v>
      </c>
      <c r="B263" s="31">
        <v>1</v>
      </c>
      <c r="C263" s="31">
        <v>7</v>
      </c>
      <c r="D263" s="36" t="s">
        <v>1704</v>
      </c>
      <c r="E263" s="32" t="s">
        <v>29</v>
      </c>
      <c r="F263" s="36" t="s">
        <v>1705</v>
      </c>
      <c r="G263" s="36" t="s">
        <v>248</v>
      </c>
      <c r="H263" s="36" t="s">
        <v>352</v>
      </c>
      <c r="I263" s="37" t="s">
        <v>1706</v>
      </c>
      <c r="J263" s="31"/>
      <c r="K263" s="33" t="s">
        <v>699</v>
      </c>
      <c r="L263" s="33"/>
      <c r="M263" s="34"/>
      <c r="N263" s="34" t="s">
        <v>1711</v>
      </c>
      <c r="O263" s="35">
        <v>1</v>
      </c>
      <c r="P263" s="35">
        <v>1</v>
      </c>
      <c r="Q263" s="36"/>
      <c r="S263" s="1">
        <f t="shared" si="87"/>
        <v>0</v>
      </c>
      <c r="T263" s="1">
        <f t="shared" si="88"/>
        <v>0</v>
      </c>
      <c r="U263" s="1">
        <f t="shared" si="89"/>
        <v>0</v>
      </c>
      <c r="V263" s="1">
        <f t="shared" si="90"/>
        <v>0</v>
      </c>
      <c r="W263" s="1">
        <f t="shared" si="91"/>
        <v>0</v>
      </c>
      <c r="X263" s="1">
        <f t="shared" si="92"/>
        <v>0</v>
      </c>
      <c r="Y263" s="1">
        <f t="shared" si="93"/>
        <v>0</v>
      </c>
      <c r="Z263" s="1">
        <f t="shared" si="94"/>
        <v>0</v>
      </c>
      <c r="AA263" s="1">
        <f t="shared" si="95"/>
        <v>0</v>
      </c>
      <c r="AB263" s="1">
        <f t="shared" si="96"/>
        <v>0</v>
      </c>
      <c r="AD263" s="1">
        <f t="shared" si="97"/>
        <v>1</v>
      </c>
      <c r="AE263" s="1">
        <f t="shared" si="98"/>
        <v>0</v>
      </c>
      <c r="AF263" s="1">
        <f t="shared" si="83"/>
        <v>1</v>
      </c>
      <c r="AG263" s="1">
        <f t="shared" si="84"/>
        <v>0</v>
      </c>
      <c r="AH263" s="1">
        <f t="shared" si="85"/>
        <v>1</v>
      </c>
      <c r="AI263" s="1">
        <f t="shared" si="86"/>
        <v>0</v>
      </c>
    </row>
    <row r="264" spans="1:35" s="1" customFormat="1" ht="14.25" customHeight="1" x14ac:dyDescent="0.25">
      <c r="A264" s="31">
        <v>0</v>
      </c>
      <c r="B264" s="31">
        <v>1</v>
      </c>
      <c r="C264" s="31">
        <v>7</v>
      </c>
      <c r="D264" s="32" t="s">
        <v>890</v>
      </c>
      <c r="E264" s="32" t="s">
        <v>29</v>
      </c>
      <c r="F264" s="32" t="s">
        <v>891</v>
      </c>
      <c r="G264" s="32" t="s">
        <v>227</v>
      </c>
      <c r="H264" s="32" t="s">
        <v>352</v>
      </c>
      <c r="I264" s="31" t="s">
        <v>892</v>
      </c>
      <c r="J264" s="31">
        <v>99</v>
      </c>
      <c r="K264" s="33" t="s">
        <v>709</v>
      </c>
      <c r="L264" s="33" t="s">
        <v>690</v>
      </c>
      <c r="M264" s="34" t="s">
        <v>1390</v>
      </c>
      <c r="N264" s="34" t="s">
        <v>1732</v>
      </c>
      <c r="O264" s="35">
        <v>1</v>
      </c>
      <c r="P264" s="35"/>
      <c r="Q264" s="32"/>
      <c r="S264" s="1">
        <f t="shared" si="87"/>
        <v>0</v>
      </c>
      <c r="T264" s="1">
        <f t="shared" si="88"/>
        <v>0</v>
      </c>
      <c r="U264" s="1">
        <f t="shared" si="89"/>
        <v>0</v>
      </c>
      <c r="V264" s="1">
        <f t="shared" si="90"/>
        <v>0</v>
      </c>
      <c r="W264" s="1">
        <f t="shared" si="91"/>
        <v>0</v>
      </c>
      <c r="X264" s="1">
        <f t="shared" si="92"/>
        <v>0</v>
      </c>
      <c r="Y264" s="1">
        <f t="shared" si="93"/>
        <v>0</v>
      </c>
      <c r="Z264" s="1">
        <f t="shared" si="94"/>
        <v>0</v>
      </c>
      <c r="AA264" s="1">
        <f t="shared" si="95"/>
        <v>0</v>
      </c>
      <c r="AB264" s="1">
        <f t="shared" si="96"/>
        <v>0</v>
      </c>
      <c r="AD264" s="1">
        <f t="shared" si="97"/>
        <v>0</v>
      </c>
      <c r="AE264" s="1">
        <f t="shared" si="98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s="1" customFormat="1" ht="14.25" customHeight="1" x14ac:dyDescent="0.25">
      <c r="A265" s="31">
        <v>0</v>
      </c>
      <c r="B265" s="31">
        <v>1</v>
      </c>
      <c r="C265" s="31">
        <v>7</v>
      </c>
      <c r="D265" s="32" t="s">
        <v>88</v>
      </c>
      <c r="E265" s="32" t="s">
        <v>29</v>
      </c>
      <c r="F265" s="32" t="s">
        <v>280</v>
      </c>
      <c r="G265" s="32" t="s">
        <v>281</v>
      </c>
      <c r="H265" s="32" t="s">
        <v>352</v>
      </c>
      <c r="I265" s="31" t="s">
        <v>931</v>
      </c>
      <c r="J265" s="31">
        <v>99</v>
      </c>
      <c r="K265" s="33" t="s">
        <v>942</v>
      </c>
      <c r="L265" s="33" t="s">
        <v>690</v>
      </c>
      <c r="M265" s="34" t="s">
        <v>960</v>
      </c>
      <c r="N265" s="34" t="s">
        <v>1833</v>
      </c>
      <c r="O265" s="35">
        <v>1</v>
      </c>
      <c r="P265" s="35"/>
      <c r="Q265" s="32"/>
      <c r="S265" s="1">
        <f t="shared" si="87"/>
        <v>0</v>
      </c>
      <c r="T265" s="1">
        <f t="shared" si="88"/>
        <v>0</v>
      </c>
      <c r="U265" s="1">
        <f t="shared" si="89"/>
        <v>0</v>
      </c>
      <c r="V265" s="1">
        <f t="shared" si="90"/>
        <v>0</v>
      </c>
      <c r="W265" s="1">
        <f t="shared" si="91"/>
        <v>0</v>
      </c>
      <c r="X265" s="1">
        <f t="shared" si="92"/>
        <v>0</v>
      </c>
      <c r="Y265" s="1">
        <f t="shared" si="93"/>
        <v>0</v>
      </c>
      <c r="Z265" s="1">
        <f t="shared" si="94"/>
        <v>0</v>
      </c>
      <c r="AA265" s="1">
        <f t="shared" si="95"/>
        <v>0</v>
      </c>
      <c r="AB265" s="1">
        <f t="shared" si="96"/>
        <v>0</v>
      </c>
      <c r="AD265" s="1">
        <f t="shared" si="97"/>
        <v>0</v>
      </c>
      <c r="AE265" s="1">
        <f t="shared" si="98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s="1" customFormat="1" ht="14.25" customHeight="1" x14ac:dyDescent="0.25">
      <c r="A266" s="31">
        <v>0</v>
      </c>
      <c r="B266" s="31">
        <v>1</v>
      </c>
      <c r="C266" s="31">
        <v>7</v>
      </c>
      <c r="D266" s="36" t="s">
        <v>1620</v>
      </c>
      <c r="E266" s="32" t="s">
        <v>29</v>
      </c>
      <c r="F266" s="36" t="s">
        <v>1519</v>
      </c>
      <c r="G266" s="36" t="s">
        <v>39</v>
      </c>
      <c r="H266" s="36" t="s">
        <v>875</v>
      </c>
      <c r="I266" s="37" t="s">
        <v>1520</v>
      </c>
      <c r="J266" s="31">
        <v>17</v>
      </c>
      <c r="K266" s="33" t="s">
        <v>709</v>
      </c>
      <c r="L266" s="33" t="s">
        <v>693</v>
      </c>
      <c r="M266" s="34" t="s">
        <v>1441</v>
      </c>
      <c r="N266" s="34" t="s">
        <v>1711</v>
      </c>
      <c r="O266" s="35">
        <v>1</v>
      </c>
      <c r="P266" s="35">
        <v>1</v>
      </c>
      <c r="Q266" s="36"/>
      <c r="S266" s="1">
        <f t="shared" si="87"/>
        <v>0</v>
      </c>
      <c r="T266" s="1">
        <f t="shared" si="88"/>
        <v>0</v>
      </c>
      <c r="U266" s="1">
        <f t="shared" si="89"/>
        <v>0</v>
      </c>
      <c r="V266" s="1">
        <f t="shared" si="90"/>
        <v>0</v>
      </c>
      <c r="W266" s="1">
        <f t="shared" si="91"/>
        <v>0</v>
      </c>
      <c r="X266" s="1">
        <f t="shared" si="92"/>
        <v>0</v>
      </c>
      <c r="Y266" s="1">
        <f t="shared" si="93"/>
        <v>0</v>
      </c>
      <c r="Z266" s="1">
        <f t="shared" si="94"/>
        <v>0</v>
      </c>
      <c r="AA266" s="1">
        <f t="shared" si="95"/>
        <v>0</v>
      </c>
      <c r="AB266" s="1">
        <f t="shared" si="96"/>
        <v>0</v>
      </c>
      <c r="AD266" s="1">
        <f t="shared" si="97"/>
        <v>1</v>
      </c>
      <c r="AE266" s="1">
        <f t="shared" si="98"/>
        <v>0</v>
      </c>
      <c r="AF266" s="1">
        <f t="shared" si="83"/>
        <v>1</v>
      </c>
      <c r="AG266" s="1">
        <f t="shared" si="84"/>
        <v>0</v>
      </c>
      <c r="AH266" s="1">
        <f t="shared" si="85"/>
        <v>1</v>
      </c>
      <c r="AI266" s="1">
        <f t="shared" si="86"/>
        <v>0</v>
      </c>
    </row>
    <row r="267" spans="1:35" s="1" customFormat="1" ht="14.25" customHeight="1" x14ac:dyDescent="0.25">
      <c r="A267" s="44">
        <v>0</v>
      </c>
      <c r="B267" s="44">
        <v>1</v>
      </c>
      <c r="C267" s="44">
        <v>7</v>
      </c>
      <c r="D267" s="45" t="s">
        <v>1438</v>
      </c>
      <c r="E267" s="45" t="s">
        <v>29</v>
      </c>
      <c r="F267" s="45" t="s">
        <v>1439</v>
      </c>
      <c r="G267" s="45" t="s">
        <v>319</v>
      </c>
      <c r="H267" s="45" t="s">
        <v>352</v>
      </c>
      <c r="I267" s="44" t="s">
        <v>1440</v>
      </c>
      <c r="J267" s="44">
        <v>99</v>
      </c>
      <c r="K267" s="46" t="s">
        <v>699</v>
      </c>
      <c r="L267" s="46">
        <v>30</v>
      </c>
      <c r="M267" s="47" t="s">
        <v>1441</v>
      </c>
      <c r="N267" s="47" t="s">
        <v>1786</v>
      </c>
      <c r="O267" s="48"/>
      <c r="P267" s="48"/>
      <c r="Q267" s="45"/>
      <c r="S267" s="1">
        <f t="shared" si="87"/>
        <v>0</v>
      </c>
      <c r="T267" s="1">
        <f t="shared" si="88"/>
        <v>0</v>
      </c>
      <c r="U267" s="1">
        <f t="shared" si="89"/>
        <v>0</v>
      </c>
      <c r="V267" s="1">
        <f t="shared" si="90"/>
        <v>0</v>
      </c>
      <c r="W267" s="1">
        <f t="shared" si="91"/>
        <v>0</v>
      </c>
      <c r="X267" s="1">
        <f t="shared" si="92"/>
        <v>0</v>
      </c>
      <c r="Y267" s="1">
        <f t="shared" si="93"/>
        <v>0</v>
      </c>
      <c r="Z267" s="1">
        <f t="shared" si="94"/>
        <v>0</v>
      </c>
      <c r="AA267" s="1">
        <f t="shared" si="95"/>
        <v>0</v>
      </c>
      <c r="AB267" s="1">
        <f t="shared" si="96"/>
        <v>0</v>
      </c>
      <c r="AD267" s="1">
        <f t="shared" si="97"/>
        <v>0</v>
      </c>
      <c r="AE267" s="1">
        <f t="shared" si="98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s="1" customFormat="1" ht="14.25" customHeight="1" x14ac:dyDescent="0.25">
      <c r="A268" s="31">
        <v>0</v>
      </c>
      <c r="B268" s="31">
        <v>1</v>
      </c>
      <c r="C268" s="31">
        <v>7</v>
      </c>
      <c r="D268" s="36" t="s">
        <v>837</v>
      </c>
      <c r="E268" s="32" t="s">
        <v>29</v>
      </c>
      <c r="F268" s="36" t="s">
        <v>838</v>
      </c>
      <c r="G268" s="36" t="s">
        <v>221</v>
      </c>
      <c r="H268" s="36" t="s">
        <v>352</v>
      </c>
      <c r="I268" s="37" t="s">
        <v>839</v>
      </c>
      <c r="J268" s="31">
        <v>99</v>
      </c>
      <c r="K268" s="33" t="s">
        <v>942</v>
      </c>
      <c r="L268" s="33" t="s">
        <v>690</v>
      </c>
      <c r="M268" s="34" t="s">
        <v>960</v>
      </c>
      <c r="N268" s="34" t="s">
        <v>1833</v>
      </c>
      <c r="O268" s="35">
        <v>1</v>
      </c>
      <c r="P268" s="35"/>
      <c r="Q268" s="36"/>
      <c r="S268" s="1">
        <f t="shared" si="87"/>
        <v>0</v>
      </c>
      <c r="T268" s="1">
        <f t="shared" si="88"/>
        <v>0</v>
      </c>
      <c r="U268" s="1">
        <f t="shared" si="89"/>
        <v>0</v>
      </c>
      <c r="V268" s="1">
        <f t="shared" si="90"/>
        <v>0</v>
      </c>
      <c r="W268" s="1">
        <f t="shared" si="91"/>
        <v>0</v>
      </c>
      <c r="X268" s="1">
        <f t="shared" si="92"/>
        <v>0</v>
      </c>
      <c r="Y268" s="1">
        <f t="shared" si="93"/>
        <v>0</v>
      </c>
      <c r="Z268" s="1">
        <f t="shared" si="94"/>
        <v>0</v>
      </c>
      <c r="AA268" s="1">
        <f t="shared" si="95"/>
        <v>0</v>
      </c>
      <c r="AB268" s="1">
        <f t="shared" si="96"/>
        <v>0</v>
      </c>
      <c r="AD268" s="1">
        <f t="shared" si="97"/>
        <v>0</v>
      </c>
      <c r="AE268" s="1">
        <f t="shared" si="98"/>
        <v>1</v>
      </c>
      <c r="AF268" s="1">
        <f t="shared" si="83"/>
        <v>0</v>
      </c>
      <c r="AG268" s="1">
        <f t="shared" si="84"/>
        <v>1</v>
      </c>
      <c r="AH268" s="1">
        <f t="shared" si="85"/>
        <v>0</v>
      </c>
      <c r="AI268" s="1">
        <f t="shared" si="86"/>
        <v>1</v>
      </c>
    </row>
    <row r="269" spans="1:35" s="1" customFormat="1" ht="14.25" customHeight="1" x14ac:dyDescent="0.25">
      <c r="A269" s="31">
        <v>1</v>
      </c>
      <c r="B269" s="31">
        <v>1</v>
      </c>
      <c r="C269" s="31">
        <v>7</v>
      </c>
      <c r="D269" s="36" t="s">
        <v>837</v>
      </c>
      <c r="E269" s="32" t="s">
        <v>29</v>
      </c>
      <c r="F269" s="36" t="s">
        <v>919</v>
      </c>
      <c r="G269" s="36" t="s">
        <v>278</v>
      </c>
      <c r="H269" s="36" t="s">
        <v>352</v>
      </c>
      <c r="I269" s="37" t="s">
        <v>840</v>
      </c>
      <c r="J269" s="31">
        <v>99</v>
      </c>
      <c r="K269" s="33" t="s">
        <v>942</v>
      </c>
      <c r="L269" s="33" t="s">
        <v>690</v>
      </c>
      <c r="M269" s="34" t="s">
        <v>960</v>
      </c>
      <c r="N269" s="34" t="s">
        <v>1833</v>
      </c>
      <c r="O269" s="35">
        <v>1</v>
      </c>
      <c r="P269" s="35"/>
      <c r="Q269" s="36"/>
      <c r="S269" s="1">
        <f t="shared" si="87"/>
        <v>0</v>
      </c>
      <c r="T269" s="1">
        <f t="shared" si="88"/>
        <v>0</v>
      </c>
      <c r="U269" s="1">
        <f t="shared" si="89"/>
        <v>0</v>
      </c>
      <c r="V269" s="1">
        <f t="shared" si="90"/>
        <v>0</v>
      </c>
      <c r="W269" s="1">
        <f t="shared" si="91"/>
        <v>0</v>
      </c>
      <c r="X269" s="1">
        <f t="shared" si="92"/>
        <v>0</v>
      </c>
      <c r="Y269" s="1">
        <f t="shared" si="93"/>
        <v>0</v>
      </c>
      <c r="Z269" s="1">
        <f t="shared" si="94"/>
        <v>0</v>
      </c>
      <c r="AA269" s="1">
        <f t="shared" si="95"/>
        <v>0</v>
      </c>
      <c r="AB269" s="1">
        <f t="shared" si="96"/>
        <v>0</v>
      </c>
      <c r="AD269" s="1">
        <f t="shared" si="97"/>
        <v>0</v>
      </c>
      <c r="AE269" s="1">
        <f t="shared" si="98"/>
        <v>1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0</v>
      </c>
    </row>
    <row r="270" spans="1:35" s="1" customFormat="1" ht="14.25" customHeight="1" x14ac:dyDescent="0.25">
      <c r="A270" s="31">
        <v>0</v>
      </c>
      <c r="B270" s="31">
        <v>1</v>
      </c>
      <c r="C270" s="31">
        <v>7</v>
      </c>
      <c r="D270" s="32" t="s">
        <v>1200</v>
      </c>
      <c r="E270" s="32" t="s">
        <v>29</v>
      </c>
      <c r="F270" s="32" t="s">
        <v>1201</v>
      </c>
      <c r="G270" s="32" t="s">
        <v>237</v>
      </c>
      <c r="H270" s="32" t="s">
        <v>352</v>
      </c>
      <c r="I270" s="31" t="s">
        <v>1345</v>
      </c>
      <c r="J270" s="31">
        <v>99</v>
      </c>
      <c r="K270" s="33" t="s">
        <v>709</v>
      </c>
      <c r="L270" s="33" t="s">
        <v>690</v>
      </c>
      <c r="M270" s="34" t="s">
        <v>1391</v>
      </c>
      <c r="N270" s="34" t="s">
        <v>1739</v>
      </c>
      <c r="O270" s="35">
        <v>1</v>
      </c>
      <c r="P270" s="35"/>
      <c r="Q270" s="32"/>
      <c r="S270" s="1">
        <f t="shared" si="87"/>
        <v>0</v>
      </c>
      <c r="T270" s="1">
        <f t="shared" si="88"/>
        <v>0</v>
      </c>
      <c r="U270" s="1">
        <f t="shared" si="89"/>
        <v>0</v>
      </c>
      <c r="V270" s="1">
        <f t="shared" si="90"/>
        <v>0</v>
      </c>
      <c r="W270" s="1">
        <f t="shared" si="91"/>
        <v>0</v>
      </c>
      <c r="X270" s="1">
        <f t="shared" si="92"/>
        <v>0</v>
      </c>
      <c r="Y270" s="1">
        <f t="shared" si="93"/>
        <v>0</v>
      </c>
      <c r="Z270" s="1">
        <f t="shared" si="94"/>
        <v>0</v>
      </c>
      <c r="AA270" s="1">
        <f t="shared" si="95"/>
        <v>0</v>
      </c>
      <c r="AB270" s="1">
        <f t="shared" si="96"/>
        <v>0</v>
      </c>
      <c r="AD270" s="1">
        <f t="shared" si="97"/>
        <v>0</v>
      </c>
      <c r="AE270" s="1">
        <f t="shared" si="98"/>
        <v>1</v>
      </c>
      <c r="AF270" s="1">
        <f t="shared" ref="AF270:AF333" si="99">+O270*P270*(1-A270)</f>
        <v>0</v>
      </c>
      <c r="AG270" s="1">
        <f t="shared" ref="AG270:AG333" si="100">O270*(1-P270)*(1-A270)</f>
        <v>1</v>
      </c>
      <c r="AH270" s="1">
        <f t="shared" ref="AH270:AH333" si="101">+P270*(1-A270)</f>
        <v>0</v>
      </c>
      <c r="AI270" s="1">
        <f t="shared" ref="AI270:AI333" si="102">+(1-A270)*(1-P270)</f>
        <v>1</v>
      </c>
    </row>
    <row r="271" spans="1:35" s="1" customFormat="1" ht="14.25" customHeight="1" x14ac:dyDescent="0.25">
      <c r="A271" s="31">
        <v>0</v>
      </c>
      <c r="B271" s="31">
        <v>1</v>
      </c>
      <c r="C271" s="31">
        <v>7</v>
      </c>
      <c r="D271" s="36" t="s">
        <v>1217</v>
      </c>
      <c r="E271" s="32" t="s">
        <v>29</v>
      </c>
      <c r="F271" s="36" t="s">
        <v>1218</v>
      </c>
      <c r="G271" s="36" t="s">
        <v>237</v>
      </c>
      <c r="H271" s="36" t="s">
        <v>352</v>
      </c>
      <c r="I271" s="37" t="s">
        <v>1219</v>
      </c>
      <c r="J271" s="31">
        <v>99</v>
      </c>
      <c r="K271" s="33" t="s">
        <v>709</v>
      </c>
      <c r="L271" s="33" t="s">
        <v>689</v>
      </c>
      <c r="M271" s="34" t="s">
        <v>1391</v>
      </c>
      <c r="N271" s="34" t="s">
        <v>1809</v>
      </c>
      <c r="O271" s="35">
        <v>1</v>
      </c>
      <c r="P271" s="35"/>
      <c r="Q271" s="36"/>
      <c r="S271" s="1">
        <f t="shared" si="87"/>
        <v>0</v>
      </c>
      <c r="T271" s="1">
        <f t="shared" si="88"/>
        <v>0</v>
      </c>
      <c r="U271" s="1">
        <f t="shared" si="89"/>
        <v>0</v>
      </c>
      <c r="V271" s="1">
        <f t="shared" si="90"/>
        <v>0</v>
      </c>
      <c r="W271" s="1">
        <f t="shared" si="91"/>
        <v>0</v>
      </c>
      <c r="X271" s="1">
        <f t="shared" si="92"/>
        <v>0</v>
      </c>
      <c r="Y271" s="1">
        <f t="shared" si="93"/>
        <v>0</v>
      </c>
      <c r="Z271" s="1">
        <f t="shared" si="94"/>
        <v>0</v>
      </c>
      <c r="AA271" s="1">
        <f t="shared" si="95"/>
        <v>0</v>
      </c>
      <c r="AB271" s="1">
        <f t="shared" si="96"/>
        <v>0</v>
      </c>
      <c r="AD271" s="1">
        <f t="shared" si="97"/>
        <v>0</v>
      </c>
      <c r="AE271" s="1">
        <f t="shared" si="98"/>
        <v>1</v>
      </c>
      <c r="AF271" s="1">
        <f t="shared" si="99"/>
        <v>0</v>
      </c>
      <c r="AG271" s="1">
        <f t="shared" si="100"/>
        <v>1</v>
      </c>
      <c r="AH271" s="1">
        <f t="shared" si="101"/>
        <v>0</v>
      </c>
      <c r="AI271" s="1">
        <f t="shared" si="102"/>
        <v>1</v>
      </c>
    </row>
    <row r="272" spans="1:35" s="1" customFormat="1" ht="14.25" customHeight="1" x14ac:dyDescent="0.25">
      <c r="A272" s="31">
        <v>0</v>
      </c>
      <c r="B272" s="31">
        <v>1</v>
      </c>
      <c r="C272" s="31">
        <v>7</v>
      </c>
      <c r="D272" s="36" t="s">
        <v>92</v>
      </c>
      <c r="E272" s="32" t="s">
        <v>29</v>
      </c>
      <c r="F272" s="36" t="s">
        <v>286</v>
      </c>
      <c r="G272" s="36" t="s">
        <v>189</v>
      </c>
      <c r="H272" s="36" t="s">
        <v>352</v>
      </c>
      <c r="I272" s="37" t="s">
        <v>438</v>
      </c>
      <c r="J272" s="31">
        <v>99</v>
      </c>
      <c r="K272" s="33" t="s">
        <v>709</v>
      </c>
      <c r="L272" s="33" t="s">
        <v>690</v>
      </c>
      <c r="M272" s="34" t="s">
        <v>1392</v>
      </c>
      <c r="N272" s="34" t="s">
        <v>1734</v>
      </c>
      <c r="O272" s="35">
        <v>1</v>
      </c>
      <c r="P272" s="35"/>
      <c r="Q272" s="36"/>
      <c r="S272" s="1">
        <f t="shared" si="87"/>
        <v>0</v>
      </c>
      <c r="T272" s="1">
        <f t="shared" si="88"/>
        <v>0</v>
      </c>
      <c r="U272" s="1">
        <f t="shared" si="89"/>
        <v>0</v>
      </c>
      <c r="V272" s="1">
        <f t="shared" si="90"/>
        <v>0</v>
      </c>
      <c r="W272" s="1">
        <f t="shared" si="91"/>
        <v>0</v>
      </c>
      <c r="X272" s="1">
        <f t="shared" si="92"/>
        <v>0</v>
      </c>
      <c r="Y272" s="1">
        <f t="shared" si="93"/>
        <v>0</v>
      </c>
      <c r="Z272" s="1">
        <f t="shared" si="94"/>
        <v>0</v>
      </c>
      <c r="AA272" s="1">
        <f t="shared" si="95"/>
        <v>0</v>
      </c>
      <c r="AB272" s="1">
        <f t="shared" si="96"/>
        <v>0</v>
      </c>
      <c r="AD272" s="1">
        <f t="shared" si="97"/>
        <v>0</v>
      </c>
      <c r="AE272" s="1">
        <f t="shared" si="98"/>
        <v>1</v>
      </c>
      <c r="AF272" s="1">
        <f t="shared" si="99"/>
        <v>0</v>
      </c>
      <c r="AG272" s="1">
        <f t="shared" si="100"/>
        <v>1</v>
      </c>
      <c r="AH272" s="1">
        <f t="shared" si="101"/>
        <v>0</v>
      </c>
      <c r="AI272" s="1">
        <f t="shared" si="102"/>
        <v>1</v>
      </c>
    </row>
    <row r="273" spans="1:35" s="1" customFormat="1" ht="14.25" customHeight="1" x14ac:dyDescent="0.25">
      <c r="A273" s="44">
        <v>0</v>
      </c>
      <c r="B273" s="44">
        <v>1</v>
      </c>
      <c r="C273" s="44">
        <v>7</v>
      </c>
      <c r="D273" s="45" t="s">
        <v>861</v>
      </c>
      <c r="E273" s="45" t="s">
        <v>29</v>
      </c>
      <c r="F273" s="45" t="s">
        <v>862</v>
      </c>
      <c r="G273" s="45" t="s">
        <v>193</v>
      </c>
      <c r="H273" s="45" t="s">
        <v>352</v>
      </c>
      <c r="I273" s="44" t="s">
        <v>863</v>
      </c>
      <c r="J273" s="44">
        <v>9</v>
      </c>
      <c r="K273" s="46" t="s">
        <v>709</v>
      </c>
      <c r="L273" s="46" t="s">
        <v>692</v>
      </c>
      <c r="M273" s="47" t="s">
        <v>704</v>
      </c>
      <c r="N273" s="47" t="s">
        <v>1719</v>
      </c>
      <c r="O273" s="48"/>
      <c r="P273" s="48"/>
      <c r="Q273" s="45"/>
      <c r="S273" s="1">
        <f t="shared" si="87"/>
        <v>0</v>
      </c>
      <c r="T273" s="1">
        <f t="shared" si="88"/>
        <v>0</v>
      </c>
      <c r="U273" s="1">
        <f t="shared" si="89"/>
        <v>0</v>
      </c>
      <c r="V273" s="1">
        <f t="shared" si="90"/>
        <v>0</v>
      </c>
      <c r="W273" s="1">
        <f t="shared" si="91"/>
        <v>0</v>
      </c>
      <c r="X273" s="1">
        <f t="shared" si="92"/>
        <v>0</v>
      </c>
      <c r="Y273" s="1">
        <f t="shared" si="93"/>
        <v>0</v>
      </c>
      <c r="Z273" s="1">
        <f t="shared" si="94"/>
        <v>0</v>
      </c>
      <c r="AA273" s="1">
        <f t="shared" si="95"/>
        <v>1</v>
      </c>
      <c r="AB273" s="1">
        <f t="shared" si="96"/>
        <v>0</v>
      </c>
      <c r="AD273" s="1">
        <f t="shared" si="97"/>
        <v>0</v>
      </c>
      <c r="AE273" s="1">
        <f t="shared" si="98"/>
        <v>0</v>
      </c>
      <c r="AF273" s="1">
        <f t="shared" si="99"/>
        <v>0</v>
      </c>
      <c r="AG273" s="1">
        <f t="shared" si="100"/>
        <v>0</v>
      </c>
      <c r="AH273" s="1">
        <f t="shared" si="101"/>
        <v>0</v>
      </c>
      <c r="AI273" s="1">
        <f t="shared" si="102"/>
        <v>1</v>
      </c>
    </row>
    <row r="274" spans="1:35" s="1" customFormat="1" ht="14.25" customHeight="1" x14ac:dyDescent="0.25">
      <c r="A274" s="44">
        <v>1</v>
      </c>
      <c r="B274" s="44">
        <v>1</v>
      </c>
      <c r="C274" s="44">
        <v>7</v>
      </c>
      <c r="D274" s="45" t="s">
        <v>861</v>
      </c>
      <c r="E274" s="45" t="s">
        <v>29</v>
      </c>
      <c r="F274" s="45" t="s">
        <v>1055</v>
      </c>
      <c r="G274" s="45" t="s">
        <v>319</v>
      </c>
      <c r="H274" s="45" t="s">
        <v>352</v>
      </c>
      <c r="I274" s="44" t="s">
        <v>1056</v>
      </c>
      <c r="J274" s="44">
        <v>99</v>
      </c>
      <c r="K274" s="46" t="s">
        <v>709</v>
      </c>
      <c r="L274" s="46" t="s">
        <v>692</v>
      </c>
      <c r="M274" s="47" t="s">
        <v>704</v>
      </c>
      <c r="N274" s="47" t="s">
        <v>1719</v>
      </c>
      <c r="O274" s="48"/>
      <c r="P274" s="48"/>
      <c r="Q274" s="45"/>
      <c r="S274" s="1">
        <f t="shared" ref="S274:S337" si="103">IF(J274=$S$7,1,0)</f>
        <v>0</v>
      </c>
      <c r="T274" s="1">
        <f t="shared" ref="T274:T337" si="104">IF(J274=$T$7,1,0)</f>
        <v>0</v>
      </c>
      <c r="U274" s="1">
        <f t="shared" ref="U274:U337" si="105">IF(J274=$U$7,1,0)</f>
        <v>0</v>
      </c>
      <c r="V274" s="1">
        <f t="shared" ref="V274:V337" si="106">IF(J274=$V$7,1,0)</f>
        <v>0</v>
      </c>
      <c r="W274" s="1">
        <f t="shared" ref="W274:W337" si="107">IF(J274=$W$7,1,0)</f>
        <v>0</v>
      </c>
      <c r="X274" s="1">
        <f t="shared" ref="X274:X337" si="108">IF(J274=$X$7,1,0)</f>
        <v>0</v>
      </c>
      <c r="Y274" s="1">
        <f t="shared" ref="Y274:Y337" si="109">IF(J274=$Y$7,1,0)</f>
        <v>0</v>
      </c>
      <c r="Z274" s="1">
        <f t="shared" ref="Z274:Z337" si="110">IF(J274=$Z$7,1,0)</f>
        <v>0</v>
      </c>
      <c r="AA274" s="1">
        <f t="shared" ref="AA274:AA337" si="111">IF(J274=$AA$7,1,0)</f>
        <v>0</v>
      </c>
      <c r="AB274" s="1">
        <f t="shared" ref="AB274:AB337" si="112">IF(J274=$AB$7,1,0)</f>
        <v>0</v>
      </c>
      <c r="AD274" s="1">
        <f t="shared" ref="AD274:AD337" si="113">+O274*P274</f>
        <v>0</v>
      </c>
      <c r="AE274" s="1">
        <f t="shared" ref="AE274:AE337" si="114">O274*(1-P274)</f>
        <v>0</v>
      </c>
      <c r="AF274" s="1">
        <f t="shared" si="99"/>
        <v>0</v>
      </c>
      <c r="AG274" s="1">
        <f t="shared" si="100"/>
        <v>0</v>
      </c>
      <c r="AH274" s="1">
        <f t="shared" si="101"/>
        <v>0</v>
      </c>
      <c r="AI274" s="1">
        <f t="shared" si="102"/>
        <v>0</v>
      </c>
    </row>
    <row r="275" spans="1:35" s="1" customFormat="1" ht="14.25" customHeight="1" x14ac:dyDescent="0.25">
      <c r="A275" s="44">
        <v>1</v>
      </c>
      <c r="B275" s="44">
        <v>1</v>
      </c>
      <c r="C275" s="44">
        <v>7</v>
      </c>
      <c r="D275" s="45" t="s">
        <v>861</v>
      </c>
      <c r="E275" s="45" t="s">
        <v>29</v>
      </c>
      <c r="F275" s="65" t="s">
        <v>2005</v>
      </c>
      <c r="G275" s="65" t="s">
        <v>193</v>
      </c>
      <c r="H275" s="45" t="s">
        <v>352</v>
      </c>
      <c r="I275" s="64" t="s">
        <v>863</v>
      </c>
      <c r="J275" s="44">
        <v>9</v>
      </c>
      <c r="K275" s="46" t="s">
        <v>709</v>
      </c>
      <c r="L275" s="46" t="s">
        <v>692</v>
      </c>
      <c r="M275" s="47" t="s">
        <v>704</v>
      </c>
      <c r="N275" s="47" t="s">
        <v>1719</v>
      </c>
      <c r="O275" s="48"/>
      <c r="P275" s="48"/>
      <c r="Q275" s="45"/>
      <c r="S275" s="1">
        <f t="shared" si="103"/>
        <v>0</v>
      </c>
      <c r="T275" s="1">
        <f t="shared" si="104"/>
        <v>0</v>
      </c>
      <c r="U275" s="1">
        <f t="shared" si="105"/>
        <v>0</v>
      </c>
      <c r="V275" s="1">
        <f t="shared" si="106"/>
        <v>0</v>
      </c>
      <c r="W275" s="1">
        <f t="shared" si="107"/>
        <v>0</v>
      </c>
      <c r="X275" s="1">
        <f t="shared" si="108"/>
        <v>0</v>
      </c>
      <c r="Y275" s="1">
        <f t="shared" si="109"/>
        <v>0</v>
      </c>
      <c r="Z275" s="1">
        <f t="shared" si="110"/>
        <v>0</v>
      </c>
      <c r="AA275" s="1">
        <f t="shared" si="111"/>
        <v>1</v>
      </c>
      <c r="AB275" s="1">
        <f t="shared" si="112"/>
        <v>0</v>
      </c>
      <c r="AD275" s="1">
        <f t="shared" si="113"/>
        <v>0</v>
      </c>
      <c r="AE275" s="1">
        <f t="shared" si="114"/>
        <v>0</v>
      </c>
      <c r="AF275" s="1">
        <f t="shared" si="99"/>
        <v>0</v>
      </c>
      <c r="AG275" s="1">
        <f t="shared" si="100"/>
        <v>0</v>
      </c>
      <c r="AH275" s="1">
        <f t="shared" si="101"/>
        <v>0</v>
      </c>
      <c r="AI275" s="1">
        <f t="shared" si="102"/>
        <v>0</v>
      </c>
    </row>
    <row r="276" spans="1:35" s="1" customFormat="1" ht="14.25" customHeight="1" x14ac:dyDescent="0.25">
      <c r="A276" s="44">
        <v>1</v>
      </c>
      <c r="B276" s="44">
        <v>1</v>
      </c>
      <c r="C276" s="44">
        <v>7</v>
      </c>
      <c r="D276" s="45" t="s">
        <v>861</v>
      </c>
      <c r="E276" s="45" t="s">
        <v>29</v>
      </c>
      <c r="F276" s="65" t="s">
        <v>2007</v>
      </c>
      <c r="G276" s="65" t="s">
        <v>208</v>
      </c>
      <c r="H276" s="45" t="s">
        <v>352</v>
      </c>
      <c r="I276" s="64" t="s">
        <v>2006</v>
      </c>
      <c r="J276" s="44">
        <v>99</v>
      </c>
      <c r="K276" s="46" t="s">
        <v>709</v>
      </c>
      <c r="L276" s="46" t="s">
        <v>692</v>
      </c>
      <c r="M276" s="47" t="s">
        <v>704</v>
      </c>
      <c r="N276" s="47" t="s">
        <v>1719</v>
      </c>
      <c r="O276" s="48"/>
      <c r="P276" s="48"/>
      <c r="Q276" s="45"/>
      <c r="S276" s="1">
        <f t="shared" si="103"/>
        <v>0</v>
      </c>
      <c r="T276" s="1">
        <f t="shared" si="104"/>
        <v>0</v>
      </c>
      <c r="U276" s="1">
        <f t="shared" si="105"/>
        <v>0</v>
      </c>
      <c r="V276" s="1">
        <f t="shared" si="106"/>
        <v>0</v>
      </c>
      <c r="W276" s="1">
        <f t="shared" si="107"/>
        <v>0</v>
      </c>
      <c r="X276" s="1">
        <f t="shared" si="108"/>
        <v>0</v>
      </c>
      <c r="Y276" s="1">
        <f t="shared" si="109"/>
        <v>0</v>
      </c>
      <c r="Z276" s="1">
        <f t="shared" si="110"/>
        <v>0</v>
      </c>
      <c r="AA276" s="1">
        <f t="shared" si="111"/>
        <v>0</v>
      </c>
      <c r="AB276" s="1">
        <f t="shared" si="112"/>
        <v>0</v>
      </c>
      <c r="AD276" s="1">
        <f t="shared" si="113"/>
        <v>0</v>
      </c>
      <c r="AE276" s="1">
        <f t="shared" si="114"/>
        <v>0</v>
      </c>
      <c r="AF276" s="1">
        <f t="shared" si="99"/>
        <v>0</v>
      </c>
      <c r="AG276" s="1">
        <f t="shared" si="100"/>
        <v>0</v>
      </c>
      <c r="AH276" s="1">
        <f t="shared" si="101"/>
        <v>0</v>
      </c>
      <c r="AI276" s="1">
        <f t="shared" si="102"/>
        <v>0</v>
      </c>
    </row>
    <row r="277" spans="1:35" s="1" customFormat="1" ht="14.25" customHeight="1" x14ac:dyDescent="0.25">
      <c r="A277" s="31">
        <v>0</v>
      </c>
      <c r="B277" s="31">
        <v>1</v>
      </c>
      <c r="C277" s="31">
        <v>7</v>
      </c>
      <c r="D277" s="36" t="s">
        <v>95</v>
      </c>
      <c r="E277" s="32" t="s">
        <v>29</v>
      </c>
      <c r="F277" s="36" t="s">
        <v>290</v>
      </c>
      <c r="G277" s="36" t="s">
        <v>291</v>
      </c>
      <c r="H277" s="36" t="s">
        <v>352</v>
      </c>
      <c r="I277" s="37" t="s">
        <v>1104</v>
      </c>
      <c r="J277" s="31">
        <v>99</v>
      </c>
      <c r="K277" s="33" t="s">
        <v>709</v>
      </c>
      <c r="L277" s="33" t="s">
        <v>692</v>
      </c>
      <c r="M277" s="34" t="s">
        <v>704</v>
      </c>
      <c r="N277" s="34" t="s">
        <v>1732</v>
      </c>
      <c r="O277" s="35">
        <v>1</v>
      </c>
      <c r="P277" s="35"/>
      <c r="Q277" s="36"/>
      <c r="S277" s="1">
        <f t="shared" si="103"/>
        <v>0</v>
      </c>
      <c r="T277" s="1">
        <f t="shared" si="104"/>
        <v>0</v>
      </c>
      <c r="U277" s="1">
        <f t="shared" si="105"/>
        <v>0</v>
      </c>
      <c r="V277" s="1">
        <f t="shared" si="106"/>
        <v>0</v>
      </c>
      <c r="W277" s="1">
        <f t="shared" si="107"/>
        <v>0</v>
      </c>
      <c r="X277" s="1">
        <f t="shared" si="108"/>
        <v>0</v>
      </c>
      <c r="Y277" s="1">
        <f t="shared" si="109"/>
        <v>0</v>
      </c>
      <c r="Z277" s="1">
        <f t="shared" si="110"/>
        <v>0</v>
      </c>
      <c r="AA277" s="1">
        <f t="shared" si="111"/>
        <v>0</v>
      </c>
      <c r="AB277" s="1">
        <f t="shared" si="112"/>
        <v>0</v>
      </c>
      <c r="AD277" s="1">
        <f t="shared" si="113"/>
        <v>0</v>
      </c>
      <c r="AE277" s="1">
        <f t="shared" si="114"/>
        <v>1</v>
      </c>
      <c r="AF277" s="1">
        <f t="shared" si="99"/>
        <v>0</v>
      </c>
      <c r="AG277" s="1">
        <f t="shared" si="100"/>
        <v>1</v>
      </c>
      <c r="AH277" s="1">
        <f t="shared" si="101"/>
        <v>0</v>
      </c>
      <c r="AI277" s="1">
        <f t="shared" si="102"/>
        <v>1</v>
      </c>
    </row>
    <row r="278" spans="1:35" s="1" customFormat="1" ht="14.25" customHeight="1" x14ac:dyDescent="0.25">
      <c r="A278" s="44">
        <v>0</v>
      </c>
      <c r="B278" s="44">
        <v>1</v>
      </c>
      <c r="C278" s="44">
        <v>7</v>
      </c>
      <c r="D278" s="45" t="s">
        <v>528</v>
      </c>
      <c r="E278" s="45" t="s">
        <v>29</v>
      </c>
      <c r="F278" s="45" t="s">
        <v>661</v>
      </c>
      <c r="G278" s="45" t="s">
        <v>39</v>
      </c>
      <c r="H278" s="45" t="s">
        <v>529</v>
      </c>
      <c r="I278" s="44" t="s">
        <v>1674</v>
      </c>
      <c r="J278" s="44">
        <v>14</v>
      </c>
      <c r="K278" s="46" t="s">
        <v>941</v>
      </c>
      <c r="L278" s="46">
        <v>40</v>
      </c>
      <c r="M278" s="47" t="s">
        <v>704</v>
      </c>
      <c r="N278" s="47" t="s">
        <v>1719</v>
      </c>
      <c r="O278" s="48"/>
      <c r="P278" s="48"/>
      <c r="Q278" s="45"/>
      <c r="S278" s="1">
        <f t="shared" si="103"/>
        <v>0</v>
      </c>
      <c r="T278" s="1">
        <f t="shared" si="104"/>
        <v>0</v>
      </c>
      <c r="U278" s="1">
        <f t="shared" si="105"/>
        <v>0</v>
      </c>
      <c r="V278" s="1">
        <f t="shared" si="106"/>
        <v>0</v>
      </c>
      <c r="W278" s="1">
        <f t="shared" si="107"/>
        <v>0</v>
      </c>
      <c r="X278" s="1">
        <f t="shared" si="108"/>
        <v>0</v>
      </c>
      <c r="Y278" s="1">
        <f t="shared" si="109"/>
        <v>0</v>
      </c>
      <c r="Z278" s="1">
        <f t="shared" si="110"/>
        <v>0</v>
      </c>
      <c r="AA278" s="1">
        <f t="shared" si="111"/>
        <v>0</v>
      </c>
      <c r="AB278" s="1">
        <f t="shared" si="112"/>
        <v>0</v>
      </c>
      <c r="AD278" s="1">
        <f t="shared" si="113"/>
        <v>0</v>
      </c>
      <c r="AE278" s="1">
        <f t="shared" si="114"/>
        <v>0</v>
      </c>
      <c r="AF278" s="1">
        <f t="shared" si="99"/>
        <v>0</v>
      </c>
      <c r="AG278" s="1">
        <f t="shared" si="100"/>
        <v>0</v>
      </c>
      <c r="AH278" s="1">
        <f t="shared" si="101"/>
        <v>0</v>
      </c>
      <c r="AI278" s="1">
        <f t="shared" si="102"/>
        <v>1</v>
      </c>
    </row>
    <row r="279" spans="1:35" s="1" customFormat="1" ht="14.25" customHeight="1" x14ac:dyDescent="0.25">
      <c r="A279" s="31">
        <v>0</v>
      </c>
      <c r="B279" s="31">
        <v>1</v>
      </c>
      <c r="C279" s="31">
        <v>7</v>
      </c>
      <c r="D279" s="36" t="s">
        <v>1305</v>
      </c>
      <c r="E279" s="32" t="s">
        <v>29</v>
      </c>
      <c r="F279" s="36" t="s">
        <v>1329</v>
      </c>
      <c r="G279" s="36" t="s">
        <v>39</v>
      </c>
      <c r="H279" s="36" t="s">
        <v>352</v>
      </c>
      <c r="I279" s="37" t="s">
        <v>1134</v>
      </c>
      <c r="J279" s="31">
        <v>99</v>
      </c>
      <c r="K279" s="33" t="s">
        <v>709</v>
      </c>
      <c r="L279" s="33" t="s">
        <v>689</v>
      </c>
      <c r="M279" s="34" t="s">
        <v>1393</v>
      </c>
      <c r="N279" s="34" t="s">
        <v>1717</v>
      </c>
      <c r="O279" s="35">
        <v>1</v>
      </c>
      <c r="P279" s="35">
        <v>1</v>
      </c>
      <c r="Q279" s="36"/>
      <c r="S279" s="1">
        <f t="shared" si="103"/>
        <v>0</v>
      </c>
      <c r="T279" s="1">
        <f t="shared" si="104"/>
        <v>0</v>
      </c>
      <c r="U279" s="1">
        <f t="shared" si="105"/>
        <v>0</v>
      </c>
      <c r="V279" s="1">
        <f t="shared" si="106"/>
        <v>0</v>
      </c>
      <c r="W279" s="1">
        <f t="shared" si="107"/>
        <v>0</v>
      </c>
      <c r="X279" s="1">
        <f t="shared" si="108"/>
        <v>0</v>
      </c>
      <c r="Y279" s="1">
        <f t="shared" si="109"/>
        <v>0</v>
      </c>
      <c r="Z279" s="1">
        <f t="shared" si="110"/>
        <v>0</v>
      </c>
      <c r="AA279" s="1">
        <f t="shared" si="111"/>
        <v>0</v>
      </c>
      <c r="AB279" s="1">
        <f t="shared" si="112"/>
        <v>0</v>
      </c>
      <c r="AD279" s="1">
        <f t="shared" si="113"/>
        <v>1</v>
      </c>
      <c r="AE279" s="1">
        <f t="shared" si="114"/>
        <v>0</v>
      </c>
      <c r="AF279" s="1">
        <f t="shared" si="99"/>
        <v>1</v>
      </c>
      <c r="AG279" s="1">
        <f t="shared" si="100"/>
        <v>0</v>
      </c>
      <c r="AH279" s="1">
        <f t="shared" si="101"/>
        <v>1</v>
      </c>
      <c r="AI279" s="1">
        <f t="shared" si="102"/>
        <v>0</v>
      </c>
    </row>
    <row r="280" spans="1:35" s="1" customFormat="1" ht="14.25" customHeight="1" x14ac:dyDescent="0.25">
      <c r="A280" s="44">
        <v>0</v>
      </c>
      <c r="B280" s="44">
        <v>1</v>
      </c>
      <c r="C280" s="44">
        <v>7</v>
      </c>
      <c r="D280" s="45" t="s">
        <v>96</v>
      </c>
      <c r="E280" s="45" t="s">
        <v>29</v>
      </c>
      <c r="F280" s="45" t="s">
        <v>293</v>
      </c>
      <c r="G280" s="45" t="s">
        <v>262</v>
      </c>
      <c r="H280" s="45" t="s">
        <v>352</v>
      </c>
      <c r="I280" s="44" t="s">
        <v>442</v>
      </c>
      <c r="J280" s="44">
        <v>1</v>
      </c>
      <c r="K280" s="46" t="s">
        <v>709</v>
      </c>
      <c r="L280" s="46" t="s">
        <v>690</v>
      </c>
      <c r="M280" s="47" t="s">
        <v>704</v>
      </c>
      <c r="N280" s="47" t="s">
        <v>1719</v>
      </c>
      <c r="O280" s="48"/>
      <c r="P280" s="48"/>
      <c r="Q280" s="45"/>
      <c r="S280" s="1">
        <f t="shared" si="103"/>
        <v>1</v>
      </c>
      <c r="T280" s="1">
        <f t="shared" si="104"/>
        <v>0</v>
      </c>
      <c r="U280" s="1">
        <f t="shared" si="105"/>
        <v>0</v>
      </c>
      <c r="V280" s="1">
        <f t="shared" si="106"/>
        <v>0</v>
      </c>
      <c r="W280" s="1">
        <f t="shared" si="107"/>
        <v>0</v>
      </c>
      <c r="X280" s="1">
        <f t="shared" si="108"/>
        <v>0</v>
      </c>
      <c r="Y280" s="1">
        <f t="shared" si="109"/>
        <v>0</v>
      </c>
      <c r="Z280" s="1">
        <f t="shared" si="110"/>
        <v>0</v>
      </c>
      <c r="AA280" s="1">
        <f t="shared" si="111"/>
        <v>0</v>
      </c>
      <c r="AB280" s="1">
        <f t="shared" si="112"/>
        <v>0</v>
      </c>
      <c r="AD280" s="1">
        <f t="shared" si="113"/>
        <v>0</v>
      </c>
      <c r="AE280" s="1">
        <f t="shared" si="114"/>
        <v>0</v>
      </c>
      <c r="AF280" s="1">
        <f t="shared" si="99"/>
        <v>0</v>
      </c>
      <c r="AG280" s="1">
        <f t="shared" si="100"/>
        <v>0</v>
      </c>
      <c r="AH280" s="1">
        <f t="shared" si="101"/>
        <v>0</v>
      </c>
      <c r="AI280" s="1">
        <f t="shared" si="102"/>
        <v>1</v>
      </c>
    </row>
    <row r="281" spans="1:35" s="1" customFormat="1" ht="14.25" customHeight="1" x14ac:dyDescent="0.25">
      <c r="A281" s="15">
        <v>0</v>
      </c>
      <c r="B281" s="15">
        <v>1</v>
      </c>
      <c r="C281" s="15">
        <v>7</v>
      </c>
      <c r="D281" s="16" t="s">
        <v>751</v>
      </c>
      <c r="E281" s="16" t="s">
        <v>29</v>
      </c>
      <c r="F281" s="20" t="s">
        <v>2083</v>
      </c>
      <c r="G281" s="16" t="s">
        <v>39</v>
      </c>
      <c r="H281" s="20" t="s">
        <v>365</v>
      </c>
      <c r="I281" s="21" t="s">
        <v>2084</v>
      </c>
      <c r="J281" s="15">
        <v>18</v>
      </c>
      <c r="K281" s="10" t="s">
        <v>699</v>
      </c>
      <c r="L281" s="10" t="s">
        <v>693</v>
      </c>
      <c r="M281" s="19" t="s">
        <v>704</v>
      </c>
      <c r="N281" s="17"/>
      <c r="Q281" s="16"/>
      <c r="S281" s="1">
        <f t="shared" si="103"/>
        <v>0</v>
      </c>
      <c r="T281" s="1">
        <f t="shared" si="104"/>
        <v>0</v>
      </c>
      <c r="U281" s="1">
        <f t="shared" si="105"/>
        <v>0</v>
      </c>
      <c r="V281" s="1">
        <f t="shared" si="106"/>
        <v>0</v>
      </c>
      <c r="W281" s="1">
        <f t="shared" si="107"/>
        <v>0</v>
      </c>
      <c r="X281" s="1">
        <f t="shared" si="108"/>
        <v>0</v>
      </c>
      <c r="Y281" s="1">
        <f t="shared" si="109"/>
        <v>0</v>
      </c>
      <c r="Z281" s="1">
        <f t="shared" si="110"/>
        <v>0</v>
      </c>
      <c r="AA281" s="1">
        <f t="shared" si="111"/>
        <v>0</v>
      </c>
      <c r="AB281" s="1">
        <f t="shared" si="112"/>
        <v>0</v>
      </c>
      <c r="AD281" s="1">
        <f t="shared" si="113"/>
        <v>0</v>
      </c>
      <c r="AE281" s="1">
        <f t="shared" si="114"/>
        <v>0</v>
      </c>
      <c r="AF281" s="1">
        <f t="shared" si="99"/>
        <v>0</v>
      </c>
      <c r="AG281" s="1">
        <f t="shared" si="100"/>
        <v>0</v>
      </c>
      <c r="AH281" s="1">
        <f t="shared" si="101"/>
        <v>0</v>
      </c>
      <c r="AI281" s="1">
        <f t="shared" si="102"/>
        <v>1</v>
      </c>
    </row>
    <row r="282" spans="1:35" s="1" customFormat="1" ht="14.25" customHeight="1" x14ac:dyDescent="0.25">
      <c r="A282" s="31">
        <v>0</v>
      </c>
      <c r="B282" s="31">
        <v>1</v>
      </c>
      <c r="C282" s="31">
        <v>7</v>
      </c>
      <c r="D282" s="36" t="s">
        <v>1502</v>
      </c>
      <c r="E282" s="32" t="s">
        <v>29</v>
      </c>
      <c r="F282" s="36" t="s">
        <v>1655</v>
      </c>
      <c r="G282" s="36" t="s">
        <v>1656</v>
      </c>
      <c r="H282" s="36" t="s">
        <v>352</v>
      </c>
      <c r="I282" s="37" t="s">
        <v>1503</v>
      </c>
      <c r="J282" s="31">
        <v>99</v>
      </c>
      <c r="K282" s="33" t="s">
        <v>709</v>
      </c>
      <c r="L282" s="33" t="s">
        <v>39</v>
      </c>
      <c r="M282" s="34" t="s">
        <v>39</v>
      </c>
      <c r="N282" s="34" t="s">
        <v>1711</v>
      </c>
      <c r="O282" s="35">
        <v>1</v>
      </c>
      <c r="P282" s="35">
        <v>1</v>
      </c>
      <c r="Q282" s="36"/>
      <c r="S282" s="1">
        <f t="shared" si="103"/>
        <v>0</v>
      </c>
      <c r="T282" s="1">
        <f t="shared" si="104"/>
        <v>0</v>
      </c>
      <c r="U282" s="1">
        <f t="shared" si="105"/>
        <v>0</v>
      </c>
      <c r="V282" s="1">
        <f t="shared" si="106"/>
        <v>0</v>
      </c>
      <c r="W282" s="1">
        <f t="shared" si="107"/>
        <v>0</v>
      </c>
      <c r="X282" s="1">
        <f t="shared" si="108"/>
        <v>0</v>
      </c>
      <c r="Y282" s="1">
        <f t="shared" si="109"/>
        <v>0</v>
      </c>
      <c r="Z282" s="1">
        <f t="shared" si="110"/>
        <v>0</v>
      </c>
      <c r="AA282" s="1">
        <f t="shared" si="111"/>
        <v>0</v>
      </c>
      <c r="AB282" s="1">
        <f t="shared" si="112"/>
        <v>0</v>
      </c>
      <c r="AD282" s="1">
        <f t="shared" si="113"/>
        <v>1</v>
      </c>
      <c r="AE282" s="1">
        <f t="shared" si="114"/>
        <v>0</v>
      </c>
      <c r="AF282" s="1">
        <f t="shared" si="99"/>
        <v>1</v>
      </c>
      <c r="AG282" s="1">
        <f t="shared" si="100"/>
        <v>0</v>
      </c>
      <c r="AH282" s="1">
        <f t="shared" si="101"/>
        <v>1</v>
      </c>
      <c r="AI282" s="1">
        <f t="shared" si="102"/>
        <v>0</v>
      </c>
    </row>
    <row r="283" spans="1:35" s="1" customFormat="1" ht="14.25" customHeight="1" x14ac:dyDescent="0.25">
      <c r="A283" s="44">
        <v>0</v>
      </c>
      <c r="B283" s="44">
        <v>1</v>
      </c>
      <c r="C283" s="44">
        <v>7</v>
      </c>
      <c r="D283" s="45" t="s">
        <v>1128</v>
      </c>
      <c r="E283" s="45" t="s">
        <v>29</v>
      </c>
      <c r="F283" s="45" t="s">
        <v>1129</v>
      </c>
      <c r="G283" s="45" t="s">
        <v>1131</v>
      </c>
      <c r="H283" s="45" t="s">
        <v>352</v>
      </c>
      <c r="I283" s="44" t="s">
        <v>1130</v>
      </c>
      <c r="J283" s="44">
        <v>99</v>
      </c>
      <c r="K283" s="46" t="s">
        <v>699</v>
      </c>
      <c r="L283" s="46">
        <v>30</v>
      </c>
      <c r="M283" s="47" t="s">
        <v>1394</v>
      </c>
      <c r="N283" s="47" t="s">
        <v>1793</v>
      </c>
      <c r="O283" s="48"/>
      <c r="P283" s="48"/>
      <c r="Q283" s="45"/>
      <c r="S283" s="1">
        <f t="shared" si="103"/>
        <v>0</v>
      </c>
      <c r="T283" s="1">
        <f t="shared" si="104"/>
        <v>0</v>
      </c>
      <c r="U283" s="1">
        <f t="shared" si="105"/>
        <v>0</v>
      </c>
      <c r="V283" s="1">
        <f t="shared" si="106"/>
        <v>0</v>
      </c>
      <c r="W283" s="1">
        <f t="shared" si="107"/>
        <v>0</v>
      </c>
      <c r="X283" s="1">
        <f t="shared" si="108"/>
        <v>0</v>
      </c>
      <c r="Y283" s="1">
        <f t="shared" si="109"/>
        <v>0</v>
      </c>
      <c r="Z283" s="1">
        <f t="shared" si="110"/>
        <v>0</v>
      </c>
      <c r="AA283" s="1">
        <f t="shared" si="111"/>
        <v>0</v>
      </c>
      <c r="AB283" s="1">
        <f t="shared" si="112"/>
        <v>0</v>
      </c>
      <c r="AD283" s="1">
        <f t="shared" si="113"/>
        <v>0</v>
      </c>
      <c r="AE283" s="1">
        <f t="shared" si="114"/>
        <v>0</v>
      </c>
      <c r="AF283" s="1">
        <f t="shared" si="99"/>
        <v>0</v>
      </c>
      <c r="AG283" s="1">
        <f t="shared" si="100"/>
        <v>0</v>
      </c>
      <c r="AH283" s="1">
        <f t="shared" si="101"/>
        <v>0</v>
      </c>
      <c r="AI283" s="1">
        <f t="shared" si="102"/>
        <v>1</v>
      </c>
    </row>
    <row r="284" spans="1:35" s="1" customFormat="1" ht="14.25" customHeight="1" x14ac:dyDescent="0.25">
      <c r="A284" s="31">
        <v>0</v>
      </c>
      <c r="B284" s="31">
        <v>1</v>
      </c>
      <c r="C284" s="31">
        <v>7</v>
      </c>
      <c r="D284" s="32" t="s">
        <v>98</v>
      </c>
      <c r="E284" s="32" t="s">
        <v>29</v>
      </c>
      <c r="F284" s="32" t="s">
        <v>295</v>
      </c>
      <c r="G284" s="32" t="s">
        <v>196</v>
      </c>
      <c r="H284" s="32" t="s">
        <v>352</v>
      </c>
      <c r="I284" s="31" t="s">
        <v>443</v>
      </c>
      <c r="J284" s="31">
        <v>9</v>
      </c>
      <c r="K284" s="33" t="s">
        <v>699</v>
      </c>
      <c r="L284" s="33">
        <v>30</v>
      </c>
      <c r="M284" s="34" t="s">
        <v>704</v>
      </c>
      <c r="N284" s="34" t="s">
        <v>1727</v>
      </c>
      <c r="O284" s="35">
        <v>1</v>
      </c>
      <c r="P284" s="35"/>
      <c r="Q284" s="32"/>
      <c r="S284" s="1">
        <f t="shared" si="103"/>
        <v>0</v>
      </c>
      <c r="T284" s="1">
        <f t="shared" si="104"/>
        <v>0</v>
      </c>
      <c r="U284" s="1">
        <f t="shared" si="105"/>
        <v>0</v>
      </c>
      <c r="V284" s="1">
        <f t="shared" si="106"/>
        <v>0</v>
      </c>
      <c r="W284" s="1">
        <f t="shared" si="107"/>
        <v>0</v>
      </c>
      <c r="X284" s="1">
        <f t="shared" si="108"/>
        <v>0</v>
      </c>
      <c r="Y284" s="1">
        <f t="shared" si="109"/>
        <v>0</v>
      </c>
      <c r="Z284" s="1">
        <f t="shared" si="110"/>
        <v>0</v>
      </c>
      <c r="AA284" s="1">
        <f t="shared" si="111"/>
        <v>1</v>
      </c>
      <c r="AB284" s="1">
        <f t="shared" si="112"/>
        <v>0</v>
      </c>
      <c r="AD284" s="1">
        <f t="shared" si="113"/>
        <v>0</v>
      </c>
      <c r="AE284" s="1">
        <f t="shared" si="114"/>
        <v>1</v>
      </c>
      <c r="AF284" s="1">
        <f t="shared" si="99"/>
        <v>0</v>
      </c>
      <c r="AG284" s="1">
        <f t="shared" si="100"/>
        <v>1</v>
      </c>
      <c r="AH284" s="1">
        <f t="shared" si="101"/>
        <v>0</v>
      </c>
      <c r="AI284" s="1">
        <f t="shared" si="102"/>
        <v>1</v>
      </c>
    </row>
    <row r="285" spans="1:35" s="1" customFormat="1" ht="14.25" customHeight="1" x14ac:dyDescent="0.25">
      <c r="A285" s="31">
        <v>0</v>
      </c>
      <c r="B285" s="31">
        <v>1</v>
      </c>
      <c r="C285" s="31">
        <v>7</v>
      </c>
      <c r="D285" s="32" t="s">
        <v>794</v>
      </c>
      <c r="E285" s="32" t="s">
        <v>29</v>
      </c>
      <c r="F285" s="32" t="s">
        <v>773</v>
      </c>
      <c r="G285" s="32" t="s">
        <v>795</v>
      </c>
      <c r="H285" s="32" t="s">
        <v>352</v>
      </c>
      <c r="I285" s="31" t="s">
        <v>939</v>
      </c>
      <c r="J285" s="31">
        <v>99</v>
      </c>
      <c r="K285" s="33" t="s">
        <v>709</v>
      </c>
      <c r="L285" s="33" t="s">
        <v>690</v>
      </c>
      <c r="M285" s="34" t="s">
        <v>704</v>
      </c>
      <c r="N285" s="34" t="s">
        <v>1809</v>
      </c>
      <c r="O285" s="35">
        <v>1</v>
      </c>
      <c r="P285" s="35"/>
      <c r="Q285" s="32"/>
      <c r="S285" s="1">
        <f t="shared" si="103"/>
        <v>0</v>
      </c>
      <c r="T285" s="1">
        <f t="shared" si="104"/>
        <v>0</v>
      </c>
      <c r="U285" s="1">
        <f t="shared" si="105"/>
        <v>0</v>
      </c>
      <c r="V285" s="1">
        <f t="shared" si="106"/>
        <v>0</v>
      </c>
      <c r="W285" s="1">
        <f t="shared" si="107"/>
        <v>0</v>
      </c>
      <c r="X285" s="1">
        <f t="shared" si="108"/>
        <v>0</v>
      </c>
      <c r="Y285" s="1">
        <f t="shared" si="109"/>
        <v>0</v>
      </c>
      <c r="Z285" s="1">
        <f t="shared" si="110"/>
        <v>0</v>
      </c>
      <c r="AA285" s="1">
        <f t="shared" si="111"/>
        <v>0</v>
      </c>
      <c r="AB285" s="1">
        <f t="shared" si="112"/>
        <v>0</v>
      </c>
      <c r="AD285" s="1">
        <f t="shared" si="113"/>
        <v>0</v>
      </c>
      <c r="AE285" s="1">
        <f t="shared" si="114"/>
        <v>1</v>
      </c>
      <c r="AF285" s="1">
        <f t="shared" si="99"/>
        <v>0</v>
      </c>
      <c r="AG285" s="1">
        <f t="shared" si="100"/>
        <v>1</v>
      </c>
      <c r="AH285" s="1">
        <f t="shared" si="101"/>
        <v>0</v>
      </c>
      <c r="AI285" s="1">
        <f t="shared" si="102"/>
        <v>1</v>
      </c>
    </row>
    <row r="286" spans="1:35" s="1" customFormat="1" ht="14.25" customHeight="1" x14ac:dyDescent="0.25">
      <c r="A286" s="31">
        <v>0</v>
      </c>
      <c r="B286" s="31">
        <v>1</v>
      </c>
      <c r="C286" s="31">
        <v>7</v>
      </c>
      <c r="D286" s="32" t="s">
        <v>1308</v>
      </c>
      <c r="E286" s="32" t="s">
        <v>29</v>
      </c>
      <c r="F286" s="32" t="s">
        <v>1331</v>
      </c>
      <c r="G286" s="32" t="s">
        <v>1165</v>
      </c>
      <c r="H286" s="32" t="s">
        <v>352</v>
      </c>
      <c r="I286" s="31" t="s">
        <v>1676</v>
      </c>
      <c r="J286" s="31">
        <v>99</v>
      </c>
      <c r="K286" s="33" t="s">
        <v>709</v>
      </c>
      <c r="L286" s="33" t="s">
        <v>690</v>
      </c>
      <c r="M286" s="34" t="s">
        <v>1395</v>
      </c>
      <c r="N286" s="34" t="s">
        <v>1745</v>
      </c>
      <c r="O286" s="35">
        <v>1</v>
      </c>
      <c r="P286" s="35"/>
      <c r="Q286" s="32"/>
      <c r="S286" s="1">
        <f t="shared" si="103"/>
        <v>0</v>
      </c>
      <c r="T286" s="1">
        <f t="shared" si="104"/>
        <v>0</v>
      </c>
      <c r="U286" s="1">
        <f t="shared" si="105"/>
        <v>0</v>
      </c>
      <c r="V286" s="1">
        <f t="shared" si="106"/>
        <v>0</v>
      </c>
      <c r="W286" s="1">
        <f t="shared" si="107"/>
        <v>0</v>
      </c>
      <c r="X286" s="1">
        <f t="shared" si="108"/>
        <v>0</v>
      </c>
      <c r="Y286" s="1">
        <f t="shared" si="109"/>
        <v>0</v>
      </c>
      <c r="Z286" s="1">
        <f t="shared" si="110"/>
        <v>0</v>
      </c>
      <c r="AA286" s="1">
        <f t="shared" si="111"/>
        <v>0</v>
      </c>
      <c r="AB286" s="1">
        <f t="shared" si="112"/>
        <v>0</v>
      </c>
      <c r="AD286" s="1">
        <f t="shared" si="113"/>
        <v>0</v>
      </c>
      <c r="AE286" s="1">
        <f t="shared" si="114"/>
        <v>1</v>
      </c>
      <c r="AF286" s="1">
        <f t="shared" si="99"/>
        <v>0</v>
      </c>
      <c r="AG286" s="1">
        <f t="shared" si="100"/>
        <v>1</v>
      </c>
      <c r="AH286" s="1">
        <f t="shared" si="101"/>
        <v>0</v>
      </c>
      <c r="AI286" s="1">
        <f t="shared" si="102"/>
        <v>1</v>
      </c>
    </row>
    <row r="287" spans="1:35" s="1" customFormat="1" ht="14.25" customHeight="1" x14ac:dyDescent="0.25">
      <c r="A287" s="15">
        <v>0</v>
      </c>
      <c r="B287" s="15">
        <v>1</v>
      </c>
      <c r="C287" s="15">
        <v>7</v>
      </c>
      <c r="D287" s="16" t="s">
        <v>1263</v>
      </c>
      <c r="E287" s="16" t="s">
        <v>29</v>
      </c>
      <c r="F287" s="16" t="s">
        <v>1264</v>
      </c>
      <c r="G287" s="16" t="s">
        <v>1265</v>
      </c>
      <c r="H287" s="16" t="s">
        <v>352</v>
      </c>
      <c r="I287" s="15" t="s">
        <v>1266</v>
      </c>
      <c r="J287" s="15">
        <v>99</v>
      </c>
      <c r="K287" s="10" t="s">
        <v>709</v>
      </c>
      <c r="L287" s="10" t="s">
        <v>690</v>
      </c>
      <c r="M287" s="19" t="s">
        <v>704</v>
      </c>
      <c r="N287" s="17"/>
      <c r="Q287" s="16"/>
      <c r="S287" s="1">
        <f t="shared" si="103"/>
        <v>0</v>
      </c>
      <c r="T287" s="1">
        <f t="shared" si="104"/>
        <v>0</v>
      </c>
      <c r="U287" s="1">
        <f t="shared" si="105"/>
        <v>0</v>
      </c>
      <c r="V287" s="1">
        <f t="shared" si="106"/>
        <v>0</v>
      </c>
      <c r="W287" s="1">
        <f t="shared" si="107"/>
        <v>0</v>
      </c>
      <c r="X287" s="1">
        <f t="shared" si="108"/>
        <v>0</v>
      </c>
      <c r="Y287" s="1">
        <f t="shared" si="109"/>
        <v>0</v>
      </c>
      <c r="Z287" s="1">
        <f t="shared" si="110"/>
        <v>0</v>
      </c>
      <c r="AA287" s="1">
        <f t="shared" si="111"/>
        <v>0</v>
      </c>
      <c r="AB287" s="1">
        <f t="shared" si="112"/>
        <v>0</v>
      </c>
      <c r="AD287" s="1">
        <f t="shared" si="113"/>
        <v>0</v>
      </c>
      <c r="AE287" s="1">
        <f t="shared" si="114"/>
        <v>0</v>
      </c>
      <c r="AF287" s="1">
        <f t="shared" si="99"/>
        <v>0</v>
      </c>
      <c r="AG287" s="1">
        <f t="shared" si="100"/>
        <v>0</v>
      </c>
      <c r="AH287" s="1">
        <f t="shared" si="101"/>
        <v>0</v>
      </c>
      <c r="AI287" s="1">
        <f t="shared" si="102"/>
        <v>1</v>
      </c>
    </row>
    <row r="288" spans="1:35" s="1" customFormat="1" ht="14.25" customHeight="1" x14ac:dyDescent="0.25">
      <c r="A288" s="31">
        <v>0</v>
      </c>
      <c r="B288" s="31">
        <v>1</v>
      </c>
      <c r="C288" s="31">
        <v>7</v>
      </c>
      <c r="D288" s="32" t="s">
        <v>705</v>
      </c>
      <c r="E288" s="32" t="s">
        <v>29</v>
      </c>
      <c r="F288" s="32" t="s">
        <v>706</v>
      </c>
      <c r="G288" s="32" t="s">
        <v>183</v>
      </c>
      <c r="H288" s="32" t="s">
        <v>352</v>
      </c>
      <c r="I288" s="31" t="s">
        <v>707</v>
      </c>
      <c r="J288" s="31">
        <v>99</v>
      </c>
      <c r="K288" s="33" t="s">
        <v>942</v>
      </c>
      <c r="L288" s="33" t="s">
        <v>39</v>
      </c>
      <c r="M288" s="34" t="s">
        <v>39</v>
      </c>
      <c r="N288" s="34" t="s">
        <v>1717</v>
      </c>
      <c r="O288" s="35">
        <v>1</v>
      </c>
      <c r="P288" s="35">
        <v>1</v>
      </c>
      <c r="Q288" s="32"/>
      <c r="S288" s="1">
        <f t="shared" si="103"/>
        <v>0</v>
      </c>
      <c r="T288" s="1">
        <f t="shared" si="104"/>
        <v>0</v>
      </c>
      <c r="U288" s="1">
        <f t="shared" si="105"/>
        <v>0</v>
      </c>
      <c r="V288" s="1">
        <f t="shared" si="106"/>
        <v>0</v>
      </c>
      <c r="W288" s="1">
        <f t="shared" si="107"/>
        <v>0</v>
      </c>
      <c r="X288" s="1">
        <f t="shared" si="108"/>
        <v>0</v>
      </c>
      <c r="Y288" s="1">
        <f t="shared" si="109"/>
        <v>0</v>
      </c>
      <c r="Z288" s="1">
        <f t="shared" si="110"/>
        <v>0</v>
      </c>
      <c r="AA288" s="1">
        <f t="shared" si="111"/>
        <v>0</v>
      </c>
      <c r="AB288" s="1">
        <f t="shared" si="112"/>
        <v>0</v>
      </c>
      <c r="AD288" s="1">
        <f t="shared" si="113"/>
        <v>1</v>
      </c>
      <c r="AE288" s="1">
        <f t="shared" si="114"/>
        <v>0</v>
      </c>
      <c r="AF288" s="1">
        <f t="shared" si="99"/>
        <v>1</v>
      </c>
      <c r="AG288" s="1">
        <f t="shared" si="100"/>
        <v>0</v>
      </c>
      <c r="AH288" s="1">
        <f t="shared" si="101"/>
        <v>1</v>
      </c>
      <c r="AI288" s="1">
        <f t="shared" si="102"/>
        <v>0</v>
      </c>
    </row>
    <row r="289" spans="1:35" s="1" customFormat="1" ht="14.25" customHeight="1" x14ac:dyDescent="0.25">
      <c r="A289" s="31">
        <v>0</v>
      </c>
      <c r="B289" s="31">
        <v>2</v>
      </c>
      <c r="C289" s="31">
        <v>1</v>
      </c>
      <c r="D289" s="32" t="s">
        <v>532</v>
      </c>
      <c r="E289" s="32" t="s">
        <v>34</v>
      </c>
      <c r="F289" s="32" t="s">
        <v>533</v>
      </c>
      <c r="G289" s="32" t="s">
        <v>219</v>
      </c>
      <c r="H289" s="32" t="s">
        <v>352</v>
      </c>
      <c r="I289" s="31" t="s">
        <v>534</v>
      </c>
      <c r="J289" s="31">
        <v>8</v>
      </c>
      <c r="K289" s="33" t="s">
        <v>709</v>
      </c>
      <c r="L289" s="33" t="s">
        <v>709</v>
      </c>
      <c r="M289" s="34" t="s">
        <v>710</v>
      </c>
      <c r="N289" s="34" t="s">
        <v>1732</v>
      </c>
      <c r="O289" s="35">
        <v>1</v>
      </c>
      <c r="P289" s="35"/>
      <c r="Q289" s="32"/>
      <c r="S289" s="1">
        <f t="shared" si="103"/>
        <v>0</v>
      </c>
      <c r="T289" s="1">
        <f t="shared" si="104"/>
        <v>0</v>
      </c>
      <c r="U289" s="1">
        <f t="shared" si="105"/>
        <v>0</v>
      </c>
      <c r="V289" s="1">
        <f t="shared" si="106"/>
        <v>0</v>
      </c>
      <c r="W289" s="1">
        <f t="shared" si="107"/>
        <v>0</v>
      </c>
      <c r="X289" s="1">
        <f t="shared" si="108"/>
        <v>0</v>
      </c>
      <c r="Y289" s="1">
        <f t="shared" si="109"/>
        <v>0</v>
      </c>
      <c r="Z289" s="1">
        <f t="shared" si="110"/>
        <v>1</v>
      </c>
      <c r="AA289" s="1">
        <f t="shared" si="111"/>
        <v>0</v>
      </c>
      <c r="AB289" s="1">
        <f t="shared" si="112"/>
        <v>0</v>
      </c>
      <c r="AD289" s="1">
        <f t="shared" si="113"/>
        <v>0</v>
      </c>
      <c r="AE289" s="1">
        <f t="shared" si="114"/>
        <v>1</v>
      </c>
      <c r="AF289" s="1">
        <f t="shared" si="99"/>
        <v>0</v>
      </c>
      <c r="AG289" s="1">
        <f t="shared" si="100"/>
        <v>1</v>
      </c>
      <c r="AH289" s="1">
        <f t="shared" si="101"/>
        <v>0</v>
      </c>
      <c r="AI289" s="1">
        <f t="shared" si="102"/>
        <v>1</v>
      </c>
    </row>
    <row r="290" spans="1:35" s="1" customFormat="1" ht="14.25" customHeight="1" x14ac:dyDescent="0.25">
      <c r="A290" s="31">
        <v>0</v>
      </c>
      <c r="B290" s="31">
        <v>2</v>
      </c>
      <c r="C290" s="31">
        <v>1</v>
      </c>
      <c r="D290" s="32" t="s">
        <v>1274</v>
      </c>
      <c r="E290" s="32" t="s">
        <v>557</v>
      </c>
      <c r="F290" s="32" t="s">
        <v>1275</v>
      </c>
      <c r="G290" s="32" t="s">
        <v>229</v>
      </c>
      <c r="H290" s="32" t="s">
        <v>352</v>
      </c>
      <c r="I290" s="31" t="s">
        <v>1276</v>
      </c>
      <c r="J290" s="31">
        <v>7</v>
      </c>
      <c r="K290" s="33" t="s">
        <v>709</v>
      </c>
      <c r="L290" s="33" t="s">
        <v>709</v>
      </c>
      <c r="M290" s="34" t="s">
        <v>710</v>
      </c>
      <c r="N290" s="34" t="s">
        <v>1740</v>
      </c>
      <c r="O290" s="35">
        <v>1</v>
      </c>
      <c r="P290" s="35"/>
      <c r="Q290" s="32"/>
      <c r="S290" s="1">
        <f t="shared" si="103"/>
        <v>0</v>
      </c>
      <c r="T290" s="1">
        <f t="shared" si="104"/>
        <v>0</v>
      </c>
      <c r="U290" s="1">
        <f t="shared" si="105"/>
        <v>0</v>
      </c>
      <c r="V290" s="1">
        <f t="shared" si="106"/>
        <v>0</v>
      </c>
      <c r="W290" s="1">
        <f t="shared" si="107"/>
        <v>0</v>
      </c>
      <c r="X290" s="1">
        <f t="shared" si="108"/>
        <v>0</v>
      </c>
      <c r="Y290" s="1">
        <f t="shared" si="109"/>
        <v>1</v>
      </c>
      <c r="Z290" s="1">
        <f t="shared" si="110"/>
        <v>0</v>
      </c>
      <c r="AA290" s="1">
        <f t="shared" si="111"/>
        <v>0</v>
      </c>
      <c r="AB290" s="1">
        <f t="shared" si="112"/>
        <v>0</v>
      </c>
      <c r="AD290" s="1">
        <f t="shared" si="113"/>
        <v>0</v>
      </c>
      <c r="AE290" s="1">
        <f t="shared" si="114"/>
        <v>1</v>
      </c>
      <c r="AF290" s="1">
        <f t="shared" si="99"/>
        <v>0</v>
      </c>
      <c r="AG290" s="1">
        <f t="shared" si="100"/>
        <v>1</v>
      </c>
      <c r="AH290" s="1">
        <f t="shared" si="101"/>
        <v>0</v>
      </c>
      <c r="AI290" s="1">
        <f t="shared" si="102"/>
        <v>1</v>
      </c>
    </row>
    <row r="291" spans="1:35" s="1" customFormat="1" ht="14.25" customHeight="1" x14ac:dyDescent="0.25">
      <c r="A291" s="31">
        <v>0</v>
      </c>
      <c r="B291" s="31">
        <v>2</v>
      </c>
      <c r="C291" s="31">
        <v>1</v>
      </c>
      <c r="D291" s="32" t="s">
        <v>1310</v>
      </c>
      <c r="E291" s="32" t="s">
        <v>557</v>
      </c>
      <c r="F291" s="32" t="s">
        <v>1968</v>
      </c>
      <c r="G291" s="32" t="s">
        <v>212</v>
      </c>
      <c r="H291" s="32" t="s">
        <v>352</v>
      </c>
      <c r="I291" s="31" t="s">
        <v>1140</v>
      </c>
      <c r="J291" s="31">
        <v>1</v>
      </c>
      <c r="K291" s="33" t="s">
        <v>941</v>
      </c>
      <c r="L291" s="33" t="s">
        <v>709</v>
      </c>
      <c r="M291" s="34" t="s">
        <v>710</v>
      </c>
      <c r="N291" s="34" t="s">
        <v>1745</v>
      </c>
      <c r="O291" s="35">
        <v>1</v>
      </c>
      <c r="P291" s="35"/>
      <c r="Q291" s="32"/>
      <c r="S291" s="1">
        <f t="shared" si="103"/>
        <v>1</v>
      </c>
      <c r="T291" s="1">
        <f t="shared" si="104"/>
        <v>0</v>
      </c>
      <c r="U291" s="1">
        <f t="shared" si="105"/>
        <v>0</v>
      </c>
      <c r="V291" s="1">
        <f t="shared" si="106"/>
        <v>0</v>
      </c>
      <c r="W291" s="1">
        <f t="shared" si="107"/>
        <v>0</v>
      </c>
      <c r="X291" s="1">
        <f t="shared" si="108"/>
        <v>0</v>
      </c>
      <c r="Y291" s="1">
        <f t="shared" si="109"/>
        <v>0</v>
      </c>
      <c r="Z291" s="1">
        <f t="shared" si="110"/>
        <v>0</v>
      </c>
      <c r="AA291" s="1">
        <f t="shared" si="111"/>
        <v>0</v>
      </c>
      <c r="AB291" s="1">
        <f t="shared" si="112"/>
        <v>0</v>
      </c>
      <c r="AD291" s="1">
        <f t="shared" si="113"/>
        <v>0</v>
      </c>
      <c r="AE291" s="1">
        <f t="shared" si="114"/>
        <v>1</v>
      </c>
      <c r="AF291" s="1">
        <f t="shared" si="99"/>
        <v>0</v>
      </c>
      <c r="AG291" s="1">
        <f t="shared" si="100"/>
        <v>1</v>
      </c>
      <c r="AH291" s="1">
        <f t="shared" si="101"/>
        <v>0</v>
      </c>
      <c r="AI291" s="1">
        <f t="shared" si="102"/>
        <v>1</v>
      </c>
    </row>
    <row r="292" spans="1:35" s="1" customFormat="1" ht="14.25" customHeight="1" x14ac:dyDescent="0.25">
      <c r="A292" s="31">
        <v>0</v>
      </c>
      <c r="B292" s="31">
        <v>2</v>
      </c>
      <c r="C292" s="31">
        <v>1</v>
      </c>
      <c r="D292" s="32" t="s">
        <v>1311</v>
      </c>
      <c r="E292" s="32" t="s">
        <v>557</v>
      </c>
      <c r="F292" s="32" t="s">
        <v>1135</v>
      </c>
      <c r="G292" s="32" t="s">
        <v>283</v>
      </c>
      <c r="H292" s="32" t="s">
        <v>352</v>
      </c>
      <c r="I292" s="31" t="s">
        <v>1136</v>
      </c>
      <c r="J292" s="31">
        <v>10</v>
      </c>
      <c r="K292" s="33" t="s">
        <v>941</v>
      </c>
      <c r="L292" s="33" t="s">
        <v>709</v>
      </c>
      <c r="M292" s="34" t="s">
        <v>710</v>
      </c>
      <c r="N292" s="34" t="s">
        <v>1745</v>
      </c>
      <c r="O292" s="35">
        <v>1</v>
      </c>
      <c r="P292" s="35"/>
      <c r="Q292" s="32"/>
      <c r="S292" s="1">
        <f t="shared" si="103"/>
        <v>0</v>
      </c>
      <c r="T292" s="1">
        <f t="shared" si="104"/>
        <v>0</v>
      </c>
      <c r="U292" s="1">
        <f t="shared" si="105"/>
        <v>0</v>
      </c>
      <c r="V292" s="1">
        <f t="shared" si="106"/>
        <v>0</v>
      </c>
      <c r="W292" s="1">
        <f t="shared" si="107"/>
        <v>0</v>
      </c>
      <c r="X292" s="1">
        <f t="shared" si="108"/>
        <v>0</v>
      </c>
      <c r="Y292" s="1">
        <f t="shared" si="109"/>
        <v>0</v>
      </c>
      <c r="Z292" s="1">
        <f t="shared" si="110"/>
        <v>0</v>
      </c>
      <c r="AA292" s="1">
        <f t="shared" si="111"/>
        <v>0</v>
      </c>
      <c r="AB292" s="1">
        <f t="shared" si="112"/>
        <v>1</v>
      </c>
      <c r="AD292" s="1">
        <f t="shared" si="113"/>
        <v>0</v>
      </c>
      <c r="AE292" s="1">
        <f t="shared" si="114"/>
        <v>1</v>
      </c>
      <c r="AF292" s="1">
        <f t="shared" si="99"/>
        <v>0</v>
      </c>
      <c r="AG292" s="1">
        <f t="shared" si="100"/>
        <v>1</v>
      </c>
      <c r="AH292" s="1">
        <f t="shared" si="101"/>
        <v>0</v>
      </c>
      <c r="AI292" s="1">
        <f t="shared" si="102"/>
        <v>1</v>
      </c>
    </row>
    <row r="293" spans="1:35" s="1" customFormat="1" ht="14.25" customHeight="1" x14ac:dyDescent="0.25">
      <c r="A293" s="15">
        <v>0</v>
      </c>
      <c r="B293" s="15">
        <v>2</v>
      </c>
      <c r="C293" s="15">
        <v>1</v>
      </c>
      <c r="D293" s="20" t="s">
        <v>2048</v>
      </c>
      <c r="E293" s="20" t="s">
        <v>36</v>
      </c>
      <c r="F293" s="20" t="s">
        <v>2049</v>
      </c>
      <c r="G293" s="20" t="s">
        <v>1467</v>
      </c>
      <c r="H293" s="20" t="s">
        <v>352</v>
      </c>
      <c r="I293" s="21" t="s">
        <v>2051</v>
      </c>
      <c r="J293" s="15">
        <v>99</v>
      </c>
      <c r="K293" s="10" t="s">
        <v>699</v>
      </c>
      <c r="L293" s="10">
        <v>7</v>
      </c>
      <c r="M293" s="19" t="s">
        <v>2050</v>
      </c>
      <c r="N293" s="19"/>
      <c r="Q293" s="20" t="s">
        <v>2052</v>
      </c>
      <c r="S293" s="1">
        <f t="shared" si="103"/>
        <v>0</v>
      </c>
      <c r="T293" s="1">
        <f t="shared" si="104"/>
        <v>0</v>
      </c>
      <c r="U293" s="1">
        <f t="shared" si="105"/>
        <v>0</v>
      </c>
      <c r="V293" s="1">
        <f t="shared" si="106"/>
        <v>0</v>
      </c>
      <c r="W293" s="1">
        <f t="shared" si="107"/>
        <v>0</v>
      </c>
      <c r="X293" s="1">
        <f t="shared" si="108"/>
        <v>0</v>
      </c>
      <c r="Y293" s="1">
        <f t="shared" si="109"/>
        <v>0</v>
      </c>
      <c r="Z293" s="1">
        <f t="shared" si="110"/>
        <v>0</v>
      </c>
      <c r="AA293" s="1">
        <f t="shared" si="111"/>
        <v>0</v>
      </c>
      <c r="AB293" s="1">
        <f t="shared" si="112"/>
        <v>0</v>
      </c>
      <c r="AD293" s="1">
        <f t="shared" si="113"/>
        <v>0</v>
      </c>
      <c r="AE293" s="1">
        <f t="shared" si="114"/>
        <v>0</v>
      </c>
      <c r="AF293" s="1">
        <f t="shared" si="99"/>
        <v>0</v>
      </c>
      <c r="AG293" s="1">
        <f t="shared" si="100"/>
        <v>0</v>
      </c>
      <c r="AH293" s="1">
        <f t="shared" si="101"/>
        <v>0</v>
      </c>
      <c r="AI293" s="1">
        <f t="shared" si="102"/>
        <v>1</v>
      </c>
    </row>
    <row r="294" spans="1:35" s="1" customFormat="1" ht="14.25" customHeight="1" x14ac:dyDescent="0.25">
      <c r="A294" s="15">
        <v>0</v>
      </c>
      <c r="B294" s="15">
        <v>2</v>
      </c>
      <c r="C294" s="15">
        <v>1</v>
      </c>
      <c r="D294" s="16" t="s">
        <v>508</v>
      </c>
      <c r="E294" s="16" t="s">
        <v>34</v>
      </c>
      <c r="F294" s="16" t="s">
        <v>507</v>
      </c>
      <c r="G294" s="16" t="s">
        <v>542</v>
      </c>
      <c r="H294" s="16" t="s">
        <v>352</v>
      </c>
      <c r="I294" s="15" t="s">
        <v>1348</v>
      </c>
      <c r="J294" s="15">
        <v>99</v>
      </c>
      <c r="K294" s="10" t="s">
        <v>942</v>
      </c>
      <c r="L294" s="10" t="s">
        <v>709</v>
      </c>
      <c r="M294" s="19" t="s">
        <v>710</v>
      </c>
      <c r="N294" s="19"/>
      <c r="Q294" s="20" t="s">
        <v>1992</v>
      </c>
      <c r="S294" s="1">
        <f t="shared" si="103"/>
        <v>0</v>
      </c>
      <c r="T294" s="1">
        <f t="shared" si="104"/>
        <v>0</v>
      </c>
      <c r="U294" s="1">
        <f t="shared" si="105"/>
        <v>0</v>
      </c>
      <c r="V294" s="1">
        <f t="shared" si="106"/>
        <v>0</v>
      </c>
      <c r="W294" s="1">
        <f t="shared" si="107"/>
        <v>0</v>
      </c>
      <c r="X294" s="1">
        <f t="shared" si="108"/>
        <v>0</v>
      </c>
      <c r="Y294" s="1">
        <f t="shared" si="109"/>
        <v>0</v>
      </c>
      <c r="Z294" s="1">
        <f t="shared" si="110"/>
        <v>0</v>
      </c>
      <c r="AA294" s="1">
        <f t="shared" si="111"/>
        <v>0</v>
      </c>
      <c r="AB294" s="1">
        <f t="shared" si="112"/>
        <v>0</v>
      </c>
      <c r="AD294" s="1">
        <f t="shared" si="113"/>
        <v>0</v>
      </c>
      <c r="AE294" s="1">
        <f t="shared" si="114"/>
        <v>0</v>
      </c>
      <c r="AF294" s="1">
        <f t="shared" si="99"/>
        <v>0</v>
      </c>
      <c r="AG294" s="1">
        <f t="shared" si="100"/>
        <v>0</v>
      </c>
      <c r="AH294" s="1">
        <f t="shared" si="101"/>
        <v>0</v>
      </c>
      <c r="AI294" s="1">
        <f t="shared" si="102"/>
        <v>1</v>
      </c>
    </row>
    <row r="295" spans="1:35" s="1" customFormat="1" ht="14.25" customHeight="1" x14ac:dyDescent="0.25">
      <c r="A295" s="31">
        <v>0</v>
      </c>
      <c r="B295" s="31">
        <v>2</v>
      </c>
      <c r="C295" s="31">
        <v>1</v>
      </c>
      <c r="D295" s="32" t="s">
        <v>1029</v>
      </c>
      <c r="E295" s="32" t="s">
        <v>36</v>
      </c>
      <c r="F295" s="32" t="s">
        <v>1643</v>
      </c>
      <c r="G295" s="32" t="s">
        <v>624</v>
      </c>
      <c r="H295" s="32" t="s">
        <v>352</v>
      </c>
      <c r="I295" s="31" t="s">
        <v>1030</v>
      </c>
      <c r="J295" s="31">
        <v>99</v>
      </c>
      <c r="K295" s="33" t="s">
        <v>946</v>
      </c>
      <c r="L295" s="33" t="s">
        <v>709</v>
      </c>
      <c r="M295" s="34" t="s">
        <v>710</v>
      </c>
      <c r="N295" s="34" t="s">
        <v>1717</v>
      </c>
      <c r="O295" s="35">
        <v>1</v>
      </c>
      <c r="P295" s="35">
        <v>1</v>
      </c>
      <c r="Q295" s="32" t="s">
        <v>1883</v>
      </c>
      <c r="S295" s="1">
        <f t="shared" si="103"/>
        <v>0</v>
      </c>
      <c r="T295" s="1">
        <f t="shared" si="104"/>
        <v>0</v>
      </c>
      <c r="U295" s="1">
        <f t="shared" si="105"/>
        <v>0</v>
      </c>
      <c r="V295" s="1">
        <f t="shared" si="106"/>
        <v>0</v>
      </c>
      <c r="W295" s="1">
        <f t="shared" si="107"/>
        <v>0</v>
      </c>
      <c r="X295" s="1">
        <f t="shared" si="108"/>
        <v>0</v>
      </c>
      <c r="Y295" s="1">
        <f t="shared" si="109"/>
        <v>0</v>
      </c>
      <c r="Z295" s="1">
        <f t="shared" si="110"/>
        <v>0</v>
      </c>
      <c r="AA295" s="1">
        <f t="shared" si="111"/>
        <v>0</v>
      </c>
      <c r="AB295" s="1">
        <f t="shared" si="112"/>
        <v>0</v>
      </c>
      <c r="AD295" s="1">
        <f t="shared" si="113"/>
        <v>1</v>
      </c>
      <c r="AE295" s="1">
        <f t="shared" si="114"/>
        <v>0</v>
      </c>
      <c r="AF295" s="1">
        <f t="shared" si="99"/>
        <v>1</v>
      </c>
      <c r="AG295" s="1">
        <f t="shared" si="100"/>
        <v>0</v>
      </c>
      <c r="AH295" s="1">
        <f t="shared" si="101"/>
        <v>1</v>
      </c>
      <c r="AI295" s="1">
        <f t="shared" si="102"/>
        <v>0</v>
      </c>
    </row>
    <row r="296" spans="1:35" s="1" customFormat="1" ht="14.25" customHeight="1" x14ac:dyDescent="0.25">
      <c r="A296" s="31">
        <v>1</v>
      </c>
      <c r="B296" s="31">
        <v>2</v>
      </c>
      <c r="C296" s="31">
        <v>1</v>
      </c>
      <c r="D296" s="32" t="s">
        <v>49</v>
      </c>
      <c r="E296" s="32" t="s">
        <v>1298</v>
      </c>
      <c r="F296" s="32" t="s">
        <v>190</v>
      </c>
      <c r="G296" s="32" t="s">
        <v>191</v>
      </c>
      <c r="H296" s="32" t="s">
        <v>352</v>
      </c>
      <c r="I296" s="31" t="s">
        <v>384</v>
      </c>
      <c r="J296" s="31">
        <v>99</v>
      </c>
      <c r="K296" s="33" t="s">
        <v>708</v>
      </c>
      <c r="L296" s="33" t="s">
        <v>709</v>
      </c>
      <c r="M296" s="34" t="s">
        <v>710</v>
      </c>
      <c r="N296" s="34" t="s">
        <v>1740</v>
      </c>
      <c r="O296" s="35">
        <v>1</v>
      </c>
      <c r="P296" s="35"/>
      <c r="Q296" s="32"/>
      <c r="S296" s="1">
        <f t="shared" si="103"/>
        <v>0</v>
      </c>
      <c r="T296" s="1">
        <f t="shared" si="104"/>
        <v>0</v>
      </c>
      <c r="U296" s="1">
        <f t="shared" si="105"/>
        <v>0</v>
      </c>
      <c r="V296" s="1">
        <f t="shared" si="106"/>
        <v>0</v>
      </c>
      <c r="W296" s="1">
        <f t="shared" si="107"/>
        <v>0</v>
      </c>
      <c r="X296" s="1">
        <f t="shared" si="108"/>
        <v>0</v>
      </c>
      <c r="Y296" s="1">
        <f t="shared" si="109"/>
        <v>0</v>
      </c>
      <c r="Z296" s="1">
        <f t="shared" si="110"/>
        <v>0</v>
      </c>
      <c r="AA296" s="1">
        <f t="shared" si="111"/>
        <v>0</v>
      </c>
      <c r="AB296" s="1">
        <f t="shared" si="112"/>
        <v>0</v>
      </c>
      <c r="AD296" s="1">
        <f t="shared" si="113"/>
        <v>0</v>
      </c>
      <c r="AE296" s="1">
        <f t="shared" si="114"/>
        <v>1</v>
      </c>
      <c r="AF296" s="1">
        <f t="shared" si="99"/>
        <v>0</v>
      </c>
      <c r="AG296" s="1">
        <f t="shared" si="100"/>
        <v>0</v>
      </c>
      <c r="AH296" s="1">
        <f t="shared" si="101"/>
        <v>0</v>
      </c>
      <c r="AI296" s="1">
        <f t="shared" si="102"/>
        <v>0</v>
      </c>
    </row>
    <row r="297" spans="1:35" s="1" customFormat="1" ht="14.25" customHeight="1" x14ac:dyDescent="0.25">
      <c r="A297" s="31">
        <v>0</v>
      </c>
      <c r="B297" s="31">
        <v>2</v>
      </c>
      <c r="C297" s="31">
        <v>1</v>
      </c>
      <c r="D297" s="32" t="s">
        <v>1061</v>
      </c>
      <c r="E297" s="32" t="s">
        <v>1298</v>
      </c>
      <c r="F297" s="32" t="s">
        <v>1076</v>
      </c>
      <c r="G297" s="32" t="s">
        <v>201</v>
      </c>
      <c r="H297" s="32" t="s">
        <v>352</v>
      </c>
      <c r="I297" s="31" t="s">
        <v>384</v>
      </c>
      <c r="J297" s="31">
        <v>10</v>
      </c>
      <c r="K297" s="33" t="s">
        <v>708</v>
      </c>
      <c r="L297" s="33" t="s">
        <v>709</v>
      </c>
      <c r="M297" s="34" t="s">
        <v>710</v>
      </c>
      <c r="N297" s="34" t="s">
        <v>1740</v>
      </c>
      <c r="O297" s="35">
        <v>1</v>
      </c>
      <c r="P297" s="35"/>
      <c r="Q297" s="32"/>
      <c r="S297" s="1">
        <f t="shared" si="103"/>
        <v>0</v>
      </c>
      <c r="T297" s="1">
        <f t="shared" si="104"/>
        <v>0</v>
      </c>
      <c r="U297" s="1">
        <f t="shared" si="105"/>
        <v>0</v>
      </c>
      <c r="V297" s="1">
        <f t="shared" si="106"/>
        <v>0</v>
      </c>
      <c r="W297" s="1">
        <f t="shared" si="107"/>
        <v>0</v>
      </c>
      <c r="X297" s="1">
        <f t="shared" si="108"/>
        <v>0</v>
      </c>
      <c r="Y297" s="1">
        <f t="shared" si="109"/>
        <v>0</v>
      </c>
      <c r="Z297" s="1">
        <f t="shared" si="110"/>
        <v>0</v>
      </c>
      <c r="AA297" s="1">
        <f t="shared" si="111"/>
        <v>0</v>
      </c>
      <c r="AB297" s="1">
        <f t="shared" si="112"/>
        <v>1</v>
      </c>
      <c r="AD297" s="1">
        <f t="shared" si="113"/>
        <v>0</v>
      </c>
      <c r="AE297" s="1">
        <f t="shared" si="114"/>
        <v>1</v>
      </c>
      <c r="AF297" s="1">
        <f t="shared" si="99"/>
        <v>0</v>
      </c>
      <c r="AG297" s="1">
        <f t="shared" si="100"/>
        <v>1</v>
      </c>
      <c r="AH297" s="1">
        <f t="shared" si="101"/>
        <v>0</v>
      </c>
      <c r="AI297" s="1">
        <f t="shared" si="102"/>
        <v>1</v>
      </c>
    </row>
    <row r="298" spans="1:35" s="1" customFormat="1" ht="14.25" customHeight="1" x14ac:dyDescent="0.25">
      <c r="A298" s="31">
        <v>0</v>
      </c>
      <c r="B298" s="31">
        <v>2</v>
      </c>
      <c r="C298" s="31">
        <v>1</v>
      </c>
      <c r="D298" s="32" t="s">
        <v>1257</v>
      </c>
      <c r="E298" s="32" t="s">
        <v>557</v>
      </c>
      <c r="F298" s="32" t="s">
        <v>1258</v>
      </c>
      <c r="G298" s="32" t="s">
        <v>257</v>
      </c>
      <c r="H298" s="32" t="s">
        <v>352</v>
      </c>
      <c r="I298" s="31" t="s">
        <v>1259</v>
      </c>
      <c r="J298" s="31">
        <v>8</v>
      </c>
      <c r="K298" s="33" t="s">
        <v>941</v>
      </c>
      <c r="L298" s="33" t="s">
        <v>709</v>
      </c>
      <c r="M298" s="34" t="s">
        <v>710</v>
      </c>
      <c r="N298" s="34" t="s">
        <v>1732</v>
      </c>
      <c r="O298" s="35">
        <v>1</v>
      </c>
      <c r="P298" s="35"/>
      <c r="Q298" s="32"/>
      <c r="S298" s="1">
        <f t="shared" si="103"/>
        <v>0</v>
      </c>
      <c r="T298" s="1">
        <f t="shared" si="104"/>
        <v>0</v>
      </c>
      <c r="U298" s="1">
        <f t="shared" si="105"/>
        <v>0</v>
      </c>
      <c r="V298" s="1">
        <f t="shared" si="106"/>
        <v>0</v>
      </c>
      <c r="W298" s="1">
        <f t="shared" si="107"/>
        <v>0</v>
      </c>
      <c r="X298" s="1">
        <f t="shared" si="108"/>
        <v>0</v>
      </c>
      <c r="Y298" s="1">
        <f t="shared" si="109"/>
        <v>0</v>
      </c>
      <c r="Z298" s="1">
        <f t="shared" si="110"/>
        <v>1</v>
      </c>
      <c r="AA298" s="1">
        <f t="shared" si="111"/>
        <v>0</v>
      </c>
      <c r="AB298" s="1">
        <f t="shared" si="112"/>
        <v>0</v>
      </c>
      <c r="AD298" s="1">
        <f t="shared" si="113"/>
        <v>0</v>
      </c>
      <c r="AE298" s="1">
        <f t="shared" si="114"/>
        <v>1</v>
      </c>
      <c r="AF298" s="1">
        <f t="shared" si="99"/>
        <v>0</v>
      </c>
      <c r="AG298" s="1">
        <f t="shared" si="100"/>
        <v>1</v>
      </c>
      <c r="AH298" s="1">
        <f t="shared" si="101"/>
        <v>0</v>
      </c>
      <c r="AI298" s="1">
        <f t="shared" si="102"/>
        <v>1</v>
      </c>
    </row>
    <row r="299" spans="1:35" s="1" customFormat="1" ht="14.25" customHeight="1" x14ac:dyDescent="0.25">
      <c r="A299" s="44">
        <v>0</v>
      </c>
      <c r="B299" s="44">
        <v>2</v>
      </c>
      <c r="C299" s="44">
        <v>1</v>
      </c>
      <c r="D299" s="45" t="s">
        <v>48</v>
      </c>
      <c r="E299" s="45" t="s">
        <v>574</v>
      </c>
      <c r="F299" s="45" t="s">
        <v>188</v>
      </c>
      <c r="G299" s="45" t="s">
        <v>298</v>
      </c>
      <c r="H299" s="45" t="s">
        <v>352</v>
      </c>
      <c r="I299" s="44" t="s">
        <v>383</v>
      </c>
      <c r="J299" s="44">
        <v>99</v>
      </c>
      <c r="K299" s="46" t="s">
        <v>709</v>
      </c>
      <c r="L299" s="46" t="s">
        <v>709</v>
      </c>
      <c r="M299" s="47" t="s">
        <v>710</v>
      </c>
      <c r="N299" s="47" t="s">
        <v>1731</v>
      </c>
      <c r="O299" s="48"/>
      <c r="P299" s="48"/>
      <c r="Q299" s="45"/>
      <c r="S299" s="1">
        <f t="shared" si="103"/>
        <v>0</v>
      </c>
      <c r="T299" s="1">
        <f t="shared" si="104"/>
        <v>0</v>
      </c>
      <c r="U299" s="1">
        <f t="shared" si="105"/>
        <v>0</v>
      </c>
      <c r="V299" s="1">
        <f t="shared" si="106"/>
        <v>0</v>
      </c>
      <c r="W299" s="1">
        <f t="shared" si="107"/>
        <v>0</v>
      </c>
      <c r="X299" s="1">
        <f t="shared" si="108"/>
        <v>0</v>
      </c>
      <c r="Y299" s="1">
        <f t="shared" si="109"/>
        <v>0</v>
      </c>
      <c r="Z299" s="1">
        <f t="shared" si="110"/>
        <v>0</v>
      </c>
      <c r="AA299" s="1">
        <f t="shared" si="111"/>
        <v>0</v>
      </c>
      <c r="AB299" s="1">
        <f t="shared" si="112"/>
        <v>0</v>
      </c>
      <c r="AD299" s="1">
        <f t="shared" si="113"/>
        <v>0</v>
      </c>
      <c r="AE299" s="1">
        <f t="shared" si="114"/>
        <v>0</v>
      </c>
      <c r="AF299" s="1">
        <f t="shared" si="99"/>
        <v>0</v>
      </c>
      <c r="AG299" s="1">
        <f t="shared" si="100"/>
        <v>0</v>
      </c>
      <c r="AH299" s="1">
        <f t="shared" si="101"/>
        <v>0</v>
      </c>
      <c r="AI299" s="1">
        <f t="shared" si="102"/>
        <v>1</v>
      </c>
    </row>
    <row r="300" spans="1:35" s="1" customFormat="1" ht="14.25" customHeight="1" x14ac:dyDescent="0.25">
      <c r="A300" s="31">
        <v>0</v>
      </c>
      <c r="B300" s="31">
        <v>2</v>
      </c>
      <c r="C300" s="31">
        <v>1</v>
      </c>
      <c r="D300" s="32" t="s">
        <v>57</v>
      </c>
      <c r="E300" s="32" t="s">
        <v>161</v>
      </c>
      <c r="F300" s="32" t="s">
        <v>662</v>
      </c>
      <c r="G300" s="32" t="s">
        <v>220</v>
      </c>
      <c r="H300" s="32" t="s">
        <v>352</v>
      </c>
      <c r="I300" s="31" t="s">
        <v>394</v>
      </c>
      <c r="J300" s="31">
        <v>99</v>
      </c>
      <c r="K300" s="33" t="s">
        <v>948</v>
      </c>
      <c r="L300" s="33" t="s">
        <v>709</v>
      </c>
      <c r="M300" s="34" t="s">
        <v>710</v>
      </c>
      <c r="N300" s="34" t="s">
        <v>1727</v>
      </c>
      <c r="O300" s="35">
        <v>1</v>
      </c>
      <c r="P300" s="35"/>
      <c r="Q300" s="32"/>
      <c r="S300" s="1">
        <f t="shared" si="103"/>
        <v>0</v>
      </c>
      <c r="T300" s="1">
        <f t="shared" si="104"/>
        <v>0</v>
      </c>
      <c r="U300" s="1">
        <f t="shared" si="105"/>
        <v>0</v>
      </c>
      <c r="V300" s="1">
        <f t="shared" si="106"/>
        <v>0</v>
      </c>
      <c r="W300" s="1">
        <f t="shared" si="107"/>
        <v>0</v>
      </c>
      <c r="X300" s="1">
        <f t="shared" si="108"/>
        <v>0</v>
      </c>
      <c r="Y300" s="1">
        <f t="shared" si="109"/>
        <v>0</v>
      </c>
      <c r="Z300" s="1">
        <f t="shared" si="110"/>
        <v>0</v>
      </c>
      <c r="AA300" s="1">
        <f t="shared" si="111"/>
        <v>0</v>
      </c>
      <c r="AB300" s="1">
        <f t="shared" si="112"/>
        <v>0</v>
      </c>
      <c r="AD300" s="1">
        <f t="shared" si="113"/>
        <v>0</v>
      </c>
      <c r="AE300" s="1">
        <f t="shared" si="114"/>
        <v>1</v>
      </c>
      <c r="AF300" s="1">
        <f t="shared" si="99"/>
        <v>0</v>
      </c>
      <c r="AG300" s="1">
        <f t="shared" si="100"/>
        <v>1</v>
      </c>
      <c r="AH300" s="1">
        <f t="shared" si="101"/>
        <v>0</v>
      </c>
      <c r="AI300" s="1">
        <f t="shared" si="102"/>
        <v>1</v>
      </c>
    </row>
    <row r="301" spans="1:35" s="1" customFormat="1" ht="14.25" customHeight="1" x14ac:dyDescent="0.25">
      <c r="A301" s="31">
        <v>0</v>
      </c>
      <c r="B301" s="31">
        <v>2</v>
      </c>
      <c r="C301" s="31">
        <v>1</v>
      </c>
      <c r="D301" s="32" t="s">
        <v>511</v>
      </c>
      <c r="E301" s="32" t="s">
        <v>557</v>
      </c>
      <c r="F301" s="32" t="s">
        <v>228</v>
      </c>
      <c r="G301" s="32" t="s">
        <v>229</v>
      </c>
      <c r="H301" s="32" t="s">
        <v>352</v>
      </c>
      <c r="I301" s="31" t="s">
        <v>398</v>
      </c>
      <c r="J301" s="31">
        <v>7</v>
      </c>
      <c r="K301" s="33" t="s">
        <v>941</v>
      </c>
      <c r="L301" s="33" t="s">
        <v>709</v>
      </c>
      <c r="M301" s="34" t="s">
        <v>710</v>
      </c>
      <c r="N301" s="34" t="s">
        <v>1733</v>
      </c>
      <c r="O301" s="35">
        <v>1</v>
      </c>
      <c r="P301" s="35"/>
      <c r="Q301" s="32"/>
      <c r="S301" s="1">
        <f t="shared" si="103"/>
        <v>0</v>
      </c>
      <c r="T301" s="1">
        <f t="shared" si="104"/>
        <v>0</v>
      </c>
      <c r="U301" s="1">
        <f t="shared" si="105"/>
        <v>0</v>
      </c>
      <c r="V301" s="1">
        <f t="shared" si="106"/>
        <v>0</v>
      </c>
      <c r="W301" s="1">
        <f t="shared" si="107"/>
        <v>0</v>
      </c>
      <c r="X301" s="1">
        <f t="shared" si="108"/>
        <v>0</v>
      </c>
      <c r="Y301" s="1">
        <f t="shared" si="109"/>
        <v>1</v>
      </c>
      <c r="Z301" s="1">
        <f t="shared" si="110"/>
        <v>0</v>
      </c>
      <c r="AA301" s="1">
        <f t="shared" si="111"/>
        <v>0</v>
      </c>
      <c r="AB301" s="1">
        <f t="shared" si="112"/>
        <v>0</v>
      </c>
      <c r="AD301" s="1">
        <f t="shared" si="113"/>
        <v>0</v>
      </c>
      <c r="AE301" s="1">
        <f t="shared" si="114"/>
        <v>1</v>
      </c>
      <c r="AF301" s="1">
        <f t="shared" si="99"/>
        <v>0</v>
      </c>
      <c r="AG301" s="1">
        <f t="shared" si="100"/>
        <v>1</v>
      </c>
      <c r="AH301" s="1">
        <f t="shared" si="101"/>
        <v>0</v>
      </c>
      <c r="AI301" s="1">
        <f t="shared" si="102"/>
        <v>1</v>
      </c>
    </row>
    <row r="302" spans="1:35" s="1" customFormat="1" ht="14.25" customHeight="1" x14ac:dyDescent="0.25">
      <c r="A302" s="44">
        <v>0</v>
      </c>
      <c r="B302" s="44">
        <v>2</v>
      </c>
      <c r="C302" s="44">
        <v>1</v>
      </c>
      <c r="D302" s="45" t="s">
        <v>556</v>
      </c>
      <c r="E302" s="45" t="s">
        <v>557</v>
      </c>
      <c r="F302" s="45" t="s">
        <v>558</v>
      </c>
      <c r="G302" s="45" t="s">
        <v>207</v>
      </c>
      <c r="H302" s="45" t="s">
        <v>352</v>
      </c>
      <c r="I302" s="44" t="s">
        <v>559</v>
      </c>
      <c r="J302" s="44">
        <v>3</v>
      </c>
      <c r="K302" s="46" t="s">
        <v>708</v>
      </c>
      <c r="L302" s="46" t="s">
        <v>709</v>
      </c>
      <c r="M302" s="47" t="s">
        <v>710</v>
      </c>
      <c r="N302" s="47" t="s">
        <v>1731</v>
      </c>
      <c r="O302" s="48"/>
      <c r="P302" s="48"/>
      <c r="Q302" s="45"/>
      <c r="S302" s="1">
        <f t="shared" si="103"/>
        <v>0</v>
      </c>
      <c r="T302" s="1">
        <f t="shared" si="104"/>
        <v>0</v>
      </c>
      <c r="U302" s="1">
        <f t="shared" si="105"/>
        <v>1</v>
      </c>
      <c r="V302" s="1">
        <f t="shared" si="106"/>
        <v>0</v>
      </c>
      <c r="W302" s="1">
        <f t="shared" si="107"/>
        <v>0</v>
      </c>
      <c r="X302" s="1">
        <f t="shared" si="108"/>
        <v>0</v>
      </c>
      <c r="Y302" s="1">
        <f t="shared" si="109"/>
        <v>0</v>
      </c>
      <c r="Z302" s="1">
        <f t="shared" si="110"/>
        <v>0</v>
      </c>
      <c r="AA302" s="1">
        <f t="shared" si="111"/>
        <v>0</v>
      </c>
      <c r="AB302" s="1">
        <f t="shared" si="112"/>
        <v>0</v>
      </c>
      <c r="AD302" s="1">
        <f t="shared" si="113"/>
        <v>0</v>
      </c>
      <c r="AE302" s="1">
        <f t="shared" si="114"/>
        <v>0</v>
      </c>
      <c r="AF302" s="1">
        <f t="shared" si="99"/>
        <v>0</v>
      </c>
      <c r="AG302" s="1">
        <f t="shared" si="100"/>
        <v>0</v>
      </c>
      <c r="AH302" s="1">
        <f t="shared" si="101"/>
        <v>0</v>
      </c>
      <c r="AI302" s="1">
        <f t="shared" si="102"/>
        <v>1</v>
      </c>
    </row>
    <row r="303" spans="1:35" s="1" customFormat="1" ht="14.25" customHeight="1" x14ac:dyDescent="0.25">
      <c r="A303" s="37">
        <v>0</v>
      </c>
      <c r="B303" s="37">
        <v>2</v>
      </c>
      <c r="C303" s="37">
        <v>1</v>
      </c>
      <c r="D303" s="36" t="s">
        <v>1040</v>
      </c>
      <c r="E303" s="36" t="s">
        <v>32</v>
      </c>
      <c r="F303" s="36" t="s">
        <v>1261</v>
      </c>
      <c r="G303" s="36" t="s">
        <v>531</v>
      </c>
      <c r="H303" s="36" t="s">
        <v>352</v>
      </c>
      <c r="I303" s="37" t="s">
        <v>1262</v>
      </c>
      <c r="J303" s="37">
        <v>6</v>
      </c>
      <c r="K303" s="56" t="s">
        <v>709</v>
      </c>
      <c r="L303" s="33" t="s">
        <v>709</v>
      </c>
      <c r="M303" s="34" t="s">
        <v>710</v>
      </c>
      <c r="N303" s="34" t="s">
        <v>1732</v>
      </c>
      <c r="O303" s="35">
        <v>1</v>
      </c>
      <c r="P303" s="35"/>
      <c r="Q303" s="36"/>
      <c r="S303" s="1">
        <f t="shared" si="103"/>
        <v>0</v>
      </c>
      <c r="T303" s="1">
        <f t="shared" si="104"/>
        <v>0</v>
      </c>
      <c r="U303" s="1">
        <f t="shared" si="105"/>
        <v>0</v>
      </c>
      <c r="V303" s="1">
        <f t="shared" si="106"/>
        <v>0</v>
      </c>
      <c r="W303" s="1">
        <f t="shared" si="107"/>
        <v>0</v>
      </c>
      <c r="X303" s="1">
        <f t="shared" si="108"/>
        <v>1</v>
      </c>
      <c r="Y303" s="1">
        <f t="shared" si="109"/>
        <v>0</v>
      </c>
      <c r="Z303" s="1">
        <f t="shared" si="110"/>
        <v>0</v>
      </c>
      <c r="AA303" s="1">
        <f t="shared" si="111"/>
        <v>0</v>
      </c>
      <c r="AB303" s="1">
        <f t="shared" si="112"/>
        <v>0</v>
      </c>
      <c r="AD303" s="1">
        <f t="shared" si="113"/>
        <v>0</v>
      </c>
      <c r="AE303" s="1">
        <f t="shared" si="114"/>
        <v>1</v>
      </c>
      <c r="AF303" s="1">
        <f t="shared" si="99"/>
        <v>0</v>
      </c>
      <c r="AG303" s="1">
        <f t="shared" si="100"/>
        <v>1</v>
      </c>
      <c r="AH303" s="1">
        <f t="shared" si="101"/>
        <v>0</v>
      </c>
      <c r="AI303" s="1">
        <f t="shared" si="102"/>
        <v>1</v>
      </c>
    </row>
    <row r="304" spans="1:35" s="1" customFormat="1" ht="14.25" customHeight="1" x14ac:dyDescent="0.25">
      <c r="A304" s="44">
        <v>0</v>
      </c>
      <c r="B304" s="44">
        <v>2</v>
      </c>
      <c r="C304" s="44">
        <v>1</v>
      </c>
      <c r="D304" s="45" t="s">
        <v>906</v>
      </c>
      <c r="E304" s="45" t="s">
        <v>1317</v>
      </c>
      <c r="F304" s="45" t="s">
        <v>780</v>
      </c>
      <c r="G304" s="45" t="s">
        <v>256</v>
      </c>
      <c r="H304" s="45" t="s">
        <v>352</v>
      </c>
      <c r="I304" s="44" t="s">
        <v>932</v>
      </c>
      <c r="J304" s="44">
        <v>99</v>
      </c>
      <c r="K304" s="46" t="s">
        <v>708</v>
      </c>
      <c r="L304" s="46" t="s">
        <v>709</v>
      </c>
      <c r="M304" s="47" t="s">
        <v>710</v>
      </c>
      <c r="N304" s="47" t="s">
        <v>1718</v>
      </c>
      <c r="O304" s="48"/>
      <c r="P304" s="48"/>
      <c r="Q304" s="45"/>
      <c r="S304" s="1">
        <f t="shared" si="103"/>
        <v>0</v>
      </c>
      <c r="T304" s="1">
        <f t="shared" si="104"/>
        <v>0</v>
      </c>
      <c r="U304" s="1">
        <f t="shared" si="105"/>
        <v>0</v>
      </c>
      <c r="V304" s="1">
        <f t="shared" si="106"/>
        <v>0</v>
      </c>
      <c r="W304" s="1">
        <f t="shared" si="107"/>
        <v>0</v>
      </c>
      <c r="X304" s="1">
        <f t="shared" si="108"/>
        <v>0</v>
      </c>
      <c r="Y304" s="1">
        <f t="shared" si="109"/>
        <v>0</v>
      </c>
      <c r="Z304" s="1">
        <f t="shared" si="110"/>
        <v>0</v>
      </c>
      <c r="AA304" s="1">
        <f t="shared" si="111"/>
        <v>0</v>
      </c>
      <c r="AB304" s="1">
        <f t="shared" si="112"/>
        <v>0</v>
      </c>
      <c r="AD304" s="1">
        <f t="shared" si="113"/>
        <v>0</v>
      </c>
      <c r="AE304" s="1">
        <f t="shared" si="114"/>
        <v>0</v>
      </c>
      <c r="AF304" s="1">
        <f t="shared" si="99"/>
        <v>0</v>
      </c>
      <c r="AG304" s="1">
        <f t="shared" si="100"/>
        <v>0</v>
      </c>
      <c r="AH304" s="1">
        <f t="shared" si="101"/>
        <v>0</v>
      </c>
      <c r="AI304" s="1">
        <f t="shared" si="102"/>
        <v>1</v>
      </c>
    </row>
    <row r="305" spans="1:35" s="1" customFormat="1" ht="14.25" customHeight="1" x14ac:dyDescent="0.25">
      <c r="A305" s="37">
        <v>0</v>
      </c>
      <c r="B305" s="37">
        <v>2</v>
      </c>
      <c r="C305" s="37">
        <v>1</v>
      </c>
      <c r="D305" s="36" t="s">
        <v>1755</v>
      </c>
      <c r="E305" s="36" t="s">
        <v>1756</v>
      </c>
      <c r="F305" s="36" t="s">
        <v>1757</v>
      </c>
      <c r="G305" s="36" t="s">
        <v>179</v>
      </c>
      <c r="H305" s="36" t="s">
        <v>352</v>
      </c>
      <c r="I305" s="37" t="s">
        <v>1758</v>
      </c>
      <c r="J305" s="37"/>
      <c r="K305" s="56" t="s">
        <v>699</v>
      </c>
      <c r="L305" s="33">
        <v>4</v>
      </c>
      <c r="M305" s="34" t="s">
        <v>710</v>
      </c>
      <c r="N305" s="34" t="s">
        <v>1727</v>
      </c>
      <c r="O305" s="35">
        <v>1</v>
      </c>
      <c r="P305" s="35"/>
      <c r="Q305" s="36"/>
      <c r="S305" s="1">
        <f t="shared" si="103"/>
        <v>0</v>
      </c>
      <c r="T305" s="1">
        <f t="shared" si="104"/>
        <v>0</v>
      </c>
      <c r="U305" s="1">
        <f t="shared" si="105"/>
        <v>0</v>
      </c>
      <c r="V305" s="1">
        <f t="shared" si="106"/>
        <v>0</v>
      </c>
      <c r="W305" s="1">
        <f t="shared" si="107"/>
        <v>0</v>
      </c>
      <c r="X305" s="1">
        <f t="shared" si="108"/>
        <v>0</v>
      </c>
      <c r="Y305" s="1">
        <f t="shared" si="109"/>
        <v>0</v>
      </c>
      <c r="Z305" s="1">
        <f t="shared" si="110"/>
        <v>0</v>
      </c>
      <c r="AA305" s="1">
        <f t="shared" si="111"/>
        <v>0</v>
      </c>
      <c r="AB305" s="1">
        <f t="shared" si="112"/>
        <v>0</v>
      </c>
      <c r="AD305" s="1">
        <f t="shared" si="113"/>
        <v>0</v>
      </c>
      <c r="AE305" s="1">
        <f t="shared" si="114"/>
        <v>1</v>
      </c>
      <c r="AF305" s="1">
        <f t="shared" si="99"/>
        <v>0</v>
      </c>
      <c r="AG305" s="1">
        <f t="shared" si="100"/>
        <v>1</v>
      </c>
      <c r="AH305" s="1">
        <f t="shared" si="101"/>
        <v>0</v>
      </c>
      <c r="AI305" s="1">
        <f t="shared" si="102"/>
        <v>1</v>
      </c>
    </row>
    <row r="306" spans="1:35" s="1" customFormat="1" ht="14.25" customHeight="1" x14ac:dyDescent="0.25">
      <c r="A306" s="31">
        <v>0</v>
      </c>
      <c r="B306" s="31">
        <v>2</v>
      </c>
      <c r="C306" s="31">
        <v>1</v>
      </c>
      <c r="D306" s="32" t="s">
        <v>615</v>
      </c>
      <c r="E306" s="32" t="s">
        <v>616</v>
      </c>
      <c r="F306" s="32" t="s">
        <v>617</v>
      </c>
      <c r="G306" s="32" t="s">
        <v>618</v>
      </c>
      <c r="H306" s="32" t="s">
        <v>352</v>
      </c>
      <c r="I306" s="31" t="s">
        <v>619</v>
      </c>
      <c r="J306" s="31">
        <v>99</v>
      </c>
      <c r="K306" s="33" t="s">
        <v>708</v>
      </c>
      <c r="L306" s="33" t="s">
        <v>709</v>
      </c>
      <c r="M306" s="34" t="s">
        <v>710</v>
      </c>
      <c r="N306" s="34" t="s">
        <v>1740</v>
      </c>
      <c r="O306" s="35">
        <v>1</v>
      </c>
      <c r="P306" s="35"/>
      <c r="Q306" s="32"/>
      <c r="S306" s="1">
        <f t="shared" si="103"/>
        <v>0</v>
      </c>
      <c r="T306" s="1">
        <f t="shared" si="104"/>
        <v>0</v>
      </c>
      <c r="U306" s="1">
        <f t="shared" si="105"/>
        <v>0</v>
      </c>
      <c r="V306" s="1">
        <f t="shared" si="106"/>
        <v>0</v>
      </c>
      <c r="W306" s="1">
        <f t="shared" si="107"/>
        <v>0</v>
      </c>
      <c r="X306" s="1">
        <f t="shared" si="108"/>
        <v>0</v>
      </c>
      <c r="Y306" s="1">
        <f t="shared" si="109"/>
        <v>0</v>
      </c>
      <c r="Z306" s="1">
        <f t="shared" si="110"/>
        <v>0</v>
      </c>
      <c r="AA306" s="1">
        <f t="shared" si="111"/>
        <v>0</v>
      </c>
      <c r="AB306" s="1">
        <f t="shared" si="112"/>
        <v>0</v>
      </c>
      <c r="AD306" s="1">
        <f t="shared" si="113"/>
        <v>0</v>
      </c>
      <c r="AE306" s="1">
        <f t="shared" si="114"/>
        <v>1</v>
      </c>
      <c r="AF306" s="1">
        <f t="shared" si="99"/>
        <v>0</v>
      </c>
      <c r="AG306" s="1">
        <f t="shared" si="100"/>
        <v>1</v>
      </c>
      <c r="AH306" s="1">
        <f t="shared" si="101"/>
        <v>0</v>
      </c>
      <c r="AI306" s="1">
        <f t="shared" si="102"/>
        <v>1</v>
      </c>
    </row>
    <row r="307" spans="1:35" s="1" customFormat="1" ht="14.25" customHeight="1" x14ac:dyDescent="0.25">
      <c r="A307" s="31">
        <v>0</v>
      </c>
      <c r="B307" s="31">
        <v>2</v>
      </c>
      <c r="C307" s="31">
        <v>1</v>
      </c>
      <c r="D307" s="32" t="s">
        <v>1067</v>
      </c>
      <c r="E307" s="32" t="s">
        <v>1318</v>
      </c>
      <c r="F307" s="32" t="s">
        <v>1647</v>
      </c>
      <c r="G307" s="32" t="s">
        <v>189</v>
      </c>
      <c r="H307" s="32" t="s">
        <v>352</v>
      </c>
      <c r="I307" s="31" t="s">
        <v>1845</v>
      </c>
      <c r="J307" s="31">
        <v>99</v>
      </c>
      <c r="K307" s="33" t="s">
        <v>708</v>
      </c>
      <c r="L307" s="33" t="s">
        <v>709</v>
      </c>
      <c r="M307" s="34" t="s">
        <v>710</v>
      </c>
      <c r="N307" s="34" t="s">
        <v>1727</v>
      </c>
      <c r="O307" s="35">
        <v>1</v>
      </c>
      <c r="P307" s="35"/>
      <c r="Q307" s="32"/>
      <c r="S307" s="1">
        <f t="shared" si="103"/>
        <v>0</v>
      </c>
      <c r="T307" s="1">
        <f t="shared" si="104"/>
        <v>0</v>
      </c>
      <c r="U307" s="1">
        <f t="shared" si="105"/>
        <v>0</v>
      </c>
      <c r="V307" s="1">
        <f t="shared" si="106"/>
        <v>0</v>
      </c>
      <c r="W307" s="1">
        <f t="shared" si="107"/>
        <v>0</v>
      </c>
      <c r="X307" s="1">
        <f t="shared" si="108"/>
        <v>0</v>
      </c>
      <c r="Y307" s="1">
        <f t="shared" si="109"/>
        <v>0</v>
      </c>
      <c r="Z307" s="1">
        <f t="shared" si="110"/>
        <v>0</v>
      </c>
      <c r="AA307" s="1">
        <f t="shared" si="111"/>
        <v>0</v>
      </c>
      <c r="AB307" s="1">
        <f t="shared" si="112"/>
        <v>0</v>
      </c>
      <c r="AD307" s="1">
        <f t="shared" si="113"/>
        <v>0</v>
      </c>
      <c r="AE307" s="1">
        <f t="shared" si="114"/>
        <v>1</v>
      </c>
      <c r="AF307" s="1">
        <f t="shared" si="99"/>
        <v>0</v>
      </c>
      <c r="AG307" s="1">
        <f t="shared" si="100"/>
        <v>1</v>
      </c>
      <c r="AH307" s="1">
        <f t="shared" si="101"/>
        <v>0</v>
      </c>
      <c r="AI307" s="1">
        <f t="shared" si="102"/>
        <v>1</v>
      </c>
    </row>
    <row r="308" spans="1:35" s="1" customFormat="1" ht="14.25" customHeight="1" x14ac:dyDescent="0.25">
      <c r="A308" s="15">
        <v>0</v>
      </c>
      <c r="B308" s="15">
        <v>2</v>
      </c>
      <c r="C308" s="15">
        <v>1</v>
      </c>
      <c r="D308" s="16" t="s">
        <v>647</v>
      </c>
      <c r="E308" s="16" t="s">
        <v>36</v>
      </c>
      <c r="F308" s="16" t="s">
        <v>663</v>
      </c>
      <c r="G308" s="16" t="s">
        <v>200</v>
      </c>
      <c r="H308" s="16" t="s">
        <v>352</v>
      </c>
      <c r="I308" s="15" t="s">
        <v>992</v>
      </c>
      <c r="J308" s="15">
        <v>99</v>
      </c>
      <c r="K308" s="10" t="s">
        <v>699</v>
      </c>
      <c r="L308" s="10">
        <v>4</v>
      </c>
      <c r="M308" s="19" t="s">
        <v>710</v>
      </c>
      <c r="N308" s="17"/>
      <c r="Q308" s="16"/>
      <c r="S308" s="1">
        <f t="shared" si="103"/>
        <v>0</v>
      </c>
      <c r="T308" s="1">
        <f t="shared" si="104"/>
        <v>0</v>
      </c>
      <c r="U308" s="1">
        <f t="shared" si="105"/>
        <v>0</v>
      </c>
      <c r="V308" s="1">
        <f t="shared" si="106"/>
        <v>0</v>
      </c>
      <c r="W308" s="1">
        <f t="shared" si="107"/>
        <v>0</v>
      </c>
      <c r="X308" s="1">
        <f t="shared" si="108"/>
        <v>0</v>
      </c>
      <c r="Y308" s="1">
        <f t="shared" si="109"/>
        <v>0</v>
      </c>
      <c r="Z308" s="1">
        <f t="shared" si="110"/>
        <v>0</v>
      </c>
      <c r="AA308" s="1">
        <f t="shared" si="111"/>
        <v>0</v>
      </c>
      <c r="AB308" s="1">
        <f t="shared" si="112"/>
        <v>0</v>
      </c>
      <c r="AD308" s="1">
        <f t="shared" si="113"/>
        <v>0</v>
      </c>
      <c r="AE308" s="1">
        <f t="shared" si="114"/>
        <v>0</v>
      </c>
      <c r="AF308" s="1">
        <f t="shared" si="99"/>
        <v>0</v>
      </c>
      <c r="AG308" s="1">
        <f t="shared" si="100"/>
        <v>0</v>
      </c>
      <c r="AH308" s="1">
        <f t="shared" si="101"/>
        <v>0</v>
      </c>
      <c r="AI308" s="1">
        <f t="shared" si="102"/>
        <v>1</v>
      </c>
    </row>
    <row r="309" spans="1:35" s="1" customFormat="1" ht="14.25" customHeight="1" x14ac:dyDescent="0.25">
      <c r="A309" s="44">
        <v>0</v>
      </c>
      <c r="B309" s="44">
        <v>2</v>
      </c>
      <c r="C309" s="44">
        <v>1</v>
      </c>
      <c r="D309" s="45" t="s">
        <v>1248</v>
      </c>
      <c r="E309" s="45" t="s">
        <v>1249</v>
      </c>
      <c r="F309" s="45" t="s">
        <v>1250</v>
      </c>
      <c r="G309" s="45" t="s">
        <v>1149</v>
      </c>
      <c r="H309" s="45" t="s">
        <v>352</v>
      </c>
      <c r="I309" s="44" t="s">
        <v>1251</v>
      </c>
      <c r="J309" s="44">
        <v>11</v>
      </c>
      <c r="K309" s="46" t="s">
        <v>699</v>
      </c>
      <c r="L309" s="46">
        <v>6</v>
      </c>
      <c r="M309" s="47" t="s">
        <v>1712</v>
      </c>
      <c r="N309" s="47" t="s">
        <v>1793</v>
      </c>
      <c r="O309" s="48"/>
      <c r="P309" s="48"/>
      <c r="Q309" s="45"/>
      <c r="S309" s="1">
        <f t="shared" si="103"/>
        <v>0</v>
      </c>
      <c r="T309" s="1">
        <f t="shared" si="104"/>
        <v>0</v>
      </c>
      <c r="U309" s="1">
        <f t="shared" si="105"/>
        <v>0</v>
      </c>
      <c r="V309" s="1">
        <f t="shared" si="106"/>
        <v>0</v>
      </c>
      <c r="W309" s="1">
        <f t="shared" si="107"/>
        <v>0</v>
      </c>
      <c r="X309" s="1">
        <f t="shared" si="108"/>
        <v>0</v>
      </c>
      <c r="Y309" s="1">
        <f t="shared" si="109"/>
        <v>0</v>
      </c>
      <c r="Z309" s="1">
        <f t="shared" si="110"/>
        <v>0</v>
      </c>
      <c r="AA309" s="1">
        <f t="shared" si="111"/>
        <v>0</v>
      </c>
      <c r="AB309" s="1">
        <f t="shared" si="112"/>
        <v>0</v>
      </c>
      <c r="AD309" s="1">
        <f t="shared" si="113"/>
        <v>0</v>
      </c>
      <c r="AE309" s="1">
        <f t="shared" si="114"/>
        <v>0</v>
      </c>
      <c r="AF309" s="1">
        <f t="shared" si="99"/>
        <v>0</v>
      </c>
      <c r="AG309" s="1">
        <f t="shared" si="100"/>
        <v>0</v>
      </c>
      <c r="AH309" s="1">
        <f t="shared" si="101"/>
        <v>0</v>
      </c>
      <c r="AI309" s="1">
        <f t="shared" si="102"/>
        <v>1</v>
      </c>
    </row>
    <row r="310" spans="1:35" s="1" customFormat="1" ht="14.25" customHeight="1" x14ac:dyDescent="0.25">
      <c r="A310" s="31">
        <v>0</v>
      </c>
      <c r="B310" s="31">
        <v>2</v>
      </c>
      <c r="C310" s="31">
        <v>1</v>
      </c>
      <c r="D310" s="32" t="s">
        <v>1110</v>
      </c>
      <c r="E310" s="32" t="s">
        <v>1298</v>
      </c>
      <c r="F310" s="32" t="s">
        <v>1108</v>
      </c>
      <c r="G310" s="32" t="s">
        <v>229</v>
      </c>
      <c r="H310" s="32" t="s">
        <v>352</v>
      </c>
      <c r="I310" s="31" t="s">
        <v>1109</v>
      </c>
      <c r="J310" s="31">
        <v>7</v>
      </c>
      <c r="K310" s="33" t="s">
        <v>709</v>
      </c>
      <c r="L310" s="33" t="s">
        <v>1693</v>
      </c>
      <c r="M310" s="34" t="s">
        <v>710</v>
      </c>
      <c r="N310" s="34" t="s">
        <v>1740</v>
      </c>
      <c r="O310" s="35">
        <v>1</v>
      </c>
      <c r="P310" s="35"/>
      <c r="Q310" s="32"/>
      <c r="S310" s="1">
        <f t="shared" si="103"/>
        <v>0</v>
      </c>
      <c r="T310" s="1">
        <f t="shared" si="104"/>
        <v>0</v>
      </c>
      <c r="U310" s="1">
        <f t="shared" si="105"/>
        <v>0</v>
      </c>
      <c r="V310" s="1">
        <f t="shared" si="106"/>
        <v>0</v>
      </c>
      <c r="W310" s="1">
        <f t="shared" si="107"/>
        <v>0</v>
      </c>
      <c r="X310" s="1">
        <f t="shared" si="108"/>
        <v>0</v>
      </c>
      <c r="Y310" s="1">
        <f t="shared" si="109"/>
        <v>1</v>
      </c>
      <c r="Z310" s="1">
        <f t="shared" si="110"/>
        <v>0</v>
      </c>
      <c r="AA310" s="1">
        <f t="shared" si="111"/>
        <v>0</v>
      </c>
      <c r="AB310" s="1">
        <f t="shared" si="112"/>
        <v>0</v>
      </c>
      <c r="AD310" s="1">
        <f t="shared" si="113"/>
        <v>0</v>
      </c>
      <c r="AE310" s="1">
        <f t="shared" si="114"/>
        <v>1</v>
      </c>
      <c r="AF310" s="1">
        <f t="shared" si="99"/>
        <v>0</v>
      </c>
      <c r="AG310" s="1">
        <f t="shared" si="100"/>
        <v>1</v>
      </c>
      <c r="AH310" s="1">
        <f t="shared" si="101"/>
        <v>0</v>
      </c>
      <c r="AI310" s="1">
        <f t="shared" si="102"/>
        <v>1</v>
      </c>
    </row>
    <row r="311" spans="1:35" s="1" customFormat="1" ht="14.25" customHeight="1" x14ac:dyDescent="0.25">
      <c r="A311" s="31">
        <v>0</v>
      </c>
      <c r="B311" s="31">
        <v>2</v>
      </c>
      <c r="C311" s="31">
        <v>1</v>
      </c>
      <c r="D311" s="32" t="s">
        <v>995</v>
      </c>
      <c r="E311" s="32" t="s">
        <v>1320</v>
      </c>
      <c r="F311" s="32" t="s">
        <v>996</v>
      </c>
      <c r="G311" s="32" t="s">
        <v>1087</v>
      </c>
      <c r="H311" s="32" t="s">
        <v>352</v>
      </c>
      <c r="I311" s="31" t="s">
        <v>406</v>
      </c>
      <c r="J311" s="31">
        <v>99</v>
      </c>
      <c r="K311" s="33" t="s">
        <v>709</v>
      </c>
      <c r="L311" s="33" t="s">
        <v>709</v>
      </c>
      <c r="M311" s="34" t="s">
        <v>710</v>
      </c>
      <c r="N311" s="34" t="s">
        <v>1727</v>
      </c>
      <c r="O311" s="35">
        <v>1</v>
      </c>
      <c r="P311" s="35"/>
      <c r="Q311" s="32"/>
      <c r="S311" s="1">
        <f t="shared" si="103"/>
        <v>0</v>
      </c>
      <c r="T311" s="1">
        <f t="shared" si="104"/>
        <v>0</v>
      </c>
      <c r="U311" s="1">
        <f t="shared" si="105"/>
        <v>0</v>
      </c>
      <c r="V311" s="1">
        <f t="shared" si="106"/>
        <v>0</v>
      </c>
      <c r="W311" s="1">
        <f t="shared" si="107"/>
        <v>0</v>
      </c>
      <c r="X311" s="1">
        <f t="shared" si="108"/>
        <v>0</v>
      </c>
      <c r="Y311" s="1">
        <f t="shared" si="109"/>
        <v>0</v>
      </c>
      <c r="Z311" s="1">
        <f t="shared" si="110"/>
        <v>0</v>
      </c>
      <c r="AA311" s="1">
        <f t="shared" si="111"/>
        <v>0</v>
      </c>
      <c r="AB311" s="1">
        <f t="shared" si="112"/>
        <v>0</v>
      </c>
      <c r="AD311" s="1">
        <f t="shared" si="113"/>
        <v>0</v>
      </c>
      <c r="AE311" s="1">
        <f t="shared" si="114"/>
        <v>1</v>
      </c>
      <c r="AF311" s="1">
        <f t="shared" si="99"/>
        <v>0</v>
      </c>
      <c r="AG311" s="1">
        <f t="shared" si="100"/>
        <v>1</v>
      </c>
      <c r="AH311" s="1">
        <f t="shared" si="101"/>
        <v>0</v>
      </c>
      <c r="AI311" s="1">
        <f t="shared" si="102"/>
        <v>1</v>
      </c>
    </row>
    <row r="312" spans="1:35" s="1" customFormat="1" ht="14.25" customHeight="1" x14ac:dyDescent="0.25">
      <c r="A312" s="31">
        <v>0</v>
      </c>
      <c r="B312" s="31">
        <v>2</v>
      </c>
      <c r="C312" s="31">
        <v>1</v>
      </c>
      <c r="D312" s="32" t="s">
        <v>1117</v>
      </c>
      <c r="E312" s="32" t="s">
        <v>557</v>
      </c>
      <c r="F312" s="32" t="s">
        <v>1338</v>
      </c>
      <c r="G312" s="32" t="s">
        <v>264</v>
      </c>
      <c r="H312" s="32" t="s">
        <v>352</v>
      </c>
      <c r="I312" s="31" t="s">
        <v>1118</v>
      </c>
      <c r="J312" s="31">
        <v>8</v>
      </c>
      <c r="K312" s="33" t="s">
        <v>708</v>
      </c>
      <c r="L312" s="33" t="s">
        <v>1693</v>
      </c>
      <c r="M312" s="34" t="s">
        <v>710</v>
      </c>
      <c r="N312" s="34" t="s">
        <v>1732</v>
      </c>
      <c r="O312" s="35">
        <v>1</v>
      </c>
      <c r="P312" s="35"/>
      <c r="Q312" s="32"/>
      <c r="S312" s="1">
        <f t="shared" si="103"/>
        <v>0</v>
      </c>
      <c r="T312" s="1">
        <f t="shared" si="104"/>
        <v>0</v>
      </c>
      <c r="U312" s="1">
        <f t="shared" si="105"/>
        <v>0</v>
      </c>
      <c r="V312" s="1">
        <f t="shared" si="106"/>
        <v>0</v>
      </c>
      <c r="W312" s="1">
        <f t="shared" si="107"/>
        <v>0</v>
      </c>
      <c r="X312" s="1">
        <f t="shared" si="108"/>
        <v>0</v>
      </c>
      <c r="Y312" s="1">
        <f t="shared" si="109"/>
        <v>0</v>
      </c>
      <c r="Z312" s="1">
        <f t="shared" si="110"/>
        <v>1</v>
      </c>
      <c r="AA312" s="1">
        <f t="shared" si="111"/>
        <v>0</v>
      </c>
      <c r="AB312" s="1">
        <f t="shared" si="112"/>
        <v>0</v>
      </c>
      <c r="AD312" s="1">
        <f t="shared" si="113"/>
        <v>0</v>
      </c>
      <c r="AE312" s="1">
        <f t="shared" si="114"/>
        <v>1</v>
      </c>
      <c r="AF312" s="1">
        <f t="shared" si="99"/>
        <v>0</v>
      </c>
      <c r="AG312" s="1">
        <f t="shared" si="100"/>
        <v>1</v>
      </c>
      <c r="AH312" s="1">
        <f t="shared" si="101"/>
        <v>0</v>
      </c>
      <c r="AI312" s="1">
        <f t="shared" si="102"/>
        <v>1</v>
      </c>
    </row>
    <row r="313" spans="1:35" s="1" customFormat="1" ht="14.25" customHeight="1" x14ac:dyDescent="0.25">
      <c r="A313" s="31">
        <v>0</v>
      </c>
      <c r="B313" s="31">
        <v>2</v>
      </c>
      <c r="C313" s="31">
        <v>1</v>
      </c>
      <c r="D313" s="32" t="s">
        <v>1270</v>
      </c>
      <c r="E313" s="32" t="s">
        <v>1318</v>
      </c>
      <c r="F313" s="32" t="s">
        <v>1267</v>
      </c>
      <c r="G313" s="32" t="s">
        <v>1268</v>
      </c>
      <c r="H313" s="32" t="s">
        <v>352</v>
      </c>
      <c r="I313" s="31" t="s">
        <v>1269</v>
      </c>
      <c r="J313" s="31">
        <v>1</v>
      </c>
      <c r="K313" s="33" t="s">
        <v>708</v>
      </c>
      <c r="L313" s="33" t="s">
        <v>709</v>
      </c>
      <c r="M313" s="34" t="s">
        <v>710</v>
      </c>
      <c r="N313" s="34" t="s">
        <v>1745</v>
      </c>
      <c r="O313" s="35">
        <v>1</v>
      </c>
      <c r="P313" s="35"/>
      <c r="Q313" s="32" t="s">
        <v>1886</v>
      </c>
      <c r="S313" s="1">
        <f t="shared" si="103"/>
        <v>1</v>
      </c>
      <c r="T313" s="1">
        <f t="shared" si="104"/>
        <v>0</v>
      </c>
      <c r="U313" s="1">
        <f t="shared" si="105"/>
        <v>0</v>
      </c>
      <c r="V313" s="1">
        <f t="shared" si="106"/>
        <v>0</v>
      </c>
      <c r="W313" s="1">
        <f t="shared" si="107"/>
        <v>0</v>
      </c>
      <c r="X313" s="1">
        <f t="shared" si="108"/>
        <v>0</v>
      </c>
      <c r="Y313" s="1">
        <f t="shared" si="109"/>
        <v>0</v>
      </c>
      <c r="Z313" s="1">
        <f t="shared" si="110"/>
        <v>0</v>
      </c>
      <c r="AA313" s="1">
        <f t="shared" si="111"/>
        <v>0</v>
      </c>
      <c r="AB313" s="1">
        <f t="shared" si="112"/>
        <v>0</v>
      </c>
      <c r="AD313" s="1">
        <f t="shared" si="113"/>
        <v>0</v>
      </c>
      <c r="AE313" s="1">
        <f t="shared" si="114"/>
        <v>1</v>
      </c>
      <c r="AF313" s="1">
        <f t="shared" si="99"/>
        <v>0</v>
      </c>
      <c r="AG313" s="1">
        <f t="shared" si="100"/>
        <v>1</v>
      </c>
      <c r="AH313" s="1">
        <f t="shared" si="101"/>
        <v>0</v>
      </c>
      <c r="AI313" s="1">
        <f t="shared" si="102"/>
        <v>1</v>
      </c>
    </row>
    <row r="314" spans="1:35" s="1" customFormat="1" ht="14.25" customHeight="1" x14ac:dyDescent="0.25">
      <c r="A314" s="31">
        <v>0</v>
      </c>
      <c r="B314" s="31">
        <v>2</v>
      </c>
      <c r="C314" s="31">
        <v>1</v>
      </c>
      <c r="D314" s="32" t="s">
        <v>52</v>
      </c>
      <c r="E314" s="32" t="s">
        <v>32</v>
      </c>
      <c r="F314" s="32" t="s">
        <v>205</v>
      </c>
      <c r="G314" s="32" t="s">
        <v>206</v>
      </c>
      <c r="H314" s="32" t="s">
        <v>352</v>
      </c>
      <c r="I314" s="31" t="s">
        <v>389</v>
      </c>
      <c r="J314" s="31">
        <v>99</v>
      </c>
      <c r="K314" s="33" t="s">
        <v>708</v>
      </c>
      <c r="L314" s="33" t="s">
        <v>709</v>
      </c>
      <c r="M314" s="34" t="s">
        <v>710</v>
      </c>
      <c r="N314" s="34" t="s">
        <v>1930</v>
      </c>
      <c r="O314" s="35">
        <v>1</v>
      </c>
      <c r="P314" s="35"/>
      <c r="Q314" s="32"/>
      <c r="S314" s="1">
        <f t="shared" si="103"/>
        <v>0</v>
      </c>
      <c r="T314" s="1">
        <f t="shared" si="104"/>
        <v>0</v>
      </c>
      <c r="U314" s="1">
        <f t="shared" si="105"/>
        <v>0</v>
      </c>
      <c r="V314" s="1">
        <f t="shared" si="106"/>
        <v>0</v>
      </c>
      <c r="W314" s="1">
        <f t="shared" si="107"/>
        <v>0</v>
      </c>
      <c r="X314" s="1">
        <f t="shared" si="108"/>
        <v>0</v>
      </c>
      <c r="Y314" s="1">
        <f t="shared" si="109"/>
        <v>0</v>
      </c>
      <c r="Z314" s="1">
        <f t="shared" si="110"/>
        <v>0</v>
      </c>
      <c r="AA314" s="1">
        <f t="shared" si="111"/>
        <v>0</v>
      </c>
      <c r="AB314" s="1">
        <f t="shared" si="112"/>
        <v>0</v>
      </c>
      <c r="AD314" s="1">
        <f t="shared" si="113"/>
        <v>0</v>
      </c>
      <c r="AE314" s="1">
        <f t="shared" si="114"/>
        <v>1</v>
      </c>
      <c r="AF314" s="1">
        <f t="shared" si="99"/>
        <v>0</v>
      </c>
      <c r="AG314" s="1">
        <f t="shared" si="100"/>
        <v>1</v>
      </c>
      <c r="AH314" s="1">
        <f t="shared" si="101"/>
        <v>0</v>
      </c>
      <c r="AI314" s="1">
        <f t="shared" si="102"/>
        <v>1</v>
      </c>
    </row>
    <row r="315" spans="1:35" s="1" customFormat="1" ht="14.25" customHeight="1" x14ac:dyDescent="0.25">
      <c r="A315" s="31">
        <v>0</v>
      </c>
      <c r="B315" s="31">
        <v>2</v>
      </c>
      <c r="C315" s="31">
        <v>1</v>
      </c>
      <c r="D315" s="32" t="s">
        <v>73</v>
      </c>
      <c r="E315" s="32" t="s">
        <v>557</v>
      </c>
      <c r="F315" s="32" t="s">
        <v>1037</v>
      </c>
      <c r="G315" s="32" t="s">
        <v>189</v>
      </c>
      <c r="H315" s="32" t="s">
        <v>352</v>
      </c>
      <c r="I315" s="31" t="s">
        <v>419</v>
      </c>
      <c r="J315" s="31">
        <v>99</v>
      </c>
      <c r="K315" s="33" t="s">
        <v>941</v>
      </c>
      <c r="L315" s="33" t="s">
        <v>709</v>
      </c>
      <c r="M315" s="34" t="s">
        <v>710</v>
      </c>
      <c r="N315" s="34" t="s">
        <v>1727</v>
      </c>
      <c r="O315" s="35">
        <v>1</v>
      </c>
      <c r="P315" s="35"/>
      <c r="Q315" s="32"/>
      <c r="S315" s="1">
        <f t="shared" si="103"/>
        <v>0</v>
      </c>
      <c r="T315" s="1">
        <f t="shared" si="104"/>
        <v>0</v>
      </c>
      <c r="U315" s="1">
        <f t="shared" si="105"/>
        <v>0</v>
      </c>
      <c r="V315" s="1">
        <f t="shared" si="106"/>
        <v>0</v>
      </c>
      <c r="W315" s="1">
        <f t="shared" si="107"/>
        <v>0</v>
      </c>
      <c r="X315" s="1">
        <f t="shared" si="108"/>
        <v>0</v>
      </c>
      <c r="Y315" s="1">
        <f t="shared" si="109"/>
        <v>0</v>
      </c>
      <c r="Z315" s="1">
        <f t="shared" si="110"/>
        <v>0</v>
      </c>
      <c r="AA315" s="1">
        <f t="shared" si="111"/>
        <v>0</v>
      </c>
      <c r="AB315" s="1">
        <f t="shared" si="112"/>
        <v>0</v>
      </c>
      <c r="AD315" s="1">
        <f t="shared" si="113"/>
        <v>0</v>
      </c>
      <c r="AE315" s="1">
        <f t="shared" si="114"/>
        <v>1</v>
      </c>
      <c r="AF315" s="1">
        <f t="shared" si="99"/>
        <v>0</v>
      </c>
      <c r="AG315" s="1">
        <f t="shared" si="100"/>
        <v>1</v>
      </c>
      <c r="AH315" s="1">
        <f t="shared" si="101"/>
        <v>0</v>
      </c>
      <c r="AI315" s="1">
        <f t="shared" si="102"/>
        <v>1</v>
      </c>
    </row>
    <row r="316" spans="1:35" s="1" customFormat="1" ht="14.25" customHeight="1" x14ac:dyDescent="0.25">
      <c r="A316" s="31">
        <v>0</v>
      </c>
      <c r="B316" s="31">
        <v>2</v>
      </c>
      <c r="C316" s="31">
        <v>1</v>
      </c>
      <c r="D316" s="32" t="s">
        <v>47</v>
      </c>
      <c r="E316" s="32" t="s">
        <v>32</v>
      </c>
      <c r="F316" s="32" t="s">
        <v>186</v>
      </c>
      <c r="G316" s="32" t="s">
        <v>179</v>
      </c>
      <c r="H316" s="32" t="s">
        <v>352</v>
      </c>
      <c r="I316" s="31" t="s">
        <v>381</v>
      </c>
      <c r="J316" s="31">
        <v>10</v>
      </c>
      <c r="K316" s="33" t="s">
        <v>942</v>
      </c>
      <c r="L316" s="33" t="s">
        <v>709</v>
      </c>
      <c r="M316" s="34" t="s">
        <v>710</v>
      </c>
      <c r="N316" s="34" t="s">
        <v>1727</v>
      </c>
      <c r="O316" s="35">
        <v>1</v>
      </c>
      <c r="P316" s="35"/>
      <c r="Q316" s="32"/>
      <c r="S316" s="1">
        <f t="shared" si="103"/>
        <v>0</v>
      </c>
      <c r="T316" s="1">
        <f t="shared" si="104"/>
        <v>0</v>
      </c>
      <c r="U316" s="1">
        <f t="shared" si="105"/>
        <v>0</v>
      </c>
      <c r="V316" s="1">
        <f t="shared" si="106"/>
        <v>0</v>
      </c>
      <c r="W316" s="1">
        <f t="shared" si="107"/>
        <v>0</v>
      </c>
      <c r="X316" s="1">
        <f t="shared" si="108"/>
        <v>0</v>
      </c>
      <c r="Y316" s="1">
        <f t="shared" si="109"/>
        <v>0</v>
      </c>
      <c r="Z316" s="1">
        <f t="shared" si="110"/>
        <v>0</v>
      </c>
      <c r="AA316" s="1">
        <f t="shared" si="111"/>
        <v>0</v>
      </c>
      <c r="AB316" s="1">
        <f t="shared" si="112"/>
        <v>1</v>
      </c>
      <c r="AD316" s="1">
        <f t="shared" si="113"/>
        <v>0</v>
      </c>
      <c r="AE316" s="1">
        <f t="shared" si="114"/>
        <v>1</v>
      </c>
      <c r="AF316" s="1">
        <f t="shared" si="99"/>
        <v>0</v>
      </c>
      <c r="AG316" s="1">
        <f t="shared" si="100"/>
        <v>1</v>
      </c>
      <c r="AH316" s="1">
        <f t="shared" si="101"/>
        <v>0</v>
      </c>
      <c r="AI316" s="1">
        <f t="shared" si="102"/>
        <v>1</v>
      </c>
    </row>
    <row r="317" spans="1:35" s="1" customFormat="1" ht="14.25" customHeight="1" x14ac:dyDescent="0.25">
      <c r="A317" s="44">
        <v>0</v>
      </c>
      <c r="B317" s="44">
        <v>2</v>
      </c>
      <c r="C317" s="44">
        <v>1</v>
      </c>
      <c r="D317" s="45" t="s">
        <v>648</v>
      </c>
      <c r="E317" s="45" t="s">
        <v>159</v>
      </c>
      <c r="F317" s="45" t="s">
        <v>187</v>
      </c>
      <c r="G317" s="45" t="s">
        <v>664</v>
      </c>
      <c r="H317" s="45" t="s">
        <v>352</v>
      </c>
      <c r="I317" s="44" t="s">
        <v>382</v>
      </c>
      <c r="J317" s="44">
        <v>99</v>
      </c>
      <c r="K317" s="46" t="s">
        <v>708</v>
      </c>
      <c r="L317" s="46" t="s">
        <v>709</v>
      </c>
      <c r="M317" s="47" t="s">
        <v>710</v>
      </c>
      <c r="N317" s="47" t="s">
        <v>1721</v>
      </c>
      <c r="O317" s="48"/>
      <c r="P317" s="48"/>
      <c r="Q317" s="45"/>
      <c r="S317" s="1">
        <f t="shared" si="103"/>
        <v>0</v>
      </c>
      <c r="T317" s="1">
        <f t="shared" si="104"/>
        <v>0</v>
      </c>
      <c r="U317" s="1">
        <f t="shared" si="105"/>
        <v>0</v>
      </c>
      <c r="V317" s="1">
        <f t="shared" si="106"/>
        <v>0</v>
      </c>
      <c r="W317" s="1">
        <f t="shared" si="107"/>
        <v>0</v>
      </c>
      <c r="X317" s="1">
        <f t="shared" si="108"/>
        <v>0</v>
      </c>
      <c r="Y317" s="1">
        <f t="shared" si="109"/>
        <v>0</v>
      </c>
      <c r="Z317" s="1">
        <f t="shared" si="110"/>
        <v>0</v>
      </c>
      <c r="AA317" s="1">
        <f t="shared" si="111"/>
        <v>0</v>
      </c>
      <c r="AB317" s="1">
        <f t="shared" si="112"/>
        <v>0</v>
      </c>
      <c r="AD317" s="1">
        <f t="shared" si="113"/>
        <v>0</v>
      </c>
      <c r="AE317" s="1">
        <f t="shared" si="114"/>
        <v>0</v>
      </c>
      <c r="AF317" s="1">
        <f t="shared" si="99"/>
        <v>0</v>
      </c>
      <c r="AG317" s="1">
        <f t="shared" si="100"/>
        <v>0</v>
      </c>
      <c r="AH317" s="1">
        <f t="shared" si="101"/>
        <v>0</v>
      </c>
      <c r="AI317" s="1">
        <f t="shared" si="102"/>
        <v>1</v>
      </c>
    </row>
    <row r="318" spans="1:35" s="1" customFormat="1" ht="14.25" customHeight="1" x14ac:dyDescent="0.25">
      <c r="A318" s="38">
        <v>0</v>
      </c>
      <c r="B318" s="38">
        <v>2</v>
      </c>
      <c r="C318" s="38">
        <v>1</v>
      </c>
      <c r="D318" s="39" t="s">
        <v>1288</v>
      </c>
      <c r="E318" s="39" t="s">
        <v>36</v>
      </c>
      <c r="F318" s="39" t="s">
        <v>1289</v>
      </c>
      <c r="G318" s="39" t="s">
        <v>257</v>
      </c>
      <c r="H318" s="39" t="s">
        <v>352</v>
      </c>
      <c r="I318" s="38" t="s">
        <v>1290</v>
      </c>
      <c r="J318" s="38">
        <v>8</v>
      </c>
      <c r="K318" s="40" t="s">
        <v>946</v>
      </c>
      <c r="L318" s="40" t="s">
        <v>709</v>
      </c>
      <c r="M318" s="41" t="s">
        <v>710</v>
      </c>
      <c r="N318" s="42"/>
      <c r="O318" s="43"/>
      <c r="P318" s="43">
        <v>1</v>
      </c>
      <c r="Q318" s="39"/>
      <c r="S318" s="1">
        <f t="shared" si="103"/>
        <v>0</v>
      </c>
      <c r="T318" s="1">
        <f t="shared" si="104"/>
        <v>0</v>
      </c>
      <c r="U318" s="1">
        <f t="shared" si="105"/>
        <v>0</v>
      </c>
      <c r="V318" s="1">
        <f t="shared" si="106"/>
        <v>0</v>
      </c>
      <c r="W318" s="1">
        <f t="shared" si="107"/>
        <v>0</v>
      </c>
      <c r="X318" s="1">
        <f t="shared" si="108"/>
        <v>0</v>
      </c>
      <c r="Y318" s="1">
        <f t="shared" si="109"/>
        <v>0</v>
      </c>
      <c r="Z318" s="1">
        <f t="shared" si="110"/>
        <v>1</v>
      </c>
      <c r="AA318" s="1">
        <f t="shared" si="111"/>
        <v>0</v>
      </c>
      <c r="AB318" s="1">
        <f t="shared" si="112"/>
        <v>0</v>
      </c>
      <c r="AD318" s="1">
        <f t="shared" si="113"/>
        <v>0</v>
      </c>
      <c r="AE318" s="1">
        <f t="shared" si="114"/>
        <v>0</v>
      </c>
      <c r="AF318" s="1">
        <f t="shared" si="99"/>
        <v>0</v>
      </c>
      <c r="AG318" s="1">
        <f t="shared" si="100"/>
        <v>0</v>
      </c>
      <c r="AH318" s="1">
        <f t="shared" si="101"/>
        <v>1</v>
      </c>
      <c r="AI318" s="1">
        <f t="shared" si="102"/>
        <v>0</v>
      </c>
    </row>
    <row r="319" spans="1:35" s="1" customFormat="1" ht="14.25" customHeight="1" x14ac:dyDescent="0.25">
      <c r="A319" s="31">
        <v>0</v>
      </c>
      <c r="B319" s="31">
        <v>2</v>
      </c>
      <c r="C319" s="31">
        <v>1</v>
      </c>
      <c r="D319" s="32" t="s">
        <v>54</v>
      </c>
      <c r="E319" s="32" t="s">
        <v>557</v>
      </c>
      <c r="F319" s="32" t="s">
        <v>211</v>
      </c>
      <c r="G319" s="32" t="s">
        <v>212</v>
      </c>
      <c r="H319" s="32" t="s">
        <v>352</v>
      </c>
      <c r="I319" s="31" t="s">
        <v>391</v>
      </c>
      <c r="J319" s="31">
        <v>1</v>
      </c>
      <c r="K319" s="33" t="s">
        <v>942</v>
      </c>
      <c r="L319" s="33" t="s">
        <v>709</v>
      </c>
      <c r="M319" s="34" t="s">
        <v>39</v>
      </c>
      <c r="N319" s="34" t="s">
        <v>1727</v>
      </c>
      <c r="O319" s="35">
        <v>1</v>
      </c>
      <c r="P319" s="35"/>
      <c r="Q319" s="32"/>
      <c r="S319" s="1">
        <f t="shared" si="103"/>
        <v>1</v>
      </c>
      <c r="T319" s="1">
        <f t="shared" si="104"/>
        <v>0</v>
      </c>
      <c r="U319" s="1">
        <f t="shared" si="105"/>
        <v>0</v>
      </c>
      <c r="V319" s="1">
        <f t="shared" si="106"/>
        <v>0</v>
      </c>
      <c r="W319" s="1">
        <f t="shared" si="107"/>
        <v>0</v>
      </c>
      <c r="X319" s="1">
        <f t="shared" si="108"/>
        <v>0</v>
      </c>
      <c r="Y319" s="1">
        <f t="shared" si="109"/>
        <v>0</v>
      </c>
      <c r="Z319" s="1">
        <f t="shared" si="110"/>
        <v>0</v>
      </c>
      <c r="AA319" s="1">
        <f t="shared" si="111"/>
        <v>0</v>
      </c>
      <c r="AB319" s="1">
        <f t="shared" si="112"/>
        <v>0</v>
      </c>
      <c r="AD319" s="1">
        <f t="shared" si="113"/>
        <v>0</v>
      </c>
      <c r="AE319" s="1">
        <f t="shared" si="114"/>
        <v>1</v>
      </c>
      <c r="AF319" s="1">
        <f t="shared" si="99"/>
        <v>0</v>
      </c>
      <c r="AG319" s="1">
        <f t="shared" si="100"/>
        <v>1</v>
      </c>
      <c r="AH319" s="1">
        <f t="shared" si="101"/>
        <v>0</v>
      </c>
      <c r="AI319" s="1">
        <f t="shared" si="102"/>
        <v>1</v>
      </c>
    </row>
    <row r="320" spans="1:35" s="1" customFormat="1" ht="14.25" customHeight="1" x14ac:dyDescent="0.25">
      <c r="A320" s="44">
        <v>0</v>
      </c>
      <c r="B320" s="44">
        <v>2</v>
      </c>
      <c r="C320" s="44">
        <v>1</v>
      </c>
      <c r="D320" s="45" t="s">
        <v>61</v>
      </c>
      <c r="E320" s="45" t="s">
        <v>539</v>
      </c>
      <c r="F320" s="45" t="s">
        <v>232</v>
      </c>
      <c r="G320" s="45" t="s">
        <v>203</v>
      </c>
      <c r="H320" s="45" t="s">
        <v>352</v>
      </c>
      <c r="I320" s="44" t="s">
        <v>399</v>
      </c>
      <c r="J320" s="44">
        <v>7</v>
      </c>
      <c r="K320" s="46" t="s">
        <v>708</v>
      </c>
      <c r="L320" s="46" t="s">
        <v>709</v>
      </c>
      <c r="M320" s="47" t="s">
        <v>710</v>
      </c>
      <c r="N320" s="47" t="s">
        <v>1722</v>
      </c>
      <c r="O320" s="48"/>
      <c r="P320" s="48"/>
      <c r="Q320" s="45"/>
      <c r="S320" s="1">
        <f t="shared" si="103"/>
        <v>0</v>
      </c>
      <c r="T320" s="1">
        <f t="shared" si="104"/>
        <v>0</v>
      </c>
      <c r="U320" s="1">
        <f t="shared" si="105"/>
        <v>0</v>
      </c>
      <c r="V320" s="1">
        <f t="shared" si="106"/>
        <v>0</v>
      </c>
      <c r="W320" s="1">
        <f t="shared" si="107"/>
        <v>0</v>
      </c>
      <c r="X320" s="1">
        <f t="shared" si="108"/>
        <v>0</v>
      </c>
      <c r="Y320" s="1">
        <f t="shared" si="109"/>
        <v>1</v>
      </c>
      <c r="Z320" s="1">
        <f t="shared" si="110"/>
        <v>0</v>
      </c>
      <c r="AA320" s="1">
        <f t="shared" si="111"/>
        <v>0</v>
      </c>
      <c r="AB320" s="1">
        <f t="shared" si="112"/>
        <v>0</v>
      </c>
      <c r="AD320" s="1">
        <f t="shared" si="113"/>
        <v>0</v>
      </c>
      <c r="AE320" s="1">
        <f t="shared" si="114"/>
        <v>0</v>
      </c>
      <c r="AF320" s="1">
        <f t="shared" si="99"/>
        <v>0</v>
      </c>
      <c r="AG320" s="1">
        <f t="shared" si="100"/>
        <v>0</v>
      </c>
      <c r="AH320" s="1">
        <f t="shared" si="101"/>
        <v>0</v>
      </c>
      <c r="AI320" s="1">
        <f t="shared" si="102"/>
        <v>1</v>
      </c>
    </row>
    <row r="321" spans="1:35" s="1" customFormat="1" ht="14.25" customHeight="1" x14ac:dyDescent="0.25">
      <c r="A321" s="31">
        <v>0</v>
      </c>
      <c r="B321" s="31">
        <v>2</v>
      </c>
      <c r="C321" s="31">
        <v>1</v>
      </c>
      <c r="D321" s="32" t="s">
        <v>1631</v>
      </c>
      <c r="E321" s="32" t="s">
        <v>557</v>
      </c>
      <c r="F321" s="32" t="s">
        <v>1342</v>
      </c>
      <c r="G321" s="32" t="s">
        <v>1268</v>
      </c>
      <c r="H321" s="32" t="s">
        <v>352</v>
      </c>
      <c r="I321" s="31" t="s">
        <v>1151</v>
      </c>
      <c r="J321" s="31">
        <v>99</v>
      </c>
      <c r="K321" s="33" t="s">
        <v>708</v>
      </c>
      <c r="L321" s="33" t="s">
        <v>709</v>
      </c>
      <c r="M321" s="34" t="s">
        <v>710</v>
      </c>
      <c r="N321" s="34" t="s">
        <v>1732</v>
      </c>
      <c r="O321" s="35">
        <v>1</v>
      </c>
      <c r="P321" s="35"/>
      <c r="Q321" s="32" t="s">
        <v>1885</v>
      </c>
      <c r="S321" s="1">
        <f t="shared" si="103"/>
        <v>0</v>
      </c>
      <c r="T321" s="1">
        <f t="shared" si="104"/>
        <v>0</v>
      </c>
      <c r="U321" s="1">
        <f t="shared" si="105"/>
        <v>0</v>
      </c>
      <c r="V321" s="1">
        <f t="shared" si="106"/>
        <v>0</v>
      </c>
      <c r="W321" s="1">
        <f t="shared" si="107"/>
        <v>0</v>
      </c>
      <c r="X321" s="1">
        <f t="shared" si="108"/>
        <v>0</v>
      </c>
      <c r="Y321" s="1">
        <f t="shared" si="109"/>
        <v>0</v>
      </c>
      <c r="Z321" s="1">
        <f t="shared" si="110"/>
        <v>0</v>
      </c>
      <c r="AA321" s="1">
        <f t="shared" si="111"/>
        <v>0</v>
      </c>
      <c r="AB321" s="1">
        <f t="shared" si="112"/>
        <v>0</v>
      </c>
      <c r="AD321" s="1">
        <f t="shared" si="113"/>
        <v>0</v>
      </c>
      <c r="AE321" s="1">
        <f t="shared" si="114"/>
        <v>1</v>
      </c>
      <c r="AF321" s="1">
        <f t="shared" si="99"/>
        <v>0</v>
      </c>
      <c r="AG321" s="1">
        <f t="shared" si="100"/>
        <v>1</v>
      </c>
      <c r="AH321" s="1">
        <f t="shared" si="101"/>
        <v>0</v>
      </c>
      <c r="AI321" s="1">
        <f t="shared" si="102"/>
        <v>1</v>
      </c>
    </row>
    <row r="322" spans="1:35" s="1" customFormat="1" ht="14.25" customHeight="1" x14ac:dyDescent="0.25">
      <c r="A322" s="49">
        <v>0</v>
      </c>
      <c r="B322" s="49">
        <v>2</v>
      </c>
      <c r="C322" s="49">
        <v>1</v>
      </c>
      <c r="D322" s="50" t="s">
        <v>1766</v>
      </c>
      <c r="E322" s="50" t="s">
        <v>1767</v>
      </c>
      <c r="F322" s="50" t="s">
        <v>1768</v>
      </c>
      <c r="G322" s="50" t="s">
        <v>1769</v>
      </c>
      <c r="H322" s="50" t="s">
        <v>352</v>
      </c>
      <c r="I322" s="49"/>
      <c r="J322" s="49">
        <v>1</v>
      </c>
      <c r="K322" s="51" t="s">
        <v>699</v>
      </c>
      <c r="L322" s="51"/>
      <c r="M322" s="52"/>
      <c r="N322" s="52" t="s">
        <v>1727</v>
      </c>
      <c r="O322" s="53">
        <v>1</v>
      </c>
      <c r="P322" s="53"/>
      <c r="Q322" s="55" t="s">
        <v>1893</v>
      </c>
      <c r="S322" s="1">
        <f t="shared" si="103"/>
        <v>1</v>
      </c>
      <c r="T322" s="1">
        <f t="shared" si="104"/>
        <v>0</v>
      </c>
      <c r="U322" s="1">
        <f t="shared" si="105"/>
        <v>0</v>
      </c>
      <c r="V322" s="1">
        <f t="shared" si="106"/>
        <v>0</v>
      </c>
      <c r="W322" s="1">
        <f t="shared" si="107"/>
        <v>0</v>
      </c>
      <c r="X322" s="1">
        <f t="shared" si="108"/>
        <v>0</v>
      </c>
      <c r="Y322" s="1">
        <f t="shared" si="109"/>
        <v>0</v>
      </c>
      <c r="Z322" s="1">
        <f t="shared" si="110"/>
        <v>0</v>
      </c>
      <c r="AA322" s="1">
        <f t="shared" si="111"/>
        <v>0</v>
      </c>
      <c r="AB322" s="1">
        <f t="shared" si="112"/>
        <v>0</v>
      </c>
      <c r="AD322" s="1">
        <f t="shared" si="113"/>
        <v>0</v>
      </c>
      <c r="AE322" s="1">
        <f t="shared" si="114"/>
        <v>1</v>
      </c>
      <c r="AF322" s="1">
        <f t="shared" si="99"/>
        <v>0</v>
      </c>
      <c r="AG322" s="1">
        <f t="shared" si="100"/>
        <v>1</v>
      </c>
      <c r="AH322" s="1">
        <f t="shared" si="101"/>
        <v>0</v>
      </c>
      <c r="AI322" s="1">
        <f t="shared" si="102"/>
        <v>1</v>
      </c>
    </row>
    <row r="323" spans="1:35" s="1" customFormat="1" ht="14.25" customHeight="1" x14ac:dyDescent="0.25">
      <c r="A323" s="31">
        <v>0</v>
      </c>
      <c r="B323" s="31">
        <v>2</v>
      </c>
      <c r="C323" s="31">
        <v>1</v>
      </c>
      <c r="D323" s="32" t="s">
        <v>1302</v>
      </c>
      <c r="E323" s="32" t="s">
        <v>1322</v>
      </c>
      <c r="F323" s="32" t="s">
        <v>1285</v>
      </c>
      <c r="G323" s="32" t="s">
        <v>1286</v>
      </c>
      <c r="H323" s="32" t="s">
        <v>352</v>
      </c>
      <c r="I323" s="31" t="s">
        <v>1287</v>
      </c>
      <c r="J323" s="31">
        <v>99</v>
      </c>
      <c r="K323" s="33" t="s">
        <v>942</v>
      </c>
      <c r="L323" s="33" t="s">
        <v>709</v>
      </c>
      <c r="M323" s="34" t="s">
        <v>710</v>
      </c>
      <c r="N323" s="34" t="s">
        <v>1903</v>
      </c>
      <c r="O323" s="35">
        <v>1</v>
      </c>
      <c r="P323" s="35"/>
      <c r="Q323" s="32"/>
      <c r="S323" s="1">
        <f t="shared" si="103"/>
        <v>0</v>
      </c>
      <c r="T323" s="1">
        <f t="shared" si="104"/>
        <v>0</v>
      </c>
      <c r="U323" s="1">
        <f t="shared" si="105"/>
        <v>0</v>
      </c>
      <c r="V323" s="1">
        <f t="shared" si="106"/>
        <v>0</v>
      </c>
      <c r="W323" s="1">
        <f t="shared" si="107"/>
        <v>0</v>
      </c>
      <c r="X323" s="1">
        <f t="shared" si="108"/>
        <v>0</v>
      </c>
      <c r="Y323" s="1">
        <f t="shared" si="109"/>
        <v>0</v>
      </c>
      <c r="Z323" s="1">
        <f t="shared" si="110"/>
        <v>0</v>
      </c>
      <c r="AA323" s="1">
        <f t="shared" si="111"/>
        <v>0</v>
      </c>
      <c r="AB323" s="1">
        <f t="shared" si="112"/>
        <v>0</v>
      </c>
      <c r="AD323" s="1">
        <f t="shared" si="113"/>
        <v>0</v>
      </c>
      <c r="AE323" s="1">
        <f t="shared" si="114"/>
        <v>1</v>
      </c>
      <c r="AF323" s="1">
        <f t="shared" si="99"/>
        <v>0</v>
      </c>
      <c r="AG323" s="1">
        <f t="shared" si="100"/>
        <v>1</v>
      </c>
      <c r="AH323" s="1">
        <f t="shared" si="101"/>
        <v>0</v>
      </c>
      <c r="AI323" s="1">
        <f t="shared" si="102"/>
        <v>1</v>
      </c>
    </row>
    <row r="324" spans="1:35" s="1" customFormat="1" ht="14.25" customHeight="1" x14ac:dyDescent="0.25">
      <c r="A324" s="44">
        <v>0</v>
      </c>
      <c r="B324" s="44">
        <v>2</v>
      </c>
      <c r="C324" s="44">
        <v>1</v>
      </c>
      <c r="D324" s="45" t="s">
        <v>1297</v>
      </c>
      <c r="E324" s="45" t="s">
        <v>159</v>
      </c>
      <c r="F324" s="45" t="s">
        <v>1299</v>
      </c>
      <c r="G324" s="45" t="s">
        <v>1300</v>
      </c>
      <c r="H324" s="45" t="s">
        <v>352</v>
      </c>
      <c r="I324" s="44" t="s">
        <v>1301</v>
      </c>
      <c r="J324" s="44">
        <v>8</v>
      </c>
      <c r="K324" s="46" t="s">
        <v>709</v>
      </c>
      <c r="L324" s="46" t="s">
        <v>709</v>
      </c>
      <c r="M324" s="47" t="s">
        <v>710</v>
      </c>
      <c r="N324" s="47" t="s">
        <v>1731</v>
      </c>
      <c r="O324" s="48"/>
      <c r="P324" s="48"/>
      <c r="Q324" s="45"/>
      <c r="S324" s="1">
        <f t="shared" si="103"/>
        <v>0</v>
      </c>
      <c r="T324" s="1">
        <f t="shared" si="104"/>
        <v>0</v>
      </c>
      <c r="U324" s="1">
        <f t="shared" si="105"/>
        <v>0</v>
      </c>
      <c r="V324" s="1">
        <f t="shared" si="106"/>
        <v>0</v>
      </c>
      <c r="W324" s="1">
        <f t="shared" si="107"/>
        <v>0</v>
      </c>
      <c r="X324" s="1">
        <f t="shared" si="108"/>
        <v>0</v>
      </c>
      <c r="Y324" s="1">
        <f t="shared" si="109"/>
        <v>0</v>
      </c>
      <c r="Z324" s="1">
        <f t="shared" si="110"/>
        <v>1</v>
      </c>
      <c r="AA324" s="1">
        <f t="shared" si="111"/>
        <v>0</v>
      </c>
      <c r="AB324" s="1">
        <f t="shared" si="112"/>
        <v>0</v>
      </c>
      <c r="AD324" s="1">
        <f t="shared" si="113"/>
        <v>0</v>
      </c>
      <c r="AE324" s="1">
        <f t="shared" si="114"/>
        <v>0</v>
      </c>
      <c r="AF324" s="1">
        <f t="shared" si="99"/>
        <v>0</v>
      </c>
      <c r="AG324" s="1">
        <f t="shared" si="100"/>
        <v>0</v>
      </c>
      <c r="AH324" s="1">
        <f t="shared" si="101"/>
        <v>0</v>
      </c>
      <c r="AI324" s="1">
        <f t="shared" si="102"/>
        <v>1</v>
      </c>
    </row>
    <row r="325" spans="1:35" s="1" customFormat="1" ht="14.25" customHeight="1" x14ac:dyDescent="0.25">
      <c r="A325" s="44">
        <v>0</v>
      </c>
      <c r="B325" s="44">
        <v>2</v>
      </c>
      <c r="C325" s="44">
        <v>2</v>
      </c>
      <c r="D325" s="45" t="s">
        <v>1630</v>
      </c>
      <c r="E325" s="45" t="s">
        <v>1152</v>
      </c>
      <c r="F325" s="45" t="s">
        <v>1664</v>
      </c>
      <c r="G325" s="45" t="s">
        <v>189</v>
      </c>
      <c r="H325" s="45" t="s">
        <v>352</v>
      </c>
      <c r="I325" s="44" t="s">
        <v>1591</v>
      </c>
      <c r="J325" s="44">
        <v>99</v>
      </c>
      <c r="K325" s="46" t="s">
        <v>709</v>
      </c>
      <c r="L325" s="46" t="s">
        <v>692</v>
      </c>
      <c r="M325" s="47" t="s">
        <v>1592</v>
      </c>
      <c r="N325" s="47" t="s">
        <v>1722</v>
      </c>
      <c r="O325" s="48"/>
      <c r="P325" s="48"/>
      <c r="Q325" s="45"/>
      <c r="S325" s="1">
        <f t="shared" si="103"/>
        <v>0</v>
      </c>
      <c r="T325" s="1">
        <f t="shared" si="104"/>
        <v>0</v>
      </c>
      <c r="U325" s="1">
        <f t="shared" si="105"/>
        <v>0</v>
      </c>
      <c r="V325" s="1">
        <f t="shared" si="106"/>
        <v>0</v>
      </c>
      <c r="W325" s="1">
        <f t="shared" si="107"/>
        <v>0</v>
      </c>
      <c r="X325" s="1">
        <f t="shared" si="108"/>
        <v>0</v>
      </c>
      <c r="Y325" s="1">
        <f t="shared" si="109"/>
        <v>0</v>
      </c>
      <c r="Z325" s="1">
        <f t="shared" si="110"/>
        <v>0</v>
      </c>
      <c r="AA325" s="1">
        <f t="shared" si="111"/>
        <v>0</v>
      </c>
      <c r="AB325" s="1">
        <f t="shared" si="112"/>
        <v>0</v>
      </c>
      <c r="AD325" s="1">
        <f t="shared" si="113"/>
        <v>0</v>
      </c>
      <c r="AE325" s="1">
        <f t="shared" si="114"/>
        <v>0</v>
      </c>
      <c r="AF325" s="1">
        <f t="shared" si="99"/>
        <v>0</v>
      </c>
      <c r="AG325" s="1">
        <f t="shared" si="100"/>
        <v>0</v>
      </c>
      <c r="AH325" s="1">
        <f t="shared" si="101"/>
        <v>0</v>
      </c>
      <c r="AI325" s="1">
        <f t="shared" si="102"/>
        <v>1</v>
      </c>
    </row>
    <row r="326" spans="1:35" s="1" customFormat="1" ht="14.25" customHeight="1" x14ac:dyDescent="0.25">
      <c r="A326" s="49">
        <v>0</v>
      </c>
      <c r="B326" s="49">
        <v>2</v>
      </c>
      <c r="C326" s="49">
        <v>2</v>
      </c>
      <c r="D326" s="50" t="s">
        <v>65</v>
      </c>
      <c r="E326" s="50" t="s">
        <v>163</v>
      </c>
      <c r="F326" s="50" t="s">
        <v>242</v>
      </c>
      <c r="G326" s="50" t="s">
        <v>199</v>
      </c>
      <c r="H326" s="50" t="s">
        <v>352</v>
      </c>
      <c r="I326" s="49" t="s">
        <v>405</v>
      </c>
      <c r="J326" s="49">
        <v>2</v>
      </c>
      <c r="K326" s="51" t="s">
        <v>942</v>
      </c>
      <c r="L326" s="51" t="s">
        <v>692</v>
      </c>
      <c r="M326" s="52" t="s">
        <v>711</v>
      </c>
      <c r="N326" s="52" t="s">
        <v>1727</v>
      </c>
      <c r="O326" s="53">
        <v>1</v>
      </c>
      <c r="P326" s="53"/>
      <c r="Q326" s="50"/>
      <c r="S326" s="1">
        <f t="shared" si="103"/>
        <v>0</v>
      </c>
      <c r="T326" s="1">
        <f t="shared" si="104"/>
        <v>1</v>
      </c>
      <c r="U326" s="1">
        <f t="shared" si="105"/>
        <v>0</v>
      </c>
      <c r="V326" s="1">
        <f t="shared" si="106"/>
        <v>0</v>
      </c>
      <c r="W326" s="1">
        <f t="shared" si="107"/>
        <v>0</v>
      </c>
      <c r="X326" s="1">
        <f t="shared" si="108"/>
        <v>0</v>
      </c>
      <c r="Y326" s="1">
        <f t="shared" si="109"/>
        <v>0</v>
      </c>
      <c r="Z326" s="1">
        <f t="shared" si="110"/>
        <v>0</v>
      </c>
      <c r="AA326" s="1">
        <f t="shared" si="111"/>
        <v>0</v>
      </c>
      <c r="AB326" s="1">
        <f t="shared" si="112"/>
        <v>0</v>
      </c>
      <c r="AD326" s="1">
        <f t="shared" si="113"/>
        <v>0</v>
      </c>
      <c r="AE326" s="1">
        <f t="shared" si="114"/>
        <v>1</v>
      </c>
      <c r="AF326" s="1">
        <f t="shared" si="99"/>
        <v>0</v>
      </c>
      <c r="AG326" s="1">
        <f t="shared" si="100"/>
        <v>1</v>
      </c>
      <c r="AH326" s="1">
        <f t="shared" si="101"/>
        <v>0</v>
      </c>
      <c r="AI326" s="1">
        <f t="shared" si="102"/>
        <v>1</v>
      </c>
    </row>
    <row r="327" spans="1:35" s="1" customFormat="1" ht="14.25" customHeight="1" x14ac:dyDescent="0.25">
      <c r="A327" s="44">
        <v>0</v>
      </c>
      <c r="B327" s="44">
        <v>2</v>
      </c>
      <c r="C327" s="44">
        <v>2</v>
      </c>
      <c r="D327" s="45" t="s">
        <v>1166</v>
      </c>
      <c r="E327" s="45" t="s">
        <v>1167</v>
      </c>
      <c r="F327" s="45" t="s">
        <v>1332</v>
      </c>
      <c r="G327" s="45" t="s">
        <v>1043</v>
      </c>
      <c r="H327" s="45" t="s">
        <v>352</v>
      </c>
      <c r="I327" s="44" t="s">
        <v>1168</v>
      </c>
      <c r="J327" s="44">
        <v>1</v>
      </c>
      <c r="K327" s="46" t="s">
        <v>708</v>
      </c>
      <c r="L327" s="46" t="s">
        <v>700</v>
      </c>
      <c r="M327" s="47" t="s">
        <v>1396</v>
      </c>
      <c r="N327" s="47" t="s">
        <v>1719</v>
      </c>
      <c r="O327" s="48"/>
      <c r="P327" s="48"/>
      <c r="Q327" s="45"/>
      <c r="S327" s="1">
        <f t="shared" si="103"/>
        <v>1</v>
      </c>
      <c r="T327" s="1">
        <f t="shared" si="104"/>
        <v>0</v>
      </c>
      <c r="U327" s="1">
        <f t="shared" si="105"/>
        <v>0</v>
      </c>
      <c r="V327" s="1">
        <f t="shared" si="106"/>
        <v>0</v>
      </c>
      <c r="W327" s="1">
        <f t="shared" si="107"/>
        <v>0</v>
      </c>
      <c r="X327" s="1">
        <f t="shared" si="108"/>
        <v>0</v>
      </c>
      <c r="Y327" s="1">
        <f t="shared" si="109"/>
        <v>0</v>
      </c>
      <c r="Z327" s="1">
        <f t="shared" si="110"/>
        <v>0</v>
      </c>
      <c r="AA327" s="1">
        <f t="shared" si="111"/>
        <v>0</v>
      </c>
      <c r="AB327" s="1">
        <f t="shared" si="112"/>
        <v>0</v>
      </c>
      <c r="AD327" s="1">
        <f t="shared" si="113"/>
        <v>0</v>
      </c>
      <c r="AE327" s="1">
        <f t="shared" si="114"/>
        <v>0</v>
      </c>
      <c r="AF327" s="1">
        <f t="shared" si="99"/>
        <v>0</v>
      </c>
      <c r="AG327" s="1">
        <f t="shared" si="100"/>
        <v>0</v>
      </c>
      <c r="AH327" s="1">
        <f t="shared" si="101"/>
        <v>0</v>
      </c>
      <c r="AI327" s="1">
        <f t="shared" si="102"/>
        <v>1</v>
      </c>
    </row>
    <row r="328" spans="1:35" s="1" customFormat="1" ht="14.25" customHeight="1" x14ac:dyDescent="0.25">
      <c r="A328" s="31">
        <v>0</v>
      </c>
      <c r="B328" s="31">
        <v>2</v>
      </c>
      <c r="C328" s="31">
        <v>2</v>
      </c>
      <c r="D328" s="32" t="s">
        <v>1812</v>
      </c>
      <c r="E328" s="32" t="s">
        <v>1813</v>
      </c>
      <c r="F328" s="32" t="s">
        <v>1814</v>
      </c>
      <c r="G328" s="32" t="s">
        <v>195</v>
      </c>
      <c r="H328" s="32" t="s">
        <v>352</v>
      </c>
      <c r="I328" s="31" t="s">
        <v>1815</v>
      </c>
      <c r="J328" s="31"/>
      <c r="K328" s="33" t="s">
        <v>699</v>
      </c>
      <c r="L328" s="33">
        <v>20</v>
      </c>
      <c r="M328" s="34" t="s">
        <v>1816</v>
      </c>
      <c r="N328" s="34" t="s">
        <v>1732</v>
      </c>
      <c r="O328" s="35">
        <v>1</v>
      </c>
      <c r="P328" s="35"/>
      <c r="Q328" s="32"/>
      <c r="S328" s="1">
        <f t="shared" si="103"/>
        <v>0</v>
      </c>
      <c r="T328" s="1">
        <f t="shared" si="104"/>
        <v>0</v>
      </c>
      <c r="U328" s="1">
        <f t="shared" si="105"/>
        <v>0</v>
      </c>
      <c r="V328" s="1">
        <f t="shared" si="106"/>
        <v>0</v>
      </c>
      <c r="W328" s="1">
        <f t="shared" si="107"/>
        <v>0</v>
      </c>
      <c r="X328" s="1">
        <f t="shared" si="108"/>
        <v>0</v>
      </c>
      <c r="Y328" s="1">
        <f t="shared" si="109"/>
        <v>0</v>
      </c>
      <c r="Z328" s="1">
        <f t="shared" si="110"/>
        <v>0</v>
      </c>
      <c r="AA328" s="1">
        <f t="shared" si="111"/>
        <v>0</v>
      </c>
      <c r="AB328" s="1">
        <f t="shared" si="112"/>
        <v>0</v>
      </c>
      <c r="AD328" s="1">
        <f t="shared" si="113"/>
        <v>0</v>
      </c>
      <c r="AE328" s="1">
        <f t="shared" si="114"/>
        <v>1</v>
      </c>
      <c r="AF328" s="1">
        <f t="shared" si="99"/>
        <v>0</v>
      </c>
      <c r="AG328" s="1">
        <f t="shared" si="100"/>
        <v>1</v>
      </c>
      <c r="AH328" s="1">
        <f t="shared" si="101"/>
        <v>0</v>
      </c>
      <c r="AI328" s="1">
        <f t="shared" si="102"/>
        <v>1</v>
      </c>
    </row>
    <row r="329" spans="1:35" s="1" customFormat="1" ht="14.25" customHeight="1" x14ac:dyDescent="0.25">
      <c r="A329" s="31">
        <v>0</v>
      </c>
      <c r="B329" s="31">
        <v>2</v>
      </c>
      <c r="C329" s="31">
        <v>2</v>
      </c>
      <c r="D329" s="32" t="s">
        <v>1560</v>
      </c>
      <c r="E329" s="32" t="s">
        <v>1561</v>
      </c>
      <c r="F329" s="32" t="s">
        <v>1563</v>
      </c>
      <c r="G329" s="32" t="s">
        <v>1564</v>
      </c>
      <c r="H329" s="32" t="s">
        <v>352</v>
      </c>
      <c r="I329" s="31" t="s">
        <v>1562</v>
      </c>
      <c r="J329" s="31">
        <v>99</v>
      </c>
      <c r="K329" s="33" t="s">
        <v>699</v>
      </c>
      <c r="L329" s="33">
        <v>18</v>
      </c>
      <c r="M329" s="34" t="s">
        <v>1565</v>
      </c>
      <c r="N329" s="34" t="s">
        <v>1732</v>
      </c>
      <c r="O329" s="35">
        <v>1</v>
      </c>
      <c r="P329" s="35"/>
      <c r="Q329" s="32"/>
      <c r="S329" s="1">
        <f t="shared" si="103"/>
        <v>0</v>
      </c>
      <c r="T329" s="1">
        <f t="shared" si="104"/>
        <v>0</v>
      </c>
      <c r="U329" s="1">
        <f t="shared" si="105"/>
        <v>0</v>
      </c>
      <c r="V329" s="1">
        <f t="shared" si="106"/>
        <v>0</v>
      </c>
      <c r="W329" s="1">
        <f t="shared" si="107"/>
        <v>0</v>
      </c>
      <c r="X329" s="1">
        <f t="shared" si="108"/>
        <v>0</v>
      </c>
      <c r="Y329" s="1">
        <f t="shared" si="109"/>
        <v>0</v>
      </c>
      <c r="Z329" s="1">
        <f t="shared" si="110"/>
        <v>0</v>
      </c>
      <c r="AA329" s="1">
        <f t="shared" si="111"/>
        <v>0</v>
      </c>
      <c r="AB329" s="1">
        <f t="shared" si="112"/>
        <v>0</v>
      </c>
      <c r="AD329" s="1">
        <f t="shared" si="113"/>
        <v>0</v>
      </c>
      <c r="AE329" s="1">
        <f t="shared" si="114"/>
        <v>1</v>
      </c>
      <c r="AF329" s="1">
        <f t="shared" si="99"/>
        <v>0</v>
      </c>
      <c r="AG329" s="1">
        <f t="shared" si="100"/>
        <v>1</v>
      </c>
      <c r="AH329" s="1">
        <f t="shared" si="101"/>
        <v>0</v>
      </c>
      <c r="AI329" s="1">
        <f t="shared" si="102"/>
        <v>1</v>
      </c>
    </row>
    <row r="330" spans="1:35" s="1" customFormat="1" ht="14.25" customHeight="1" x14ac:dyDescent="0.25">
      <c r="A330" s="49">
        <v>0</v>
      </c>
      <c r="B330" s="49">
        <v>2</v>
      </c>
      <c r="C330" s="49">
        <v>2</v>
      </c>
      <c r="D330" s="50" t="s">
        <v>64</v>
      </c>
      <c r="E330" s="50" t="s">
        <v>33</v>
      </c>
      <c r="F330" s="50" t="s">
        <v>240</v>
      </c>
      <c r="G330" s="50" t="s">
        <v>241</v>
      </c>
      <c r="H330" s="50" t="s">
        <v>352</v>
      </c>
      <c r="I330" s="49" t="s">
        <v>404</v>
      </c>
      <c r="J330" s="49">
        <v>1</v>
      </c>
      <c r="K330" s="51" t="s">
        <v>948</v>
      </c>
      <c r="L330" s="51" t="s">
        <v>712</v>
      </c>
      <c r="M330" s="52" t="s">
        <v>713</v>
      </c>
      <c r="N330" s="52" t="s">
        <v>1727</v>
      </c>
      <c r="O330" s="53">
        <v>1</v>
      </c>
      <c r="P330" s="53"/>
      <c r="Q330" s="50"/>
      <c r="S330" s="1">
        <f t="shared" si="103"/>
        <v>1</v>
      </c>
      <c r="T330" s="1">
        <f t="shared" si="104"/>
        <v>0</v>
      </c>
      <c r="U330" s="1">
        <f t="shared" si="105"/>
        <v>0</v>
      </c>
      <c r="V330" s="1">
        <f t="shared" si="106"/>
        <v>0</v>
      </c>
      <c r="W330" s="1">
        <f t="shared" si="107"/>
        <v>0</v>
      </c>
      <c r="X330" s="1">
        <f t="shared" si="108"/>
        <v>0</v>
      </c>
      <c r="Y330" s="1">
        <f t="shared" si="109"/>
        <v>0</v>
      </c>
      <c r="Z330" s="1">
        <f t="shared" si="110"/>
        <v>0</v>
      </c>
      <c r="AA330" s="1">
        <f t="shared" si="111"/>
        <v>0</v>
      </c>
      <c r="AB330" s="1">
        <f t="shared" si="112"/>
        <v>0</v>
      </c>
      <c r="AD330" s="1">
        <f t="shared" si="113"/>
        <v>0</v>
      </c>
      <c r="AE330" s="1">
        <f t="shared" si="114"/>
        <v>1</v>
      </c>
      <c r="AF330" s="1">
        <f t="shared" si="99"/>
        <v>0</v>
      </c>
      <c r="AG330" s="1">
        <f t="shared" si="100"/>
        <v>1</v>
      </c>
      <c r="AH330" s="1">
        <f t="shared" si="101"/>
        <v>0</v>
      </c>
      <c r="AI330" s="1">
        <f t="shared" si="102"/>
        <v>1</v>
      </c>
    </row>
    <row r="331" spans="1:35" s="1" customFormat="1" ht="14.25" customHeight="1" x14ac:dyDescent="0.25">
      <c r="A331" s="49">
        <v>0</v>
      </c>
      <c r="B331" s="49">
        <v>2</v>
      </c>
      <c r="C331" s="49">
        <v>2</v>
      </c>
      <c r="D331" s="50" t="s">
        <v>62</v>
      </c>
      <c r="E331" s="50" t="s">
        <v>1073</v>
      </c>
      <c r="F331" s="50" t="s">
        <v>233</v>
      </c>
      <c r="G331" s="50" t="s">
        <v>234</v>
      </c>
      <c r="H331" s="50" t="s">
        <v>352</v>
      </c>
      <c r="I331" s="49" t="s">
        <v>1349</v>
      </c>
      <c r="J331" s="49">
        <v>99</v>
      </c>
      <c r="K331" s="51" t="s">
        <v>942</v>
      </c>
      <c r="L331" s="51" t="s">
        <v>712</v>
      </c>
      <c r="M331" s="52" t="s">
        <v>714</v>
      </c>
      <c r="N331" s="52" t="s">
        <v>1727</v>
      </c>
      <c r="O331" s="53">
        <v>1</v>
      </c>
      <c r="P331" s="53"/>
      <c r="Q331" s="50"/>
      <c r="S331" s="1">
        <f t="shared" si="103"/>
        <v>0</v>
      </c>
      <c r="T331" s="1">
        <f t="shared" si="104"/>
        <v>0</v>
      </c>
      <c r="U331" s="1">
        <f t="shared" si="105"/>
        <v>0</v>
      </c>
      <c r="V331" s="1">
        <f t="shared" si="106"/>
        <v>0</v>
      </c>
      <c r="W331" s="1">
        <f t="shared" si="107"/>
        <v>0</v>
      </c>
      <c r="X331" s="1">
        <f t="shared" si="108"/>
        <v>0</v>
      </c>
      <c r="Y331" s="1">
        <f t="shared" si="109"/>
        <v>0</v>
      </c>
      <c r="Z331" s="1">
        <f t="shared" si="110"/>
        <v>0</v>
      </c>
      <c r="AA331" s="1">
        <f t="shared" si="111"/>
        <v>0</v>
      </c>
      <c r="AB331" s="1">
        <f t="shared" si="112"/>
        <v>0</v>
      </c>
      <c r="AD331" s="1">
        <f t="shared" si="113"/>
        <v>0</v>
      </c>
      <c r="AE331" s="1">
        <f t="shared" si="114"/>
        <v>1</v>
      </c>
      <c r="AF331" s="1">
        <f t="shared" si="99"/>
        <v>0</v>
      </c>
      <c r="AG331" s="1">
        <f t="shared" si="100"/>
        <v>1</v>
      </c>
      <c r="AH331" s="1">
        <f t="shared" si="101"/>
        <v>0</v>
      </c>
      <c r="AI331" s="1">
        <f t="shared" si="102"/>
        <v>1</v>
      </c>
    </row>
    <row r="332" spans="1:35" s="1" customFormat="1" ht="14.25" customHeight="1" x14ac:dyDescent="0.25">
      <c r="A332" s="31">
        <v>0</v>
      </c>
      <c r="B332" s="31">
        <v>2</v>
      </c>
      <c r="C332" s="31">
        <v>2</v>
      </c>
      <c r="D332" s="32" t="s">
        <v>1700</v>
      </c>
      <c r="E332" s="32" t="s">
        <v>1702</v>
      </c>
      <c r="F332" s="32" t="s">
        <v>1701</v>
      </c>
      <c r="G332" s="32"/>
      <c r="H332" s="32" t="s">
        <v>352</v>
      </c>
      <c r="I332" s="31" t="s">
        <v>1703</v>
      </c>
      <c r="J332" s="31"/>
      <c r="K332" s="33" t="s">
        <v>699</v>
      </c>
      <c r="L332" s="33"/>
      <c r="M332" s="34"/>
      <c r="N332" s="34" t="s">
        <v>1711</v>
      </c>
      <c r="O332" s="35">
        <v>1</v>
      </c>
      <c r="P332" s="35">
        <v>1</v>
      </c>
      <c r="Q332" s="32"/>
      <c r="S332" s="1">
        <f t="shared" si="103"/>
        <v>0</v>
      </c>
      <c r="T332" s="1">
        <f t="shared" si="104"/>
        <v>0</v>
      </c>
      <c r="U332" s="1">
        <f t="shared" si="105"/>
        <v>0</v>
      </c>
      <c r="V332" s="1">
        <f t="shared" si="106"/>
        <v>0</v>
      </c>
      <c r="W332" s="1">
        <f t="shared" si="107"/>
        <v>0</v>
      </c>
      <c r="X332" s="1">
        <f t="shared" si="108"/>
        <v>0</v>
      </c>
      <c r="Y332" s="1">
        <f t="shared" si="109"/>
        <v>0</v>
      </c>
      <c r="Z332" s="1">
        <f t="shared" si="110"/>
        <v>0</v>
      </c>
      <c r="AA332" s="1">
        <f t="shared" si="111"/>
        <v>0</v>
      </c>
      <c r="AB332" s="1">
        <f t="shared" si="112"/>
        <v>0</v>
      </c>
      <c r="AD332" s="1">
        <f t="shared" si="113"/>
        <v>1</v>
      </c>
      <c r="AE332" s="1">
        <f t="shared" si="114"/>
        <v>0</v>
      </c>
      <c r="AF332" s="1">
        <f t="shared" si="99"/>
        <v>1</v>
      </c>
      <c r="AG332" s="1">
        <f t="shared" si="100"/>
        <v>0</v>
      </c>
      <c r="AH332" s="1">
        <f t="shared" si="101"/>
        <v>1</v>
      </c>
      <c r="AI332" s="1">
        <f t="shared" si="102"/>
        <v>0</v>
      </c>
    </row>
    <row r="333" spans="1:35" s="1" customFormat="1" ht="14.25" customHeight="1" x14ac:dyDescent="0.25">
      <c r="A333" s="44">
        <v>0</v>
      </c>
      <c r="B333" s="44">
        <v>2</v>
      </c>
      <c r="C333" s="44">
        <v>2</v>
      </c>
      <c r="D333" s="45" t="s">
        <v>778</v>
      </c>
      <c r="E333" s="45" t="s">
        <v>898</v>
      </c>
      <c r="F333" s="45" t="s">
        <v>1555</v>
      </c>
      <c r="G333" s="45" t="s">
        <v>229</v>
      </c>
      <c r="H333" s="45" t="s">
        <v>352</v>
      </c>
      <c r="I333" s="44" t="s">
        <v>1678</v>
      </c>
      <c r="J333" s="44">
        <v>7</v>
      </c>
      <c r="K333" s="46" t="s">
        <v>709</v>
      </c>
      <c r="L333" s="46">
        <v>20</v>
      </c>
      <c r="M333" s="47" t="s">
        <v>39</v>
      </c>
      <c r="N333" s="47" t="s">
        <v>1718</v>
      </c>
      <c r="O333" s="48"/>
      <c r="P333" s="48"/>
      <c r="Q333" s="45"/>
      <c r="S333" s="1">
        <f t="shared" si="103"/>
        <v>0</v>
      </c>
      <c r="T333" s="1">
        <f t="shared" si="104"/>
        <v>0</v>
      </c>
      <c r="U333" s="1">
        <f t="shared" si="105"/>
        <v>0</v>
      </c>
      <c r="V333" s="1">
        <f t="shared" si="106"/>
        <v>0</v>
      </c>
      <c r="W333" s="1">
        <f t="shared" si="107"/>
        <v>0</v>
      </c>
      <c r="X333" s="1">
        <f t="shared" si="108"/>
        <v>0</v>
      </c>
      <c r="Y333" s="1">
        <f t="shared" si="109"/>
        <v>1</v>
      </c>
      <c r="Z333" s="1">
        <f t="shared" si="110"/>
        <v>0</v>
      </c>
      <c r="AA333" s="1">
        <f t="shared" si="111"/>
        <v>0</v>
      </c>
      <c r="AB333" s="1">
        <f t="shared" si="112"/>
        <v>0</v>
      </c>
      <c r="AD333" s="1">
        <f t="shared" si="113"/>
        <v>0</v>
      </c>
      <c r="AE333" s="1">
        <f t="shared" si="114"/>
        <v>0</v>
      </c>
      <c r="AF333" s="1">
        <f t="shared" si="99"/>
        <v>0</v>
      </c>
      <c r="AG333" s="1">
        <f t="shared" si="100"/>
        <v>0</v>
      </c>
      <c r="AH333" s="1">
        <f t="shared" si="101"/>
        <v>0</v>
      </c>
      <c r="AI333" s="1">
        <f t="shared" si="102"/>
        <v>1</v>
      </c>
    </row>
    <row r="334" spans="1:35" s="1" customFormat="1" ht="14.25" customHeight="1" x14ac:dyDescent="0.25">
      <c r="A334" s="31">
        <v>0</v>
      </c>
      <c r="B334" s="31">
        <v>2</v>
      </c>
      <c r="C334" s="31">
        <v>2</v>
      </c>
      <c r="D334" s="32" t="s">
        <v>843</v>
      </c>
      <c r="E334" s="32" t="s">
        <v>537</v>
      </c>
      <c r="F334" s="32" t="s">
        <v>845</v>
      </c>
      <c r="G334" s="32" t="s">
        <v>219</v>
      </c>
      <c r="H334" s="32" t="s">
        <v>352</v>
      </c>
      <c r="I334" s="31" t="s">
        <v>846</v>
      </c>
      <c r="J334" s="31">
        <v>8</v>
      </c>
      <c r="K334" s="33" t="s">
        <v>709</v>
      </c>
      <c r="L334" s="33" t="s">
        <v>712</v>
      </c>
      <c r="M334" s="34" t="s">
        <v>1397</v>
      </c>
      <c r="N334" s="34" t="s">
        <v>1727</v>
      </c>
      <c r="O334" s="35">
        <v>1</v>
      </c>
      <c r="P334" s="35"/>
      <c r="Q334" s="32"/>
      <c r="S334" s="1">
        <f t="shared" si="103"/>
        <v>0</v>
      </c>
      <c r="T334" s="1">
        <f t="shared" si="104"/>
        <v>0</v>
      </c>
      <c r="U334" s="1">
        <f t="shared" si="105"/>
        <v>0</v>
      </c>
      <c r="V334" s="1">
        <f t="shared" si="106"/>
        <v>0</v>
      </c>
      <c r="W334" s="1">
        <f t="shared" si="107"/>
        <v>0</v>
      </c>
      <c r="X334" s="1">
        <f t="shared" si="108"/>
        <v>0</v>
      </c>
      <c r="Y334" s="1">
        <f t="shared" si="109"/>
        <v>0</v>
      </c>
      <c r="Z334" s="1">
        <f t="shared" si="110"/>
        <v>1</v>
      </c>
      <c r="AA334" s="1">
        <f t="shared" si="111"/>
        <v>0</v>
      </c>
      <c r="AB334" s="1">
        <f t="shared" si="112"/>
        <v>0</v>
      </c>
      <c r="AD334" s="1">
        <f t="shared" si="113"/>
        <v>0</v>
      </c>
      <c r="AE334" s="1">
        <f t="shared" si="114"/>
        <v>1</v>
      </c>
      <c r="AF334" s="1">
        <f t="shared" ref="AF334:AF397" si="115">+O334*P334*(1-A334)</f>
        <v>0</v>
      </c>
      <c r="AG334" s="1">
        <f t="shared" ref="AG334:AG397" si="116">O334*(1-P334)*(1-A334)</f>
        <v>1</v>
      </c>
      <c r="AH334" s="1">
        <f t="shared" ref="AH334:AH397" si="117">+P334*(1-A334)</f>
        <v>0</v>
      </c>
      <c r="AI334" s="1">
        <f t="shared" ref="AI334:AI397" si="118">+(1-A334)*(1-P334)</f>
        <v>1</v>
      </c>
    </row>
    <row r="335" spans="1:35" s="1" customFormat="1" ht="14.25" customHeight="1" x14ac:dyDescent="0.25">
      <c r="A335" s="31">
        <v>1</v>
      </c>
      <c r="B335" s="31">
        <v>2</v>
      </c>
      <c r="C335" s="31">
        <v>2</v>
      </c>
      <c r="D335" s="32" t="s">
        <v>843</v>
      </c>
      <c r="E335" s="32" t="s">
        <v>537</v>
      </c>
      <c r="F335" s="32" t="s">
        <v>1337</v>
      </c>
      <c r="G335" s="32" t="s">
        <v>193</v>
      </c>
      <c r="H335" s="32" t="s">
        <v>352</v>
      </c>
      <c r="I335" s="31" t="s">
        <v>844</v>
      </c>
      <c r="J335" s="31">
        <v>9</v>
      </c>
      <c r="K335" s="33" t="s">
        <v>709</v>
      </c>
      <c r="L335" s="33" t="s">
        <v>712</v>
      </c>
      <c r="M335" s="34" t="s">
        <v>1397</v>
      </c>
      <c r="N335" s="34" t="s">
        <v>1727</v>
      </c>
      <c r="O335" s="35">
        <v>1</v>
      </c>
      <c r="P335" s="35"/>
      <c r="Q335" s="32"/>
      <c r="S335" s="1">
        <f t="shared" si="103"/>
        <v>0</v>
      </c>
      <c r="T335" s="1">
        <f t="shared" si="104"/>
        <v>0</v>
      </c>
      <c r="U335" s="1">
        <f t="shared" si="105"/>
        <v>0</v>
      </c>
      <c r="V335" s="1">
        <f t="shared" si="106"/>
        <v>0</v>
      </c>
      <c r="W335" s="1">
        <f t="shared" si="107"/>
        <v>0</v>
      </c>
      <c r="X335" s="1">
        <f t="shared" si="108"/>
        <v>0</v>
      </c>
      <c r="Y335" s="1">
        <f t="shared" si="109"/>
        <v>0</v>
      </c>
      <c r="Z335" s="1">
        <f t="shared" si="110"/>
        <v>0</v>
      </c>
      <c r="AA335" s="1">
        <f t="shared" si="111"/>
        <v>1</v>
      </c>
      <c r="AB335" s="1">
        <f t="shared" si="112"/>
        <v>0</v>
      </c>
      <c r="AD335" s="1">
        <f t="shared" si="113"/>
        <v>0</v>
      </c>
      <c r="AE335" s="1">
        <f t="shared" si="114"/>
        <v>1</v>
      </c>
      <c r="AF335" s="1">
        <f t="shared" si="115"/>
        <v>0</v>
      </c>
      <c r="AG335" s="1">
        <f t="shared" si="116"/>
        <v>0</v>
      </c>
      <c r="AH335" s="1">
        <f t="shared" si="117"/>
        <v>0</v>
      </c>
      <c r="AI335" s="1">
        <f t="shared" si="118"/>
        <v>0</v>
      </c>
    </row>
    <row r="336" spans="1:35" s="1" customFormat="1" ht="14.25" customHeight="1" x14ac:dyDescent="0.25">
      <c r="A336" s="44">
        <v>0</v>
      </c>
      <c r="B336" s="44">
        <v>2</v>
      </c>
      <c r="C336" s="44">
        <v>2</v>
      </c>
      <c r="D336" s="45" t="s">
        <v>907</v>
      </c>
      <c r="E336" s="45" t="s">
        <v>776</v>
      </c>
      <c r="F336" s="45" t="s">
        <v>777</v>
      </c>
      <c r="G336" s="45" t="s">
        <v>229</v>
      </c>
      <c r="H336" s="45" t="s">
        <v>352</v>
      </c>
      <c r="I336" s="44" t="s">
        <v>779</v>
      </c>
      <c r="J336" s="44">
        <v>7</v>
      </c>
      <c r="K336" s="46" t="s">
        <v>708</v>
      </c>
      <c r="L336" s="46">
        <v>15</v>
      </c>
      <c r="M336" s="47" t="s">
        <v>39</v>
      </c>
      <c r="N336" s="47" t="s">
        <v>1719</v>
      </c>
      <c r="O336" s="48"/>
      <c r="P336" s="48"/>
      <c r="Q336" s="45"/>
      <c r="S336" s="1">
        <f t="shared" si="103"/>
        <v>0</v>
      </c>
      <c r="T336" s="1">
        <f t="shared" si="104"/>
        <v>0</v>
      </c>
      <c r="U336" s="1">
        <f t="shared" si="105"/>
        <v>0</v>
      </c>
      <c r="V336" s="1">
        <f t="shared" si="106"/>
        <v>0</v>
      </c>
      <c r="W336" s="1">
        <f t="shared" si="107"/>
        <v>0</v>
      </c>
      <c r="X336" s="1">
        <f t="shared" si="108"/>
        <v>0</v>
      </c>
      <c r="Y336" s="1">
        <f t="shared" si="109"/>
        <v>1</v>
      </c>
      <c r="Z336" s="1">
        <f t="shared" si="110"/>
        <v>0</v>
      </c>
      <c r="AA336" s="1">
        <f t="shared" si="111"/>
        <v>0</v>
      </c>
      <c r="AB336" s="1">
        <f t="shared" si="112"/>
        <v>0</v>
      </c>
      <c r="AD336" s="1">
        <f t="shared" si="113"/>
        <v>0</v>
      </c>
      <c r="AE336" s="1">
        <f t="shared" si="114"/>
        <v>0</v>
      </c>
      <c r="AF336" s="1">
        <f t="shared" si="115"/>
        <v>0</v>
      </c>
      <c r="AG336" s="1">
        <f t="shared" si="116"/>
        <v>0</v>
      </c>
      <c r="AH336" s="1">
        <f t="shared" si="117"/>
        <v>0</v>
      </c>
      <c r="AI336" s="1">
        <f t="shared" si="118"/>
        <v>1</v>
      </c>
    </row>
    <row r="337" spans="1:35" s="1" customFormat="1" ht="14.25" customHeight="1" x14ac:dyDescent="0.25">
      <c r="A337" s="44">
        <v>0</v>
      </c>
      <c r="B337" s="44">
        <v>2</v>
      </c>
      <c r="C337" s="44">
        <v>2</v>
      </c>
      <c r="D337" s="45" t="s">
        <v>83</v>
      </c>
      <c r="E337" s="45" t="s">
        <v>156</v>
      </c>
      <c r="F337" s="65" t="s">
        <v>1856</v>
      </c>
      <c r="G337" s="45" t="s">
        <v>208</v>
      </c>
      <c r="H337" s="45" t="s">
        <v>352</v>
      </c>
      <c r="I337" s="44" t="s">
        <v>430</v>
      </c>
      <c r="J337" s="44">
        <v>99</v>
      </c>
      <c r="K337" s="46" t="s">
        <v>941</v>
      </c>
      <c r="L337" s="46" t="s">
        <v>700</v>
      </c>
      <c r="M337" s="47" t="s">
        <v>715</v>
      </c>
      <c r="N337" s="47" t="s">
        <v>1719</v>
      </c>
      <c r="O337" s="48"/>
      <c r="P337" s="48"/>
      <c r="Q337" s="45"/>
      <c r="S337" s="1">
        <f t="shared" si="103"/>
        <v>0</v>
      </c>
      <c r="T337" s="1">
        <f t="shared" si="104"/>
        <v>0</v>
      </c>
      <c r="U337" s="1">
        <f t="shared" si="105"/>
        <v>0</v>
      </c>
      <c r="V337" s="1">
        <f t="shared" si="106"/>
        <v>0</v>
      </c>
      <c r="W337" s="1">
        <f t="shared" si="107"/>
        <v>0</v>
      </c>
      <c r="X337" s="1">
        <f t="shared" si="108"/>
        <v>0</v>
      </c>
      <c r="Y337" s="1">
        <f t="shared" si="109"/>
        <v>0</v>
      </c>
      <c r="Z337" s="1">
        <f t="shared" si="110"/>
        <v>0</v>
      </c>
      <c r="AA337" s="1">
        <f t="shared" si="111"/>
        <v>0</v>
      </c>
      <c r="AB337" s="1">
        <f t="shared" si="112"/>
        <v>0</v>
      </c>
      <c r="AD337" s="1">
        <f t="shared" si="113"/>
        <v>0</v>
      </c>
      <c r="AE337" s="1">
        <f t="shared" si="114"/>
        <v>0</v>
      </c>
      <c r="AF337" s="1">
        <f t="shared" si="115"/>
        <v>0</v>
      </c>
      <c r="AG337" s="1">
        <f t="shared" si="116"/>
        <v>0</v>
      </c>
      <c r="AH337" s="1">
        <f t="shared" si="117"/>
        <v>0</v>
      </c>
      <c r="AI337" s="1">
        <f t="shared" si="118"/>
        <v>1</v>
      </c>
    </row>
    <row r="338" spans="1:35" s="1" customFormat="1" ht="14.25" customHeight="1" x14ac:dyDescent="0.25">
      <c r="A338" s="31">
        <v>0</v>
      </c>
      <c r="B338" s="31">
        <v>2</v>
      </c>
      <c r="C338" s="31">
        <v>2</v>
      </c>
      <c r="D338" s="32" t="s">
        <v>1548</v>
      </c>
      <c r="E338" s="32" t="s">
        <v>1318</v>
      </c>
      <c r="F338" s="32" t="s">
        <v>1549</v>
      </c>
      <c r="G338" s="32" t="s">
        <v>1150</v>
      </c>
      <c r="H338" s="32" t="s">
        <v>352</v>
      </c>
      <c r="I338" s="31" t="s">
        <v>1550</v>
      </c>
      <c r="J338" s="31">
        <v>1</v>
      </c>
      <c r="K338" s="33" t="s">
        <v>709</v>
      </c>
      <c r="L338" s="33" t="s">
        <v>39</v>
      </c>
      <c r="M338" s="34" t="s">
        <v>39</v>
      </c>
      <c r="N338" s="34" t="s">
        <v>1711</v>
      </c>
      <c r="O338" s="35">
        <v>1</v>
      </c>
      <c r="P338" s="35">
        <v>1</v>
      </c>
      <c r="Q338" s="32"/>
      <c r="S338" s="1">
        <f t="shared" ref="S338:S401" si="119">IF(J338=$S$7,1,0)</f>
        <v>1</v>
      </c>
      <c r="T338" s="1">
        <f t="shared" ref="T338:T401" si="120">IF(J338=$T$7,1,0)</f>
        <v>0</v>
      </c>
      <c r="U338" s="1">
        <f t="shared" ref="U338:U401" si="121">IF(J338=$U$7,1,0)</f>
        <v>0</v>
      </c>
      <c r="V338" s="1">
        <f t="shared" ref="V338:V401" si="122">IF(J338=$V$7,1,0)</f>
        <v>0</v>
      </c>
      <c r="W338" s="1">
        <f t="shared" ref="W338:W401" si="123">IF(J338=$W$7,1,0)</f>
        <v>0</v>
      </c>
      <c r="X338" s="1">
        <f t="shared" ref="X338:X401" si="124">IF(J338=$X$7,1,0)</f>
        <v>0</v>
      </c>
      <c r="Y338" s="1">
        <f t="shared" ref="Y338:Y401" si="125">IF(J338=$Y$7,1,0)</f>
        <v>0</v>
      </c>
      <c r="Z338" s="1">
        <f t="shared" ref="Z338:Z401" si="126">IF(J338=$Z$7,1,0)</f>
        <v>0</v>
      </c>
      <c r="AA338" s="1">
        <f t="shared" ref="AA338:AA401" si="127">IF(J338=$AA$7,1,0)</f>
        <v>0</v>
      </c>
      <c r="AB338" s="1">
        <f t="shared" ref="AB338:AB401" si="128">IF(J338=$AB$7,1,0)</f>
        <v>0</v>
      </c>
      <c r="AD338" s="1">
        <f t="shared" ref="AD338:AD401" si="129">+O338*P338</f>
        <v>1</v>
      </c>
      <c r="AE338" s="1">
        <f t="shared" ref="AE338:AE401" si="130">O338*(1-P338)</f>
        <v>0</v>
      </c>
      <c r="AF338" s="1">
        <f t="shared" si="115"/>
        <v>1</v>
      </c>
      <c r="AG338" s="1">
        <f t="shared" si="116"/>
        <v>0</v>
      </c>
      <c r="AH338" s="1">
        <f t="shared" si="117"/>
        <v>1</v>
      </c>
      <c r="AI338" s="1">
        <f t="shared" si="118"/>
        <v>0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1728</v>
      </c>
      <c r="E339" s="32" t="s">
        <v>27</v>
      </c>
      <c r="F339" s="32" t="s">
        <v>1031</v>
      </c>
      <c r="G339" s="32" t="s">
        <v>219</v>
      </c>
      <c r="H339" s="32" t="s">
        <v>352</v>
      </c>
      <c r="I339" s="31" t="s">
        <v>1032</v>
      </c>
      <c r="J339" s="31">
        <v>8</v>
      </c>
      <c r="K339" s="33" t="s">
        <v>709</v>
      </c>
      <c r="L339" s="33">
        <v>25</v>
      </c>
      <c r="M339" s="34" t="s">
        <v>1729</v>
      </c>
      <c r="N339" s="34" t="s">
        <v>1711</v>
      </c>
      <c r="O339" s="35">
        <v>1</v>
      </c>
      <c r="P339" s="35">
        <v>1</v>
      </c>
      <c r="Q339" s="32"/>
      <c r="S339" s="1">
        <f t="shared" si="119"/>
        <v>0</v>
      </c>
      <c r="T339" s="1">
        <f t="shared" si="120"/>
        <v>0</v>
      </c>
      <c r="U339" s="1">
        <f t="shared" si="121"/>
        <v>0</v>
      </c>
      <c r="V339" s="1">
        <f t="shared" si="122"/>
        <v>0</v>
      </c>
      <c r="W339" s="1">
        <f t="shared" si="123"/>
        <v>0</v>
      </c>
      <c r="X339" s="1">
        <f t="shared" si="124"/>
        <v>0</v>
      </c>
      <c r="Y339" s="1">
        <f t="shared" si="125"/>
        <v>0</v>
      </c>
      <c r="Z339" s="1">
        <f t="shared" si="126"/>
        <v>1</v>
      </c>
      <c r="AA339" s="1">
        <f t="shared" si="127"/>
        <v>0</v>
      </c>
      <c r="AB339" s="1">
        <f t="shared" si="128"/>
        <v>0</v>
      </c>
      <c r="AD339" s="1">
        <f t="shared" si="129"/>
        <v>1</v>
      </c>
      <c r="AE339" s="1">
        <f t="shared" si="130"/>
        <v>0</v>
      </c>
      <c r="AF339" s="1">
        <f t="shared" si="115"/>
        <v>1</v>
      </c>
      <c r="AG339" s="1">
        <f t="shared" si="116"/>
        <v>0</v>
      </c>
      <c r="AH339" s="1">
        <f t="shared" si="117"/>
        <v>1</v>
      </c>
      <c r="AI339" s="1">
        <f t="shared" si="118"/>
        <v>0</v>
      </c>
    </row>
    <row r="340" spans="1:35" s="1" customFormat="1" ht="14.25" customHeight="1" x14ac:dyDescent="0.25">
      <c r="A340" s="31">
        <v>0</v>
      </c>
      <c r="B340" s="31">
        <v>2</v>
      </c>
      <c r="C340" s="31">
        <v>2</v>
      </c>
      <c r="D340" s="32" t="s">
        <v>45</v>
      </c>
      <c r="E340" s="32" t="s">
        <v>44</v>
      </c>
      <c r="F340" s="32" t="s">
        <v>665</v>
      </c>
      <c r="G340" s="32" t="s">
        <v>179</v>
      </c>
      <c r="H340" s="32" t="s">
        <v>352</v>
      </c>
      <c r="I340" s="31" t="s">
        <v>937</v>
      </c>
      <c r="J340" s="31">
        <v>10</v>
      </c>
      <c r="K340" s="33" t="s">
        <v>709</v>
      </c>
      <c r="L340" s="33" t="s">
        <v>716</v>
      </c>
      <c r="M340" s="34" t="s">
        <v>717</v>
      </c>
      <c r="N340" s="34" t="s">
        <v>1711</v>
      </c>
      <c r="O340" s="35">
        <v>1</v>
      </c>
      <c r="P340" s="35">
        <v>1</v>
      </c>
      <c r="Q340" s="32"/>
      <c r="S340" s="1">
        <f t="shared" si="119"/>
        <v>0</v>
      </c>
      <c r="T340" s="1">
        <f t="shared" si="120"/>
        <v>0</v>
      </c>
      <c r="U340" s="1">
        <f t="shared" si="121"/>
        <v>0</v>
      </c>
      <c r="V340" s="1">
        <f t="shared" si="122"/>
        <v>0</v>
      </c>
      <c r="W340" s="1">
        <f t="shared" si="123"/>
        <v>0</v>
      </c>
      <c r="X340" s="1">
        <f t="shared" si="124"/>
        <v>0</v>
      </c>
      <c r="Y340" s="1">
        <f t="shared" si="125"/>
        <v>0</v>
      </c>
      <c r="Z340" s="1">
        <f t="shared" si="126"/>
        <v>0</v>
      </c>
      <c r="AA340" s="1">
        <f t="shared" si="127"/>
        <v>0</v>
      </c>
      <c r="AB340" s="1">
        <f t="shared" si="128"/>
        <v>1</v>
      </c>
      <c r="AD340" s="1">
        <f t="shared" si="129"/>
        <v>1</v>
      </c>
      <c r="AE340" s="1">
        <f t="shared" si="130"/>
        <v>0</v>
      </c>
      <c r="AF340" s="1">
        <f t="shared" si="115"/>
        <v>1</v>
      </c>
      <c r="AG340" s="1">
        <f t="shared" si="116"/>
        <v>0</v>
      </c>
      <c r="AH340" s="1">
        <f t="shared" si="117"/>
        <v>1</v>
      </c>
      <c r="AI340" s="1">
        <f t="shared" si="118"/>
        <v>0</v>
      </c>
    </row>
    <row r="341" spans="1:35" s="1" customFormat="1" ht="14.25" customHeight="1" x14ac:dyDescent="0.25">
      <c r="A341" s="31">
        <v>0</v>
      </c>
      <c r="B341" s="31">
        <v>2</v>
      </c>
      <c r="C341" s="31">
        <v>2</v>
      </c>
      <c r="D341" s="32" t="s">
        <v>1432</v>
      </c>
      <c r="E341" s="32" t="s">
        <v>1637</v>
      </c>
      <c r="F341" s="32" t="s">
        <v>1652</v>
      </c>
      <c r="G341" s="32" t="s">
        <v>229</v>
      </c>
      <c r="H341" s="32" t="s">
        <v>352</v>
      </c>
      <c r="I341" s="31" t="s">
        <v>1433</v>
      </c>
      <c r="J341" s="31">
        <v>99</v>
      </c>
      <c r="K341" s="33" t="s">
        <v>942</v>
      </c>
      <c r="L341" s="33">
        <v>20</v>
      </c>
      <c r="M341" s="34" t="s">
        <v>39</v>
      </c>
      <c r="N341" s="34" t="s">
        <v>1711</v>
      </c>
      <c r="O341" s="35">
        <v>1</v>
      </c>
      <c r="P341" s="35">
        <v>1</v>
      </c>
      <c r="Q341" s="32"/>
      <c r="S341" s="1">
        <f t="shared" si="119"/>
        <v>0</v>
      </c>
      <c r="T341" s="1">
        <f t="shared" si="120"/>
        <v>0</v>
      </c>
      <c r="U341" s="1">
        <f t="shared" si="121"/>
        <v>0</v>
      </c>
      <c r="V341" s="1">
        <f t="shared" si="122"/>
        <v>0</v>
      </c>
      <c r="W341" s="1">
        <f t="shared" si="123"/>
        <v>0</v>
      </c>
      <c r="X341" s="1">
        <f t="shared" si="124"/>
        <v>0</v>
      </c>
      <c r="Y341" s="1">
        <f t="shared" si="125"/>
        <v>0</v>
      </c>
      <c r="Z341" s="1">
        <f t="shared" si="126"/>
        <v>0</v>
      </c>
      <c r="AA341" s="1">
        <f t="shared" si="127"/>
        <v>0</v>
      </c>
      <c r="AB341" s="1">
        <f t="shared" si="128"/>
        <v>0</v>
      </c>
      <c r="AD341" s="1">
        <f t="shared" si="129"/>
        <v>1</v>
      </c>
      <c r="AE341" s="1">
        <f t="shared" si="130"/>
        <v>0</v>
      </c>
      <c r="AF341" s="1">
        <f t="shared" si="115"/>
        <v>1</v>
      </c>
      <c r="AG341" s="1">
        <f t="shared" si="116"/>
        <v>0</v>
      </c>
      <c r="AH341" s="1">
        <f t="shared" si="117"/>
        <v>1</v>
      </c>
      <c r="AI341" s="1">
        <f t="shared" si="118"/>
        <v>0</v>
      </c>
    </row>
    <row r="342" spans="1:35" s="1" customFormat="1" ht="14.25" customHeight="1" x14ac:dyDescent="0.25">
      <c r="A342" s="67">
        <v>0</v>
      </c>
      <c r="B342" s="67">
        <v>2</v>
      </c>
      <c r="C342" s="67">
        <v>2</v>
      </c>
      <c r="D342" s="54" t="s">
        <v>1973</v>
      </c>
      <c r="E342" s="54" t="s">
        <v>2058</v>
      </c>
      <c r="F342" s="54" t="s">
        <v>1974</v>
      </c>
      <c r="G342" s="54" t="s">
        <v>178</v>
      </c>
      <c r="H342" s="54" t="s">
        <v>352</v>
      </c>
      <c r="I342" s="67" t="s">
        <v>1975</v>
      </c>
      <c r="J342" s="67"/>
      <c r="K342" s="67" t="s">
        <v>699</v>
      </c>
      <c r="L342" s="67"/>
      <c r="M342" s="54"/>
      <c r="N342" s="54"/>
      <c r="O342" s="68"/>
      <c r="P342" s="68">
        <v>1</v>
      </c>
      <c r="Q342" s="54"/>
      <c r="S342" s="1">
        <f t="shared" si="119"/>
        <v>0</v>
      </c>
      <c r="T342" s="1">
        <f t="shared" si="120"/>
        <v>0</v>
      </c>
      <c r="U342" s="1">
        <f t="shared" si="121"/>
        <v>0</v>
      </c>
      <c r="V342" s="1">
        <f t="shared" si="122"/>
        <v>0</v>
      </c>
      <c r="W342" s="1">
        <f t="shared" si="123"/>
        <v>0</v>
      </c>
      <c r="X342" s="1">
        <f t="shared" si="124"/>
        <v>0</v>
      </c>
      <c r="Y342" s="1">
        <f t="shared" si="125"/>
        <v>0</v>
      </c>
      <c r="Z342" s="1">
        <f t="shared" si="126"/>
        <v>0</v>
      </c>
      <c r="AA342" s="1">
        <f t="shared" si="127"/>
        <v>0</v>
      </c>
      <c r="AB342" s="1">
        <f t="shared" si="128"/>
        <v>0</v>
      </c>
      <c r="AD342" s="1">
        <f t="shared" si="129"/>
        <v>0</v>
      </c>
      <c r="AE342" s="1">
        <f t="shared" si="130"/>
        <v>0</v>
      </c>
      <c r="AF342" s="1">
        <f t="shared" si="115"/>
        <v>0</v>
      </c>
      <c r="AG342" s="1">
        <f t="shared" si="116"/>
        <v>0</v>
      </c>
      <c r="AH342" s="1">
        <f t="shared" si="117"/>
        <v>1</v>
      </c>
      <c r="AI342" s="1">
        <f t="shared" si="118"/>
        <v>0</v>
      </c>
    </row>
    <row r="343" spans="1:35" s="1" customFormat="1" ht="14.25" customHeight="1" x14ac:dyDescent="0.25">
      <c r="A343" s="49">
        <v>0</v>
      </c>
      <c r="B343" s="49">
        <v>2</v>
      </c>
      <c r="C343" s="49">
        <v>2</v>
      </c>
      <c r="D343" s="50" t="s">
        <v>602</v>
      </c>
      <c r="E343" s="50" t="s">
        <v>603</v>
      </c>
      <c r="F343" s="50" t="s">
        <v>604</v>
      </c>
      <c r="G343" s="50" t="s">
        <v>256</v>
      </c>
      <c r="H343" s="50" t="s">
        <v>352</v>
      </c>
      <c r="I343" s="49" t="s">
        <v>605</v>
      </c>
      <c r="J343" s="49">
        <v>99</v>
      </c>
      <c r="K343" s="51" t="s">
        <v>942</v>
      </c>
      <c r="L343" s="51" t="s">
        <v>700</v>
      </c>
      <c r="M343" s="52" t="s">
        <v>1398</v>
      </c>
      <c r="N343" s="52" t="s">
        <v>1727</v>
      </c>
      <c r="O343" s="53">
        <v>1</v>
      </c>
      <c r="P343" s="53"/>
      <c r="Q343" s="50"/>
      <c r="S343" s="1">
        <f t="shared" si="119"/>
        <v>0</v>
      </c>
      <c r="T343" s="1">
        <f t="shared" si="120"/>
        <v>0</v>
      </c>
      <c r="U343" s="1">
        <f t="shared" si="121"/>
        <v>0</v>
      </c>
      <c r="V343" s="1">
        <f t="shared" si="122"/>
        <v>0</v>
      </c>
      <c r="W343" s="1">
        <f t="shared" si="123"/>
        <v>0</v>
      </c>
      <c r="X343" s="1">
        <f t="shared" si="124"/>
        <v>0</v>
      </c>
      <c r="Y343" s="1">
        <f t="shared" si="125"/>
        <v>0</v>
      </c>
      <c r="Z343" s="1">
        <f t="shared" si="126"/>
        <v>0</v>
      </c>
      <c r="AA343" s="1">
        <f t="shared" si="127"/>
        <v>0</v>
      </c>
      <c r="AB343" s="1">
        <f t="shared" si="128"/>
        <v>0</v>
      </c>
      <c r="AD343" s="1">
        <f t="shared" si="129"/>
        <v>0</v>
      </c>
      <c r="AE343" s="1">
        <f t="shared" si="130"/>
        <v>1</v>
      </c>
      <c r="AF343" s="1">
        <f t="shared" si="115"/>
        <v>0</v>
      </c>
      <c r="AG343" s="1">
        <f t="shared" si="116"/>
        <v>1</v>
      </c>
      <c r="AH343" s="1">
        <f t="shared" si="117"/>
        <v>0</v>
      </c>
      <c r="AI343" s="1">
        <f t="shared" si="118"/>
        <v>1</v>
      </c>
    </row>
    <row r="344" spans="1:35" s="1" customFormat="1" ht="14.25" customHeight="1" x14ac:dyDescent="0.25">
      <c r="A344" s="31">
        <v>0</v>
      </c>
      <c r="B344" s="31">
        <v>2</v>
      </c>
      <c r="C344" s="31">
        <v>2</v>
      </c>
      <c r="D344" s="32" t="s">
        <v>1909</v>
      </c>
      <c r="E344" s="32" t="s">
        <v>1910</v>
      </c>
      <c r="F344" s="32" t="s">
        <v>1911</v>
      </c>
      <c r="G344" s="32" t="s">
        <v>183</v>
      </c>
      <c r="H344" s="32" t="s">
        <v>352</v>
      </c>
      <c r="I344" s="31" t="s">
        <v>1913</v>
      </c>
      <c r="J344" s="31">
        <v>99</v>
      </c>
      <c r="K344" s="33" t="s">
        <v>699</v>
      </c>
      <c r="L344" s="33"/>
      <c r="M344" s="34"/>
      <c r="N344" s="34" t="s">
        <v>1711</v>
      </c>
      <c r="O344" s="35">
        <v>1</v>
      </c>
      <c r="P344" s="35">
        <v>1</v>
      </c>
      <c r="Q344" s="32" t="s">
        <v>1912</v>
      </c>
      <c r="S344" s="1">
        <f t="shared" si="119"/>
        <v>0</v>
      </c>
      <c r="T344" s="1">
        <f t="shared" si="120"/>
        <v>0</v>
      </c>
      <c r="U344" s="1">
        <f t="shared" si="121"/>
        <v>0</v>
      </c>
      <c r="V344" s="1">
        <f t="shared" si="122"/>
        <v>0</v>
      </c>
      <c r="W344" s="1">
        <f t="shared" si="123"/>
        <v>0</v>
      </c>
      <c r="X344" s="1">
        <f t="shared" si="124"/>
        <v>0</v>
      </c>
      <c r="Y344" s="1">
        <f t="shared" si="125"/>
        <v>0</v>
      </c>
      <c r="Z344" s="1">
        <f t="shared" si="126"/>
        <v>0</v>
      </c>
      <c r="AA344" s="1">
        <f t="shared" si="127"/>
        <v>0</v>
      </c>
      <c r="AB344" s="1">
        <f t="shared" si="128"/>
        <v>0</v>
      </c>
      <c r="AD344" s="1">
        <f t="shared" si="129"/>
        <v>1</v>
      </c>
      <c r="AE344" s="1">
        <f t="shared" si="130"/>
        <v>0</v>
      </c>
      <c r="AF344" s="1">
        <f t="shared" si="115"/>
        <v>1</v>
      </c>
      <c r="AG344" s="1">
        <f t="shared" si="116"/>
        <v>0</v>
      </c>
      <c r="AH344" s="1">
        <f t="shared" si="117"/>
        <v>1</v>
      </c>
      <c r="AI344" s="1">
        <f t="shared" si="118"/>
        <v>0</v>
      </c>
    </row>
    <row r="345" spans="1:35" s="1" customFormat="1" ht="14.25" customHeight="1" x14ac:dyDescent="0.25">
      <c r="A345" s="31">
        <v>0</v>
      </c>
      <c r="B345" s="31">
        <v>2</v>
      </c>
      <c r="C345" s="31">
        <v>2</v>
      </c>
      <c r="D345" s="32" t="s">
        <v>1627</v>
      </c>
      <c r="E345" s="32" t="s">
        <v>1152</v>
      </c>
      <c r="F345" s="32" t="s">
        <v>1658</v>
      </c>
      <c r="G345" s="32" t="s">
        <v>179</v>
      </c>
      <c r="H345" s="32" t="s">
        <v>352</v>
      </c>
      <c r="I345" s="31" t="s">
        <v>1478</v>
      </c>
      <c r="J345" s="31">
        <v>10</v>
      </c>
      <c r="K345" s="33" t="s">
        <v>708</v>
      </c>
      <c r="L345" s="33">
        <v>15</v>
      </c>
      <c r="M345" s="34" t="s">
        <v>39</v>
      </c>
      <c r="N345" s="34" t="s">
        <v>1773</v>
      </c>
      <c r="O345" s="35">
        <v>1</v>
      </c>
      <c r="P345" s="35"/>
      <c r="Q345" s="32"/>
      <c r="S345" s="1">
        <f t="shared" si="119"/>
        <v>0</v>
      </c>
      <c r="T345" s="1">
        <f t="shared" si="120"/>
        <v>0</v>
      </c>
      <c r="U345" s="1">
        <f t="shared" si="121"/>
        <v>0</v>
      </c>
      <c r="V345" s="1">
        <f t="shared" si="122"/>
        <v>0</v>
      </c>
      <c r="W345" s="1">
        <f t="shared" si="123"/>
        <v>0</v>
      </c>
      <c r="X345" s="1">
        <f t="shared" si="124"/>
        <v>0</v>
      </c>
      <c r="Y345" s="1">
        <f t="shared" si="125"/>
        <v>0</v>
      </c>
      <c r="Z345" s="1">
        <f t="shared" si="126"/>
        <v>0</v>
      </c>
      <c r="AA345" s="1">
        <f t="shared" si="127"/>
        <v>0</v>
      </c>
      <c r="AB345" s="1">
        <f t="shared" si="128"/>
        <v>1</v>
      </c>
      <c r="AD345" s="1">
        <f t="shared" si="129"/>
        <v>0</v>
      </c>
      <c r="AE345" s="1">
        <f t="shared" si="130"/>
        <v>1</v>
      </c>
      <c r="AF345" s="1">
        <f t="shared" si="115"/>
        <v>0</v>
      </c>
      <c r="AG345" s="1">
        <f t="shared" si="116"/>
        <v>1</v>
      </c>
      <c r="AH345" s="1">
        <f t="shared" si="117"/>
        <v>0</v>
      </c>
      <c r="AI345" s="1">
        <f t="shared" si="118"/>
        <v>1</v>
      </c>
    </row>
    <row r="346" spans="1:35" s="1" customFormat="1" ht="14.25" customHeight="1" x14ac:dyDescent="0.25">
      <c r="A346" s="44">
        <v>0</v>
      </c>
      <c r="B346" s="44">
        <v>2</v>
      </c>
      <c r="C346" s="44">
        <v>2</v>
      </c>
      <c r="D346" s="45" t="s">
        <v>853</v>
      </c>
      <c r="E346" s="45" t="s">
        <v>540</v>
      </c>
      <c r="F346" s="45" t="s">
        <v>854</v>
      </c>
      <c r="G346" s="45" t="s">
        <v>312</v>
      </c>
      <c r="H346" s="45" t="s">
        <v>352</v>
      </c>
      <c r="I346" s="44" t="s">
        <v>855</v>
      </c>
      <c r="J346" s="44">
        <v>1</v>
      </c>
      <c r="K346" s="46" t="s">
        <v>708</v>
      </c>
      <c r="L346" s="46">
        <v>25</v>
      </c>
      <c r="M346" s="47" t="s">
        <v>39</v>
      </c>
      <c r="N346" s="47" t="s">
        <v>1719</v>
      </c>
      <c r="O346" s="48"/>
      <c r="P346" s="48"/>
      <c r="Q346" s="45"/>
      <c r="S346" s="1">
        <f t="shared" si="119"/>
        <v>1</v>
      </c>
      <c r="T346" s="1">
        <f t="shared" si="120"/>
        <v>0</v>
      </c>
      <c r="U346" s="1">
        <f t="shared" si="121"/>
        <v>0</v>
      </c>
      <c r="V346" s="1">
        <f t="shared" si="122"/>
        <v>0</v>
      </c>
      <c r="W346" s="1">
        <f t="shared" si="123"/>
        <v>0</v>
      </c>
      <c r="X346" s="1">
        <f t="shared" si="124"/>
        <v>0</v>
      </c>
      <c r="Y346" s="1">
        <f t="shared" si="125"/>
        <v>0</v>
      </c>
      <c r="Z346" s="1">
        <f t="shared" si="126"/>
        <v>0</v>
      </c>
      <c r="AA346" s="1">
        <f t="shared" si="127"/>
        <v>0</v>
      </c>
      <c r="AB346" s="1">
        <f t="shared" si="128"/>
        <v>0</v>
      </c>
      <c r="AD346" s="1">
        <f t="shared" si="129"/>
        <v>0</v>
      </c>
      <c r="AE346" s="1">
        <f t="shared" si="130"/>
        <v>0</v>
      </c>
      <c r="AF346" s="1">
        <f t="shared" si="115"/>
        <v>0</v>
      </c>
      <c r="AG346" s="1">
        <f t="shared" si="116"/>
        <v>0</v>
      </c>
      <c r="AH346" s="1">
        <f t="shared" si="117"/>
        <v>0</v>
      </c>
      <c r="AI346" s="1">
        <f t="shared" si="118"/>
        <v>1</v>
      </c>
    </row>
    <row r="347" spans="1:35" s="1" customFormat="1" ht="14.25" customHeight="1" x14ac:dyDescent="0.25">
      <c r="A347" s="31">
        <v>0</v>
      </c>
      <c r="B347" s="31">
        <v>2</v>
      </c>
      <c r="C347" s="31">
        <v>3</v>
      </c>
      <c r="D347" s="32" t="s">
        <v>564</v>
      </c>
      <c r="E347" s="32" t="s">
        <v>38</v>
      </c>
      <c r="F347" s="32" t="s">
        <v>236</v>
      </c>
      <c r="G347" s="32" t="s">
        <v>535</v>
      </c>
      <c r="H347" s="32" t="s">
        <v>352</v>
      </c>
      <c r="I347" s="31" t="s">
        <v>401</v>
      </c>
      <c r="J347" s="31">
        <v>1</v>
      </c>
      <c r="K347" s="33" t="s">
        <v>708</v>
      </c>
      <c r="L347" s="33" t="s">
        <v>720</v>
      </c>
      <c r="M347" s="34" t="s">
        <v>721</v>
      </c>
      <c r="N347" s="34" t="s">
        <v>1711</v>
      </c>
      <c r="O347" s="35">
        <v>1</v>
      </c>
      <c r="P347" s="35">
        <v>1</v>
      </c>
      <c r="Q347" s="32"/>
      <c r="S347" s="1">
        <f t="shared" si="119"/>
        <v>1</v>
      </c>
      <c r="T347" s="1">
        <f t="shared" si="120"/>
        <v>0</v>
      </c>
      <c r="U347" s="1">
        <f t="shared" si="121"/>
        <v>0</v>
      </c>
      <c r="V347" s="1">
        <f t="shared" si="122"/>
        <v>0</v>
      </c>
      <c r="W347" s="1">
        <f t="shared" si="123"/>
        <v>0</v>
      </c>
      <c r="X347" s="1">
        <f t="shared" si="124"/>
        <v>0</v>
      </c>
      <c r="Y347" s="1">
        <f t="shared" si="125"/>
        <v>0</v>
      </c>
      <c r="Z347" s="1">
        <f t="shared" si="126"/>
        <v>0</v>
      </c>
      <c r="AA347" s="1">
        <f t="shared" si="127"/>
        <v>0</v>
      </c>
      <c r="AB347" s="1">
        <f t="shared" si="128"/>
        <v>0</v>
      </c>
      <c r="AD347" s="1">
        <f t="shared" si="129"/>
        <v>1</v>
      </c>
      <c r="AE347" s="1">
        <f t="shared" si="130"/>
        <v>0</v>
      </c>
      <c r="AF347" s="1">
        <f t="shared" si="115"/>
        <v>1</v>
      </c>
      <c r="AG347" s="1">
        <f t="shared" si="116"/>
        <v>0</v>
      </c>
      <c r="AH347" s="1">
        <f t="shared" si="117"/>
        <v>1</v>
      </c>
      <c r="AI347" s="1">
        <f t="shared" si="118"/>
        <v>0</v>
      </c>
    </row>
    <row r="348" spans="1:35" s="1" customFormat="1" ht="14.25" customHeight="1" x14ac:dyDescent="0.25">
      <c r="A348" s="44">
        <v>0</v>
      </c>
      <c r="B348" s="44">
        <v>2</v>
      </c>
      <c r="C348" s="44">
        <v>3</v>
      </c>
      <c r="D348" s="45" t="s">
        <v>841</v>
      </c>
      <c r="E348" s="45" t="s">
        <v>34</v>
      </c>
      <c r="F348" s="45" t="s">
        <v>915</v>
      </c>
      <c r="G348" s="45" t="s">
        <v>634</v>
      </c>
      <c r="H348" s="45" t="s">
        <v>352</v>
      </c>
      <c r="I348" s="44" t="s">
        <v>842</v>
      </c>
      <c r="J348" s="44">
        <v>1</v>
      </c>
      <c r="K348" s="46" t="s">
        <v>941</v>
      </c>
      <c r="L348" s="46" t="s">
        <v>725</v>
      </c>
      <c r="M348" s="47" t="s">
        <v>719</v>
      </c>
      <c r="N348" s="47" t="s">
        <v>1719</v>
      </c>
      <c r="O348" s="48"/>
      <c r="P348" s="48"/>
      <c r="Q348" s="45"/>
      <c r="S348" s="1">
        <f t="shared" si="119"/>
        <v>1</v>
      </c>
      <c r="T348" s="1">
        <f t="shared" si="120"/>
        <v>0</v>
      </c>
      <c r="U348" s="1">
        <f t="shared" si="121"/>
        <v>0</v>
      </c>
      <c r="V348" s="1">
        <f t="shared" si="122"/>
        <v>0</v>
      </c>
      <c r="W348" s="1">
        <f t="shared" si="123"/>
        <v>0</v>
      </c>
      <c r="X348" s="1">
        <f t="shared" si="124"/>
        <v>0</v>
      </c>
      <c r="Y348" s="1">
        <f t="shared" si="125"/>
        <v>0</v>
      </c>
      <c r="Z348" s="1">
        <f t="shared" si="126"/>
        <v>0</v>
      </c>
      <c r="AA348" s="1">
        <f t="shared" si="127"/>
        <v>0</v>
      </c>
      <c r="AB348" s="1">
        <f t="shared" si="128"/>
        <v>0</v>
      </c>
      <c r="AD348" s="1">
        <f t="shared" si="129"/>
        <v>0</v>
      </c>
      <c r="AE348" s="1">
        <f t="shared" si="130"/>
        <v>0</v>
      </c>
      <c r="AF348" s="1">
        <f t="shared" si="115"/>
        <v>0</v>
      </c>
      <c r="AG348" s="1">
        <f t="shared" si="116"/>
        <v>0</v>
      </c>
      <c r="AH348" s="1">
        <f t="shared" si="117"/>
        <v>0</v>
      </c>
      <c r="AI348" s="1">
        <f t="shared" si="118"/>
        <v>1</v>
      </c>
    </row>
    <row r="349" spans="1:35" s="1" customFormat="1" ht="14.25" customHeight="1" x14ac:dyDescent="0.25">
      <c r="A349" s="44">
        <v>0</v>
      </c>
      <c r="B349" s="44">
        <v>2</v>
      </c>
      <c r="C349" s="44">
        <v>3</v>
      </c>
      <c r="D349" s="45" t="s">
        <v>784</v>
      </c>
      <c r="E349" s="45" t="s">
        <v>32</v>
      </c>
      <c r="F349" s="45" t="s">
        <v>785</v>
      </c>
      <c r="G349" s="45" t="s">
        <v>250</v>
      </c>
      <c r="H349" s="45" t="s">
        <v>352</v>
      </c>
      <c r="I349" s="44" t="s">
        <v>786</v>
      </c>
      <c r="J349" s="44">
        <v>99</v>
      </c>
      <c r="K349" s="46" t="s">
        <v>709</v>
      </c>
      <c r="L349" s="46" t="s">
        <v>718</v>
      </c>
      <c r="M349" s="47" t="s">
        <v>719</v>
      </c>
      <c r="N349" s="47" t="s">
        <v>1793</v>
      </c>
      <c r="O349" s="48"/>
      <c r="P349" s="48"/>
      <c r="Q349" s="45"/>
      <c r="S349" s="1">
        <f t="shared" si="119"/>
        <v>0</v>
      </c>
      <c r="T349" s="1">
        <f t="shared" si="120"/>
        <v>0</v>
      </c>
      <c r="U349" s="1">
        <f t="shared" si="121"/>
        <v>0</v>
      </c>
      <c r="V349" s="1">
        <f t="shared" si="122"/>
        <v>0</v>
      </c>
      <c r="W349" s="1">
        <f t="shared" si="123"/>
        <v>0</v>
      </c>
      <c r="X349" s="1">
        <f t="shared" si="124"/>
        <v>0</v>
      </c>
      <c r="Y349" s="1">
        <f t="shared" si="125"/>
        <v>0</v>
      </c>
      <c r="Z349" s="1">
        <f t="shared" si="126"/>
        <v>0</v>
      </c>
      <c r="AA349" s="1">
        <f t="shared" si="127"/>
        <v>0</v>
      </c>
      <c r="AB349" s="1">
        <f t="shared" si="128"/>
        <v>0</v>
      </c>
      <c r="AD349" s="1">
        <f t="shared" si="129"/>
        <v>0</v>
      </c>
      <c r="AE349" s="1">
        <f t="shared" si="130"/>
        <v>0</v>
      </c>
      <c r="AF349" s="1">
        <f t="shared" si="115"/>
        <v>0</v>
      </c>
      <c r="AG349" s="1">
        <f t="shared" si="116"/>
        <v>0</v>
      </c>
      <c r="AH349" s="1">
        <f t="shared" si="117"/>
        <v>0</v>
      </c>
      <c r="AI349" s="1">
        <f t="shared" si="118"/>
        <v>1</v>
      </c>
    </row>
    <row r="350" spans="1:35" s="1" customFormat="1" ht="14.25" customHeight="1" x14ac:dyDescent="0.25">
      <c r="A350" s="44">
        <v>0</v>
      </c>
      <c r="B350" s="44">
        <v>2</v>
      </c>
      <c r="C350" s="44">
        <v>3</v>
      </c>
      <c r="D350" s="45" t="s">
        <v>56</v>
      </c>
      <c r="E350" s="45" t="s">
        <v>160</v>
      </c>
      <c r="F350" s="45" t="s">
        <v>218</v>
      </c>
      <c r="G350" s="45" t="s">
        <v>195</v>
      </c>
      <c r="H350" s="45" t="s">
        <v>352</v>
      </c>
      <c r="I350" s="44" t="s">
        <v>547</v>
      </c>
      <c r="J350" s="44">
        <v>99</v>
      </c>
      <c r="K350" s="46" t="s">
        <v>709</v>
      </c>
      <c r="L350" s="46" t="s">
        <v>718</v>
      </c>
      <c r="M350" s="47" t="s">
        <v>719</v>
      </c>
      <c r="N350" s="47" t="s">
        <v>1786</v>
      </c>
      <c r="O350" s="48"/>
      <c r="P350" s="48"/>
      <c r="Q350" s="45"/>
      <c r="S350" s="1">
        <f t="shared" si="119"/>
        <v>0</v>
      </c>
      <c r="T350" s="1">
        <f t="shared" si="120"/>
        <v>0</v>
      </c>
      <c r="U350" s="1">
        <f t="shared" si="121"/>
        <v>0</v>
      </c>
      <c r="V350" s="1">
        <f t="shared" si="122"/>
        <v>0</v>
      </c>
      <c r="W350" s="1">
        <f t="shared" si="123"/>
        <v>0</v>
      </c>
      <c r="X350" s="1">
        <f t="shared" si="124"/>
        <v>0</v>
      </c>
      <c r="Y350" s="1">
        <f t="shared" si="125"/>
        <v>0</v>
      </c>
      <c r="Z350" s="1">
        <f t="shared" si="126"/>
        <v>0</v>
      </c>
      <c r="AA350" s="1">
        <f t="shared" si="127"/>
        <v>0</v>
      </c>
      <c r="AB350" s="1">
        <f t="shared" si="128"/>
        <v>0</v>
      </c>
      <c r="AD350" s="1">
        <f t="shared" si="129"/>
        <v>0</v>
      </c>
      <c r="AE350" s="1">
        <f t="shared" si="130"/>
        <v>0</v>
      </c>
      <c r="AF350" s="1">
        <f t="shared" si="115"/>
        <v>0</v>
      </c>
      <c r="AG350" s="1">
        <f t="shared" si="116"/>
        <v>0</v>
      </c>
      <c r="AH350" s="1">
        <f t="shared" si="117"/>
        <v>0</v>
      </c>
      <c r="AI350" s="1">
        <f t="shared" si="118"/>
        <v>1</v>
      </c>
    </row>
    <row r="351" spans="1:35" s="1" customFormat="1" ht="14.25" customHeight="1" x14ac:dyDescent="0.25">
      <c r="A351" s="31">
        <v>0</v>
      </c>
      <c r="B351" s="31">
        <v>2</v>
      </c>
      <c r="C351" s="31">
        <v>3</v>
      </c>
      <c r="D351" s="32" t="s">
        <v>1159</v>
      </c>
      <c r="E351" s="32" t="s">
        <v>1319</v>
      </c>
      <c r="F351" s="32" t="s">
        <v>1160</v>
      </c>
      <c r="G351" s="32" t="s">
        <v>300</v>
      </c>
      <c r="H351" s="32" t="s">
        <v>352</v>
      </c>
      <c r="I351" s="31" t="s">
        <v>1161</v>
      </c>
      <c r="J351" s="31">
        <v>1</v>
      </c>
      <c r="K351" s="33" t="s">
        <v>942</v>
      </c>
      <c r="L351" s="33" t="s">
        <v>689</v>
      </c>
      <c r="M351" s="34" t="s">
        <v>1399</v>
      </c>
      <c r="N351" s="34" t="s">
        <v>1727</v>
      </c>
      <c r="O351" s="35">
        <v>1</v>
      </c>
      <c r="P351" s="35"/>
      <c r="Q351" s="32"/>
      <c r="S351" s="1">
        <f t="shared" si="119"/>
        <v>1</v>
      </c>
      <c r="T351" s="1">
        <f t="shared" si="120"/>
        <v>0</v>
      </c>
      <c r="U351" s="1">
        <f t="shared" si="121"/>
        <v>0</v>
      </c>
      <c r="V351" s="1">
        <f t="shared" si="122"/>
        <v>0</v>
      </c>
      <c r="W351" s="1">
        <f t="shared" si="123"/>
        <v>0</v>
      </c>
      <c r="X351" s="1">
        <f t="shared" si="124"/>
        <v>0</v>
      </c>
      <c r="Y351" s="1">
        <f t="shared" si="125"/>
        <v>0</v>
      </c>
      <c r="Z351" s="1">
        <f t="shared" si="126"/>
        <v>0</v>
      </c>
      <c r="AA351" s="1">
        <f t="shared" si="127"/>
        <v>0</v>
      </c>
      <c r="AB351" s="1">
        <f t="shared" si="128"/>
        <v>0</v>
      </c>
      <c r="AD351" s="1">
        <f t="shared" si="129"/>
        <v>0</v>
      </c>
      <c r="AE351" s="1">
        <f t="shared" si="130"/>
        <v>1</v>
      </c>
      <c r="AF351" s="1">
        <f t="shared" si="115"/>
        <v>0</v>
      </c>
      <c r="AG351" s="1">
        <f t="shared" si="116"/>
        <v>1</v>
      </c>
      <c r="AH351" s="1">
        <f t="shared" si="117"/>
        <v>0</v>
      </c>
      <c r="AI351" s="1">
        <f t="shared" si="118"/>
        <v>1</v>
      </c>
    </row>
    <row r="352" spans="1:35" s="1" customFormat="1" ht="14.25" customHeight="1" x14ac:dyDescent="0.25">
      <c r="A352" s="31">
        <v>0</v>
      </c>
      <c r="B352" s="31">
        <v>2</v>
      </c>
      <c r="C352" s="31">
        <v>3</v>
      </c>
      <c r="D352" s="32" t="s">
        <v>1156</v>
      </c>
      <c r="E352" s="32" t="s">
        <v>1319</v>
      </c>
      <c r="F352" s="32" t="s">
        <v>1157</v>
      </c>
      <c r="G352" s="32" t="s">
        <v>1043</v>
      </c>
      <c r="H352" s="32" t="s">
        <v>352</v>
      </c>
      <c r="I352" s="31" t="s">
        <v>1158</v>
      </c>
      <c r="J352" s="31">
        <v>1</v>
      </c>
      <c r="K352" s="33" t="s">
        <v>709</v>
      </c>
      <c r="L352" s="33" t="s">
        <v>689</v>
      </c>
      <c r="M352" s="34" t="s">
        <v>1399</v>
      </c>
      <c r="N352" s="34" t="s">
        <v>1727</v>
      </c>
      <c r="O352" s="35">
        <v>1</v>
      </c>
      <c r="P352" s="35"/>
      <c r="Q352" s="32"/>
      <c r="S352" s="1">
        <f t="shared" si="119"/>
        <v>1</v>
      </c>
      <c r="T352" s="1">
        <f t="shared" si="120"/>
        <v>0</v>
      </c>
      <c r="U352" s="1">
        <f t="shared" si="121"/>
        <v>0</v>
      </c>
      <c r="V352" s="1">
        <f t="shared" si="122"/>
        <v>0</v>
      </c>
      <c r="W352" s="1">
        <f t="shared" si="123"/>
        <v>0</v>
      </c>
      <c r="X352" s="1">
        <f t="shared" si="124"/>
        <v>0</v>
      </c>
      <c r="Y352" s="1">
        <f t="shared" si="125"/>
        <v>0</v>
      </c>
      <c r="Z352" s="1">
        <f t="shared" si="126"/>
        <v>0</v>
      </c>
      <c r="AA352" s="1">
        <f t="shared" si="127"/>
        <v>0</v>
      </c>
      <c r="AB352" s="1">
        <f t="shared" si="128"/>
        <v>0</v>
      </c>
      <c r="AD352" s="1">
        <f t="shared" si="129"/>
        <v>0</v>
      </c>
      <c r="AE352" s="1">
        <f t="shared" si="130"/>
        <v>1</v>
      </c>
      <c r="AF352" s="1">
        <f t="shared" si="115"/>
        <v>0</v>
      </c>
      <c r="AG352" s="1">
        <f t="shared" si="116"/>
        <v>1</v>
      </c>
      <c r="AH352" s="1">
        <f t="shared" si="117"/>
        <v>0</v>
      </c>
      <c r="AI352" s="1">
        <f t="shared" si="118"/>
        <v>1</v>
      </c>
    </row>
    <row r="353" spans="1:35" s="1" customFormat="1" ht="14.25" customHeight="1" x14ac:dyDescent="0.25">
      <c r="A353" s="31">
        <v>0</v>
      </c>
      <c r="B353" s="31">
        <v>2</v>
      </c>
      <c r="C353" s="31">
        <v>3</v>
      </c>
      <c r="D353" s="32" t="s">
        <v>1278</v>
      </c>
      <c r="E353" s="32" t="s">
        <v>32</v>
      </c>
      <c r="F353" s="32" t="s">
        <v>1279</v>
      </c>
      <c r="G353" s="32" t="s">
        <v>221</v>
      </c>
      <c r="H353" s="32" t="s">
        <v>352</v>
      </c>
      <c r="I353" s="31" t="s">
        <v>1673</v>
      </c>
      <c r="J353" s="31">
        <v>99</v>
      </c>
      <c r="K353" s="33" t="s">
        <v>709</v>
      </c>
      <c r="L353" s="33" t="s">
        <v>712</v>
      </c>
      <c r="M353" s="34" t="s">
        <v>1280</v>
      </c>
      <c r="N353" s="34" t="s">
        <v>1711</v>
      </c>
      <c r="O353" s="35">
        <v>1</v>
      </c>
      <c r="P353" s="35">
        <v>1</v>
      </c>
      <c r="Q353" s="32"/>
      <c r="S353" s="1">
        <f t="shared" si="119"/>
        <v>0</v>
      </c>
      <c r="T353" s="1">
        <f t="shared" si="120"/>
        <v>0</v>
      </c>
      <c r="U353" s="1">
        <f t="shared" si="121"/>
        <v>0</v>
      </c>
      <c r="V353" s="1">
        <f t="shared" si="122"/>
        <v>0</v>
      </c>
      <c r="W353" s="1">
        <f t="shared" si="123"/>
        <v>0</v>
      </c>
      <c r="X353" s="1">
        <f t="shared" si="124"/>
        <v>0</v>
      </c>
      <c r="Y353" s="1">
        <f t="shared" si="125"/>
        <v>0</v>
      </c>
      <c r="Z353" s="1">
        <f t="shared" si="126"/>
        <v>0</v>
      </c>
      <c r="AA353" s="1">
        <f t="shared" si="127"/>
        <v>0</v>
      </c>
      <c r="AB353" s="1">
        <f t="shared" si="128"/>
        <v>0</v>
      </c>
      <c r="AD353" s="1">
        <f t="shared" si="129"/>
        <v>1</v>
      </c>
      <c r="AE353" s="1">
        <f t="shared" si="130"/>
        <v>0</v>
      </c>
      <c r="AF353" s="1">
        <f t="shared" si="115"/>
        <v>1</v>
      </c>
      <c r="AG353" s="1">
        <f t="shared" si="116"/>
        <v>0</v>
      </c>
      <c r="AH353" s="1">
        <f t="shared" si="117"/>
        <v>1</v>
      </c>
      <c r="AI353" s="1">
        <f t="shared" si="118"/>
        <v>0</v>
      </c>
    </row>
    <row r="354" spans="1:35" s="1" customFormat="1" ht="14.25" customHeight="1" x14ac:dyDescent="0.25">
      <c r="A354" s="31">
        <v>0</v>
      </c>
      <c r="B354" s="31">
        <v>2</v>
      </c>
      <c r="C354" s="31">
        <v>3</v>
      </c>
      <c r="D354" s="32" t="s">
        <v>752</v>
      </c>
      <c r="E354" s="32" t="s">
        <v>902</v>
      </c>
      <c r="F354" s="32" t="s">
        <v>753</v>
      </c>
      <c r="G354" s="32" t="s">
        <v>219</v>
      </c>
      <c r="H354" s="32" t="s">
        <v>352</v>
      </c>
      <c r="I354" s="31" t="s">
        <v>754</v>
      </c>
      <c r="J354" s="31">
        <v>8</v>
      </c>
      <c r="K354" s="33" t="s">
        <v>942</v>
      </c>
      <c r="L354" s="33" t="s">
        <v>725</v>
      </c>
      <c r="M354" s="34" t="s">
        <v>719</v>
      </c>
      <c r="N354" s="34" t="s">
        <v>1732</v>
      </c>
      <c r="O354" s="35">
        <v>1</v>
      </c>
      <c r="P354" s="35"/>
      <c r="Q354" s="32"/>
      <c r="S354" s="1">
        <f t="shared" si="119"/>
        <v>0</v>
      </c>
      <c r="T354" s="1">
        <f t="shared" si="120"/>
        <v>0</v>
      </c>
      <c r="U354" s="1">
        <f t="shared" si="121"/>
        <v>0</v>
      </c>
      <c r="V354" s="1">
        <f t="shared" si="122"/>
        <v>0</v>
      </c>
      <c r="W354" s="1">
        <f t="shared" si="123"/>
        <v>0</v>
      </c>
      <c r="X354" s="1">
        <f t="shared" si="124"/>
        <v>0</v>
      </c>
      <c r="Y354" s="1">
        <f t="shared" si="125"/>
        <v>0</v>
      </c>
      <c r="Z354" s="1">
        <f t="shared" si="126"/>
        <v>1</v>
      </c>
      <c r="AA354" s="1">
        <f t="shared" si="127"/>
        <v>0</v>
      </c>
      <c r="AB354" s="1">
        <f t="shared" si="128"/>
        <v>0</v>
      </c>
      <c r="AD354" s="1">
        <f t="shared" si="129"/>
        <v>0</v>
      </c>
      <c r="AE354" s="1">
        <f t="shared" si="130"/>
        <v>1</v>
      </c>
      <c r="AF354" s="1">
        <f t="shared" si="115"/>
        <v>0</v>
      </c>
      <c r="AG354" s="1">
        <f t="shared" si="116"/>
        <v>1</v>
      </c>
      <c r="AH354" s="1">
        <f t="shared" si="117"/>
        <v>0</v>
      </c>
      <c r="AI354" s="1">
        <f t="shared" si="118"/>
        <v>1</v>
      </c>
    </row>
    <row r="355" spans="1:35" s="1" customFormat="1" ht="14.25" customHeight="1" x14ac:dyDescent="0.25">
      <c r="A355" s="44">
        <v>0</v>
      </c>
      <c r="B355" s="44">
        <v>2</v>
      </c>
      <c r="C355" s="44">
        <v>3</v>
      </c>
      <c r="D355" s="45" t="s">
        <v>1479</v>
      </c>
      <c r="E355" s="45" t="s">
        <v>1480</v>
      </c>
      <c r="F355" s="45" t="s">
        <v>1481</v>
      </c>
      <c r="G355" s="45" t="s">
        <v>237</v>
      </c>
      <c r="H355" s="45" t="s">
        <v>352</v>
      </c>
      <c r="I355" s="44" t="s">
        <v>1482</v>
      </c>
      <c r="J355" s="44">
        <v>4</v>
      </c>
      <c r="K355" s="46" t="s">
        <v>708</v>
      </c>
      <c r="L355" s="46">
        <v>15</v>
      </c>
      <c r="M355" s="47" t="s">
        <v>39</v>
      </c>
      <c r="N355" s="47" t="s">
        <v>1786</v>
      </c>
      <c r="O355" s="48"/>
      <c r="P355" s="48"/>
      <c r="Q355" s="45"/>
      <c r="S355" s="1">
        <f t="shared" si="119"/>
        <v>0</v>
      </c>
      <c r="T355" s="1">
        <f t="shared" si="120"/>
        <v>0</v>
      </c>
      <c r="U355" s="1">
        <f t="shared" si="121"/>
        <v>0</v>
      </c>
      <c r="V355" s="1">
        <f t="shared" si="122"/>
        <v>1</v>
      </c>
      <c r="W355" s="1">
        <f t="shared" si="123"/>
        <v>0</v>
      </c>
      <c r="X355" s="1">
        <f t="shared" si="124"/>
        <v>0</v>
      </c>
      <c r="Y355" s="1">
        <f t="shared" si="125"/>
        <v>0</v>
      </c>
      <c r="Z355" s="1">
        <f t="shared" si="126"/>
        <v>0</v>
      </c>
      <c r="AA355" s="1">
        <f t="shared" si="127"/>
        <v>0</v>
      </c>
      <c r="AB355" s="1">
        <f t="shared" si="128"/>
        <v>0</v>
      </c>
      <c r="AD355" s="1">
        <f t="shared" si="129"/>
        <v>0</v>
      </c>
      <c r="AE355" s="1">
        <f t="shared" si="130"/>
        <v>0</v>
      </c>
      <c r="AF355" s="1">
        <f t="shared" si="115"/>
        <v>0</v>
      </c>
      <c r="AG355" s="1">
        <f t="shared" si="116"/>
        <v>0</v>
      </c>
      <c r="AH355" s="1">
        <f t="shared" si="117"/>
        <v>0</v>
      </c>
      <c r="AI355" s="1">
        <f t="shared" si="118"/>
        <v>1</v>
      </c>
    </row>
    <row r="356" spans="1:35" s="1" customFormat="1" ht="14.25" customHeight="1" x14ac:dyDescent="0.25">
      <c r="A356" s="31">
        <v>0</v>
      </c>
      <c r="B356" s="31">
        <v>2</v>
      </c>
      <c r="C356" s="31">
        <v>3</v>
      </c>
      <c r="D356" s="32" t="s">
        <v>1537</v>
      </c>
      <c r="E356" s="32" t="s">
        <v>1538</v>
      </c>
      <c r="F356" s="32" t="s">
        <v>1539</v>
      </c>
      <c r="G356" s="32" t="s">
        <v>1540</v>
      </c>
      <c r="H356" s="32" t="s">
        <v>352</v>
      </c>
      <c r="I356" s="31" t="s">
        <v>1541</v>
      </c>
      <c r="J356" s="31">
        <v>7</v>
      </c>
      <c r="K356" s="33" t="s">
        <v>942</v>
      </c>
      <c r="L356" s="33">
        <v>10</v>
      </c>
      <c r="M356" s="34" t="s">
        <v>39</v>
      </c>
      <c r="N356" s="34" t="s">
        <v>1727</v>
      </c>
      <c r="O356" s="35">
        <v>1</v>
      </c>
      <c r="P356" s="35"/>
      <c r="Q356" s="32"/>
      <c r="S356" s="1">
        <f t="shared" si="119"/>
        <v>0</v>
      </c>
      <c r="T356" s="1">
        <f t="shared" si="120"/>
        <v>0</v>
      </c>
      <c r="U356" s="1">
        <f t="shared" si="121"/>
        <v>0</v>
      </c>
      <c r="V356" s="1">
        <f t="shared" si="122"/>
        <v>0</v>
      </c>
      <c r="W356" s="1">
        <f t="shared" si="123"/>
        <v>0</v>
      </c>
      <c r="X356" s="1">
        <f t="shared" si="124"/>
        <v>0</v>
      </c>
      <c r="Y356" s="1">
        <f t="shared" si="125"/>
        <v>1</v>
      </c>
      <c r="Z356" s="1">
        <f t="shared" si="126"/>
        <v>0</v>
      </c>
      <c r="AA356" s="1">
        <f t="shared" si="127"/>
        <v>0</v>
      </c>
      <c r="AB356" s="1">
        <f t="shared" si="128"/>
        <v>0</v>
      </c>
      <c r="AD356" s="1">
        <f t="shared" si="129"/>
        <v>0</v>
      </c>
      <c r="AE356" s="1">
        <f t="shared" si="130"/>
        <v>1</v>
      </c>
      <c r="AF356" s="1">
        <f t="shared" si="115"/>
        <v>0</v>
      </c>
      <c r="AG356" s="1">
        <f t="shared" si="116"/>
        <v>1</v>
      </c>
      <c r="AH356" s="1">
        <f t="shared" si="117"/>
        <v>0</v>
      </c>
      <c r="AI356" s="1">
        <f t="shared" si="118"/>
        <v>1</v>
      </c>
    </row>
    <row r="357" spans="1:35" s="1" customFormat="1" ht="14.25" customHeight="1" x14ac:dyDescent="0.25">
      <c r="A357" s="44">
        <v>0</v>
      </c>
      <c r="B357" s="44">
        <v>2</v>
      </c>
      <c r="C357" s="44">
        <v>3</v>
      </c>
      <c r="D357" s="45" t="s">
        <v>832</v>
      </c>
      <c r="E357" s="45" t="s">
        <v>32</v>
      </c>
      <c r="F357" s="45" t="s">
        <v>834</v>
      </c>
      <c r="G357" s="45" t="s">
        <v>39</v>
      </c>
      <c r="H357" s="45" t="s">
        <v>352</v>
      </c>
      <c r="I357" s="44" t="s">
        <v>833</v>
      </c>
      <c r="J357" s="44">
        <v>1</v>
      </c>
      <c r="K357" s="46" t="s">
        <v>709</v>
      </c>
      <c r="L357" s="46" t="s">
        <v>690</v>
      </c>
      <c r="M357" s="47" t="s">
        <v>1399</v>
      </c>
      <c r="N357" s="47" t="s">
        <v>1719</v>
      </c>
      <c r="O357" s="48"/>
      <c r="P357" s="48"/>
      <c r="Q357" s="45"/>
      <c r="S357" s="1">
        <f t="shared" si="119"/>
        <v>1</v>
      </c>
      <c r="T357" s="1">
        <f t="shared" si="120"/>
        <v>0</v>
      </c>
      <c r="U357" s="1">
        <f t="shared" si="121"/>
        <v>0</v>
      </c>
      <c r="V357" s="1">
        <f t="shared" si="122"/>
        <v>0</v>
      </c>
      <c r="W357" s="1">
        <f t="shared" si="123"/>
        <v>0</v>
      </c>
      <c r="X357" s="1">
        <f t="shared" si="124"/>
        <v>0</v>
      </c>
      <c r="Y357" s="1">
        <f t="shared" si="125"/>
        <v>0</v>
      </c>
      <c r="Z357" s="1">
        <f t="shared" si="126"/>
        <v>0</v>
      </c>
      <c r="AA357" s="1">
        <f t="shared" si="127"/>
        <v>0</v>
      </c>
      <c r="AB357" s="1">
        <f t="shared" si="128"/>
        <v>0</v>
      </c>
      <c r="AD357" s="1">
        <f t="shared" si="129"/>
        <v>0</v>
      </c>
      <c r="AE357" s="1">
        <f t="shared" si="130"/>
        <v>0</v>
      </c>
      <c r="AF357" s="1">
        <f t="shared" si="115"/>
        <v>0</v>
      </c>
      <c r="AG357" s="1">
        <f t="shared" si="116"/>
        <v>0</v>
      </c>
      <c r="AH357" s="1">
        <f t="shared" si="117"/>
        <v>0</v>
      </c>
      <c r="AI357" s="1">
        <f t="shared" si="118"/>
        <v>1</v>
      </c>
    </row>
    <row r="358" spans="1:35" s="1" customFormat="1" ht="14.25" customHeight="1" x14ac:dyDescent="0.25">
      <c r="A358" s="15">
        <v>0</v>
      </c>
      <c r="B358" s="15">
        <v>2</v>
      </c>
      <c r="C358" s="15">
        <v>4</v>
      </c>
      <c r="D358" s="16" t="s">
        <v>755</v>
      </c>
      <c r="E358" s="16" t="s">
        <v>756</v>
      </c>
      <c r="F358" s="16" t="s">
        <v>757</v>
      </c>
      <c r="G358" s="16" t="s">
        <v>758</v>
      </c>
      <c r="H358" s="16" t="s">
        <v>352</v>
      </c>
      <c r="I358" s="15" t="s">
        <v>759</v>
      </c>
      <c r="J358" s="15">
        <v>99</v>
      </c>
      <c r="K358" s="10" t="s">
        <v>699</v>
      </c>
      <c r="L358" s="10">
        <v>15</v>
      </c>
      <c r="M358" s="19" t="s">
        <v>760</v>
      </c>
      <c r="N358" s="19"/>
      <c r="Q358" s="16"/>
      <c r="S358" s="1">
        <f t="shared" si="119"/>
        <v>0</v>
      </c>
      <c r="T358" s="1">
        <f t="shared" si="120"/>
        <v>0</v>
      </c>
      <c r="U358" s="1">
        <f t="shared" si="121"/>
        <v>0</v>
      </c>
      <c r="V358" s="1">
        <f t="shared" si="122"/>
        <v>0</v>
      </c>
      <c r="W358" s="1">
        <f t="shared" si="123"/>
        <v>0</v>
      </c>
      <c r="X358" s="1">
        <f t="shared" si="124"/>
        <v>0</v>
      </c>
      <c r="Y358" s="1">
        <f t="shared" si="125"/>
        <v>0</v>
      </c>
      <c r="Z358" s="1">
        <f t="shared" si="126"/>
        <v>0</v>
      </c>
      <c r="AA358" s="1">
        <f t="shared" si="127"/>
        <v>0</v>
      </c>
      <c r="AB358" s="1">
        <f t="shared" si="128"/>
        <v>0</v>
      </c>
      <c r="AD358" s="1">
        <f t="shared" si="129"/>
        <v>0</v>
      </c>
      <c r="AE358" s="1">
        <f t="shared" si="130"/>
        <v>0</v>
      </c>
      <c r="AF358" s="1">
        <f t="shared" si="115"/>
        <v>0</v>
      </c>
      <c r="AG358" s="1">
        <f t="shared" si="116"/>
        <v>0</v>
      </c>
      <c r="AH358" s="1">
        <f t="shared" si="117"/>
        <v>0</v>
      </c>
      <c r="AI358" s="1">
        <f t="shared" si="118"/>
        <v>1</v>
      </c>
    </row>
    <row r="359" spans="1:35" s="1" customFormat="1" ht="14.25" customHeight="1" x14ac:dyDescent="0.25">
      <c r="A359" s="31">
        <v>0</v>
      </c>
      <c r="B359" s="31">
        <v>2</v>
      </c>
      <c r="C359" s="31">
        <v>4</v>
      </c>
      <c r="D359" s="32" t="s">
        <v>789</v>
      </c>
      <c r="E359" s="32" t="s">
        <v>897</v>
      </c>
      <c r="F359" s="32" t="s">
        <v>914</v>
      </c>
      <c r="G359" s="32" t="s">
        <v>207</v>
      </c>
      <c r="H359" s="32" t="s">
        <v>352</v>
      </c>
      <c r="I359" s="31" t="s">
        <v>1347</v>
      </c>
      <c r="J359" s="31">
        <v>3</v>
      </c>
      <c r="K359" s="33" t="s">
        <v>699</v>
      </c>
      <c r="L359" s="33">
        <v>20</v>
      </c>
      <c r="M359" s="34" t="s">
        <v>1401</v>
      </c>
      <c r="N359" s="34" t="s">
        <v>1809</v>
      </c>
      <c r="O359" s="35">
        <v>1</v>
      </c>
      <c r="P359" s="35"/>
      <c r="Q359" s="32"/>
      <c r="S359" s="1">
        <f t="shared" si="119"/>
        <v>0</v>
      </c>
      <c r="T359" s="1">
        <f t="shared" si="120"/>
        <v>0</v>
      </c>
      <c r="U359" s="1">
        <f t="shared" si="121"/>
        <v>1</v>
      </c>
      <c r="V359" s="1">
        <f t="shared" si="122"/>
        <v>0</v>
      </c>
      <c r="W359" s="1">
        <f t="shared" si="123"/>
        <v>0</v>
      </c>
      <c r="X359" s="1">
        <f t="shared" si="124"/>
        <v>0</v>
      </c>
      <c r="Y359" s="1">
        <f t="shared" si="125"/>
        <v>0</v>
      </c>
      <c r="Z359" s="1">
        <f t="shared" si="126"/>
        <v>0</v>
      </c>
      <c r="AA359" s="1">
        <f t="shared" si="127"/>
        <v>0</v>
      </c>
      <c r="AB359" s="1">
        <f t="shared" si="128"/>
        <v>0</v>
      </c>
      <c r="AD359" s="1">
        <f t="shared" si="129"/>
        <v>0</v>
      </c>
      <c r="AE359" s="1">
        <f t="shared" si="130"/>
        <v>1</v>
      </c>
      <c r="AF359" s="1">
        <f t="shared" si="115"/>
        <v>0</v>
      </c>
      <c r="AG359" s="1">
        <f t="shared" si="116"/>
        <v>1</v>
      </c>
      <c r="AH359" s="1">
        <f t="shared" si="117"/>
        <v>0</v>
      </c>
      <c r="AI359" s="1">
        <f t="shared" si="118"/>
        <v>1</v>
      </c>
    </row>
    <row r="360" spans="1:35" s="1" customFormat="1" ht="14.25" customHeight="1" x14ac:dyDescent="0.25">
      <c r="A360" s="57">
        <v>0</v>
      </c>
      <c r="B360" s="57">
        <v>2</v>
      </c>
      <c r="C360" s="57">
        <v>4</v>
      </c>
      <c r="D360" s="58" t="s">
        <v>563</v>
      </c>
      <c r="E360" s="58" t="s">
        <v>37</v>
      </c>
      <c r="F360" s="58" t="s">
        <v>204</v>
      </c>
      <c r="G360" s="58" t="s">
        <v>39</v>
      </c>
      <c r="H360" s="58" t="s">
        <v>352</v>
      </c>
      <c r="I360" s="57" t="s">
        <v>387</v>
      </c>
      <c r="J360" s="57">
        <v>6</v>
      </c>
      <c r="K360" s="59" t="s">
        <v>699</v>
      </c>
      <c r="L360" s="59" t="s">
        <v>39</v>
      </c>
      <c r="M360" s="60" t="s">
        <v>39</v>
      </c>
      <c r="N360" s="61"/>
      <c r="O360" s="62"/>
      <c r="P360" s="62"/>
      <c r="Q360" s="58"/>
      <c r="S360" s="1">
        <f t="shared" si="119"/>
        <v>0</v>
      </c>
      <c r="T360" s="1">
        <f t="shared" si="120"/>
        <v>0</v>
      </c>
      <c r="U360" s="1">
        <f t="shared" si="121"/>
        <v>0</v>
      </c>
      <c r="V360" s="1">
        <f t="shared" si="122"/>
        <v>0</v>
      </c>
      <c r="W360" s="1">
        <f t="shared" si="123"/>
        <v>0</v>
      </c>
      <c r="X360" s="1">
        <f t="shared" si="124"/>
        <v>1</v>
      </c>
      <c r="Y360" s="1">
        <f t="shared" si="125"/>
        <v>0</v>
      </c>
      <c r="Z360" s="1">
        <f t="shared" si="126"/>
        <v>0</v>
      </c>
      <c r="AA360" s="1">
        <f t="shared" si="127"/>
        <v>0</v>
      </c>
      <c r="AB360" s="1">
        <f t="shared" si="128"/>
        <v>0</v>
      </c>
      <c r="AD360" s="1">
        <f t="shared" si="129"/>
        <v>0</v>
      </c>
      <c r="AE360" s="1">
        <f t="shared" si="130"/>
        <v>0</v>
      </c>
      <c r="AF360" s="1">
        <f t="shared" si="115"/>
        <v>0</v>
      </c>
      <c r="AG360" s="1">
        <f t="shared" si="116"/>
        <v>0</v>
      </c>
      <c r="AH360" s="1">
        <f t="shared" si="117"/>
        <v>0</v>
      </c>
      <c r="AI360" s="1">
        <f t="shared" si="118"/>
        <v>1</v>
      </c>
    </row>
    <row r="361" spans="1:35" s="1" customFormat="1" ht="14.25" customHeight="1" x14ac:dyDescent="0.25">
      <c r="A361" s="44">
        <v>0</v>
      </c>
      <c r="B361" s="44">
        <v>2</v>
      </c>
      <c r="C361" s="44">
        <v>4</v>
      </c>
      <c r="D361" s="45" t="s">
        <v>649</v>
      </c>
      <c r="E361" s="45" t="s">
        <v>899</v>
      </c>
      <c r="F361" s="45" t="s">
        <v>620</v>
      </c>
      <c r="G361" s="45" t="s">
        <v>339</v>
      </c>
      <c r="H361" s="45" t="s">
        <v>352</v>
      </c>
      <c r="I361" s="44" t="s">
        <v>621</v>
      </c>
      <c r="J361" s="44">
        <v>10</v>
      </c>
      <c r="K361" s="46" t="s">
        <v>941</v>
      </c>
      <c r="L361" s="46" t="s">
        <v>700</v>
      </c>
      <c r="M361" s="47" t="s">
        <v>1402</v>
      </c>
      <c r="N361" s="47" t="s">
        <v>1718</v>
      </c>
      <c r="O361" s="48"/>
      <c r="P361" s="48"/>
      <c r="Q361" s="45"/>
      <c r="S361" s="1">
        <f t="shared" si="119"/>
        <v>0</v>
      </c>
      <c r="T361" s="1">
        <f t="shared" si="120"/>
        <v>0</v>
      </c>
      <c r="U361" s="1">
        <f t="shared" si="121"/>
        <v>0</v>
      </c>
      <c r="V361" s="1">
        <f t="shared" si="122"/>
        <v>0</v>
      </c>
      <c r="W361" s="1">
        <f t="shared" si="123"/>
        <v>0</v>
      </c>
      <c r="X361" s="1">
        <f t="shared" si="124"/>
        <v>0</v>
      </c>
      <c r="Y361" s="1">
        <f t="shared" si="125"/>
        <v>0</v>
      </c>
      <c r="Z361" s="1">
        <f t="shared" si="126"/>
        <v>0</v>
      </c>
      <c r="AA361" s="1">
        <f t="shared" si="127"/>
        <v>0</v>
      </c>
      <c r="AB361" s="1">
        <f t="shared" si="128"/>
        <v>1</v>
      </c>
      <c r="AD361" s="1">
        <f t="shared" si="129"/>
        <v>0</v>
      </c>
      <c r="AE361" s="1">
        <f t="shared" si="130"/>
        <v>0</v>
      </c>
      <c r="AF361" s="1">
        <f t="shared" si="115"/>
        <v>0</v>
      </c>
      <c r="AG361" s="1">
        <f t="shared" si="116"/>
        <v>0</v>
      </c>
      <c r="AH361" s="1">
        <f t="shared" si="117"/>
        <v>0</v>
      </c>
      <c r="AI361" s="1">
        <f t="shared" si="118"/>
        <v>1</v>
      </c>
    </row>
    <row r="362" spans="1:35" s="1" customFormat="1" ht="14.25" customHeight="1" x14ac:dyDescent="0.25">
      <c r="A362" s="31">
        <v>0</v>
      </c>
      <c r="B362" s="31">
        <v>2</v>
      </c>
      <c r="C362" s="31">
        <v>4</v>
      </c>
      <c r="D362" s="32" t="s">
        <v>75</v>
      </c>
      <c r="E362" s="32" t="s">
        <v>35</v>
      </c>
      <c r="F362" s="32" t="s">
        <v>265</v>
      </c>
      <c r="G362" s="32" t="s">
        <v>212</v>
      </c>
      <c r="H362" s="32" t="s">
        <v>352</v>
      </c>
      <c r="I362" s="31" t="s">
        <v>933</v>
      </c>
      <c r="J362" s="31">
        <v>1</v>
      </c>
      <c r="K362" s="33" t="s">
        <v>709</v>
      </c>
      <c r="L362" s="33" t="s">
        <v>700</v>
      </c>
      <c r="M362" s="34" t="s">
        <v>1403</v>
      </c>
      <c r="N362" s="34" t="s">
        <v>1727</v>
      </c>
      <c r="O362" s="35">
        <v>1</v>
      </c>
      <c r="P362" s="35"/>
      <c r="Q362" s="32"/>
      <c r="S362" s="1">
        <f t="shared" si="119"/>
        <v>1</v>
      </c>
      <c r="T362" s="1">
        <f t="shared" si="120"/>
        <v>0</v>
      </c>
      <c r="U362" s="1">
        <f t="shared" si="121"/>
        <v>0</v>
      </c>
      <c r="V362" s="1">
        <f t="shared" si="122"/>
        <v>0</v>
      </c>
      <c r="W362" s="1">
        <f t="shared" si="123"/>
        <v>0</v>
      </c>
      <c r="X362" s="1">
        <f t="shared" si="124"/>
        <v>0</v>
      </c>
      <c r="Y362" s="1">
        <f t="shared" si="125"/>
        <v>0</v>
      </c>
      <c r="Z362" s="1">
        <f t="shared" si="126"/>
        <v>0</v>
      </c>
      <c r="AA362" s="1">
        <f t="shared" si="127"/>
        <v>0</v>
      </c>
      <c r="AB362" s="1">
        <f t="shared" si="128"/>
        <v>0</v>
      </c>
      <c r="AD362" s="1">
        <f t="shared" si="129"/>
        <v>0</v>
      </c>
      <c r="AE362" s="1">
        <f t="shared" si="130"/>
        <v>1</v>
      </c>
      <c r="AF362" s="1">
        <f t="shared" si="115"/>
        <v>0</v>
      </c>
      <c r="AG362" s="1">
        <f t="shared" si="116"/>
        <v>1</v>
      </c>
      <c r="AH362" s="1">
        <f t="shared" si="117"/>
        <v>0</v>
      </c>
      <c r="AI362" s="1">
        <f t="shared" si="118"/>
        <v>1</v>
      </c>
    </row>
    <row r="363" spans="1:35" s="1" customFormat="1" ht="14.25" customHeight="1" x14ac:dyDescent="0.25">
      <c r="A363" s="31">
        <v>0</v>
      </c>
      <c r="B363" s="31">
        <v>2</v>
      </c>
      <c r="C363" s="31">
        <v>4</v>
      </c>
      <c r="D363" s="32" t="s">
        <v>908</v>
      </c>
      <c r="E363" s="32" t="s">
        <v>901</v>
      </c>
      <c r="F363" s="32" t="s">
        <v>773</v>
      </c>
      <c r="G363" s="32" t="s">
        <v>283</v>
      </c>
      <c r="H363" s="32" t="s">
        <v>352</v>
      </c>
      <c r="I363" s="31" t="s">
        <v>934</v>
      </c>
      <c r="J363" s="31">
        <v>4</v>
      </c>
      <c r="K363" s="33" t="s">
        <v>709</v>
      </c>
      <c r="L363" s="33" t="s">
        <v>692</v>
      </c>
      <c r="M363" s="34" t="s">
        <v>1404</v>
      </c>
      <c r="N363" s="34" t="s">
        <v>1733</v>
      </c>
      <c r="O363" s="35">
        <v>1</v>
      </c>
      <c r="P363" s="35"/>
      <c r="Q363" s="32"/>
      <c r="S363" s="1">
        <f t="shared" si="119"/>
        <v>0</v>
      </c>
      <c r="T363" s="1">
        <f t="shared" si="120"/>
        <v>0</v>
      </c>
      <c r="U363" s="1">
        <f t="shared" si="121"/>
        <v>0</v>
      </c>
      <c r="V363" s="1">
        <f t="shared" si="122"/>
        <v>1</v>
      </c>
      <c r="W363" s="1">
        <f t="shared" si="123"/>
        <v>0</v>
      </c>
      <c r="X363" s="1">
        <f t="shared" si="124"/>
        <v>0</v>
      </c>
      <c r="Y363" s="1">
        <f t="shared" si="125"/>
        <v>0</v>
      </c>
      <c r="Z363" s="1">
        <f t="shared" si="126"/>
        <v>0</v>
      </c>
      <c r="AA363" s="1">
        <f t="shared" si="127"/>
        <v>0</v>
      </c>
      <c r="AB363" s="1">
        <f t="shared" si="128"/>
        <v>0</v>
      </c>
      <c r="AD363" s="1">
        <f t="shared" si="129"/>
        <v>0</v>
      </c>
      <c r="AE363" s="1">
        <f t="shared" si="130"/>
        <v>1</v>
      </c>
      <c r="AF363" s="1">
        <f t="shared" si="115"/>
        <v>0</v>
      </c>
      <c r="AG363" s="1">
        <f t="shared" si="116"/>
        <v>1</v>
      </c>
      <c r="AH363" s="1">
        <f t="shared" si="117"/>
        <v>0</v>
      </c>
      <c r="AI363" s="1">
        <f t="shared" si="118"/>
        <v>1</v>
      </c>
    </row>
    <row r="364" spans="1:35" s="1" customFormat="1" ht="14.25" customHeight="1" x14ac:dyDescent="0.25">
      <c r="A364" s="15">
        <v>0</v>
      </c>
      <c r="B364" s="15">
        <v>2</v>
      </c>
      <c r="C364" s="15">
        <v>4</v>
      </c>
      <c r="D364" s="16" t="s">
        <v>625</v>
      </c>
      <c r="E364" s="16" t="s">
        <v>681</v>
      </c>
      <c r="F364" s="16" t="s">
        <v>666</v>
      </c>
      <c r="G364" s="16" t="s">
        <v>624</v>
      </c>
      <c r="H364" s="16" t="s">
        <v>352</v>
      </c>
      <c r="I364" s="15" t="s">
        <v>626</v>
      </c>
      <c r="J364" s="15">
        <v>99</v>
      </c>
      <c r="K364" s="10" t="s">
        <v>942</v>
      </c>
      <c r="L364" s="10" t="s">
        <v>39</v>
      </c>
      <c r="M364" s="19" t="s">
        <v>39</v>
      </c>
      <c r="N364" s="17"/>
      <c r="Q364" s="20" t="s">
        <v>1881</v>
      </c>
      <c r="S364" s="1">
        <f t="shared" si="119"/>
        <v>0</v>
      </c>
      <c r="T364" s="1">
        <f t="shared" si="120"/>
        <v>0</v>
      </c>
      <c r="U364" s="1">
        <f t="shared" si="121"/>
        <v>0</v>
      </c>
      <c r="V364" s="1">
        <f t="shared" si="122"/>
        <v>0</v>
      </c>
      <c r="W364" s="1">
        <f t="shared" si="123"/>
        <v>0</v>
      </c>
      <c r="X364" s="1">
        <f t="shared" si="124"/>
        <v>0</v>
      </c>
      <c r="Y364" s="1">
        <f t="shared" si="125"/>
        <v>0</v>
      </c>
      <c r="Z364" s="1">
        <f t="shared" si="126"/>
        <v>0</v>
      </c>
      <c r="AA364" s="1">
        <f t="shared" si="127"/>
        <v>0</v>
      </c>
      <c r="AB364" s="1">
        <f t="shared" si="128"/>
        <v>0</v>
      </c>
      <c r="AD364" s="1">
        <f t="shared" si="129"/>
        <v>0</v>
      </c>
      <c r="AE364" s="1">
        <f t="shared" si="130"/>
        <v>0</v>
      </c>
      <c r="AF364" s="1">
        <f t="shared" si="115"/>
        <v>0</v>
      </c>
      <c r="AG364" s="1">
        <f t="shared" si="116"/>
        <v>0</v>
      </c>
      <c r="AH364" s="1">
        <f t="shared" si="117"/>
        <v>0</v>
      </c>
      <c r="AI364" s="1">
        <f t="shared" si="118"/>
        <v>1</v>
      </c>
    </row>
    <row r="365" spans="1:35" s="1" customFormat="1" ht="14.25" customHeight="1" x14ac:dyDescent="0.25">
      <c r="A365" s="31">
        <v>0</v>
      </c>
      <c r="B365" s="31">
        <v>2</v>
      </c>
      <c r="C365" s="31">
        <v>4</v>
      </c>
      <c r="D365" s="32" t="s">
        <v>84</v>
      </c>
      <c r="E365" s="32" t="s">
        <v>35</v>
      </c>
      <c r="F365" s="32" t="s">
        <v>276</v>
      </c>
      <c r="G365" s="32" t="s">
        <v>223</v>
      </c>
      <c r="H365" s="32" t="s">
        <v>352</v>
      </c>
      <c r="I365" s="31" t="s">
        <v>431</v>
      </c>
      <c r="J365" s="31">
        <v>99</v>
      </c>
      <c r="K365" s="33" t="s">
        <v>941</v>
      </c>
      <c r="L365" s="33" t="s">
        <v>700</v>
      </c>
      <c r="M365" s="34" t="s">
        <v>722</v>
      </c>
      <c r="N365" s="34" t="s">
        <v>1745</v>
      </c>
      <c r="O365" s="35">
        <v>1</v>
      </c>
      <c r="P365" s="35"/>
      <c r="Q365" s="32"/>
      <c r="S365" s="1">
        <f t="shared" si="119"/>
        <v>0</v>
      </c>
      <c r="T365" s="1">
        <f t="shared" si="120"/>
        <v>0</v>
      </c>
      <c r="U365" s="1">
        <f t="shared" si="121"/>
        <v>0</v>
      </c>
      <c r="V365" s="1">
        <f t="shared" si="122"/>
        <v>0</v>
      </c>
      <c r="W365" s="1">
        <f t="shared" si="123"/>
        <v>0</v>
      </c>
      <c r="X365" s="1">
        <f t="shared" si="124"/>
        <v>0</v>
      </c>
      <c r="Y365" s="1">
        <f t="shared" si="125"/>
        <v>0</v>
      </c>
      <c r="Z365" s="1">
        <f t="shared" si="126"/>
        <v>0</v>
      </c>
      <c r="AA365" s="1">
        <f t="shared" si="127"/>
        <v>0</v>
      </c>
      <c r="AB365" s="1">
        <f t="shared" si="128"/>
        <v>0</v>
      </c>
      <c r="AD365" s="1">
        <f t="shared" si="129"/>
        <v>0</v>
      </c>
      <c r="AE365" s="1">
        <f t="shared" si="130"/>
        <v>1</v>
      </c>
      <c r="AF365" s="1">
        <f t="shared" si="115"/>
        <v>0</v>
      </c>
      <c r="AG365" s="1">
        <f t="shared" si="116"/>
        <v>1</v>
      </c>
      <c r="AH365" s="1">
        <f t="shared" si="117"/>
        <v>0</v>
      </c>
      <c r="AI365" s="1">
        <f t="shared" si="118"/>
        <v>1</v>
      </c>
    </row>
    <row r="366" spans="1:35" s="1" customFormat="1" ht="14.25" customHeight="1" x14ac:dyDescent="0.25">
      <c r="A366" s="15">
        <v>0</v>
      </c>
      <c r="B366" s="15">
        <v>2</v>
      </c>
      <c r="C366" s="15">
        <v>4</v>
      </c>
      <c r="D366" s="16" t="s">
        <v>870</v>
      </c>
      <c r="E366" s="16" t="s">
        <v>763</v>
      </c>
      <c r="F366" s="16" t="s">
        <v>868</v>
      </c>
      <c r="G366" s="16" t="s">
        <v>278</v>
      </c>
      <c r="H366" s="16" t="s">
        <v>352</v>
      </c>
      <c r="I366" s="15" t="s">
        <v>869</v>
      </c>
      <c r="J366" s="15">
        <v>99</v>
      </c>
      <c r="K366" s="10" t="s">
        <v>699</v>
      </c>
      <c r="L366" s="10">
        <v>25</v>
      </c>
      <c r="M366" s="19" t="s">
        <v>1405</v>
      </c>
      <c r="N366" s="19"/>
      <c r="Q366" s="16"/>
      <c r="S366" s="1">
        <f t="shared" si="119"/>
        <v>0</v>
      </c>
      <c r="T366" s="1">
        <f t="shared" si="120"/>
        <v>0</v>
      </c>
      <c r="U366" s="1">
        <f t="shared" si="121"/>
        <v>0</v>
      </c>
      <c r="V366" s="1">
        <f t="shared" si="122"/>
        <v>0</v>
      </c>
      <c r="W366" s="1">
        <f t="shared" si="123"/>
        <v>0</v>
      </c>
      <c r="X366" s="1">
        <f t="shared" si="124"/>
        <v>0</v>
      </c>
      <c r="Y366" s="1">
        <f t="shared" si="125"/>
        <v>0</v>
      </c>
      <c r="Z366" s="1">
        <f t="shared" si="126"/>
        <v>0</v>
      </c>
      <c r="AA366" s="1">
        <f t="shared" si="127"/>
        <v>0</v>
      </c>
      <c r="AB366" s="1">
        <f t="shared" si="128"/>
        <v>0</v>
      </c>
      <c r="AD366" s="1">
        <f t="shared" si="129"/>
        <v>0</v>
      </c>
      <c r="AE366" s="1">
        <f t="shared" si="130"/>
        <v>0</v>
      </c>
      <c r="AF366" s="1">
        <f t="shared" si="115"/>
        <v>0</v>
      </c>
      <c r="AG366" s="1">
        <f t="shared" si="116"/>
        <v>0</v>
      </c>
      <c r="AH366" s="1">
        <f t="shared" si="117"/>
        <v>0</v>
      </c>
      <c r="AI366" s="1">
        <f t="shared" si="118"/>
        <v>1</v>
      </c>
    </row>
    <row r="367" spans="1:35" s="1" customFormat="1" ht="14.25" customHeight="1" x14ac:dyDescent="0.25">
      <c r="A367" s="31">
        <v>0</v>
      </c>
      <c r="B367" s="31">
        <v>2</v>
      </c>
      <c r="C367" s="31">
        <v>4</v>
      </c>
      <c r="D367" s="32" t="s">
        <v>911</v>
      </c>
      <c r="E367" s="32" t="s">
        <v>763</v>
      </c>
      <c r="F367" s="32" t="s">
        <v>835</v>
      </c>
      <c r="G367" s="32" t="s">
        <v>208</v>
      </c>
      <c r="H367" s="32" t="s">
        <v>352</v>
      </c>
      <c r="I367" s="31" t="s">
        <v>836</v>
      </c>
      <c r="J367" s="31">
        <v>99</v>
      </c>
      <c r="K367" s="33" t="s">
        <v>708</v>
      </c>
      <c r="L367" s="33" t="s">
        <v>700</v>
      </c>
      <c r="M367" s="34" t="s">
        <v>722</v>
      </c>
      <c r="N367" s="34" t="s">
        <v>1740</v>
      </c>
      <c r="O367" s="35">
        <v>1</v>
      </c>
      <c r="P367" s="35"/>
      <c r="Q367" s="32"/>
      <c r="S367" s="1">
        <f t="shared" si="119"/>
        <v>0</v>
      </c>
      <c r="T367" s="1">
        <f t="shared" si="120"/>
        <v>0</v>
      </c>
      <c r="U367" s="1">
        <f t="shared" si="121"/>
        <v>0</v>
      </c>
      <c r="V367" s="1">
        <f t="shared" si="122"/>
        <v>0</v>
      </c>
      <c r="W367" s="1">
        <f t="shared" si="123"/>
        <v>0</v>
      </c>
      <c r="X367" s="1">
        <f t="shared" si="124"/>
        <v>0</v>
      </c>
      <c r="Y367" s="1">
        <f t="shared" si="125"/>
        <v>0</v>
      </c>
      <c r="Z367" s="1">
        <f t="shared" si="126"/>
        <v>0</v>
      </c>
      <c r="AA367" s="1">
        <f t="shared" si="127"/>
        <v>0</v>
      </c>
      <c r="AB367" s="1">
        <f t="shared" si="128"/>
        <v>0</v>
      </c>
      <c r="AD367" s="1">
        <f t="shared" si="129"/>
        <v>0</v>
      </c>
      <c r="AE367" s="1">
        <f t="shared" si="130"/>
        <v>1</v>
      </c>
      <c r="AF367" s="1">
        <f t="shared" si="115"/>
        <v>0</v>
      </c>
      <c r="AG367" s="1">
        <f t="shared" si="116"/>
        <v>1</v>
      </c>
      <c r="AH367" s="1">
        <f t="shared" si="117"/>
        <v>0</v>
      </c>
      <c r="AI367" s="1">
        <f t="shared" si="118"/>
        <v>1</v>
      </c>
    </row>
    <row r="368" spans="1:35" s="1" customFormat="1" ht="14.25" customHeight="1" x14ac:dyDescent="0.25">
      <c r="A368" s="31">
        <v>0</v>
      </c>
      <c r="B368" s="31">
        <v>2</v>
      </c>
      <c r="C368" s="31">
        <v>4</v>
      </c>
      <c r="D368" s="32" t="s">
        <v>2008</v>
      </c>
      <c r="E368" s="32" t="s">
        <v>35</v>
      </c>
      <c r="F368" s="32" t="s">
        <v>2009</v>
      </c>
      <c r="G368" s="32" t="s">
        <v>208</v>
      </c>
      <c r="H368" s="32" t="s">
        <v>352</v>
      </c>
      <c r="I368" s="31" t="s">
        <v>2010</v>
      </c>
      <c r="J368" s="31">
        <v>99</v>
      </c>
      <c r="K368" s="33" t="s">
        <v>699</v>
      </c>
      <c r="L368" s="33">
        <v>25</v>
      </c>
      <c r="M368" s="34" t="s">
        <v>2012</v>
      </c>
      <c r="N368" s="34" t="s">
        <v>1833</v>
      </c>
      <c r="O368" s="35">
        <v>1</v>
      </c>
      <c r="P368" s="35"/>
      <c r="Q368" s="32" t="s">
        <v>2011</v>
      </c>
      <c r="S368" s="1">
        <f t="shared" si="119"/>
        <v>0</v>
      </c>
      <c r="T368" s="1">
        <f t="shared" si="120"/>
        <v>0</v>
      </c>
      <c r="U368" s="1">
        <f t="shared" si="121"/>
        <v>0</v>
      </c>
      <c r="V368" s="1">
        <f t="shared" si="122"/>
        <v>0</v>
      </c>
      <c r="W368" s="1">
        <f t="shared" si="123"/>
        <v>0</v>
      </c>
      <c r="X368" s="1">
        <f t="shared" si="124"/>
        <v>0</v>
      </c>
      <c r="Y368" s="1">
        <f t="shared" si="125"/>
        <v>0</v>
      </c>
      <c r="Z368" s="1">
        <f t="shared" si="126"/>
        <v>0</v>
      </c>
      <c r="AA368" s="1">
        <f t="shared" si="127"/>
        <v>0</v>
      </c>
      <c r="AB368" s="1">
        <f t="shared" si="128"/>
        <v>0</v>
      </c>
      <c r="AD368" s="1">
        <f t="shared" si="129"/>
        <v>0</v>
      </c>
      <c r="AE368" s="1">
        <f t="shared" si="130"/>
        <v>1</v>
      </c>
      <c r="AF368" s="1">
        <f t="shared" si="115"/>
        <v>0</v>
      </c>
      <c r="AG368" s="1">
        <f t="shared" si="116"/>
        <v>1</v>
      </c>
      <c r="AH368" s="1">
        <f t="shared" si="117"/>
        <v>0</v>
      </c>
      <c r="AI368" s="1">
        <f t="shared" si="118"/>
        <v>1</v>
      </c>
    </row>
    <row r="369" spans="1:4094 4097:8191 8194:12288 12291:16384" s="1" customFormat="1" ht="14.25" customHeight="1" x14ac:dyDescent="0.25">
      <c r="A369" s="44">
        <v>0</v>
      </c>
      <c r="B369" s="44">
        <v>2</v>
      </c>
      <c r="C369" s="44">
        <v>4</v>
      </c>
      <c r="D369" s="45" t="s">
        <v>1207</v>
      </c>
      <c r="E369" s="45" t="s">
        <v>1206</v>
      </c>
      <c r="F369" s="45" t="s">
        <v>1208</v>
      </c>
      <c r="G369" s="45" t="s">
        <v>531</v>
      </c>
      <c r="H369" s="45" t="s">
        <v>352</v>
      </c>
      <c r="I369" s="44" t="s">
        <v>1209</v>
      </c>
      <c r="J369" s="44">
        <v>99</v>
      </c>
      <c r="K369" s="46" t="s">
        <v>709</v>
      </c>
      <c r="L369" s="46" t="s">
        <v>690</v>
      </c>
      <c r="M369" s="47" t="s">
        <v>1406</v>
      </c>
      <c r="N369" s="47" t="s">
        <v>1731</v>
      </c>
      <c r="O369" s="48"/>
      <c r="P369" s="48"/>
      <c r="Q369" s="45"/>
      <c r="S369" s="1">
        <f t="shared" si="119"/>
        <v>0</v>
      </c>
      <c r="T369" s="1">
        <f t="shared" si="120"/>
        <v>0</v>
      </c>
      <c r="U369" s="1">
        <f t="shared" si="121"/>
        <v>0</v>
      </c>
      <c r="V369" s="1">
        <f t="shared" si="122"/>
        <v>0</v>
      </c>
      <c r="W369" s="1">
        <f t="shared" si="123"/>
        <v>0</v>
      </c>
      <c r="X369" s="1">
        <f t="shared" si="124"/>
        <v>0</v>
      </c>
      <c r="Y369" s="1">
        <f t="shared" si="125"/>
        <v>0</v>
      </c>
      <c r="Z369" s="1">
        <f t="shared" si="126"/>
        <v>0</v>
      </c>
      <c r="AA369" s="1">
        <f t="shared" si="127"/>
        <v>0</v>
      </c>
      <c r="AB369" s="1">
        <f t="shared" si="128"/>
        <v>0</v>
      </c>
      <c r="AD369" s="1">
        <f t="shared" si="129"/>
        <v>0</v>
      </c>
      <c r="AE369" s="1">
        <f t="shared" si="130"/>
        <v>0</v>
      </c>
      <c r="AF369" s="1">
        <f t="shared" si="115"/>
        <v>0</v>
      </c>
      <c r="AG369" s="1">
        <f t="shared" si="116"/>
        <v>0</v>
      </c>
      <c r="AH369" s="1">
        <f t="shared" si="117"/>
        <v>0</v>
      </c>
      <c r="AI369" s="1">
        <f t="shared" si="118"/>
        <v>1</v>
      </c>
    </row>
    <row r="370" spans="1:4094 4097:8191 8194:12288 12291:16384" s="1" customFormat="1" ht="14.25" customHeight="1" x14ac:dyDescent="0.25">
      <c r="A370" s="31">
        <v>0</v>
      </c>
      <c r="B370" s="31">
        <v>2</v>
      </c>
      <c r="C370" s="31">
        <v>4</v>
      </c>
      <c r="D370" s="32" t="s">
        <v>814</v>
      </c>
      <c r="E370" s="32" t="s">
        <v>586</v>
      </c>
      <c r="F370" s="32" t="s">
        <v>815</v>
      </c>
      <c r="G370" s="32" t="s">
        <v>925</v>
      </c>
      <c r="H370" s="32" t="s">
        <v>352</v>
      </c>
      <c r="I370" s="31" t="s">
        <v>938</v>
      </c>
      <c r="J370" s="31">
        <v>7</v>
      </c>
      <c r="K370" s="33" t="s">
        <v>708</v>
      </c>
      <c r="L370" s="33" t="s">
        <v>39</v>
      </c>
      <c r="M370" s="34" t="s">
        <v>39</v>
      </c>
      <c r="N370" s="34" t="s">
        <v>1711</v>
      </c>
      <c r="O370" s="35">
        <v>1</v>
      </c>
      <c r="P370" s="35">
        <v>1</v>
      </c>
      <c r="Q370" s="32"/>
      <c r="S370" s="1">
        <f t="shared" si="119"/>
        <v>0</v>
      </c>
      <c r="T370" s="1">
        <f t="shared" si="120"/>
        <v>0</v>
      </c>
      <c r="U370" s="1">
        <f t="shared" si="121"/>
        <v>0</v>
      </c>
      <c r="V370" s="1">
        <f t="shared" si="122"/>
        <v>0</v>
      </c>
      <c r="W370" s="1">
        <f t="shared" si="123"/>
        <v>0</v>
      </c>
      <c r="X370" s="1">
        <f t="shared" si="124"/>
        <v>0</v>
      </c>
      <c r="Y370" s="1">
        <f t="shared" si="125"/>
        <v>1</v>
      </c>
      <c r="Z370" s="1">
        <f t="shared" si="126"/>
        <v>0</v>
      </c>
      <c r="AA370" s="1">
        <f t="shared" si="127"/>
        <v>0</v>
      </c>
      <c r="AB370" s="1">
        <f t="shared" si="128"/>
        <v>0</v>
      </c>
      <c r="AD370" s="1">
        <f t="shared" si="129"/>
        <v>1</v>
      </c>
      <c r="AE370" s="1">
        <f t="shared" si="130"/>
        <v>0</v>
      </c>
      <c r="AF370" s="1">
        <f t="shared" si="115"/>
        <v>1</v>
      </c>
      <c r="AG370" s="1">
        <f t="shared" si="116"/>
        <v>0</v>
      </c>
      <c r="AH370" s="1">
        <f t="shared" si="117"/>
        <v>1</v>
      </c>
      <c r="AI370" s="1">
        <f t="shared" si="118"/>
        <v>0</v>
      </c>
    </row>
    <row r="371" spans="1:4094 4097:8191 8194:12288 12291:16384" s="1" customFormat="1" ht="14.25" customHeight="1" x14ac:dyDescent="0.25">
      <c r="A371" s="44">
        <v>0</v>
      </c>
      <c r="B371" s="44">
        <v>2</v>
      </c>
      <c r="C371" s="44">
        <v>4</v>
      </c>
      <c r="D371" s="45" t="s">
        <v>1589</v>
      </c>
      <c r="E371" s="45" t="s">
        <v>1639</v>
      </c>
      <c r="F371" s="45" t="s">
        <v>1590</v>
      </c>
      <c r="G371" s="45" t="s">
        <v>331</v>
      </c>
      <c r="H371" s="45" t="s">
        <v>352</v>
      </c>
      <c r="I371" s="44" t="s">
        <v>30</v>
      </c>
      <c r="J371" s="44">
        <v>99</v>
      </c>
      <c r="K371" s="46" t="s">
        <v>709</v>
      </c>
      <c r="L371" s="46">
        <v>20</v>
      </c>
      <c r="M371" s="47" t="s">
        <v>39</v>
      </c>
      <c r="N371" s="47" t="s">
        <v>1725</v>
      </c>
      <c r="O371" s="48"/>
      <c r="P371" s="48"/>
      <c r="Q371" s="45"/>
      <c r="S371" s="1">
        <f t="shared" si="119"/>
        <v>0</v>
      </c>
      <c r="T371" s="1">
        <f t="shared" si="120"/>
        <v>0</v>
      </c>
      <c r="U371" s="1">
        <f t="shared" si="121"/>
        <v>0</v>
      </c>
      <c r="V371" s="1">
        <f t="shared" si="122"/>
        <v>0</v>
      </c>
      <c r="W371" s="1">
        <f t="shared" si="123"/>
        <v>0</v>
      </c>
      <c r="X371" s="1">
        <f t="shared" si="124"/>
        <v>0</v>
      </c>
      <c r="Y371" s="1">
        <f t="shared" si="125"/>
        <v>0</v>
      </c>
      <c r="Z371" s="1">
        <f t="shared" si="126"/>
        <v>0</v>
      </c>
      <c r="AA371" s="1">
        <f t="shared" si="127"/>
        <v>0</v>
      </c>
      <c r="AB371" s="1">
        <f t="shared" si="128"/>
        <v>0</v>
      </c>
      <c r="AD371" s="1">
        <f t="shared" si="129"/>
        <v>0</v>
      </c>
      <c r="AE371" s="1">
        <f t="shared" si="130"/>
        <v>0</v>
      </c>
      <c r="AF371" s="1">
        <f t="shared" si="115"/>
        <v>0</v>
      </c>
      <c r="AG371" s="1">
        <f t="shared" si="116"/>
        <v>0</v>
      </c>
      <c r="AH371" s="1">
        <f t="shared" si="117"/>
        <v>0</v>
      </c>
      <c r="AI371" s="1">
        <f t="shared" si="118"/>
        <v>1</v>
      </c>
    </row>
    <row r="372" spans="1:4094 4097:8191 8194:12288 12291:16384" s="1" customFormat="1" ht="14.25" customHeight="1" x14ac:dyDescent="0.25">
      <c r="A372" s="31">
        <v>0</v>
      </c>
      <c r="B372" s="31">
        <v>2</v>
      </c>
      <c r="C372" s="31">
        <v>5</v>
      </c>
      <c r="D372" s="32" t="s">
        <v>58</v>
      </c>
      <c r="E372" s="32" t="s">
        <v>44</v>
      </c>
      <c r="F372" s="32" t="s">
        <v>667</v>
      </c>
      <c r="G372" s="32" t="s">
        <v>222</v>
      </c>
      <c r="H372" s="32" t="s">
        <v>352</v>
      </c>
      <c r="I372" s="31" t="s">
        <v>395</v>
      </c>
      <c r="J372" s="31">
        <v>8</v>
      </c>
      <c r="K372" s="33" t="s">
        <v>709</v>
      </c>
      <c r="L372" s="33" t="s">
        <v>712</v>
      </c>
      <c r="M372" s="34" t="s">
        <v>1407</v>
      </c>
      <c r="N372" s="34" t="s">
        <v>1732</v>
      </c>
      <c r="O372" s="35">
        <v>1</v>
      </c>
      <c r="P372" s="35"/>
      <c r="Q372" s="32"/>
      <c r="S372" s="1">
        <f t="shared" si="119"/>
        <v>0</v>
      </c>
      <c r="T372" s="1">
        <f t="shared" si="120"/>
        <v>0</v>
      </c>
      <c r="U372" s="1">
        <f t="shared" si="121"/>
        <v>0</v>
      </c>
      <c r="V372" s="1">
        <f t="shared" si="122"/>
        <v>0</v>
      </c>
      <c r="W372" s="1">
        <f t="shared" si="123"/>
        <v>0</v>
      </c>
      <c r="X372" s="1">
        <f t="shared" si="124"/>
        <v>0</v>
      </c>
      <c r="Y372" s="1">
        <f t="shared" si="125"/>
        <v>0</v>
      </c>
      <c r="Z372" s="1">
        <f t="shared" si="126"/>
        <v>1</v>
      </c>
      <c r="AA372" s="1">
        <f t="shared" si="127"/>
        <v>0</v>
      </c>
      <c r="AB372" s="1">
        <f t="shared" si="128"/>
        <v>0</v>
      </c>
      <c r="AD372" s="1">
        <f t="shared" si="129"/>
        <v>0</v>
      </c>
      <c r="AE372" s="1">
        <f t="shared" si="130"/>
        <v>1</v>
      </c>
      <c r="AF372" s="1">
        <f t="shared" si="115"/>
        <v>0</v>
      </c>
      <c r="AG372" s="1">
        <f t="shared" si="116"/>
        <v>1</v>
      </c>
      <c r="AH372" s="1">
        <f t="shared" si="117"/>
        <v>0</v>
      </c>
      <c r="AI372" s="1">
        <f t="shared" si="118"/>
        <v>1</v>
      </c>
    </row>
    <row r="373" spans="1:4094 4097:8191 8194:12288 12291:16384" s="1" customFormat="1" ht="14.25" customHeight="1" x14ac:dyDescent="0.25">
      <c r="A373" s="44">
        <v>0</v>
      </c>
      <c r="B373" s="44">
        <v>2</v>
      </c>
      <c r="C373" s="44">
        <v>5</v>
      </c>
      <c r="D373" s="45" t="s">
        <v>823</v>
      </c>
      <c r="E373" s="45" t="s">
        <v>822</v>
      </c>
      <c r="F373" s="45" t="s">
        <v>913</v>
      </c>
      <c r="G373" s="45" t="s">
        <v>212</v>
      </c>
      <c r="H373" s="45" t="s">
        <v>352</v>
      </c>
      <c r="I373" s="44" t="s">
        <v>824</v>
      </c>
      <c r="J373" s="44">
        <v>1</v>
      </c>
      <c r="K373" s="46" t="s">
        <v>708</v>
      </c>
      <c r="L373" s="46" t="s">
        <v>689</v>
      </c>
      <c r="M373" s="47" t="s">
        <v>1408</v>
      </c>
      <c r="N373" s="47" t="s">
        <v>1719</v>
      </c>
      <c r="O373" s="48"/>
      <c r="P373" s="48"/>
      <c r="Q373" s="45"/>
      <c r="S373" s="1">
        <f t="shared" si="119"/>
        <v>1</v>
      </c>
      <c r="T373" s="1">
        <f t="shared" si="120"/>
        <v>0</v>
      </c>
      <c r="U373" s="1">
        <f t="shared" si="121"/>
        <v>0</v>
      </c>
      <c r="V373" s="1">
        <f t="shared" si="122"/>
        <v>0</v>
      </c>
      <c r="W373" s="1">
        <f t="shared" si="123"/>
        <v>0</v>
      </c>
      <c r="X373" s="1">
        <f t="shared" si="124"/>
        <v>0</v>
      </c>
      <c r="Y373" s="1">
        <f t="shared" si="125"/>
        <v>0</v>
      </c>
      <c r="Z373" s="1">
        <f t="shared" si="126"/>
        <v>0</v>
      </c>
      <c r="AA373" s="1">
        <f t="shared" si="127"/>
        <v>0</v>
      </c>
      <c r="AB373" s="1">
        <f t="shared" si="128"/>
        <v>0</v>
      </c>
      <c r="AD373" s="1">
        <f t="shared" si="129"/>
        <v>0</v>
      </c>
      <c r="AE373" s="1">
        <f t="shared" si="130"/>
        <v>0</v>
      </c>
      <c r="AF373" s="1">
        <f t="shared" si="115"/>
        <v>0</v>
      </c>
      <c r="AG373" s="1">
        <f t="shared" si="116"/>
        <v>0</v>
      </c>
      <c r="AH373" s="1">
        <f t="shared" si="117"/>
        <v>0</v>
      </c>
      <c r="AI373" s="1">
        <f t="shared" si="118"/>
        <v>1</v>
      </c>
    </row>
    <row r="374" spans="1:4094 4097:8191 8194:12288 12291:16384" s="1" customFormat="1" ht="14.25" customHeight="1" x14ac:dyDescent="0.25">
      <c r="A374" s="31">
        <v>0</v>
      </c>
      <c r="B374" s="31">
        <v>2</v>
      </c>
      <c r="C374" s="31">
        <v>5</v>
      </c>
      <c r="D374" s="36" t="s">
        <v>2041</v>
      </c>
      <c r="E374" s="36" t="s">
        <v>169</v>
      </c>
      <c r="F374" s="36" t="s">
        <v>2042</v>
      </c>
      <c r="G374" s="36" t="s">
        <v>1518</v>
      </c>
      <c r="H374" s="36" t="s">
        <v>352</v>
      </c>
      <c r="I374" s="37" t="s">
        <v>2043</v>
      </c>
      <c r="J374" s="31">
        <v>5</v>
      </c>
      <c r="K374" s="33" t="s">
        <v>699</v>
      </c>
      <c r="L374" s="33"/>
      <c r="M374" s="34"/>
      <c r="N374" s="34" t="s">
        <v>1711</v>
      </c>
      <c r="O374" s="35">
        <v>1</v>
      </c>
      <c r="P374" s="35">
        <v>1</v>
      </c>
      <c r="Q374" s="36" t="s">
        <v>2044</v>
      </c>
      <c r="S374" s="1">
        <f t="shared" si="119"/>
        <v>0</v>
      </c>
      <c r="T374" s="1">
        <f t="shared" si="120"/>
        <v>0</v>
      </c>
      <c r="U374" s="1">
        <f t="shared" si="121"/>
        <v>0</v>
      </c>
      <c r="V374" s="1">
        <f t="shared" si="122"/>
        <v>0</v>
      </c>
      <c r="W374" s="1">
        <f t="shared" si="123"/>
        <v>1</v>
      </c>
      <c r="X374" s="1">
        <f t="shared" si="124"/>
        <v>0</v>
      </c>
      <c r="Y374" s="1">
        <f t="shared" si="125"/>
        <v>0</v>
      </c>
      <c r="Z374" s="1">
        <f t="shared" si="126"/>
        <v>0</v>
      </c>
      <c r="AA374" s="1">
        <f t="shared" si="127"/>
        <v>0</v>
      </c>
      <c r="AB374" s="1">
        <f t="shared" si="128"/>
        <v>0</v>
      </c>
      <c r="AD374" s="1">
        <f t="shared" si="129"/>
        <v>1</v>
      </c>
      <c r="AE374" s="1">
        <f t="shared" si="130"/>
        <v>0</v>
      </c>
      <c r="AF374" s="1">
        <f t="shared" si="115"/>
        <v>1</v>
      </c>
      <c r="AG374" s="1">
        <f t="shared" si="116"/>
        <v>0</v>
      </c>
      <c r="AH374" s="1">
        <f t="shared" si="117"/>
        <v>1</v>
      </c>
      <c r="AI374" s="1">
        <f t="shared" si="118"/>
        <v>0</v>
      </c>
    </row>
    <row r="375" spans="1:4094 4097:8191 8194:12288 12291:16384" s="1" customFormat="1" ht="14.25" customHeight="1" x14ac:dyDescent="0.25">
      <c r="A375" s="31">
        <v>0</v>
      </c>
      <c r="B375" s="31">
        <v>2</v>
      </c>
      <c r="C375" s="31">
        <v>5</v>
      </c>
      <c r="D375" s="32" t="s">
        <v>65</v>
      </c>
      <c r="E375" s="32" t="s">
        <v>163</v>
      </c>
      <c r="F375" s="32" t="s">
        <v>543</v>
      </c>
      <c r="G375" s="32" t="s">
        <v>193</v>
      </c>
      <c r="H375" s="32" t="s">
        <v>352</v>
      </c>
      <c r="I375" s="31" t="s">
        <v>548</v>
      </c>
      <c r="J375" s="31">
        <v>9</v>
      </c>
      <c r="K375" s="33" t="s">
        <v>709</v>
      </c>
      <c r="L375" s="33" t="s">
        <v>683</v>
      </c>
      <c r="M375" s="34" t="s">
        <v>1427</v>
      </c>
      <c r="N375" s="34" t="s">
        <v>1745</v>
      </c>
      <c r="O375" s="35">
        <v>1</v>
      </c>
      <c r="P375" s="35"/>
      <c r="Q375" s="32"/>
      <c r="S375" s="1">
        <f t="shared" si="119"/>
        <v>0</v>
      </c>
      <c r="T375" s="1">
        <f t="shared" si="120"/>
        <v>0</v>
      </c>
      <c r="U375" s="1">
        <f t="shared" si="121"/>
        <v>0</v>
      </c>
      <c r="V375" s="1">
        <f t="shared" si="122"/>
        <v>0</v>
      </c>
      <c r="W375" s="1">
        <f t="shared" si="123"/>
        <v>0</v>
      </c>
      <c r="X375" s="1">
        <f t="shared" si="124"/>
        <v>0</v>
      </c>
      <c r="Y375" s="1">
        <f t="shared" si="125"/>
        <v>0</v>
      </c>
      <c r="Z375" s="1">
        <f t="shared" si="126"/>
        <v>0</v>
      </c>
      <c r="AA375" s="1">
        <f t="shared" si="127"/>
        <v>1</v>
      </c>
      <c r="AB375" s="1">
        <f t="shared" si="128"/>
        <v>0</v>
      </c>
      <c r="AD375" s="1">
        <f t="shared" si="129"/>
        <v>0</v>
      </c>
      <c r="AE375" s="1">
        <f t="shared" si="130"/>
        <v>1</v>
      </c>
      <c r="AF375" s="1">
        <f t="shared" si="115"/>
        <v>0</v>
      </c>
      <c r="AG375" s="1">
        <f t="shared" si="116"/>
        <v>1</v>
      </c>
      <c r="AH375" s="1">
        <f t="shared" si="117"/>
        <v>0</v>
      </c>
      <c r="AI375" s="1">
        <f t="shared" si="118"/>
        <v>1</v>
      </c>
    </row>
    <row r="376" spans="1:4094 4097:8191 8194:12288 12291:16384" s="1" customFormat="1" ht="14.25" customHeight="1" x14ac:dyDescent="0.25">
      <c r="A376" s="44">
        <v>0</v>
      </c>
      <c r="B376" s="44">
        <v>2</v>
      </c>
      <c r="C376" s="44">
        <v>5</v>
      </c>
      <c r="D376" s="45" t="s">
        <v>1470</v>
      </c>
      <c r="E376" s="45" t="s">
        <v>35</v>
      </c>
      <c r="F376" s="65" t="s">
        <v>1857</v>
      </c>
      <c r="G376" s="45" t="s">
        <v>221</v>
      </c>
      <c r="H376" s="45" t="s">
        <v>352</v>
      </c>
      <c r="I376" s="44" t="s">
        <v>1670</v>
      </c>
      <c r="J376" s="44">
        <v>99</v>
      </c>
      <c r="K376" s="46" t="s">
        <v>709</v>
      </c>
      <c r="L376" s="46">
        <v>25</v>
      </c>
      <c r="M376" s="47" t="s">
        <v>39</v>
      </c>
      <c r="N376" s="47" t="s">
        <v>1721</v>
      </c>
      <c r="O376" s="48"/>
      <c r="P376" s="48"/>
      <c r="Q376" s="45"/>
      <c r="S376" s="1">
        <f t="shared" si="119"/>
        <v>0</v>
      </c>
      <c r="T376" s="1">
        <f t="shared" si="120"/>
        <v>0</v>
      </c>
      <c r="U376" s="1">
        <f t="shared" si="121"/>
        <v>0</v>
      </c>
      <c r="V376" s="1">
        <f t="shared" si="122"/>
        <v>0</v>
      </c>
      <c r="W376" s="1">
        <f t="shared" si="123"/>
        <v>0</v>
      </c>
      <c r="X376" s="1">
        <f t="shared" si="124"/>
        <v>0</v>
      </c>
      <c r="Y376" s="1">
        <f t="shared" si="125"/>
        <v>0</v>
      </c>
      <c r="Z376" s="1">
        <f t="shared" si="126"/>
        <v>0</v>
      </c>
      <c r="AA376" s="1">
        <f t="shared" si="127"/>
        <v>0</v>
      </c>
      <c r="AB376" s="1">
        <f t="shared" si="128"/>
        <v>0</v>
      </c>
      <c r="AD376" s="1">
        <f t="shared" si="129"/>
        <v>0</v>
      </c>
      <c r="AE376" s="1">
        <f t="shared" si="130"/>
        <v>0</v>
      </c>
      <c r="AF376" s="1">
        <f t="shared" si="115"/>
        <v>0</v>
      </c>
      <c r="AG376" s="1">
        <f t="shared" si="116"/>
        <v>0</v>
      </c>
      <c r="AH376" s="1">
        <f t="shared" si="117"/>
        <v>0</v>
      </c>
      <c r="AI376" s="1">
        <f t="shared" si="118"/>
        <v>1</v>
      </c>
    </row>
    <row r="377" spans="1:4094 4097:8191 8194:12288 12291:16384" s="1" customFormat="1" ht="14.25" customHeight="1" x14ac:dyDescent="0.25">
      <c r="A377" s="31">
        <v>0</v>
      </c>
      <c r="B377" s="31">
        <v>2</v>
      </c>
      <c r="C377" s="31">
        <v>5</v>
      </c>
      <c r="D377" s="32" t="s">
        <v>1803</v>
      </c>
      <c r="E377" s="32" t="s">
        <v>763</v>
      </c>
      <c r="F377" s="32" t="s">
        <v>1804</v>
      </c>
      <c r="G377" s="32" t="s">
        <v>223</v>
      </c>
      <c r="H377" s="32" t="s">
        <v>352</v>
      </c>
      <c r="I377" s="31" t="s">
        <v>1805</v>
      </c>
      <c r="J377" s="31">
        <v>99</v>
      </c>
      <c r="K377" s="33" t="s">
        <v>1806</v>
      </c>
      <c r="L377" s="33">
        <v>40</v>
      </c>
      <c r="M377" s="34" t="s">
        <v>1807</v>
      </c>
      <c r="N377" s="34" t="s">
        <v>1833</v>
      </c>
      <c r="O377" s="35">
        <v>1</v>
      </c>
      <c r="P377" s="35"/>
      <c r="Q377" s="32"/>
      <c r="S377" s="1">
        <f t="shared" si="119"/>
        <v>0</v>
      </c>
      <c r="T377" s="1">
        <f t="shared" si="120"/>
        <v>0</v>
      </c>
      <c r="U377" s="1">
        <f t="shared" si="121"/>
        <v>0</v>
      </c>
      <c r="V377" s="1">
        <f t="shared" si="122"/>
        <v>0</v>
      </c>
      <c r="W377" s="1">
        <f t="shared" si="123"/>
        <v>0</v>
      </c>
      <c r="X377" s="1">
        <f t="shared" si="124"/>
        <v>0</v>
      </c>
      <c r="Y377" s="1">
        <f t="shared" si="125"/>
        <v>0</v>
      </c>
      <c r="Z377" s="1">
        <f t="shared" si="126"/>
        <v>0</v>
      </c>
      <c r="AA377" s="1">
        <f t="shared" si="127"/>
        <v>0</v>
      </c>
      <c r="AB377" s="1">
        <f t="shared" si="128"/>
        <v>0</v>
      </c>
      <c r="AD377" s="1">
        <f t="shared" si="129"/>
        <v>0</v>
      </c>
      <c r="AE377" s="1">
        <f t="shared" si="130"/>
        <v>1</v>
      </c>
      <c r="AF377" s="1">
        <f t="shared" si="115"/>
        <v>0</v>
      </c>
      <c r="AG377" s="1">
        <f t="shared" si="116"/>
        <v>1</v>
      </c>
      <c r="AH377" s="1">
        <f t="shared" si="117"/>
        <v>0</v>
      </c>
      <c r="AI377" s="1">
        <f t="shared" si="118"/>
        <v>1</v>
      </c>
    </row>
    <row r="378" spans="1:4094 4097:8191 8194:12288 12291:16384" s="1" customFormat="1" ht="14.25" customHeight="1" x14ac:dyDescent="0.25">
      <c r="A378" s="31">
        <v>0</v>
      </c>
      <c r="B378" s="31">
        <v>2</v>
      </c>
      <c r="C378" s="31">
        <v>5</v>
      </c>
      <c r="D378" s="32" t="s">
        <v>612</v>
      </c>
      <c r="E378" s="32" t="s">
        <v>682</v>
      </c>
      <c r="F378" s="32" t="s">
        <v>613</v>
      </c>
      <c r="G378" s="32" t="s">
        <v>285</v>
      </c>
      <c r="H378" s="32" t="s">
        <v>352</v>
      </c>
      <c r="I378" s="31" t="s">
        <v>614</v>
      </c>
      <c r="J378" s="31">
        <v>99</v>
      </c>
      <c r="K378" s="33" t="s">
        <v>708</v>
      </c>
      <c r="L378" s="33" t="s">
        <v>700</v>
      </c>
      <c r="M378" s="34" t="s">
        <v>1409</v>
      </c>
      <c r="N378" s="34" t="s">
        <v>1727</v>
      </c>
      <c r="O378" s="35">
        <v>1</v>
      </c>
      <c r="P378" s="35"/>
      <c r="Q378" s="32"/>
      <c r="S378" s="1">
        <f t="shared" si="119"/>
        <v>0</v>
      </c>
      <c r="T378" s="1">
        <f t="shared" si="120"/>
        <v>0</v>
      </c>
      <c r="U378" s="1">
        <f t="shared" si="121"/>
        <v>0</v>
      </c>
      <c r="V378" s="1">
        <f t="shared" si="122"/>
        <v>0</v>
      </c>
      <c r="W378" s="1">
        <f t="shared" si="123"/>
        <v>0</v>
      </c>
      <c r="X378" s="1">
        <f t="shared" si="124"/>
        <v>0</v>
      </c>
      <c r="Y378" s="1">
        <f t="shared" si="125"/>
        <v>0</v>
      </c>
      <c r="Z378" s="1">
        <f t="shared" si="126"/>
        <v>0</v>
      </c>
      <c r="AA378" s="1">
        <f t="shared" si="127"/>
        <v>0</v>
      </c>
      <c r="AB378" s="1">
        <f t="shared" si="128"/>
        <v>0</v>
      </c>
      <c r="AD378" s="1">
        <f t="shared" si="129"/>
        <v>0</v>
      </c>
      <c r="AE378" s="1">
        <f t="shared" si="130"/>
        <v>1</v>
      </c>
      <c r="AF378" s="1">
        <f t="shared" si="115"/>
        <v>0</v>
      </c>
      <c r="AG378" s="1">
        <f t="shared" si="116"/>
        <v>1</v>
      </c>
      <c r="AH378" s="1">
        <f t="shared" si="117"/>
        <v>0</v>
      </c>
      <c r="AI378" s="1">
        <f t="shared" si="118"/>
        <v>1</v>
      </c>
    </row>
    <row r="379" spans="1:4094 4097:8191 8194:12288 12291:16384" s="1" customFormat="1" ht="14.25" customHeight="1" x14ac:dyDescent="0.25">
      <c r="A379" s="44">
        <v>0</v>
      </c>
      <c r="B379" s="44">
        <v>2</v>
      </c>
      <c r="C379" s="44">
        <v>5</v>
      </c>
      <c r="D379" s="45" t="s">
        <v>1472</v>
      </c>
      <c r="E379" s="45" t="s">
        <v>763</v>
      </c>
      <c r="F379" s="45" t="s">
        <v>1473</v>
      </c>
      <c r="G379" s="45" t="s">
        <v>195</v>
      </c>
      <c r="H379" s="45" t="s">
        <v>352</v>
      </c>
      <c r="I379" s="44" t="s">
        <v>1474</v>
      </c>
      <c r="J379" s="44">
        <v>99</v>
      </c>
      <c r="K379" s="46" t="s">
        <v>941</v>
      </c>
      <c r="L379" s="46" t="s">
        <v>689</v>
      </c>
      <c r="M379" s="47" t="s">
        <v>1400</v>
      </c>
      <c r="N379" s="47" t="s">
        <v>1719</v>
      </c>
      <c r="O379" s="48"/>
      <c r="P379" s="48"/>
      <c r="Q379" s="45"/>
      <c r="R379" s="15"/>
      <c r="S379" s="1">
        <f t="shared" si="119"/>
        <v>0</v>
      </c>
      <c r="T379" s="1">
        <f t="shared" si="120"/>
        <v>0</v>
      </c>
      <c r="U379" s="1">
        <f t="shared" si="121"/>
        <v>0</v>
      </c>
      <c r="V379" s="1">
        <f t="shared" si="122"/>
        <v>0</v>
      </c>
      <c r="W379" s="1">
        <f t="shared" si="123"/>
        <v>0</v>
      </c>
      <c r="X379" s="1">
        <f t="shared" si="124"/>
        <v>0</v>
      </c>
      <c r="Y379" s="1">
        <f t="shared" si="125"/>
        <v>0</v>
      </c>
      <c r="Z379" s="1">
        <f t="shared" si="126"/>
        <v>0</v>
      </c>
      <c r="AA379" s="1">
        <f t="shared" si="127"/>
        <v>0</v>
      </c>
      <c r="AB379" s="1">
        <f t="shared" si="128"/>
        <v>0</v>
      </c>
      <c r="AD379" s="1">
        <f t="shared" si="129"/>
        <v>0</v>
      </c>
      <c r="AE379" s="1">
        <f t="shared" si="130"/>
        <v>0</v>
      </c>
      <c r="AF379" s="1">
        <f t="shared" si="115"/>
        <v>0</v>
      </c>
      <c r="AG379" s="1">
        <f t="shared" si="116"/>
        <v>0</v>
      </c>
      <c r="AH379" s="1">
        <f t="shared" si="117"/>
        <v>0</v>
      </c>
      <c r="AI379" s="1">
        <f t="shared" si="118"/>
        <v>1</v>
      </c>
      <c r="AJ379" s="15"/>
      <c r="AK379" s="15"/>
      <c r="AL379" s="15"/>
      <c r="AM379" s="15"/>
      <c r="AN379" s="15"/>
      <c r="AO379" s="15"/>
      <c r="AP379" s="15"/>
      <c r="AQ379" s="15"/>
      <c r="AR379" s="15"/>
      <c r="AS379" s="10"/>
      <c r="AT379" s="10"/>
      <c r="AU379" s="21"/>
      <c r="AV379" s="21"/>
      <c r="AY379" s="21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0"/>
      <c r="BK379" s="10"/>
      <c r="BL379" s="21"/>
      <c r="BM379" s="21"/>
      <c r="BP379" s="21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0"/>
      <c r="CB379" s="10"/>
      <c r="CC379" s="21"/>
      <c r="CD379" s="21"/>
      <c r="CG379" s="21"/>
      <c r="CH379" s="15"/>
      <c r="CI379" s="15"/>
      <c r="CJ379" s="15"/>
      <c r="CK379" s="15"/>
      <c r="CL379" s="15"/>
      <c r="CM379" s="15"/>
      <c r="CN379" s="15"/>
      <c r="CO379" s="15"/>
      <c r="CP379" s="15"/>
      <c r="CQ379" s="15"/>
      <c r="CR379" s="10"/>
      <c r="CS379" s="10"/>
      <c r="CT379" s="21"/>
      <c r="CU379" s="21"/>
      <c r="CX379" s="21"/>
      <c r="CY379" s="15"/>
      <c r="CZ379" s="15"/>
      <c r="DA379" s="15"/>
      <c r="DB379" s="15"/>
      <c r="DC379" s="15"/>
      <c r="DD379" s="15"/>
      <c r="DE379" s="15"/>
      <c r="DF379" s="15"/>
      <c r="DG379" s="15"/>
      <c r="DH379" s="15"/>
      <c r="DI379" s="10"/>
      <c r="DJ379" s="10"/>
      <c r="DK379" s="21"/>
      <c r="DL379" s="21"/>
      <c r="DO379" s="21"/>
      <c r="DP379" s="15"/>
      <c r="DQ379" s="15"/>
      <c r="DR379" s="15"/>
      <c r="DS379" s="15"/>
      <c r="DT379" s="15"/>
      <c r="DU379" s="15"/>
      <c r="DV379" s="15"/>
      <c r="DW379" s="15"/>
      <c r="DX379" s="15"/>
      <c r="DY379" s="15"/>
      <c r="DZ379" s="10"/>
      <c r="EA379" s="10"/>
      <c r="EB379" s="21"/>
      <c r="EC379" s="21"/>
      <c r="EF379" s="21"/>
      <c r="EG379" s="15"/>
      <c r="EH379" s="15"/>
      <c r="EI379" s="15"/>
      <c r="EJ379" s="15"/>
      <c r="EK379" s="15"/>
      <c r="EL379" s="15"/>
      <c r="EM379" s="15"/>
      <c r="EN379" s="15"/>
      <c r="EO379" s="15"/>
      <c r="EP379" s="15"/>
      <c r="EQ379" s="10"/>
      <c r="ER379" s="10"/>
      <c r="ES379" s="21"/>
      <c r="ET379" s="21"/>
      <c r="EW379" s="21"/>
      <c r="EX379" s="15"/>
      <c r="EY379" s="15"/>
      <c r="EZ379" s="15"/>
      <c r="FA379" s="15"/>
      <c r="FB379" s="15"/>
      <c r="FC379" s="15"/>
      <c r="FD379" s="15"/>
      <c r="FE379" s="15"/>
      <c r="FF379" s="15"/>
      <c r="FG379" s="15"/>
      <c r="FH379" s="10"/>
      <c r="FI379" s="10"/>
      <c r="FJ379" s="21"/>
      <c r="FK379" s="21"/>
      <c r="FN379" s="21"/>
      <c r="FO379" s="15"/>
      <c r="FP379" s="15"/>
      <c r="FQ379" s="15"/>
      <c r="FR379" s="15"/>
      <c r="FS379" s="15"/>
      <c r="FT379" s="15"/>
      <c r="FU379" s="15"/>
      <c r="FV379" s="15"/>
      <c r="FW379" s="15"/>
      <c r="FX379" s="15"/>
      <c r="FY379" s="10"/>
      <c r="FZ379" s="10"/>
      <c r="GA379" s="21"/>
      <c r="GB379" s="21"/>
      <c r="GE379" s="21"/>
      <c r="GF379" s="15"/>
      <c r="GG379" s="15"/>
      <c r="GH379" s="15"/>
      <c r="GI379" s="15"/>
      <c r="GJ379" s="15"/>
      <c r="GK379" s="15"/>
      <c r="GL379" s="15"/>
      <c r="GM379" s="15"/>
      <c r="GN379" s="15"/>
      <c r="GO379" s="15"/>
      <c r="GP379" s="10"/>
      <c r="GQ379" s="10"/>
      <c r="GR379" s="21"/>
      <c r="GS379" s="21"/>
      <c r="GV379" s="21"/>
      <c r="GW379" s="15"/>
      <c r="GX379" s="15"/>
      <c r="GY379" s="15"/>
      <c r="GZ379" s="15"/>
      <c r="HA379" s="15"/>
      <c r="HB379" s="15"/>
      <c r="HC379" s="15"/>
      <c r="HD379" s="15"/>
      <c r="HE379" s="15"/>
      <c r="HF379" s="15"/>
      <c r="HG379" s="10"/>
      <c r="HH379" s="10"/>
      <c r="HI379" s="21"/>
      <c r="HJ379" s="21"/>
      <c r="HM379" s="21"/>
      <c r="HN379" s="15"/>
      <c r="HO379" s="15"/>
      <c r="HP379" s="15"/>
      <c r="HQ379" s="15"/>
      <c r="HR379" s="15"/>
      <c r="HS379" s="15"/>
      <c r="HT379" s="15"/>
      <c r="HU379" s="15"/>
      <c r="HV379" s="15"/>
      <c r="HW379" s="15"/>
      <c r="HX379" s="10"/>
      <c r="HY379" s="10"/>
      <c r="HZ379" s="21"/>
      <c r="IA379" s="21"/>
      <c r="ID379" s="21"/>
      <c r="IE379" s="15"/>
      <c r="IF379" s="15"/>
      <c r="IG379" s="15"/>
      <c r="IH379" s="15"/>
      <c r="II379" s="15"/>
      <c r="IJ379" s="15"/>
      <c r="IK379" s="15"/>
      <c r="IL379" s="15"/>
      <c r="IM379" s="15"/>
      <c r="IN379" s="15"/>
      <c r="IO379" s="10"/>
      <c r="IP379" s="10"/>
      <c r="IQ379" s="21"/>
      <c r="IR379" s="21"/>
      <c r="IU379" s="21"/>
      <c r="IV379" s="15"/>
      <c r="IW379" s="15"/>
      <c r="IX379" s="15"/>
      <c r="IY379" s="15"/>
      <c r="IZ379" s="15"/>
      <c r="JA379" s="15"/>
      <c r="JB379" s="15"/>
      <c r="JC379" s="15"/>
      <c r="JD379" s="15"/>
      <c r="JE379" s="15"/>
      <c r="JF379" s="10"/>
      <c r="JG379" s="10"/>
      <c r="JH379" s="21"/>
      <c r="JI379" s="21"/>
      <c r="JL379" s="21"/>
      <c r="JM379" s="15"/>
      <c r="JN379" s="15"/>
      <c r="JO379" s="15"/>
      <c r="JP379" s="15"/>
      <c r="JQ379" s="15"/>
      <c r="JR379" s="15"/>
      <c r="JS379" s="15"/>
      <c r="JT379" s="15"/>
      <c r="JU379" s="15"/>
      <c r="JV379" s="15"/>
      <c r="JW379" s="10"/>
      <c r="JX379" s="10"/>
      <c r="JY379" s="21"/>
      <c r="JZ379" s="21"/>
      <c r="KC379" s="21"/>
      <c r="KD379" s="15"/>
      <c r="KE379" s="15"/>
      <c r="KF379" s="15"/>
      <c r="KG379" s="15"/>
      <c r="KH379" s="15"/>
      <c r="KI379" s="15"/>
      <c r="KJ379" s="15"/>
      <c r="KK379" s="15"/>
      <c r="KL379" s="15"/>
      <c r="KM379" s="15"/>
      <c r="KN379" s="10"/>
      <c r="KO379" s="10"/>
      <c r="KP379" s="21"/>
      <c r="KQ379" s="21"/>
      <c r="KT379" s="21"/>
      <c r="KU379" s="15"/>
      <c r="KV379" s="15"/>
      <c r="KW379" s="15"/>
      <c r="KX379" s="15"/>
      <c r="KY379" s="15"/>
      <c r="KZ379" s="15"/>
      <c r="LA379" s="15"/>
      <c r="LB379" s="15"/>
      <c r="LC379" s="15"/>
      <c r="LD379" s="15"/>
      <c r="LE379" s="10"/>
      <c r="LF379" s="10"/>
      <c r="LG379" s="21"/>
      <c r="LH379" s="21"/>
      <c r="LK379" s="21"/>
      <c r="LL379" s="15"/>
      <c r="LM379" s="15"/>
      <c r="LN379" s="15"/>
      <c r="LO379" s="15"/>
      <c r="LP379" s="15"/>
      <c r="LQ379" s="15"/>
      <c r="LR379" s="15"/>
      <c r="LS379" s="15"/>
      <c r="LT379" s="15"/>
      <c r="LU379" s="15"/>
      <c r="LV379" s="10"/>
      <c r="LW379" s="10"/>
      <c r="LX379" s="21"/>
      <c r="LY379" s="21"/>
      <c r="MB379" s="21"/>
      <c r="MC379" s="15"/>
      <c r="MD379" s="15"/>
      <c r="ME379" s="15"/>
      <c r="MF379" s="15"/>
      <c r="MG379" s="15"/>
      <c r="MH379" s="15"/>
      <c r="MI379" s="15"/>
      <c r="MJ379" s="15"/>
      <c r="MK379" s="15"/>
      <c r="ML379" s="15"/>
      <c r="MM379" s="10"/>
      <c r="MN379" s="10"/>
      <c r="MO379" s="21"/>
      <c r="MP379" s="21"/>
      <c r="MS379" s="21"/>
      <c r="MT379" s="15"/>
      <c r="MU379" s="15"/>
      <c r="MV379" s="15"/>
      <c r="MW379" s="15"/>
      <c r="MX379" s="15"/>
      <c r="MY379" s="15"/>
      <c r="MZ379" s="15"/>
      <c r="NA379" s="15"/>
      <c r="NB379" s="15"/>
      <c r="NC379" s="15"/>
      <c r="ND379" s="10"/>
      <c r="NE379" s="10"/>
      <c r="NF379" s="21"/>
      <c r="NG379" s="21"/>
      <c r="NJ379" s="21"/>
      <c r="NK379" s="15"/>
      <c r="NL379" s="15"/>
      <c r="NM379" s="15"/>
      <c r="NN379" s="15"/>
      <c r="NO379" s="15"/>
      <c r="NP379" s="15"/>
      <c r="NQ379" s="15"/>
      <c r="NR379" s="15"/>
      <c r="NS379" s="15"/>
      <c r="NT379" s="15"/>
      <c r="NU379" s="10"/>
      <c r="NV379" s="10"/>
      <c r="NW379" s="21"/>
      <c r="NX379" s="21"/>
      <c r="OA379" s="21"/>
      <c r="OB379" s="15"/>
      <c r="OC379" s="15"/>
      <c r="OD379" s="15"/>
      <c r="OE379" s="15"/>
      <c r="OF379" s="15"/>
      <c r="OG379" s="15"/>
      <c r="OH379" s="15"/>
      <c r="OI379" s="15"/>
      <c r="OJ379" s="15"/>
      <c r="OK379" s="15"/>
      <c r="OL379" s="10"/>
      <c r="OM379" s="10"/>
      <c r="ON379" s="21"/>
      <c r="OO379" s="21"/>
      <c r="OR379" s="21"/>
      <c r="OS379" s="15"/>
      <c r="OT379" s="15"/>
      <c r="OU379" s="15"/>
      <c r="OV379" s="15"/>
      <c r="OW379" s="15"/>
      <c r="OX379" s="15"/>
      <c r="OY379" s="15"/>
      <c r="OZ379" s="15"/>
      <c r="PA379" s="15"/>
      <c r="PB379" s="15"/>
      <c r="PC379" s="10"/>
      <c r="PD379" s="10"/>
      <c r="PE379" s="21"/>
      <c r="PF379" s="21"/>
      <c r="PI379" s="21"/>
      <c r="PJ379" s="15"/>
      <c r="PK379" s="15"/>
      <c r="PL379" s="15"/>
      <c r="PM379" s="15"/>
      <c r="PN379" s="15"/>
      <c r="PO379" s="15"/>
      <c r="PP379" s="15"/>
      <c r="PQ379" s="15"/>
      <c r="PR379" s="15"/>
      <c r="PS379" s="15"/>
      <c r="PT379" s="10"/>
      <c r="PU379" s="10"/>
      <c r="PV379" s="21"/>
      <c r="PW379" s="21"/>
      <c r="PZ379" s="21"/>
      <c r="QA379" s="15"/>
      <c r="QB379" s="15"/>
      <c r="QC379" s="15"/>
      <c r="QD379" s="15"/>
      <c r="QE379" s="15"/>
      <c r="QF379" s="15"/>
      <c r="QG379" s="15"/>
      <c r="QH379" s="15"/>
      <c r="QI379" s="15"/>
      <c r="QJ379" s="15"/>
      <c r="QK379" s="10"/>
      <c r="QL379" s="10"/>
      <c r="QM379" s="21"/>
      <c r="QN379" s="21"/>
      <c r="QQ379" s="21"/>
      <c r="QR379" s="15"/>
      <c r="QS379" s="15"/>
      <c r="QT379" s="15"/>
      <c r="QU379" s="15"/>
      <c r="QV379" s="15"/>
      <c r="QW379" s="15"/>
      <c r="QX379" s="15"/>
      <c r="QY379" s="15"/>
      <c r="QZ379" s="15"/>
      <c r="RA379" s="15"/>
      <c r="RB379" s="10"/>
      <c r="RC379" s="10"/>
      <c r="RD379" s="21"/>
      <c r="RE379" s="21"/>
      <c r="RH379" s="21"/>
      <c r="RI379" s="15"/>
      <c r="RJ379" s="15"/>
      <c r="RK379" s="15"/>
      <c r="RL379" s="15"/>
      <c r="RM379" s="15"/>
      <c r="RN379" s="15"/>
      <c r="RO379" s="15"/>
      <c r="RP379" s="15"/>
      <c r="RQ379" s="15"/>
      <c r="RR379" s="15"/>
      <c r="RS379" s="10"/>
      <c r="RT379" s="10"/>
      <c r="RU379" s="21"/>
      <c r="RV379" s="21"/>
      <c r="RY379" s="21"/>
      <c r="RZ379" s="15"/>
      <c r="SA379" s="15"/>
      <c r="SB379" s="15"/>
      <c r="SC379" s="15"/>
      <c r="SD379" s="15"/>
      <c r="SE379" s="15"/>
      <c r="SF379" s="15"/>
      <c r="SG379" s="15"/>
      <c r="SH379" s="15"/>
      <c r="SI379" s="15"/>
      <c r="SJ379" s="10"/>
      <c r="SK379" s="10"/>
      <c r="SL379" s="21"/>
      <c r="SM379" s="21"/>
      <c r="SP379" s="21"/>
      <c r="SQ379" s="15"/>
      <c r="SR379" s="15"/>
      <c r="SS379" s="15"/>
      <c r="ST379" s="15"/>
      <c r="SU379" s="15"/>
      <c r="SV379" s="15"/>
      <c r="SW379" s="15"/>
      <c r="SX379" s="15"/>
      <c r="SY379" s="15"/>
      <c r="SZ379" s="15"/>
      <c r="TA379" s="10"/>
      <c r="TB379" s="10"/>
      <c r="TC379" s="21"/>
      <c r="TD379" s="21"/>
      <c r="TG379" s="21"/>
      <c r="TH379" s="15"/>
      <c r="TI379" s="15"/>
      <c r="TJ379" s="15"/>
      <c r="TK379" s="15"/>
      <c r="TL379" s="15"/>
      <c r="TM379" s="15"/>
      <c r="TN379" s="15"/>
      <c r="TO379" s="15"/>
      <c r="TP379" s="15"/>
      <c r="TQ379" s="15"/>
      <c r="TR379" s="10"/>
      <c r="TS379" s="10"/>
      <c r="TT379" s="21"/>
      <c r="TU379" s="21"/>
      <c r="TX379" s="21"/>
      <c r="TY379" s="15"/>
      <c r="TZ379" s="15"/>
      <c r="UA379" s="15"/>
      <c r="UB379" s="15"/>
      <c r="UC379" s="15"/>
      <c r="UD379" s="15"/>
      <c r="UE379" s="15"/>
      <c r="UF379" s="15"/>
      <c r="UG379" s="15"/>
      <c r="UH379" s="15"/>
      <c r="UI379" s="10"/>
      <c r="UJ379" s="10"/>
      <c r="UK379" s="21"/>
      <c r="UL379" s="21"/>
      <c r="UO379" s="21"/>
      <c r="UP379" s="15"/>
      <c r="UQ379" s="15"/>
      <c r="UR379" s="15"/>
      <c r="US379" s="15"/>
      <c r="UT379" s="15"/>
      <c r="UU379" s="15"/>
      <c r="UV379" s="15"/>
      <c r="UW379" s="15"/>
      <c r="UX379" s="15"/>
      <c r="UY379" s="15"/>
      <c r="UZ379" s="10"/>
      <c r="VA379" s="10"/>
      <c r="VB379" s="21"/>
      <c r="VC379" s="21"/>
      <c r="VF379" s="21"/>
      <c r="VG379" s="15"/>
      <c r="VH379" s="15"/>
      <c r="VI379" s="15"/>
      <c r="VJ379" s="15"/>
      <c r="VK379" s="15"/>
      <c r="VL379" s="15"/>
      <c r="VM379" s="15"/>
      <c r="VN379" s="15"/>
      <c r="VO379" s="15"/>
      <c r="VP379" s="15"/>
      <c r="VQ379" s="10"/>
      <c r="VR379" s="10"/>
      <c r="VS379" s="21"/>
      <c r="VT379" s="21"/>
      <c r="VW379" s="21"/>
      <c r="VX379" s="15"/>
      <c r="VY379" s="15"/>
      <c r="VZ379" s="15"/>
      <c r="WA379" s="15"/>
      <c r="WB379" s="15"/>
      <c r="WC379" s="15"/>
      <c r="WD379" s="15"/>
      <c r="WE379" s="15"/>
      <c r="WF379" s="15"/>
      <c r="WG379" s="15"/>
      <c r="WH379" s="10"/>
      <c r="WI379" s="10"/>
      <c r="WJ379" s="21"/>
      <c r="WK379" s="21"/>
      <c r="WN379" s="21"/>
      <c r="WO379" s="15"/>
      <c r="WP379" s="15"/>
      <c r="WQ379" s="15"/>
      <c r="WR379" s="15"/>
      <c r="WS379" s="15"/>
      <c r="WT379" s="15"/>
      <c r="WU379" s="15"/>
      <c r="WV379" s="15"/>
      <c r="WW379" s="15"/>
      <c r="WX379" s="15"/>
      <c r="WY379" s="10"/>
      <c r="WZ379" s="10"/>
      <c r="XA379" s="21"/>
      <c r="XB379" s="21"/>
      <c r="XE379" s="21"/>
      <c r="XF379" s="15"/>
      <c r="XG379" s="15"/>
      <c r="XH379" s="15"/>
      <c r="XI379" s="15"/>
      <c r="XJ379" s="15"/>
      <c r="XK379" s="15"/>
      <c r="XL379" s="15"/>
      <c r="XM379" s="15"/>
      <c r="XN379" s="15"/>
      <c r="XO379" s="15"/>
      <c r="XP379" s="10"/>
      <c r="XQ379" s="10"/>
      <c r="XR379" s="21"/>
      <c r="XS379" s="21"/>
      <c r="XV379" s="21"/>
      <c r="XW379" s="15"/>
      <c r="XX379" s="15"/>
      <c r="XY379" s="15"/>
      <c r="XZ379" s="15"/>
      <c r="YA379" s="15"/>
      <c r="YB379" s="15"/>
      <c r="YC379" s="15"/>
      <c r="YD379" s="15"/>
      <c r="YE379" s="15"/>
      <c r="YF379" s="15"/>
      <c r="YG379" s="10"/>
      <c r="YH379" s="10"/>
      <c r="YI379" s="21"/>
      <c r="YJ379" s="21"/>
      <c r="YM379" s="21"/>
      <c r="YN379" s="15"/>
      <c r="YO379" s="15"/>
      <c r="YP379" s="15"/>
      <c r="YQ379" s="15"/>
      <c r="YR379" s="15"/>
      <c r="YS379" s="15"/>
      <c r="YT379" s="15"/>
      <c r="YU379" s="15"/>
      <c r="YV379" s="15"/>
      <c r="YW379" s="15"/>
      <c r="YX379" s="10"/>
      <c r="YY379" s="10"/>
      <c r="YZ379" s="21"/>
      <c r="ZA379" s="21"/>
      <c r="ZD379" s="21"/>
      <c r="ZE379" s="15"/>
      <c r="ZF379" s="15"/>
      <c r="ZG379" s="15"/>
      <c r="ZH379" s="15"/>
      <c r="ZI379" s="15"/>
      <c r="ZJ379" s="15"/>
      <c r="ZK379" s="15"/>
      <c r="ZL379" s="15"/>
      <c r="ZM379" s="15"/>
      <c r="ZN379" s="15"/>
      <c r="ZO379" s="10"/>
      <c r="ZP379" s="10"/>
      <c r="ZQ379" s="21"/>
      <c r="ZR379" s="21"/>
      <c r="ZU379" s="21"/>
      <c r="ZV379" s="15"/>
      <c r="ZW379" s="15"/>
      <c r="ZX379" s="15"/>
      <c r="ZY379" s="15"/>
      <c r="ZZ379" s="15"/>
      <c r="AAA379" s="15"/>
      <c r="AAB379" s="15"/>
      <c r="AAC379" s="15"/>
      <c r="AAD379" s="15"/>
      <c r="AAE379" s="15"/>
      <c r="AAF379" s="10"/>
      <c r="AAG379" s="10"/>
      <c r="AAH379" s="21"/>
      <c r="AAI379" s="21"/>
      <c r="AAL379" s="21"/>
      <c r="AAM379" s="15"/>
      <c r="AAN379" s="15"/>
      <c r="AAO379" s="15"/>
      <c r="AAP379" s="15"/>
      <c r="AAQ379" s="15"/>
      <c r="AAR379" s="15"/>
      <c r="AAS379" s="15"/>
      <c r="AAT379" s="15"/>
      <c r="AAU379" s="15"/>
      <c r="AAV379" s="15"/>
      <c r="AAW379" s="10"/>
      <c r="AAX379" s="10"/>
      <c r="AAY379" s="21"/>
      <c r="AAZ379" s="21"/>
      <c r="ABC379" s="21"/>
      <c r="ABD379" s="15"/>
      <c r="ABE379" s="15"/>
      <c r="ABF379" s="15"/>
      <c r="ABG379" s="15"/>
      <c r="ABH379" s="15"/>
      <c r="ABI379" s="15"/>
      <c r="ABJ379" s="15"/>
      <c r="ABK379" s="15"/>
      <c r="ABL379" s="15"/>
      <c r="ABM379" s="15"/>
      <c r="ABN379" s="10"/>
      <c r="ABO379" s="10"/>
      <c r="ABP379" s="21"/>
      <c r="ABQ379" s="21"/>
      <c r="ABT379" s="21"/>
      <c r="ABU379" s="15"/>
      <c r="ABV379" s="15"/>
      <c r="ABW379" s="15"/>
      <c r="ABX379" s="15"/>
      <c r="ABY379" s="15"/>
      <c r="ABZ379" s="15"/>
      <c r="ACA379" s="15"/>
      <c r="ACB379" s="15"/>
      <c r="ACC379" s="15"/>
      <c r="ACD379" s="15"/>
      <c r="ACE379" s="10"/>
      <c r="ACF379" s="10"/>
      <c r="ACG379" s="21"/>
      <c r="ACH379" s="21"/>
      <c r="ACK379" s="21"/>
      <c r="ACL379" s="15"/>
      <c r="ACM379" s="15"/>
      <c r="ACN379" s="15"/>
      <c r="ACO379" s="15"/>
      <c r="ACP379" s="15"/>
      <c r="ACQ379" s="15"/>
      <c r="ACR379" s="15"/>
      <c r="ACS379" s="15"/>
      <c r="ACT379" s="15"/>
      <c r="ACU379" s="15"/>
      <c r="ACV379" s="10"/>
      <c r="ACW379" s="10"/>
      <c r="ACX379" s="21"/>
      <c r="ACY379" s="21"/>
      <c r="ADB379" s="21"/>
      <c r="ADC379" s="15"/>
      <c r="ADD379" s="15"/>
      <c r="ADE379" s="15"/>
      <c r="ADF379" s="15"/>
      <c r="ADG379" s="15"/>
      <c r="ADH379" s="15"/>
      <c r="ADI379" s="15"/>
      <c r="ADJ379" s="15"/>
      <c r="ADK379" s="15"/>
      <c r="ADL379" s="15"/>
      <c r="ADM379" s="10"/>
      <c r="ADN379" s="10"/>
      <c r="ADO379" s="21"/>
      <c r="ADP379" s="21"/>
      <c r="ADS379" s="21"/>
      <c r="ADT379" s="15"/>
      <c r="ADU379" s="15"/>
      <c r="ADV379" s="15"/>
      <c r="ADW379" s="15"/>
      <c r="ADX379" s="15"/>
      <c r="ADY379" s="15"/>
      <c r="ADZ379" s="15"/>
      <c r="AEA379" s="15"/>
      <c r="AEB379" s="15"/>
      <c r="AEC379" s="15"/>
      <c r="AED379" s="10"/>
      <c r="AEE379" s="10"/>
      <c r="AEF379" s="21"/>
      <c r="AEG379" s="21"/>
      <c r="AEJ379" s="21"/>
      <c r="AEK379" s="15"/>
      <c r="AEL379" s="15"/>
      <c r="AEM379" s="15"/>
      <c r="AEN379" s="15"/>
      <c r="AEO379" s="15"/>
      <c r="AEP379" s="15"/>
      <c r="AEQ379" s="15"/>
      <c r="AER379" s="15"/>
      <c r="AES379" s="15"/>
      <c r="AET379" s="15"/>
      <c r="AEU379" s="10"/>
      <c r="AEV379" s="10"/>
      <c r="AEW379" s="21"/>
      <c r="AEX379" s="21"/>
      <c r="AFA379" s="21"/>
      <c r="AFB379" s="15"/>
      <c r="AFC379" s="15"/>
      <c r="AFD379" s="15"/>
      <c r="AFE379" s="15"/>
      <c r="AFF379" s="15"/>
      <c r="AFG379" s="15"/>
      <c r="AFH379" s="15"/>
      <c r="AFI379" s="15"/>
      <c r="AFJ379" s="15"/>
      <c r="AFK379" s="15"/>
      <c r="AFL379" s="10"/>
      <c r="AFM379" s="10"/>
      <c r="AFN379" s="21"/>
      <c r="AFO379" s="21"/>
      <c r="AFR379" s="21"/>
      <c r="AFS379" s="15"/>
      <c r="AFT379" s="15"/>
      <c r="AFU379" s="15"/>
      <c r="AFV379" s="15"/>
      <c r="AFW379" s="15"/>
      <c r="AFX379" s="15"/>
      <c r="AFY379" s="15"/>
      <c r="AFZ379" s="15"/>
      <c r="AGA379" s="15"/>
      <c r="AGB379" s="15"/>
      <c r="AGC379" s="10"/>
      <c r="AGD379" s="10"/>
      <c r="AGE379" s="21"/>
      <c r="AGF379" s="21"/>
      <c r="AGI379" s="21"/>
      <c r="AGJ379" s="15"/>
      <c r="AGK379" s="15"/>
      <c r="AGL379" s="15"/>
      <c r="AGM379" s="15"/>
      <c r="AGN379" s="15"/>
      <c r="AGO379" s="15"/>
      <c r="AGP379" s="15"/>
      <c r="AGQ379" s="15"/>
      <c r="AGR379" s="15"/>
      <c r="AGS379" s="15"/>
      <c r="AGT379" s="10"/>
      <c r="AGU379" s="10"/>
      <c r="AGV379" s="21"/>
      <c r="AGW379" s="21"/>
      <c r="AGZ379" s="21"/>
      <c r="AHA379" s="15"/>
      <c r="AHB379" s="15"/>
      <c r="AHC379" s="15"/>
      <c r="AHD379" s="15"/>
      <c r="AHE379" s="15"/>
      <c r="AHF379" s="15"/>
      <c r="AHG379" s="15"/>
      <c r="AHH379" s="15"/>
      <c r="AHI379" s="15"/>
      <c r="AHJ379" s="15"/>
      <c r="AHK379" s="10"/>
      <c r="AHL379" s="10"/>
      <c r="AHM379" s="21"/>
      <c r="AHN379" s="21"/>
      <c r="AHQ379" s="21"/>
      <c r="AHR379" s="15"/>
      <c r="AHS379" s="15"/>
      <c r="AHT379" s="15"/>
      <c r="AHU379" s="15"/>
      <c r="AHV379" s="15"/>
      <c r="AHW379" s="15"/>
      <c r="AHX379" s="15"/>
      <c r="AHY379" s="15"/>
      <c r="AHZ379" s="15"/>
      <c r="AIA379" s="15"/>
      <c r="AIB379" s="10"/>
      <c r="AIC379" s="10"/>
      <c r="AID379" s="21"/>
      <c r="AIE379" s="21"/>
      <c r="AIH379" s="21"/>
      <c r="AII379" s="15"/>
      <c r="AIJ379" s="15"/>
      <c r="AIK379" s="15"/>
      <c r="AIL379" s="15"/>
      <c r="AIM379" s="15"/>
      <c r="AIN379" s="15"/>
      <c r="AIO379" s="15"/>
      <c r="AIP379" s="15"/>
      <c r="AIQ379" s="15"/>
      <c r="AIR379" s="15"/>
      <c r="AIS379" s="10"/>
      <c r="AIT379" s="10"/>
      <c r="AIU379" s="21"/>
      <c r="AIV379" s="21"/>
      <c r="AIY379" s="21"/>
      <c r="AIZ379" s="15"/>
      <c r="AJA379" s="15"/>
      <c r="AJB379" s="15"/>
      <c r="AJC379" s="15"/>
      <c r="AJD379" s="15"/>
      <c r="AJE379" s="15"/>
      <c r="AJF379" s="15"/>
      <c r="AJG379" s="15"/>
      <c r="AJH379" s="15"/>
      <c r="AJI379" s="15"/>
      <c r="AJJ379" s="10"/>
      <c r="AJK379" s="10"/>
      <c r="AJL379" s="21"/>
      <c r="AJM379" s="21"/>
      <c r="AJP379" s="21"/>
      <c r="AJQ379" s="15"/>
      <c r="AJR379" s="15"/>
      <c r="AJS379" s="15"/>
      <c r="AJT379" s="15"/>
      <c r="AJU379" s="15"/>
      <c r="AJV379" s="15"/>
      <c r="AJW379" s="15"/>
      <c r="AJX379" s="15"/>
      <c r="AJY379" s="15"/>
      <c r="AJZ379" s="15"/>
      <c r="AKA379" s="10"/>
      <c r="AKB379" s="10"/>
      <c r="AKC379" s="21"/>
      <c r="AKD379" s="21"/>
      <c r="AKG379" s="21"/>
      <c r="AKH379" s="15"/>
      <c r="AKI379" s="15"/>
      <c r="AKJ379" s="15"/>
      <c r="AKK379" s="15"/>
      <c r="AKL379" s="15"/>
      <c r="AKM379" s="15"/>
      <c r="AKN379" s="15"/>
      <c r="AKO379" s="15"/>
      <c r="AKP379" s="15"/>
      <c r="AKQ379" s="15"/>
      <c r="AKR379" s="10"/>
      <c r="AKS379" s="10"/>
      <c r="AKT379" s="21"/>
      <c r="AKU379" s="21"/>
      <c r="AKX379" s="21"/>
      <c r="AKY379" s="15"/>
      <c r="AKZ379" s="15"/>
      <c r="ALA379" s="15"/>
      <c r="ALB379" s="15"/>
      <c r="ALC379" s="15"/>
      <c r="ALD379" s="15"/>
      <c r="ALE379" s="15"/>
      <c r="ALF379" s="15"/>
      <c r="ALG379" s="15"/>
      <c r="ALH379" s="15"/>
      <c r="ALI379" s="10"/>
      <c r="ALJ379" s="10"/>
      <c r="ALK379" s="21"/>
      <c r="ALL379" s="21"/>
      <c r="ALO379" s="21"/>
      <c r="ALP379" s="15"/>
      <c r="ALQ379" s="15"/>
      <c r="ALR379" s="15"/>
      <c r="ALS379" s="15"/>
      <c r="ALT379" s="15"/>
      <c r="ALU379" s="15"/>
      <c r="ALV379" s="15"/>
      <c r="ALW379" s="15"/>
      <c r="ALX379" s="15"/>
      <c r="ALY379" s="15"/>
      <c r="ALZ379" s="10"/>
      <c r="AMA379" s="10"/>
      <c r="AMB379" s="21"/>
      <c r="AMC379" s="21"/>
      <c r="AMF379" s="21"/>
      <c r="AMG379" s="15"/>
      <c r="AMH379" s="15"/>
      <c r="AMI379" s="15"/>
      <c r="AMJ379" s="15"/>
      <c r="AMK379" s="15"/>
      <c r="AML379" s="15"/>
      <c r="AMM379" s="15"/>
      <c r="AMN379" s="15"/>
      <c r="AMO379" s="15"/>
      <c r="AMP379" s="15"/>
      <c r="AMQ379" s="10"/>
      <c r="AMR379" s="10"/>
      <c r="AMS379" s="21"/>
      <c r="AMT379" s="21"/>
      <c r="AMW379" s="21"/>
      <c r="AMX379" s="15"/>
      <c r="AMY379" s="15"/>
      <c r="AMZ379" s="15"/>
      <c r="ANA379" s="15"/>
      <c r="ANB379" s="15"/>
      <c r="ANC379" s="15"/>
      <c r="AND379" s="15"/>
      <c r="ANE379" s="15"/>
      <c r="ANF379" s="15"/>
      <c r="ANG379" s="15"/>
      <c r="ANH379" s="10"/>
      <c r="ANI379" s="10"/>
      <c r="ANJ379" s="21"/>
      <c r="ANK379" s="21"/>
      <c r="ANN379" s="21"/>
      <c r="ANO379" s="15"/>
      <c r="ANP379" s="15"/>
      <c r="ANQ379" s="15"/>
      <c r="ANR379" s="15"/>
      <c r="ANS379" s="15"/>
      <c r="ANT379" s="15"/>
      <c r="ANU379" s="15"/>
      <c r="ANV379" s="15"/>
      <c r="ANW379" s="15"/>
      <c r="ANX379" s="15"/>
      <c r="ANY379" s="10"/>
      <c r="ANZ379" s="10"/>
      <c r="AOA379" s="21"/>
      <c r="AOB379" s="21"/>
      <c r="AOE379" s="21"/>
      <c r="AOF379" s="15"/>
      <c r="AOG379" s="15"/>
      <c r="AOH379" s="15"/>
      <c r="AOI379" s="15"/>
      <c r="AOJ379" s="15"/>
      <c r="AOK379" s="15"/>
      <c r="AOL379" s="15"/>
      <c r="AOM379" s="15"/>
      <c r="AON379" s="15"/>
      <c r="AOO379" s="15"/>
      <c r="AOP379" s="10"/>
      <c r="AOQ379" s="10"/>
      <c r="AOR379" s="21"/>
      <c r="AOS379" s="21"/>
      <c r="AOV379" s="21"/>
      <c r="AOW379" s="15"/>
      <c r="AOX379" s="15"/>
      <c r="AOY379" s="15"/>
      <c r="AOZ379" s="15"/>
      <c r="APA379" s="15"/>
      <c r="APB379" s="15"/>
      <c r="APC379" s="15"/>
      <c r="APD379" s="15"/>
      <c r="APE379" s="15"/>
      <c r="APF379" s="15"/>
      <c r="APG379" s="10"/>
      <c r="APH379" s="10"/>
      <c r="API379" s="21"/>
      <c r="APJ379" s="21"/>
      <c r="APM379" s="21"/>
      <c r="APN379" s="15"/>
      <c r="APO379" s="15"/>
      <c r="APP379" s="15"/>
      <c r="APQ379" s="15"/>
      <c r="APR379" s="15"/>
      <c r="APS379" s="15"/>
      <c r="APT379" s="15"/>
      <c r="APU379" s="15"/>
      <c r="APV379" s="15"/>
      <c r="APW379" s="15"/>
      <c r="APX379" s="10"/>
      <c r="APY379" s="10"/>
      <c r="APZ379" s="21"/>
      <c r="AQA379" s="21"/>
      <c r="AQD379" s="21"/>
      <c r="AQE379" s="15"/>
      <c r="AQF379" s="15"/>
      <c r="AQG379" s="15"/>
      <c r="AQH379" s="15"/>
      <c r="AQI379" s="15"/>
      <c r="AQJ379" s="15"/>
      <c r="AQK379" s="15"/>
      <c r="AQL379" s="15"/>
      <c r="AQM379" s="15"/>
      <c r="AQN379" s="15"/>
      <c r="AQO379" s="10"/>
      <c r="AQP379" s="10"/>
      <c r="AQQ379" s="21"/>
      <c r="AQR379" s="21"/>
      <c r="AQU379" s="21"/>
      <c r="AQV379" s="15"/>
      <c r="AQW379" s="15"/>
      <c r="AQX379" s="15"/>
      <c r="AQY379" s="15"/>
      <c r="AQZ379" s="15"/>
      <c r="ARA379" s="15"/>
      <c r="ARB379" s="15"/>
      <c r="ARC379" s="15"/>
      <c r="ARD379" s="15"/>
      <c r="ARE379" s="15"/>
      <c r="ARF379" s="10"/>
      <c r="ARG379" s="10"/>
      <c r="ARH379" s="21"/>
      <c r="ARI379" s="21"/>
      <c r="ARL379" s="21"/>
      <c r="ARM379" s="15"/>
      <c r="ARN379" s="15"/>
      <c r="ARO379" s="15"/>
      <c r="ARP379" s="15"/>
      <c r="ARQ379" s="15"/>
      <c r="ARR379" s="15"/>
      <c r="ARS379" s="15"/>
      <c r="ART379" s="15"/>
      <c r="ARU379" s="15"/>
      <c r="ARV379" s="15"/>
      <c r="ARW379" s="10"/>
      <c r="ARX379" s="10"/>
      <c r="ARY379" s="21"/>
      <c r="ARZ379" s="21"/>
      <c r="ASC379" s="21"/>
      <c r="ASD379" s="15"/>
      <c r="ASE379" s="15"/>
      <c r="ASF379" s="15"/>
      <c r="ASG379" s="15"/>
      <c r="ASH379" s="15"/>
      <c r="ASI379" s="15"/>
      <c r="ASJ379" s="15"/>
      <c r="ASK379" s="15"/>
      <c r="ASL379" s="15"/>
      <c r="ASM379" s="15"/>
      <c r="ASN379" s="10"/>
      <c r="ASO379" s="10"/>
      <c r="ASP379" s="21"/>
      <c r="ASQ379" s="21"/>
      <c r="AST379" s="21"/>
      <c r="ASU379" s="15"/>
      <c r="ASV379" s="15"/>
      <c r="ASW379" s="15"/>
      <c r="ASX379" s="15"/>
      <c r="ASY379" s="15"/>
      <c r="ASZ379" s="15"/>
      <c r="ATA379" s="15"/>
      <c r="ATB379" s="15"/>
      <c r="ATC379" s="15"/>
      <c r="ATD379" s="15"/>
      <c r="ATE379" s="10"/>
      <c r="ATF379" s="10"/>
      <c r="ATG379" s="21"/>
      <c r="ATH379" s="21"/>
      <c r="ATK379" s="21"/>
      <c r="ATL379" s="15"/>
      <c r="ATM379" s="15"/>
      <c r="ATN379" s="15"/>
      <c r="ATO379" s="15"/>
      <c r="ATP379" s="15"/>
      <c r="ATQ379" s="15"/>
      <c r="ATR379" s="15"/>
      <c r="ATS379" s="15"/>
      <c r="ATT379" s="15"/>
      <c r="ATU379" s="15"/>
      <c r="ATV379" s="10"/>
      <c r="ATW379" s="10"/>
      <c r="ATX379" s="21"/>
      <c r="ATY379" s="21"/>
      <c r="AUB379" s="21"/>
      <c r="AUC379" s="15"/>
      <c r="AUD379" s="15"/>
      <c r="AUE379" s="15"/>
      <c r="AUF379" s="15"/>
      <c r="AUG379" s="15"/>
      <c r="AUH379" s="15"/>
      <c r="AUI379" s="15"/>
      <c r="AUJ379" s="15"/>
      <c r="AUK379" s="15"/>
      <c r="AUL379" s="15"/>
      <c r="AUM379" s="10"/>
      <c r="AUN379" s="10"/>
      <c r="AUO379" s="21"/>
      <c r="AUP379" s="21"/>
      <c r="AUS379" s="21"/>
      <c r="AUT379" s="15"/>
      <c r="AUU379" s="15"/>
      <c r="AUV379" s="15"/>
      <c r="AUW379" s="15"/>
      <c r="AUX379" s="15"/>
      <c r="AUY379" s="15"/>
      <c r="AUZ379" s="15"/>
      <c r="AVA379" s="15"/>
      <c r="AVB379" s="15"/>
      <c r="AVC379" s="15"/>
      <c r="AVD379" s="10"/>
      <c r="AVE379" s="10"/>
      <c r="AVF379" s="21"/>
      <c r="AVG379" s="21"/>
      <c r="AVJ379" s="21"/>
      <c r="AVK379" s="15"/>
      <c r="AVL379" s="15"/>
      <c r="AVM379" s="15"/>
      <c r="AVN379" s="15"/>
      <c r="AVO379" s="15"/>
      <c r="AVP379" s="15"/>
      <c r="AVQ379" s="15"/>
      <c r="AVR379" s="15"/>
      <c r="AVS379" s="15"/>
      <c r="AVT379" s="15"/>
      <c r="AVU379" s="10"/>
      <c r="AVV379" s="10"/>
      <c r="AVW379" s="21"/>
      <c r="AVX379" s="21"/>
      <c r="AWA379" s="21"/>
      <c r="AWB379" s="15"/>
      <c r="AWC379" s="15"/>
      <c r="AWD379" s="15"/>
      <c r="AWE379" s="15"/>
      <c r="AWF379" s="15"/>
      <c r="AWG379" s="15"/>
      <c r="AWH379" s="15"/>
      <c r="AWI379" s="15"/>
      <c r="AWJ379" s="15"/>
      <c r="AWK379" s="15"/>
      <c r="AWL379" s="10"/>
      <c r="AWM379" s="10"/>
      <c r="AWN379" s="21"/>
      <c r="AWO379" s="21"/>
      <c r="AWR379" s="21"/>
      <c r="AWS379" s="15"/>
      <c r="AWT379" s="15"/>
      <c r="AWU379" s="15"/>
      <c r="AWV379" s="15"/>
      <c r="AWW379" s="15"/>
      <c r="AWX379" s="15"/>
      <c r="AWY379" s="15"/>
      <c r="AWZ379" s="15"/>
      <c r="AXA379" s="15"/>
      <c r="AXB379" s="15"/>
      <c r="AXC379" s="10"/>
      <c r="AXD379" s="10"/>
      <c r="AXE379" s="21"/>
      <c r="AXF379" s="21"/>
      <c r="AXI379" s="21"/>
      <c r="AXJ379" s="15"/>
      <c r="AXK379" s="15"/>
      <c r="AXL379" s="15"/>
      <c r="AXM379" s="15"/>
      <c r="AXN379" s="15"/>
      <c r="AXO379" s="15"/>
      <c r="AXP379" s="15"/>
      <c r="AXQ379" s="15"/>
      <c r="AXR379" s="15"/>
      <c r="AXS379" s="15"/>
      <c r="AXT379" s="10"/>
      <c r="AXU379" s="10"/>
      <c r="AXV379" s="21"/>
      <c r="AXW379" s="21"/>
      <c r="AXZ379" s="21"/>
      <c r="AYA379" s="15"/>
      <c r="AYB379" s="15"/>
      <c r="AYC379" s="15"/>
      <c r="AYD379" s="15"/>
      <c r="AYE379" s="15"/>
      <c r="AYF379" s="15"/>
      <c r="AYG379" s="15"/>
      <c r="AYH379" s="15"/>
      <c r="AYI379" s="15"/>
      <c r="AYJ379" s="15"/>
      <c r="AYK379" s="10"/>
      <c r="AYL379" s="10"/>
      <c r="AYM379" s="21"/>
      <c r="AYN379" s="21"/>
      <c r="AYQ379" s="21"/>
      <c r="AYR379" s="15"/>
      <c r="AYS379" s="15"/>
      <c r="AYT379" s="15"/>
      <c r="AYU379" s="15"/>
      <c r="AYV379" s="15"/>
      <c r="AYW379" s="15"/>
      <c r="AYX379" s="15"/>
      <c r="AYY379" s="15"/>
      <c r="AYZ379" s="15"/>
      <c r="AZA379" s="15"/>
      <c r="AZB379" s="10"/>
      <c r="AZC379" s="10"/>
      <c r="AZD379" s="21"/>
      <c r="AZE379" s="21"/>
      <c r="AZH379" s="21"/>
      <c r="AZI379" s="15"/>
      <c r="AZJ379" s="15"/>
      <c r="AZK379" s="15"/>
      <c r="AZL379" s="15"/>
      <c r="AZM379" s="15"/>
      <c r="AZN379" s="15"/>
      <c r="AZO379" s="15"/>
      <c r="AZP379" s="15"/>
      <c r="AZQ379" s="15"/>
      <c r="AZR379" s="15"/>
      <c r="AZS379" s="10"/>
      <c r="AZT379" s="10"/>
      <c r="AZU379" s="21"/>
      <c r="AZV379" s="21"/>
      <c r="AZY379" s="21"/>
      <c r="AZZ379" s="15"/>
      <c r="BAA379" s="15"/>
      <c r="BAB379" s="15"/>
      <c r="BAC379" s="15"/>
      <c r="BAD379" s="15"/>
      <c r="BAE379" s="15"/>
      <c r="BAF379" s="15"/>
      <c r="BAG379" s="15"/>
      <c r="BAH379" s="15"/>
      <c r="BAI379" s="15"/>
      <c r="BAJ379" s="10"/>
      <c r="BAK379" s="10"/>
      <c r="BAL379" s="21"/>
      <c r="BAM379" s="21"/>
      <c r="BAP379" s="21"/>
      <c r="BAQ379" s="15"/>
      <c r="BAR379" s="15"/>
      <c r="BAS379" s="15"/>
      <c r="BAT379" s="15"/>
      <c r="BAU379" s="15"/>
      <c r="BAV379" s="15"/>
      <c r="BAW379" s="15"/>
      <c r="BAX379" s="15"/>
      <c r="BAY379" s="15"/>
      <c r="BAZ379" s="15"/>
      <c r="BBA379" s="10"/>
      <c r="BBB379" s="10"/>
      <c r="BBC379" s="21"/>
      <c r="BBD379" s="21"/>
      <c r="BBG379" s="21"/>
      <c r="BBH379" s="15"/>
      <c r="BBI379" s="15"/>
      <c r="BBJ379" s="15"/>
      <c r="BBK379" s="15"/>
      <c r="BBL379" s="15"/>
      <c r="BBM379" s="15"/>
      <c r="BBN379" s="15"/>
      <c r="BBO379" s="15"/>
      <c r="BBP379" s="15"/>
      <c r="BBQ379" s="15"/>
      <c r="BBR379" s="10"/>
      <c r="BBS379" s="10"/>
      <c r="BBT379" s="21"/>
      <c r="BBU379" s="21"/>
      <c r="BBX379" s="21"/>
      <c r="BBY379" s="15"/>
      <c r="BBZ379" s="15"/>
      <c r="BCA379" s="15"/>
      <c r="BCB379" s="15"/>
      <c r="BCC379" s="15"/>
      <c r="BCD379" s="15"/>
      <c r="BCE379" s="15"/>
      <c r="BCF379" s="15"/>
      <c r="BCG379" s="15"/>
      <c r="BCH379" s="15"/>
      <c r="BCI379" s="10"/>
      <c r="BCJ379" s="10"/>
      <c r="BCK379" s="21"/>
      <c r="BCL379" s="21"/>
      <c r="BCO379" s="21"/>
      <c r="BCP379" s="15"/>
      <c r="BCQ379" s="15"/>
      <c r="BCR379" s="15"/>
      <c r="BCS379" s="15"/>
      <c r="BCT379" s="15"/>
      <c r="BCU379" s="15"/>
      <c r="BCV379" s="15"/>
      <c r="BCW379" s="15"/>
      <c r="BCX379" s="15"/>
      <c r="BCY379" s="15"/>
      <c r="BCZ379" s="10"/>
      <c r="BDA379" s="10"/>
      <c r="BDB379" s="21"/>
      <c r="BDC379" s="21"/>
      <c r="BDF379" s="21"/>
      <c r="BDG379" s="15"/>
      <c r="BDH379" s="15"/>
      <c r="BDI379" s="15"/>
      <c r="BDJ379" s="15"/>
      <c r="BDK379" s="15"/>
      <c r="BDL379" s="15"/>
      <c r="BDM379" s="15"/>
      <c r="BDN379" s="15"/>
      <c r="BDO379" s="15"/>
      <c r="BDP379" s="15"/>
      <c r="BDQ379" s="10"/>
      <c r="BDR379" s="10"/>
      <c r="BDS379" s="21"/>
      <c r="BDT379" s="21"/>
      <c r="BDW379" s="21"/>
      <c r="BDX379" s="15"/>
      <c r="BDY379" s="15"/>
      <c r="BDZ379" s="15"/>
      <c r="BEA379" s="15"/>
      <c r="BEB379" s="15"/>
      <c r="BEC379" s="15"/>
      <c r="BED379" s="15"/>
      <c r="BEE379" s="15"/>
      <c r="BEF379" s="15"/>
      <c r="BEG379" s="15"/>
      <c r="BEH379" s="10"/>
      <c r="BEI379" s="10"/>
      <c r="BEJ379" s="21"/>
      <c r="BEK379" s="21"/>
      <c r="BEN379" s="21"/>
      <c r="BEO379" s="15"/>
      <c r="BEP379" s="15"/>
      <c r="BEQ379" s="15"/>
      <c r="BER379" s="15"/>
      <c r="BES379" s="15"/>
      <c r="BET379" s="15"/>
      <c r="BEU379" s="15"/>
      <c r="BEV379" s="15"/>
      <c r="BEW379" s="15"/>
      <c r="BEX379" s="15"/>
      <c r="BEY379" s="10"/>
      <c r="BEZ379" s="10"/>
      <c r="BFA379" s="21"/>
      <c r="BFB379" s="21"/>
      <c r="BFE379" s="21"/>
      <c r="BFF379" s="15"/>
      <c r="BFG379" s="15"/>
      <c r="BFH379" s="15"/>
      <c r="BFI379" s="15"/>
      <c r="BFJ379" s="15"/>
      <c r="BFK379" s="15"/>
      <c r="BFL379" s="15"/>
      <c r="BFM379" s="15"/>
      <c r="BFN379" s="15"/>
      <c r="BFO379" s="15"/>
      <c r="BFP379" s="10"/>
      <c r="BFQ379" s="10"/>
      <c r="BFR379" s="21"/>
      <c r="BFS379" s="21"/>
      <c r="BFV379" s="21"/>
      <c r="BFW379" s="15"/>
      <c r="BFX379" s="15"/>
      <c r="BFY379" s="15"/>
      <c r="BFZ379" s="15"/>
      <c r="BGA379" s="15"/>
      <c r="BGB379" s="15"/>
      <c r="BGC379" s="15"/>
      <c r="BGD379" s="15"/>
      <c r="BGE379" s="15"/>
      <c r="BGF379" s="15"/>
      <c r="BGG379" s="10"/>
      <c r="BGH379" s="10"/>
      <c r="BGI379" s="21"/>
      <c r="BGJ379" s="21"/>
      <c r="BGM379" s="21"/>
      <c r="BGN379" s="15"/>
      <c r="BGO379" s="15"/>
      <c r="BGP379" s="15"/>
      <c r="BGQ379" s="15"/>
      <c r="BGR379" s="15"/>
      <c r="BGS379" s="15"/>
      <c r="BGT379" s="15"/>
      <c r="BGU379" s="15"/>
      <c r="BGV379" s="15"/>
      <c r="BGW379" s="15"/>
      <c r="BGX379" s="10"/>
      <c r="BGY379" s="10"/>
      <c r="BGZ379" s="21"/>
      <c r="BHA379" s="21"/>
      <c r="BHD379" s="21"/>
      <c r="BHE379" s="15"/>
      <c r="BHF379" s="15"/>
      <c r="BHG379" s="15"/>
      <c r="BHH379" s="15"/>
      <c r="BHI379" s="15"/>
      <c r="BHJ379" s="15"/>
      <c r="BHK379" s="15"/>
      <c r="BHL379" s="15"/>
      <c r="BHM379" s="15"/>
      <c r="BHN379" s="15"/>
      <c r="BHO379" s="10"/>
      <c r="BHP379" s="10"/>
      <c r="BHQ379" s="21"/>
      <c r="BHR379" s="21"/>
      <c r="BHU379" s="21"/>
      <c r="BHV379" s="15"/>
      <c r="BHW379" s="15"/>
      <c r="BHX379" s="15"/>
      <c r="BHY379" s="15"/>
      <c r="BHZ379" s="15"/>
      <c r="BIA379" s="15"/>
      <c r="BIB379" s="15"/>
      <c r="BIC379" s="15"/>
      <c r="BID379" s="15"/>
      <c r="BIE379" s="15"/>
      <c r="BIF379" s="10"/>
      <c r="BIG379" s="10"/>
      <c r="BIH379" s="21"/>
      <c r="BII379" s="21"/>
      <c r="BIL379" s="21"/>
      <c r="BIM379" s="15"/>
      <c r="BIN379" s="15"/>
      <c r="BIO379" s="15"/>
      <c r="BIP379" s="15"/>
      <c r="BIQ379" s="15"/>
      <c r="BIR379" s="15"/>
      <c r="BIS379" s="15"/>
      <c r="BIT379" s="15"/>
      <c r="BIU379" s="15"/>
      <c r="BIV379" s="15"/>
      <c r="BIW379" s="10"/>
      <c r="BIX379" s="10"/>
      <c r="BIY379" s="21"/>
      <c r="BIZ379" s="21"/>
      <c r="BJC379" s="21"/>
      <c r="BJD379" s="15"/>
      <c r="BJE379" s="15"/>
      <c r="BJF379" s="15"/>
      <c r="BJG379" s="15"/>
      <c r="BJH379" s="15"/>
      <c r="BJI379" s="15"/>
      <c r="BJJ379" s="15"/>
      <c r="BJK379" s="15"/>
      <c r="BJL379" s="15"/>
      <c r="BJM379" s="15"/>
      <c r="BJN379" s="10"/>
      <c r="BJO379" s="10"/>
      <c r="BJP379" s="21"/>
      <c r="BJQ379" s="21"/>
      <c r="BJT379" s="21"/>
      <c r="BJU379" s="15"/>
      <c r="BJV379" s="15"/>
      <c r="BJW379" s="15"/>
      <c r="BJX379" s="15"/>
      <c r="BJY379" s="15"/>
      <c r="BJZ379" s="15"/>
      <c r="BKA379" s="15"/>
      <c r="BKB379" s="15"/>
      <c r="BKC379" s="15"/>
      <c r="BKD379" s="15"/>
      <c r="BKE379" s="10"/>
      <c r="BKF379" s="10"/>
      <c r="BKG379" s="21"/>
      <c r="BKH379" s="21"/>
      <c r="BKK379" s="21"/>
      <c r="BKL379" s="15"/>
      <c r="BKM379" s="15"/>
      <c r="BKN379" s="15"/>
      <c r="BKO379" s="15"/>
      <c r="BKP379" s="15"/>
      <c r="BKQ379" s="15"/>
      <c r="BKR379" s="15"/>
      <c r="BKS379" s="15"/>
      <c r="BKT379" s="15"/>
      <c r="BKU379" s="15"/>
      <c r="BKV379" s="10"/>
      <c r="BKW379" s="10"/>
      <c r="BKX379" s="21"/>
      <c r="BKY379" s="21"/>
      <c r="BLB379" s="21"/>
      <c r="BLC379" s="15"/>
      <c r="BLD379" s="15"/>
      <c r="BLE379" s="15"/>
      <c r="BLF379" s="15"/>
      <c r="BLG379" s="15"/>
      <c r="BLH379" s="15"/>
      <c r="BLI379" s="15"/>
      <c r="BLJ379" s="15"/>
      <c r="BLK379" s="15"/>
      <c r="BLL379" s="15"/>
      <c r="BLM379" s="10"/>
      <c r="BLN379" s="10"/>
      <c r="BLO379" s="21"/>
      <c r="BLP379" s="21"/>
      <c r="BLS379" s="21"/>
      <c r="BLT379" s="15"/>
      <c r="BLU379" s="15"/>
      <c r="BLV379" s="15"/>
      <c r="BLW379" s="15"/>
      <c r="BLX379" s="15"/>
      <c r="BLY379" s="15"/>
      <c r="BLZ379" s="15"/>
      <c r="BMA379" s="15"/>
      <c r="BMB379" s="15"/>
      <c r="BMC379" s="15"/>
      <c r="BMD379" s="10"/>
      <c r="BME379" s="10"/>
      <c r="BMF379" s="21"/>
      <c r="BMG379" s="21"/>
      <c r="BMJ379" s="21"/>
      <c r="BMK379" s="15"/>
      <c r="BML379" s="15"/>
      <c r="BMM379" s="15"/>
      <c r="BMN379" s="15"/>
      <c r="BMO379" s="15"/>
      <c r="BMP379" s="15"/>
      <c r="BMQ379" s="15"/>
      <c r="BMR379" s="15"/>
      <c r="BMS379" s="15"/>
      <c r="BMT379" s="15"/>
      <c r="BMU379" s="10"/>
      <c r="BMV379" s="10"/>
      <c r="BMW379" s="21"/>
      <c r="BMX379" s="21"/>
      <c r="BNA379" s="21"/>
      <c r="BNB379" s="15"/>
      <c r="BNC379" s="15"/>
      <c r="BND379" s="15"/>
      <c r="BNE379" s="15"/>
      <c r="BNF379" s="15"/>
      <c r="BNG379" s="15"/>
      <c r="BNH379" s="15"/>
      <c r="BNI379" s="15"/>
      <c r="BNJ379" s="15"/>
      <c r="BNK379" s="15"/>
      <c r="BNL379" s="10"/>
      <c r="BNM379" s="10"/>
      <c r="BNN379" s="21"/>
      <c r="BNO379" s="21"/>
      <c r="BNR379" s="21"/>
      <c r="BNS379" s="15"/>
      <c r="BNT379" s="15"/>
      <c r="BNU379" s="15"/>
      <c r="BNV379" s="15"/>
      <c r="BNW379" s="15"/>
      <c r="BNX379" s="15"/>
      <c r="BNY379" s="15"/>
      <c r="BNZ379" s="15"/>
      <c r="BOA379" s="15"/>
      <c r="BOB379" s="15"/>
      <c r="BOC379" s="10"/>
      <c r="BOD379" s="10"/>
      <c r="BOE379" s="21"/>
      <c r="BOF379" s="21"/>
      <c r="BOI379" s="21"/>
      <c r="BOJ379" s="15"/>
      <c r="BOK379" s="15"/>
      <c r="BOL379" s="15"/>
      <c r="BOM379" s="15"/>
      <c r="BON379" s="15"/>
      <c r="BOO379" s="15"/>
      <c r="BOP379" s="15"/>
      <c r="BOQ379" s="15"/>
      <c r="BOR379" s="15"/>
      <c r="BOS379" s="15"/>
      <c r="BOT379" s="10"/>
      <c r="BOU379" s="10"/>
      <c r="BOV379" s="21"/>
      <c r="BOW379" s="21"/>
      <c r="BOZ379" s="21"/>
      <c r="BPA379" s="15"/>
      <c r="BPB379" s="15"/>
      <c r="BPC379" s="15"/>
      <c r="BPD379" s="15"/>
      <c r="BPE379" s="15"/>
      <c r="BPF379" s="15"/>
      <c r="BPG379" s="15"/>
      <c r="BPH379" s="15"/>
      <c r="BPI379" s="15"/>
      <c r="BPJ379" s="15"/>
      <c r="BPK379" s="10"/>
      <c r="BPL379" s="10"/>
      <c r="BPM379" s="21"/>
      <c r="BPN379" s="21"/>
      <c r="BPQ379" s="21"/>
      <c r="BPR379" s="15"/>
      <c r="BPS379" s="15"/>
      <c r="BPT379" s="15"/>
      <c r="BPU379" s="15"/>
      <c r="BPV379" s="15"/>
      <c r="BPW379" s="15"/>
      <c r="BPX379" s="15"/>
      <c r="BPY379" s="15"/>
      <c r="BPZ379" s="15"/>
      <c r="BQA379" s="15"/>
      <c r="BQB379" s="10"/>
      <c r="BQC379" s="10"/>
      <c r="BQD379" s="21"/>
      <c r="BQE379" s="21"/>
      <c r="BQH379" s="21"/>
      <c r="BQI379" s="15"/>
      <c r="BQJ379" s="15"/>
      <c r="BQK379" s="15"/>
      <c r="BQL379" s="15"/>
      <c r="BQM379" s="15"/>
      <c r="BQN379" s="15"/>
      <c r="BQO379" s="15"/>
      <c r="BQP379" s="15"/>
      <c r="BQQ379" s="15"/>
      <c r="BQR379" s="15"/>
      <c r="BQS379" s="10"/>
      <c r="BQT379" s="10"/>
      <c r="BQU379" s="21"/>
      <c r="BQV379" s="21"/>
      <c r="BQY379" s="21"/>
      <c r="BQZ379" s="15"/>
      <c r="BRA379" s="15"/>
      <c r="BRB379" s="15"/>
      <c r="BRC379" s="15"/>
      <c r="BRD379" s="15"/>
      <c r="BRE379" s="15"/>
      <c r="BRF379" s="15"/>
      <c r="BRG379" s="15"/>
      <c r="BRH379" s="15"/>
      <c r="BRI379" s="15"/>
      <c r="BRJ379" s="10"/>
      <c r="BRK379" s="10"/>
      <c r="BRL379" s="21"/>
      <c r="BRM379" s="21"/>
      <c r="BRP379" s="21"/>
      <c r="BRQ379" s="15"/>
      <c r="BRR379" s="15"/>
      <c r="BRS379" s="15"/>
      <c r="BRT379" s="15"/>
      <c r="BRU379" s="15"/>
      <c r="BRV379" s="15"/>
      <c r="BRW379" s="15"/>
      <c r="BRX379" s="15"/>
      <c r="BRY379" s="15"/>
      <c r="BRZ379" s="15"/>
      <c r="BSA379" s="10"/>
      <c r="BSB379" s="10"/>
      <c r="BSC379" s="21"/>
      <c r="BSD379" s="21"/>
      <c r="BSG379" s="21"/>
      <c r="BSH379" s="15"/>
      <c r="BSI379" s="15"/>
      <c r="BSJ379" s="15"/>
      <c r="BSK379" s="15"/>
      <c r="BSL379" s="15"/>
      <c r="BSM379" s="15"/>
      <c r="BSN379" s="15"/>
      <c r="BSO379" s="15"/>
      <c r="BSP379" s="15"/>
      <c r="BSQ379" s="15"/>
      <c r="BSR379" s="10"/>
      <c r="BSS379" s="10"/>
      <c r="BST379" s="21"/>
      <c r="BSU379" s="21"/>
      <c r="BSX379" s="21"/>
      <c r="BSY379" s="15"/>
      <c r="BSZ379" s="15"/>
      <c r="BTA379" s="15"/>
      <c r="BTB379" s="15"/>
      <c r="BTC379" s="15"/>
      <c r="BTD379" s="15"/>
      <c r="BTE379" s="15"/>
      <c r="BTF379" s="15"/>
      <c r="BTG379" s="15"/>
      <c r="BTH379" s="15"/>
      <c r="BTI379" s="10"/>
      <c r="BTJ379" s="10"/>
      <c r="BTK379" s="21"/>
      <c r="BTL379" s="21"/>
      <c r="BTO379" s="21"/>
      <c r="BTP379" s="15"/>
      <c r="BTQ379" s="15"/>
      <c r="BTR379" s="15"/>
      <c r="BTS379" s="15"/>
      <c r="BTT379" s="15"/>
      <c r="BTU379" s="15"/>
      <c r="BTV379" s="15"/>
      <c r="BTW379" s="15"/>
      <c r="BTX379" s="15"/>
      <c r="BTY379" s="15"/>
      <c r="BTZ379" s="10"/>
      <c r="BUA379" s="10"/>
      <c r="BUB379" s="21"/>
      <c r="BUC379" s="21"/>
      <c r="BUF379" s="21"/>
      <c r="BUG379" s="15"/>
      <c r="BUH379" s="15"/>
      <c r="BUI379" s="15"/>
      <c r="BUJ379" s="15"/>
      <c r="BUK379" s="15"/>
      <c r="BUL379" s="15"/>
      <c r="BUM379" s="15"/>
      <c r="BUN379" s="15"/>
      <c r="BUO379" s="15"/>
      <c r="BUP379" s="15"/>
      <c r="BUQ379" s="10"/>
      <c r="BUR379" s="10"/>
      <c r="BUS379" s="21"/>
      <c r="BUT379" s="21"/>
      <c r="BUW379" s="21"/>
      <c r="BUX379" s="15"/>
      <c r="BUY379" s="15"/>
      <c r="BUZ379" s="15"/>
      <c r="BVA379" s="15"/>
      <c r="BVB379" s="15"/>
      <c r="BVC379" s="15"/>
      <c r="BVD379" s="15"/>
      <c r="BVE379" s="15"/>
      <c r="BVF379" s="15"/>
      <c r="BVG379" s="15"/>
      <c r="BVH379" s="10"/>
      <c r="BVI379" s="10"/>
      <c r="BVJ379" s="21"/>
      <c r="BVK379" s="21"/>
      <c r="BVN379" s="21"/>
      <c r="BVO379" s="15"/>
      <c r="BVP379" s="15"/>
      <c r="BVQ379" s="15"/>
      <c r="BVR379" s="15"/>
      <c r="BVS379" s="15"/>
      <c r="BVT379" s="15"/>
      <c r="BVU379" s="15"/>
      <c r="BVV379" s="15"/>
      <c r="BVW379" s="15"/>
      <c r="BVX379" s="15"/>
      <c r="BVY379" s="10"/>
      <c r="BVZ379" s="10"/>
      <c r="BWA379" s="21"/>
      <c r="BWB379" s="21"/>
      <c r="BWE379" s="21"/>
      <c r="BWF379" s="15"/>
      <c r="BWG379" s="15"/>
      <c r="BWH379" s="15"/>
      <c r="BWI379" s="15"/>
      <c r="BWJ379" s="15"/>
      <c r="BWK379" s="15"/>
      <c r="BWL379" s="15"/>
      <c r="BWM379" s="15"/>
      <c r="BWN379" s="15"/>
      <c r="BWO379" s="15"/>
      <c r="BWP379" s="10"/>
      <c r="BWQ379" s="10"/>
      <c r="BWR379" s="21"/>
      <c r="BWS379" s="21"/>
      <c r="BWV379" s="21"/>
      <c r="BWW379" s="15"/>
      <c r="BWX379" s="15"/>
      <c r="BWY379" s="15"/>
      <c r="BWZ379" s="15"/>
      <c r="BXA379" s="15"/>
      <c r="BXB379" s="15"/>
      <c r="BXC379" s="15"/>
      <c r="BXD379" s="15"/>
      <c r="BXE379" s="15"/>
      <c r="BXF379" s="15"/>
      <c r="BXG379" s="10"/>
      <c r="BXH379" s="10"/>
      <c r="BXI379" s="21"/>
      <c r="BXJ379" s="21"/>
      <c r="BXM379" s="21"/>
      <c r="BXN379" s="15"/>
      <c r="BXO379" s="15"/>
      <c r="BXP379" s="15"/>
      <c r="BXQ379" s="15"/>
      <c r="BXR379" s="15"/>
      <c r="BXS379" s="15"/>
      <c r="BXT379" s="15"/>
      <c r="BXU379" s="15"/>
      <c r="BXV379" s="15"/>
      <c r="BXW379" s="15"/>
      <c r="BXX379" s="10"/>
      <c r="BXY379" s="10"/>
      <c r="BXZ379" s="21"/>
      <c r="BYA379" s="21"/>
      <c r="BYD379" s="21"/>
      <c r="BYE379" s="15"/>
      <c r="BYF379" s="15"/>
      <c r="BYG379" s="15"/>
      <c r="BYH379" s="15"/>
      <c r="BYI379" s="15"/>
      <c r="BYJ379" s="15"/>
      <c r="BYK379" s="15"/>
      <c r="BYL379" s="15"/>
      <c r="BYM379" s="15"/>
      <c r="BYN379" s="15"/>
      <c r="BYO379" s="10"/>
      <c r="BYP379" s="10"/>
      <c r="BYQ379" s="21"/>
      <c r="BYR379" s="21"/>
      <c r="BYU379" s="21"/>
      <c r="BYV379" s="15"/>
      <c r="BYW379" s="15"/>
      <c r="BYX379" s="15"/>
      <c r="BYY379" s="15"/>
      <c r="BYZ379" s="15"/>
      <c r="BZA379" s="15"/>
      <c r="BZB379" s="15"/>
      <c r="BZC379" s="15"/>
      <c r="BZD379" s="15"/>
      <c r="BZE379" s="15"/>
      <c r="BZF379" s="10"/>
      <c r="BZG379" s="10"/>
      <c r="BZH379" s="21"/>
      <c r="BZI379" s="21"/>
      <c r="BZL379" s="21"/>
      <c r="BZM379" s="15"/>
      <c r="BZN379" s="15"/>
      <c r="BZO379" s="15"/>
      <c r="BZP379" s="15"/>
      <c r="BZQ379" s="15"/>
      <c r="BZR379" s="15"/>
      <c r="BZS379" s="15"/>
      <c r="BZT379" s="15"/>
      <c r="BZU379" s="15"/>
      <c r="BZV379" s="15"/>
      <c r="BZW379" s="10"/>
      <c r="BZX379" s="10"/>
      <c r="BZY379" s="21"/>
      <c r="BZZ379" s="21"/>
      <c r="CAC379" s="21"/>
      <c r="CAD379" s="15"/>
      <c r="CAE379" s="15"/>
      <c r="CAF379" s="15"/>
      <c r="CAG379" s="15"/>
      <c r="CAH379" s="15"/>
      <c r="CAI379" s="15"/>
      <c r="CAJ379" s="15"/>
      <c r="CAK379" s="15"/>
      <c r="CAL379" s="15"/>
      <c r="CAM379" s="15"/>
      <c r="CAN379" s="10"/>
      <c r="CAO379" s="10"/>
      <c r="CAP379" s="21"/>
      <c r="CAQ379" s="21"/>
      <c r="CAT379" s="21"/>
      <c r="CAU379" s="15"/>
      <c r="CAV379" s="15"/>
      <c r="CAW379" s="15"/>
      <c r="CAX379" s="15"/>
      <c r="CAY379" s="15"/>
      <c r="CAZ379" s="15"/>
      <c r="CBA379" s="15"/>
      <c r="CBB379" s="15"/>
      <c r="CBC379" s="15"/>
      <c r="CBD379" s="15"/>
      <c r="CBE379" s="10"/>
      <c r="CBF379" s="10"/>
      <c r="CBG379" s="21"/>
      <c r="CBH379" s="21"/>
      <c r="CBK379" s="21"/>
      <c r="CBL379" s="15"/>
      <c r="CBM379" s="15"/>
      <c r="CBN379" s="15"/>
      <c r="CBO379" s="15"/>
      <c r="CBP379" s="15"/>
      <c r="CBQ379" s="15"/>
      <c r="CBR379" s="15"/>
      <c r="CBS379" s="15"/>
      <c r="CBT379" s="15"/>
      <c r="CBU379" s="15"/>
      <c r="CBV379" s="10"/>
      <c r="CBW379" s="10"/>
      <c r="CBX379" s="21"/>
      <c r="CBY379" s="21"/>
      <c r="CCB379" s="21"/>
      <c r="CCC379" s="15"/>
      <c r="CCD379" s="15"/>
      <c r="CCE379" s="15"/>
      <c r="CCF379" s="15"/>
      <c r="CCG379" s="15"/>
      <c r="CCH379" s="15"/>
      <c r="CCI379" s="15"/>
      <c r="CCJ379" s="15"/>
      <c r="CCK379" s="15"/>
      <c r="CCL379" s="15"/>
      <c r="CCM379" s="10"/>
      <c r="CCN379" s="10"/>
      <c r="CCO379" s="21"/>
      <c r="CCP379" s="21"/>
      <c r="CCS379" s="21"/>
      <c r="CCT379" s="15"/>
      <c r="CCU379" s="15"/>
      <c r="CCV379" s="15"/>
      <c r="CCW379" s="15"/>
      <c r="CCX379" s="15"/>
      <c r="CCY379" s="15"/>
      <c r="CCZ379" s="15"/>
      <c r="CDA379" s="15"/>
      <c r="CDB379" s="15"/>
      <c r="CDC379" s="15"/>
      <c r="CDD379" s="10"/>
      <c r="CDE379" s="10"/>
      <c r="CDF379" s="21"/>
      <c r="CDG379" s="21"/>
      <c r="CDJ379" s="21"/>
      <c r="CDK379" s="15"/>
      <c r="CDL379" s="15"/>
      <c r="CDM379" s="15"/>
      <c r="CDN379" s="15"/>
      <c r="CDO379" s="15"/>
      <c r="CDP379" s="15"/>
      <c r="CDQ379" s="15"/>
      <c r="CDR379" s="15"/>
      <c r="CDS379" s="15"/>
      <c r="CDT379" s="15"/>
      <c r="CDU379" s="10"/>
      <c r="CDV379" s="10"/>
      <c r="CDW379" s="21"/>
      <c r="CDX379" s="21"/>
      <c r="CEA379" s="21"/>
      <c r="CEB379" s="15"/>
      <c r="CEC379" s="15"/>
      <c r="CED379" s="15"/>
      <c r="CEE379" s="15"/>
      <c r="CEF379" s="15"/>
      <c r="CEG379" s="15"/>
      <c r="CEH379" s="15"/>
      <c r="CEI379" s="15"/>
      <c r="CEJ379" s="15"/>
      <c r="CEK379" s="15"/>
      <c r="CEL379" s="10"/>
      <c r="CEM379" s="10"/>
      <c r="CEN379" s="21"/>
      <c r="CEO379" s="21"/>
      <c r="CER379" s="21"/>
      <c r="CES379" s="15"/>
      <c r="CET379" s="15"/>
      <c r="CEU379" s="15"/>
      <c r="CEV379" s="15"/>
      <c r="CEW379" s="15"/>
      <c r="CEX379" s="15"/>
      <c r="CEY379" s="15"/>
      <c r="CEZ379" s="15"/>
      <c r="CFA379" s="15"/>
      <c r="CFB379" s="15"/>
      <c r="CFC379" s="10"/>
      <c r="CFD379" s="10"/>
      <c r="CFE379" s="21"/>
      <c r="CFF379" s="21"/>
      <c r="CFI379" s="21"/>
      <c r="CFJ379" s="15"/>
      <c r="CFK379" s="15"/>
      <c r="CFL379" s="15"/>
      <c r="CFM379" s="15"/>
      <c r="CFN379" s="15"/>
      <c r="CFO379" s="15"/>
      <c r="CFP379" s="15"/>
      <c r="CFQ379" s="15"/>
      <c r="CFR379" s="15"/>
      <c r="CFS379" s="15"/>
      <c r="CFT379" s="10"/>
      <c r="CFU379" s="10"/>
      <c r="CFV379" s="21"/>
      <c r="CFW379" s="21"/>
      <c r="CFZ379" s="21"/>
      <c r="CGA379" s="15"/>
      <c r="CGB379" s="15"/>
      <c r="CGC379" s="15"/>
      <c r="CGD379" s="15"/>
      <c r="CGE379" s="15"/>
      <c r="CGF379" s="15"/>
      <c r="CGG379" s="15"/>
      <c r="CGH379" s="15"/>
      <c r="CGI379" s="15"/>
      <c r="CGJ379" s="15"/>
      <c r="CGK379" s="10"/>
      <c r="CGL379" s="10"/>
      <c r="CGM379" s="21"/>
      <c r="CGN379" s="21"/>
      <c r="CGQ379" s="21"/>
      <c r="CGR379" s="15"/>
      <c r="CGS379" s="15"/>
      <c r="CGT379" s="15"/>
      <c r="CGU379" s="15"/>
      <c r="CGV379" s="15"/>
      <c r="CGW379" s="15"/>
      <c r="CGX379" s="15"/>
      <c r="CGY379" s="15"/>
      <c r="CGZ379" s="15"/>
      <c r="CHA379" s="15"/>
      <c r="CHB379" s="10"/>
      <c r="CHC379" s="10"/>
      <c r="CHD379" s="21"/>
      <c r="CHE379" s="21"/>
      <c r="CHH379" s="21"/>
      <c r="CHI379" s="15"/>
      <c r="CHJ379" s="15"/>
      <c r="CHK379" s="15"/>
      <c r="CHL379" s="15"/>
      <c r="CHM379" s="15"/>
      <c r="CHN379" s="15"/>
      <c r="CHO379" s="15"/>
      <c r="CHP379" s="15"/>
      <c r="CHQ379" s="15"/>
      <c r="CHR379" s="15"/>
      <c r="CHS379" s="10"/>
      <c r="CHT379" s="10"/>
      <c r="CHU379" s="21"/>
      <c r="CHV379" s="21"/>
      <c r="CHY379" s="21"/>
      <c r="CHZ379" s="15"/>
      <c r="CIA379" s="15"/>
      <c r="CIB379" s="15"/>
      <c r="CIC379" s="15"/>
      <c r="CID379" s="15"/>
      <c r="CIE379" s="15"/>
      <c r="CIF379" s="15"/>
      <c r="CIG379" s="15"/>
      <c r="CIH379" s="15"/>
      <c r="CII379" s="15"/>
      <c r="CIJ379" s="10"/>
      <c r="CIK379" s="10"/>
      <c r="CIL379" s="21"/>
      <c r="CIM379" s="21"/>
      <c r="CIP379" s="21"/>
      <c r="CIQ379" s="15"/>
      <c r="CIR379" s="15"/>
      <c r="CIS379" s="15"/>
      <c r="CIT379" s="15"/>
      <c r="CIU379" s="15"/>
      <c r="CIV379" s="15"/>
      <c r="CIW379" s="15"/>
      <c r="CIX379" s="15"/>
      <c r="CIY379" s="15"/>
      <c r="CIZ379" s="15"/>
      <c r="CJA379" s="10"/>
      <c r="CJB379" s="10"/>
      <c r="CJC379" s="21"/>
      <c r="CJD379" s="21"/>
      <c r="CJG379" s="21"/>
      <c r="CJH379" s="15"/>
      <c r="CJI379" s="15"/>
      <c r="CJJ379" s="15"/>
      <c r="CJK379" s="15"/>
      <c r="CJL379" s="15"/>
      <c r="CJM379" s="15"/>
      <c r="CJN379" s="15"/>
      <c r="CJO379" s="15"/>
      <c r="CJP379" s="15"/>
      <c r="CJQ379" s="15"/>
      <c r="CJR379" s="10"/>
      <c r="CJS379" s="10"/>
      <c r="CJT379" s="21"/>
      <c r="CJU379" s="21"/>
      <c r="CJX379" s="21"/>
      <c r="CJY379" s="15"/>
      <c r="CJZ379" s="15"/>
      <c r="CKA379" s="15"/>
      <c r="CKB379" s="15"/>
      <c r="CKC379" s="15"/>
      <c r="CKD379" s="15"/>
      <c r="CKE379" s="15"/>
      <c r="CKF379" s="15"/>
      <c r="CKG379" s="15"/>
      <c r="CKH379" s="15"/>
      <c r="CKI379" s="10"/>
      <c r="CKJ379" s="10"/>
      <c r="CKK379" s="21"/>
      <c r="CKL379" s="21"/>
      <c r="CKO379" s="21"/>
      <c r="CKP379" s="15"/>
      <c r="CKQ379" s="15"/>
      <c r="CKR379" s="15"/>
      <c r="CKS379" s="15"/>
      <c r="CKT379" s="15"/>
      <c r="CKU379" s="15"/>
      <c r="CKV379" s="15"/>
      <c r="CKW379" s="15"/>
      <c r="CKX379" s="15"/>
      <c r="CKY379" s="15"/>
      <c r="CKZ379" s="10"/>
      <c r="CLA379" s="10"/>
      <c r="CLB379" s="21"/>
      <c r="CLC379" s="21"/>
      <c r="CLF379" s="21"/>
      <c r="CLG379" s="15"/>
      <c r="CLH379" s="15"/>
      <c r="CLI379" s="15"/>
      <c r="CLJ379" s="15"/>
      <c r="CLK379" s="15"/>
      <c r="CLL379" s="15"/>
      <c r="CLM379" s="15"/>
      <c r="CLN379" s="15"/>
      <c r="CLO379" s="15"/>
      <c r="CLP379" s="15"/>
      <c r="CLQ379" s="10"/>
      <c r="CLR379" s="10"/>
      <c r="CLS379" s="21"/>
      <c r="CLT379" s="21"/>
      <c r="CLW379" s="21"/>
      <c r="CLX379" s="15"/>
      <c r="CLY379" s="15"/>
      <c r="CLZ379" s="15"/>
      <c r="CMA379" s="15"/>
      <c r="CMB379" s="15"/>
      <c r="CMC379" s="15"/>
      <c r="CMD379" s="15"/>
      <c r="CME379" s="15"/>
      <c r="CMF379" s="15"/>
      <c r="CMG379" s="15"/>
      <c r="CMH379" s="10"/>
      <c r="CMI379" s="10"/>
      <c r="CMJ379" s="21"/>
      <c r="CMK379" s="21"/>
      <c r="CMN379" s="21"/>
      <c r="CMO379" s="15"/>
      <c r="CMP379" s="15"/>
      <c r="CMQ379" s="15"/>
      <c r="CMR379" s="15"/>
      <c r="CMS379" s="15"/>
      <c r="CMT379" s="15"/>
      <c r="CMU379" s="15"/>
      <c r="CMV379" s="15"/>
      <c r="CMW379" s="15"/>
      <c r="CMX379" s="15"/>
      <c r="CMY379" s="10"/>
      <c r="CMZ379" s="10"/>
      <c r="CNA379" s="21"/>
      <c r="CNB379" s="21"/>
      <c r="CNE379" s="21"/>
      <c r="CNF379" s="15"/>
      <c r="CNG379" s="15"/>
      <c r="CNH379" s="15"/>
      <c r="CNI379" s="15"/>
      <c r="CNJ379" s="15"/>
      <c r="CNK379" s="15"/>
      <c r="CNL379" s="15"/>
      <c r="CNM379" s="15"/>
      <c r="CNN379" s="15"/>
      <c r="CNO379" s="15"/>
      <c r="CNP379" s="10"/>
      <c r="CNQ379" s="10"/>
      <c r="CNR379" s="21"/>
      <c r="CNS379" s="21"/>
      <c r="CNV379" s="21"/>
      <c r="CNW379" s="15"/>
      <c r="CNX379" s="15"/>
      <c r="CNY379" s="15"/>
      <c r="CNZ379" s="15"/>
      <c r="COA379" s="15"/>
      <c r="COB379" s="15"/>
      <c r="COC379" s="15"/>
      <c r="COD379" s="15"/>
      <c r="COE379" s="15"/>
      <c r="COF379" s="15"/>
      <c r="COG379" s="10"/>
      <c r="COH379" s="10"/>
      <c r="COI379" s="21"/>
      <c r="COJ379" s="21"/>
      <c r="COM379" s="21"/>
      <c r="CON379" s="15"/>
      <c r="COO379" s="15"/>
      <c r="COP379" s="15"/>
      <c r="COQ379" s="15"/>
      <c r="COR379" s="15"/>
      <c r="COS379" s="15"/>
      <c r="COT379" s="15"/>
      <c r="COU379" s="15"/>
      <c r="COV379" s="15"/>
      <c r="COW379" s="15"/>
      <c r="COX379" s="10"/>
      <c r="COY379" s="10"/>
      <c r="COZ379" s="21"/>
      <c r="CPA379" s="21"/>
      <c r="CPD379" s="21"/>
      <c r="CPE379" s="15"/>
      <c r="CPF379" s="15"/>
      <c r="CPG379" s="15"/>
      <c r="CPH379" s="15"/>
      <c r="CPI379" s="15"/>
      <c r="CPJ379" s="15"/>
      <c r="CPK379" s="15"/>
      <c r="CPL379" s="15"/>
      <c r="CPM379" s="15"/>
      <c r="CPN379" s="15"/>
      <c r="CPO379" s="10"/>
      <c r="CPP379" s="10"/>
      <c r="CPQ379" s="21"/>
      <c r="CPR379" s="21"/>
      <c r="CPU379" s="21"/>
      <c r="CPV379" s="15"/>
      <c r="CPW379" s="15"/>
      <c r="CPX379" s="15"/>
      <c r="CPY379" s="15"/>
      <c r="CPZ379" s="15"/>
      <c r="CQA379" s="15"/>
      <c r="CQB379" s="15"/>
      <c r="CQC379" s="15"/>
      <c r="CQD379" s="15"/>
      <c r="CQE379" s="15"/>
      <c r="CQF379" s="10"/>
      <c r="CQG379" s="10"/>
      <c r="CQH379" s="21"/>
      <c r="CQI379" s="21"/>
      <c r="CQL379" s="21"/>
      <c r="CQM379" s="15"/>
      <c r="CQN379" s="15"/>
      <c r="CQO379" s="15"/>
      <c r="CQP379" s="15"/>
      <c r="CQQ379" s="15"/>
      <c r="CQR379" s="15"/>
      <c r="CQS379" s="15"/>
      <c r="CQT379" s="15"/>
      <c r="CQU379" s="15"/>
      <c r="CQV379" s="15"/>
      <c r="CQW379" s="10"/>
      <c r="CQX379" s="10"/>
      <c r="CQY379" s="21"/>
      <c r="CQZ379" s="21"/>
      <c r="CRC379" s="21"/>
      <c r="CRD379" s="15"/>
      <c r="CRE379" s="15"/>
      <c r="CRF379" s="15"/>
      <c r="CRG379" s="15"/>
      <c r="CRH379" s="15"/>
      <c r="CRI379" s="15"/>
      <c r="CRJ379" s="15"/>
      <c r="CRK379" s="15"/>
      <c r="CRL379" s="15"/>
      <c r="CRM379" s="15"/>
      <c r="CRN379" s="10"/>
      <c r="CRO379" s="10"/>
      <c r="CRP379" s="21"/>
      <c r="CRQ379" s="21"/>
      <c r="CRT379" s="21"/>
      <c r="CRU379" s="15"/>
      <c r="CRV379" s="15"/>
      <c r="CRW379" s="15"/>
      <c r="CRX379" s="15"/>
      <c r="CRY379" s="15"/>
      <c r="CRZ379" s="15"/>
      <c r="CSA379" s="15"/>
      <c r="CSB379" s="15"/>
      <c r="CSC379" s="15"/>
      <c r="CSD379" s="15"/>
      <c r="CSE379" s="10"/>
      <c r="CSF379" s="10"/>
      <c r="CSG379" s="21"/>
      <c r="CSH379" s="21"/>
      <c r="CSK379" s="21"/>
      <c r="CSL379" s="15"/>
      <c r="CSM379" s="15"/>
      <c r="CSN379" s="15"/>
      <c r="CSO379" s="15"/>
      <c r="CSP379" s="15"/>
      <c r="CSQ379" s="15"/>
      <c r="CSR379" s="15"/>
      <c r="CSS379" s="15"/>
      <c r="CST379" s="15"/>
      <c r="CSU379" s="15"/>
      <c r="CSV379" s="10"/>
      <c r="CSW379" s="10"/>
      <c r="CSX379" s="21"/>
      <c r="CSY379" s="21"/>
      <c r="CTB379" s="21"/>
      <c r="CTC379" s="15"/>
      <c r="CTD379" s="15"/>
      <c r="CTE379" s="15"/>
      <c r="CTF379" s="15"/>
      <c r="CTG379" s="15"/>
      <c r="CTH379" s="15"/>
      <c r="CTI379" s="15"/>
      <c r="CTJ379" s="15"/>
      <c r="CTK379" s="15"/>
      <c r="CTL379" s="15"/>
      <c r="CTM379" s="10"/>
      <c r="CTN379" s="10"/>
      <c r="CTO379" s="21"/>
      <c r="CTP379" s="21"/>
      <c r="CTS379" s="21"/>
      <c r="CTT379" s="15"/>
      <c r="CTU379" s="15"/>
      <c r="CTV379" s="15"/>
      <c r="CTW379" s="15"/>
      <c r="CTX379" s="15"/>
      <c r="CTY379" s="15"/>
      <c r="CTZ379" s="15"/>
      <c r="CUA379" s="15"/>
      <c r="CUB379" s="15"/>
      <c r="CUC379" s="15"/>
      <c r="CUD379" s="10"/>
      <c r="CUE379" s="10"/>
      <c r="CUF379" s="21"/>
      <c r="CUG379" s="21"/>
      <c r="CUJ379" s="21"/>
      <c r="CUK379" s="15"/>
      <c r="CUL379" s="15"/>
      <c r="CUM379" s="15"/>
      <c r="CUN379" s="15"/>
      <c r="CUO379" s="15"/>
      <c r="CUP379" s="15"/>
      <c r="CUQ379" s="15"/>
      <c r="CUR379" s="15"/>
      <c r="CUS379" s="15"/>
      <c r="CUT379" s="15"/>
      <c r="CUU379" s="10"/>
      <c r="CUV379" s="10"/>
      <c r="CUW379" s="21"/>
      <c r="CUX379" s="21"/>
      <c r="CVA379" s="21"/>
      <c r="CVB379" s="15"/>
      <c r="CVC379" s="15"/>
      <c r="CVD379" s="15"/>
      <c r="CVE379" s="15"/>
      <c r="CVF379" s="15"/>
      <c r="CVG379" s="15"/>
      <c r="CVH379" s="15"/>
      <c r="CVI379" s="15"/>
      <c r="CVJ379" s="15"/>
      <c r="CVK379" s="15"/>
      <c r="CVL379" s="10"/>
      <c r="CVM379" s="10"/>
      <c r="CVN379" s="21"/>
      <c r="CVO379" s="21"/>
      <c r="CVR379" s="21"/>
      <c r="CVS379" s="15"/>
      <c r="CVT379" s="15"/>
      <c r="CVU379" s="15"/>
      <c r="CVV379" s="15"/>
      <c r="CVW379" s="15"/>
      <c r="CVX379" s="15"/>
      <c r="CVY379" s="15"/>
      <c r="CVZ379" s="15"/>
      <c r="CWA379" s="15"/>
      <c r="CWB379" s="15"/>
      <c r="CWC379" s="10"/>
      <c r="CWD379" s="10"/>
      <c r="CWE379" s="21"/>
      <c r="CWF379" s="21"/>
      <c r="CWI379" s="21"/>
      <c r="CWJ379" s="15"/>
      <c r="CWK379" s="15"/>
      <c r="CWL379" s="15"/>
      <c r="CWM379" s="15"/>
      <c r="CWN379" s="15"/>
      <c r="CWO379" s="15"/>
      <c r="CWP379" s="15"/>
      <c r="CWQ379" s="15"/>
      <c r="CWR379" s="15"/>
      <c r="CWS379" s="15"/>
      <c r="CWT379" s="10"/>
      <c r="CWU379" s="10"/>
      <c r="CWV379" s="21"/>
      <c r="CWW379" s="21"/>
      <c r="CWZ379" s="21"/>
      <c r="CXA379" s="15"/>
      <c r="CXB379" s="15"/>
      <c r="CXC379" s="15"/>
      <c r="CXD379" s="15"/>
      <c r="CXE379" s="15"/>
      <c r="CXF379" s="15"/>
      <c r="CXG379" s="15"/>
      <c r="CXH379" s="15"/>
      <c r="CXI379" s="15"/>
      <c r="CXJ379" s="15"/>
      <c r="CXK379" s="10"/>
      <c r="CXL379" s="10"/>
      <c r="CXM379" s="21"/>
      <c r="CXN379" s="21"/>
      <c r="CXQ379" s="21"/>
      <c r="CXR379" s="15"/>
      <c r="CXS379" s="15"/>
      <c r="CXT379" s="15"/>
      <c r="CXU379" s="15"/>
      <c r="CXV379" s="15"/>
      <c r="CXW379" s="15"/>
      <c r="CXX379" s="15"/>
      <c r="CXY379" s="15"/>
      <c r="CXZ379" s="15"/>
      <c r="CYA379" s="15"/>
      <c r="CYB379" s="10"/>
      <c r="CYC379" s="10"/>
      <c r="CYD379" s="21"/>
      <c r="CYE379" s="21"/>
      <c r="CYH379" s="21"/>
      <c r="CYI379" s="15"/>
      <c r="CYJ379" s="15"/>
      <c r="CYK379" s="15"/>
      <c r="CYL379" s="15"/>
      <c r="CYM379" s="15"/>
      <c r="CYN379" s="15"/>
      <c r="CYO379" s="15"/>
      <c r="CYP379" s="15"/>
      <c r="CYQ379" s="15"/>
      <c r="CYR379" s="15"/>
      <c r="CYS379" s="10"/>
      <c r="CYT379" s="10"/>
      <c r="CYU379" s="21"/>
      <c r="CYV379" s="21"/>
      <c r="CYY379" s="21"/>
      <c r="CYZ379" s="15"/>
      <c r="CZA379" s="15"/>
      <c r="CZB379" s="15"/>
      <c r="CZC379" s="15"/>
      <c r="CZD379" s="15"/>
      <c r="CZE379" s="15"/>
      <c r="CZF379" s="15"/>
      <c r="CZG379" s="15"/>
      <c r="CZH379" s="15"/>
      <c r="CZI379" s="15"/>
      <c r="CZJ379" s="10"/>
      <c r="CZK379" s="10"/>
      <c r="CZL379" s="21"/>
      <c r="CZM379" s="21"/>
      <c r="CZP379" s="21"/>
      <c r="CZQ379" s="15"/>
      <c r="CZR379" s="15"/>
      <c r="CZS379" s="15"/>
      <c r="CZT379" s="15"/>
      <c r="CZU379" s="15"/>
      <c r="CZV379" s="15"/>
      <c r="CZW379" s="15"/>
      <c r="CZX379" s="15"/>
      <c r="CZY379" s="15"/>
      <c r="CZZ379" s="15"/>
      <c r="DAA379" s="10"/>
      <c r="DAB379" s="10"/>
      <c r="DAC379" s="21"/>
      <c r="DAD379" s="21"/>
      <c r="DAG379" s="21"/>
      <c r="DAH379" s="15"/>
      <c r="DAI379" s="15"/>
      <c r="DAJ379" s="15"/>
      <c r="DAK379" s="15"/>
      <c r="DAL379" s="15"/>
      <c r="DAM379" s="15"/>
      <c r="DAN379" s="15"/>
      <c r="DAO379" s="15"/>
      <c r="DAP379" s="15"/>
      <c r="DAQ379" s="15"/>
      <c r="DAR379" s="10"/>
      <c r="DAS379" s="10"/>
      <c r="DAT379" s="21"/>
      <c r="DAU379" s="21"/>
      <c r="DAX379" s="21"/>
      <c r="DAY379" s="15"/>
      <c r="DAZ379" s="15"/>
      <c r="DBA379" s="15"/>
      <c r="DBB379" s="15"/>
      <c r="DBC379" s="15"/>
      <c r="DBD379" s="15"/>
      <c r="DBE379" s="15"/>
      <c r="DBF379" s="15"/>
      <c r="DBG379" s="15"/>
      <c r="DBH379" s="15"/>
      <c r="DBI379" s="10"/>
      <c r="DBJ379" s="10"/>
      <c r="DBK379" s="21"/>
      <c r="DBL379" s="21"/>
      <c r="DBO379" s="21"/>
      <c r="DBP379" s="15"/>
      <c r="DBQ379" s="15"/>
      <c r="DBR379" s="15"/>
      <c r="DBS379" s="15"/>
      <c r="DBT379" s="15"/>
      <c r="DBU379" s="15"/>
      <c r="DBV379" s="15"/>
      <c r="DBW379" s="15"/>
      <c r="DBX379" s="15"/>
      <c r="DBY379" s="15"/>
      <c r="DBZ379" s="10"/>
      <c r="DCA379" s="10"/>
      <c r="DCB379" s="21"/>
      <c r="DCC379" s="21"/>
      <c r="DCF379" s="21"/>
      <c r="DCG379" s="15"/>
      <c r="DCH379" s="15"/>
      <c r="DCI379" s="15"/>
      <c r="DCJ379" s="15"/>
      <c r="DCK379" s="15"/>
      <c r="DCL379" s="15"/>
      <c r="DCM379" s="15"/>
      <c r="DCN379" s="15"/>
      <c r="DCO379" s="15"/>
      <c r="DCP379" s="15"/>
      <c r="DCQ379" s="10"/>
      <c r="DCR379" s="10"/>
      <c r="DCS379" s="21"/>
      <c r="DCT379" s="21"/>
      <c r="DCW379" s="21"/>
      <c r="DCX379" s="15"/>
      <c r="DCY379" s="15"/>
      <c r="DCZ379" s="15"/>
      <c r="DDA379" s="15"/>
      <c r="DDB379" s="15"/>
      <c r="DDC379" s="15"/>
      <c r="DDD379" s="15"/>
      <c r="DDE379" s="15"/>
      <c r="DDF379" s="15"/>
      <c r="DDG379" s="15"/>
      <c r="DDH379" s="10"/>
      <c r="DDI379" s="10"/>
      <c r="DDJ379" s="21"/>
      <c r="DDK379" s="21"/>
      <c r="DDN379" s="21"/>
      <c r="DDO379" s="15"/>
      <c r="DDP379" s="15"/>
      <c r="DDQ379" s="15"/>
      <c r="DDR379" s="15"/>
      <c r="DDS379" s="15"/>
      <c r="DDT379" s="15"/>
      <c r="DDU379" s="15"/>
      <c r="DDV379" s="15"/>
      <c r="DDW379" s="15"/>
      <c r="DDX379" s="15"/>
      <c r="DDY379" s="10"/>
      <c r="DDZ379" s="10"/>
      <c r="DEA379" s="21"/>
      <c r="DEB379" s="21"/>
      <c r="DEE379" s="21"/>
      <c r="DEF379" s="15"/>
      <c r="DEG379" s="15"/>
      <c r="DEH379" s="15"/>
      <c r="DEI379" s="15"/>
      <c r="DEJ379" s="15"/>
      <c r="DEK379" s="15"/>
      <c r="DEL379" s="15"/>
      <c r="DEM379" s="15"/>
      <c r="DEN379" s="15"/>
      <c r="DEO379" s="15"/>
      <c r="DEP379" s="10"/>
      <c r="DEQ379" s="10"/>
      <c r="DER379" s="21"/>
      <c r="DES379" s="21"/>
      <c r="DEV379" s="21"/>
      <c r="DEW379" s="15"/>
      <c r="DEX379" s="15"/>
      <c r="DEY379" s="15"/>
      <c r="DEZ379" s="15"/>
      <c r="DFA379" s="15"/>
      <c r="DFB379" s="15"/>
      <c r="DFC379" s="15"/>
      <c r="DFD379" s="15"/>
      <c r="DFE379" s="15"/>
      <c r="DFF379" s="15"/>
      <c r="DFG379" s="10"/>
      <c r="DFH379" s="10"/>
      <c r="DFI379" s="21"/>
      <c r="DFJ379" s="21"/>
      <c r="DFM379" s="21"/>
      <c r="DFN379" s="15"/>
      <c r="DFO379" s="15"/>
      <c r="DFP379" s="15"/>
      <c r="DFQ379" s="15"/>
      <c r="DFR379" s="15"/>
      <c r="DFS379" s="15"/>
      <c r="DFT379" s="15"/>
      <c r="DFU379" s="15"/>
      <c r="DFV379" s="15"/>
      <c r="DFW379" s="15"/>
      <c r="DFX379" s="10"/>
      <c r="DFY379" s="10"/>
      <c r="DFZ379" s="21"/>
      <c r="DGA379" s="21"/>
      <c r="DGD379" s="21"/>
      <c r="DGE379" s="15"/>
      <c r="DGF379" s="15"/>
      <c r="DGG379" s="15"/>
      <c r="DGH379" s="15"/>
      <c r="DGI379" s="15"/>
      <c r="DGJ379" s="15"/>
      <c r="DGK379" s="15"/>
      <c r="DGL379" s="15"/>
      <c r="DGM379" s="15"/>
      <c r="DGN379" s="15"/>
      <c r="DGO379" s="10"/>
      <c r="DGP379" s="10"/>
      <c r="DGQ379" s="21"/>
      <c r="DGR379" s="21"/>
      <c r="DGU379" s="21"/>
      <c r="DGV379" s="15"/>
      <c r="DGW379" s="15"/>
      <c r="DGX379" s="15"/>
      <c r="DGY379" s="15"/>
      <c r="DGZ379" s="15"/>
      <c r="DHA379" s="15"/>
      <c r="DHB379" s="15"/>
      <c r="DHC379" s="15"/>
      <c r="DHD379" s="15"/>
      <c r="DHE379" s="15"/>
      <c r="DHF379" s="10"/>
      <c r="DHG379" s="10"/>
      <c r="DHH379" s="21"/>
      <c r="DHI379" s="21"/>
      <c r="DHL379" s="21"/>
      <c r="DHM379" s="15"/>
      <c r="DHN379" s="15"/>
      <c r="DHO379" s="15"/>
      <c r="DHP379" s="15"/>
      <c r="DHQ379" s="15"/>
      <c r="DHR379" s="15"/>
      <c r="DHS379" s="15"/>
      <c r="DHT379" s="15"/>
      <c r="DHU379" s="15"/>
      <c r="DHV379" s="15"/>
      <c r="DHW379" s="10"/>
      <c r="DHX379" s="10"/>
      <c r="DHY379" s="21"/>
      <c r="DHZ379" s="21"/>
      <c r="DIC379" s="21"/>
      <c r="DID379" s="15"/>
      <c r="DIE379" s="15"/>
      <c r="DIF379" s="15"/>
      <c r="DIG379" s="15"/>
      <c r="DIH379" s="15"/>
      <c r="DII379" s="15"/>
      <c r="DIJ379" s="15"/>
      <c r="DIK379" s="15"/>
      <c r="DIL379" s="15"/>
      <c r="DIM379" s="15"/>
      <c r="DIN379" s="10"/>
      <c r="DIO379" s="10"/>
      <c r="DIP379" s="21"/>
      <c r="DIQ379" s="21"/>
      <c r="DIT379" s="21"/>
      <c r="DIU379" s="15"/>
      <c r="DIV379" s="15"/>
      <c r="DIW379" s="15"/>
      <c r="DIX379" s="15"/>
      <c r="DIY379" s="15"/>
      <c r="DIZ379" s="15"/>
      <c r="DJA379" s="15"/>
      <c r="DJB379" s="15"/>
      <c r="DJC379" s="15"/>
      <c r="DJD379" s="15"/>
      <c r="DJE379" s="10"/>
      <c r="DJF379" s="10"/>
      <c r="DJG379" s="21"/>
      <c r="DJH379" s="21"/>
      <c r="DJK379" s="21"/>
      <c r="DJL379" s="15"/>
      <c r="DJM379" s="15"/>
      <c r="DJN379" s="15"/>
      <c r="DJO379" s="15"/>
      <c r="DJP379" s="15"/>
      <c r="DJQ379" s="15"/>
      <c r="DJR379" s="15"/>
      <c r="DJS379" s="15"/>
      <c r="DJT379" s="15"/>
      <c r="DJU379" s="15"/>
      <c r="DJV379" s="10"/>
      <c r="DJW379" s="10"/>
      <c r="DJX379" s="21"/>
      <c r="DJY379" s="21"/>
      <c r="DKB379" s="21"/>
      <c r="DKC379" s="15"/>
      <c r="DKD379" s="15"/>
      <c r="DKE379" s="15"/>
      <c r="DKF379" s="15"/>
      <c r="DKG379" s="15"/>
      <c r="DKH379" s="15"/>
      <c r="DKI379" s="15"/>
      <c r="DKJ379" s="15"/>
      <c r="DKK379" s="15"/>
      <c r="DKL379" s="15"/>
      <c r="DKM379" s="10"/>
      <c r="DKN379" s="10"/>
      <c r="DKO379" s="21"/>
      <c r="DKP379" s="21"/>
      <c r="DKS379" s="21"/>
      <c r="DKT379" s="15"/>
      <c r="DKU379" s="15"/>
      <c r="DKV379" s="15"/>
      <c r="DKW379" s="15"/>
      <c r="DKX379" s="15"/>
      <c r="DKY379" s="15"/>
      <c r="DKZ379" s="15"/>
      <c r="DLA379" s="15"/>
      <c r="DLB379" s="15"/>
      <c r="DLC379" s="15"/>
      <c r="DLD379" s="10"/>
      <c r="DLE379" s="10"/>
      <c r="DLF379" s="21"/>
      <c r="DLG379" s="21"/>
      <c r="DLJ379" s="21"/>
      <c r="DLK379" s="15"/>
      <c r="DLL379" s="15"/>
      <c r="DLM379" s="15"/>
      <c r="DLN379" s="15"/>
      <c r="DLO379" s="15"/>
      <c r="DLP379" s="15"/>
      <c r="DLQ379" s="15"/>
      <c r="DLR379" s="15"/>
      <c r="DLS379" s="15"/>
      <c r="DLT379" s="15"/>
      <c r="DLU379" s="10"/>
      <c r="DLV379" s="10"/>
      <c r="DLW379" s="21"/>
      <c r="DLX379" s="21"/>
      <c r="DMA379" s="21"/>
      <c r="DMB379" s="15"/>
      <c r="DMC379" s="15"/>
      <c r="DMD379" s="15"/>
      <c r="DME379" s="15"/>
      <c r="DMF379" s="15"/>
      <c r="DMG379" s="15"/>
      <c r="DMH379" s="15"/>
      <c r="DMI379" s="15"/>
      <c r="DMJ379" s="15"/>
      <c r="DMK379" s="15"/>
      <c r="DML379" s="10"/>
      <c r="DMM379" s="10"/>
      <c r="DMN379" s="21"/>
      <c r="DMO379" s="21"/>
      <c r="DMR379" s="21"/>
      <c r="DMS379" s="15"/>
      <c r="DMT379" s="15"/>
      <c r="DMU379" s="15"/>
      <c r="DMV379" s="15"/>
      <c r="DMW379" s="15"/>
      <c r="DMX379" s="15"/>
      <c r="DMY379" s="15"/>
      <c r="DMZ379" s="15"/>
      <c r="DNA379" s="15"/>
      <c r="DNB379" s="15"/>
      <c r="DNC379" s="10"/>
      <c r="DND379" s="10"/>
      <c r="DNE379" s="21"/>
      <c r="DNF379" s="21"/>
      <c r="DNI379" s="21"/>
      <c r="DNJ379" s="15"/>
      <c r="DNK379" s="15"/>
      <c r="DNL379" s="15"/>
      <c r="DNM379" s="15"/>
      <c r="DNN379" s="15"/>
      <c r="DNO379" s="15"/>
      <c r="DNP379" s="15"/>
      <c r="DNQ379" s="15"/>
      <c r="DNR379" s="15"/>
      <c r="DNS379" s="15"/>
      <c r="DNT379" s="10"/>
      <c r="DNU379" s="10"/>
      <c r="DNV379" s="21"/>
      <c r="DNW379" s="21"/>
      <c r="DNZ379" s="21"/>
      <c r="DOA379" s="15"/>
      <c r="DOB379" s="15"/>
      <c r="DOC379" s="15"/>
      <c r="DOD379" s="15"/>
      <c r="DOE379" s="15"/>
      <c r="DOF379" s="15"/>
      <c r="DOG379" s="15"/>
      <c r="DOH379" s="15"/>
      <c r="DOI379" s="15"/>
      <c r="DOJ379" s="15"/>
      <c r="DOK379" s="10"/>
      <c r="DOL379" s="10"/>
      <c r="DOM379" s="21"/>
      <c r="DON379" s="21"/>
      <c r="DOQ379" s="21"/>
      <c r="DOR379" s="15"/>
      <c r="DOS379" s="15"/>
      <c r="DOT379" s="15"/>
      <c r="DOU379" s="15"/>
      <c r="DOV379" s="15"/>
      <c r="DOW379" s="15"/>
      <c r="DOX379" s="15"/>
      <c r="DOY379" s="15"/>
      <c r="DOZ379" s="15"/>
      <c r="DPA379" s="15"/>
      <c r="DPB379" s="10"/>
      <c r="DPC379" s="10"/>
      <c r="DPD379" s="21"/>
      <c r="DPE379" s="21"/>
      <c r="DPH379" s="21"/>
      <c r="DPI379" s="15"/>
      <c r="DPJ379" s="15"/>
      <c r="DPK379" s="15"/>
      <c r="DPL379" s="15"/>
      <c r="DPM379" s="15"/>
      <c r="DPN379" s="15"/>
      <c r="DPO379" s="15"/>
      <c r="DPP379" s="15"/>
      <c r="DPQ379" s="15"/>
      <c r="DPR379" s="15"/>
      <c r="DPS379" s="10"/>
      <c r="DPT379" s="10"/>
      <c r="DPU379" s="21"/>
      <c r="DPV379" s="21"/>
      <c r="DPY379" s="21"/>
      <c r="DPZ379" s="15"/>
      <c r="DQA379" s="15"/>
      <c r="DQB379" s="15"/>
      <c r="DQC379" s="15"/>
      <c r="DQD379" s="15"/>
      <c r="DQE379" s="15"/>
      <c r="DQF379" s="15"/>
      <c r="DQG379" s="15"/>
      <c r="DQH379" s="15"/>
      <c r="DQI379" s="15"/>
      <c r="DQJ379" s="10"/>
      <c r="DQK379" s="10"/>
      <c r="DQL379" s="21"/>
      <c r="DQM379" s="21"/>
      <c r="DQP379" s="21"/>
      <c r="DQQ379" s="15"/>
      <c r="DQR379" s="15"/>
      <c r="DQS379" s="15"/>
      <c r="DQT379" s="15"/>
      <c r="DQU379" s="15"/>
      <c r="DQV379" s="15"/>
      <c r="DQW379" s="15"/>
      <c r="DQX379" s="15"/>
      <c r="DQY379" s="15"/>
      <c r="DQZ379" s="15"/>
      <c r="DRA379" s="10"/>
      <c r="DRB379" s="10"/>
      <c r="DRC379" s="21"/>
      <c r="DRD379" s="21"/>
      <c r="DRG379" s="21"/>
      <c r="DRH379" s="15"/>
      <c r="DRI379" s="15"/>
      <c r="DRJ379" s="15"/>
      <c r="DRK379" s="15"/>
      <c r="DRL379" s="15"/>
      <c r="DRM379" s="15"/>
      <c r="DRN379" s="15"/>
      <c r="DRO379" s="15"/>
      <c r="DRP379" s="15"/>
      <c r="DRQ379" s="15"/>
      <c r="DRR379" s="10"/>
      <c r="DRS379" s="10"/>
      <c r="DRT379" s="21"/>
      <c r="DRU379" s="21"/>
      <c r="DRX379" s="21"/>
      <c r="DRY379" s="15"/>
      <c r="DRZ379" s="15"/>
      <c r="DSA379" s="15"/>
      <c r="DSB379" s="15"/>
      <c r="DSC379" s="15"/>
      <c r="DSD379" s="15"/>
      <c r="DSE379" s="15"/>
      <c r="DSF379" s="15"/>
      <c r="DSG379" s="15"/>
      <c r="DSH379" s="15"/>
      <c r="DSI379" s="10"/>
      <c r="DSJ379" s="10"/>
      <c r="DSK379" s="21"/>
      <c r="DSL379" s="21"/>
      <c r="DSO379" s="21"/>
      <c r="DSP379" s="15"/>
      <c r="DSQ379" s="15"/>
      <c r="DSR379" s="15"/>
      <c r="DSS379" s="15"/>
      <c r="DST379" s="15"/>
      <c r="DSU379" s="15"/>
      <c r="DSV379" s="15"/>
      <c r="DSW379" s="15"/>
      <c r="DSX379" s="15"/>
      <c r="DSY379" s="15"/>
      <c r="DSZ379" s="10"/>
      <c r="DTA379" s="10"/>
      <c r="DTB379" s="21"/>
      <c r="DTC379" s="21"/>
      <c r="DTF379" s="21"/>
      <c r="DTG379" s="15"/>
      <c r="DTH379" s="15"/>
      <c r="DTI379" s="15"/>
      <c r="DTJ379" s="15"/>
      <c r="DTK379" s="15"/>
      <c r="DTL379" s="15"/>
      <c r="DTM379" s="15"/>
      <c r="DTN379" s="15"/>
      <c r="DTO379" s="15"/>
      <c r="DTP379" s="15"/>
      <c r="DTQ379" s="10"/>
      <c r="DTR379" s="10"/>
      <c r="DTS379" s="21"/>
      <c r="DTT379" s="21"/>
      <c r="DTW379" s="21"/>
      <c r="DTX379" s="15"/>
      <c r="DTY379" s="15"/>
      <c r="DTZ379" s="15"/>
      <c r="DUA379" s="15"/>
      <c r="DUB379" s="15"/>
      <c r="DUC379" s="15"/>
      <c r="DUD379" s="15"/>
      <c r="DUE379" s="15"/>
      <c r="DUF379" s="15"/>
      <c r="DUG379" s="15"/>
      <c r="DUH379" s="10"/>
      <c r="DUI379" s="10"/>
      <c r="DUJ379" s="21"/>
      <c r="DUK379" s="21"/>
      <c r="DUN379" s="21"/>
      <c r="DUO379" s="15"/>
      <c r="DUP379" s="15"/>
      <c r="DUQ379" s="15"/>
      <c r="DUR379" s="15"/>
      <c r="DUS379" s="15"/>
      <c r="DUT379" s="15"/>
      <c r="DUU379" s="15"/>
      <c r="DUV379" s="15"/>
      <c r="DUW379" s="15"/>
      <c r="DUX379" s="15"/>
      <c r="DUY379" s="10"/>
      <c r="DUZ379" s="10"/>
      <c r="DVA379" s="21"/>
      <c r="DVB379" s="21"/>
      <c r="DVE379" s="21"/>
      <c r="DVF379" s="15"/>
      <c r="DVG379" s="15"/>
      <c r="DVH379" s="15"/>
      <c r="DVI379" s="15"/>
      <c r="DVJ379" s="15"/>
      <c r="DVK379" s="15"/>
      <c r="DVL379" s="15"/>
      <c r="DVM379" s="15"/>
      <c r="DVN379" s="15"/>
      <c r="DVO379" s="15"/>
      <c r="DVP379" s="10"/>
      <c r="DVQ379" s="10"/>
      <c r="DVR379" s="21"/>
      <c r="DVS379" s="21"/>
      <c r="DVV379" s="21"/>
      <c r="DVW379" s="15"/>
      <c r="DVX379" s="15"/>
      <c r="DVY379" s="15"/>
      <c r="DVZ379" s="15"/>
      <c r="DWA379" s="15"/>
      <c r="DWB379" s="15"/>
      <c r="DWC379" s="15"/>
      <c r="DWD379" s="15"/>
      <c r="DWE379" s="15"/>
      <c r="DWF379" s="15"/>
      <c r="DWG379" s="10"/>
      <c r="DWH379" s="10"/>
      <c r="DWI379" s="21"/>
      <c r="DWJ379" s="21"/>
      <c r="DWM379" s="21"/>
      <c r="DWN379" s="15"/>
      <c r="DWO379" s="15"/>
      <c r="DWP379" s="15"/>
      <c r="DWQ379" s="15"/>
      <c r="DWR379" s="15"/>
      <c r="DWS379" s="15"/>
      <c r="DWT379" s="15"/>
      <c r="DWU379" s="15"/>
      <c r="DWV379" s="15"/>
      <c r="DWW379" s="15"/>
      <c r="DWX379" s="10"/>
      <c r="DWY379" s="10"/>
      <c r="DWZ379" s="21"/>
      <c r="DXA379" s="21"/>
      <c r="DXD379" s="21"/>
      <c r="DXE379" s="15"/>
      <c r="DXF379" s="15"/>
      <c r="DXG379" s="15"/>
      <c r="DXH379" s="15"/>
      <c r="DXI379" s="15"/>
      <c r="DXJ379" s="15"/>
      <c r="DXK379" s="15"/>
      <c r="DXL379" s="15"/>
      <c r="DXM379" s="15"/>
      <c r="DXN379" s="15"/>
      <c r="DXO379" s="10"/>
      <c r="DXP379" s="10"/>
      <c r="DXQ379" s="21"/>
      <c r="DXR379" s="21"/>
      <c r="DXU379" s="21"/>
      <c r="DXV379" s="15"/>
      <c r="DXW379" s="15"/>
      <c r="DXX379" s="15"/>
      <c r="DXY379" s="15"/>
      <c r="DXZ379" s="15"/>
      <c r="DYA379" s="15"/>
      <c r="DYB379" s="15"/>
      <c r="DYC379" s="15"/>
      <c r="DYD379" s="15"/>
      <c r="DYE379" s="15"/>
      <c r="DYF379" s="10"/>
      <c r="DYG379" s="10"/>
      <c r="DYH379" s="21"/>
      <c r="DYI379" s="21"/>
      <c r="DYL379" s="21"/>
      <c r="DYM379" s="15"/>
      <c r="DYN379" s="15"/>
      <c r="DYO379" s="15"/>
      <c r="DYP379" s="15"/>
      <c r="DYQ379" s="15"/>
      <c r="DYR379" s="15"/>
      <c r="DYS379" s="15"/>
      <c r="DYT379" s="15"/>
      <c r="DYU379" s="15"/>
      <c r="DYV379" s="15"/>
      <c r="DYW379" s="10"/>
      <c r="DYX379" s="10"/>
      <c r="DYY379" s="21"/>
      <c r="DYZ379" s="21"/>
      <c r="DZC379" s="21"/>
      <c r="DZD379" s="15"/>
      <c r="DZE379" s="15"/>
      <c r="DZF379" s="15"/>
      <c r="DZG379" s="15"/>
      <c r="DZH379" s="15"/>
      <c r="DZI379" s="15"/>
      <c r="DZJ379" s="15"/>
      <c r="DZK379" s="15"/>
      <c r="DZL379" s="15"/>
      <c r="DZM379" s="15"/>
      <c r="DZN379" s="10"/>
      <c r="DZO379" s="10"/>
      <c r="DZP379" s="21"/>
      <c r="DZQ379" s="21"/>
      <c r="DZT379" s="21"/>
      <c r="DZU379" s="15"/>
      <c r="DZV379" s="15"/>
      <c r="DZW379" s="15"/>
      <c r="DZX379" s="15"/>
      <c r="DZY379" s="15"/>
      <c r="DZZ379" s="15"/>
      <c r="EAA379" s="15"/>
      <c r="EAB379" s="15"/>
      <c r="EAC379" s="15"/>
      <c r="EAD379" s="15"/>
      <c r="EAE379" s="10"/>
      <c r="EAF379" s="10"/>
      <c r="EAG379" s="21"/>
      <c r="EAH379" s="21"/>
      <c r="EAK379" s="21"/>
      <c r="EAL379" s="15"/>
      <c r="EAM379" s="15"/>
      <c r="EAN379" s="15"/>
      <c r="EAO379" s="15"/>
      <c r="EAP379" s="15"/>
      <c r="EAQ379" s="15"/>
      <c r="EAR379" s="15"/>
      <c r="EAS379" s="15"/>
      <c r="EAT379" s="15"/>
      <c r="EAU379" s="15"/>
      <c r="EAV379" s="10"/>
      <c r="EAW379" s="10"/>
      <c r="EAX379" s="21"/>
      <c r="EAY379" s="21"/>
      <c r="EBB379" s="21"/>
      <c r="EBC379" s="15"/>
      <c r="EBD379" s="15"/>
      <c r="EBE379" s="15"/>
      <c r="EBF379" s="15"/>
      <c r="EBG379" s="15"/>
      <c r="EBH379" s="15"/>
      <c r="EBI379" s="15"/>
      <c r="EBJ379" s="15"/>
      <c r="EBK379" s="15"/>
      <c r="EBL379" s="15"/>
      <c r="EBM379" s="10"/>
      <c r="EBN379" s="10"/>
      <c r="EBO379" s="21"/>
      <c r="EBP379" s="21"/>
      <c r="EBS379" s="21"/>
      <c r="EBT379" s="15"/>
      <c r="EBU379" s="15"/>
      <c r="EBV379" s="15"/>
      <c r="EBW379" s="15"/>
      <c r="EBX379" s="15"/>
      <c r="EBY379" s="15"/>
      <c r="EBZ379" s="15"/>
      <c r="ECA379" s="15"/>
      <c r="ECB379" s="15"/>
      <c r="ECC379" s="15"/>
      <c r="ECD379" s="10"/>
      <c r="ECE379" s="10"/>
      <c r="ECF379" s="21"/>
      <c r="ECG379" s="21"/>
      <c r="ECJ379" s="21"/>
      <c r="ECK379" s="15"/>
      <c r="ECL379" s="15"/>
      <c r="ECM379" s="15"/>
      <c r="ECN379" s="15"/>
      <c r="ECO379" s="15"/>
      <c r="ECP379" s="15"/>
      <c r="ECQ379" s="15"/>
      <c r="ECR379" s="15"/>
      <c r="ECS379" s="15"/>
      <c r="ECT379" s="15"/>
      <c r="ECU379" s="10"/>
      <c r="ECV379" s="10"/>
      <c r="ECW379" s="21"/>
      <c r="ECX379" s="21"/>
      <c r="EDA379" s="21"/>
      <c r="EDB379" s="15"/>
      <c r="EDC379" s="15"/>
      <c r="EDD379" s="15"/>
      <c r="EDE379" s="15"/>
      <c r="EDF379" s="15"/>
      <c r="EDG379" s="15"/>
      <c r="EDH379" s="15"/>
      <c r="EDI379" s="15"/>
      <c r="EDJ379" s="15"/>
      <c r="EDK379" s="15"/>
      <c r="EDL379" s="10"/>
      <c r="EDM379" s="10"/>
      <c r="EDN379" s="21"/>
      <c r="EDO379" s="21"/>
      <c r="EDR379" s="21"/>
      <c r="EDS379" s="15"/>
      <c r="EDT379" s="15"/>
      <c r="EDU379" s="15"/>
      <c r="EDV379" s="15"/>
      <c r="EDW379" s="15"/>
      <c r="EDX379" s="15"/>
      <c r="EDY379" s="15"/>
      <c r="EDZ379" s="15"/>
      <c r="EEA379" s="15"/>
      <c r="EEB379" s="15"/>
      <c r="EEC379" s="10"/>
      <c r="EED379" s="10"/>
      <c r="EEE379" s="21"/>
      <c r="EEF379" s="21"/>
      <c r="EEI379" s="21"/>
      <c r="EEJ379" s="15"/>
      <c r="EEK379" s="15"/>
      <c r="EEL379" s="15"/>
      <c r="EEM379" s="15"/>
      <c r="EEN379" s="15"/>
      <c r="EEO379" s="15"/>
      <c r="EEP379" s="15"/>
      <c r="EEQ379" s="15"/>
      <c r="EER379" s="15"/>
      <c r="EES379" s="15"/>
      <c r="EET379" s="10"/>
      <c r="EEU379" s="10"/>
      <c r="EEV379" s="21"/>
      <c r="EEW379" s="21"/>
      <c r="EEZ379" s="21"/>
      <c r="EFA379" s="15"/>
      <c r="EFB379" s="15"/>
      <c r="EFC379" s="15"/>
      <c r="EFD379" s="15"/>
      <c r="EFE379" s="15"/>
      <c r="EFF379" s="15"/>
      <c r="EFG379" s="15"/>
      <c r="EFH379" s="15"/>
      <c r="EFI379" s="15"/>
      <c r="EFJ379" s="15"/>
      <c r="EFK379" s="10"/>
      <c r="EFL379" s="10"/>
      <c r="EFM379" s="21"/>
      <c r="EFN379" s="21"/>
      <c r="EFQ379" s="21"/>
      <c r="EFR379" s="15"/>
      <c r="EFS379" s="15"/>
      <c r="EFT379" s="15"/>
      <c r="EFU379" s="15"/>
      <c r="EFV379" s="15"/>
      <c r="EFW379" s="15"/>
      <c r="EFX379" s="15"/>
      <c r="EFY379" s="15"/>
      <c r="EFZ379" s="15"/>
      <c r="EGA379" s="15"/>
      <c r="EGB379" s="10"/>
      <c r="EGC379" s="10"/>
      <c r="EGD379" s="21"/>
      <c r="EGE379" s="21"/>
      <c r="EGH379" s="21"/>
      <c r="EGI379" s="15"/>
      <c r="EGJ379" s="15"/>
      <c r="EGK379" s="15"/>
      <c r="EGL379" s="15"/>
      <c r="EGM379" s="15"/>
      <c r="EGN379" s="15"/>
      <c r="EGO379" s="15"/>
      <c r="EGP379" s="15"/>
      <c r="EGQ379" s="15"/>
      <c r="EGR379" s="15"/>
      <c r="EGS379" s="10"/>
      <c r="EGT379" s="10"/>
      <c r="EGU379" s="21"/>
      <c r="EGV379" s="21"/>
      <c r="EGY379" s="21"/>
      <c r="EGZ379" s="15"/>
      <c r="EHA379" s="15"/>
      <c r="EHB379" s="15"/>
      <c r="EHC379" s="15"/>
      <c r="EHD379" s="15"/>
      <c r="EHE379" s="15"/>
      <c r="EHF379" s="15"/>
      <c r="EHG379" s="15"/>
      <c r="EHH379" s="15"/>
      <c r="EHI379" s="15"/>
      <c r="EHJ379" s="10"/>
      <c r="EHK379" s="10"/>
      <c r="EHL379" s="21"/>
      <c r="EHM379" s="21"/>
      <c r="EHP379" s="21"/>
      <c r="EHQ379" s="15"/>
      <c r="EHR379" s="15"/>
      <c r="EHS379" s="15"/>
      <c r="EHT379" s="15"/>
      <c r="EHU379" s="15"/>
      <c r="EHV379" s="15"/>
      <c r="EHW379" s="15"/>
      <c r="EHX379" s="15"/>
      <c r="EHY379" s="15"/>
      <c r="EHZ379" s="15"/>
      <c r="EIA379" s="10"/>
      <c r="EIB379" s="10"/>
      <c r="EIC379" s="21"/>
      <c r="EID379" s="21"/>
      <c r="EIG379" s="21"/>
      <c r="EIH379" s="15"/>
      <c r="EII379" s="15"/>
      <c r="EIJ379" s="15"/>
      <c r="EIK379" s="15"/>
      <c r="EIL379" s="15"/>
      <c r="EIM379" s="15"/>
      <c r="EIN379" s="15"/>
      <c r="EIO379" s="15"/>
      <c r="EIP379" s="15"/>
      <c r="EIQ379" s="15"/>
      <c r="EIR379" s="10"/>
      <c r="EIS379" s="10"/>
      <c r="EIT379" s="21"/>
      <c r="EIU379" s="21"/>
      <c r="EIX379" s="21"/>
      <c r="EIY379" s="15"/>
      <c r="EIZ379" s="15"/>
      <c r="EJA379" s="15"/>
      <c r="EJB379" s="15"/>
      <c r="EJC379" s="15"/>
      <c r="EJD379" s="15"/>
      <c r="EJE379" s="15"/>
      <c r="EJF379" s="15"/>
      <c r="EJG379" s="15"/>
      <c r="EJH379" s="15"/>
      <c r="EJI379" s="10"/>
      <c r="EJJ379" s="10"/>
      <c r="EJK379" s="21"/>
      <c r="EJL379" s="21"/>
      <c r="EJO379" s="21"/>
      <c r="EJP379" s="15"/>
      <c r="EJQ379" s="15"/>
      <c r="EJR379" s="15"/>
      <c r="EJS379" s="15"/>
      <c r="EJT379" s="15"/>
      <c r="EJU379" s="15"/>
      <c r="EJV379" s="15"/>
      <c r="EJW379" s="15"/>
      <c r="EJX379" s="15"/>
      <c r="EJY379" s="15"/>
      <c r="EJZ379" s="10"/>
      <c r="EKA379" s="10"/>
      <c r="EKB379" s="21"/>
      <c r="EKC379" s="21"/>
      <c r="EKF379" s="21"/>
      <c r="EKG379" s="15"/>
      <c r="EKH379" s="15"/>
      <c r="EKI379" s="15"/>
      <c r="EKJ379" s="15"/>
      <c r="EKK379" s="15"/>
      <c r="EKL379" s="15"/>
      <c r="EKM379" s="15"/>
      <c r="EKN379" s="15"/>
      <c r="EKO379" s="15"/>
      <c r="EKP379" s="15"/>
      <c r="EKQ379" s="10"/>
      <c r="EKR379" s="10"/>
      <c r="EKS379" s="21"/>
      <c r="EKT379" s="21"/>
      <c r="EKW379" s="21"/>
      <c r="EKX379" s="15"/>
      <c r="EKY379" s="15"/>
      <c r="EKZ379" s="15"/>
      <c r="ELA379" s="15"/>
      <c r="ELB379" s="15"/>
      <c r="ELC379" s="15"/>
      <c r="ELD379" s="15"/>
      <c r="ELE379" s="15"/>
      <c r="ELF379" s="15"/>
      <c r="ELG379" s="15"/>
      <c r="ELH379" s="10"/>
      <c r="ELI379" s="10"/>
      <c r="ELJ379" s="21"/>
      <c r="ELK379" s="21"/>
      <c r="ELN379" s="21"/>
      <c r="ELO379" s="15"/>
      <c r="ELP379" s="15"/>
      <c r="ELQ379" s="15"/>
      <c r="ELR379" s="15"/>
      <c r="ELS379" s="15"/>
      <c r="ELT379" s="15"/>
      <c r="ELU379" s="15"/>
      <c r="ELV379" s="15"/>
      <c r="ELW379" s="15"/>
      <c r="ELX379" s="15"/>
      <c r="ELY379" s="10"/>
      <c r="ELZ379" s="10"/>
      <c r="EMA379" s="21"/>
      <c r="EMB379" s="21"/>
      <c r="EME379" s="21"/>
      <c r="EMF379" s="15"/>
      <c r="EMG379" s="15"/>
      <c r="EMH379" s="15"/>
      <c r="EMI379" s="15"/>
      <c r="EMJ379" s="15"/>
      <c r="EMK379" s="15"/>
      <c r="EML379" s="15"/>
      <c r="EMM379" s="15"/>
      <c r="EMN379" s="15"/>
      <c r="EMO379" s="15"/>
      <c r="EMP379" s="10"/>
      <c r="EMQ379" s="10"/>
      <c r="EMR379" s="21"/>
      <c r="EMS379" s="21"/>
      <c r="EMV379" s="21"/>
      <c r="EMW379" s="15"/>
      <c r="EMX379" s="15"/>
      <c r="EMY379" s="15"/>
      <c r="EMZ379" s="15"/>
      <c r="ENA379" s="15"/>
      <c r="ENB379" s="15"/>
      <c r="ENC379" s="15"/>
      <c r="END379" s="15"/>
      <c r="ENE379" s="15"/>
      <c r="ENF379" s="15"/>
      <c r="ENG379" s="10"/>
      <c r="ENH379" s="10"/>
      <c r="ENI379" s="21"/>
      <c r="ENJ379" s="21"/>
      <c r="ENM379" s="21"/>
      <c r="ENN379" s="15"/>
      <c r="ENO379" s="15"/>
      <c r="ENP379" s="15"/>
      <c r="ENQ379" s="15"/>
      <c r="ENR379" s="15"/>
      <c r="ENS379" s="15"/>
      <c r="ENT379" s="15"/>
      <c r="ENU379" s="15"/>
      <c r="ENV379" s="15"/>
      <c r="ENW379" s="15"/>
      <c r="ENX379" s="10"/>
      <c r="ENY379" s="10"/>
      <c r="ENZ379" s="21"/>
      <c r="EOA379" s="21"/>
      <c r="EOD379" s="21"/>
      <c r="EOE379" s="15"/>
      <c r="EOF379" s="15"/>
      <c r="EOG379" s="15"/>
      <c r="EOH379" s="15"/>
      <c r="EOI379" s="15"/>
      <c r="EOJ379" s="15"/>
      <c r="EOK379" s="15"/>
      <c r="EOL379" s="15"/>
      <c r="EOM379" s="15"/>
      <c r="EON379" s="15"/>
      <c r="EOO379" s="10"/>
      <c r="EOP379" s="10"/>
      <c r="EOQ379" s="21"/>
      <c r="EOR379" s="21"/>
      <c r="EOU379" s="21"/>
      <c r="EOV379" s="15"/>
      <c r="EOW379" s="15"/>
      <c r="EOX379" s="15"/>
      <c r="EOY379" s="15"/>
      <c r="EOZ379" s="15"/>
      <c r="EPA379" s="15"/>
      <c r="EPB379" s="15"/>
      <c r="EPC379" s="15"/>
      <c r="EPD379" s="15"/>
      <c r="EPE379" s="15"/>
      <c r="EPF379" s="10"/>
      <c r="EPG379" s="10"/>
      <c r="EPH379" s="21"/>
      <c r="EPI379" s="21"/>
      <c r="EPL379" s="21"/>
      <c r="EPM379" s="15"/>
      <c r="EPN379" s="15"/>
      <c r="EPO379" s="15"/>
      <c r="EPP379" s="15"/>
      <c r="EPQ379" s="15"/>
      <c r="EPR379" s="15"/>
      <c r="EPS379" s="15"/>
      <c r="EPT379" s="15"/>
      <c r="EPU379" s="15"/>
      <c r="EPV379" s="15"/>
      <c r="EPW379" s="10"/>
      <c r="EPX379" s="10"/>
      <c r="EPY379" s="21"/>
      <c r="EPZ379" s="21"/>
      <c r="EQC379" s="21"/>
      <c r="EQD379" s="15"/>
      <c r="EQE379" s="15"/>
      <c r="EQF379" s="15"/>
      <c r="EQG379" s="15"/>
      <c r="EQH379" s="15"/>
      <c r="EQI379" s="15"/>
      <c r="EQJ379" s="15"/>
      <c r="EQK379" s="15"/>
      <c r="EQL379" s="15"/>
      <c r="EQM379" s="15"/>
      <c r="EQN379" s="10"/>
      <c r="EQO379" s="10"/>
      <c r="EQP379" s="21"/>
      <c r="EQQ379" s="21"/>
      <c r="EQT379" s="21"/>
      <c r="EQU379" s="15"/>
      <c r="EQV379" s="15"/>
      <c r="EQW379" s="15"/>
      <c r="EQX379" s="15"/>
      <c r="EQY379" s="15"/>
      <c r="EQZ379" s="15"/>
      <c r="ERA379" s="15"/>
      <c r="ERB379" s="15"/>
      <c r="ERC379" s="15"/>
      <c r="ERD379" s="15"/>
      <c r="ERE379" s="10"/>
      <c r="ERF379" s="10"/>
      <c r="ERG379" s="21"/>
      <c r="ERH379" s="21"/>
      <c r="ERK379" s="21"/>
      <c r="ERL379" s="15"/>
      <c r="ERM379" s="15"/>
      <c r="ERN379" s="15"/>
      <c r="ERO379" s="15"/>
      <c r="ERP379" s="15"/>
      <c r="ERQ379" s="15"/>
      <c r="ERR379" s="15"/>
      <c r="ERS379" s="15"/>
      <c r="ERT379" s="15"/>
      <c r="ERU379" s="15"/>
      <c r="ERV379" s="10"/>
      <c r="ERW379" s="10"/>
      <c r="ERX379" s="21"/>
      <c r="ERY379" s="21"/>
      <c r="ESB379" s="21"/>
      <c r="ESC379" s="15"/>
      <c r="ESD379" s="15"/>
      <c r="ESE379" s="15"/>
      <c r="ESF379" s="15"/>
      <c r="ESG379" s="15"/>
      <c r="ESH379" s="15"/>
      <c r="ESI379" s="15"/>
      <c r="ESJ379" s="15"/>
      <c r="ESK379" s="15"/>
      <c r="ESL379" s="15"/>
      <c r="ESM379" s="10"/>
      <c r="ESN379" s="10"/>
      <c r="ESO379" s="21"/>
      <c r="ESP379" s="21"/>
      <c r="ESS379" s="21"/>
      <c r="EST379" s="15"/>
      <c r="ESU379" s="15"/>
      <c r="ESV379" s="15"/>
      <c r="ESW379" s="15"/>
      <c r="ESX379" s="15"/>
      <c r="ESY379" s="15"/>
      <c r="ESZ379" s="15"/>
      <c r="ETA379" s="15"/>
      <c r="ETB379" s="15"/>
      <c r="ETC379" s="15"/>
      <c r="ETD379" s="10"/>
      <c r="ETE379" s="10"/>
      <c r="ETF379" s="21"/>
      <c r="ETG379" s="21"/>
      <c r="ETJ379" s="21"/>
      <c r="ETK379" s="15"/>
      <c r="ETL379" s="15"/>
      <c r="ETM379" s="15"/>
      <c r="ETN379" s="15"/>
      <c r="ETO379" s="15"/>
      <c r="ETP379" s="15"/>
      <c r="ETQ379" s="15"/>
      <c r="ETR379" s="15"/>
      <c r="ETS379" s="15"/>
      <c r="ETT379" s="15"/>
      <c r="ETU379" s="10"/>
      <c r="ETV379" s="10"/>
      <c r="ETW379" s="21"/>
      <c r="ETX379" s="21"/>
      <c r="EUA379" s="21"/>
      <c r="EUB379" s="15"/>
      <c r="EUC379" s="15"/>
      <c r="EUD379" s="15"/>
      <c r="EUE379" s="15"/>
      <c r="EUF379" s="15"/>
      <c r="EUG379" s="15"/>
      <c r="EUH379" s="15"/>
      <c r="EUI379" s="15"/>
      <c r="EUJ379" s="15"/>
      <c r="EUK379" s="15"/>
      <c r="EUL379" s="10"/>
      <c r="EUM379" s="10"/>
      <c r="EUN379" s="21"/>
      <c r="EUO379" s="21"/>
      <c r="EUR379" s="21"/>
      <c r="EUS379" s="15"/>
      <c r="EUT379" s="15"/>
      <c r="EUU379" s="15"/>
      <c r="EUV379" s="15"/>
      <c r="EUW379" s="15"/>
      <c r="EUX379" s="15"/>
      <c r="EUY379" s="15"/>
      <c r="EUZ379" s="15"/>
      <c r="EVA379" s="15"/>
      <c r="EVB379" s="15"/>
      <c r="EVC379" s="10"/>
      <c r="EVD379" s="10"/>
      <c r="EVE379" s="21"/>
      <c r="EVF379" s="21"/>
      <c r="EVI379" s="21"/>
      <c r="EVJ379" s="15"/>
      <c r="EVK379" s="15"/>
      <c r="EVL379" s="15"/>
      <c r="EVM379" s="15"/>
      <c r="EVN379" s="15"/>
      <c r="EVO379" s="15"/>
      <c r="EVP379" s="15"/>
      <c r="EVQ379" s="15"/>
      <c r="EVR379" s="15"/>
      <c r="EVS379" s="15"/>
      <c r="EVT379" s="10"/>
      <c r="EVU379" s="10"/>
      <c r="EVV379" s="21"/>
      <c r="EVW379" s="21"/>
      <c r="EVZ379" s="21"/>
      <c r="EWA379" s="15"/>
      <c r="EWB379" s="15"/>
      <c r="EWC379" s="15"/>
      <c r="EWD379" s="15"/>
      <c r="EWE379" s="15"/>
      <c r="EWF379" s="15"/>
      <c r="EWG379" s="15"/>
      <c r="EWH379" s="15"/>
      <c r="EWI379" s="15"/>
      <c r="EWJ379" s="15"/>
      <c r="EWK379" s="10"/>
      <c r="EWL379" s="10"/>
      <c r="EWM379" s="21"/>
      <c r="EWN379" s="21"/>
      <c r="EWQ379" s="21"/>
      <c r="EWR379" s="15"/>
      <c r="EWS379" s="15"/>
      <c r="EWT379" s="15"/>
      <c r="EWU379" s="15"/>
      <c r="EWV379" s="15"/>
      <c r="EWW379" s="15"/>
      <c r="EWX379" s="15"/>
      <c r="EWY379" s="15"/>
      <c r="EWZ379" s="15"/>
      <c r="EXA379" s="15"/>
      <c r="EXB379" s="10"/>
      <c r="EXC379" s="10"/>
      <c r="EXD379" s="21"/>
      <c r="EXE379" s="21"/>
      <c r="EXH379" s="21"/>
      <c r="EXI379" s="15"/>
      <c r="EXJ379" s="15"/>
      <c r="EXK379" s="15"/>
      <c r="EXL379" s="15"/>
      <c r="EXM379" s="15"/>
      <c r="EXN379" s="15"/>
      <c r="EXO379" s="15"/>
      <c r="EXP379" s="15"/>
      <c r="EXQ379" s="15"/>
      <c r="EXR379" s="15"/>
      <c r="EXS379" s="10"/>
      <c r="EXT379" s="10"/>
      <c r="EXU379" s="21"/>
      <c r="EXV379" s="21"/>
      <c r="EXY379" s="21"/>
      <c r="EXZ379" s="15"/>
      <c r="EYA379" s="15"/>
      <c r="EYB379" s="15"/>
      <c r="EYC379" s="15"/>
      <c r="EYD379" s="15"/>
      <c r="EYE379" s="15"/>
      <c r="EYF379" s="15"/>
      <c r="EYG379" s="15"/>
      <c r="EYH379" s="15"/>
      <c r="EYI379" s="15"/>
      <c r="EYJ379" s="10"/>
      <c r="EYK379" s="10"/>
      <c r="EYL379" s="21"/>
      <c r="EYM379" s="21"/>
      <c r="EYP379" s="21"/>
      <c r="EYQ379" s="15"/>
      <c r="EYR379" s="15"/>
      <c r="EYS379" s="15"/>
      <c r="EYT379" s="15"/>
      <c r="EYU379" s="15"/>
      <c r="EYV379" s="15"/>
      <c r="EYW379" s="15"/>
      <c r="EYX379" s="15"/>
      <c r="EYY379" s="15"/>
      <c r="EYZ379" s="15"/>
      <c r="EZA379" s="10"/>
      <c r="EZB379" s="10"/>
      <c r="EZC379" s="21"/>
      <c r="EZD379" s="21"/>
      <c r="EZG379" s="21"/>
      <c r="EZH379" s="15"/>
      <c r="EZI379" s="15"/>
      <c r="EZJ379" s="15"/>
      <c r="EZK379" s="15"/>
      <c r="EZL379" s="15"/>
      <c r="EZM379" s="15"/>
      <c r="EZN379" s="15"/>
      <c r="EZO379" s="15"/>
      <c r="EZP379" s="15"/>
      <c r="EZQ379" s="15"/>
      <c r="EZR379" s="10"/>
      <c r="EZS379" s="10"/>
      <c r="EZT379" s="21"/>
      <c r="EZU379" s="21"/>
      <c r="EZX379" s="21"/>
      <c r="EZY379" s="15"/>
      <c r="EZZ379" s="15"/>
      <c r="FAA379" s="15"/>
      <c r="FAB379" s="15"/>
      <c r="FAC379" s="15"/>
      <c r="FAD379" s="15"/>
      <c r="FAE379" s="15"/>
      <c r="FAF379" s="15"/>
      <c r="FAG379" s="15"/>
      <c r="FAH379" s="15"/>
      <c r="FAI379" s="10"/>
      <c r="FAJ379" s="10"/>
      <c r="FAK379" s="21"/>
      <c r="FAL379" s="21"/>
      <c r="FAO379" s="21"/>
      <c r="FAP379" s="15"/>
      <c r="FAQ379" s="15"/>
      <c r="FAR379" s="15"/>
      <c r="FAS379" s="15"/>
      <c r="FAT379" s="15"/>
      <c r="FAU379" s="15"/>
      <c r="FAV379" s="15"/>
      <c r="FAW379" s="15"/>
      <c r="FAX379" s="15"/>
      <c r="FAY379" s="15"/>
      <c r="FAZ379" s="10"/>
      <c r="FBA379" s="10"/>
      <c r="FBB379" s="21"/>
      <c r="FBC379" s="21"/>
      <c r="FBF379" s="21"/>
      <c r="FBG379" s="15"/>
      <c r="FBH379" s="15"/>
      <c r="FBI379" s="15"/>
      <c r="FBJ379" s="15"/>
      <c r="FBK379" s="15"/>
      <c r="FBL379" s="15"/>
      <c r="FBM379" s="15"/>
      <c r="FBN379" s="15"/>
      <c r="FBO379" s="15"/>
      <c r="FBP379" s="15"/>
      <c r="FBQ379" s="10"/>
      <c r="FBR379" s="10"/>
      <c r="FBS379" s="21"/>
      <c r="FBT379" s="21"/>
      <c r="FBW379" s="21"/>
      <c r="FBX379" s="15"/>
      <c r="FBY379" s="15"/>
      <c r="FBZ379" s="15"/>
      <c r="FCA379" s="15"/>
      <c r="FCB379" s="15"/>
      <c r="FCC379" s="15"/>
      <c r="FCD379" s="15"/>
      <c r="FCE379" s="15"/>
      <c r="FCF379" s="15"/>
      <c r="FCG379" s="15"/>
      <c r="FCH379" s="10"/>
      <c r="FCI379" s="10"/>
      <c r="FCJ379" s="21"/>
      <c r="FCK379" s="21"/>
      <c r="FCN379" s="21"/>
      <c r="FCO379" s="15"/>
      <c r="FCP379" s="15"/>
      <c r="FCQ379" s="15"/>
      <c r="FCR379" s="15"/>
      <c r="FCS379" s="15"/>
      <c r="FCT379" s="15"/>
      <c r="FCU379" s="15"/>
      <c r="FCV379" s="15"/>
      <c r="FCW379" s="15"/>
      <c r="FCX379" s="15"/>
      <c r="FCY379" s="10"/>
      <c r="FCZ379" s="10"/>
      <c r="FDA379" s="21"/>
      <c r="FDB379" s="21"/>
      <c r="FDE379" s="21"/>
      <c r="FDF379" s="15"/>
      <c r="FDG379" s="15"/>
      <c r="FDH379" s="15"/>
      <c r="FDI379" s="15"/>
      <c r="FDJ379" s="15"/>
      <c r="FDK379" s="15"/>
      <c r="FDL379" s="15"/>
      <c r="FDM379" s="15"/>
      <c r="FDN379" s="15"/>
      <c r="FDO379" s="15"/>
      <c r="FDP379" s="10"/>
      <c r="FDQ379" s="10"/>
      <c r="FDR379" s="21"/>
      <c r="FDS379" s="21"/>
      <c r="FDV379" s="21"/>
      <c r="FDW379" s="15"/>
      <c r="FDX379" s="15"/>
      <c r="FDY379" s="15"/>
      <c r="FDZ379" s="15"/>
      <c r="FEA379" s="15"/>
      <c r="FEB379" s="15"/>
      <c r="FEC379" s="15"/>
      <c r="FED379" s="15"/>
      <c r="FEE379" s="15"/>
      <c r="FEF379" s="15"/>
      <c r="FEG379" s="10"/>
      <c r="FEH379" s="10"/>
      <c r="FEI379" s="21"/>
      <c r="FEJ379" s="21"/>
      <c r="FEM379" s="21"/>
      <c r="FEN379" s="15"/>
      <c r="FEO379" s="15"/>
      <c r="FEP379" s="15"/>
      <c r="FEQ379" s="15"/>
      <c r="FER379" s="15"/>
      <c r="FES379" s="15"/>
      <c r="FET379" s="15"/>
      <c r="FEU379" s="15"/>
      <c r="FEV379" s="15"/>
      <c r="FEW379" s="15"/>
      <c r="FEX379" s="10"/>
      <c r="FEY379" s="10"/>
      <c r="FEZ379" s="21"/>
      <c r="FFA379" s="21"/>
      <c r="FFD379" s="21"/>
      <c r="FFE379" s="15"/>
      <c r="FFF379" s="15"/>
      <c r="FFG379" s="15"/>
      <c r="FFH379" s="15"/>
      <c r="FFI379" s="15"/>
      <c r="FFJ379" s="15"/>
      <c r="FFK379" s="15"/>
      <c r="FFL379" s="15"/>
      <c r="FFM379" s="15"/>
      <c r="FFN379" s="15"/>
      <c r="FFO379" s="10"/>
      <c r="FFP379" s="10"/>
      <c r="FFQ379" s="21"/>
      <c r="FFR379" s="21"/>
      <c r="FFU379" s="21"/>
      <c r="FFV379" s="15"/>
      <c r="FFW379" s="15"/>
      <c r="FFX379" s="15"/>
      <c r="FFY379" s="15"/>
      <c r="FFZ379" s="15"/>
      <c r="FGA379" s="15"/>
      <c r="FGB379" s="15"/>
      <c r="FGC379" s="15"/>
      <c r="FGD379" s="15"/>
      <c r="FGE379" s="15"/>
      <c r="FGF379" s="10"/>
      <c r="FGG379" s="10"/>
      <c r="FGH379" s="21"/>
      <c r="FGI379" s="21"/>
      <c r="FGL379" s="21"/>
      <c r="FGM379" s="15"/>
      <c r="FGN379" s="15"/>
      <c r="FGO379" s="15"/>
      <c r="FGP379" s="15"/>
      <c r="FGQ379" s="15"/>
      <c r="FGR379" s="15"/>
      <c r="FGS379" s="15"/>
      <c r="FGT379" s="15"/>
      <c r="FGU379" s="15"/>
      <c r="FGV379" s="15"/>
      <c r="FGW379" s="10"/>
      <c r="FGX379" s="10"/>
      <c r="FGY379" s="21"/>
      <c r="FGZ379" s="21"/>
      <c r="FHC379" s="21"/>
      <c r="FHD379" s="15"/>
      <c r="FHE379" s="15"/>
      <c r="FHF379" s="15"/>
      <c r="FHG379" s="15"/>
      <c r="FHH379" s="15"/>
      <c r="FHI379" s="15"/>
      <c r="FHJ379" s="15"/>
      <c r="FHK379" s="15"/>
      <c r="FHL379" s="15"/>
      <c r="FHM379" s="15"/>
      <c r="FHN379" s="10"/>
      <c r="FHO379" s="10"/>
      <c r="FHP379" s="21"/>
      <c r="FHQ379" s="21"/>
      <c r="FHT379" s="21"/>
      <c r="FHU379" s="15"/>
      <c r="FHV379" s="15"/>
      <c r="FHW379" s="15"/>
      <c r="FHX379" s="15"/>
      <c r="FHY379" s="15"/>
      <c r="FHZ379" s="15"/>
      <c r="FIA379" s="15"/>
      <c r="FIB379" s="15"/>
      <c r="FIC379" s="15"/>
      <c r="FID379" s="15"/>
      <c r="FIE379" s="10"/>
      <c r="FIF379" s="10"/>
      <c r="FIG379" s="21"/>
      <c r="FIH379" s="21"/>
      <c r="FIK379" s="21"/>
      <c r="FIL379" s="15"/>
      <c r="FIM379" s="15"/>
      <c r="FIN379" s="15"/>
      <c r="FIO379" s="15"/>
      <c r="FIP379" s="15"/>
      <c r="FIQ379" s="15"/>
      <c r="FIR379" s="15"/>
      <c r="FIS379" s="15"/>
      <c r="FIT379" s="15"/>
      <c r="FIU379" s="15"/>
      <c r="FIV379" s="10"/>
      <c r="FIW379" s="10"/>
      <c r="FIX379" s="21"/>
      <c r="FIY379" s="21"/>
      <c r="FJB379" s="21"/>
      <c r="FJC379" s="15"/>
      <c r="FJD379" s="15"/>
      <c r="FJE379" s="15"/>
      <c r="FJF379" s="15"/>
      <c r="FJG379" s="15"/>
      <c r="FJH379" s="15"/>
      <c r="FJI379" s="15"/>
      <c r="FJJ379" s="15"/>
      <c r="FJK379" s="15"/>
      <c r="FJL379" s="15"/>
      <c r="FJM379" s="10"/>
      <c r="FJN379" s="10"/>
      <c r="FJO379" s="21"/>
      <c r="FJP379" s="21"/>
      <c r="FJS379" s="21"/>
      <c r="FJT379" s="15"/>
      <c r="FJU379" s="15"/>
      <c r="FJV379" s="15"/>
      <c r="FJW379" s="15"/>
      <c r="FJX379" s="15"/>
      <c r="FJY379" s="15"/>
      <c r="FJZ379" s="15"/>
      <c r="FKA379" s="15"/>
      <c r="FKB379" s="15"/>
      <c r="FKC379" s="15"/>
      <c r="FKD379" s="10"/>
      <c r="FKE379" s="10"/>
      <c r="FKF379" s="21"/>
      <c r="FKG379" s="21"/>
      <c r="FKJ379" s="21"/>
      <c r="FKK379" s="15"/>
      <c r="FKL379" s="15"/>
      <c r="FKM379" s="15"/>
      <c r="FKN379" s="15"/>
      <c r="FKO379" s="15"/>
      <c r="FKP379" s="15"/>
      <c r="FKQ379" s="15"/>
      <c r="FKR379" s="15"/>
      <c r="FKS379" s="15"/>
      <c r="FKT379" s="15"/>
      <c r="FKU379" s="10"/>
      <c r="FKV379" s="10"/>
      <c r="FKW379" s="21"/>
      <c r="FKX379" s="21"/>
      <c r="FLA379" s="21"/>
      <c r="FLB379" s="15"/>
      <c r="FLC379" s="15"/>
      <c r="FLD379" s="15"/>
      <c r="FLE379" s="15"/>
      <c r="FLF379" s="15"/>
      <c r="FLG379" s="15"/>
      <c r="FLH379" s="15"/>
      <c r="FLI379" s="15"/>
      <c r="FLJ379" s="15"/>
      <c r="FLK379" s="15"/>
      <c r="FLL379" s="10"/>
      <c r="FLM379" s="10"/>
      <c r="FLN379" s="21"/>
      <c r="FLO379" s="21"/>
      <c r="FLR379" s="21"/>
      <c r="FLS379" s="15"/>
      <c r="FLT379" s="15"/>
      <c r="FLU379" s="15"/>
      <c r="FLV379" s="15"/>
      <c r="FLW379" s="15"/>
      <c r="FLX379" s="15"/>
      <c r="FLY379" s="15"/>
      <c r="FLZ379" s="15"/>
      <c r="FMA379" s="15"/>
      <c r="FMB379" s="15"/>
      <c r="FMC379" s="10"/>
      <c r="FMD379" s="10"/>
      <c r="FME379" s="21"/>
      <c r="FMF379" s="21"/>
      <c r="FMI379" s="21"/>
      <c r="FMJ379" s="15"/>
      <c r="FMK379" s="15"/>
      <c r="FML379" s="15"/>
      <c r="FMM379" s="15"/>
      <c r="FMN379" s="15"/>
      <c r="FMO379" s="15"/>
      <c r="FMP379" s="15"/>
      <c r="FMQ379" s="15"/>
      <c r="FMR379" s="15"/>
      <c r="FMS379" s="15"/>
      <c r="FMT379" s="10"/>
      <c r="FMU379" s="10"/>
      <c r="FMV379" s="21"/>
      <c r="FMW379" s="21"/>
      <c r="FMZ379" s="21"/>
      <c r="FNA379" s="15"/>
      <c r="FNB379" s="15"/>
      <c r="FNC379" s="15"/>
      <c r="FND379" s="15"/>
      <c r="FNE379" s="15"/>
      <c r="FNF379" s="15"/>
      <c r="FNG379" s="15"/>
      <c r="FNH379" s="15"/>
      <c r="FNI379" s="15"/>
      <c r="FNJ379" s="15"/>
      <c r="FNK379" s="10"/>
      <c r="FNL379" s="10"/>
      <c r="FNM379" s="21"/>
      <c r="FNN379" s="21"/>
      <c r="FNQ379" s="21"/>
      <c r="FNR379" s="15"/>
      <c r="FNS379" s="15"/>
      <c r="FNT379" s="15"/>
      <c r="FNU379" s="15"/>
      <c r="FNV379" s="15"/>
      <c r="FNW379" s="15"/>
      <c r="FNX379" s="15"/>
      <c r="FNY379" s="15"/>
      <c r="FNZ379" s="15"/>
      <c r="FOA379" s="15"/>
      <c r="FOB379" s="10"/>
      <c r="FOC379" s="10"/>
      <c r="FOD379" s="21"/>
      <c r="FOE379" s="21"/>
      <c r="FOH379" s="21"/>
      <c r="FOI379" s="15"/>
      <c r="FOJ379" s="15"/>
      <c r="FOK379" s="15"/>
      <c r="FOL379" s="15"/>
      <c r="FOM379" s="15"/>
      <c r="FON379" s="15"/>
      <c r="FOO379" s="15"/>
      <c r="FOP379" s="15"/>
      <c r="FOQ379" s="15"/>
      <c r="FOR379" s="15"/>
      <c r="FOS379" s="10"/>
      <c r="FOT379" s="10"/>
      <c r="FOU379" s="21"/>
      <c r="FOV379" s="21"/>
      <c r="FOY379" s="21"/>
      <c r="FOZ379" s="15"/>
      <c r="FPA379" s="15"/>
      <c r="FPB379" s="15"/>
      <c r="FPC379" s="15"/>
      <c r="FPD379" s="15"/>
      <c r="FPE379" s="15"/>
      <c r="FPF379" s="15"/>
      <c r="FPG379" s="15"/>
      <c r="FPH379" s="15"/>
      <c r="FPI379" s="15"/>
      <c r="FPJ379" s="10"/>
      <c r="FPK379" s="10"/>
      <c r="FPL379" s="21"/>
      <c r="FPM379" s="21"/>
      <c r="FPP379" s="21"/>
      <c r="FPQ379" s="15"/>
      <c r="FPR379" s="15"/>
      <c r="FPS379" s="15"/>
      <c r="FPT379" s="15"/>
      <c r="FPU379" s="15"/>
      <c r="FPV379" s="15"/>
      <c r="FPW379" s="15"/>
      <c r="FPX379" s="15"/>
      <c r="FPY379" s="15"/>
      <c r="FPZ379" s="15"/>
      <c r="FQA379" s="10"/>
      <c r="FQB379" s="10"/>
      <c r="FQC379" s="21"/>
      <c r="FQD379" s="21"/>
      <c r="FQG379" s="21"/>
      <c r="FQH379" s="15"/>
      <c r="FQI379" s="15"/>
      <c r="FQJ379" s="15"/>
      <c r="FQK379" s="15"/>
      <c r="FQL379" s="15"/>
      <c r="FQM379" s="15"/>
      <c r="FQN379" s="15"/>
      <c r="FQO379" s="15"/>
      <c r="FQP379" s="15"/>
      <c r="FQQ379" s="15"/>
      <c r="FQR379" s="10"/>
      <c r="FQS379" s="10"/>
      <c r="FQT379" s="21"/>
      <c r="FQU379" s="21"/>
      <c r="FQX379" s="21"/>
      <c r="FQY379" s="15"/>
      <c r="FQZ379" s="15"/>
      <c r="FRA379" s="15"/>
      <c r="FRB379" s="15"/>
      <c r="FRC379" s="15"/>
      <c r="FRD379" s="15"/>
      <c r="FRE379" s="15"/>
      <c r="FRF379" s="15"/>
      <c r="FRG379" s="15"/>
      <c r="FRH379" s="15"/>
      <c r="FRI379" s="10"/>
      <c r="FRJ379" s="10"/>
      <c r="FRK379" s="21"/>
      <c r="FRL379" s="21"/>
      <c r="FRO379" s="21"/>
      <c r="FRP379" s="15"/>
      <c r="FRQ379" s="15"/>
      <c r="FRR379" s="15"/>
      <c r="FRS379" s="15"/>
      <c r="FRT379" s="15"/>
      <c r="FRU379" s="15"/>
      <c r="FRV379" s="15"/>
      <c r="FRW379" s="15"/>
      <c r="FRX379" s="15"/>
      <c r="FRY379" s="15"/>
      <c r="FRZ379" s="10"/>
      <c r="FSA379" s="10"/>
      <c r="FSB379" s="21"/>
      <c r="FSC379" s="21"/>
      <c r="FSF379" s="21"/>
      <c r="FSG379" s="15"/>
      <c r="FSH379" s="15"/>
      <c r="FSI379" s="15"/>
      <c r="FSJ379" s="15"/>
      <c r="FSK379" s="15"/>
      <c r="FSL379" s="15"/>
      <c r="FSM379" s="15"/>
      <c r="FSN379" s="15"/>
      <c r="FSO379" s="15"/>
      <c r="FSP379" s="15"/>
      <c r="FSQ379" s="10"/>
      <c r="FSR379" s="10"/>
      <c r="FSS379" s="21"/>
      <c r="FST379" s="21"/>
      <c r="FSW379" s="21"/>
      <c r="FSX379" s="15"/>
      <c r="FSY379" s="15"/>
      <c r="FSZ379" s="15"/>
      <c r="FTA379" s="15"/>
      <c r="FTB379" s="15"/>
      <c r="FTC379" s="15"/>
      <c r="FTD379" s="15"/>
      <c r="FTE379" s="15"/>
      <c r="FTF379" s="15"/>
      <c r="FTG379" s="15"/>
      <c r="FTH379" s="10"/>
      <c r="FTI379" s="10"/>
      <c r="FTJ379" s="21"/>
      <c r="FTK379" s="21"/>
      <c r="FTN379" s="21"/>
      <c r="FTO379" s="15"/>
      <c r="FTP379" s="15"/>
      <c r="FTQ379" s="15"/>
      <c r="FTR379" s="15"/>
      <c r="FTS379" s="15"/>
      <c r="FTT379" s="15"/>
      <c r="FTU379" s="15"/>
      <c r="FTV379" s="15"/>
      <c r="FTW379" s="15"/>
      <c r="FTX379" s="15"/>
      <c r="FTY379" s="10"/>
      <c r="FTZ379" s="10"/>
      <c r="FUA379" s="21"/>
      <c r="FUB379" s="21"/>
      <c r="FUE379" s="21"/>
      <c r="FUF379" s="15"/>
      <c r="FUG379" s="15"/>
      <c r="FUH379" s="15"/>
      <c r="FUI379" s="15"/>
      <c r="FUJ379" s="15"/>
      <c r="FUK379" s="15"/>
      <c r="FUL379" s="15"/>
      <c r="FUM379" s="15"/>
      <c r="FUN379" s="15"/>
      <c r="FUO379" s="15"/>
      <c r="FUP379" s="10"/>
      <c r="FUQ379" s="10"/>
      <c r="FUR379" s="21"/>
      <c r="FUS379" s="21"/>
      <c r="FUV379" s="21"/>
      <c r="FUW379" s="15"/>
      <c r="FUX379" s="15"/>
      <c r="FUY379" s="15"/>
      <c r="FUZ379" s="15"/>
      <c r="FVA379" s="15"/>
      <c r="FVB379" s="15"/>
      <c r="FVC379" s="15"/>
      <c r="FVD379" s="15"/>
      <c r="FVE379" s="15"/>
      <c r="FVF379" s="15"/>
      <c r="FVG379" s="10"/>
      <c r="FVH379" s="10"/>
      <c r="FVI379" s="21"/>
      <c r="FVJ379" s="21"/>
      <c r="FVM379" s="21"/>
      <c r="FVN379" s="15"/>
      <c r="FVO379" s="15"/>
      <c r="FVP379" s="15"/>
      <c r="FVQ379" s="15"/>
      <c r="FVR379" s="15"/>
      <c r="FVS379" s="15"/>
      <c r="FVT379" s="15"/>
      <c r="FVU379" s="15"/>
      <c r="FVV379" s="15"/>
      <c r="FVW379" s="15"/>
      <c r="FVX379" s="10"/>
      <c r="FVY379" s="10"/>
      <c r="FVZ379" s="21"/>
      <c r="FWA379" s="21"/>
      <c r="FWD379" s="21"/>
      <c r="FWE379" s="15"/>
      <c r="FWF379" s="15"/>
      <c r="FWG379" s="15"/>
      <c r="FWH379" s="15"/>
      <c r="FWI379" s="15"/>
      <c r="FWJ379" s="15"/>
      <c r="FWK379" s="15"/>
      <c r="FWL379" s="15"/>
      <c r="FWM379" s="15"/>
      <c r="FWN379" s="15"/>
      <c r="FWO379" s="10"/>
      <c r="FWP379" s="10"/>
      <c r="FWQ379" s="21"/>
      <c r="FWR379" s="21"/>
      <c r="FWU379" s="21"/>
      <c r="FWV379" s="15"/>
      <c r="FWW379" s="15"/>
      <c r="FWX379" s="15"/>
      <c r="FWY379" s="15"/>
      <c r="FWZ379" s="15"/>
      <c r="FXA379" s="15"/>
      <c r="FXB379" s="15"/>
      <c r="FXC379" s="15"/>
      <c r="FXD379" s="15"/>
      <c r="FXE379" s="15"/>
      <c r="FXF379" s="10"/>
      <c r="FXG379" s="10"/>
      <c r="FXH379" s="21"/>
      <c r="FXI379" s="21"/>
      <c r="FXL379" s="21"/>
      <c r="FXM379" s="15"/>
      <c r="FXN379" s="15"/>
      <c r="FXO379" s="15"/>
      <c r="FXP379" s="15"/>
      <c r="FXQ379" s="15"/>
      <c r="FXR379" s="15"/>
      <c r="FXS379" s="15"/>
      <c r="FXT379" s="15"/>
      <c r="FXU379" s="15"/>
      <c r="FXV379" s="15"/>
      <c r="FXW379" s="10"/>
      <c r="FXX379" s="10"/>
      <c r="FXY379" s="21"/>
      <c r="FXZ379" s="21"/>
      <c r="FYC379" s="21"/>
      <c r="FYD379" s="15"/>
      <c r="FYE379" s="15"/>
      <c r="FYF379" s="15"/>
      <c r="FYG379" s="15"/>
      <c r="FYH379" s="15"/>
      <c r="FYI379" s="15"/>
      <c r="FYJ379" s="15"/>
      <c r="FYK379" s="15"/>
      <c r="FYL379" s="15"/>
      <c r="FYM379" s="15"/>
      <c r="FYN379" s="10"/>
      <c r="FYO379" s="10"/>
      <c r="FYP379" s="21"/>
      <c r="FYQ379" s="21"/>
      <c r="FYT379" s="21"/>
      <c r="FYU379" s="15"/>
      <c r="FYV379" s="15"/>
      <c r="FYW379" s="15"/>
      <c r="FYX379" s="15"/>
      <c r="FYY379" s="15"/>
      <c r="FYZ379" s="15"/>
      <c r="FZA379" s="15"/>
      <c r="FZB379" s="15"/>
      <c r="FZC379" s="15"/>
      <c r="FZD379" s="15"/>
      <c r="FZE379" s="10"/>
      <c r="FZF379" s="10"/>
      <c r="FZG379" s="21"/>
      <c r="FZH379" s="21"/>
      <c r="FZK379" s="21"/>
      <c r="FZL379" s="15"/>
      <c r="FZM379" s="15"/>
      <c r="FZN379" s="15"/>
      <c r="FZO379" s="15"/>
      <c r="FZP379" s="15"/>
      <c r="FZQ379" s="15"/>
      <c r="FZR379" s="15"/>
      <c r="FZS379" s="15"/>
      <c r="FZT379" s="15"/>
      <c r="FZU379" s="15"/>
      <c r="FZV379" s="10"/>
      <c r="FZW379" s="10"/>
      <c r="FZX379" s="21"/>
      <c r="FZY379" s="21"/>
      <c r="GAB379" s="21"/>
      <c r="GAC379" s="15"/>
      <c r="GAD379" s="15"/>
      <c r="GAE379" s="15"/>
      <c r="GAF379" s="15"/>
      <c r="GAG379" s="15"/>
      <c r="GAH379" s="15"/>
      <c r="GAI379" s="15"/>
      <c r="GAJ379" s="15"/>
      <c r="GAK379" s="15"/>
      <c r="GAL379" s="15"/>
      <c r="GAM379" s="10"/>
      <c r="GAN379" s="10"/>
      <c r="GAO379" s="21"/>
      <c r="GAP379" s="21"/>
      <c r="GAS379" s="21"/>
      <c r="GAT379" s="15"/>
      <c r="GAU379" s="15"/>
      <c r="GAV379" s="15"/>
      <c r="GAW379" s="15"/>
      <c r="GAX379" s="15"/>
      <c r="GAY379" s="15"/>
      <c r="GAZ379" s="15"/>
      <c r="GBA379" s="15"/>
      <c r="GBB379" s="15"/>
      <c r="GBC379" s="15"/>
      <c r="GBD379" s="10"/>
      <c r="GBE379" s="10"/>
      <c r="GBF379" s="21"/>
      <c r="GBG379" s="21"/>
      <c r="GBJ379" s="21"/>
      <c r="GBK379" s="15"/>
      <c r="GBL379" s="15"/>
      <c r="GBM379" s="15"/>
      <c r="GBN379" s="15"/>
      <c r="GBO379" s="15"/>
      <c r="GBP379" s="15"/>
      <c r="GBQ379" s="15"/>
      <c r="GBR379" s="15"/>
      <c r="GBS379" s="15"/>
      <c r="GBT379" s="15"/>
      <c r="GBU379" s="10"/>
      <c r="GBV379" s="10"/>
      <c r="GBW379" s="21"/>
      <c r="GBX379" s="21"/>
      <c r="GCA379" s="21"/>
      <c r="GCB379" s="15"/>
      <c r="GCC379" s="15"/>
      <c r="GCD379" s="15"/>
      <c r="GCE379" s="15"/>
      <c r="GCF379" s="15"/>
      <c r="GCG379" s="15"/>
      <c r="GCH379" s="15"/>
      <c r="GCI379" s="15"/>
      <c r="GCJ379" s="15"/>
      <c r="GCK379" s="15"/>
      <c r="GCL379" s="10"/>
      <c r="GCM379" s="10"/>
      <c r="GCN379" s="21"/>
      <c r="GCO379" s="21"/>
      <c r="GCR379" s="21"/>
      <c r="GCS379" s="15"/>
      <c r="GCT379" s="15"/>
      <c r="GCU379" s="15"/>
      <c r="GCV379" s="15"/>
      <c r="GCW379" s="15"/>
      <c r="GCX379" s="15"/>
      <c r="GCY379" s="15"/>
      <c r="GCZ379" s="15"/>
      <c r="GDA379" s="15"/>
      <c r="GDB379" s="15"/>
      <c r="GDC379" s="10"/>
      <c r="GDD379" s="10"/>
      <c r="GDE379" s="21"/>
      <c r="GDF379" s="21"/>
      <c r="GDI379" s="21"/>
      <c r="GDJ379" s="15"/>
      <c r="GDK379" s="15"/>
      <c r="GDL379" s="15"/>
      <c r="GDM379" s="15"/>
      <c r="GDN379" s="15"/>
      <c r="GDO379" s="15"/>
      <c r="GDP379" s="15"/>
      <c r="GDQ379" s="15"/>
      <c r="GDR379" s="15"/>
      <c r="GDS379" s="15"/>
      <c r="GDT379" s="10"/>
      <c r="GDU379" s="10"/>
      <c r="GDV379" s="21"/>
      <c r="GDW379" s="21"/>
      <c r="GDZ379" s="21"/>
      <c r="GEA379" s="15"/>
      <c r="GEB379" s="15"/>
      <c r="GEC379" s="15"/>
      <c r="GED379" s="15"/>
      <c r="GEE379" s="15"/>
      <c r="GEF379" s="15"/>
      <c r="GEG379" s="15"/>
      <c r="GEH379" s="15"/>
      <c r="GEI379" s="15"/>
      <c r="GEJ379" s="15"/>
      <c r="GEK379" s="10"/>
      <c r="GEL379" s="10"/>
      <c r="GEM379" s="21"/>
      <c r="GEN379" s="21"/>
      <c r="GEQ379" s="21"/>
      <c r="GER379" s="15"/>
      <c r="GES379" s="15"/>
      <c r="GET379" s="15"/>
      <c r="GEU379" s="15"/>
      <c r="GEV379" s="15"/>
      <c r="GEW379" s="15"/>
      <c r="GEX379" s="15"/>
      <c r="GEY379" s="15"/>
      <c r="GEZ379" s="15"/>
      <c r="GFA379" s="15"/>
      <c r="GFB379" s="10"/>
      <c r="GFC379" s="10"/>
      <c r="GFD379" s="21"/>
      <c r="GFE379" s="21"/>
      <c r="GFH379" s="21"/>
      <c r="GFI379" s="15"/>
      <c r="GFJ379" s="15"/>
      <c r="GFK379" s="15"/>
      <c r="GFL379" s="15"/>
      <c r="GFM379" s="15"/>
      <c r="GFN379" s="15"/>
      <c r="GFO379" s="15"/>
      <c r="GFP379" s="15"/>
      <c r="GFQ379" s="15"/>
      <c r="GFR379" s="15"/>
      <c r="GFS379" s="10"/>
      <c r="GFT379" s="10"/>
      <c r="GFU379" s="21"/>
      <c r="GFV379" s="21"/>
      <c r="GFY379" s="21"/>
      <c r="GFZ379" s="15"/>
      <c r="GGA379" s="15"/>
      <c r="GGB379" s="15"/>
      <c r="GGC379" s="15"/>
      <c r="GGD379" s="15"/>
      <c r="GGE379" s="15"/>
      <c r="GGF379" s="15"/>
      <c r="GGG379" s="15"/>
      <c r="GGH379" s="15"/>
      <c r="GGI379" s="15"/>
      <c r="GGJ379" s="10"/>
      <c r="GGK379" s="10"/>
      <c r="GGL379" s="21"/>
      <c r="GGM379" s="21"/>
      <c r="GGP379" s="21"/>
      <c r="GGQ379" s="15"/>
      <c r="GGR379" s="15"/>
      <c r="GGS379" s="15"/>
      <c r="GGT379" s="15"/>
      <c r="GGU379" s="15"/>
      <c r="GGV379" s="15"/>
      <c r="GGW379" s="15"/>
      <c r="GGX379" s="15"/>
      <c r="GGY379" s="15"/>
      <c r="GGZ379" s="15"/>
      <c r="GHA379" s="10"/>
      <c r="GHB379" s="10"/>
      <c r="GHC379" s="21"/>
      <c r="GHD379" s="21"/>
      <c r="GHG379" s="21"/>
      <c r="GHH379" s="15"/>
      <c r="GHI379" s="15"/>
      <c r="GHJ379" s="15"/>
      <c r="GHK379" s="15"/>
      <c r="GHL379" s="15"/>
      <c r="GHM379" s="15"/>
      <c r="GHN379" s="15"/>
      <c r="GHO379" s="15"/>
      <c r="GHP379" s="15"/>
      <c r="GHQ379" s="15"/>
      <c r="GHR379" s="10"/>
      <c r="GHS379" s="10"/>
      <c r="GHT379" s="21"/>
      <c r="GHU379" s="21"/>
      <c r="GHX379" s="21"/>
      <c r="GHY379" s="15"/>
      <c r="GHZ379" s="15"/>
      <c r="GIA379" s="15"/>
      <c r="GIB379" s="15"/>
      <c r="GIC379" s="15"/>
      <c r="GID379" s="15"/>
      <c r="GIE379" s="15"/>
      <c r="GIF379" s="15"/>
      <c r="GIG379" s="15"/>
      <c r="GIH379" s="15"/>
      <c r="GII379" s="10"/>
      <c r="GIJ379" s="10"/>
      <c r="GIK379" s="21"/>
      <c r="GIL379" s="21"/>
      <c r="GIO379" s="21"/>
      <c r="GIP379" s="15"/>
      <c r="GIQ379" s="15"/>
      <c r="GIR379" s="15"/>
      <c r="GIS379" s="15"/>
      <c r="GIT379" s="15"/>
      <c r="GIU379" s="15"/>
      <c r="GIV379" s="15"/>
      <c r="GIW379" s="15"/>
      <c r="GIX379" s="15"/>
      <c r="GIY379" s="15"/>
      <c r="GIZ379" s="10"/>
      <c r="GJA379" s="10"/>
      <c r="GJB379" s="21"/>
      <c r="GJC379" s="21"/>
      <c r="GJF379" s="21"/>
      <c r="GJG379" s="15"/>
      <c r="GJH379" s="15"/>
      <c r="GJI379" s="15"/>
      <c r="GJJ379" s="15"/>
      <c r="GJK379" s="15"/>
      <c r="GJL379" s="15"/>
      <c r="GJM379" s="15"/>
      <c r="GJN379" s="15"/>
      <c r="GJO379" s="15"/>
      <c r="GJP379" s="15"/>
      <c r="GJQ379" s="10"/>
      <c r="GJR379" s="10"/>
      <c r="GJS379" s="21"/>
      <c r="GJT379" s="21"/>
      <c r="GJW379" s="21"/>
      <c r="GJX379" s="15"/>
      <c r="GJY379" s="15"/>
      <c r="GJZ379" s="15"/>
      <c r="GKA379" s="15"/>
      <c r="GKB379" s="15"/>
      <c r="GKC379" s="15"/>
      <c r="GKD379" s="15"/>
      <c r="GKE379" s="15"/>
      <c r="GKF379" s="15"/>
      <c r="GKG379" s="15"/>
      <c r="GKH379" s="10"/>
      <c r="GKI379" s="10"/>
      <c r="GKJ379" s="21"/>
      <c r="GKK379" s="21"/>
      <c r="GKN379" s="21"/>
      <c r="GKO379" s="15"/>
      <c r="GKP379" s="15"/>
      <c r="GKQ379" s="15"/>
      <c r="GKR379" s="15"/>
      <c r="GKS379" s="15"/>
      <c r="GKT379" s="15"/>
      <c r="GKU379" s="15"/>
      <c r="GKV379" s="15"/>
      <c r="GKW379" s="15"/>
      <c r="GKX379" s="15"/>
      <c r="GKY379" s="10"/>
      <c r="GKZ379" s="10"/>
      <c r="GLA379" s="21"/>
      <c r="GLB379" s="21"/>
      <c r="GLE379" s="21"/>
      <c r="GLF379" s="15"/>
      <c r="GLG379" s="15"/>
      <c r="GLH379" s="15"/>
      <c r="GLI379" s="15"/>
      <c r="GLJ379" s="15"/>
      <c r="GLK379" s="15"/>
      <c r="GLL379" s="15"/>
      <c r="GLM379" s="15"/>
      <c r="GLN379" s="15"/>
      <c r="GLO379" s="15"/>
      <c r="GLP379" s="10"/>
      <c r="GLQ379" s="10"/>
      <c r="GLR379" s="21"/>
      <c r="GLS379" s="21"/>
      <c r="GLV379" s="21"/>
      <c r="GLW379" s="15"/>
      <c r="GLX379" s="15"/>
      <c r="GLY379" s="15"/>
      <c r="GLZ379" s="15"/>
      <c r="GMA379" s="15"/>
      <c r="GMB379" s="15"/>
      <c r="GMC379" s="15"/>
      <c r="GMD379" s="15"/>
      <c r="GME379" s="15"/>
      <c r="GMF379" s="15"/>
      <c r="GMG379" s="10"/>
      <c r="GMH379" s="10"/>
      <c r="GMI379" s="21"/>
      <c r="GMJ379" s="21"/>
      <c r="GMM379" s="21"/>
      <c r="GMN379" s="15"/>
      <c r="GMO379" s="15"/>
      <c r="GMP379" s="15"/>
      <c r="GMQ379" s="15"/>
      <c r="GMR379" s="15"/>
      <c r="GMS379" s="15"/>
      <c r="GMT379" s="15"/>
      <c r="GMU379" s="15"/>
      <c r="GMV379" s="15"/>
      <c r="GMW379" s="15"/>
      <c r="GMX379" s="10"/>
      <c r="GMY379" s="10"/>
      <c r="GMZ379" s="21"/>
      <c r="GNA379" s="21"/>
      <c r="GND379" s="21"/>
      <c r="GNE379" s="15"/>
      <c r="GNF379" s="15"/>
      <c r="GNG379" s="15"/>
      <c r="GNH379" s="15"/>
      <c r="GNI379" s="15"/>
      <c r="GNJ379" s="15"/>
      <c r="GNK379" s="15"/>
      <c r="GNL379" s="15"/>
      <c r="GNM379" s="15"/>
      <c r="GNN379" s="15"/>
      <c r="GNO379" s="10"/>
      <c r="GNP379" s="10"/>
      <c r="GNQ379" s="21"/>
      <c r="GNR379" s="21"/>
      <c r="GNU379" s="21"/>
      <c r="GNV379" s="15"/>
      <c r="GNW379" s="15"/>
      <c r="GNX379" s="15"/>
      <c r="GNY379" s="15"/>
      <c r="GNZ379" s="15"/>
      <c r="GOA379" s="15"/>
      <c r="GOB379" s="15"/>
      <c r="GOC379" s="15"/>
      <c r="GOD379" s="15"/>
      <c r="GOE379" s="15"/>
      <c r="GOF379" s="10"/>
      <c r="GOG379" s="10"/>
      <c r="GOH379" s="21"/>
      <c r="GOI379" s="21"/>
      <c r="GOL379" s="21"/>
      <c r="GOM379" s="15"/>
      <c r="GON379" s="15"/>
      <c r="GOO379" s="15"/>
      <c r="GOP379" s="15"/>
      <c r="GOQ379" s="15"/>
      <c r="GOR379" s="15"/>
      <c r="GOS379" s="15"/>
      <c r="GOT379" s="15"/>
      <c r="GOU379" s="15"/>
      <c r="GOV379" s="15"/>
      <c r="GOW379" s="10"/>
      <c r="GOX379" s="10"/>
      <c r="GOY379" s="21"/>
      <c r="GOZ379" s="21"/>
      <c r="GPC379" s="21"/>
      <c r="GPD379" s="15"/>
      <c r="GPE379" s="15"/>
      <c r="GPF379" s="15"/>
      <c r="GPG379" s="15"/>
      <c r="GPH379" s="15"/>
      <c r="GPI379" s="15"/>
      <c r="GPJ379" s="15"/>
      <c r="GPK379" s="15"/>
      <c r="GPL379" s="15"/>
      <c r="GPM379" s="15"/>
      <c r="GPN379" s="10"/>
      <c r="GPO379" s="10"/>
      <c r="GPP379" s="21"/>
      <c r="GPQ379" s="21"/>
      <c r="GPT379" s="21"/>
      <c r="GPU379" s="15"/>
      <c r="GPV379" s="15"/>
      <c r="GPW379" s="15"/>
      <c r="GPX379" s="15"/>
      <c r="GPY379" s="15"/>
      <c r="GPZ379" s="15"/>
      <c r="GQA379" s="15"/>
      <c r="GQB379" s="15"/>
      <c r="GQC379" s="15"/>
      <c r="GQD379" s="15"/>
      <c r="GQE379" s="10"/>
      <c r="GQF379" s="10"/>
      <c r="GQG379" s="21"/>
      <c r="GQH379" s="21"/>
      <c r="GQK379" s="21"/>
      <c r="GQL379" s="15"/>
      <c r="GQM379" s="15"/>
      <c r="GQN379" s="15"/>
      <c r="GQO379" s="15"/>
      <c r="GQP379" s="15"/>
      <c r="GQQ379" s="15"/>
      <c r="GQR379" s="15"/>
      <c r="GQS379" s="15"/>
      <c r="GQT379" s="15"/>
      <c r="GQU379" s="15"/>
      <c r="GQV379" s="10"/>
      <c r="GQW379" s="10"/>
      <c r="GQX379" s="21"/>
      <c r="GQY379" s="21"/>
      <c r="GRB379" s="21"/>
      <c r="GRC379" s="15"/>
      <c r="GRD379" s="15"/>
      <c r="GRE379" s="15"/>
      <c r="GRF379" s="15"/>
      <c r="GRG379" s="15"/>
      <c r="GRH379" s="15"/>
      <c r="GRI379" s="15"/>
      <c r="GRJ379" s="15"/>
      <c r="GRK379" s="15"/>
      <c r="GRL379" s="15"/>
      <c r="GRM379" s="10"/>
      <c r="GRN379" s="10"/>
      <c r="GRO379" s="21"/>
      <c r="GRP379" s="21"/>
      <c r="GRS379" s="21"/>
      <c r="GRT379" s="15"/>
      <c r="GRU379" s="15"/>
      <c r="GRV379" s="15"/>
      <c r="GRW379" s="15"/>
      <c r="GRX379" s="15"/>
      <c r="GRY379" s="15"/>
      <c r="GRZ379" s="15"/>
      <c r="GSA379" s="15"/>
      <c r="GSB379" s="15"/>
      <c r="GSC379" s="15"/>
      <c r="GSD379" s="10"/>
      <c r="GSE379" s="10"/>
      <c r="GSF379" s="21"/>
      <c r="GSG379" s="21"/>
      <c r="GSJ379" s="21"/>
      <c r="GSK379" s="15"/>
      <c r="GSL379" s="15"/>
      <c r="GSM379" s="15"/>
      <c r="GSN379" s="15"/>
      <c r="GSO379" s="15"/>
      <c r="GSP379" s="15"/>
      <c r="GSQ379" s="15"/>
      <c r="GSR379" s="15"/>
      <c r="GSS379" s="15"/>
      <c r="GST379" s="15"/>
      <c r="GSU379" s="10"/>
      <c r="GSV379" s="10"/>
      <c r="GSW379" s="21"/>
      <c r="GSX379" s="21"/>
      <c r="GTA379" s="21"/>
      <c r="GTB379" s="15"/>
      <c r="GTC379" s="15"/>
      <c r="GTD379" s="15"/>
      <c r="GTE379" s="15"/>
      <c r="GTF379" s="15"/>
      <c r="GTG379" s="15"/>
      <c r="GTH379" s="15"/>
      <c r="GTI379" s="15"/>
      <c r="GTJ379" s="15"/>
      <c r="GTK379" s="15"/>
      <c r="GTL379" s="10"/>
      <c r="GTM379" s="10"/>
      <c r="GTN379" s="21"/>
      <c r="GTO379" s="21"/>
      <c r="GTR379" s="21"/>
      <c r="GTS379" s="15"/>
      <c r="GTT379" s="15"/>
      <c r="GTU379" s="15"/>
      <c r="GTV379" s="15"/>
      <c r="GTW379" s="15"/>
      <c r="GTX379" s="15"/>
      <c r="GTY379" s="15"/>
      <c r="GTZ379" s="15"/>
      <c r="GUA379" s="15"/>
      <c r="GUB379" s="15"/>
      <c r="GUC379" s="10"/>
      <c r="GUD379" s="10"/>
      <c r="GUE379" s="21"/>
      <c r="GUF379" s="21"/>
      <c r="GUI379" s="21"/>
      <c r="GUJ379" s="15"/>
      <c r="GUK379" s="15"/>
      <c r="GUL379" s="15"/>
      <c r="GUM379" s="15"/>
      <c r="GUN379" s="15"/>
      <c r="GUO379" s="15"/>
      <c r="GUP379" s="15"/>
      <c r="GUQ379" s="15"/>
      <c r="GUR379" s="15"/>
      <c r="GUS379" s="15"/>
      <c r="GUT379" s="10"/>
      <c r="GUU379" s="10"/>
      <c r="GUV379" s="21"/>
      <c r="GUW379" s="21"/>
      <c r="GUZ379" s="21"/>
      <c r="GVA379" s="15"/>
      <c r="GVB379" s="15"/>
      <c r="GVC379" s="15"/>
      <c r="GVD379" s="15"/>
      <c r="GVE379" s="15"/>
      <c r="GVF379" s="15"/>
      <c r="GVG379" s="15"/>
      <c r="GVH379" s="15"/>
      <c r="GVI379" s="15"/>
      <c r="GVJ379" s="15"/>
      <c r="GVK379" s="10"/>
      <c r="GVL379" s="10"/>
      <c r="GVM379" s="21"/>
      <c r="GVN379" s="21"/>
      <c r="GVQ379" s="21"/>
      <c r="GVR379" s="15"/>
      <c r="GVS379" s="15"/>
      <c r="GVT379" s="15"/>
      <c r="GVU379" s="15"/>
      <c r="GVV379" s="15"/>
      <c r="GVW379" s="15"/>
      <c r="GVX379" s="15"/>
      <c r="GVY379" s="15"/>
      <c r="GVZ379" s="15"/>
      <c r="GWA379" s="15"/>
      <c r="GWB379" s="10"/>
      <c r="GWC379" s="10"/>
      <c r="GWD379" s="21"/>
      <c r="GWE379" s="21"/>
      <c r="GWH379" s="21"/>
      <c r="GWI379" s="15"/>
      <c r="GWJ379" s="15"/>
      <c r="GWK379" s="15"/>
      <c r="GWL379" s="15"/>
      <c r="GWM379" s="15"/>
      <c r="GWN379" s="15"/>
      <c r="GWO379" s="15"/>
      <c r="GWP379" s="15"/>
      <c r="GWQ379" s="15"/>
      <c r="GWR379" s="15"/>
      <c r="GWS379" s="10"/>
      <c r="GWT379" s="10"/>
      <c r="GWU379" s="21"/>
      <c r="GWV379" s="21"/>
      <c r="GWY379" s="21"/>
      <c r="GWZ379" s="15"/>
      <c r="GXA379" s="15"/>
      <c r="GXB379" s="15"/>
      <c r="GXC379" s="15"/>
      <c r="GXD379" s="15"/>
      <c r="GXE379" s="15"/>
      <c r="GXF379" s="15"/>
      <c r="GXG379" s="15"/>
      <c r="GXH379" s="15"/>
      <c r="GXI379" s="15"/>
      <c r="GXJ379" s="10"/>
      <c r="GXK379" s="10"/>
      <c r="GXL379" s="21"/>
      <c r="GXM379" s="21"/>
      <c r="GXP379" s="21"/>
      <c r="GXQ379" s="15"/>
      <c r="GXR379" s="15"/>
      <c r="GXS379" s="15"/>
      <c r="GXT379" s="15"/>
      <c r="GXU379" s="15"/>
      <c r="GXV379" s="15"/>
      <c r="GXW379" s="15"/>
      <c r="GXX379" s="15"/>
      <c r="GXY379" s="15"/>
      <c r="GXZ379" s="15"/>
      <c r="GYA379" s="10"/>
      <c r="GYB379" s="10"/>
      <c r="GYC379" s="21"/>
      <c r="GYD379" s="21"/>
      <c r="GYG379" s="21"/>
      <c r="GYH379" s="15"/>
      <c r="GYI379" s="15"/>
      <c r="GYJ379" s="15"/>
      <c r="GYK379" s="15"/>
      <c r="GYL379" s="15"/>
      <c r="GYM379" s="15"/>
      <c r="GYN379" s="15"/>
      <c r="GYO379" s="15"/>
      <c r="GYP379" s="15"/>
      <c r="GYQ379" s="15"/>
      <c r="GYR379" s="10"/>
      <c r="GYS379" s="10"/>
      <c r="GYT379" s="21"/>
      <c r="GYU379" s="21"/>
      <c r="GYX379" s="21"/>
      <c r="GYY379" s="15"/>
      <c r="GYZ379" s="15"/>
      <c r="GZA379" s="15"/>
      <c r="GZB379" s="15"/>
      <c r="GZC379" s="15"/>
      <c r="GZD379" s="15"/>
      <c r="GZE379" s="15"/>
      <c r="GZF379" s="15"/>
      <c r="GZG379" s="15"/>
      <c r="GZH379" s="15"/>
      <c r="GZI379" s="10"/>
      <c r="GZJ379" s="10"/>
      <c r="GZK379" s="21"/>
      <c r="GZL379" s="21"/>
      <c r="GZO379" s="21"/>
      <c r="GZP379" s="15"/>
      <c r="GZQ379" s="15"/>
      <c r="GZR379" s="15"/>
      <c r="GZS379" s="15"/>
      <c r="GZT379" s="15"/>
      <c r="GZU379" s="15"/>
      <c r="GZV379" s="15"/>
      <c r="GZW379" s="15"/>
      <c r="GZX379" s="15"/>
      <c r="GZY379" s="15"/>
      <c r="GZZ379" s="10"/>
      <c r="HAA379" s="10"/>
      <c r="HAB379" s="21"/>
      <c r="HAC379" s="21"/>
      <c r="HAF379" s="21"/>
      <c r="HAG379" s="15"/>
      <c r="HAH379" s="15"/>
      <c r="HAI379" s="15"/>
      <c r="HAJ379" s="15"/>
      <c r="HAK379" s="15"/>
      <c r="HAL379" s="15"/>
      <c r="HAM379" s="15"/>
      <c r="HAN379" s="15"/>
      <c r="HAO379" s="15"/>
      <c r="HAP379" s="15"/>
      <c r="HAQ379" s="10"/>
      <c r="HAR379" s="10"/>
      <c r="HAS379" s="21"/>
      <c r="HAT379" s="21"/>
      <c r="HAW379" s="21"/>
      <c r="HAX379" s="15"/>
      <c r="HAY379" s="15"/>
      <c r="HAZ379" s="15"/>
      <c r="HBA379" s="15"/>
      <c r="HBB379" s="15"/>
      <c r="HBC379" s="15"/>
      <c r="HBD379" s="15"/>
      <c r="HBE379" s="15"/>
      <c r="HBF379" s="15"/>
      <c r="HBG379" s="15"/>
      <c r="HBH379" s="10"/>
      <c r="HBI379" s="10"/>
      <c r="HBJ379" s="21"/>
      <c r="HBK379" s="21"/>
      <c r="HBN379" s="21"/>
      <c r="HBO379" s="15"/>
      <c r="HBP379" s="15"/>
      <c r="HBQ379" s="15"/>
      <c r="HBR379" s="15"/>
      <c r="HBS379" s="15"/>
      <c r="HBT379" s="15"/>
      <c r="HBU379" s="15"/>
      <c r="HBV379" s="15"/>
      <c r="HBW379" s="15"/>
      <c r="HBX379" s="15"/>
      <c r="HBY379" s="10"/>
      <c r="HBZ379" s="10"/>
      <c r="HCA379" s="21"/>
      <c r="HCB379" s="21"/>
      <c r="HCE379" s="21"/>
      <c r="HCF379" s="15"/>
      <c r="HCG379" s="15"/>
      <c r="HCH379" s="15"/>
      <c r="HCI379" s="15"/>
      <c r="HCJ379" s="15"/>
      <c r="HCK379" s="15"/>
      <c r="HCL379" s="15"/>
      <c r="HCM379" s="15"/>
      <c r="HCN379" s="15"/>
      <c r="HCO379" s="15"/>
      <c r="HCP379" s="10"/>
      <c r="HCQ379" s="10"/>
      <c r="HCR379" s="21"/>
      <c r="HCS379" s="21"/>
      <c r="HCV379" s="21"/>
      <c r="HCW379" s="15"/>
      <c r="HCX379" s="15"/>
      <c r="HCY379" s="15"/>
      <c r="HCZ379" s="15"/>
      <c r="HDA379" s="15"/>
      <c r="HDB379" s="15"/>
      <c r="HDC379" s="15"/>
      <c r="HDD379" s="15"/>
      <c r="HDE379" s="15"/>
      <c r="HDF379" s="15"/>
      <c r="HDG379" s="10"/>
      <c r="HDH379" s="10"/>
      <c r="HDI379" s="21"/>
      <c r="HDJ379" s="21"/>
      <c r="HDM379" s="21"/>
      <c r="HDN379" s="15"/>
      <c r="HDO379" s="15"/>
      <c r="HDP379" s="15"/>
      <c r="HDQ379" s="15"/>
      <c r="HDR379" s="15"/>
      <c r="HDS379" s="15"/>
      <c r="HDT379" s="15"/>
      <c r="HDU379" s="15"/>
      <c r="HDV379" s="15"/>
      <c r="HDW379" s="15"/>
      <c r="HDX379" s="10"/>
      <c r="HDY379" s="10"/>
      <c r="HDZ379" s="21"/>
      <c r="HEA379" s="21"/>
      <c r="HED379" s="21"/>
      <c r="HEE379" s="15"/>
      <c r="HEF379" s="15"/>
      <c r="HEG379" s="15"/>
      <c r="HEH379" s="15"/>
      <c r="HEI379" s="15"/>
      <c r="HEJ379" s="15"/>
      <c r="HEK379" s="15"/>
      <c r="HEL379" s="15"/>
      <c r="HEM379" s="15"/>
      <c r="HEN379" s="15"/>
      <c r="HEO379" s="10"/>
      <c r="HEP379" s="10"/>
      <c r="HEQ379" s="21"/>
      <c r="HER379" s="21"/>
      <c r="HEU379" s="21"/>
      <c r="HEV379" s="15"/>
      <c r="HEW379" s="15"/>
      <c r="HEX379" s="15"/>
      <c r="HEY379" s="15"/>
      <c r="HEZ379" s="15"/>
      <c r="HFA379" s="15"/>
      <c r="HFB379" s="15"/>
      <c r="HFC379" s="15"/>
      <c r="HFD379" s="15"/>
      <c r="HFE379" s="15"/>
      <c r="HFF379" s="10"/>
      <c r="HFG379" s="10"/>
      <c r="HFH379" s="21"/>
      <c r="HFI379" s="21"/>
      <c r="HFL379" s="21"/>
      <c r="HFM379" s="15"/>
      <c r="HFN379" s="15"/>
      <c r="HFO379" s="15"/>
      <c r="HFP379" s="15"/>
      <c r="HFQ379" s="15"/>
      <c r="HFR379" s="15"/>
      <c r="HFS379" s="15"/>
      <c r="HFT379" s="15"/>
      <c r="HFU379" s="15"/>
      <c r="HFV379" s="15"/>
      <c r="HFW379" s="10"/>
      <c r="HFX379" s="10"/>
      <c r="HFY379" s="21"/>
      <c r="HFZ379" s="21"/>
      <c r="HGC379" s="21"/>
      <c r="HGD379" s="15"/>
      <c r="HGE379" s="15"/>
      <c r="HGF379" s="15"/>
      <c r="HGG379" s="15"/>
      <c r="HGH379" s="15"/>
      <c r="HGI379" s="15"/>
      <c r="HGJ379" s="15"/>
      <c r="HGK379" s="15"/>
      <c r="HGL379" s="15"/>
      <c r="HGM379" s="15"/>
      <c r="HGN379" s="10"/>
      <c r="HGO379" s="10"/>
      <c r="HGP379" s="21"/>
      <c r="HGQ379" s="21"/>
      <c r="HGT379" s="21"/>
      <c r="HGU379" s="15"/>
      <c r="HGV379" s="15"/>
      <c r="HGW379" s="15"/>
      <c r="HGX379" s="15"/>
      <c r="HGY379" s="15"/>
      <c r="HGZ379" s="15"/>
      <c r="HHA379" s="15"/>
      <c r="HHB379" s="15"/>
      <c r="HHC379" s="15"/>
      <c r="HHD379" s="15"/>
      <c r="HHE379" s="10"/>
      <c r="HHF379" s="10"/>
      <c r="HHG379" s="21"/>
      <c r="HHH379" s="21"/>
      <c r="HHK379" s="21"/>
      <c r="HHL379" s="15"/>
      <c r="HHM379" s="15"/>
      <c r="HHN379" s="15"/>
      <c r="HHO379" s="15"/>
      <c r="HHP379" s="15"/>
      <c r="HHQ379" s="15"/>
      <c r="HHR379" s="15"/>
      <c r="HHS379" s="15"/>
      <c r="HHT379" s="15"/>
      <c r="HHU379" s="15"/>
      <c r="HHV379" s="10"/>
      <c r="HHW379" s="10"/>
      <c r="HHX379" s="21"/>
      <c r="HHY379" s="21"/>
      <c r="HIB379" s="21"/>
      <c r="HIC379" s="15"/>
      <c r="HID379" s="15"/>
      <c r="HIE379" s="15"/>
      <c r="HIF379" s="15"/>
      <c r="HIG379" s="15"/>
      <c r="HIH379" s="15"/>
      <c r="HII379" s="15"/>
      <c r="HIJ379" s="15"/>
      <c r="HIK379" s="15"/>
      <c r="HIL379" s="15"/>
      <c r="HIM379" s="10"/>
      <c r="HIN379" s="10"/>
      <c r="HIO379" s="21"/>
      <c r="HIP379" s="21"/>
      <c r="HIS379" s="21"/>
      <c r="HIT379" s="15"/>
      <c r="HIU379" s="15"/>
      <c r="HIV379" s="15"/>
      <c r="HIW379" s="15"/>
      <c r="HIX379" s="15"/>
      <c r="HIY379" s="15"/>
      <c r="HIZ379" s="15"/>
      <c r="HJA379" s="15"/>
      <c r="HJB379" s="15"/>
      <c r="HJC379" s="15"/>
      <c r="HJD379" s="10"/>
      <c r="HJE379" s="10"/>
      <c r="HJF379" s="21"/>
      <c r="HJG379" s="21"/>
      <c r="HJJ379" s="21"/>
      <c r="HJK379" s="15"/>
      <c r="HJL379" s="15"/>
      <c r="HJM379" s="15"/>
      <c r="HJN379" s="15"/>
      <c r="HJO379" s="15"/>
      <c r="HJP379" s="15"/>
      <c r="HJQ379" s="15"/>
      <c r="HJR379" s="15"/>
      <c r="HJS379" s="15"/>
      <c r="HJT379" s="15"/>
      <c r="HJU379" s="10"/>
      <c r="HJV379" s="10"/>
      <c r="HJW379" s="21"/>
      <c r="HJX379" s="21"/>
      <c r="HKA379" s="21"/>
      <c r="HKB379" s="15"/>
      <c r="HKC379" s="15"/>
      <c r="HKD379" s="15"/>
      <c r="HKE379" s="15"/>
      <c r="HKF379" s="15"/>
      <c r="HKG379" s="15"/>
      <c r="HKH379" s="15"/>
      <c r="HKI379" s="15"/>
      <c r="HKJ379" s="15"/>
      <c r="HKK379" s="15"/>
      <c r="HKL379" s="10"/>
      <c r="HKM379" s="10"/>
      <c r="HKN379" s="21"/>
      <c r="HKO379" s="21"/>
      <c r="HKR379" s="21"/>
      <c r="HKS379" s="15"/>
      <c r="HKT379" s="15"/>
      <c r="HKU379" s="15"/>
      <c r="HKV379" s="15"/>
      <c r="HKW379" s="15"/>
      <c r="HKX379" s="15"/>
      <c r="HKY379" s="15"/>
      <c r="HKZ379" s="15"/>
      <c r="HLA379" s="15"/>
      <c r="HLB379" s="15"/>
      <c r="HLC379" s="10"/>
      <c r="HLD379" s="10"/>
      <c r="HLE379" s="21"/>
      <c r="HLF379" s="21"/>
      <c r="HLI379" s="21"/>
      <c r="HLJ379" s="15"/>
      <c r="HLK379" s="15"/>
      <c r="HLL379" s="15"/>
      <c r="HLM379" s="15"/>
      <c r="HLN379" s="15"/>
      <c r="HLO379" s="15"/>
      <c r="HLP379" s="15"/>
      <c r="HLQ379" s="15"/>
      <c r="HLR379" s="15"/>
      <c r="HLS379" s="15"/>
      <c r="HLT379" s="10"/>
      <c r="HLU379" s="10"/>
      <c r="HLV379" s="21"/>
      <c r="HLW379" s="21"/>
      <c r="HLZ379" s="21"/>
      <c r="HMA379" s="15"/>
      <c r="HMB379" s="15"/>
      <c r="HMC379" s="15"/>
      <c r="HMD379" s="15"/>
      <c r="HME379" s="15"/>
      <c r="HMF379" s="15"/>
      <c r="HMG379" s="15"/>
      <c r="HMH379" s="15"/>
      <c r="HMI379" s="15"/>
      <c r="HMJ379" s="15"/>
      <c r="HMK379" s="10"/>
      <c r="HML379" s="10"/>
      <c r="HMM379" s="21"/>
      <c r="HMN379" s="21"/>
      <c r="HMQ379" s="21"/>
      <c r="HMR379" s="15"/>
      <c r="HMS379" s="15"/>
      <c r="HMT379" s="15"/>
      <c r="HMU379" s="15"/>
      <c r="HMV379" s="15"/>
      <c r="HMW379" s="15"/>
      <c r="HMX379" s="15"/>
      <c r="HMY379" s="15"/>
      <c r="HMZ379" s="15"/>
      <c r="HNA379" s="15"/>
      <c r="HNB379" s="10"/>
      <c r="HNC379" s="10"/>
      <c r="HND379" s="21"/>
      <c r="HNE379" s="21"/>
      <c r="HNH379" s="21"/>
      <c r="HNI379" s="15"/>
      <c r="HNJ379" s="15"/>
      <c r="HNK379" s="15"/>
      <c r="HNL379" s="15"/>
      <c r="HNM379" s="15"/>
      <c r="HNN379" s="15"/>
      <c r="HNO379" s="15"/>
      <c r="HNP379" s="15"/>
      <c r="HNQ379" s="15"/>
      <c r="HNR379" s="15"/>
      <c r="HNS379" s="10"/>
      <c r="HNT379" s="10"/>
      <c r="HNU379" s="21"/>
      <c r="HNV379" s="21"/>
      <c r="HNY379" s="21"/>
      <c r="HNZ379" s="15"/>
      <c r="HOA379" s="15"/>
      <c r="HOB379" s="15"/>
      <c r="HOC379" s="15"/>
      <c r="HOD379" s="15"/>
      <c r="HOE379" s="15"/>
      <c r="HOF379" s="15"/>
      <c r="HOG379" s="15"/>
      <c r="HOH379" s="15"/>
      <c r="HOI379" s="15"/>
      <c r="HOJ379" s="10"/>
      <c r="HOK379" s="10"/>
      <c r="HOL379" s="21"/>
      <c r="HOM379" s="21"/>
      <c r="HOP379" s="21"/>
      <c r="HOQ379" s="15"/>
      <c r="HOR379" s="15"/>
      <c r="HOS379" s="15"/>
      <c r="HOT379" s="15"/>
      <c r="HOU379" s="15"/>
      <c r="HOV379" s="15"/>
      <c r="HOW379" s="15"/>
      <c r="HOX379" s="15"/>
      <c r="HOY379" s="15"/>
      <c r="HOZ379" s="15"/>
      <c r="HPA379" s="10"/>
      <c r="HPB379" s="10"/>
      <c r="HPC379" s="21"/>
      <c r="HPD379" s="21"/>
      <c r="HPG379" s="21"/>
      <c r="HPH379" s="15"/>
      <c r="HPI379" s="15"/>
      <c r="HPJ379" s="15"/>
      <c r="HPK379" s="15"/>
      <c r="HPL379" s="15"/>
      <c r="HPM379" s="15"/>
      <c r="HPN379" s="15"/>
      <c r="HPO379" s="15"/>
      <c r="HPP379" s="15"/>
      <c r="HPQ379" s="15"/>
      <c r="HPR379" s="10"/>
      <c r="HPS379" s="10"/>
      <c r="HPT379" s="21"/>
      <c r="HPU379" s="21"/>
      <c r="HPX379" s="21"/>
      <c r="HPY379" s="15"/>
      <c r="HPZ379" s="15"/>
      <c r="HQA379" s="15"/>
      <c r="HQB379" s="15"/>
      <c r="HQC379" s="15"/>
      <c r="HQD379" s="15"/>
      <c r="HQE379" s="15"/>
      <c r="HQF379" s="15"/>
      <c r="HQG379" s="15"/>
      <c r="HQH379" s="15"/>
      <c r="HQI379" s="10"/>
      <c r="HQJ379" s="10"/>
      <c r="HQK379" s="21"/>
      <c r="HQL379" s="21"/>
      <c r="HQO379" s="21"/>
      <c r="HQP379" s="15"/>
      <c r="HQQ379" s="15"/>
      <c r="HQR379" s="15"/>
      <c r="HQS379" s="15"/>
      <c r="HQT379" s="15"/>
      <c r="HQU379" s="15"/>
      <c r="HQV379" s="15"/>
      <c r="HQW379" s="15"/>
      <c r="HQX379" s="15"/>
      <c r="HQY379" s="15"/>
      <c r="HQZ379" s="10"/>
      <c r="HRA379" s="10"/>
      <c r="HRB379" s="21"/>
      <c r="HRC379" s="21"/>
      <c r="HRF379" s="21"/>
      <c r="HRG379" s="15"/>
      <c r="HRH379" s="15"/>
      <c r="HRI379" s="15"/>
      <c r="HRJ379" s="15"/>
      <c r="HRK379" s="15"/>
      <c r="HRL379" s="15"/>
      <c r="HRM379" s="15"/>
      <c r="HRN379" s="15"/>
      <c r="HRO379" s="15"/>
      <c r="HRP379" s="15"/>
      <c r="HRQ379" s="10"/>
      <c r="HRR379" s="10"/>
      <c r="HRS379" s="21"/>
      <c r="HRT379" s="21"/>
      <c r="HRW379" s="21"/>
      <c r="HRX379" s="15"/>
      <c r="HRY379" s="15"/>
      <c r="HRZ379" s="15"/>
      <c r="HSA379" s="15"/>
      <c r="HSB379" s="15"/>
      <c r="HSC379" s="15"/>
      <c r="HSD379" s="15"/>
      <c r="HSE379" s="15"/>
      <c r="HSF379" s="15"/>
      <c r="HSG379" s="15"/>
      <c r="HSH379" s="10"/>
      <c r="HSI379" s="10"/>
      <c r="HSJ379" s="21"/>
      <c r="HSK379" s="21"/>
      <c r="HSN379" s="21"/>
      <c r="HSO379" s="15"/>
      <c r="HSP379" s="15"/>
      <c r="HSQ379" s="15"/>
      <c r="HSR379" s="15"/>
      <c r="HSS379" s="15"/>
      <c r="HST379" s="15"/>
      <c r="HSU379" s="15"/>
      <c r="HSV379" s="15"/>
      <c r="HSW379" s="15"/>
      <c r="HSX379" s="15"/>
      <c r="HSY379" s="10"/>
      <c r="HSZ379" s="10"/>
      <c r="HTA379" s="21"/>
      <c r="HTB379" s="21"/>
      <c r="HTE379" s="21"/>
      <c r="HTF379" s="15"/>
      <c r="HTG379" s="15"/>
      <c r="HTH379" s="15"/>
      <c r="HTI379" s="15"/>
      <c r="HTJ379" s="15"/>
      <c r="HTK379" s="15"/>
      <c r="HTL379" s="15"/>
      <c r="HTM379" s="15"/>
      <c r="HTN379" s="15"/>
      <c r="HTO379" s="15"/>
      <c r="HTP379" s="10"/>
      <c r="HTQ379" s="10"/>
      <c r="HTR379" s="21"/>
      <c r="HTS379" s="21"/>
      <c r="HTV379" s="21"/>
      <c r="HTW379" s="15"/>
      <c r="HTX379" s="15"/>
      <c r="HTY379" s="15"/>
      <c r="HTZ379" s="15"/>
      <c r="HUA379" s="15"/>
      <c r="HUB379" s="15"/>
      <c r="HUC379" s="15"/>
      <c r="HUD379" s="15"/>
      <c r="HUE379" s="15"/>
      <c r="HUF379" s="15"/>
      <c r="HUG379" s="10"/>
      <c r="HUH379" s="10"/>
      <c r="HUI379" s="21"/>
      <c r="HUJ379" s="21"/>
      <c r="HUM379" s="21"/>
      <c r="HUN379" s="15"/>
      <c r="HUO379" s="15"/>
      <c r="HUP379" s="15"/>
      <c r="HUQ379" s="15"/>
      <c r="HUR379" s="15"/>
      <c r="HUS379" s="15"/>
      <c r="HUT379" s="15"/>
      <c r="HUU379" s="15"/>
      <c r="HUV379" s="15"/>
      <c r="HUW379" s="15"/>
      <c r="HUX379" s="10"/>
      <c r="HUY379" s="10"/>
      <c r="HUZ379" s="21"/>
      <c r="HVA379" s="21"/>
      <c r="HVD379" s="21"/>
      <c r="HVE379" s="15"/>
      <c r="HVF379" s="15"/>
      <c r="HVG379" s="15"/>
      <c r="HVH379" s="15"/>
      <c r="HVI379" s="15"/>
      <c r="HVJ379" s="15"/>
      <c r="HVK379" s="15"/>
      <c r="HVL379" s="15"/>
      <c r="HVM379" s="15"/>
      <c r="HVN379" s="15"/>
      <c r="HVO379" s="10"/>
      <c r="HVP379" s="10"/>
      <c r="HVQ379" s="21"/>
      <c r="HVR379" s="21"/>
      <c r="HVU379" s="21"/>
      <c r="HVV379" s="15"/>
      <c r="HVW379" s="15"/>
      <c r="HVX379" s="15"/>
      <c r="HVY379" s="15"/>
      <c r="HVZ379" s="15"/>
      <c r="HWA379" s="15"/>
      <c r="HWB379" s="15"/>
      <c r="HWC379" s="15"/>
      <c r="HWD379" s="15"/>
      <c r="HWE379" s="15"/>
      <c r="HWF379" s="10"/>
      <c r="HWG379" s="10"/>
      <c r="HWH379" s="21"/>
      <c r="HWI379" s="21"/>
      <c r="HWL379" s="21"/>
      <c r="HWM379" s="15"/>
      <c r="HWN379" s="15"/>
      <c r="HWO379" s="15"/>
      <c r="HWP379" s="15"/>
      <c r="HWQ379" s="15"/>
      <c r="HWR379" s="15"/>
      <c r="HWS379" s="15"/>
      <c r="HWT379" s="15"/>
      <c r="HWU379" s="15"/>
      <c r="HWV379" s="15"/>
      <c r="HWW379" s="10"/>
      <c r="HWX379" s="10"/>
      <c r="HWY379" s="21"/>
      <c r="HWZ379" s="21"/>
      <c r="HXC379" s="21"/>
      <c r="HXD379" s="15"/>
      <c r="HXE379" s="15"/>
      <c r="HXF379" s="15"/>
      <c r="HXG379" s="15"/>
      <c r="HXH379" s="15"/>
      <c r="HXI379" s="15"/>
      <c r="HXJ379" s="15"/>
      <c r="HXK379" s="15"/>
      <c r="HXL379" s="15"/>
      <c r="HXM379" s="15"/>
      <c r="HXN379" s="10"/>
      <c r="HXO379" s="10"/>
      <c r="HXP379" s="21"/>
      <c r="HXQ379" s="21"/>
      <c r="HXT379" s="21"/>
      <c r="HXU379" s="15"/>
      <c r="HXV379" s="15"/>
      <c r="HXW379" s="15"/>
      <c r="HXX379" s="15"/>
      <c r="HXY379" s="15"/>
      <c r="HXZ379" s="15"/>
      <c r="HYA379" s="15"/>
      <c r="HYB379" s="15"/>
      <c r="HYC379" s="15"/>
      <c r="HYD379" s="15"/>
      <c r="HYE379" s="10"/>
      <c r="HYF379" s="10"/>
      <c r="HYG379" s="21"/>
      <c r="HYH379" s="21"/>
      <c r="HYK379" s="21"/>
      <c r="HYL379" s="15"/>
      <c r="HYM379" s="15"/>
      <c r="HYN379" s="15"/>
      <c r="HYO379" s="15"/>
      <c r="HYP379" s="15"/>
      <c r="HYQ379" s="15"/>
      <c r="HYR379" s="15"/>
      <c r="HYS379" s="15"/>
      <c r="HYT379" s="15"/>
      <c r="HYU379" s="15"/>
      <c r="HYV379" s="10"/>
      <c r="HYW379" s="10"/>
      <c r="HYX379" s="21"/>
      <c r="HYY379" s="21"/>
      <c r="HZB379" s="21"/>
      <c r="HZC379" s="15"/>
      <c r="HZD379" s="15"/>
      <c r="HZE379" s="15"/>
      <c r="HZF379" s="15"/>
      <c r="HZG379" s="15"/>
      <c r="HZH379" s="15"/>
      <c r="HZI379" s="15"/>
      <c r="HZJ379" s="15"/>
      <c r="HZK379" s="15"/>
      <c r="HZL379" s="15"/>
      <c r="HZM379" s="10"/>
      <c r="HZN379" s="10"/>
      <c r="HZO379" s="21"/>
      <c r="HZP379" s="21"/>
      <c r="HZS379" s="21"/>
      <c r="HZT379" s="15"/>
      <c r="HZU379" s="15"/>
      <c r="HZV379" s="15"/>
      <c r="HZW379" s="15"/>
      <c r="HZX379" s="15"/>
      <c r="HZY379" s="15"/>
      <c r="HZZ379" s="15"/>
      <c r="IAA379" s="15"/>
      <c r="IAB379" s="15"/>
      <c r="IAC379" s="15"/>
      <c r="IAD379" s="10"/>
      <c r="IAE379" s="10"/>
      <c r="IAF379" s="21"/>
      <c r="IAG379" s="21"/>
      <c r="IAJ379" s="21"/>
      <c r="IAK379" s="15"/>
      <c r="IAL379" s="15"/>
      <c r="IAM379" s="15"/>
      <c r="IAN379" s="15"/>
      <c r="IAO379" s="15"/>
      <c r="IAP379" s="15"/>
      <c r="IAQ379" s="15"/>
      <c r="IAR379" s="15"/>
      <c r="IAS379" s="15"/>
      <c r="IAT379" s="15"/>
      <c r="IAU379" s="10"/>
      <c r="IAV379" s="10"/>
      <c r="IAW379" s="21"/>
      <c r="IAX379" s="21"/>
      <c r="IBA379" s="21"/>
      <c r="IBB379" s="15"/>
      <c r="IBC379" s="15"/>
      <c r="IBD379" s="15"/>
      <c r="IBE379" s="15"/>
      <c r="IBF379" s="15"/>
      <c r="IBG379" s="15"/>
      <c r="IBH379" s="15"/>
      <c r="IBI379" s="15"/>
      <c r="IBJ379" s="15"/>
      <c r="IBK379" s="15"/>
      <c r="IBL379" s="10"/>
      <c r="IBM379" s="10"/>
      <c r="IBN379" s="21"/>
      <c r="IBO379" s="21"/>
      <c r="IBR379" s="21"/>
      <c r="IBS379" s="15"/>
      <c r="IBT379" s="15"/>
      <c r="IBU379" s="15"/>
      <c r="IBV379" s="15"/>
      <c r="IBW379" s="15"/>
      <c r="IBX379" s="15"/>
      <c r="IBY379" s="15"/>
      <c r="IBZ379" s="15"/>
      <c r="ICA379" s="15"/>
      <c r="ICB379" s="15"/>
      <c r="ICC379" s="10"/>
      <c r="ICD379" s="10"/>
      <c r="ICE379" s="21"/>
      <c r="ICF379" s="21"/>
      <c r="ICI379" s="21"/>
      <c r="ICJ379" s="15"/>
      <c r="ICK379" s="15"/>
      <c r="ICL379" s="15"/>
      <c r="ICM379" s="15"/>
      <c r="ICN379" s="15"/>
      <c r="ICO379" s="15"/>
      <c r="ICP379" s="15"/>
      <c r="ICQ379" s="15"/>
      <c r="ICR379" s="15"/>
      <c r="ICS379" s="15"/>
      <c r="ICT379" s="10"/>
      <c r="ICU379" s="10"/>
      <c r="ICV379" s="21"/>
      <c r="ICW379" s="21"/>
      <c r="ICZ379" s="21"/>
      <c r="IDA379" s="15"/>
      <c r="IDB379" s="15"/>
      <c r="IDC379" s="15"/>
      <c r="IDD379" s="15"/>
      <c r="IDE379" s="15"/>
      <c r="IDF379" s="15"/>
      <c r="IDG379" s="15"/>
      <c r="IDH379" s="15"/>
      <c r="IDI379" s="15"/>
      <c r="IDJ379" s="15"/>
      <c r="IDK379" s="10"/>
      <c r="IDL379" s="10"/>
      <c r="IDM379" s="21"/>
      <c r="IDN379" s="21"/>
      <c r="IDQ379" s="21"/>
      <c r="IDR379" s="15"/>
      <c r="IDS379" s="15"/>
      <c r="IDT379" s="15"/>
      <c r="IDU379" s="15"/>
      <c r="IDV379" s="15"/>
      <c r="IDW379" s="15"/>
      <c r="IDX379" s="15"/>
      <c r="IDY379" s="15"/>
      <c r="IDZ379" s="15"/>
      <c r="IEA379" s="15"/>
      <c r="IEB379" s="10"/>
      <c r="IEC379" s="10"/>
      <c r="IED379" s="21"/>
      <c r="IEE379" s="21"/>
      <c r="IEH379" s="21"/>
      <c r="IEI379" s="15"/>
      <c r="IEJ379" s="15"/>
      <c r="IEK379" s="15"/>
      <c r="IEL379" s="15"/>
      <c r="IEM379" s="15"/>
      <c r="IEN379" s="15"/>
      <c r="IEO379" s="15"/>
      <c r="IEP379" s="15"/>
      <c r="IEQ379" s="15"/>
      <c r="IER379" s="15"/>
      <c r="IES379" s="10"/>
      <c r="IET379" s="10"/>
      <c r="IEU379" s="21"/>
      <c r="IEV379" s="21"/>
      <c r="IEY379" s="21"/>
      <c r="IEZ379" s="15"/>
      <c r="IFA379" s="15"/>
      <c r="IFB379" s="15"/>
      <c r="IFC379" s="15"/>
      <c r="IFD379" s="15"/>
      <c r="IFE379" s="15"/>
      <c r="IFF379" s="15"/>
      <c r="IFG379" s="15"/>
      <c r="IFH379" s="15"/>
      <c r="IFI379" s="15"/>
      <c r="IFJ379" s="10"/>
      <c r="IFK379" s="10"/>
      <c r="IFL379" s="21"/>
      <c r="IFM379" s="21"/>
      <c r="IFP379" s="21"/>
      <c r="IFQ379" s="15"/>
      <c r="IFR379" s="15"/>
      <c r="IFS379" s="15"/>
      <c r="IFT379" s="15"/>
      <c r="IFU379" s="15"/>
      <c r="IFV379" s="15"/>
      <c r="IFW379" s="15"/>
      <c r="IFX379" s="15"/>
      <c r="IFY379" s="15"/>
      <c r="IFZ379" s="15"/>
      <c r="IGA379" s="10"/>
      <c r="IGB379" s="10"/>
      <c r="IGC379" s="21"/>
      <c r="IGD379" s="21"/>
      <c r="IGG379" s="21"/>
      <c r="IGH379" s="15"/>
      <c r="IGI379" s="15"/>
      <c r="IGJ379" s="15"/>
      <c r="IGK379" s="15"/>
      <c r="IGL379" s="15"/>
      <c r="IGM379" s="15"/>
      <c r="IGN379" s="15"/>
      <c r="IGO379" s="15"/>
      <c r="IGP379" s="15"/>
      <c r="IGQ379" s="15"/>
      <c r="IGR379" s="10"/>
      <c r="IGS379" s="10"/>
      <c r="IGT379" s="21"/>
      <c r="IGU379" s="21"/>
      <c r="IGX379" s="21"/>
      <c r="IGY379" s="15"/>
      <c r="IGZ379" s="15"/>
      <c r="IHA379" s="15"/>
      <c r="IHB379" s="15"/>
      <c r="IHC379" s="15"/>
      <c r="IHD379" s="15"/>
      <c r="IHE379" s="15"/>
      <c r="IHF379" s="15"/>
      <c r="IHG379" s="15"/>
      <c r="IHH379" s="15"/>
      <c r="IHI379" s="10"/>
      <c r="IHJ379" s="10"/>
      <c r="IHK379" s="21"/>
      <c r="IHL379" s="21"/>
      <c r="IHO379" s="21"/>
      <c r="IHP379" s="15"/>
      <c r="IHQ379" s="15"/>
      <c r="IHR379" s="15"/>
      <c r="IHS379" s="15"/>
      <c r="IHT379" s="15"/>
      <c r="IHU379" s="15"/>
      <c r="IHV379" s="15"/>
      <c r="IHW379" s="15"/>
      <c r="IHX379" s="15"/>
      <c r="IHY379" s="15"/>
      <c r="IHZ379" s="10"/>
      <c r="IIA379" s="10"/>
      <c r="IIB379" s="21"/>
      <c r="IIC379" s="21"/>
      <c r="IIF379" s="21"/>
      <c r="IIG379" s="15"/>
      <c r="IIH379" s="15"/>
      <c r="III379" s="15"/>
      <c r="IIJ379" s="15"/>
      <c r="IIK379" s="15"/>
      <c r="IIL379" s="15"/>
      <c r="IIM379" s="15"/>
      <c r="IIN379" s="15"/>
      <c r="IIO379" s="15"/>
      <c r="IIP379" s="15"/>
      <c r="IIQ379" s="10"/>
      <c r="IIR379" s="10"/>
      <c r="IIS379" s="21"/>
      <c r="IIT379" s="21"/>
      <c r="IIW379" s="21"/>
      <c r="IIX379" s="15"/>
      <c r="IIY379" s="15"/>
      <c r="IIZ379" s="15"/>
      <c r="IJA379" s="15"/>
      <c r="IJB379" s="15"/>
      <c r="IJC379" s="15"/>
      <c r="IJD379" s="15"/>
      <c r="IJE379" s="15"/>
      <c r="IJF379" s="15"/>
      <c r="IJG379" s="15"/>
      <c r="IJH379" s="10"/>
      <c r="IJI379" s="10"/>
      <c r="IJJ379" s="21"/>
      <c r="IJK379" s="21"/>
      <c r="IJN379" s="21"/>
      <c r="IJO379" s="15"/>
      <c r="IJP379" s="15"/>
      <c r="IJQ379" s="15"/>
      <c r="IJR379" s="15"/>
      <c r="IJS379" s="15"/>
      <c r="IJT379" s="15"/>
      <c r="IJU379" s="15"/>
      <c r="IJV379" s="15"/>
      <c r="IJW379" s="15"/>
      <c r="IJX379" s="15"/>
      <c r="IJY379" s="10"/>
      <c r="IJZ379" s="10"/>
      <c r="IKA379" s="21"/>
      <c r="IKB379" s="21"/>
      <c r="IKE379" s="21"/>
      <c r="IKF379" s="15"/>
      <c r="IKG379" s="15"/>
      <c r="IKH379" s="15"/>
      <c r="IKI379" s="15"/>
      <c r="IKJ379" s="15"/>
      <c r="IKK379" s="15"/>
      <c r="IKL379" s="15"/>
      <c r="IKM379" s="15"/>
      <c r="IKN379" s="15"/>
      <c r="IKO379" s="15"/>
      <c r="IKP379" s="10"/>
      <c r="IKQ379" s="10"/>
      <c r="IKR379" s="21"/>
      <c r="IKS379" s="21"/>
      <c r="IKV379" s="21"/>
      <c r="IKW379" s="15"/>
      <c r="IKX379" s="15"/>
      <c r="IKY379" s="15"/>
      <c r="IKZ379" s="15"/>
      <c r="ILA379" s="15"/>
      <c r="ILB379" s="15"/>
      <c r="ILC379" s="15"/>
      <c r="ILD379" s="15"/>
      <c r="ILE379" s="15"/>
      <c r="ILF379" s="15"/>
      <c r="ILG379" s="10"/>
      <c r="ILH379" s="10"/>
      <c r="ILI379" s="21"/>
      <c r="ILJ379" s="21"/>
      <c r="ILM379" s="21"/>
      <c r="ILN379" s="15"/>
      <c r="ILO379" s="15"/>
      <c r="ILP379" s="15"/>
      <c r="ILQ379" s="15"/>
      <c r="ILR379" s="15"/>
      <c r="ILS379" s="15"/>
      <c r="ILT379" s="15"/>
      <c r="ILU379" s="15"/>
      <c r="ILV379" s="15"/>
      <c r="ILW379" s="15"/>
      <c r="ILX379" s="10"/>
      <c r="ILY379" s="10"/>
      <c r="ILZ379" s="21"/>
      <c r="IMA379" s="21"/>
      <c r="IMD379" s="21"/>
      <c r="IME379" s="15"/>
      <c r="IMF379" s="15"/>
      <c r="IMG379" s="15"/>
      <c r="IMH379" s="15"/>
      <c r="IMI379" s="15"/>
      <c r="IMJ379" s="15"/>
      <c r="IMK379" s="15"/>
      <c r="IML379" s="15"/>
      <c r="IMM379" s="15"/>
      <c r="IMN379" s="15"/>
      <c r="IMO379" s="10"/>
      <c r="IMP379" s="10"/>
      <c r="IMQ379" s="21"/>
      <c r="IMR379" s="21"/>
      <c r="IMU379" s="21"/>
      <c r="IMV379" s="15"/>
      <c r="IMW379" s="15"/>
      <c r="IMX379" s="15"/>
      <c r="IMY379" s="15"/>
      <c r="IMZ379" s="15"/>
      <c r="INA379" s="15"/>
      <c r="INB379" s="15"/>
      <c r="INC379" s="15"/>
      <c r="IND379" s="15"/>
      <c r="INE379" s="15"/>
      <c r="INF379" s="10"/>
      <c r="ING379" s="10"/>
      <c r="INH379" s="21"/>
      <c r="INI379" s="21"/>
      <c r="INL379" s="21"/>
      <c r="INM379" s="15"/>
      <c r="INN379" s="15"/>
      <c r="INO379" s="15"/>
      <c r="INP379" s="15"/>
      <c r="INQ379" s="15"/>
      <c r="INR379" s="15"/>
      <c r="INS379" s="15"/>
      <c r="INT379" s="15"/>
      <c r="INU379" s="15"/>
      <c r="INV379" s="15"/>
      <c r="INW379" s="10"/>
      <c r="INX379" s="10"/>
      <c r="INY379" s="21"/>
      <c r="INZ379" s="21"/>
      <c r="IOC379" s="21"/>
      <c r="IOD379" s="15"/>
      <c r="IOE379" s="15"/>
      <c r="IOF379" s="15"/>
      <c r="IOG379" s="15"/>
      <c r="IOH379" s="15"/>
      <c r="IOI379" s="15"/>
      <c r="IOJ379" s="15"/>
      <c r="IOK379" s="15"/>
      <c r="IOL379" s="15"/>
      <c r="IOM379" s="15"/>
      <c r="ION379" s="10"/>
      <c r="IOO379" s="10"/>
      <c r="IOP379" s="21"/>
      <c r="IOQ379" s="21"/>
      <c r="IOT379" s="21"/>
      <c r="IOU379" s="15"/>
      <c r="IOV379" s="15"/>
      <c r="IOW379" s="15"/>
      <c r="IOX379" s="15"/>
      <c r="IOY379" s="15"/>
      <c r="IOZ379" s="15"/>
      <c r="IPA379" s="15"/>
      <c r="IPB379" s="15"/>
      <c r="IPC379" s="15"/>
      <c r="IPD379" s="15"/>
      <c r="IPE379" s="10"/>
      <c r="IPF379" s="10"/>
      <c r="IPG379" s="21"/>
      <c r="IPH379" s="21"/>
      <c r="IPK379" s="21"/>
      <c r="IPL379" s="15"/>
      <c r="IPM379" s="15"/>
      <c r="IPN379" s="15"/>
      <c r="IPO379" s="15"/>
      <c r="IPP379" s="15"/>
      <c r="IPQ379" s="15"/>
      <c r="IPR379" s="15"/>
      <c r="IPS379" s="15"/>
      <c r="IPT379" s="15"/>
      <c r="IPU379" s="15"/>
      <c r="IPV379" s="10"/>
      <c r="IPW379" s="10"/>
      <c r="IPX379" s="21"/>
      <c r="IPY379" s="21"/>
      <c r="IQB379" s="21"/>
      <c r="IQC379" s="15"/>
      <c r="IQD379" s="15"/>
      <c r="IQE379" s="15"/>
      <c r="IQF379" s="15"/>
      <c r="IQG379" s="15"/>
      <c r="IQH379" s="15"/>
      <c r="IQI379" s="15"/>
      <c r="IQJ379" s="15"/>
      <c r="IQK379" s="15"/>
      <c r="IQL379" s="15"/>
      <c r="IQM379" s="10"/>
      <c r="IQN379" s="10"/>
      <c r="IQO379" s="21"/>
      <c r="IQP379" s="21"/>
      <c r="IQS379" s="21"/>
      <c r="IQT379" s="15"/>
      <c r="IQU379" s="15"/>
      <c r="IQV379" s="15"/>
      <c r="IQW379" s="15"/>
      <c r="IQX379" s="15"/>
      <c r="IQY379" s="15"/>
      <c r="IQZ379" s="15"/>
      <c r="IRA379" s="15"/>
      <c r="IRB379" s="15"/>
      <c r="IRC379" s="15"/>
      <c r="IRD379" s="10"/>
      <c r="IRE379" s="10"/>
      <c r="IRF379" s="21"/>
      <c r="IRG379" s="21"/>
      <c r="IRJ379" s="21"/>
      <c r="IRK379" s="15"/>
      <c r="IRL379" s="15"/>
      <c r="IRM379" s="15"/>
      <c r="IRN379" s="15"/>
      <c r="IRO379" s="15"/>
      <c r="IRP379" s="15"/>
      <c r="IRQ379" s="15"/>
      <c r="IRR379" s="15"/>
      <c r="IRS379" s="15"/>
      <c r="IRT379" s="15"/>
      <c r="IRU379" s="10"/>
      <c r="IRV379" s="10"/>
      <c r="IRW379" s="21"/>
      <c r="IRX379" s="21"/>
      <c r="ISA379" s="21"/>
      <c r="ISB379" s="15"/>
      <c r="ISC379" s="15"/>
      <c r="ISD379" s="15"/>
      <c r="ISE379" s="15"/>
      <c r="ISF379" s="15"/>
      <c r="ISG379" s="15"/>
      <c r="ISH379" s="15"/>
      <c r="ISI379" s="15"/>
      <c r="ISJ379" s="15"/>
      <c r="ISK379" s="15"/>
      <c r="ISL379" s="10"/>
      <c r="ISM379" s="10"/>
      <c r="ISN379" s="21"/>
      <c r="ISO379" s="21"/>
      <c r="ISR379" s="21"/>
      <c r="ISS379" s="15"/>
      <c r="IST379" s="15"/>
      <c r="ISU379" s="15"/>
      <c r="ISV379" s="15"/>
      <c r="ISW379" s="15"/>
      <c r="ISX379" s="15"/>
      <c r="ISY379" s="15"/>
      <c r="ISZ379" s="15"/>
      <c r="ITA379" s="15"/>
      <c r="ITB379" s="15"/>
      <c r="ITC379" s="10"/>
      <c r="ITD379" s="10"/>
      <c r="ITE379" s="21"/>
      <c r="ITF379" s="21"/>
      <c r="ITI379" s="21"/>
      <c r="ITJ379" s="15"/>
      <c r="ITK379" s="15"/>
      <c r="ITL379" s="15"/>
      <c r="ITM379" s="15"/>
      <c r="ITN379" s="15"/>
      <c r="ITO379" s="15"/>
      <c r="ITP379" s="15"/>
      <c r="ITQ379" s="15"/>
      <c r="ITR379" s="15"/>
      <c r="ITS379" s="15"/>
      <c r="ITT379" s="10"/>
      <c r="ITU379" s="10"/>
      <c r="ITV379" s="21"/>
      <c r="ITW379" s="21"/>
      <c r="ITZ379" s="21"/>
      <c r="IUA379" s="15"/>
      <c r="IUB379" s="15"/>
      <c r="IUC379" s="15"/>
      <c r="IUD379" s="15"/>
      <c r="IUE379" s="15"/>
      <c r="IUF379" s="15"/>
      <c r="IUG379" s="15"/>
      <c r="IUH379" s="15"/>
      <c r="IUI379" s="15"/>
      <c r="IUJ379" s="15"/>
      <c r="IUK379" s="10"/>
      <c r="IUL379" s="10"/>
      <c r="IUM379" s="21"/>
      <c r="IUN379" s="21"/>
      <c r="IUQ379" s="21"/>
      <c r="IUR379" s="15"/>
      <c r="IUS379" s="15"/>
      <c r="IUT379" s="15"/>
      <c r="IUU379" s="15"/>
      <c r="IUV379" s="15"/>
      <c r="IUW379" s="15"/>
      <c r="IUX379" s="15"/>
      <c r="IUY379" s="15"/>
      <c r="IUZ379" s="15"/>
      <c r="IVA379" s="15"/>
      <c r="IVB379" s="10"/>
      <c r="IVC379" s="10"/>
      <c r="IVD379" s="21"/>
      <c r="IVE379" s="21"/>
      <c r="IVH379" s="21"/>
      <c r="IVI379" s="15"/>
      <c r="IVJ379" s="15"/>
      <c r="IVK379" s="15"/>
      <c r="IVL379" s="15"/>
      <c r="IVM379" s="15"/>
      <c r="IVN379" s="15"/>
      <c r="IVO379" s="15"/>
      <c r="IVP379" s="15"/>
      <c r="IVQ379" s="15"/>
      <c r="IVR379" s="15"/>
      <c r="IVS379" s="10"/>
      <c r="IVT379" s="10"/>
      <c r="IVU379" s="21"/>
      <c r="IVV379" s="21"/>
      <c r="IVY379" s="21"/>
      <c r="IVZ379" s="15"/>
      <c r="IWA379" s="15"/>
      <c r="IWB379" s="15"/>
      <c r="IWC379" s="15"/>
      <c r="IWD379" s="15"/>
      <c r="IWE379" s="15"/>
      <c r="IWF379" s="15"/>
      <c r="IWG379" s="15"/>
      <c r="IWH379" s="15"/>
      <c r="IWI379" s="15"/>
      <c r="IWJ379" s="10"/>
      <c r="IWK379" s="10"/>
      <c r="IWL379" s="21"/>
      <c r="IWM379" s="21"/>
      <c r="IWP379" s="21"/>
      <c r="IWQ379" s="15"/>
      <c r="IWR379" s="15"/>
      <c r="IWS379" s="15"/>
      <c r="IWT379" s="15"/>
      <c r="IWU379" s="15"/>
      <c r="IWV379" s="15"/>
      <c r="IWW379" s="15"/>
      <c r="IWX379" s="15"/>
      <c r="IWY379" s="15"/>
      <c r="IWZ379" s="15"/>
      <c r="IXA379" s="10"/>
      <c r="IXB379" s="10"/>
      <c r="IXC379" s="21"/>
      <c r="IXD379" s="21"/>
      <c r="IXG379" s="21"/>
      <c r="IXH379" s="15"/>
      <c r="IXI379" s="15"/>
      <c r="IXJ379" s="15"/>
      <c r="IXK379" s="15"/>
      <c r="IXL379" s="15"/>
      <c r="IXM379" s="15"/>
      <c r="IXN379" s="15"/>
      <c r="IXO379" s="15"/>
      <c r="IXP379" s="15"/>
      <c r="IXQ379" s="15"/>
      <c r="IXR379" s="10"/>
      <c r="IXS379" s="10"/>
      <c r="IXT379" s="21"/>
      <c r="IXU379" s="21"/>
      <c r="IXX379" s="21"/>
      <c r="IXY379" s="15"/>
      <c r="IXZ379" s="15"/>
      <c r="IYA379" s="15"/>
      <c r="IYB379" s="15"/>
      <c r="IYC379" s="15"/>
      <c r="IYD379" s="15"/>
      <c r="IYE379" s="15"/>
      <c r="IYF379" s="15"/>
      <c r="IYG379" s="15"/>
      <c r="IYH379" s="15"/>
      <c r="IYI379" s="10"/>
      <c r="IYJ379" s="10"/>
      <c r="IYK379" s="21"/>
      <c r="IYL379" s="21"/>
      <c r="IYO379" s="21"/>
      <c r="IYP379" s="15"/>
      <c r="IYQ379" s="15"/>
      <c r="IYR379" s="15"/>
      <c r="IYS379" s="15"/>
      <c r="IYT379" s="15"/>
      <c r="IYU379" s="15"/>
      <c r="IYV379" s="15"/>
      <c r="IYW379" s="15"/>
      <c r="IYX379" s="15"/>
      <c r="IYY379" s="15"/>
      <c r="IYZ379" s="10"/>
      <c r="IZA379" s="10"/>
      <c r="IZB379" s="21"/>
      <c r="IZC379" s="21"/>
      <c r="IZF379" s="21"/>
      <c r="IZG379" s="15"/>
      <c r="IZH379" s="15"/>
      <c r="IZI379" s="15"/>
      <c r="IZJ379" s="15"/>
      <c r="IZK379" s="15"/>
      <c r="IZL379" s="15"/>
      <c r="IZM379" s="15"/>
      <c r="IZN379" s="15"/>
      <c r="IZO379" s="15"/>
      <c r="IZP379" s="15"/>
      <c r="IZQ379" s="10"/>
      <c r="IZR379" s="10"/>
      <c r="IZS379" s="21"/>
      <c r="IZT379" s="21"/>
      <c r="IZW379" s="21"/>
      <c r="IZX379" s="15"/>
      <c r="IZY379" s="15"/>
      <c r="IZZ379" s="15"/>
      <c r="JAA379" s="15"/>
      <c r="JAB379" s="15"/>
      <c r="JAC379" s="15"/>
      <c r="JAD379" s="15"/>
      <c r="JAE379" s="15"/>
      <c r="JAF379" s="15"/>
      <c r="JAG379" s="15"/>
      <c r="JAH379" s="10"/>
      <c r="JAI379" s="10"/>
      <c r="JAJ379" s="21"/>
      <c r="JAK379" s="21"/>
      <c r="JAN379" s="21"/>
      <c r="JAO379" s="15"/>
      <c r="JAP379" s="15"/>
      <c r="JAQ379" s="15"/>
      <c r="JAR379" s="15"/>
      <c r="JAS379" s="15"/>
      <c r="JAT379" s="15"/>
      <c r="JAU379" s="15"/>
      <c r="JAV379" s="15"/>
      <c r="JAW379" s="15"/>
      <c r="JAX379" s="15"/>
      <c r="JAY379" s="10"/>
      <c r="JAZ379" s="10"/>
      <c r="JBA379" s="21"/>
      <c r="JBB379" s="21"/>
      <c r="JBE379" s="21"/>
      <c r="JBF379" s="15"/>
      <c r="JBG379" s="15"/>
      <c r="JBH379" s="15"/>
      <c r="JBI379" s="15"/>
      <c r="JBJ379" s="15"/>
      <c r="JBK379" s="15"/>
      <c r="JBL379" s="15"/>
      <c r="JBM379" s="15"/>
      <c r="JBN379" s="15"/>
      <c r="JBO379" s="15"/>
      <c r="JBP379" s="10"/>
      <c r="JBQ379" s="10"/>
      <c r="JBR379" s="21"/>
      <c r="JBS379" s="21"/>
      <c r="JBV379" s="21"/>
      <c r="JBW379" s="15"/>
      <c r="JBX379" s="15"/>
      <c r="JBY379" s="15"/>
      <c r="JBZ379" s="15"/>
      <c r="JCA379" s="15"/>
      <c r="JCB379" s="15"/>
      <c r="JCC379" s="15"/>
      <c r="JCD379" s="15"/>
      <c r="JCE379" s="15"/>
      <c r="JCF379" s="15"/>
      <c r="JCG379" s="10"/>
      <c r="JCH379" s="10"/>
      <c r="JCI379" s="21"/>
      <c r="JCJ379" s="21"/>
      <c r="JCM379" s="21"/>
      <c r="JCN379" s="15"/>
      <c r="JCO379" s="15"/>
      <c r="JCP379" s="15"/>
      <c r="JCQ379" s="15"/>
      <c r="JCR379" s="15"/>
      <c r="JCS379" s="15"/>
      <c r="JCT379" s="15"/>
      <c r="JCU379" s="15"/>
      <c r="JCV379" s="15"/>
      <c r="JCW379" s="15"/>
      <c r="JCX379" s="10"/>
      <c r="JCY379" s="10"/>
      <c r="JCZ379" s="21"/>
      <c r="JDA379" s="21"/>
      <c r="JDD379" s="21"/>
      <c r="JDE379" s="15"/>
      <c r="JDF379" s="15"/>
      <c r="JDG379" s="15"/>
      <c r="JDH379" s="15"/>
      <c r="JDI379" s="15"/>
      <c r="JDJ379" s="15"/>
      <c r="JDK379" s="15"/>
      <c r="JDL379" s="15"/>
      <c r="JDM379" s="15"/>
      <c r="JDN379" s="15"/>
      <c r="JDO379" s="10"/>
      <c r="JDP379" s="10"/>
      <c r="JDQ379" s="21"/>
      <c r="JDR379" s="21"/>
      <c r="JDU379" s="21"/>
      <c r="JDV379" s="15"/>
      <c r="JDW379" s="15"/>
      <c r="JDX379" s="15"/>
      <c r="JDY379" s="15"/>
      <c r="JDZ379" s="15"/>
      <c r="JEA379" s="15"/>
      <c r="JEB379" s="15"/>
      <c r="JEC379" s="15"/>
      <c r="JED379" s="15"/>
      <c r="JEE379" s="15"/>
      <c r="JEF379" s="10"/>
      <c r="JEG379" s="10"/>
      <c r="JEH379" s="21"/>
      <c r="JEI379" s="21"/>
      <c r="JEL379" s="21"/>
      <c r="JEM379" s="15"/>
      <c r="JEN379" s="15"/>
      <c r="JEO379" s="15"/>
      <c r="JEP379" s="15"/>
      <c r="JEQ379" s="15"/>
      <c r="JER379" s="15"/>
      <c r="JES379" s="15"/>
      <c r="JET379" s="15"/>
      <c r="JEU379" s="15"/>
      <c r="JEV379" s="15"/>
      <c r="JEW379" s="10"/>
      <c r="JEX379" s="10"/>
      <c r="JEY379" s="21"/>
      <c r="JEZ379" s="21"/>
      <c r="JFC379" s="21"/>
      <c r="JFD379" s="15"/>
      <c r="JFE379" s="15"/>
      <c r="JFF379" s="15"/>
      <c r="JFG379" s="15"/>
      <c r="JFH379" s="15"/>
      <c r="JFI379" s="15"/>
      <c r="JFJ379" s="15"/>
      <c r="JFK379" s="15"/>
      <c r="JFL379" s="15"/>
      <c r="JFM379" s="15"/>
      <c r="JFN379" s="10"/>
      <c r="JFO379" s="10"/>
      <c r="JFP379" s="21"/>
      <c r="JFQ379" s="21"/>
      <c r="JFT379" s="21"/>
      <c r="JFU379" s="15"/>
      <c r="JFV379" s="15"/>
      <c r="JFW379" s="15"/>
      <c r="JFX379" s="15"/>
      <c r="JFY379" s="15"/>
      <c r="JFZ379" s="15"/>
      <c r="JGA379" s="15"/>
      <c r="JGB379" s="15"/>
      <c r="JGC379" s="15"/>
      <c r="JGD379" s="15"/>
      <c r="JGE379" s="10"/>
      <c r="JGF379" s="10"/>
      <c r="JGG379" s="21"/>
      <c r="JGH379" s="21"/>
      <c r="JGK379" s="21"/>
      <c r="JGL379" s="15"/>
      <c r="JGM379" s="15"/>
      <c r="JGN379" s="15"/>
      <c r="JGO379" s="15"/>
      <c r="JGP379" s="15"/>
      <c r="JGQ379" s="15"/>
      <c r="JGR379" s="15"/>
      <c r="JGS379" s="15"/>
      <c r="JGT379" s="15"/>
      <c r="JGU379" s="15"/>
      <c r="JGV379" s="10"/>
      <c r="JGW379" s="10"/>
      <c r="JGX379" s="21"/>
      <c r="JGY379" s="21"/>
      <c r="JHB379" s="21"/>
      <c r="JHC379" s="15"/>
      <c r="JHD379" s="15"/>
      <c r="JHE379" s="15"/>
      <c r="JHF379" s="15"/>
      <c r="JHG379" s="15"/>
      <c r="JHH379" s="15"/>
      <c r="JHI379" s="15"/>
      <c r="JHJ379" s="15"/>
      <c r="JHK379" s="15"/>
      <c r="JHL379" s="15"/>
      <c r="JHM379" s="10"/>
      <c r="JHN379" s="10"/>
      <c r="JHO379" s="21"/>
      <c r="JHP379" s="21"/>
      <c r="JHS379" s="21"/>
      <c r="JHT379" s="15"/>
      <c r="JHU379" s="15"/>
      <c r="JHV379" s="15"/>
      <c r="JHW379" s="15"/>
      <c r="JHX379" s="15"/>
      <c r="JHY379" s="15"/>
      <c r="JHZ379" s="15"/>
      <c r="JIA379" s="15"/>
      <c r="JIB379" s="15"/>
      <c r="JIC379" s="15"/>
      <c r="JID379" s="10"/>
      <c r="JIE379" s="10"/>
      <c r="JIF379" s="21"/>
      <c r="JIG379" s="21"/>
      <c r="JIJ379" s="21"/>
      <c r="JIK379" s="15"/>
      <c r="JIL379" s="15"/>
      <c r="JIM379" s="15"/>
      <c r="JIN379" s="15"/>
      <c r="JIO379" s="15"/>
      <c r="JIP379" s="15"/>
      <c r="JIQ379" s="15"/>
      <c r="JIR379" s="15"/>
      <c r="JIS379" s="15"/>
      <c r="JIT379" s="15"/>
      <c r="JIU379" s="10"/>
      <c r="JIV379" s="10"/>
      <c r="JIW379" s="21"/>
      <c r="JIX379" s="21"/>
      <c r="JJA379" s="21"/>
      <c r="JJB379" s="15"/>
      <c r="JJC379" s="15"/>
      <c r="JJD379" s="15"/>
      <c r="JJE379" s="15"/>
      <c r="JJF379" s="15"/>
      <c r="JJG379" s="15"/>
      <c r="JJH379" s="15"/>
      <c r="JJI379" s="15"/>
      <c r="JJJ379" s="15"/>
      <c r="JJK379" s="15"/>
      <c r="JJL379" s="10"/>
      <c r="JJM379" s="10"/>
      <c r="JJN379" s="21"/>
      <c r="JJO379" s="21"/>
      <c r="JJR379" s="21"/>
      <c r="JJS379" s="15"/>
      <c r="JJT379" s="15"/>
      <c r="JJU379" s="15"/>
      <c r="JJV379" s="15"/>
      <c r="JJW379" s="15"/>
      <c r="JJX379" s="15"/>
      <c r="JJY379" s="15"/>
      <c r="JJZ379" s="15"/>
      <c r="JKA379" s="15"/>
      <c r="JKB379" s="15"/>
      <c r="JKC379" s="10"/>
      <c r="JKD379" s="10"/>
      <c r="JKE379" s="21"/>
      <c r="JKF379" s="21"/>
      <c r="JKI379" s="21"/>
      <c r="JKJ379" s="15"/>
      <c r="JKK379" s="15"/>
      <c r="JKL379" s="15"/>
      <c r="JKM379" s="15"/>
      <c r="JKN379" s="15"/>
      <c r="JKO379" s="15"/>
      <c r="JKP379" s="15"/>
      <c r="JKQ379" s="15"/>
      <c r="JKR379" s="15"/>
      <c r="JKS379" s="15"/>
      <c r="JKT379" s="10"/>
      <c r="JKU379" s="10"/>
      <c r="JKV379" s="21"/>
      <c r="JKW379" s="21"/>
      <c r="JKZ379" s="21"/>
      <c r="JLA379" s="15"/>
      <c r="JLB379" s="15"/>
      <c r="JLC379" s="15"/>
      <c r="JLD379" s="15"/>
      <c r="JLE379" s="15"/>
      <c r="JLF379" s="15"/>
      <c r="JLG379" s="15"/>
      <c r="JLH379" s="15"/>
      <c r="JLI379" s="15"/>
      <c r="JLJ379" s="15"/>
      <c r="JLK379" s="10"/>
      <c r="JLL379" s="10"/>
      <c r="JLM379" s="21"/>
      <c r="JLN379" s="21"/>
      <c r="JLQ379" s="21"/>
      <c r="JLR379" s="15"/>
      <c r="JLS379" s="15"/>
      <c r="JLT379" s="15"/>
      <c r="JLU379" s="15"/>
      <c r="JLV379" s="15"/>
      <c r="JLW379" s="15"/>
      <c r="JLX379" s="15"/>
      <c r="JLY379" s="15"/>
      <c r="JLZ379" s="15"/>
      <c r="JMA379" s="15"/>
      <c r="JMB379" s="10"/>
      <c r="JMC379" s="10"/>
      <c r="JMD379" s="21"/>
      <c r="JME379" s="21"/>
      <c r="JMH379" s="21"/>
      <c r="JMI379" s="15"/>
      <c r="JMJ379" s="15"/>
      <c r="JMK379" s="15"/>
      <c r="JML379" s="15"/>
      <c r="JMM379" s="15"/>
      <c r="JMN379" s="15"/>
      <c r="JMO379" s="15"/>
      <c r="JMP379" s="15"/>
      <c r="JMQ379" s="15"/>
      <c r="JMR379" s="15"/>
      <c r="JMS379" s="10"/>
      <c r="JMT379" s="10"/>
      <c r="JMU379" s="21"/>
      <c r="JMV379" s="21"/>
      <c r="JMY379" s="21"/>
      <c r="JMZ379" s="15"/>
      <c r="JNA379" s="15"/>
      <c r="JNB379" s="15"/>
      <c r="JNC379" s="15"/>
      <c r="JND379" s="15"/>
      <c r="JNE379" s="15"/>
      <c r="JNF379" s="15"/>
      <c r="JNG379" s="15"/>
      <c r="JNH379" s="15"/>
      <c r="JNI379" s="15"/>
      <c r="JNJ379" s="10"/>
      <c r="JNK379" s="10"/>
      <c r="JNL379" s="21"/>
      <c r="JNM379" s="21"/>
      <c r="JNP379" s="21"/>
      <c r="JNQ379" s="15"/>
      <c r="JNR379" s="15"/>
      <c r="JNS379" s="15"/>
      <c r="JNT379" s="15"/>
      <c r="JNU379" s="15"/>
      <c r="JNV379" s="15"/>
      <c r="JNW379" s="15"/>
      <c r="JNX379" s="15"/>
      <c r="JNY379" s="15"/>
      <c r="JNZ379" s="15"/>
      <c r="JOA379" s="10"/>
      <c r="JOB379" s="10"/>
      <c r="JOC379" s="21"/>
      <c r="JOD379" s="21"/>
      <c r="JOG379" s="21"/>
      <c r="JOH379" s="15"/>
      <c r="JOI379" s="15"/>
      <c r="JOJ379" s="15"/>
      <c r="JOK379" s="15"/>
      <c r="JOL379" s="15"/>
      <c r="JOM379" s="15"/>
      <c r="JON379" s="15"/>
      <c r="JOO379" s="15"/>
      <c r="JOP379" s="15"/>
      <c r="JOQ379" s="15"/>
      <c r="JOR379" s="10"/>
      <c r="JOS379" s="10"/>
      <c r="JOT379" s="21"/>
      <c r="JOU379" s="21"/>
      <c r="JOX379" s="21"/>
      <c r="JOY379" s="15"/>
      <c r="JOZ379" s="15"/>
      <c r="JPA379" s="15"/>
      <c r="JPB379" s="15"/>
      <c r="JPC379" s="15"/>
      <c r="JPD379" s="15"/>
      <c r="JPE379" s="15"/>
      <c r="JPF379" s="15"/>
      <c r="JPG379" s="15"/>
      <c r="JPH379" s="15"/>
      <c r="JPI379" s="10"/>
      <c r="JPJ379" s="10"/>
      <c r="JPK379" s="21"/>
      <c r="JPL379" s="21"/>
      <c r="JPO379" s="21"/>
      <c r="JPP379" s="15"/>
      <c r="JPQ379" s="15"/>
      <c r="JPR379" s="15"/>
      <c r="JPS379" s="15"/>
      <c r="JPT379" s="15"/>
      <c r="JPU379" s="15"/>
      <c r="JPV379" s="15"/>
      <c r="JPW379" s="15"/>
      <c r="JPX379" s="15"/>
      <c r="JPY379" s="15"/>
      <c r="JPZ379" s="10"/>
      <c r="JQA379" s="10"/>
      <c r="JQB379" s="21"/>
      <c r="JQC379" s="21"/>
      <c r="JQF379" s="21"/>
      <c r="JQG379" s="15"/>
      <c r="JQH379" s="15"/>
      <c r="JQI379" s="15"/>
      <c r="JQJ379" s="15"/>
      <c r="JQK379" s="15"/>
      <c r="JQL379" s="15"/>
      <c r="JQM379" s="15"/>
      <c r="JQN379" s="15"/>
      <c r="JQO379" s="15"/>
      <c r="JQP379" s="15"/>
      <c r="JQQ379" s="10"/>
      <c r="JQR379" s="10"/>
      <c r="JQS379" s="21"/>
      <c r="JQT379" s="21"/>
      <c r="JQW379" s="21"/>
      <c r="JQX379" s="15"/>
      <c r="JQY379" s="15"/>
      <c r="JQZ379" s="15"/>
      <c r="JRA379" s="15"/>
      <c r="JRB379" s="15"/>
      <c r="JRC379" s="15"/>
      <c r="JRD379" s="15"/>
      <c r="JRE379" s="15"/>
      <c r="JRF379" s="15"/>
      <c r="JRG379" s="15"/>
      <c r="JRH379" s="10"/>
      <c r="JRI379" s="10"/>
      <c r="JRJ379" s="21"/>
      <c r="JRK379" s="21"/>
      <c r="JRN379" s="21"/>
      <c r="JRO379" s="15"/>
      <c r="JRP379" s="15"/>
      <c r="JRQ379" s="15"/>
      <c r="JRR379" s="15"/>
      <c r="JRS379" s="15"/>
      <c r="JRT379" s="15"/>
      <c r="JRU379" s="15"/>
      <c r="JRV379" s="15"/>
      <c r="JRW379" s="15"/>
      <c r="JRX379" s="15"/>
      <c r="JRY379" s="10"/>
      <c r="JRZ379" s="10"/>
      <c r="JSA379" s="21"/>
      <c r="JSB379" s="21"/>
      <c r="JSE379" s="21"/>
      <c r="JSF379" s="15"/>
      <c r="JSG379" s="15"/>
      <c r="JSH379" s="15"/>
      <c r="JSI379" s="15"/>
      <c r="JSJ379" s="15"/>
      <c r="JSK379" s="15"/>
      <c r="JSL379" s="15"/>
      <c r="JSM379" s="15"/>
      <c r="JSN379" s="15"/>
      <c r="JSO379" s="15"/>
      <c r="JSP379" s="10"/>
      <c r="JSQ379" s="10"/>
      <c r="JSR379" s="21"/>
      <c r="JSS379" s="21"/>
      <c r="JSV379" s="21"/>
      <c r="JSW379" s="15"/>
      <c r="JSX379" s="15"/>
      <c r="JSY379" s="15"/>
      <c r="JSZ379" s="15"/>
      <c r="JTA379" s="15"/>
      <c r="JTB379" s="15"/>
      <c r="JTC379" s="15"/>
      <c r="JTD379" s="15"/>
      <c r="JTE379" s="15"/>
      <c r="JTF379" s="15"/>
      <c r="JTG379" s="10"/>
      <c r="JTH379" s="10"/>
      <c r="JTI379" s="21"/>
      <c r="JTJ379" s="21"/>
      <c r="JTM379" s="21"/>
      <c r="JTN379" s="15"/>
      <c r="JTO379" s="15"/>
      <c r="JTP379" s="15"/>
      <c r="JTQ379" s="15"/>
      <c r="JTR379" s="15"/>
      <c r="JTS379" s="15"/>
      <c r="JTT379" s="15"/>
      <c r="JTU379" s="15"/>
      <c r="JTV379" s="15"/>
      <c r="JTW379" s="15"/>
      <c r="JTX379" s="10"/>
      <c r="JTY379" s="10"/>
      <c r="JTZ379" s="21"/>
      <c r="JUA379" s="21"/>
      <c r="JUD379" s="21"/>
      <c r="JUE379" s="15"/>
      <c r="JUF379" s="15"/>
      <c r="JUG379" s="15"/>
      <c r="JUH379" s="15"/>
      <c r="JUI379" s="15"/>
      <c r="JUJ379" s="15"/>
      <c r="JUK379" s="15"/>
      <c r="JUL379" s="15"/>
      <c r="JUM379" s="15"/>
      <c r="JUN379" s="15"/>
      <c r="JUO379" s="10"/>
      <c r="JUP379" s="10"/>
      <c r="JUQ379" s="21"/>
      <c r="JUR379" s="21"/>
      <c r="JUU379" s="21"/>
      <c r="JUV379" s="15"/>
      <c r="JUW379" s="15"/>
      <c r="JUX379" s="15"/>
      <c r="JUY379" s="15"/>
      <c r="JUZ379" s="15"/>
      <c r="JVA379" s="15"/>
      <c r="JVB379" s="15"/>
      <c r="JVC379" s="15"/>
      <c r="JVD379" s="15"/>
      <c r="JVE379" s="15"/>
      <c r="JVF379" s="10"/>
      <c r="JVG379" s="10"/>
      <c r="JVH379" s="21"/>
      <c r="JVI379" s="21"/>
      <c r="JVL379" s="21"/>
      <c r="JVM379" s="15"/>
      <c r="JVN379" s="15"/>
      <c r="JVO379" s="15"/>
      <c r="JVP379" s="15"/>
      <c r="JVQ379" s="15"/>
      <c r="JVR379" s="15"/>
      <c r="JVS379" s="15"/>
      <c r="JVT379" s="15"/>
      <c r="JVU379" s="15"/>
      <c r="JVV379" s="15"/>
      <c r="JVW379" s="10"/>
      <c r="JVX379" s="10"/>
      <c r="JVY379" s="21"/>
      <c r="JVZ379" s="21"/>
      <c r="JWC379" s="21"/>
      <c r="JWD379" s="15"/>
      <c r="JWE379" s="15"/>
      <c r="JWF379" s="15"/>
      <c r="JWG379" s="15"/>
      <c r="JWH379" s="15"/>
      <c r="JWI379" s="15"/>
      <c r="JWJ379" s="15"/>
      <c r="JWK379" s="15"/>
      <c r="JWL379" s="15"/>
      <c r="JWM379" s="15"/>
      <c r="JWN379" s="10"/>
      <c r="JWO379" s="10"/>
      <c r="JWP379" s="21"/>
      <c r="JWQ379" s="21"/>
      <c r="JWT379" s="21"/>
      <c r="JWU379" s="15"/>
      <c r="JWV379" s="15"/>
      <c r="JWW379" s="15"/>
      <c r="JWX379" s="15"/>
      <c r="JWY379" s="15"/>
      <c r="JWZ379" s="15"/>
      <c r="JXA379" s="15"/>
      <c r="JXB379" s="15"/>
      <c r="JXC379" s="15"/>
      <c r="JXD379" s="15"/>
      <c r="JXE379" s="10"/>
      <c r="JXF379" s="10"/>
      <c r="JXG379" s="21"/>
      <c r="JXH379" s="21"/>
      <c r="JXK379" s="21"/>
      <c r="JXL379" s="15"/>
      <c r="JXM379" s="15"/>
      <c r="JXN379" s="15"/>
      <c r="JXO379" s="15"/>
      <c r="JXP379" s="15"/>
      <c r="JXQ379" s="15"/>
      <c r="JXR379" s="15"/>
      <c r="JXS379" s="15"/>
      <c r="JXT379" s="15"/>
      <c r="JXU379" s="15"/>
      <c r="JXV379" s="10"/>
      <c r="JXW379" s="10"/>
      <c r="JXX379" s="21"/>
      <c r="JXY379" s="21"/>
      <c r="JYB379" s="21"/>
      <c r="JYC379" s="15"/>
      <c r="JYD379" s="15"/>
      <c r="JYE379" s="15"/>
      <c r="JYF379" s="15"/>
      <c r="JYG379" s="15"/>
      <c r="JYH379" s="15"/>
      <c r="JYI379" s="15"/>
      <c r="JYJ379" s="15"/>
      <c r="JYK379" s="15"/>
      <c r="JYL379" s="15"/>
      <c r="JYM379" s="10"/>
      <c r="JYN379" s="10"/>
      <c r="JYO379" s="21"/>
      <c r="JYP379" s="21"/>
      <c r="JYS379" s="21"/>
      <c r="JYT379" s="15"/>
      <c r="JYU379" s="15"/>
      <c r="JYV379" s="15"/>
      <c r="JYW379" s="15"/>
      <c r="JYX379" s="15"/>
      <c r="JYY379" s="15"/>
      <c r="JYZ379" s="15"/>
      <c r="JZA379" s="15"/>
      <c r="JZB379" s="15"/>
      <c r="JZC379" s="15"/>
      <c r="JZD379" s="10"/>
      <c r="JZE379" s="10"/>
      <c r="JZF379" s="21"/>
      <c r="JZG379" s="21"/>
      <c r="JZJ379" s="21"/>
      <c r="JZK379" s="15"/>
      <c r="JZL379" s="15"/>
      <c r="JZM379" s="15"/>
      <c r="JZN379" s="15"/>
      <c r="JZO379" s="15"/>
      <c r="JZP379" s="15"/>
      <c r="JZQ379" s="15"/>
      <c r="JZR379" s="15"/>
      <c r="JZS379" s="15"/>
      <c r="JZT379" s="15"/>
      <c r="JZU379" s="10"/>
      <c r="JZV379" s="10"/>
      <c r="JZW379" s="21"/>
      <c r="JZX379" s="21"/>
      <c r="KAA379" s="21"/>
      <c r="KAB379" s="15"/>
      <c r="KAC379" s="15"/>
      <c r="KAD379" s="15"/>
      <c r="KAE379" s="15"/>
      <c r="KAF379" s="15"/>
      <c r="KAG379" s="15"/>
      <c r="KAH379" s="15"/>
      <c r="KAI379" s="15"/>
      <c r="KAJ379" s="15"/>
      <c r="KAK379" s="15"/>
      <c r="KAL379" s="10"/>
      <c r="KAM379" s="10"/>
      <c r="KAN379" s="21"/>
      <c r="KAO379" s="21"/>
      <c r="KAR379" s="21"/>
      <c r="KAS379" s="15"/>
      <c r="KAT379" s="15"/>
      <c r="KAU379" s="15"/>
      <c r="KAV379" s="15"/>
      <c r="KAW379" s="15"/>
      <c r="KAX379" s="15"/>
      <c r="KAY379" s="15"/>
      <c r="KAZ379" s="15"/>
      <c r="KBA379" s="15"/>
      <c r="KBB379" s="15"/>
      <c r="KBC379" s="10"/>
      <c r="KBD379" s="10"/>
      <c r="KBE379" s="21"/>
      <c r="KBF379" s="21"/>
      <c r="KBI379" s="21"/>
      <c r="KBJ379" s="15"/>
      <c r="KBK379" s="15"/>
      <c r="KBL379" s="15"/>
      <c r="KBM379" s="15"/>
      <c r="KBN379" s="15"/>
      <c r="KBO379" s="15"/>
      <c r="KBP379" s="15"/>
      <c r="KBQ379" s="15"/>
      <c r="KBR379" s="15"/>
      <c r="KBS379" s="15"/>
      <c r="KBT379" s="10"/>
      <c r="KBU379" s="10"/>
      <c r="KBV379" s="21"/>
      <c r="KBW379" s="21"/>
      <c r="KBZ379" s="21"/>
      <c r="KCA379" s="15"/>
      <c r="KCB379" s="15"/>
      <c r="KCC379" s="15"/>
      <c r="KCD379" s="15"/>
      <c r="KCE379" s="15"/>
      <c r="KCF379" s="15"/>
      <c r="KCG379" s="15"/>
      <c r="KCH379" s="15"/>
      <c r="KCI379" s="15"/>
      <c r="KCJ379" s="15"/>
      <c r="KCK379" s="10"/>
      <c r="KCL379" s="10"/>
      <c r="KCM379" s="21"/>
      <c r="KCN379" s="21"/>
      <c r="KCQ379" s="21"/>
      <c r="KCR379" s="15"/>
      <c r="KCS379" s="15"/>
      <c r="KCT379" s="15"/>
      <c r="KCU379" s="15"/>
      <c r="KCV379" s="15"/>
      <c r="KCW379" s="15"/>
      <c r="KCX379" s="15"/>
      <c r="KCY379" s="15"/>
      <c r="KCZ379" s="15"/>
      <c r="KDA379" s="15"/>
      <c r="KDB379" s="10"/>
      <c r="KDC379" s="10"/>
      <c r="KDD379" s="21"/>
      <c r="KDE379" s="21"/>
      <c r="KDH379" s="21"/>
      <c r="KDI379" s="15"/>
      <c r="KDJ379" s="15"/>
      <c r="KDK379" s="15"/>
      <c r="KDL379" s="15"/>
      <c r="KDM379" s="15"/>
      <c r="KDN379" s="15"/>
      <c r="KDO379" s="15"/>
      <c r="KDP379" s="15"/>
      <c r="KDQ379" s="15"/>
      <c r="KDR379" s="15"/>
      <c r="KDS379" s="10"/>
      <c r="KDT379" s="10"/>
      <c r="KDU379" s="21"/>
      <c r="KDV379" s="21"/>
      <c r="KDY379" s="21"/>
      <c r="KDZ379" s="15"/>
      <c r="KEA379" s="15"/>
      <c r="KEB379" s="15"/>
      <c r="KEC379" s="15"/>
      <c r="KED379" s="15"/>
      <c r="KEE379" s="15"/>
      <c r="KEF379" s="15"/>
      <c r="KEG379" s="15"/>
      <c r="KEH379" s="15"/>
      <c r="KEI379" s="15"/>
      <c r="KEJ379" s="10"/>
      <c r="KEK379" s="10"/>
      <c r="KEL379" s="21"/>
      <c r="KEM379" s="21"/>
      <c r="KEP379" s="21"/>
      <c r="KEQ379" s="15"/>
      <c r="KER379" s="15"/>
      <c r="KES379" s="15"/>
      <c r="KET379" s="15"/>
      <c r="KEU379" s="15"/>
      <c r="KEV379" s="15"/>
      <c r="KEW379" s="15"/>
      <c r="KEX379" s="15"/>
      <c r="KEY379" s="15"/>
      <c r="KEZ379" s="15"/>
      <c r="KFA379" s="10"/>
      <c r="KFB379" s="10"/>
      <c r="KFC379" s="21"/>
      <c r="KFD379" s="21"/>
      <c r="KFG379" s="21"/>
      <c r="KFH379" s="15"/>
      <c r="KFI379" s="15"/>
      <c r="KFJ379" s="15"/>
      <c r="KFK379" s="15"/>
      <c r="KFL379" s="15"/>
      <c r="KFM379" s="15"/>
      <c r="KFN379" s="15"/>
      <c r="KFO379" s="15"/>
      <c r="KFP379" s="15"/>
      <c r="KFQ379" s="15"/>
      <c r="KFR379" s="10"/>
      <c r="KFS379" s="10"/>
      <c r="KFT379" s="21"/>
      <c r="KFU379" s="21"/>
      <c r="KFX379" s="21"/>
      <c r="KFY379" s="15"/>
      <c r="KFZ379" s="15"/>
      <c r="KGA379" s="15"/>
      <c r="KGB379" s="15"/>
      <c r="KGC379" s="15"/>
      <c r="KGD379" s="15"/>
      <c r="KGE379" s="15"/>
      <c r="KGF379" s="15"/>
      <c r="KGG379" s="15"/>
      <c r="KGH379" s="15"/>
      <c r="KGI379" s="10"/>
      <c r="KGJ379" s="10"/>
      <c r="KGK379" s="21"/>
      <c r="KGL379" s="21"/>
      <c r="KGO379" s="21"/>
      <c r="KGP379" s="15"/>
      <c r="KGQ379" s="15"/>
      <c r="KGR379" s="15"/>
      <c r="KGS379" s="15"/>
      <c r="KGT379" s="15"/>
      <c r="KGU379" s="15"/>
      <c r="KGV379" s="15"/>
      <c r="KGW379" s="15"/>
      <c r="KGX379" s="15"/>
      <c r="KGY379" s="15"/>
      <c r="KGZ379" s="10"/>
      <c r="KHA379" s="10"/>
      <c r="KHB379" s="21"/>
      <c r="KHC379" s="21"/>
      <c r="KHF379" s="21"/>
      <c r="KHG379" s="15"/>
      <c r="KHH379" s="15"/>
      <c r="KHI379" s="15"/>
      <c r="KHJ379" s="15"/>
      <c r="KHK379" s="15"/>
      <c r="KHL379" s="15"/>
      <c r="KHM379" s="15"/>
      <c r="KHN379" s="15"/>
      <c r="KHO379" s="15"/>
      <c r="KHP379" s="15"/>
      <c r="KHQ379" s="10"/>
      <c r="KHR379" s="10"/>
      <c r="KHS379" s="21"/>
      <c r="KHT379" s="21"/>
      <c r="KHW379" s="21"/>
      <c r="KHX379" s="15"/>
      <c r="KHY379" s="15"/>
      <c r="KHZ379" s="15"/>
      <c r="KIA379" s="15"/>
      <c r="KIB379" s="15"/>
      <c r="KIC379" s="15"/>
      <c r="KID379" s="15"/>
      <c r="KIE379" s="15"/>
      <c r="KIF379" s="15"/>
      <c r="KIG379" s="15"/>
      <c r="KIH379" s="10"/>
      <c r="KII379" s="10"/>
      <c r="KIJ379" s="21"/>
      <c r="KIK379" s="21"/>
      <c r="KIN379" s="21"/>
      <c r="KIO379" s="15"/>
      <c r="KIP379" s="15"/>
      <c r="KIQ379" s="15"/>
      <c r="KIR379" s="15"/>
      <c r="KIS379" s="15"/>
      <c r="KIT379" s="15"/>
      <c r="KIU379" s="15"/>
      <c r="KIV379" s="15"/>
      <c r="KIW379" s="15"/>
      <c r="KIX379" s="15"/>
      <c r="KIY379" s="10"/>
      <c r="KIZ379" s="10"/>
      <c r="KJA379" s="21"/>
      <c r="KJB379" s="21"/>
      <c r="KJE379" s="21"/>
      <c r="KJF379" s="15"/>
      <c r="KJG379" s="15"/>
      <c r="KJH379" s="15"/>
      <c r="KJI379" s="15"/>
      <c r="KJJ379" s="15"/>
      <c r="KJK379" s="15"/>
      <c r="KJL379" s="15"/>
      <c r="KJM379" s="15"/>
      <c r="KJN379" s="15"/>
      <c r="KJO379" s="15"/>
      <c r="KJP379" s="10"/>
      <c r="KJQ379" s="10"/>
      <c r="KJR379" s="21"/>
      <c r="KJS379" s="21"/>
      <c r="KJV379" s="21"/>
      <c r="KJW379" s="15"/>
      <c r="KJX379" s="15"/>
      <c r="KJY379" s="15"/>
      <c r="KJZ379" s="15"/>
      <c r="KKA379" s="15"/>
      <c r="KKB379" s="15"/>
      <c r="KKC379" s="15"/>
      <c r="KKD379" s="15"/>
      <c r="KKE379" s="15"/>
      <c r="KKF379" s="15"/>
      <c r="KKG379" s="10"/>
      <c r="KKH379" s="10"/>
      <c r="KKI379" s="21"/>
      <c r="KKJ379" s="21"/>
      <c r="KKM379" s="21"/>
      <c r="KKN379" s="15"/>
      <c r="KKO379" s="15"/>
      <c r="KKP379" s="15"/>
      <c r="KKQ379" s="15"/>
      <c r="KKR379" s="15"/>
      <c r="KKS379" s="15"/>
      <c r="KKT379" s="15"/>
      <c r="KKU379" s="15"/>
      <c r="KKV379" s="15"/>
      <c r="KKW379" s="15"/>
      <c r="KKX379" s="10"/>
      <c r="KKY379" s="10"/>
      <c r="KKZ379" s="21"/>
      <c r="KLA379" s="21"/>
      <c r="KLD379" s="21"/>
      <c r="KLE379" s="15"/>
      <c r="KLF379" s="15"/>
      <c r="KLG379" s="15"/>
      <c r="KLH379" s="15"/>
      <c r="KLI379" s="15"/>
      <c r="KLJ379" s="15"/>
      <c r="KLK379" s="15"/>
      <c r="KLL379" s="15"/>
      <c r="KLM379" s="15"/>
      <c r="KLN379" s="15"/>
      <c r="KLO379" s="10"/>
      <c r="KLP379" s="10"/>
      <c r="KLQ379" s="21"/>
      <c r="KLR379" s="21"/>
      <c r="KLU379" s="21"/>
      <c r="KLV379" s="15"/>
      <c r="KLW379" s="15"/>
      <c r="KLX379" s="15"/>
      <c r="KLY379" s="15"/>
      <c r="KLZ379" s="15"/>
      <c r="KMA379" s="15"/>
      <c r="KMB379" s="15"/>
      <c r="KMC379" s="15"/>
      <c r="KMD379" s="15"/>
      <c r="KME379" s="15"/>
      <c r="KMF379" s="10"/>
      <c r="KMG379" s="10"/>
      <c r="KMH379" s="21"/>
      <c r="KMI379" s="21"/>
      <c r="KML379" s="21"/>
      <c r="KMM379" s="15"/>
      <c r="KMN379" s="15"/>
      <c r="KMO379" s="15"/>
      <c r="KMP379" s="15"/>
      <c r="KMQ379" s="15"/>
      <c r="KMR379" s="15"/>
      <c r="KMS379" s="15"/>
      <c r="KMT379" s="15"/>
      <c r="KMU379" s="15"/>
      <c r="KMV379" s="15"/>
      <c r="KMW379" s="10"/>
      <c r="KMX379" s="10"/>
      <c r="KMY379" s="21"/>
      <c r="KMZ379" s="21"/>
      <c r="KNC379" s="21"/>
      <c r="KND379" s="15"/>
      <c r="KNE379" s="15"/>
      <c r="KNF379" s="15"/>
      <c r="KNG379" s="15"/>
      <c r="KNH379" s="15"/>
      <c r="KNI379" s="15"/>
      <c r="KNJ379" s="15"/>
      <c r="KNK379" s="15"/>
      <c r="KNL379" s="15"/>
      <c r="KNM379" s="15"/>
      <c r="KNN379" s="10"/>
      <c r="KNO379" s="10"/>
      <c r="KNP379" s="21"/>
      <c r="KNQ379" s="21"/>
      <c r="KNT379" s="21"/>
      <c r="KNU379" s="15"/>
      <c r="KNV379" s="15"/>
      <c r="KNW379" s="15"/>
      <c r="KNX379" s="15"/>
      <c r="KNY379" s="15"/>
      <c r="KNZ379" s="15"/>
      <c r="KOA379" s="15"/>
      <c r="KOB379" s="15"/>
      <c r="KOC379" s="15"/>
      <c r="KOD379" s="15"/>
      <c r="KOE379" s="10"/>
      <c r="KOF379" s="10"/>
      <c r="KOG379" s="21"/>
      <c r="KOH379" s="21"/>
      <c r="KOK379" s="21"/>
      <c r="KOL379" s="15"/>
      <c r="KOM379" s="15"/>
      <c r="KON379" s="15"/>
      <c r="KOO379" s="15"/>
      <c r="KOP379" s="15"/>
      <c r="KOQ379" s="15"/>
      <c r="KOR379" s="15"/>
      <c r="KOS379" s="15"/>
      <c r="KOT379" s="15"/>
      <c r="KOU379" s="15"/>
      <c r="KOV379" s="10"/>
      <c r="KOW379" s="10"/>
      <c r="KOX379" s="21"/>
      <c r="KOY379" s="21"/>
      <c r="KPB379" s="21"/>
      <c r="KPC379" s="15"/>
      <c r="KPD379" s="15"/>
      <c r="KPE379" s="15"/>
      <c r="KPF379" s="15"/>
      <c r="KPG379" s="15"/>
      <c r="KPH379" s="15"/>
      <c r="KPI379" s="15"/>
      <c r="KPJ379" s="15"/>
      <c r="KPK379" s="15"/>
      <c r="KPL379" s="15"/>
      <c r="KPM379" s="10"/>
      <c r="KPN379" s="10"/>
      <c r="KPO379" s="21"/>
      <c r="KPP379" s="21"/>
      <c r="KPS379" s="21"/>
      <c r="KPT379" s="15"/>
      <c r="KPU379" s="15"/>
      <c r="KPV379" s="15"/>
      <c r="KPW379" s="15"/>
      <c r="KPX379" s="15"/>
      <c r="KPY379" s="15"/>
      <c r="KPZ379" s="15"/>
      <c r="KQA379" s="15"/>
      <c r="KQB379" s="15"/>
      <c r="KQC379" s="15"/>
      <c r="KQD379" s="10"/>
      <c r="KQE379" s="10"/>
      <c r="KQF379" s="21"/>
      <c r="KQG379" s="21"/>
      <c r="KQJ379" s="21"/>
      <c r="KQK379" s="15"/>
      <c r="KQL379" s="15"/>
      <c r="KQM379" s="15"/>
      <c r="KQN379" s="15"/>
      <c r="KQO379" s="15"/>
      <c r="KQP379" s="15"/>
      <c r="KQQ379" s="15"/>
      <c r="KQR379" s="15"/>
      <c r="KQS379" s="15"/>
      <c r="KQT379" s="15"/>
      <c r="KQU379" s="10"/>
      <c r="KQV379" s="10"/>
      <c r="KQW379" s="21"/>
      <c r="KQX379" s="21"/>
      <c r="KRA379" s="21"/>
      <c r="KRB379" s="15"/>
      <c r="KRC379" s="15"/>
      <c r="KRD379" s="15"/>
      <c r="KRE379" s="15"/>
      <c r="KRF379" s="15"/>
      <c r="KRG379" s="15"/>
      <c r="KRH379" s="15"/>
      <c r="KRI379" s="15"/>
      <c r="KRJ379" s="15"/>
      <c r="KRK379" s="15"/>
      <c r="KRL379" s="10"/>
      <c r="KRM379" s="10"/>
      <c r="KRN379" s="21"/>
      <c r="KRO379" s="21"/>
      <c r="KRR379" s="21"/>
      <c r="KRS379" s="15"/>
      <c r="KRT379" s="15"/>
      <c r="KRU379" s="15"/>
      <c r="KRV379" s="15"/>
      <c r="KRW379" s="15"/>
      <c r="KRX379" s="15"/>
      <c r="KRY379" s="15"/>
      <c r="KRZ379" s="15"/>
      <c r="KSA379" s="15"/>
      <c r="KSB379" s="15"/>
      <c r="KSC379" s="10"/>
      <c r="KSD379" s="10"/>
      <c r="KSE379" s="21"/>
      <c r="KSF379" s="21"/>
      <c r="KSI379" s="21"/>
      <c r="KSJ379" s="15"/>
      <c r="KSK379" s="15"/>
      <c r="KSL379" s="15"/>
      <c r="KSM379" s="15"/>
      <c r="KSN379" s="15"/>
      <c r="KSO379" s="15"/>
      <c r="KSP379" s="15"/>
      <c r="KSQ379" s="15"/>
      <c r="KSR379" s="15"/>
      <c r="KSS379" s="15"/>
      <c r="KST379" s="10"/>
      <c r="KSU379" s="10"/>
      <c r="KSV379" s="21"/>
      <c r="KSW379" s="21"/>
      <c r="KSZ379" s="21"/>
      <c r="KTA379" s="15"/>
      <c r="KTB379" s="15"/>
      <c r="KTC379" s="15"/>
      <c r="KTD379" s="15"/>
      <c r="KTE379" s="15"/>
      <c r="KTF379" s="15"/>
      <c r="KTG379" s="15"/>
      <c r="KTH379" s="15"/>
      <c r="KTI379" s="15"/>
      <c r="KTJ379" s="15"/>
      <c r="KTK379" s="10"/>
      <c r="KTL379" s="10"/>
      <c r="KTM379" s="21"/>
      <c r="KTN379" s="21"/>
      <c r="KTQ379" s="21"/>
      <c r="KTR379" s="15"/>
      <c r="KTS379" s="15"/>
      <c r="KTT379" s="15"/>
      <c r="KTU379" s="15"/>
      <c r="KTV379" s="15"/>
      <c r="KTW379" s="15"/>
      <c r="KTX379" s="15"/>
      <c r="KTY379" s="15"/>
      <c r="KTZ379" s="15"/>
      <c r="KUA379" s="15"/>
      <c r="KUB379" s="10"/>
      <c r="KUC379" s="10"/>
      <c r="KUD379" s="21"/>
      <c r="KUE379" s="21"/>
      <c r="KUH379" s="21"/>
      <c r="KUI379" s="15"/>
      <c r="KUJ379" s="15"/>
      <c r="KUK379" s="15"/>
      <c r="KUL379" s="15"/>
      <c r="KUM379" s="15"/>
      <c r="KUN379" s="15"/>
      <c r="KUO379" s="15"/>
      <c r="KUP379" s="15"/>
      <c r="KUQ379" s="15"/>
      <c r="KUR379" s="15"/>
      <c r="KUS379" s="10"/>
      <c r="KUT379" s="10"/>
      <c r="KUU379" s="21"/>
      <c r="KUV379" s="21"/>
      <c r="KUY379" s="21"/>
      <c r="KUZ379" s="15"/>
      <c r="KVA379" s="15"/>
      <c r="KVB379" s="15"/>
      <c r="KVC379" s="15"/>
      <c r="KVD379" s="15"/>
      <c r="KVE379" s="15"/>
      <c r="KVF379" s="15"/>
      <c r="KVG379" s="15"/>
      <c r="KVH379" s="15"/>
      <c r="KVI379" s="15"/>
      <c r="KVJ379" s="10"/>
      <c r="KVK379" s="10"/>
      <c r="KVL379" s="21"/>
      <c r="KVM379" s="21"/>
      <c r="KVP379" s="21"/>
      <c r="KVQ379" s="15"/>
      <c r="KVR379" s="15"/>
      <c r="KVS379" s="15"/>
      <c r="KVT379" s="15"/>
      <c r="KVU379" s="15"/>
      <c r="KVV379" s="15"/>
      <c r="KVW379" s="15"/>
      <c r="KVX379" s="15"/>
      <c r="KVY379" s="15"/>
      <c r="KVZ379" s="15"/>
      <c r="KWA379" s="10"/>
      <c r="KWB379" s="10"/>
      <c r="KWC379" s="21"/>
      <c r="KWD379" s="21"/>
      <c r="KWG379" s="21"/>
      <c r="KWH379" s="15"/>
      <c r="KWI379" s="15"/>
      <c r="KWJ379" s="15"/>
      <c r="KWK379" s="15"/>
      <c r="KWL379" s="15"/>
      <c r="KWM379" s="15"/>
      <c r="KWN379" s="15"/>
      <c r="KWO379" s="15"/>
      <c r="KWP379" s="15"/>
      <c r="KWQ379" s="15"/>
      <c r="KWR379" s="10"/>
      <c r="KWS379" s="10"/>
      <c r="KWT379" s="21"/>
      <c r="KWU379" s="21"/>
      <c r="KWX379" s="21"/>
      <c r="KWY379" s="15"/>
      <c r="KWZ379" s="15"/>
      <c r="KXA379" s="15"/>
      <c r="KXB379" s="15"/>
      <c r="KXC379" s="15"/>
      <c r="KXD379" s="15"/>
      <c r="KXE379" s="15"/>
      <c r="KXF379" s="15"/>
      <c r="KXG379" s="15"/>
      <c r="KXH379" s="15"/>
      <c r="KXI379" s="10"/>
      <c r="KXJ379" s="10"/>
      <c r="KXK379" s="21"/>
      <c r="KXL379" s="21"/>
      <c r="KXO379" s="21"/>
      <c r="KXP379" s="15"/>
      <c r="KXQ379" s="15"/>
      <c r="KXR379" s="15"/>
      <c r="KXS379" s="15"/>
      <c r="KXT379" s="15"/>
      <c r="KXU379" s="15"/>
      <c r="KXV379" s="15"/>
      <c r="KXW379" s="15"/>
      <c r="KXX379" s="15"/>
      <c r="KXY379" s="15"/>
      <c r="KXZ379" s="10"/>
      <c r="KYA379" s="10"/>
      <c r="KYB379" s="21"/>
      <c r="KYC379" s="21"/>
      <c r="KYF379" s="21"/>
      <c r="KYG379" s="15"/>
      <c r="KYH379" s="15"/>
      <c r="KYI379" s="15"/>
      <c r="KYJ379" s="15"/>
      <c r="KYK379" s="15"/>
      <c r="KYL379" s="15"/>
      <c r="KYM379" s="15"/>
      <c r="KYN379" s="15"/>
      <c r="KYO379" s="15"/>
      <c r="KYP379" s="15"/>
      <c r="KYQ379" s="10"/>
      <c r="KYR379" s="10"/>
      <c r="KYS379" s="21"/>
      <c r="KYT379" s="21"/>
      <c r="KYW379" s="21"/>
      <c r="KYX379" s="15"/>
      <c r="KYY379" s="15"/>
      <c r="KYZ379" s="15"/>
      <c r="KZA379" s="15"/>
      <c r="KZB379" s="15"/>
      <c r="KZC379" s="15"/>
      <c r="KZD379" s="15"/>
      <c r="KZE379" s="15"/>
      <c r="KZF379" s="15"/>
      <c r="KZG379" s="15"/>
      <c r="KZH379" s="10"/>
      <c r="KZI379" s="10"/>
      <c r="KZJ379" s="21"/>
      <c r="KZK379" s="21"/>
      <c r="KZN379" s="21"/>
      <c r="KZO379" s="15"/>
      <c r="KZP379" s="15"/>
      <c r="KZQ379" s="15"/>
      <c r="KZR379" s="15"/>
      <c r="KZS379" s="15"/>
      <c r="KZT379" s="15"/>
      <c r="KZU379" s="15"/>
      <c r="KZV379" s="15"/>
      <c r="KZW379" s="15"/>
      <c r="KZX379" s="15"/>
      <c r="KZY379" s="10"/>
      <c r="KZZ379" s="10"/>
      <c r="LAA379" s="21"/>
      <c r="LAB379" s="21"/>
      <c r="LAE379" s="21"/>
      <c r="LAF379" s="15"/>
      <c r="LAG379" s="15"/>
      <c r="LAH379" s="15"/>
      <c r="LAI379" s="15"/>
      <c r="LAJ379" s="15"/>
      <c r="LAK379" s="15"/>
      <c r="LAL379" s="15"/>
      <c r="LAM379" s="15"/>
      <c r="LAN379" s="15"/>
      <c r="LAO379" s="15"/>
      <c r="LAP379" s="10"/>
      <c r="LAQ379" s="10"/>
      <c r="LAR379" s="21"/>
      <c r="LAS379" s="21"/>
      <c r="LAV379" s="21"/>
      <c r="LAW379" s="15"/>
      <c r="LAX379" s="15"/>
      <c r="LAY379" s="15"/>
      <c r="LAZ379" s="15"/>
      <c r="LBA379" s="15"/>
      <c r="LBB379" s="15"/>
      <c r="LBC379" s="15"/>
      <c r="LBD379" s="15"/>
      <c r="LBE379" s="15"/>
      <c r="LBF379" s="15"/>
      <c r="LBG379" s="10"/>
      <c r="LBH379" s="10"/>
      <c r="LBI379" s="21"/>
      <c r="LBJ379" s="21"/>
      <c r="LBM379" s="21"/>
      <c r="LBN379" s="15"/>
      <c r="LBO379" s="15"/>
      <c r="LBP379" s="15"/>
      <c r="LBQ379" s="15"/>
      <c r="LBR379" s="15"/>
      <c r="LBS379" s="15"/>
      <c r="LBT379" s="15"/>
      <c r="LBU379" s="15"/>
      <c r="LBV379" s="15"/>
      <c r="LBW379" s="15"/>
      <c r="LBX379" s="10"/>
      <c r="LBY379" s="10"/>
      <c r="LBZ379" s="21"/>
      <c r="LCA379" s="21"/>
      <c r="LCD379" s="21"/>
      <c r="LCE379" s="15"/>
      <c r="LCF379" s="15"/>
      <c r="LCG379" s="15"/>
      <c r="LCH379" s="15"/>
      <c r="LCI379" s="15"/>
      <c r="LCJ379" s="15"/>
      <c r="LCK379" s="15"/>
      <c r="LCL379" s="15"/>
      <c r="LCM379" s="15"/>
      <c r="LCN379" s="15"/>
      <c r="LCO379" s="10"/>
      <c r="LCP379" s="10"/>
      <c r="LCQ379" s="21"/>
      <c r="LCR379" s="21"/>
      <c r="LCU379" s="21"/>
      <c r="LCV379" s="15"/>
      <c r="LCW379" s="15"/>
      <c r="LCX379" s="15"/>
      <c r="LCY379" s="15"/>
      <c r="LCZ379" s="15"/>
      <c r="LDA379" s="15"/>
      <c r="LDB379" s="15"/>
      <c r="LDC379" s="15"/>
      <c r="LDD379" s="15"/>
      <c r="LDE379" s="15"/>
      <c r="LDF379" s="10"/>
      <c r="LDG379" s="10"/>
      <c r="LDH379" s="21"/>
      <c r="LDI379" s="21"/>
      <c r="LDL379" s="21"/>
      <c r="LDM379" s="15"/>
      <c r="LDN379" s="15"/>
      <c r="LDO379" s="15"/>
      <c r="LDP379" s="15"/>
      <c r="LDQ379" s="15"/>
      <c r="LDR379" s="15"/>
      <c r="LDS379" s="15"/>
      <c r="LDT379" s="15"/>
      <c r="LDU379" s="15"/>
      <c r="LDV379" s="15"/>
      <c r="LDW379" s="10"/>
      <c r="LDX379" s="10"/>
      <c r="LDY379" s="21"/>
      <c r="LDZ379" s="21"/>
      <c r="LEC379" s="21"/>
      <c r="LED379" s="15"/>
      <c r="LEE379" s="15"/>
      <c r="LEF379" s="15"/>
      <c r="LEG379" s="15"/>
      <c r="LEH379" s="15"/>
      <c r="LEI379" s="15"/>
      <c r="LEJ379" s="15"/>
      <c r="LEK379" s="15"/>
      <c r="LEL379" s="15"/>
      <c r="LEM379" s="15"/>
      <c r="LEN379" s="10"/>
      <c r="LEO379" s="10"/>
      <c r="LEP379" s="21"/>
      <c r="LEQ379" s="21"/>
      <c r="LET379" s="21"/>
      <c r="LEU379" s="15"/>
      <c r="LEV379" s="15"/>
      <c r="LEW379" s="15"/>
      <c r="LEX379" s="15"/>
      <c r="LEY379" s="15"/>
      <c r="LEZ379" s="15"/>
      <c r="LFA379" s="15"/>
      <c r="LFB379" s="15"/>
      <c r="LFC379" s="15"/>
      <c r="LFD379" s="15"/>
      <c r="LFE379" s="10"/>
      <c r="LFF379" s="10"/>
      <c r="LFG379" s="21"/>
      <c r="LFH379" s="21"/>
      <c r="LFK379" s="21"/>
      <c r="LFL379" s="15"/>
      <c r="LFM379" s="15"/>
      <c r="LFN379" s="15"/>
      <c r="LFO379" s="15"/>
      <c r="LFP379" s="15"/>
      <c r="LFQ379" s="15"/>
      <c r="LFR379" s="15"/>
      <c r="LFS379" s="15"/>
      <c r="LFT379" s="15"/>
      <c r="LFU379" s="15"/>
      <c r="LFV379" s="10"/>
      <c r="LFW379" s="10"/>
      <c r="LFX379" s="21"/>
      <c r="LFY379" s="21"/>
      <c r="LGB379" s="21"/>
      <c r="LGC379" s="15"/>
      <c r="LGD379" s="15"/>
      <c r="LGE379" s="15"/>
      <c r="LGF379" s="15"/>
      <c r="LGG379" s="15"/>
      <c r="LGH379" s="15"/>
      <c r="LGI379" s="15"/>
      <c r="LGJ379" s="15"/>
      <c r="LGK379" s="15"/>
      <c r="LGL379" s="15"/>
      <c r="LGM379" s="10"/>
      <c r="LGN379" s="10"/>
      <c r="LGO379" s="21"/>
      <c r="LGP379" s="21"/>
      <c r="LGS379" s="21"/>
      <c r="LGT379" s="15"/>
      <c r="LGU379" s="15"/>
      <c r="LGV379" s="15"/>
      <c r="LGW379" s="15"/>
      <c r="LGX379" s="15"/>
      <c r="LGY379" s="15"/>
      <c r="LGZ379" s="15"/>
      <c r="LHA379" s="15"/>
      <c r="LHB379" s="15"/>
      <c r="LHC379" s="15"/>
      <c r="LHD379" s="10"/>
      <c r="LHE379" s="10"/>
      <c r="LHF379" s="21"/>
      <c r="LHG379" s="21"/>
      <c r="LHJ379" s="21"/>
      <c r="LHK379" s="15"/>
      <c r="LHL379" s="15"/>
      <c r="LHM379" s="15"/>
      <c r="LHN379" s="15"/>
      <c r="LHO379" s="15"/>
      <c r="LHP379" s="15"/>
      <c r="LHQ379" s="15"/>
      <c r="LHR379" s="15"/>
      <c r="LHS379" s="15"/>
      <c r="LHT379" s="15"/>
      <c r="LHU379" s="10"/>
      <c r="LHV379" s="10"/>
      <c r="LHW379" s="21"/>
      <c r="LHX379" s="21"/>
      <c r="LIA379" s="21"/>
      <c r="LIB379" s="15"/>
      <c r="LIC379" s="15"/>
      <c r="LID379" s="15"/>
      <c r="LIE379" s="15"/>
      <c r="LIF379" s="15"/>
      <c r="LIG379" s="15"/>
      <c r="LIH379" s="15"/>
      <c r="LII379" s="15"/>
      <c r="LIJ379" s="15"/>
      <c r="LIK379" s="15"/>
      <c r="LIL379" s="10"/>
      <c r="LIM379" s="10"/>
      <c r="LIN379" s="21"/>
      <c r="LIO379" s="21"/>
      <c r="LIR379" s="21"/>
      <c r="LIS379" s="15"/>
      <c r="LIT379" s="15"/>
      <c r="LIU379" s="15"/>
      <c r="LIV379" s="15"/>
      <c r="LIW379" s="15"/>
      <c r="LIX379" s="15"/>
      <c r="LIY379" s="15"/>
      <c r="LIZ379" s="15"/>
      <c r="LJA379" s="15"/>
      <c r="LJB379" s="15"/>
      <c r="LJC379" s="10"/>
      <c r="LJD379" s="10"/>
      <c r="LJE379" s="21"/>
      <c r="LJF379" s="21"/>
      <c r="LJI379" s="21"/>
      <c r="LJJ379" s="15"/>
      <c r="LJK379" s="15"/>
      <c r="LJL379" s="15"/>
      <c r="LJM379" s="15"/>
      <c r="LJN379" s="15"/>
      <c r="LJO379" s="15"/>
      <c r="LJP379" s="15"/>
      <c r="LJQ379" s="15"/>
      <c r="LJR379" s="15"/>
      <c r="LJS379" s="15"/>
      <c r="LJT379" s="10"/>
      <c r="LJU379" s="10"/>
      <c r="LJV379" s="21"/>
      <c r="LJW379" s="21"/>
      <c r="LJZ379" s="21"/>
      <c r="LKA379" s="15"/>
      <c r="LKB379" s="15"/>
      <c r="LKC379" s="15"/>
      <c r="LKD379" s="15"/>
      <c r="LKE379" s="15"/>
      <c r="LKF379" s="15"/>
      <c r="LKG379" s="15"/>
      <c r="LKH379" s="15"/>
      <c r="LKI379" s="15"/>
      <c r="LKJ379" s="15"/>
      <c r="LKK379" s="10"/>
      <c r="LKL379" s="10"/>
      <c r="LKM379" s="21"/>
      <c r="LKN379" s="21"/>
      <c r="LKQ379" s="21"/>
      <c r="LKR379" s="15"/>
      <c r="LKS379" s="15"/>
      <c r="LKT379" s="15"/>
      <c r="LKU379" s="15"/>
      <c r="LKV379" s="15"/>
      <c r="LKW379" s="15"/>
      <c r="LKX379" s="15"/>
      <c r="LKY379" s="15"/>
      <c r="LKZ379" s="15"/>
      <c r="LLA379" s="15"/>
      <c r="LLB379" s="10"/>
      <c r="LLC379" s="10"/>
      <c r="LLD379" s="21"/>
      <c r="LLE379" s="21"/>
      <c r="LLH379" s="21"/>
      <c r="LLI379" s="15"/>
      <c r="LLJ379" s="15"/>
      <c r="LLK379" s="15"/>
      <c r="LLL379" s="15"/>
      <c r="LLM379" s="15"/>
      <c r="LLN379" s="15"/>
      <c r="LLO379" s="15"/>
      <c r="LLP379" s="15"/>
      <c r="LLQ379" s="15"/>
      <c r="LLR379" s="15"/>
      <c r="LLS379" s="10"/>
      <c r="LLT379" s="10"/>
      <c r="LLU379" s="21"/>
      <c r="LLV379" s="21"/>
      <c r="LLY379" s="21"/>
      <c r="LLZ379" s="15"/>
      <c r="LMA379" s="15"/>
      <c r="LMB379" s="15"/>
      <c r="LMC379" s="15"/>
      <c r="LMD379" s="15"/>
      <c r="LME379" s="15"/>
      <c r="LMF379" s="15"/>
      <c r="LMG379" s="15"/>
      <c r="LMH379" s="15"/>
      <c r="LMI379" s="15"/>
      <c r="LMJ379" s="10"/>
      <c r="LMK379" s="10"/>
      <c r="LML379" s="21"/>
      <c r="LMM379" s="21"/>
      <c r="LMP379" s="21"/>
      <c r="LMQ379" s="15"/>
      <c r="LMR379" s="15"/>
      <c r="LMS379" s="15"/>
      <c r="LMT379" s="15"/>
      <c r="LMU379" s="15"/>
      <c r="LMV379" s="15"/>
      <c r="LMW379" s="15"/>
      <c r="LMX379" s="15"/>
      <c r="LMY379" s="15"/>
      <c r="LMZ379" s="15"/>
      <c r="LNA379" s="10"/>
      <c r="LNB379" s="10"/>
      <c r="LNC379" s="21"/>
      <c r="LND379" s="21"/>
      <c r="LNG379" s="21"/>
      <c r="LNH379" s="15"/>
      <c r="LNI379" s="15"/>
      <c r="LNJ379" s="15"/>
      <c r="LNK379" s="15"/>
      <c r="LNL379" s="15"/>
      <c r="LNM379" s="15"/>
      <c r="LNN379" s="15"/>
      <c r="LNO379" s="15"/>
      <c r="LNP379" s="15"/>
      <c r="LNQ379" s="15"/>
      <c r="LNR379" s="10"/>
      <c r="LNS379" s="10"/>
      <c r="LNT379" s="21"/>
      <c r="LNU379" s="21"/>
      <c r="LNX379" s="21"/>
      <c r="LNY379" s="15"/>
      <c r="LNZ379" s="15"/>
      <c r="LOA379" s="15"/>
      <c r="LOB379" s="15"/>
      <c r="LOC379" s="15"/>
      <c r="LOD379" s="15"/>
      <c r="LOE379" s="15"/>
      <c r="LOF379" s="15"/>
      <c r="LOG379" s="15"/>
      <c r="LOH379" s="15"/>
      <c r="LOI379" s="10"/>
      <c r="LOJ379" s="10"/>
      <c r="LOK379" s="21"/>
      <c r="LOL379" s="21"/>
      <c r="LOO379" s="21"/>
      <c r="LOP379" s="15"/>
      <c r="LOQ379" s="15"/>
      <c r="LOR379" s="15"/>
      <c r="LOS379" s="15"/>
      <c r="LOT379" s="15"/>
      <c r="LOU379" s="15"/>
      <c r="LOV379" s="15"/>
      <c r="LOW379" s="15"/>
      <c r="LOX379" s="15"/>
      <c r="LOY379" s="15"/>
      <c r="LOZ379" s="10"/>
      <c r="LPA379" s="10"/>
      <c r="LPB379" s="21"/>
      <c r="LPC379" s="21"/>
      <c r="LPF379" s="21"/>
      <c r="LPG379" s="15"/>
      <c r="LPH379" s="15"/>
      <c r="LPI379" s="15"/>
      <c r="LPJ379" s="15"/>
      <c r="LPK379" s="15"/>
      <c r="LPL379" s="15"/>
      <c r="LPM379" s="15"/>
      <c r="LPN379" s="15"/>
      <c r="LPO379" s="15"/>
      <c r="LPP379" s="15"/>
      <c r="LPQ379" s="10"/>
      <c r="LPR379" s="10"/>
      <c r="LPS379" s="21"/>
      <c r="LPT379" s="21"/>
      <c r="LPW379" s="21"/>
      <c r="LPX379" s="15"/>
      <c r="LPY379" s="15"/>
      <c r="LPZ379" s="15"/>
      <c r="LQA379" s="15"/>
      <c r="LQB379" s="15"/>
      <c r="LQC379" s="15"/>
      <c r="LQD379" s="15"/>
      <c r="LQE379" s="15"/>
      <c r="LQF379" s="15"/>
      <c r="LQG379" s="15"/>
      <c r="LQH379" s="10"/>
      <c r="LQI379" s="10"/>
      <c r="LQJ379" s="21"/>
      <c r="LQK379" s="21"/>
      <c r="LQN379" s="21"/>
      <c r="LQO379" s="15"/>
      <c r="LQP379" s="15"/>
      <c r="LQQ379" s="15"/>
      <c r="LQR379" s="15"/>
      <c r="LQS379" s="15"/>
      <c r="LQT379" s="15"/>
      <c r="LQU379" s="15"/>
      <c r="LQV379" s="15"/>
      <c r="LQW379" s="15"/>
      <c r="LQX379" s="15"/>
      <c r="LQY379" s="10"/>
      <c r="LQZ379" s="10"/>
      <c r="LRA379" s="21"/>
      <c r="LRB379" s="21"/>
      <c r="LRE379" s="21"/>
      <c r="LRF379" s="15"/>
      <c r="LRG379" s="15"/>
      <c r="LRH379" s="15"/>
      <c r="LRI379" s="15"/>
      <c r="LRJ379" s="15"/>
      <c r="LRK379" s="15"/>
      <c r="LRL379" s="15"/>
      <c r="LRM379" s="15"/>
      <c r="LRN379" s="15"/>
      <c r="LRO379" s="15"/>
      <c r="LRP379" s="10"/>
      <c r="LRQ379" s="10"/>
      <c r="LRR379" s="21"/>
      <c r="LRS379" s="21"/>
      <c r="LRV379" s="21"/>
      <c r="LRW379" s="15"/>
      <c r="LRX379" s="15"/>
      <c r="LRY379" s="15"/>
      <c r="LRZ379" s="15"/>
      <c r="LSA379" s="15"/>
      <c r="LSB379" s="15"/>
      <c r="LSC379" s="15"/>
      <c r="LSD379" s="15"/>
      <c r="LSE379" s="15"/>
      <c r="LSF379" s="15"/>
      <c r="LSG379" s="10"/>
      <c r="LSH379" s="10"/>
      <c r="LSI379" s="21"/>
      <c r="LSJ379" s="21"/>
      <c r="LSM379" s="21"/>
      <c r="LSN379" s="15"/>
      <c r="LSO379" s="15"/>
      <c r="LSP379" s="15"/>
      <c r="LSQ379" s="15"/>
      <c r="LSR379" s="15"/>
      <c r="LSS379" s="15"/>
      <c r="LST379" s="15"/>
      <c r="LSU379" s="15"/>
      <c r="LSV379" s="15"/>
      <c r="LSW379" s="15"/>
      <c r="LSX379" s="10"/>
      <c r="LSY379" s="10"/>
      <c r="LSZ379" s="21"/>
      <c r="LTA379" s="21"/>
      <c r="LTD379" s="21"/>
      <c r="LTE379" s="15"/>
      <c r="LTF379" s="15"/>
      <c r="LTG379" s="15"/>
      <c r="LTH379" s="15"/>
      <c r="LTI379" s="15"/>
      <c r="LTJ379" s="15"/>
      <c r="LTK379" s="15"/>
      <c r="LTL379" s="15"/>
      <c r="LTM379" s="15"/>
      <c r="LTN379" s="15"/>
      <c r="LTO379" s="10"/>
      <c r="LTP379" s="10"/>
      <c r="LTQ379" s="21"/>
      <c r="LTR379" s="21"/>
      <c r="LTU379" s="21"/>
      <c r="LTV379" s="15"/>
      <c r="LTW379" s="15"/>
      <c r="LTX379" s="15"/>
      <c r="LTY379" s="15"/>
      <c r="LTZ379" s="15"/>
      <c r="LUA379" s="15"/>
      <c r="LUB379" s="15"/>
      <c r="LUC379" s="15"/>
      <c r="LUD379" s="15"/>
      <c r="LUE379" s="15"/>
      <c r="LUF379" s="10"/>
      <c r="LUG379" s="10"/>
      <c r="LUH379" s="21"/>
      <c r="LUI379" s="21"/>
      <c r="LUL379" s="21"/>
      <c r="LUM379" s="15"/>
      <c r="LUN379" s="15"/>
      <c r="LUO379" s="15"/>
      <c r="LUP379" s="15"/>
      <c r="LUQ379" s="15"/>
      <c r="LUR379" s="15"/>
      <c r="LUS379" s="15"/>
      <c r="LUT379" s="15"/>
      <c r="LUU379" s="15"/>
      <c r="LUV379" s="15"/>
      <c r="LUW379" s="10"/>
      <c r="LUX379" s="10"/>
      <c r="LUY379" s="21"/>
      <c r="LUZ379" s="21"/>
      <c r="LVC379" s="21"/>
      <c r="LVD379" s="15"/>
      <c r="LVE379" s="15"/>
      <c r="LVF379" s="15"/>
      <c r="LVG379" s="15"/>
      <c r="LVH379" s="15"/>
      <c r="LVI379" s="15"/>
      <c r="LVJ379" s="15"/>
      <c r="LVK379" s="15"/>
      <c r="LVL379" s="15"/>
      <c r="LVM379" s="15"/>
      <c r="LVN379" s="10"/>
      <c r="LVO379" s="10"/>
      <c r="LVP379" s="21"/>
      <c r="LVQ379" s="21"/>
      <c r="LVT379" s="21"/>
      <c r="LVU379" s="15"/>
      <c r="LVV379" s="15"/>
      <c r="LVW379" s="15"/>
      <c r="LVX379" s="15"/>
      <c r="LVY379" s="15"/>
      <c r="LVZ379" s="15"/>
      <c r="LWA379" s="15"/>
      <c r="LWB379" s="15"/>
      <c r="LWC379" s="15"/>
      <c r="LWD379" s="15"/>
      <c r="LWE379" s="10"/>
      <c r="LWF379" s="10"/>
      <c r="LWG379" s="21"/>
      <c r="LWH379" s="21"/>
      <c r="LWK379" s="21"/>
      <c r="LWL379" s="15"/>
      <c r="LWM379" s="15"/>
      <c r="LWN379" s="15"/>
      <c r="LWO379" s="15"/>
      <c r="LWP379" s="15"/>
      <c r="LWQ379" s="15"/>
      <c r="LWR379" s="15"/>
      <c r="LWS379" s="15"/>
      <c r="LWT379" s="15"/>
      <c r="LWU379" s="15"/>
      <c r="LWV379" s="10"/>
      <c r="LWW379" s="10"/>
      <c r="LWX379" s="21"/>
      <c r="LWY379" s="21"/>
      <c r="LXB379" s="21"/>
      <c r="LXC379" s="15"/>
      <c r="LXD379" s="15"/>
      <c r="LXE379" s="15"/>
      <c r="LXF379" s="15"/>
      <c r="LXG379" s="15"/>
      <c r="LXH379" s="15"/>
      <c r="LXI379" s="15"/>
      <c r="LXJ379" s="15"/>
      <c r="LXK379" s="15"/>
      <c r="LXL379" s="15"/>
      <c r="LXM379" s="10"/>
      <c r="LXN379" s="10"/>
      <c r="LXO379" s="21"/>
      <c r="LXP379" s="21"/>
      <c r="LXS379" s="21"/>
      <c r="LXT379" s="15"/>
      <c r="LXU379" s="15"/>
      <c r="LXV379" s="15"/>
      <c r="LXW379" s="15"/>
      <c r="LXX379" s="15"/>
      <c r="LXY379" s="15"/>
      <c r="LXZ379" s="15"/>
      <c r="LYA379" s="15"/>
      <c r="LYB379" s="15"/>
      <c r="LYC379" s="15"/>
      <c r="LYD379" s="10"/>
      <c r="LYE379" s="10"/>
      <c r="LYF379" s="21"/>
      <c r="LYG379" s="21"/>
      <c r="LYJ379" s="21"/>
      <c r="LYK379" s="15"/>
      <c r="LYL379" s="15"/>
      <c r="LYM379" s="15"/>
      <c r="LYN379" s="15"/>
      <c r="LYO379" s="15"/>
      <c r="LYP379" s="15"/>
      <c r="LYQ379" s="15"/>
      <c r="LYR379" s="15"/>
      <c r="LYS379" s="15"/>
      <c r="LYT379" s="15"/>
      <c r="LYU379" s="10"/>
      <c r="LYV379" s="10"/>
      <c r="LYW379" s="21"/>
      <c r="LYX379" s="21"/>
      <c r="LZA379" s="21"/>
      <c r="LZB379" s="15"/>
      <c r="LZC379" s="15"/>
      <c r="LZD379" s="15"/>
      <c r="LZE379" s="15"/>
      <c r="LZF379" s="15"/>
      <c r="LZG379" s="15"/>
      <c r="LZH379" s="15"/>
      <c r="LZI379" s="15"/>
      <c r="LZJ379" s="15"/>
      <c r="LZK379" s="15"/>
      <c r="LZL379" s="10"/>
      <c r="LZM379" s="10"/>
      <c r="LZN379" s="21"/>
      <c r="LZO379" s="21"/>
      <c r="LZR379" s="21"/>
      <c r="LZS379" s="15"/>
      <c r="LZT379" s="15"/>
      <c r="LZU379" s="15"/>
      <c r="LZV379" s="15"/>
      <c r="LZW379" s="15"/>
      <c r="LZX379" s="15"/>
      <c r="LZY379" s="15"/>
      <c r="LZZ379" s="15"/>
      <c r="MAA379" s="15"/>
      <c r="MAB379" s="15"/>
      <c r="MAC379" s="10"/>
      <c r="MAD379" s="10"/>
      <c r="MAE379" s="21"/>
      <c r="MAF379" s="21"/>
      <c r="MAI379" s="21"/>
      <c r="MAJ379" s="15"/>
      <c r="MAK379" s="15"/>
      <c r="MAL379" s="15"/>
      <c r="MAM379" s="15"/>
      <c r="MAN379" s="15"/>
      <c r="MAO379" s="15"/>
      <c r="MAP379" s="15"/>
      <c r="MAQ379" s="15"/>
      <c r="MAR379" s="15"/>
      <c r="MAS379" s="15"/>
      <c r="MAT379" s="10"/>
      <c r="MAU379" s="10"/>
      <c r="MAV379" s="21"/>
      <c r="MAW379" s="21"/>
      <c r="MAZ379" s="21"/>
      <c r="MBA379" s="15"/>
      <c r="MBB379" s="15"/>
      <c r="MBC379" s="15"/>
      <c r="MBD379" s="15"/>
      <c r="MBE379" s="15"/>
      <c r="MBF379" s="15"/>
      <c r="MBG379" s="15"/>
      <c r="MBH379" s="15"/>
      <c r="MBI379" s="15"/>
      <c r="MBJ379" s="15"/>
      <c r="MBK379" s="10"/>
      <c r="MBL379" s="10"/>
      <c r="MBM379" s="21"/>
      <c r="MBN379" s="21"/>
      <c r="MBQ379" s="21"/>
      <c r="MBR379" s="15"/>
      <c r="MBS379" s="15"/>
      <c r="MBT379" s="15"/>
      <c r="MBU379" s="15"/>
      <c r="MBV379" s="15"/>
      <c r="MBW379" s="15"/>
      <c r="MBX379" s="15"/>
      <c r="MBY379" s="15"/>
      <c r="MBZ379" s="15"/>
      <c r="MCA379" s="15"/>
      <c r="MCB379" s="10"/>
      <c r="MCC379" s="10"/>
      <c r="MCD379" s="21"/>
      <c r="MCE379" s="21"/>
      <c r="MCH379" s="21"/>
      <c r="MCI379" s="15"/>
      <c r="MCJ379" s="15"/>
      <c r="MCK379" s="15"/>
      <c r="MCL379" s="15"/>
      <c r="MCM379" s="15"/>
      <c r="MCN379" s="15"/>
      <c r="MCO379" s="15"/>
      <c r="MCP379" s="15"/>
      <c r="MCQ379" s="15"/>
      <c r="MCR379" s="15"/>
      <c r="MCS379" s="10"/>
      <c r="MCT379" s="10"/>
      <c r="MCU379" s="21"/>
      <c r="MCV379" s="21"/>
      <c r="MCY379" s="21"/>
      <c r="MCZ379" s="15"/>
      <c r="MDA379" s="15"/>
      <c r="MDB379" s="15"/>
      <c r="MDC379" s="15"/>
      <c r="MDD379" s="15"/>
      <c r="MDE379" s="15"/>
      <c r="MDF379" s="15"/>
      <c r="MDG379" s="15"/>
      <c r="MDH379" s="15"/>
      <c r="MDI379" s="15"/>
      <c r="MDJ379" s="10"/>
      <c r="MDK379" s="10"/>
      <c r="MDL379" s="21"/>
      <c r="MDM379" s="21"/>
      <c r="MDP379" s="21"/>
      <c r="MDQ379" s="15"/>
      <c r="MDR379" s="15"/>
      <c r="MDS379" s="15"/>
      <c r="MDT379" s="15"/>
      <c r="MDU379" s="15"/>
      <c r="MDV379" s="15"/>
      <c r="MDW379" s="15"/>
      <c r="MDX379" s="15"/>
      <c r="MDY379" s="15"/>
      <c r="MDZ379" s="15"/>
      <c r="MEA379" s="10"/>
      <c r="MEB379" s="10"/>
      <c r="MEC379" s="21"/>
      <c r="MED379" s="21"/>
      <c r="MEG379" s="21"/>
      <c r="MEH379" s="15"/>
      <c r="MEI379" s="15"/>
      <c r="MEJ379" s="15"/>
      <c r="MEK379" s="15"/>
      <c r="MEL379" s="15"/>
      <c r="MEM379" s="15"/>
      <c r="MEN379" s="15"/>
      <c r="MEO379" s="15"/>
      <c r="MEP379" s="15"/>
      <c r="MEQ379" s="15"/>
      <c r="MER379" s="10"/>
      <c r="MES379" s="10"/>
      <c r="MET379" s="21"/>
      <c r="MEU379" s="21"/>
      <c r="MEX379" s="21"/>
      <c r="MEY379" s="15"/>
      <c r="MEZ379" s="15"/>
      <c r="MFA379" s="15"/>
      <c r="MFB379" s="15"/>
      <c r="MFC379" s="15"/>
      <c r="MFD379" s="15"/>
      <c r="MFE379" s="15"/>
      <c r="MFF379" s="15"/>
      <c r="MFG379" s="15"/>
      <c r="MFH379" s="15"/>
      <c r="MFI379" s="10"/>
      <c r="MFJ379" s="10"/>
      <c r="MFK379" s="21"/>
      <c r="MFL379" s="21"/>
      <c r="MFO379" s="21"/>
      <c r="MFP379" s="15"/>
      <c r="MFQ379" s="15"/>
      <c r="MFR379" s="15"/>
      <c r="MFS379" s="15"/>
      <c r="MFT379" s="15"/>
      <c r="MFU379" s="15"/>
      <c r="MFV379" s="15"/>
      <c r="MFW379" s="15"/>
      <c r="MFX379" s="15"/>
      <c r="MFY379" s="15"/>
      <c r="MFZ379" s="10"/>
      <c r="MGA379" s="10"/>
      <c r="MGB379" s="21"/>
      <c r="MGC379" s="21"/>
      <c r="MGF379" s="21"/>
      <c r="MGG379" s="15"/>
      <c r="MGH379" s="15"/>
      <c r="MGI379" s="15"/>
      <c r="MGJ379" s="15"/>
      <c r="MGK379" s="15"/>
      <c r="MGL379" s="15"/>
      <c r="MGM379" s="15"/>
      <c r="MGN379" s="15"/>
      <c r="MGO379" s="15"/>
      <c r="MGP379" s="15"/>
      <c r="MGQ379" s="10"/>
      <c r="MGR379" s="10"/>
      <c r="MGS379" s="21"/>
      <c r="MGT379" s="21"/>
      <c r="MGW379" s="21"/>
      <c r="MGX379" s="15"/>
      <c r="MGY379" s="15"/>
      <c r="MGZ379" s="15"/>
      <c r="MHA379" s="15"/>
      <c r="MHB379" s="15"/>
      <c r="MHC379" s="15"/>
      <c r="MHD379" s="15"/>
      <c r="MHE379" s="15"/>
      <c r="MHF379" s="15"/>
      <c r="MHG379" s="15"/>
      <c r="MHH379" s="10"/>
      <c r="MHI379" s="10"/>
      <c r="MHJ379" s="21"/>
      <c r="MHK379" s="21"/>
      <c r="MHN379" s="21"/>
      <c r="MHO379" s="15"/>
      <c r="MHP379" s="15"/>
      <c r="MHQ379" s="15"/>
      <c r="MHR379" s="15"/>
      <c r="MHS379" s="15"/>
      <c r="MHT379" s="15"/>
      <c r="MHU379" s="15"/>
      <c r="MHV379" s="15"/>
      <c r="MHW379" s="15"/>
      <c r="MHX379" s="15"/>
      <c r="MHY379" s="10"/>
      <c r="MHZ379" s="10"/>
      <c r="MIA379" s="21"/>
      <c r="MIB379" s="21"/>
      <c r="MIE379" s="21"/>
      <c r="MIF379" s="15"/>
      <c r="MIG379" s="15"/>
      <c r="MIH379" s="15"/>
      <c r="MII379" s="15"/>
      <c r="MIJ379" s="15"/>
      <c r="MIK379" s="15"/>
      <c r="MIL379" s="15"/>
      <c r="MIM379" s="15"/>
      <c r="MIN379" s="15"/>
      <c r="MIO379" s="15"/>
      <c r="MIP379" s="10"/>
      <c r="MIQ379" s="10"/>
      <c r="MIR379" s="21"/>
      <c r="MIS379" s="21"/>
      <c r="MIV379" s="21"/>
      <c r="MIW379" s="15"/>
      <c r="MIX379" s="15"/>
      <c r="MIY379" s="15"/>
      <c r="MIZ379" s="15"/>
      <c r="MJA379" s="15"/>
      <c r="MJB379" s="15"/>
      <c r="MJC379" s="15"/>
      <c r="MJD379" s="15"/>
      <c r="MJE379" s="15"/>
      <c r="MJF379" s="15"/>
      <c r="MJG379" s="10"/>
      <c r="MJH379" s="10"/>
      <c r="MJI379" s="21"/>
      <c r="MJJ379" s="21"/>
      <c r="MJM379" s="21"/>
      <c r="MJN379" s="15"/>
      <c r="MJO379" s="15"/>
      <c r="MJP379" s="15"/>
      <c r="MJQ379" s="15"/>
      <c r="MJR379" s="15"/>
      <c r="MJS379" s="15"/>
      <c r="MJT379" s="15"/>
      <c r="MJU379" s="15"/>
      <c r="MJV379" s="15"/>
      <c r="MJW379" s="15"/>
      <c r="MJX379" s="10"/>
      <c r="MJY379" s="10"/>
      <c r="MJZ379" s="21"/>
      <c r="MKA379" s="21"/>
      <c r="MKD379" s="21"/>
      <c r="MKE379" s="15"/>
      <c r="MKF379" s="15"/>
      <c r="MKG379" s="15"/>
      <c r="MKH379" s="15"/>
      <c r="MKI379" s="15"/>
      <c r="MKJ379" s="15"/>
      <c r="MKK379" s="15"/>
      <c r="MKL379" s="15"/>
      <c r="MKM379" s="15"/>
      <c r="MKN379" s="15"/>
      <c r="MKO379" s="10"/>
      <c r="MKP379" s="10"/>
      <c r="MKQ379" s="21"/>
      <c r="MKR379" s="21"/>
      <c r="MKU379" s="21"/>
      <c r="MKV379" s="15"/>
      <c r="MKW379" s="15"/>
      <c r="MKX379" s="15"/>
      <c r="MKY379" s="15"/>
      <c r="MKZ379" s="15"/>
      <c r="MLA379" s="15"/>
      <c r="MLB379" s="15"/>
      <c r="MLC379" s="15"/>
      <c r="MLD379" s="15"/>
      <c r="MLE379" s="15"/>
      <c r="MLF379" s="10"/>
      <c r="MLG379" s="10"/>
      <c r="MLH379" s="21"/>
      <c r="MLI379" s="21"/>
      <c r="MLL379" s="21"/>
      <c r="MLM379" s="15"/>
      <c r="MLN379" s="15"/>
      <c r="MLO379" s="15"/>
      <c r="MLP379" s="15"/>
      <c r="MLQ379" s="15"/>
      <c r="MLR379" s="15"/>
      <c r="MLS379" s="15"/>
      <c r="MLT379" s="15"/>
      <c r="MLU379" s="15"/>
      <c r="MLV379" s="15"/>
      <c r="MLW379" s="10"/>
      <c r="MLX379" s="10"/>
      <c r="MLY379" s="21"/>
      <c r="MLZ379" s="21"/>
      <c r="MMC379" s="21"/>
      <c r="MMD379" s="15"/>
      <c r="MME379" s="15"/>
      <c r="MMF379" s="15"/>
      <c r="MMG379" s="15"/>
      <c r="MMH379" s="15"/>
      <c r="MMI379" s="15"/>
      <c r="MMJ379" s="15"/>
      <c r="MMK379" s="15"/>
      <c r="MML379" s="15"/>
      <c r="MMM379" s="15"/>
      <c r="MMN379" s="10"/>
      <c r="MMO379" s="10"/>
      <c r="MMP379" s="21"/>
      <c r="MMQ379" s="21"/>
      <c r="MMT379" s="21"/>
      <c r="MMU379" s="15"/>
      <c r="MMV379" s="15"/>
      <c r="MMW379" s="15"/>
      <c r="MMX379" s="15"/>
      <c r="MMY379" s="15"/>
      <c r="MMZ379" s="15"/>
      <c r="MNA379" s="15"/>
      <c r="MNB379" s="15"/>
      <c r="MNC379" s="15"/>
      <c r="MND379" s="15"/>
      <c r="MNE379" s="10"/>
      <c r="MNF379" s="10"/>
      <c r="MNG379" s="21"/>
      <c r="MNH379" s="21"/>
      <c r="MNK379" s="21"/>
      <c r="MNL379" s="15"/>
      <c r="MNM379" s="15"/>
      <c r="MNN379" s="15"/>
      <c r="MNO379" s="15"/>
      <c r="MNP379" s="15"/>
      <c r="MNQ379" s="15"/>
      <c r="MNR379" s="15"/>
      <c r="MNS379" s="15"/>
      <c r="MNT379" s="15"/>
      <c r="MNU379" s="15"/>
      <c r="MNV379" s="10"/>
      <c r="MNW379" s="10"/>
      <c r="MNX379" s="21"/>
      <c r="MNY379" s="21"/>
      <c r="MOB379" s="21"/>
      <c r="MOC379" s="15"/>
      <c r="MOD379" s="15"/>
      <c r="MOE379" s="15"/>
      <c r="MOF379" s="15"/>
      <c r="MOG379" s="15"/>
      <c r="MOH379" s="15"/>
      <c r="MOI379" s="15"/>
      <c r="MOJ379" s="15"/>
      <c r="MOK379" s="15"/>
      <c r="MOL379" s="15"/>
      <c r="MOM379" s="10"/>
      <c r="MON379" s="10"/>
      <c r="MOO379" s="21"/>
      <c r="MOP379" s="21"/>
      <c r="MOS379" s="21"/>
      <c r="MOT379" s="15"/>
      <c r="MOU379" s="15"/>
      <c r="MOV379" s="15"/>
      <c r="MOW379" s="15"/>
      <c r="MOX379" s="15"/>
      <c r="MOY379" s="15"/>
      <c r="MOZ379" s="15"/>
      <c r="MPA379" s="15"/>
      <c r="MPB379" s="15"/>
      <c r="MPC379" s="15"/>
      <c r="MPD379" s="10"/>
      <c r="MPE379" s="10"/>
      <c r="MPF379" s="21"/>
      <c r="MPG379" s="21"/>
      <c r="MPJ379" s="21"/>
      <c r="MPK379" s="15"/>
      <c r="MPL379" s="15"/>
      <c r="MPM379" s="15"/>
      <c r="MPN379" s="15"/>
      <c r="MPO379" s="15"/>
      <c r="MPP379" s="15"/>
      <c r="MPQ379" s="15"/>
      <c r="MPR379" s="15"/>
      <c r="MPS379" s="15"/>
      <c r="MPT379" s="15"/>
      <c r="MPU379" s="10"/>
      <c r="MPV379" s="10"/>
      <c r="MPW379" s="21"/>
      <c r="MPX379" s="21"/>
      <c r="MQA379" s="21"/>
      <c r="MQB379" s="15"/>
      <c r="MQC379" s="15"/>
      <c r="MQD379" s="15"/>
      <c r="MQE379" s="15"/>
      <c r="MQF379" s="15"/>
      <c r="MQG379" s="15"/>
      <c r="MQH379" s="15"/>
      <c r="MQI379" s="15"/>
      <c r="MQJ379" s="15"/>
      <c r="MQK379" s="15"/>
      <c r="MQL379" s="10"/>
      <c r="MQM379" s="10"/>
      <c r="MQN379" s="21"/>
      <c r="MQO379" s="21"/>
      <c r="MQR379" s="21"/>
      <c r="MQS379" s="15"/>
      <c r="MQT379" s="15"/>
      <c r="MQU379" s="15"/>
      <c r="MQV379" s="15"/>
      <c r="MQW379" s="15"/>
      <c r="MQX379" s="15"/>
      <c r="MQY379" s="15"/>
      <c r="MQZ379" s="15"/>
      <c r="MRA379" s="15"/>
      <c r="MRB379" s="15"/>
      <c r="MRC379" s="10"/>
      <c r="MRD379" s="10"/>
      <c r="MRE379" s="21"/>
      <c r="MRF379" s="21"/>
      <c r="MRI379" s="21"/>
      <c r="MRJ379" s="15"/>
      <c r="MRK379" s="15"/>
      <c r="MRL379" s="15"/>
      <c r="MRM379" s="15"/>
      <c r="MRN379" s="15"/>
      <c r="MRO379" s="15"/>
      <c r="MRP379" s="15"/>
      <c r="MRQ379" s="15"/>
      <c r="MRR379" s="15"/>
      <c r="MRS379" s="15"/>
      <c r="MRT379" s="10"/>
      <c r="MRU379" s="10"/>
      <c r="MRV379" s="21"/>
      <c r="MRW379" s="21"/>
      <c r="MRZ379" s="21"/>
      <c r="MSA379" s="15"/>
      <c r="MSB379" s="15"/>
      <c r="MSC379" s="15"/>
      <c r="MSD379" s="15"/>
      <c r="MSE379" s="15"/>
      <c r="MSF379" s="15"/>
      <c r="MSG379" s="15"/>
      <c r="MSH379" s="15"/>
      <c r="MSI379" s="15"/>
      <c r="MSJ379" s="15"/>
      <c r="MSK379" s="10"/>
      <c r="MSL379" s="10"/>
      <c r="MSM379" s="21"/>
      <c r="MSN379" s="21"/>
      <c r="MSQ379" s="21"/>
      <c r="MSR379" s="15"/>
      <c r="MSS379" s="15"/>
      <c r="MST379" s="15"/>
      <c r="MSU379" s="15"/>
      <c r="MSV379" s="15"/>
      <c r="MSW379" s="15"/>
      <c r="MSX379" s="15"/>
      <c r="MSY379" s="15"/>
      <c r="MSZ379" s="15"/>
      <c r="MTA379" s="15"/>
      <c r="MTB379" s="10"/>
      <c r="MTC379" s="10"/>
      <c r="MTD379" s="21"/>
      <c r="MTE379" s="21"/>
      <c r="MTH379" s="21"/>
      <c r="MTI379" s="15"/>
      <c r="MTJ379" s="15"/>
      <c r="MTK379" s="15"/>
      <c r="MTL379" s="15"/>
      <c r="MTM379" s="15"/>
      <c r="MTN379" s="15"/>
      <c r="MTO379" s="15"/>
      <c r="MTP379" s="15"/>
      <c r="MTQ379" s="15"/>
      <c r="MTR379" s="15"/>
      <c r="MTS379" s="10"/>
      <c r="MTT379" s="10"/>
      <c r="MTU379" s="21"/>
      <c r="MTV379" s="21"/>
      <c r="MTY379" s="21"/>
      <c r="MTZ379" s="15"/>
      <c r="MUA379" s="15"/>
      <c r="MUB379" s="15"/>
      <c r="MUC379" s="15"/>
      <c r="MUD379" s="15"/>
      <c r="MUE379" s="15"/>
      <c r="MUF379" s="15"/>
      <c r="MUG379" s="15"/>
      <c r="MUH379" s="15"/>
      <c r="MUI379" s="15"/>
      <c r="MUJ379" s="10"/>
      <c r="MUK379" s="10"/>
      <c r="MUL379" s="21"/>
      <c r="MUM379" s="21"/>
      <c r="MUP379" s="21"/>
      <c r="MUQ379" s="15"/>
      <c r="MUR379" s="15"/>
      <c r="MUS379" s="15"/>
      <c r="MUT379" s="15"/>
      <c r="MUU379" s="15"/>
      <c r="MUV379" s="15"/>
      <c r="MUW379" s="15"/>
      <c r="MUX379" s="15"/>
      <c r="MUY379" s="15"/>
      <c r="MUZ379" s="15"/>
      <c r="MVA379" s="10"/>
      <c r="MVB379" s="10"/>
      <c r="MVC379" s="21"/>
      <c r="MVD379" s="21"/>
      <c r="MVG379" s="21"/>
      <c r="MVH379" s="15"/>
      <c r="MVI379" s="15"/>
      <c r="MVJ379" s="15"/>
      <c r="MVK379" s="15"/>
      <c r="MVL379" s="15"/>
      <c r="MVM379" s="15"/>
      <c r="MVN379" s="15"/>
      <c r="MVO379" s="15"/>
      <c r="MVP379" s="15"/>
      <c r="MVQ379" s="15"/>
      <c r="MVR379" s="10"/>
      <c r="MVS379" s="10"/>
      <c r="MVT379" s="21"/>
      <c r="MVU379" s="21"/>
      <c r="MVX379" s="21"/>
      <c r="MVY379" s="15"/>
      <c r="MVZ379" s="15"/>
      <c r="MWA379" s="15"/>
      <c r="MWB379" s="15"/>
      <c r="MWC379" s="15"/>
      <c r="MWD379" s="15"/>
      <c r="MWE379" s="15"/>
      <c r="MWF379" s="15"/>
      <c r="MWG379" s="15"/>
      <c r="MWH379" s="15"/>
      <c r="MWI379" s="10"/>
      <c r="MWJ379" s="10"/>
      <c r="MWK379" s="21"/>
      <c r="MWL379" s="21"/>
      <c r="MWO379" s="21"/>
      <c r="MWP379" s="15"/>
      <c r="MWQ379" s="15"/>
      <c r="MWR379" s="15"/>
      <c r="MWS379" s="15"/>
      <c r="MWT379" s="15"/>
      <c r="MWU379" s="15"/>
      <c r="MWV379" s="15"/>
      <c r="MWW379" s="15"/>
      <c r="MWX379" s="15"/>
      <c r="MWY379" s="15"/>
      <c r="MWZ379" s="10"/>
      <c r="MXA379" s="10"/>
      <c r="MXB379" s="21"/>
      <c r="MXC379" s="21"/>
      <c r="MXF379" s="21"/>
      <c r="MXG379" s="15"/>
      <c r="MXH379" s="15"/>
      <c r="MXI379" s="15"/>
      <c r="MXJ379" s="15"/>
      <c r="MXK379" s="15"/>
      <c r="MXL379" s="15"/>
      <c r="MXM379" s="15"/>
      <c r="MXN379" s="15"/>
      <c r="MXO379" s="15"/>
      <c r="MXP379" s="15"/>
      <c r="MXQ379" s="10"/>
      <c r="MXR379" s="10"/>
      <c r="MXS379" s="21"/>
      <c r="MXT379" s="21"/>
      <c r="MXW379" s="21"/>
      <c r="MXX379" s="15"/>
      <c r="MXY379" s="15"/>
      <c r="MXZ379" s="15"/>
      <c r="MYA379" s="15"/>
      <c r="MYB379" s="15"/>
      <c r="MYC379" s="15"/>
      <c r="MYD379" s="15"/>
      <c r="MYE379" s="15"/>
      <c r="MYF379" s="15"/>
      <c r="MYG379" s="15"/>
      <c r="MYH379" s="10"/>
      <c r="MYI379" s="10"/>
      <c r="MYJ379" s="21"/>
      <c r="MYK379" s="21"/>
      <c r="MYN379" s="21"/>
      <c r="MYO379" s="15"/>
      <c r="MYP379" s="15"/>
      <c r="MYQ379" s="15"/>
      <c r="MYR379" s="15"/>
      <c r="MYS379" s="15"/>
      <c r="MYT379" s="15"/>
      <c r="MYU379" s="15"/>
      <c r="MYV379" s="15"/>
      <c r="MYW379" s="15"/>
      <c r="MYX379" s="15"/>
      <c r="MYY379" s="10"/>
      <c r="MYZ379" s="10"/>
      <c r="MZA379" s="21"/>
      <c r="MZB379" s="21"/>
      <c r="MZE379" s="21"/>
      <c r="MZF379" s="15"/>
      <c r="MZG379" s="15"/>
      <c r="MZH379" s="15"/>
      <c r="MZI379" s="15"/>
      <c r="MZJ379" s="15"/>
      <c r="MZK379" s="15"/>
      <c r="MZL379" s="15"/>
      <c r="MZM379" s="15"/>
      <c r="MZN379" s="15"/>
      <c r="MZO379" s="15"/>
      <c r="MZP379" s="10"/>
      <c r="MZQ379" s="10"/>
      <c r="MZR379" s="21"/>
      <c r="MZS379" s="21"/>
      <c r="MZV379" s="21"/>
      <c r="MZW379" s="15"/>
      <c r="MZX379" s="15"/>
      <c r="MZY379" s="15"/>
      <c r="MZZ379" s="15"/>
      <c r="NAA379" s="15"/>
      <c r="NAB379" s="15"/>
      <c r="NAC379" s="15"/>
      <c r="NAD379" s="15"/>
      <c r="NAE379" s="15"/>
      <c r="NAF379" s="15"/>
      <c r="NAG379" s="10"/>
      <c r="NAH379" s="10"/>
      <c r="NAI379" s="21"/>
      <c r="NAJ379" s="21"/>
      <c r="NAM379" s="21"/>
      <c r="NAN379" s="15"/>
      <c r="NAO379" s="15"/>
      <c r="NAP379" s="15"/>
      <c r="NAQ379" s="15"/>
      <c r="NAR379" s="15"/>
      <c r="NAS379" s="15"/>
      <c r="NAT379" s="15"/>
      <c r="NAU379" s="15"/>
      <c r="NAV379" s="15"/>
      <c r="NAW379" s="15"/>
      <c r="NAX379" s="10"/>
      <c r="NAY379" s="10"/>
      <c r="NAZ379" s="21"/>
      <c r="NBA379" s="21"/>
      <c r="NBD379" s="21"/>
      <c r="NBE379" s="15"/>
      <c r="NBF379" s="15"/>
      <c r="NBG379" s="15"/>
      <c r="NBH379" s="15"/>
      <c r="NBI379" s="15"/>
      <c r="NBJ379" s="15"/>
      <c r="NBK379" s="15"/>
      <c r="NBL379" s="15"/>
      <c r="NBM379" s="15"/>
      <c r="NBN379" s="15"/>
      <c r="NBO379" s="10"/>
      <c r="NBP379" s="10"/>
      <c r="NBQ379" s="21"/>
      <c r="NBR379" s="21"/>
      <c r="NBU379" s="21"/>
      <c r="NBV379" s="15"/>
      <c r="NBW379" s="15"/>
      <c r="NBX379" s="15"/>
      <c r="NBY379" s="15"/>
      <c r="NBZ379" s="15"/>
      <c r="NCA379" s="15"/>
      <c r="NCB379" s="15"/>
      <c r="NCC379" s="15"/>
      <c r="NCD379" s="15"/>
      <c r="NCE379" s="15"/>
      <c r="NCF379" s="10"/>
      <c r="NCG379" s="10"/>
      <c r="NCH379" s="21"/>
      <c r="NCI379" s="21"/>
      <c r="NCL379" s="21"/>
      <c r="NCM379" s="15"/>
      <c r="NCN379" s="15"/>
      <c r="NCO379" s="15"/>
      <c r="NCP379" s="15"/>
      <c r="NCQ379" s="15"/>
      <c r="NCR379" s="15"/>
      <c r="NCS379" s="15"/>
      <c r="NCT379" s="15"/>
      <c r="NCU379" s="15"/>
      <c r="NCV379" s="15"/>
      <c r="NCW379" s="10"/>
      <c r="NCX379" s="10"/>
      <c r="NCY379" s="21"/>
      <c r="NCZ379" s="21"/>
      <c r="NDC379" s="21"/>
      <c r="NDD379" s="15"/>
      <c r="NDE379" s="15"/>
      <c r="NDF379" s="15"/>
      <c r="NDG379" s="15"/>
      <c r="NDH379" s="15"/>
      <c r="NDI379" s="15"/>
      <c r="NDJ379" s="15"/>
      <c r="NDK379" s="15"/>
      <c r="NDL379" s="15"/>
      <c r="NDM379" s="15"/>
      <c r="NDN379" s="10"/>
      <c r="NDO379" s="10"/>
      <c r="NDP379" s="21"/>
      <c r="NDQ379" s="21"/>
      <c r="NDT379" s="21"/>
      <c r="NDU379" s="15"/>
      <c r="NDV379" s="15"/>
      <c r="NDW379" s="15"/>
      <c r="NDX379" s="15"/>
      <c r="NDY379" s="15"/>
      <c r="NDZ379" s="15"/>
      <c r="NEA379" s="15"/>
      <c r="NEB379" s="15"/>
      <c r="NEC379" s="15"/>
      <c r="NED379" s="15"/>
      <c r="NEE379" s="10"/>
      <c r="NEF379" s="10"/>
      <c r="NEG379" s="21"/>
      <c r="NEH379" s="21"/>
      <c r="NEK379" s="21"/>
      <c r="NEL379" s="15"/>
      <c r="NEM379" s="15"/>
      <c r="NEN379" s="15"/>
      <c r="NEO379" s="15"/>
      <c r="NEP379" s="15"/>
      <c r="NEQ379" s="15"/>
      <c r="NER379" s="15"/>
      <c r="NES379" s="15"/>
      <c r="NET379" s="15"/>
      <c r="NEU379" s="15"/>
      <c r="NEV379" s="10"/>
      <c r="NEW379" s="10"/>
      <c r="NEX379" s="21"/>
      <c r="NEY379" s="21"/>
      <c r="NFB379" s="21"/>
      <c r="NFC379" s="15"/>
      <c r="NFD379" s="15"/>
      <c r="NFE379" s="15"/>
      <c r="NFF379" s="15"/>
      <c r="NFG379" s="15"/>
      <c r="NFH379" s="15"/>
      <c r="NFI379" s="15"/>
      <c r="NFJ379" s="15"/>
      <c r="NFK379" s="15"/>
      <c r="NFL379" s="15"/>
      <c r="NFM379" s="10"/>
      <c r="NFN379" s="10"/>
      <c r="NFO379" s="21"/>
      <c r="NFP379" s="21"/>
      <c r="NFS379" s="21"/>
      <c r="NFT379" s="15"/>
      <c r="NFU379" s="15"/>
      <c r="NFV379" s="15"/>
      <c r="NFW379" s="15"/>
      <c r="NFX379" s="15"/>
      <c r="NFY379" s="15"/>
      <c r="NFZ379" s="15"/>
      <c r="NGA379" s="15"/>
      <c r="NGB379" s="15"/>
      <c r="NGC379" s="15"/>
      <c r="NGD379" s="10"/>
      <c r="NGE379" s="10"/>
      <c r="NGF379" s="21"/>
      <c r="NGG379" s="21"/>
      <c r="NGJ379" s="21"/>
      <c r="NGK379" s="15"/>
      <c r="NGL379" s="15"/>
      <c r="NGM379" s="15"/>
      <c r="NGN379" s="15"/>
      <c r="NGO379" s="15"/>
      <c r="NGP379" s="15"/>
      <c r="NGQ379" s="15"/>
      <c r="NGR379" s="15"/>
      <c r="NGS379" s="15"/>
      <c r="NGT379" s="15"/>
      <c r="NGU379" s="10"/>
      <c r="NGV379" s="10"/>
      <c r="NGW379" s="21"/>
      <c r="NGX379" s="21"/>
      <c r="NHA379" s="21"/>
      <c r="NHB379" s="15"/>
      <c r="NHC379" s="15"/>
      <c r="NHD379" s="15"/>
      <c r="NHE379" s="15"/>
      <c r="NHF379" s="15"/>
      <c r="NHG379" s="15"/>
      <c r="NHH379" s="15"/>
      <c r="NHI379" s="15"/>
      <c r="NHJ379" s="15"/>
      <c r="NHK379" s="15"/>
      <c r="NHL379" s="10"/>
      <c r="NHM379" s="10"/>
      <c r="NHN379" s="21"/>
      <c r="NHO379" s="21"/>
      <c r="NHR379" s="21"/>
      <c r="NHS379" s="15"/>
      <c r="NHT379" s="15"/>
      <c r="NHU379" s="15"/>
      <c r="NHV379" s="15"/>
      <c r="NHW379" s="15"/>
      <c r="NHX379" s="15"/>
      <c r="NHY379" s="15"/>
      <c r="NHZ379" s="15"/>
      <c r="NIA379" s="15"/>
      <c r="NIB379" s="15"/>
      <c r="NIC379" s="10"/>
      <c r="NID379" s="10"/>
      <c r="NIE379" s="21"/>
      <c r="NIF379" s="21"/>
      <c r="NII379" s="21"/>
      <c r="NIJ379" s="15"/>
      <c r="NIK379" s="15"/>
      <c r="NIL379" s="15"/>
      <c r="NIM379" s="15"/>
      <c r="NIN379" s="15"/>
      <c r="NIO379" s="15"/>
      <c r="NIP379" s="15"/>
      <c r="NIQ379" s="15"/>
      <c r="NIR379" s="15"/>
      <c r="NIS379" s="15"/>
      <c r="NIT379" s="10"/>
      <c r="NIU379" s="10"/>
      <c r="NIV379" s="21"/>
      <c r="NIW379" s="21"/>
      <c r="NIZ379" s="21"/>
      <c r="NJA379" s="15"/>
      <c r="NJB379" s="15"/>
      <c r="NJC379" s="15"/>
      <c r="NJD379" s="15"/>
      <c r="NJE379" s="15"/>
      <c r="NJF379" s="15"/>
      <c r="NJG379" s="15"/>
      <c r="NJH379" s="15"/>
      <c r="NJI379" s="15"/>
      <c r="NJJ379" s="15"/>
      <c r="NJK379" s="10"/>
      <c r="NJL379" s="10"/>
      <c r="NJM379" s="21"/>
      <c r="NJN379" s="21"/>
      <c r="NJQ379" s="21"/>
      <c r="NJR379" s="15"/>
      <c r="NJS379" s="15"/>
      <c r="NJT379" s="15"/>
      <c r="NJU379" s="15"/>
      <c r="NJV379" s="15"/>
      <c r="NJW379" s="15"/>
      <c r="NJX379" s="15"/>
      <c r="NJY379" s="15"/>
      <c r="NJZ379" s="15"/>
      <c r="NKA379" s="15"/>
      <c r="NKB379" s="10"/>
      <c r="NKC379" s="10"/>
      <c r="NKD379" s="21"/>
      <c r="NKE379" s="21"/>
      <c r="NKH379" s="21"/>
      <c r="NKI379" s="15"/>
      <c r="NKJ379" s="15"/>
      <c r="NKK379" s="15"/>
      <c r="NKL379" s="15"/>
      <c r="NKM379" s="15"/>
      <c r="NKN379" s="15"/>
      <c r="NKO379" s="15"/>
      <c r="NKP379" s="15"/>
      <c r="NKQ379" s="15"/>
      <c r="NKR379" s="15"/>
      <c r="NKS379" s="10"/>
      <c r="NKT379" s="10"/>
      <c r="NKU379" s="21"/>
      <c r="NKV379" s="21"/>
      <c r="NKY379" s="21"/>
      <c r="NKZ379" s="15"/>
      <c r="NLA379" s="15"/>
      <c r="NLB379" s="15"/>
      <c r="NLC379" s="15"/>
      <c r="NLD379" s="15"/>
      <c r="NLE379" s="15"/>
      <c r="NLF379" s="15"/>
      <c r="NLG379" s="15"/>
      <c r="NLH379" s="15"/>
      <c r="NLI379" s="15"/>
      <c r="NLJ379" s="10"/>
      <c r="NLK379" s="10"/>
      <c r="NLL379" s="21"/>
      <c r="NLM379" s="21"/>
      <c r="NLP379" s="21"/>
      <c r="NLQ379" s="15"/>
      <c r="NLR379" s="15"/>
      <c r="NLS379" s="15"/>
      <c r="NLT379" s="15"/>
      <c r="NLU379" s="15"/>
      <c r="NLV379" s="15"/>
      <c r="NLW379" s="15"/>
      <c r="NLX379" s="15"/>
      <c r="NLY379" s="15"/>
      <c r="NLZ379" s="15"/>
      <c r="NMA379" s="10"/>
      <c r="NMB379" s="10"/>
      <c r="NMC379" s="21"/>
      <c r="NMD379" s="21"/>
      <c r="NMG379" s="21"/>
      <c r="NMH379" s="15"/>
      <c r="NMI379" s="15"/>
      <c r="NMJ379" s="15"/>
      <c r="NMK379" s="15"/>
      <c r="NML379" s="15"/>
      <c r="NMM379" s="15"/>
      <c r="NMN379" s="15"/>
      <c r="NMO379" s="15"/>
      <c r="NMP379" s="15"/>
      <c r="NMQ379" s="15"/>
      <c r="NMR379" s="10"/>
      <c r="NMS379" s="10"/>
      <c r="NMT379" s="21"/>
      <c r="NMU379" s="21"/>
      <c r="NMX379" s="21"/>
      <c r="NMY379" s="15"/>
      <c r="NMZ379" s="15"/>
      <c r="NNA379" s="15"/>
      <c r="NNB379" s="15"/>
      <c r="NNC379" s="15"/>
      <c r="NND379" s="15"/>
      <c r="NNE379" s="15"/>
      <c r="NNF379" s="15"/>
      <c r="NNG379" s="15"/>
      <c r="NNH379" s="15"/>
      <c r="NNI379" s="10"/>
      <c r="NNJ379" s="10"/>
      <c r="NNK379" s="21"/>
      <c r="NNL379" s="21"/>
      <c r="NNO379" s="21"/>
      <c r="NNP379" s="15"/>
      <c r="NNQ379" s="15"/>
      <c r="NNR379" s="15"/>
      <c r="NNS379" s="15"/>
      <c r="NNT379" s="15"/>
      <c r="NNU379" s="15"/>
      <c r="NNV379" s="15"/>
      <c r="NNW379" s="15"/>
      <c r="NNX379" s="15"/>
      <c r="NNY379" s="15"/>
      <c r="NNZ379" s="10"/>
      <c r="NOA379" s="10"/>
      <c r="NOB379" s="21"/>
      <c r="NOC379" s="21"/>
      <c r="NOF379" s="21"/>
      <c r="NOG379" s="15"/>
      <c r="NOH379" s="15"/>
      <c r="NOI379" s="15"/>
      <c r="NOJ379" s="15"/>
      <c r="NOK379" s="15"/>
      <c r="NOL379" s="15"/>
      <c r="NOM379" s="15"/>
      <c r="NON379" s="15"/>
      <c r="NOO379" s="15"/>
      <c r="NOP379" s="15"/>
      <c r="NOQ379" s="10"/>
      <c r="NOR379" s="10"/>
      <c r="NOS379" s="21"/>
      <c r="NOT379" s="21"/>
      <c r="NOW379" s="21"/>
      <c r="NOX379" s="15"/>
      <c r="NOY379" s="15"/>
      <c r="NOZ379" s="15"/>
      <c r="NPA379" s="15"/>
      <c r="NPB379" s="15"/>
      <c r="NPC379" s="15"/>
      <c r="NPD379" s="15"/>
      <c r="NPE379" s="15"/>
      <c r="NPF379" s="15"/>
      <c r="NPG379" s="15"/>
      <c r="NPH379" s="10"/>
      <c r="NPI379" s="10"/>
      <c r="NPJ379" s="21"/>
      <c r="NPK379" s="21"/>
      <c r="NPN379" s="21"/>
      <c r="NPO379" s="15"/>
      <c r="NPP379" s="15"/>
      <c r="NPQ379" s="15"/>
      <c r="NPR379" s="15"/>
      <c r="NPS379" s="15"/>
      <c r="NPT379" s="15"/>
      <c r="NPU379" s="15"/>
      <c r="NPV379" s="15"/>
      <c r="NPW379" s="15"/>
      <c r="NPX379" s="15"/>
      <c r="NPY379" s="10"/>
      <c r="NPZ379" s="10"/>
      <c r="NQA379" s="21"/>
      <c r="NQB379" s="21"/>
      <c r="NQE379" s="21"/>
      <c r="NQF379" s="15"/>
      <c r="NQG379" s="15"/>
      <c r="NQH379" s="15"/>
      <c r="NQI379" s="15"/>
      <c r="NQJ379" s="15"/>
      <c r="NQK379" s="15"/>
      <c r="NQL379" s="15"/>
      <c r="NQM379" s="15"/>
      <c r="NQN379" s="15"/>
      <c r="NQO379" s="15"/>
      <c r="NQP379" s="10"/>
      <c r="NQQ379" s="10"/>
      <c r="NQR379" s="21"/>
      <c r="NQS379" s="21"/>
      <c r="NQV379" s="21"/>
      <c r="NQW379" s="15"/>
      <c r="NQX379" s="15"/>
      <c r="NQY379" s="15"/>
      <c r="NQZ379" s="15"/>
      <c r="NRA379" s="15"/>
      <c r="NRB379" s="15"/>
      <c r="NRC379" s="15"/>
      <c r="NRD379" s="15"/>
      <c r="NRE379" s="15"/>
      <c r="NRF379" s="15"/>
      <c r="NRG379" s="10"/>
      <c r="NRH379" s="10"/>
      <c r="NRI379" s="21"/>
      <c r="NRJ379" s="21"/>
      <c r="NRM379" s="21"/>
      <c r="NRN379" s="15"/>
      <c r="NRO379" s="15"/>
      <c r="NRP379" s="15"/>
      <c r="NRQ379" s="15"/>
      <c r="NRR379" s="15"/>
      <c r="NRS379" s="15"/>
      <c r="NRT379" s="15"/>
      <c r="NRU379" s="15"/>
      <c r="NRV379" s="15"/>
      <c r="NRW379" s="15"/>
      <c r="NRX379" s="10"/>
      <c r="NRY379" s="10"/>
      <c r="NRZ379" s="21"/>
      <c r="NSA379" s="21"/>
      <c r="NSD379" s="21"/>
      <c r="NSE379" s="15"/>
      <c r="NSF379" s="15"/>
      <c r="NSG379" s="15"/>
      <c r="NSH379" s="15"/>
      <c r="NSI379" s="15"/>
      <c r="NSJ379" s="15"/>
      <c r="NSK379" s="15"/>
      <c r="NSL379" s="15"/>
      <c r="NSM379" s="15"/>
      <c r="NSN379" s="15"/>
      <c r="NSO379" s="10"/>
      <c r="NSP379" s="10"/>
      <c r="NSQ379" s="21"/>
      <c r="NSR379" s="21"/>
      <c r="NSU379" s="21"/>
      <c r="NSV379" s="15"/>
      <c r="NSW379" s="15"/>
      <c r="NSX379" s="15"/>
      <c r="NSY379" s="15"/>
      <c r="NSZ379" s="15"/>
      <c r="NTA379" s="15"/>
      <c r="NTB379" s="15"/>
      <c r="NTC379" s="15"/>
      <c r="NTD379" s="15"/>
      <c r="NTE379" s="15"/>
      <c r="NTF379" s="10"/>
      <c r="NTG379" s="10"/>
      <c r="NTH379" s="21"/>
      <c r="NTI379" s="21"/>
      <c r="NTL379" s="21"/>
      <c r="NTM379" s="15"/>
      <c r="NTN379" s="15"/>
      <c r="NTO379" s="15"/>
      <c r="NTP379" s="15"/>
      <c r="NTQ379" s="15"/>
      <c r="NTR379" s="15"/>
      <c r="NTS379" s="15"/>
      <c r="NTT379" s="15"/>
      <c r="NTU379" s="15"/>
      <c r="NTV379" s="15"/>
      <c r="NTW379" s="10"/>
      <c r="NTX379" s="10"/>
      <c r="NTY379" s="21"/>
      <c r="NTZ379" s="21"/>
      <c r="NUC379" s="21"/>
      <c r="NUD379" s="15"/>
      <c r="NUE379" s="15"/>
      <c r="NUF379" s="15"/>
      <c r="NUG379" s="15"/>
      <c r="NUH379" s="15"/>
      <c r="NUI379" s="15"/>
      <c r="NUJ379" s="15"/>
      <c r="NUK379" s="15"/>
      <c r="NUL379" s="15"/>
      <c r="NUM379" s="15"/>
      <c r="NUN379" s="10"/>
      <c r="NUO379" s="10"/>
      <c r="NUP379" s="21"/>
      <c r="NUQ379" s="21"/>
      <c r="NUT379" s="21"/>
      <c r="NUU379" s="15"/>
      <c r="NUV379" s="15"/>
      <c r="NUW379" s="15"/>
      <c r="NUX379" s="15"/>
      <c r="NUY379" s="15"/>
      <c r="NUZ379" s="15"/>
      <c r="NVA379" s="15"/>
      <c r="NVB379" s="15"/>
      <c r="NVC379" s="15"/>
      <c r="NVD379" s="15"/>
      <c r="NVE379" s="10"/>
      <c r="NVF379" s="10"/>
      <c r="NVG379" s="21"/>
      <c r="NVH379" s="21"/>
      <c r="NVK379" s="21"/>
      <c r="NVL379" s="15"/>
      <c r="NVM379" s="15"/>
      <c r="NVN379" s="15"/>
      <c r="NVO379" s="15"/>
      <c r="NVP379" s="15"/>
      <c r="NVQ379" s="15"/>
      <c r="NVR379" s="15"/>
      <c r="NVS379" s="15"/>
      <c r="NVT379" s="15"/>
      <c r="NVU379" s="15"/>
      <c r="NVV379" s="10"/>
      <c r="NVW379" s="10"/>
      <c r="NVX379" s="21"/>
      <c r="NVY379" s="21"/>
      <c r="NWB379" s="21"/>
      <c r="NWC379" s="15"/>
      <c r="NWD379" s="15"/>
      <c r="NWE379" s="15"/>
      <c r="NWF379" s="15"/>
      <c r="NWG379" s="15"/>
      <c r="NWH379" s="15"/>
      <c r="NWI379" s="15"/>
      <c r="NWJ379" s="15"/>
      <c r="NWK379" s="15"/>
      <c r="NWL379" s="15"/>
      <c r="NWM379" s="10"/>
      <c r="NWN379" s="10"/>
      <c r="NWO379" s="21"/>
      <c r="NWP379" s="21"/>
      <c r="NWS379" s="21"/>
      <c r="NWT379" s="15"/>
      <c r="NWU379" s="15"/>
      <c r="NWV379" s="15"/>
      <c r="NWW379" s="15"/>
      <c r="NWX379" s="15"/>
      <c r="NWY379" s="15"/>
      <c r="NWZ379" s="15"/>
      <c r="NXA379" s="15"/>
      <c r="NXB379" s="15"/>
      <c r="NXC379" s="15"/>
      <c r="NXD379" s="10"/>
      <c r="NXE379" s="10"/>
      <c r="NXF379" s="21"/>
      <c r="NXG379" s="21"/>
      <c r="NXJ379" s="21"/>
      <c r="NXK379" s="15"/>
      <c r="NXL379" s="15"/>
      <c r="NXM379" s="15"/>
      <c r="NXN379" s="15"/>
      <c r="NXO379" s="15"/>
      <c r="NXP379" s="15"/>
      <c r="NXQ379" s="15"/>
      <c r="NXR379" s="15"/>
      <c r="NXS379" s="15"/>
      <c r="NXT379" s="15"/>
      <c r="NXU379" s="10"/>
      <c r="NXV379" s="10"/>
      <c r="NXW379" s="21"/>
      <c r="NXX379" s="21"/>
      <c r="NYA379" s="21"/>
      <c r="NYB379" s="15"/>
      <c r="NYC379" s="15"/>
      <c r="NYD379" s="15"/>
      <c r="NYE379" s="15"/>
      <c r="NYF379" s="15"/>
      <c r="NYG379" s="15"/>
      <c r="NYH379" s="15"/>
      <c r="NYI379" s="15"/>
      <c r="NYJ379" s="15"/>
      <c r="NYK379" s="15"/>
      <c r="NYL379" s="10"/>
      <c r="NYM379" s="10"/>
      <c r="NYN379" s="21"/>
      <c r="NYO379" s="21"/>
      <c r="NYR379" s="21"/>
      <c r="NYS379" s="15"/>
      <c r="NYT379" s="15"/>
      <c r="NYU379" s="15"/>
      <c r="NYV379" s="15"/>
      <c r="NYW379" s="15"/>
      <c r="NYX379" s="15"/>
      <c r="NYY379" s="15"/>
      <c r="NYZ379" s="15"/>
      <c r="NZA379" s="15"/>
      <c r="NZB379" s="15"/>
      <c r="NZC379" s="10"/>
      <c r="NZD379" s="10"/>
      <c r="NZE379" s="21"/>
      <c r="NZF379" s="21"/>
      <c r="NZI379" s="21"/>
      <c r="NZJ379" s="15"/>
      <c r="NZK379" s="15"/>
      <c r="NZL379" s="15"/>
      <c r="NZM379" s="15"/>
      <c r="NZN379" s="15"/>
      <c r="NZO379" s="15"/>
      <c r="NZP379" s="15"/>
      <c r="NZQ379" s="15"/>
      <c r="NZR379" s="15"/>
      <c r="NZS379" s="15"/>
      <c r="NZT379" s="10"/>
      <c r="NZU379" s="10"/>
      <c r="NZV379" s="21"/>
      <c r="NZW379" s="21"/>
      <c r="NZZ379" s="21"/>
      <c r="OAA379" s="15"/>
      <c r="OAB379" s="15"/>
      <c r="OAC379" s="15"/>
      <c r="OAD379" s="15"/>
      <c r="OAE379" s="15"/>
      <c r="OAF379" s="15"/>
      <c r="OAG379" s="15"/>
      <c r="OAH379" s="15"/>
      <c r="OAI379" s="15"/>
      <c r="OAJ379" s="15"/>
      <c r="OAK379" s="10"/>
      <c r="OAL379" s="10"/>
      <c r="OAM379" s="21"/>
      <c r="OAN379" s="21"/>
      <c r="OAQ379" s="21"/>
      <c r="OAR379" s="15"/>
      <c r="OAS379" s="15"/>
      <c r="OAT379" s="15"/>
      <c r="OAU379" s="15"/>
      <c r="OAV379" s="15"/>
      <c r="OAW379" s="15"/>
      <c r="OAX379" s="15"/>
      <c r="OAY379" s="15"/>
      <c r="OAZ379" s="15"/>
      <c r="OBA379" s="15"/>
      <c r="OBB379" s="10"/>
      <c r="OBC379" s="10"/>
      <c r="OBD379" s="21"/>
      <c r="OBE379" s="21"/>
      <c r="OBH379" s="21"/>
      <c r="OBI379" s="15"/>
      <c r="OBJ379" s="15"/>
      <c r="OBK379" s="15"/>
      <c r="OBL379" s="15"/>
      <c r="OBM379" s="15"/>
      <c r="OBN379" s="15"/>
      <c r="OBO379" s="15"/>
      <c r="OBP379" s="15"/>
      <c r="OBQ379" s="15"/>
      <c r="OBR379" s="15"/>
      <c r="OBS379" s="10"/>
      <c r="OBT379" s="10"/>
      <c r="OBU379" s="21"/>
      <c r="OBV379" s="21"/>
      <c r="OBY379" s="21"/>
      <c r="OBZ379" s="15"/>
      <c r="OCA379" s="15"/>
      <c r="OCB379" s="15"/>
      <c r="OCC379" s="15"/>
      <c r="OCD379" s="15"/>
      <c r="OCE379" s="15"/>
      <c r="OCF379" s="15"/>
      <c r="OCG379" s="15"/>
      <c r="OCH379" s="15"/>
      <c r="OCI379" s="15"/>
      <c r="OCJ379" s="10"/>
      <c r="OCK379" s="10"/>
      <c r="OCL379" s="21"/>
      <c r="OCM379" s="21"/>
      <c r="OCP379" s="21"/>
      <c r="OCQ379" s="15"/>
      <c r="OCR379" s="15"/>
      <c r="OCS379" s="15"/>
      <c r="OCT379" s="15"/>
      <c r="OCU379" s="15"/>
      <c r="OCV379" s="15"/>
      <c r="OCW379" s="15"/>
      <c r="OCX379" s="15"/>
      <c r="OCY379" s="15"/>
      <c r="OCZ379" s="15"/>
      <c r="ODA379" s="10"/>
      <c r="ODB379" s="10"/>
      <c r="ODC379" s="21"/>
      <c r="ODD379" s="21"/>
      <c r="ODG379" s="21"/>
      <c r="ODH379" s="15"/>
      <c r="ODI379" s="15"/>
      <c r="ODJ379" s="15"/>
      <c r="ODK379" s="15"/>
      <c r="ODL379" s="15"/>
      <c r="ODM379" s="15"/>
      <c r="ODN379" s="15"/>
      <c r="ODO379" s="15"/>
      <c r="ODP379" s="15"/>
      <c r="ODQ379" s="15"/>
      <c r="ODR379" s="10"/>
      <c r="ODS379" s="10"/>
      <c r="ODT379" s="21"/>
      <c r="ODU379" s="21"/>
      <c r="ODX379" s="21"/>
      <c r="ODY379" s="15"/>
      <c r="ODZ379" s="15"/>
      <c r="OEA379" s="15"/>
      <c r="OEB379" s="15"/>
      <c r="OEC379" s="15"/>
      <c r="OED379" s="15"/>
      <c r="OEE379" s="15"/>
      <c r="OEF379" s="15"/>
      <c r="OEG379" s="15"/>
      <c r="OEH379" s="15"/>
      <c r="OEI379" s="10"/>
      <c r="OEJ379" s="10"/>
      <c r="OEK379" s="21"/>
      <c r="OEL379" s="21"/>
      <c r="OEO379" s="21"/>
      <c r="OEP379" s="15"/>
      <c r="OEQ379" s="15"/>
      <c r="OER379" s="15"/>
      <c r="OES379" s="15"/>
      <c r="OET379" s="15"/>
      <c r="OEU379" s="15"/>
      <c r="OEV379" s="15"/>
      <c r="OEW379" s="15"/>
      <c r="OEX379" s="15"/>
      <c r="OEY379" s="15"/>
      <c r="OEZ379" s="10"/>
      <c r="OFA379" s="10"/>
      <c r="OFB379" s="21"/>
      <c r="OFC379" s="21"/>
      <c r="OFF379" s="21"/>
      <c r="OFG379" s="15"/>
      <c r="OFH379" s="15"/>
      <c r="OFI379" s="15"/>
      <c r="OFJ379" s="15"/>
      <c r="OFK379" s="15"/>
      <c r="OFL379" s="15"/>
      <c r="OFM379" s="15"/>
      <c r="OFN379" s="15"/>
      <c r="OFO379" s="15"/>
      <c r="OFP379" s="15"/>
      <c r="OFQ379" s="10"/>
      <c r="OFR379" s="10"/>
      <c r="OFS379" s="21"/>
      <c r="OFT379" s="21"/>
      <c r="OFW379" s="21"/>
      <c r="OFX379" s="15"/>
      <c r="OFY379" s="15"/>
      <c r="OFZ379" s="15"/>
      <c r="OGA379" s="15"/>
      <c r="OGB379" s="15"/>
      <c r="OGC379" s="15"/>
      <c r="OGD379" s="15"/>
      <c r="OGE379" s="15"/>
      <c r="OGF379" s="15"/>
      <c r="OGG379" s="15"/>
      <c r="OGH379" s="10"/>
      <c r="OGI379" s="10"/>
      <c r="OGJ379" s="21"/>
      <c r="OGK379" s="21"/>
      <c r="OGN379" s="21"/>
      <c r="OGO379" s="15"/>
      <c r="OGP379" s="15"/>
      <c r="OGQ379" s="15"/>
      <c r="OGR379" s="15"/>
      <c r="OGS379" s="15"/>
      <c r="OGT379" s="15"/>
      <c r="OGU379" s="15"/>
      <c r="OGV379" s="15"/>
      <c r="OGW379" s="15"/>
      <c r="OGX379" s="15"/>
      <c r="OGY379" s="10"/>
      <c r="OGZ379" s="10"/>
      <c r="OHA379" s="21"/>
      <c r="OHB379" s="21"/>
      <c r="OHE379" s="21"/>
      <c r="OHF379" s="15"/>
      <c r="OHG379" s="15"/>
      <c r="OHH379" s="15"/>
      <c r="OHI379" s="15"/>
      <c r="OHJ379" s="15"/>
      <c r="OHK379" s="15"/>
      <c r="OHL379" s="15"/>
      <c r="OHM379" s="15"/>
      <c r="OHN379" s="15"/>
      <c r="OHO379" s="15"/>
      <c r="OHP379" s="10"/>
      <c r="OHQ379" s="10"/>
      <c r="OHR379" s="21"/>
      <c r="OHS379" s="21"/>
      <c r="OHV379" s="21"/>
      <c r="OHW379" s="15"/>
      <c r="OHX379" s="15"/>
      <c r="OHY379" s="15"/>
      <c r="OHZ379" s="15"/>
      <c r="OIA379" s="15"/>
      <c r="OIB379" s="15"/>
      <c r="OIC379" s="15"/>
      <c r="OID379" s="15"/>
      <c r="OIE379" s="15"/>
      <c r="OIF379" s="15"/>
      <c r="OIG379" s="10"/>
      <c r="OIH379" s="10"/>
      <c r="OII379" s="21"/>
      <c r="OIJ379" s="21"/>
      <c r="OIM379" s="21"/>
      <c r="OIN379" s="15"/>
      <c r="OIO379" s="15"/>
      <c r="OIP379" s="15"/>
      <c r="OIQ379" s="15"/>
      <c r="OIR379" s="15"/>
      <c r="OIS379" s="15"/>
      <c r="OIT379" s="15"/>
      <c r="OIU379" s="15"/>
      <c r="OIV379" s="15"/>
      <c r="OIW379" s="15"/>
      <c r="OIX379" s="10"/>
      <c r="OIY379" s="10"/>
      <c r="OIZ379" s="21"/>
      <c r="OJA379" s="21"/>
      <c r="OJD379" s="21"/>
      <c r="OJE379" s="15"/>
      <c r="OJF379" s="15"/>
      <c r="OJG379" s="15"/>
      <c r="OJH379" s="15"/>
      <c r="OJI379" s="15"/>
      <c r="OJJ379" s="15"/>
      <c r="OJK379" s="15"/>
      <c r="OJL379" s="15"/>
      <c r="OJM379" s="15"/>
      <c r="OJN379" s="15"/>
      <c r="OJO379" s="10"/>
      <c r="OJP379" s="10"/>
      <c r="OJQ379" s="21"/>
      <c r="OJR379" s="21"/>
      <c r="OJU379" s="21"/>
      <c r="OJV379" s="15"/>
      <c r="OJW379" s="15"/>
      <c r="OJX379" s="15"/>
      <c r="OJY379" s="15"/>
      <c r="OJZ379" s="15"/>
      <c r="OKA379" s="15"/>
      <c r="OKB379" s="15"/>
      <c r="OKC379" s="15"/>
      <c r="OKD379" s="15"/>
      <c r="OKE379" s="15"/>
      <c r="OKF379" s="10"/>
      <c r="OKG379" s="10"/>
      <c r="OKH379" s="21"/>
      <c r="OKI379" s="21"/>
      <c r="OKL379" s="21"/>
      <c r="OKM379" s="15"/>
      <c r="OKN379" s="15"/>
      <c r="OKO379" s="15"/>
      <c r="OKP379" s="15"/>
      <c r="OKQ379" s="15"/>
      <c r="OKR379" s="15"/>
      <c r="OKS379" s="15"/>
      <c r="OKT379" s="15"/>
      <c r="OKU379" s="15"/>
      <c r="OKV379" s="15"/>
      <c r="OKW379" s="10"/>
      <c r="OKX379" s="10"/>
      <c r="OKY379" s="21"/>
      <c r="OKZ379" s="21"/>
      <c r="OLC379" s="21"/>
      <c r="OLD379" s="15"/>
      <c r="OLE379" s="15"/>
      <c r="OLF379" s="15"/>
      <c r="OLG379" s="15"/>
      <c r="OLH379" s="15"/>
      <c r="OLI379" s="15"/>
      <c r="OLJ379" s="15"/>
      <c r="OLK379" s="15"/>
      <c r="OLL379" s="15"/>
      <c r="OLM379" s="15"/>
      <c r="OLN379" s="10"/>
      <c r="OLO379" s="10"/>
      <c r="OLP379" s="21"/>
      <c r="OLQ379" s="21"/>
      <c r="OLT379" s="21"/>
      <c r="OLU379" s="15"/>
      <c r="OLV379" s="15"/>
      <c r="OLW379" s="15"/>
      <c r="OLX379" s="15"/>
      <c r="OLY379" s="15"/>
      <c r="OLZ379" s="15"/>
      <c r="OMA379" s="15"/>
      <c r="OMB379" s="15"/>
      <c r="OMC379" s="15"/>
      <c r="OMD379" s="15"/>
      <c r="OME379" s="10"/>
      <c r="OMF379" s="10"/>
      <c r="OMG379" s="21"/>
      <c r="OMH379" s="21"/>
      <c r="OMK379" s="21"/>
      <c r="OML379" s="15"/>
      <c r="OMM379" s="15"/>
      <c r="OMN379" s="15"/>
      <c r="OMO379" s="15"/>
      <c r="OMP379" s="15"/>
      <c r="OMQ379" s="15"/>
      <c r="OMR379" s="15"/>
      <c r="OMS379" s="15"/>
      <c r="OMT379" s="15"/>
      <c r="OMU379" s="15"/>
      <c r="OMV379" s="10"/>
      <c r="OMW379" s="10"/>
      <c r="OMX379" s="21"/>
      <c r="OMY379" s="21"/>
      <c r="ONB379" s="21"/>
      <c r="ONC379" s="15"/>
      <c r="OND379" s="15"/>
      <c r="ONE379" s="15"/>
      <c r="ONF379" s="15"/>
      <c r="ONG379" s="15"/>
      <c r="ONH379" s="15"/>
      <c r="ONI379" s="15"/>
      <c r="ONJ379" s="15"/>
      <c r="ONK379" s="15"/>
      <c r="ONL379" s="15"/>
      <c r="ONM379" s="10"/>
      <c r="ONN379" s="10"/>
      <c r="ONO379" s="21"/>
      <c r="ONP379" s="21"/>
      <c r="ONS379" s="21"/>
      <c r="ONT379" s="15"/>
      <c r="ONU379" s="15"/>
      <c r="ONV379" s="15"/>
      <c r="ONW379" s="15"/>
      <c r="ONX379" s="15"/>
      <c r="ONY379" s="15"/>
      <c r="ONZ379" s="15"/>
      <c r="OOA379" s="15"/>
      <c r="OOB379" s="15"/>
      <c r="OOC379" s="15"/>
      <c r="OOD379" s="10"/>
      <c r="OOE379" s="10"/>
      <c r="OOF379" s="21"/>
      <c r="OOG379" s="21"/>
      <c r="OOJ379" s="21"/>
      <c r="OOK379" s="15"/>
      <c r="OOL379" s="15"/>
      <c r="OOM379" s="15"/>
      <c r="OON379" s="15"/>
      <c r="OOO379" s="15"/>
      <c r="OOP379" s="15"/>
      <c r="OOQ379" s="15"/>
      <c r="OOR379" s="15"/>
      <c r="OOS379" s="15"/>
      <c r="OOT379" s="15"/>
      <c r="OOU379" s="10"/>
      <c r="OOV379" s="10"/>
      <c r="OOW379" s="21"/>
      <c r="OOX379" s="21"/>
      <c r="OPA379" s="21"/>
      <c r="OPB379" s="15"/>
      <c r="OPC379" s="15"/>
      <c r="OPD379" s="15"/>
      <c r="OPE379" s="15"/>
      <c r="OPF379" s="15"/>
      <c r="OPG379" s="15"/>
      <c r="OPH379" s="15"/>
      <c r="OPI379" s="15"/>
      <c r="OPJ379" s="15"/>
      <c r="OPK379" s="15"/>
      <c r="OPL379" s="10"/>
      <c r="OPM379" s="10"/>
      <c r="OPN379" s="21"/>
      <c r="OPO379" s="21"/>
      <c r="OPR379" s="21"/>
      <c r="OPS379" s="15"/>
      <c r="OPT379" s="15"/>
      <c r="OPU379" s="15"/>
      <c r="OPV379" s="15"/>
      <c r="OPW379" s="15"/>
      <c r="OPX379" s="15"/>
      <c r="OPY379" s="15"/>
      <c r="OPZ379" s="15"/>
      <c r="OQA379" s="15"/>
      <c r="OQB379" s="15"/>
      <c r="OQC379" s="10"/>
      <c r="OQD379" s="10"/>
      <c r="OQE379" s="21"/>
      <c r="OQF379" s="21"/>
      <c r="OQI379" s="21"/>
      <c r="OQJ379" s="15"/>
      <c r="OQK379" s="15"/>
      <c r="OQL379" s="15"/>
      <c r="OQM379" s="15"/>
      <c r="OQN379" s="15"/>
      <c r="OQO379" s="15"/>
      <c r="OQP379" s="15"/>
      <c r="OQQ379" s="15"/>
      <c r="OQR379" s="15"/>
      <c r="OQS379" s="15"/>
      <c r="OQT379" s="10"/>
      <c r="OQU379" s="10"/>
      <c r="OQV379" s="21"/>
      <c r="OQW379" s="21"/>
      <c r="OQZ379" s="21"/>
      <c r="ORA379" s="15"/>
      <c r="ORB379" s="15"/>
      <c r="ORC379" s="15"/>
      <c r="ORD379" s="15"/>
      <c r="ORE379" s="15"/>
      <c r="ORF379" s="15"/>
      <c r="ORG379" s="15"/>
      <c r="ORH379" s="15"/>
      <c r="ORI379" s="15"/>
      <c r="ORJ379" s="15"/>
      <c r="ORK379" s="10"/>
      <c r="ORL379" s="10"/>
      <c r="ORM379" s="21"/>
      <c r="ORN379" s="21"/>
      <c r="ORQ379" s="21"/>
      <c r="ORR379" s="15"/>
      <c r="ORS379" s="15"/>
      <c r="ORT379" s="15"/>
      <c r="ORU379" s="15"/>
      <c r="ORV379" s="15"/>
      <c r="ORW379" s="15"/>
      <c r="ORX379" s="15"/>
      <c r="ORY379" s="15"/>
      <c r="ORZ379" s="15"/>
      <c r="OSA379" s="15"/>
      <c r="OSB379" s="10"/>
      <c r="OSC379" s="10"/>
      <c r="OSD379" s="21"/>
      <c r="OSE379" s="21"/>
      <c r="OSH379" s="21"/>
      <c r="OSI379" s="15"/>
      <c r="OSJ379" s="15"/>
      <c r="OSK379" s="15"/>
      <c r="OSL379" s="15"/>
      <c r="OSM379" s="15"/>
      <c r="OSN379" s="15"/>
      <c r="OSO379" s="15"/>
      <c r="OSP379" s="15"/>
      <c r="OSQ379" s="15"/>
      <c r="OSR379" s="15"/>
      <c r="OSS379" s="10"/>
      <c r="OST379" s="10"/>
      <c r="OSU379" s="21"/>
      <c r="OSV379" s="21"/>
      <c r="OSY379" s="21"/>
      <c r="OSZ379" s="15"/>
      <c r="OTA379" s="15"/>
      <c r="OTB379" s="15"/>
      <c r="OTC379" s="15"/>
      <c r="OTD379" s="15"/>
      <c r="OTE379" s="15"/>
      <c r="OTF379" s="15"/>
      <c r="OTG379" s="15"/>
      <c r="OTH379" s="15"/>
      <c r="OTI379" s="15"/>
      <c r="OTJ379" s="10"/>
      <c r="OTK379" s="10"/>
      <c r="OTL379" s="21"/>
      <c r="OTM379" s="21"/>
      <c r="OTP379" s="21"/>
      <c r="OTQ379" s="15"/>
      <c r="OTR379" s="15"/>
      <c r="OTS379" s="15"/>
      <c r="OTT379" s="15"/>
      <c r="OTU379" s="15"/>
      <c r="OTV379" s="15"/>
      <c r="OTW379" s="15"/>
      <c r="OTX379" s="15"/>
      <c r="OTY379" s="15"/>
      <c r="OTZ379" s="15"/>
      <c r="OUA379" s="10"/>
      <c r="OUB379" s="10"/>
      <c r="OUC379" s="21"/>
      <c r="OUD379" s="21"/>
      <c r="OUG379" s="21"/>
      <c r="OUH379" s="15"/>
      <c r="OUI379" s="15"/>
      <c r="OUJ379" s="15"/>
      <c r="OUK379" s="15"/>
      <c r="OUL379" s="15"/>
      <c r="OUM379" s="15"/>
      <c r="OUN379" s="15"/>
      <c r="OUO379" s="15"/>
      <c r="OUP379" s="15"/>
      <c r="OUQ379" s="15"/>
      <c r="OUR379" s="10"/>
      <c r="OUS379" s="10"/>
      <c r="OUT379" s="21"/>
      <c r="OUU379" s="21"/>
      <c r="OUX379" s="21"/>
      <c r="OUY379" s="15"/>
      <c r="OUZ379" s="15"/>
      <c r="OVA379" s="15"/>
      <c r="OVB379" s="15"/>
      <c r="OVC379" s="15"/>
      <c r="OVD379" s="15"/>
      <c r="OVE379" s="15"/>
      <c r="OVF379" s="15"/>
      <c r="OVG379" s="15"/>
      <c r="OVH379" s="15"/>
      <c r="OVI379" s="10"/>
      <c r="OVJ379" s="10"/>
      <c r="OVK379" s="21"/>
      <c r="OVL379" s="21"/>
      <c r="OVO379" s="21"/>
      <c r="OVP379" s="15"/>
      <c r="OVQ379" s="15"/>
      <c r="OVR379" s="15"/>
      <c r="OVS379" s="15"/>
      <c r="OVT379" s="15"/>
      <c r="OVU379" s="15"/>
      <c r="OVV379" s="15"/>
      <c r="OVW379" s="15"/>
      <c r="OVX379" s="15"/>
      <c r="OVY379" s="15"/>
      <c r="OVZ379" s="10"/>
      <c r="OWA379" s="10"/>
      <c r="OWB379" s="21"/>
      <c r="OWC379" s="21"/>
      <c r="OWF379" s="21"/>
      <c r="OWG379" s="15"/>
      <c r="OWH379" s="15"/>
      <c r="OWI379" s="15"/>
      <c r="OWJ379" s="15"/>
      <c r="OWK379" s="15"/>
      <c r="OWL379" s="15"/>
      <c r="OWM379" s="15"/>
      <c r="OWN379" s="15"/>
      <c r="OWO379" s="15"/>
      <c r="OWP379" s="15"/>
      <c r="OWQ379" s="10"/>
      <c r="OWR379" s="10"/>
      <c r="OWS379" s="21"/>
      <c r="OWT379" s="21"/>
      <c r="OWW379" s="21"/>
      <c r="OWX379" s="15"/>
      <c r="OWY379" s="15"/>
      <c r="OWZ379" s="15"/>
      <c r="OXA379" s="15"/>
      <c r="OXB379" s="15"/>
      <c r="OXC379" s="15"/>
      <c r="OXD379" s="15"/>
      <c r="OXE379" s="15"/>
      <c r="OXF379" s="15"/>
      <c r="OXG379" s="15"/>
      <c r="OXH379" s="10"/>
      <c r="OXI379" s="10"/>
      <c r="OXJ379" s="21"/>
      <c r="OXK379" s="21"/>
      <c r="OXN379" s="21"/>
      <c r="OXO379" s="15"/>
      <c r="OXP379" s="15"/>
      <c r="OXQ379" s="15"/>
      <c r="OXR379" s="15"/>
      <c r="OXS379" s="15"/>
      <c r="OXT379" s="15"/>
      <c r="OXU379" s="15"/>
      <c r="OXV379" s="15"/>
      <c r="OXW379" s="15"/>
      <c r="OXX379" s="15"/>
      <c r="OXY379" s="10"/>
      <c r="OXZ379" s="10"/>
      <c r="OYA379" s="21"/>
      <c r="OYB379" s="21"/>
      <c r="OYE379" s="21"/>
      <c r="OYF379" s="15"/>
      <c r="OYG379" s="15"/>
      <c r="OYH379" s="15"/>
      <c r="OYI379" s="15"/>
      <c r="OYJ379" s="15"/>
      <c r="OYK379" s="15"/>
      <c r="OYL379" s="15"/>
      <c r="OYM379" s="15"/>
      <c r="OYN379" s="15"/>
      <c r="OYO379" s="15"/>
      <c r="OYP379" s="10"/>
      <c r="OYQ379" s="10"/>
      <c r="OYR379" s="21"/>
      <c r="OYS379" s="21"/>
      <c r="OYV379" s="21"/>
      <c r="OYW379" s="15"/>
      <c r="OYX379" s="15"/>
      <c r="OYY379" s="15"/>
      <c r="OYZ379" s="15"/>
      <c r="OZA379" s="15"/>
      <c r="OZB379" s="15"/>
      <c r="OZC379" s="15"/>
      <c r="OZD379" s="15"/>
      <c r="OZE379" s="15"/>
      <c r="OZF379" s="15"/>
      <c r="OZG379" s="10"/>
      <c r="OZH379" s="10"/>
      <c r="OZI379" s="21"/>
      <c r="OZJ379" s="21"/>
      <c r="OZM379" s="21"/>
      <c r="OZN379" s="15"/>
      <c r="OZO379" s="15"/>
      <c r="OZP379" s="15"/>
      <c r="OZQ379" s="15"/>
      <c r="OZR379" s="15"/>
      <c r="OZS379" s="15"/>
      <c r="OZT379" s="15"/>
      <c r="OZU379" s="15"/>
      <c r="OZV379" s="15"/>
      <c r="OZW379" s="15"/>
      <c r="OZX379" s="10"/>
      <c r="OZY379" s="10"/>
      <c r="OZZ379" s="21"/>
      <c r="PAA379" s="21"/>
      <c r="PAD379" s="21"/>
      <c r="PAE379" s="15"/>
      <c r="PAF379" s="15"/>
      <c r="PAG379" s="15"/>
      <c r="PAH379" s="15"/>
      <c r="PAI379" s="15"/>
      <c r="PAJ379" s="15"/>
      <c r="PAK379" s="15"/>
      <c r="PAL379" s="15"/>
      <c r="PAM379" s="15"/>
      <c r="PAN379" s="15"/>
      <c r="PAO379" s="10"/>
      <c r="PAP379" s="10"/>
      <c r="PAQ379" s="21"/>
      <c r="PAR379" s="21"/>
      <c r="PAU379" s="21"/>
      <c r="PAV379" s="15"/>
      <c r="PAW379" s="15"/>
      <c r="PAX379" s="15"/>
      <c r="PAY379" s="15"/>
      <c r="PAZ379" s="15"/>
      <c r="PBA379" s="15"/>
      <c r="PBB379" s="15"/>
      <c r="PBC379" s="15"/>
      <c r="PBD379" s="15"/>
      <c r="PBE379" s="15"/>
      <c r="PBF379" s="10"/>
      <c r="PBG379" s="10"/>
      <c r="PBH379" s="21"/>
      <c r="PBI379" s="21"/>
      <c r="PBL379" s="21"/>
      <c r="PBM379" s="15"/>
      <c r="PBN379" s="15"/>
      <c r="PBO379" s="15"/>
      <c r="PBP379" s="15"/>
      <c r="PBQ379" s="15"/>
      <c r="PBR379" s="15"/>
      <c r="PBS379" s="15"/>
      <c r="PBT379" s="15"/>
      <c r="PBU379" s="15"/>
      <c r="PBV379" s="15"/>
      <c r="PBW379" s="10"/>
      <c r="PBX379" s="10"/>
      <c r="PBY379" s="21"/>
      <c r="PBZ379" s="21"/>
      <c r="PCC379" s="21"/>
      <c r="PCD379" s="15"/>
      <c r="PCE379" s="15"/>
      <c r="PCF379" s="15"/>
      <c r="PCG379" s="15"/>
      <c r="PCH379" s="15"/>
      <c r="PCI379" s="15"/>
      <c r="PCJ379" s="15"/>
      <c r="PCK379" s="15"/>
      <c r="PCL379" s="15"/>
      <c r="PCM379" s="15"/>
      <c r="PCN379" s="10"/>
      <c r="PCO379" s="10"/>
      <c r="PCP379" s="21"/>
      <c r="PCQ379" s="21"/>
      <c r="PCT379" s="21"/>
      <c r="PCU379" s="15"/>
      <c r="PCV379" s="15"/>
      <c r="PCW379" s="15"/>
      <c r="PCX379" s="15"/>
      <c r="PCY379" s="15"/>
      <c r="PCZ379" s="15"/>
      <c r="PDA379" s="15"/>
      <c r="PDB379" s="15"/>
      <c r="PDC379" s="15"/>
      <c r="PDD379" s="15"/>
      <c r="PDE379" s="10"/>
      <c r="PDF379" s="10"/>
      <c r="PDG379" s="21"/>
      <c r="PDH379" s="21"/>
      <c r="PDK379" s="21"/>
      <c r="PDL379" s="15"/>
      <c r="PDM379" s="15"/>
      <c r="PDN379" s="15"/>
      <c r="PDO379" s="15"/>
      <c r="PDP379" s="15"/>
      <c r="PDQ379" s="15"/>
      <c r="PDR379" s="15"/>
      <c r="PDS379" s="15"/>
      <c r="PDT379" s="15"/>
      <c r="PDU379" s="15"/>
      <c r="PDV379" s="10"/>
      <c r="PDW379" s="10"/>
      <c r="PDX379" s="21"/>
      <c r="PDY379" s="21"/>
      <c r="PEB379" s="21"/>
      <c r="PEC379" s="15"/>
      <c r="PED379" s="15"/>
      <c r="PEE379" s="15"/>
      <c r="PEF379" s="15"/>
      <c r="PEG379" s="15"/>
      <c r="PEH379" s="15"/>
      <c r="PEI379" s="15"/>
      <c r="PEJ379" s="15"/>
      <c r="PEK379" s="15"/>
      <c r="PEL379" s="15"/>
      <c r="PEM379" s="10"/>
      <c r="PEN379" s="10"/>
      <c r="PEO379" s="21"/>
      <c r="PEP379" s="21"/>
      <c r="PES379" s="21"/>
      <c r="PET379" s="15"/>
      <c r="PEU379" s="15"/>
      <c r="PEV379" s="15"/>
      <c r="PEW379" s="15"/>
      <c r="PEX379" s="15"/>
      <c r="PEY379" s="15"/>
      <c r="PEZ379" s="15"/>
      <c r="PFA379" s="15"/>
      <c r="PFB379" s="15"/>
      <c r="PFC379" s="15"/>
      <c r="PFD379" s="10"/>
      <c r="PFE379" s="10"/>
      <c r="PFF379" s="21"/>
      <c r="PFG379" s="21"/>
      <c r="PFJ379" s="21"/>
      <c r="PFK379" s="15"/>
      <c r="PFL379" s="15"/>
      <c r="PFM379" s="15"/>
      <c r="PFN379" s="15"/>
      <c r="PFO379" s="15"/>
      <c r="PFP379" s="15"/>
      <c r="PFQ379" s="15"/>
      <c r="PFR379" s="15"/>
      <c r="PFS379" s="15"/>
      <c r="PFT379" s="15"/>
      <c r="PFU379" s="10"/>
      <c r="PFV379" s="10"/>
      <c r="PFW379" s="21"/>
      <c r="PFX379" s="21"/>
      <c r="PGA379" s="21"/>
      <c r="PGB379" s="15"/>
      <c r="PGC379" s="15"/>
      <c r="PGD379" s="15"/>
      <c r="PGE379" s="15"/>
      <c r="PGF379" s="15"/>
      <c r="PGG379" s="15"/>
      <c r="PGH379" s="15"/>
      <c r="PGI379" s="15"/>
      <c r="PGJ379" s="15"/>
      <c r="PGK379" s="15"/>
      <c r="PGL379" s="10"/>
      <c r="PGM379" s="10"/>
      <c r="PGN379" s="21"/>
      <c r="PGO379" s="21"/>
      <c r="PGR379" s="21"/>
      <c r="PGS379" s="15"/>
      <c r="PGT379" s="15"/>
      <c r="PGU379" s="15"/>
      <c r="PGV379" s="15"/>
      <c r="PGW379" s="15"/>
      <c r="PGX379" s="15"/>
      <c r="PGY379" s="15"/>
      <c r="PGZ379" s="15"/>
      <c r="PHA379" s="15"/>
      <c r="PHB379" s="15"/>
      <c r="PHC379" s="10"/>
      <c r="PHD379" s="10"/>
      <c r="PHE379" s="21"/>
      <c r="PHF379" s="21"/>
      <c r="PHI379" s="21"/>
      <c r="PHJ379" s="15"/>
      <c r="PHK379" s="15"/>
      <c r="PHL379" s="15"/>
      <c r="PHM379" s="15"/>
      <c r="PHN379" s="15"/>
      <c r="PHO379" s="15"/>
      <c r="PHP379" s="15"/>
      <c r="PHQ379" s="15"/>
      <c r="PHR379" s="15"/>
      <c r="PHS379" s="15"/>
      <c r="PHT379" s="10"/>
      <c r="PHU379" s="10"/>
      <c r="PHV379" s="21"/>
      <c r="PHW379" s="21"/>
      <c r="PHZ379" s="21"/>
      <c r="PIA379" s="15"/>
      <c r="PIB379" s="15"/>
      <c r="PIC379" s="15"/>
      <c r="PID379" s="15"/>
      <c r="PIE379" s="15"/>
      <c r="PIF379" s="15"/>
      <c r="PIG379" s="15"/>
      <c r="PIH379" s="15"/>
      <c r="PII379" s="15"/>
      <c r="PIJ379" s="15"/>
      <c r="PIK379" s="10"/>
      <c r="PIL379" s="10"/>
      <c r="PIM379" s="21"/>
      <c r="PIN379" s="21"/>
      <c r="PIQ379" s="21"/>
      <c r="PIR379" s="15"/>
      <c r="PIS379" s="15"/>
      <c r="PIT379" s="15"/>
      <c r="PIU379" s="15"/>
      <c r="PIV379" s="15"/>
      <c r="PIW379" s="15"/>
      <c r="PIX379" s="15"/>
      <c r="PIY379" s="15"/>
      <c r="PIZ379" s="15"/>
      <c r="PJA379" s="15"/>
      <c r="PJB379" s="10"/>
      <c r="PJC379" s="10"/>
      <c r="PJD379" s="21"/>
      <c r="PJE379" s="21"/>
      <c r="PJH379" s="21"/>
      <c r="PJI379" s="15"/>
      <c r="PJJ379" s="15"/>
      <c r="PJK379" s="15"/>
      <c r="PJL379" s="15"/>
      <c r="PJM379" s="15"/>
      <c r="PJN379" s="15"/>
      <c r="PJO379" s="15"/>
      <c r="PJP379" s="15"/>
      <c r="PJQ379" s="15"/>
      <c r="PJR379" s="15"/>
      <c r="PJS379" s="10"/>
      <c r="PJT379" s="10"/>
      <c r="PJU379" s="21"/>
      <c r="PJV379" s="21"/>
      <c r="PJY379" s="21"/>
      <c r="PJZ379" s="15"/>
      <c r="PKA379" s="15"/>
      <c r="PKB379" s="15"/>
      <c r="PKC379" s="15"/>
      <c r="PKD379" s="15"/>
      <c r="PKE379" s="15"/>
      <c r="PKF379" s="15"/>
      <c r="PKG379" s="15"/>
      <c r="PKH379" s="15"/>
      <c r="PKI379" s="15"/>
      <c r="PKJ379" s="10"/>
      <c r="PKK379" s="10"/>
      <c r="PKL379" s="21"/>
      <c r="PKM379" s="21"/>
      <c r="PKP379" s="21"/>
      <c r="PKQ379" s="15"/>
      <c r="PKR379" s="15"/>
      <c r="PKS379" s="15"/>
      <c r="PKT379" s="15"/>
      <c r="PKU379" s="15"/>
      <c r="PKV379" s="15"/>
      <c r="PKW379" s="15"/>
      <c r="PKX379" s="15"/>
      <c r="PKY379" s="15"/>
      <c r="PKZ379" s="15"/>
      <c r="PLA379" s="10"/>
      <c r="PLB379" s="10"/>
      <c r="PLC379" s="21"/>
      <c r="PLD379" s="21"/>
      <c r="PLG379" s="21"/>
      <c r="PLH379" s="15"/>
      <c r="PLI379" s="15"/>
      <c r="PLJ379" s="15"/>
      <c r="PLK379" s="15"/>
      <c r="PLL379" s="15"/>
      <c r="PLM379" s="15"/>
      <c r="PLN379" s="15"/>
      <c r="PLO379" s="15"/>
      <c r="PLP379" s="15"/>
      <c r="PLQ379" s="15"/>
      <c r="PLR379" s="10"/>
      <c r="PLS379" s="10"/>
      <c r="PLT379" s="21"/>
      <c r="PLU379" s="21"/>
      <c r="PLX379" s="21"/>
      <c r="PLY379" s="15"/>
      <c r="PLZ379" s="15"/>
      <c r="PMA379" s="15"/>
      <c r="PMB379" s="15"/>
      <c r="PMC379" s="15"/>
      <c r="PMD379" s="15"/>
      <c r="PME379" s="15"/>
      <c r="PMF379" s="15"/>
      <c r="PMG379" s="15"/>
      <c r="PMH379" s="15"/>
      <c r="PMI379" s="10"/>
      <c r="PMJ379" s="10"/>
      <c r="PMK379" s="21"/>
      <c r="PML379" s="21"/>
      <c r="PMO379" s="21"/>
      <c r="PMP379" s="15"/>
      <c r="PMQ379" s="15"/>
      <c r="PMR379" s="15"/>
      <c r="PMS379" s="15"/>
      <c r="PMT379" s="15"/>
      <c r="PMU379" s="15"/>
      <c r="PMV379" s="15"/>
      <c r="PMW379" s="15"/>
      <c r="PMX379" s="15"/>
      <c r="PMY379" s="15"/>
      <c r="PMZ379" s="10"/>
      <c r="PNA379" s="10"/>
      <c r="PNB379" s="21"/>
      <c r="PNC379" s="21"/>
      <c r="PNF379" s="21"/>
      <c r="PNG379" s="15"/>
      <c r="PNH379" s="15"/>
      <c r="PNI379" s="15"/>
      <c r="PNJ379" s="15"/>
      <c r="PNK379" s="15"/>
      <c r="PNL379" s="15"/>
      <c r="PNM379" s="15"/>
      <c r="PNN379" s="15"/>
      <c r="PNO379" s="15"/>
      <c r="PNP379" s="15"/>
      <c r="PNQ379" s="10"/>
      <c r="PNR379" s="10"/>
      <c r="PNS379" s="21"/>
      <c r="PNT379" s="21"/>
      <c r="PNW379" s="21"/>
      <c r="PNX379" s="15"/>
      <c r="PNY379" s="15"/>
      <c r="PNZ379" s="15"/>
      <c r="POA379" s="15"/>
      <c r="POB379" s="15"/>
      <c r="POC379" s="15"/>
      <c r="POD379" s="15"/>
      <c r="POE379" s="15"/>
      <c r="POF379" s="15"/>
      <c r="POG379" s="15"/>
      <c r="POH379" s="10"/>
      <c r="POI379" s="10"/>
      <c r="POJ379" s="21"/>
      <c r="POK379" s="21"/>
      <c r="PON379" s="21"/>
      <c r="POO379" s="15"/>
      <c r="POP379" s="15"/>
      <c r="POQ379" s="15"/>
      <c r="POR379" s="15"/>
      <c r="POS379" s="15"/>
      <c r="POT379" s="15"/>
      <c r="POU379" s="15"/>
      <c r="POV379" s="15"/>
      <c r="POW379" s="15"/>
      <c r="POX379" s="15"/>
      <c r="POY379" s="10"/>
      <c r="POZ379" s="10"/>
      <c r="PPA379" s="21"/>
      <c r="PPB379" s="21"/>
      <c r="PPE379" s="21"/>
      <c r="PPF379" s="15"/>
      <c r="PPG379" s="15"/>
      <c r="PPH379" s="15"/>
      <c r="PPI379" s="15"/>
      <c r="PPJ379" s="15"/>
      <c r="PPK379" s="15"/>
      <c r="PPL379" s="15"/>
      <c r="PPM379" s="15"/>
      <c r="PPN379" s="15"/>
      <c r="PPO379" s="15"/>
      <c r="PPP379" s="10"/>
      <c r="PPQ379" s="10"/>
      <c r="PPR379" s="21"/>
      <c r="PPS379" s="21"/>
      <c r="PPV379" s="21"/>
      <c r="PPW379" s="15"/>
      <c r="PPX379" s="15"/>
      <c r="PPY379" s="15"/>
      <c r="PPZ379" s="15"/>
      <c r="PQA379" s="15"/>
      <c r="PQB379" s="15"/>
      <c r="PQC379" s="15"/>
      <c r="PQD379" s="15"/>
      <c r="PQE379" s="15"/>
      <c r="PQF379" s="15"/>
      <c r="PQG379" s="10"/>
      <c r="PQH379" s="10"/>
      <c r="PQI379" s="21"/>
      <c r="PQJ379" s="21"/>
      <c r="PQM379" s="21"/>
      <c r="PQN379" s="15"/>
      <c r="PQO379" s="15"/>
      <c r="PQP379" s="15"/>
      <c r="PQQ379" s="15"/>
      <c r="PQR379" s="15"/>
      <c r="PQS379" s="15"/>
      <c r="PQT379" s="15"/>
      <c r="PQU379" s="15"/>
      <c r="PQV379" s="15"/>
      <c r="PQW379" s="15"/>
      <c r="PQX379" s="10"/>
      <c r="PQY379" s="10"/>
      <c r="PQZ379" s="21"/>
      <c r="PRA379" s="21"/>
      <c r="PRD379" s="21"/>
      <c r="PRE379" s="15"/>
      <c r="PRF379" s="15"/>
      <c r="PRG379" s="15"/>
      <c r="PRH379" s="15"/>
      <c r="PRI379" s="15"/>
      <c r="PRJ379" s="15"/>
      <c r="PRK379" s="15"/>
      <c r="PRL379" s="15"/>
      <c r="PRM379" s="15"/>
      <c r="PRN379" s="15"/>
      <c r="PRO379" s="10"/>
      <c r="PRP379" s="10"/>
      <c r="PRQ379" s="21"/>
      <c r="PRR379" s="21"/>
      <c r="PRU379" s="21"/>
      <c r="PRV379" s="15"/>
      <c r="PRW379" s="15"/>
      <c r="PRX379" s="15"/>
      <c r="PRY379" s="15"/>
      <c r="PRZ379" s="15"/>
      <c r="PSA379" s="15"/>
      <c r="PSB379" s="15"/>
      <c r="PSC379" s="15"/>
      <c r="PSD379" s="15"/>
      <c r="PSE379" s="15"/>
      <c r="PSF379" s="10"/>
      <c r="PSG379" s="10"/>
      <c r="PSH379" s="21"/>
      <c r="PSI379" s="21"/>
      <c r="PSL379" s="21"/>
      <c r="PSM379" s="15"/>
      <c r="PSN379" s="15"/>
      <c r="PSO379" s="15"/>
      <c r="PSP379" s="15"/>
      <c r="PSQ379" s="15"/>
      <c r="PSR379" s="15"/>
      <c r="PSS379" s="15"/>
      <c r="PST379" s="15"/>
      <c r="PSU379" s="15"/>
      <c r="PSV379" s="15"/>
      <c r="PSW379" s="10"/>
      <c r="PSX379" s="10"/>
      <c r="PSY379" s="21"/>
      <c r="PSZ379" s="21"/>
      <c r="PTC379" s="21"/>
      <c r="PTD379" s="15"/>
      <c r="PTE379" s="15"/>
      <c r="PTF379" s="15"/>
      <c r="PTG379" s="15"/>
      <c r="PTH379" s="15"/>
      <c r="PTI379" s="15"/>
      <c r="PTJ379" s="15"/>
      <c r="PTK379" s="15"/>
      <c r="PTL379" s="15"/>
      <c r="PTM379" s="15"/>
      <c r="PTN379" s="10"/>
      <c r="PTO379" s="10"/>
      <c r="PTP379" s="21"/>
      <c r="PTQ379" s="21"/>
      <c r="PTT379" s="21"/>
      <c r="PTU379" s="15"/>
      <c r="PTV379" s="15"/>
      <c r="PTW379" s="15"/>
      <c r="PTX379" s="15"/>
      <c r="PTY379" s="15"/>
      <c r="PTZ379" s="15"/>
      <c r="PUA379" s="15"/>
      <c r="PUB379" s="15"/>
      <c r="PUC379" s="15"/>
      <c r="PUD379" s="15"/>
      <c r="PUE379" s="10"/>
      <c r="PUF379" s="10"/>
      <c r="PUG379" s="21"/>
      <c r="PUH379" s="21"/>
      <c r="PUK379" s="21"/>
      <c r="PUL379" s="15"/>
      <c r="PUM379" s="15"/>
      <c r="PUN379" s="15"/>
      <c r="PUO379" s="15"/>
      <c r="PUP379" s="15"/>
      <c r="PUQ379" s="15"/>
      <c r="PUR379" s="15"/>
      <c r="PUS379" s="15"/>
      <c r="PUT379" s="15"/>
      <c r="PUU379" s="15"/>
      <c r="PUV379" s="10"/>
      <c r="PUW379" s="10"/>
      <c r="PUX379" s="21"/>
      <c r="PUY379" s="21"/>
      <c r="PVB379" s="21"/>
      <c r="PVC379" s="15"/>
      <c r="PVD379" s="15"/>
      <c r="PVE379" s="15"/>
      <c r="PVF379" s="15"/>
      <c r="PVG379" s="15"/>
      <c r="PVH379" s="15"/>
      <c r="PVI379" s="15"/>
      <c r="PVJ379" s="15"/>
      <c r="PVK379" s="15"/>
      <c r="PVL379" s="15"/>
      <c r="PVM379" s="10"/>
      <c r="PVN379" s="10"/>
      <c r="PVO379" s="21"/>
      <c r="PVP379" s="21"/>
      <c r="PVS379" s="21"/>
      <c r="PVT379" s="15"/>
      <c r="PVU379" s="15"/>
      <c r="PVV379" s="15"/>
      <c r="PVW379" s="15"/>
      <c r="PVX379" s="15"/>
      <c r="PVY379" s="15"/>
      <c r="PVZ379" s="15"/>
      <c r="PWA379" s="15"/>
      <c r="PWB379" s="15"/>
      <c r="PWC379" s="15"/>
      <c r="PWD379" s="10"/>
      <c r="PWE379" s="10"/>
      <c r="PWF379" s="21"/>
      <c r="PWG379" s="21"/>
      <c r="PWJ379" s="21"/>
      <c r="PWK379" s="15"/>
      <c r="PWL379" s="15"/>
      <c r="PWM379" s="15"/>
      <c r="PWN379" s="15"/>
      <c r="PWO379" s="15"/>
      <c r="PWP379" s="15"/>
      <c r="PWQ379" s="15"/>
      <c r="PWR379" s="15"/>
      <c r="PWS379" s="15"/>
      <c r="PWT379" s="15"/>
      <c r="PWU379" s="10"/>
      <c r="PWV379" s="10"/>
      <c r="PWW379" s="21"/>
      <c r="PWX379" s="21"/>
      <c r="PXA379" s="21"/>
      <c r="PXB379" s="15"/>
      <c r="PXC379" s="15"/>
      <c r="PXD379" s="15"/>
      <c r="PXE379" s="15"/>
      <c r="PXF379" s="15"/>
      <c r="PXG379" s="15"/>
      <c r="PXH379" s="15"/>
      <c r="PXI379" s="15"/>
      <c r="PXJ379" s="15"/>
      <c r="PXK379" s="15"/>
      <c r="PXL379" s="10"/>
      <c r="PXM379" s="10"/>
      <c r="PXN379" s="21"/>
      <c r="PXO379" s="21"/>
      <c r="PXR379" s="21"/>
      <c r="PXS379" s="15"/>
      <c r="PXT379" s="15"/>
      <c r="PXU379" s="15"/>
      <c r="PXV379" s="15"/>
      <c r="PXW379" s="15"/>
      <c r="PXX379" s="15"/>
      <c r="PXY379" s="15"/>
      <c r="PXZ379" s="15"/>
      <c r="PYA379" s="15"/>
      <c r="PYB379" s="15"/>
      <c r="PYC379" s="10"/>
      <c r="PYD379" s="10"/>
      <c r="PYE379" s="21"/>
      <c r="PYF379" s="21"/>
      <c r="PYI379" s="21"/>
      <c r="PYJ379" s="15"/>
      <c r="PYK379" s="15"/>
      <c r="PYL379" s="15"/>
      <c r="PYM379" s="15"/>
      <c r="PYN379" s="15"/>
      <c r="PYO379" s="15"/>
      <c r="PYP379" s="15"/>
      <c r="PYQ379" s="15"/>
      <c r="PYR379" s="15"/>
      <c r="PYS379" s="15"/>
      <c r="PYT379" s="10"/>
      <c r="PYU379" s="10"/>
      <c r="PYV379" s="21"/>
      <c r="PYW379" s="21"/>
      <c r="PYZ379" s="21"/>
      <c r="PZA379" s="15"/>
      <c r="PZB379" s="15"/>
      <c r="PZC379" s="15"/>
      <c r="PZD379" s="15"/>
      <c r="PZE379" s="15"/>
      <c r="PZF379" s="15"/>
      <c r="PZG379" s="15"/>
      <c r="PZH379" s="15"/>
      <c r="PZI379" s="15"/>
      <c r="PZJ379" s="15"/>
      <c r="PZK379" s="10"/>
      <c r="PZL379" s="10"/>
      <c r="PZM379" s="21"/>
      <c r="PZN379" s="21"/>
      <c r="PZQ379" s="21"/>
      <c r="PZR379" s="15"/>
      <c r="PZS379" s="15"/>
      <c r="PZT379" s="15"/>
      <c r="PZU379" s="15"/>
      <c r="PZV379" s="15"/>
      <c r="PZW379" s="15"/>
      <c r="PZX379" s="15"/>
      <c r="PZY379" s="15"/>
      <c r="PZZ379" s="15"/>
      <c r="QAA379" s="15"/>
      <c r="QAB379" s="10"/>
      <c r="QAC379" s="10"/>
      <c r="QAD379" s="21"/>
      <c r="QAE379" s="21"/>
      <c r="QAH379" s="21"/>
      <c r="QAI379" s="15"/>
      <c r="QAJ379" s="15"/>
      <c r="QAK379" s="15"/>
      <c r="QAL379" s="15"/>
      <c r="QAM379" s="15"/>
      <c r="QAN379" s="15"/>
      <c r="QAO379" s="15"/>
      <c r="QAP379" s="15"/>
      <c r="QAQ379" s="15"/>
      <c r="QAR379" s="15"/>
      <c r="QAS379" s="10"/>
      <c r="QAT379" s="10"/>
      <c r="QAU379" s="21"/>
      <c r="QAV379" s="21"/>
      <c r="QAY379" s="21"/>
      <c r="QAZ379" s="15"/>
      <c r="QBA379" s="15"/>
      <c r="QBB379" s="15"/>
      <c r="QBC379" s="15"/>
      <c r="QBD379" s="15"/>
      <c r="QBE379" s="15"/>
      <c r="QBF379" s="15"/>
      <c r="QBG379" s="15"/>
      <c r="QBH379" s="15"/>
      <c r="QBI379" s="15"/>
      <c r="QBJ379" s="10"/>
      <c r="QBK379" s="10"/>
      <c r="QBL379" s="21"/>
      <c r="QBM379" s="21"/>
      <c r="QBP379" s="21"/>
      <c r="QBQ379" s="15"/>
      <c r="QBR379" s="15"/>
      <c r="QBS379" s="15"/>
      <c r="QBT379" s="15"/>
      <c r="QBU379" s="15"/>
      <c r="QBV379" s="15"/>
      <c r="QBW379" s="15"/>
      <c r="QBX379" s="15"/>
      <c r="QBY379" s="15"/>
      <c r="QBZ379" s="15"/>
      <c r="QCA379" s="10"/>
      <c r="QCB379" s="10"/>
      <c r="QCC379" s="21"/>
      <c r="QCD379" s="21"/>
      <c r="QCG379" s="21"/>
      <c r="QCH379" s="15"/>
      <c r="QCI379" s="15"/>
      <c r="QCJ379" s="15"/>
      <c r="QCK379" s="15"/>
      <c r="QCL379" s="15"/>
      <c r="QCM379" s="15"/>
      <c r="QCN379" s="15"/>
      <c r="QCO379" s="15"/>
      <c r="QCP379" s="15"/>
      <c r="QCQ379" s="15"/>
      <c r="QCR379" s="10"/>
      <c r="QCS379" s="10"/>
      <c r="QCT379" s="21"/>
      <c r="QCU379" s="21"/>
      <c r="QCX379" s="21"/>
      <c r="QCY379" s="15"/>
      <c r="QCZ379" s="15"/>
      <c r="QDA379" s="15"/>
      <c r="QDB379" s="15"/>
      <c r="QDC379" s="15"/>
      <c r="QDD379" s="15"/>
      <c r="QDE379" s="15"/>
      <c r="QDF379" s="15"/>
      <c r="QDG379" s="15"/>
      <c r="QDH379" s="15"/>
      <c r="QDI379" s="10"/>
      <c r="QDJ379" s="10"/>
      <c r="QDK379" s="21"/>
      <c r="QDL379" s="21"/>
      <c r="QDO379" s="21"/>
      <c r="QDP379" s="15"/>
      <c r="QDQ379" s="15"/>
      <c r="QDR379" s="15"/>
      <c r="QDS379" s="15"/>
      <c r="QDT379" s="15"/>
      <c r="QDU379" s="15"/>
      <c r="QDV379" s="15"/>
      <c r="QDW379" s="15"/>
      <c r="QDX379" s="15"/>
      <c r="QDY379" s="15"/>
      <c r="QDZ379" s="10"/>
      <c r="QEA379" s="10"/>
      <c r="QEB379" s="21"/>
      <c r="QEC379" s="21"/>
      <c r="QEF379" s="21"/>
      <c r="QEG379" s="15"/>
      <c r="QEH379" s="15"/>
      <c r="QEI379" s="15"/>
      <c r="QEJ379" s="15"/>
      <c r="QEK379" s="15"/>
      <c r="QEL379" s="15"/>
      <c r="QEM379" s="15"/>
      <c r="QEN379" s="15"/>
      <c r="QEO379" s="15"/>
      <c r="QEP379" s="15"/>
      <c r="QEQ379" s="10"/>
      <c r="QER379" s="10"/>
      <c r="QES379" s="21"/>
      <c r="QET379" s="21"/>
      <c r="QEW379" s="21"/>
      <c r="QEX379" s="15"/>
      <c r="QEY379" s="15"/>
      <c r="QEZ379" s="15"/>
      <c r="QFA379" s="15"/>
      <c r="QFB379" s="15"/>
      <c r="QFC379" s="15"/>
      <c r="QFD379" s="15"/>
      <c r="QFE379" s="15"/>
      <c r="QFF379" s="15"/>
      <c r="QFG379" s="15"/>
      <c r="QFH379" s="10"/>
      <c r="QFI379" s="10"/>
      <c r="QFJ379" s="21"/>
      <c r="QFK379" s="21"/>
      <c r="QFN379" s="21"/>
      <c r="QFO379" s="15"/>
      <c r="QFP379" s="15"/>
      <c r="QFQ379" s="15"/>
      <c r="QFR379" s="15"/>
      <c r="QFS379" s="15"/>
      <c r="QFT379" s="15"/>
      <c r="QFU379" s="15"/>
      <c r="QFV379" s="15"/>
      <c r="QFW379" s="15"/>
      <c r="QFX379" s="15"/>
      <c r="QFY379" s="10"/>
      <c r="QFZ379" s="10"/>
      <c r="QGA379" s="21"/>
      <c r="QGB379" s="21"/>
      <c r="QGE379" s="21"/>
      <c r="QGF379" s="15"/>
      <c r="QGG379" s="15"/>
      <c r="QGH379" s="15"/>
      <c r="QGI379" s="15"/>
      <c r="QGJ379" s="15"/>
      <c r="QGK379" s="15"/>
      <c r="QGL379" s="15"/>
      <c r="QGM379" s="15"/>
      <c r="QGN379" s="15"/>
      <c r="QGO379" s="15"/>
      <c r="QGP379" s="10"/>
      <c r="QGQ379" s="10"/>
      <c r="QGR379" s="21"/>
      <c r="QGS379" s="21"/>
      <c r="QGV379" s="21"/>
      <c r="QGW379" s="15"/>
      <c r="QGX379" s="15"/>
      <c r="QGY379" s="15"/>
      <c r="QGZ379" s="15"/>
      <c r="QHA379" s="15"/>
      <c r="QHB379" s="15"/>
      <c r="QHC379" s="15"/>
      <c r="QHD379" s="15"/>
      <c r="QHE379" s="15"/>
      <c r="QHF379" s="15"/>
      <c r="QHG379" s="10"/>
      <c r="QHH379" s="10"/>
      <c r="QHI379" s="21"/>
      <c r="QHJ379" s="21"/>
      <c r="QHM379" s="21"/>
      <c r="QHN379" s="15"/>
      <c r="QHO379" s="15"/>
      <c r="QHP379" s="15"/>
      <c r="QHQ379" s="15"/>
      <c r="QHR379" s="15"/>
      <c r="QHS379" s="15"/>
      <c r="QHT379" s="15"/>
      <c r="QHU379" s="15"/>
      <c r="QHV379" s="15"/>
      <c r="QHW379" s="15"/>
      <c r="QHX379" s="10"/>
      <c r="QHY379" s="10"/>
      <c r="QHZ379" s="21"/>
      <c r="QIA379" s="21"/>
      <c r="QID379" s="21"/>
      <c r="QIE379" s="15"/>
      <c r="QIF379" s="15"/>
      <c r="QIG379" s="15"/>
      <c r="QIH379" s="15"/>
      <c r="QII379" s="15"/>
      <c r="QIJ379" s="15"/>
      <c r="QIK379" s="15"/>
      <c r="QIL379" s="15"/>
      <c r="QIM379" s="15"/>
      <c r="QIN379" s="15"/>
      <c r="QIO379" s="10"/>
      <c r="QIP379" s="10"/>
      <c r="QIQ379" s="21"/>
      <c r="QIR379" s="21"/>
      <c r="QIU379" s="21"/>
      <c r="QIV379" s="15"/>
      <c r="QIW379" s="15"/>
      <c r="QIX379" s="15"/>
      <c r="QIY379" s="15"/>
      <c r="QIZ379" s="15"/>
      <c r="QJA379" s="15"/>
      <c r="QJB379" s="15"/>
      <c r="QJC379" s="15"/>
      <c r="QJD379" s="15"/>
      <c r="QJE379" s="15"/>
      <c r="QJF379" s="10"/>
      <c r="QJG379" s="10"/>
      <c r="QJH379" s="21"/>
      <c r="QJI379" s="21"/>
      <c r="QJL379" s="21"/>
      <c r="QJM379" s="15"/>
      <c r="QJN379" s="15"/>
      <c r="QJO379" s="15"/>
      <c r="QJP379" s="15"/>
      <c r="QJQ379" s="15"/>
      <c r="QJR379" s="15"/>
      <c r="QJS379" s="15"/>
      <c r="QJT379" s="15"/>
      <c r="QJU379" s="15"/>
      <c r="QJV379" s="15"/>
      <c r="QJW379" s="10"/>
      <c r="QJX379" s="10"/>
      <c r="QJY379" s="21"/>
      <c r="QJZ379" s="21"/>
      <c r="QKC379" s="21"/>
      <c r="QKD379" s="15"/>
      <c r="QKE379" s="15"/>
      <c r="QKF379" s="15"/>
      <c r="QKG379" s="15"/>
      <c r="QKH379" s="15"/>
      <c r="QKI379" s="15"/>
      <c r="QKJ379" s="15"/>
      <c r="QKK379" s="15"/>
      <c r="QKL379" s="15"/>
      <c r="QKM379" s="15"/>
      <c r="QKN379" s="10"/>
      <c r="QKO379" s="10"/>
      <c r="QKP379" s="21"/>
      <c r="QKQ379" s="21"/>
      <c r="QKT379" s="21"/>
      <c r="QKU379" s="15"/>
      <c r="QKV379" s="15"/>
      <c r="QKW379" s="15"/>
      <c r="QKX379" s="15"/>
      <c r="QKY379" s="15"/>
      <c r="QKZ379" s="15"/>
      <c r="QLA379" s="15"/>
      <c r="QLB379" s="15"/>
      <c r="QLC379" s="15"/>
      <c r="QLD379" s="15"/>
      <c r="QLE379" s="10"/>
      <c r="QLF379" s="10"/>
      <c r="QLG379" s="21"/>
      <c r="QLH379" s="21"/>
      <c r="QLK379" s="21"/>
      <c r="QLL379" s="15"/>
      <c r="QLM379" s="15"/>
      <c r="QLN379" s="15"/>
      <c r="QLO379" s="15"/>
      <c r="QLP379" s="15"/>
      <c r="QLQ379" s="15"/>
      <c r="QLR379" s="15"/>
      <c r="QLS379" s="15"/>
      <c r="QLT379" s="15"/>
      <c r="QLU379" s="15"/>
      <c r="QLV379" s="10"/>
      <c r="QLW379" s="10"/>
      <c r="QLX379" s="21"/>
      <c r="QLY379" s="21"/>
      <c r="QMB379" s="21"/>
      <c r="QMC379" s="15"/>
      <c r="QMD379" s="15"/>
      <c r="QME379" s="15"/>
      <c r="QMF379" s="15"/>
      <c r="QMG379" s="15"/>
      <c r="QMH379" s="15"/>
      <c r="QMI379" s="15"/>
      <c r="QMJ379" s="15"/>
      <c r="QMK379" s="15"/>
      <c r="QML379" s="15"/>
      <c r="QMM379" s="10"/>
      <c r="QMN379" s="10"/>
      <c r="QMO379" s="21"/>
      <c r="QMP379" s="21"/>
      <c r="QMS379" s="21"/>
      <c r="QMT379" s="15"/>
      <c r="QMU379" s="15"/>
      <c r="QMV379" s="15"/>
      <c r="QMW379" s="15"/>
      <c r="QMX379" s="15"/>
      <c r="QMY379" s="15"/>
      <c r="QMZ379" s="15"/>
      <c r="QNA379" s="15"/>
      <c r="QNB379" s="15"/>
      <c r="QNC379" s="15"/>
      <c r="QND379" s="10"/>
      <c r="QNE379" s="10"/>
      <c r="QNF379" s="21"/>
      <c r="QNG379" s="21"/>
      <c r="QNJ379" s="21"/>
      <c r="QNK379" s="15"/>
      <c r="QNL379" s="15"/>
      <c r="QNM379" s="15"/>
      <c r="QNN379" s="15"/>
      <c r="QNO379" s="15"/>
      <c r="QNP379" s="15"/>
      <c r="QNQ379" s="15"/>
      <c r="QNR379" s="15"/>
      <c r="QNS379" s="15"/>
      <c r="QNT379" s="15"/>
      <c r="QNU379" s="10"/>
      <c r="QNV379" s="10"/>
      <c r="QNW379" s="21"/>
      <c r="QNX379" s="21"/>
      <c r="QOA379" s="21"/>
      <c r="QOB379" s="15"/>
      <c r="QOC379" s="15"/>
      <c r="QOD379" s="15"/>
      <c r="QOE379" s="15"/>
      <c r="QOF379" s="15"/>
      <c r="QOG379" s="15"/>
      <c r="QOH379" s="15"/>
      <c r="QOI379" s="15"/>
      <c r="QOJ379" s="15"/>
      <c r="QOK379" s="15"/>
      <c r="QOL379" s="10"/>
      <c r="QOM379" s="10"/>
      <c r="QON379" s="21"/>
      <c r="QOO379" s="21"/>
      <c r="QOR379" s="21"/>
      <c r="QOS379" s="15"/>
      <c r="QOT379" s="15"/>
      <c r="QOU379" s="15"/>
      <c r="QOV379" s="15"/>
      <c r="QOW379" s="15"/>
      <c r="QOX379" s="15"/>
      <c r="QOY379" s="15"/>
      <c r="QOZ379" s="15"/>
      <c r="QPA379" s="15"/>
      <c r="QPB379" s="15"/>
      <c r="QPC379" s="10"/>
      <c r="QPD379" s="10"/>
      <c r="QPE379" s="21"/>
      <c r="QPF379" s="21"/>
      <c r="QPI379" s="21"/>
      <c r="QPJ379" s="15"/>
      <c r="QPK379" s="15"/>
      <c r="QPL379" s="15"/>
      <c r="QPM379" s="15"/>
      <c r="QPN379" s="15"/>
      <c r="QPO379" s="15"/>
      <c r="QPP379" s="15"/>
      <c r="QPQ379" s="15"/>
      <c r="QPR379" s="15"/>
      <c r="QPS379" s="15"/>
      <c r="QPT379" s="10"/>
      <c r="QPU379" s="10"/>
      <c r="QPV379" s="21"/>
      <c r="QPW379" s="21"/>
      <c r="QPZ379" s="21"/>
      <c r="QQA379" s="15"/>
      <c r="QQB379" s="15"/>
      <c r="QQC379" s="15"/>
      <c r="QQD379" s="15"/>
      <c r="QQE379" s="15"/>
      <c r="QQF379" s="15"/>
      <c r="QQG379" s="15"/>
      <c r="QQH379" s="15"/>
      <c r="QQI379" s="15"/>
      <c r="QQJ379" s="15"/>
      <c r="QQK379" s="10"/>
      <c r="QQL379" s="10"/>
      <c r="QQM379" s="21"/>
      <c r="QQN379" s="21"/>
      <c r="QQQ379" s="21"/>
      <c r="QQR379" s="15"/>
      <c r="QQS379" s="15"/>
      <c r="QQT379" s="15"/>
      <c r="QQU379" s="15"/>
      <c r="QQV379" s="15"/>
      <c r="QQW379" s="15"/>
      <c r="QQX379" s="15"/>
      <c r="QQY379" s="15"/>
      <c r="QQZ379" s="15"/>
      <c r="QRA379" s="15"/>
      <c r="QRB379" s="10"/>
      <c r="QRC379" s="10"/>
      <c r="QRD379" s="21"/>
      <c r="QRE379" s="21"/>
      <c r="QRH379" s="21"/>
      <c r="QRI379" s="15"/>
      <c r="QRJ379" s="15"/>
      <c r="QRK379" s="15"/>
      <c r="QRL379" s="15"/>
      <c r="QRM379" s="15"/>
      <c r="QRN379" s="15"/>
      <c r="QRO379" s="15"/>
      <c r="QRP379" s="15"/>
      <c r="QRQ379" s="15"/>
      <c r="QRR379" s="15"/>
      <c r="QRS379" s="10"/>
      <c r="QRT379" s="10"/>
      <c r="QRU379" s="21"/>
      <c r="QRV379" s="21"/>
      <c r="QRY379" s="21"/>
      <c r="QRZ379" s="15"/>
      <c r="QSA379" s="15"/>
      <c r="QSB379" s="15"/>
      <c r="QSC379" s="15"/>
      <c r="QSD379" s="15"/>
      <c r="QSE379" s="15"/>
      <c r="QSF379" s="15"/>
      <c r="QSG379" s="15"/>
      <c r="QSH379" s="15"/>
      <c r="QSI379" s="15"/>
      <c r="QSJ379" s="10"/>
      <c r="QSK379" s="10"/>
      <c r="QSL379" s="21"/>
      <c r="QSM379" s="21"/>
      <c r="QSP379" s="21"/>
      <c r="QSQ379" s="15"/>
      <c r="QSR379" s="15"/>
      <c r="QSS379" s="15"/>
      <c r="QST379" s="15"/>
      <c r="QSU379" s="15"/>
      <c r="QSV379" s="15"/>
      <c r="QSW379" s="15"/>
      <c r="QSX379" s="15"/>
      <c r="QSY379" s="15"/>
      <c r="QSZ379" s="15"/>
      <c r="QTA379" s="10"/>
      <c r="QTB379" s="10"/>
      <c r="QTC379" s="21"/>
      <c r="QTD379" s="21"/>
      <c r="QTG379" s="21"/>
      <c r="QTH379" s="15"/>
      <c r="QTI379" s="15"/>
      <c r="QTJ379" s="15"/>
      <c r="QTK379" s="15"/>
      <c r="QTL379" s="15"/>
      <c r="QTM379" s="15"/>
      <c r="QTN379" s="15"/>
      <c r="QTO379" s="15"/>
      <c r="QTP379" s="15"/>
      <c r="QTQ379" s="15"/>
      <c r="QTR379" s="10"/>
      <c r="QTS379" s="10"/>
      <c r="QTT379" s="21"/>
      <c r="QTU379" s="21"/>
      <c r="QTX379" s="21"/>
      <c r="QTY379" s="15"/>
      <c r="QTZ379" s="15"/>
      <c r="QUA379" s="15"/>
      <c r="QUB379" s="15"/>
      <c r="QUC379" s="15"/>
      <c r="QUD379" s="15"/>
      <c r="QUE379" s="15"/>
      <c r="QUF379" s="15"/>
      <c r="QUG379" s="15"/>
      <c r="QUH379" s="15"/>
      <c r="QUI379" s="10"/>
      <c r="QUJ379" s="10"/>
      <c r="QUK379" s="21"/>
      <c r="QUL379" s="21"/>
      <c r="QUO379" s="21"/>
      <c r="QUP379" s="15"/>
      <c r="QUQ379" s="15"/>
      <c r="QUR379" s="15"/>
      <c r="QUS379" s="15"/>
      <c r="QUT379" s="15"/>
      <c r="QUU379" s="15"/>
      <c r="QUV379" s="15"/>
      <c r="QUW379" s="15"/>
      <c r="QUX379" s="15"/>
      <c r="QUY379" s="15"/>
      <c r="QUZ379" s="10"/>
      <c r="QVA379" s="10"/>
      <c r="QVB379" s="21"/>
      <c r="QVC379" s="21"/>
      <c r="QVF379" s="21"/>
      <c r="QVG379" s="15"/>
      <c r="QVH379" s="15"/>
      <c r="QVI379" s="15"/>
      <c r="QVJ379" s="15"/>
      <c r="QVK379" s="15"/>
      <c r="QVL379" s="15"/>
      <c r="QVM379" s="15"/>
      <c r="QVN379" s="15"/>
      <c r="QVO379" s="15"/>
      <c r="QVP379" s="15"/>
      <c r="QVQ379" s="10"/>
      <c r="QVR379" s="10"/>
      <c r="QVS379" s="21"/>
      <c r="QVT379" s="21"/>
      <c r="QVW379" s="21"/>
      <c r="QVX379" s="15"/>
      <c r="QVY379" s="15"/>
      <c r="QVZ379" s="15"/>
      <c r="QWA379" s="15"/>
      <c r="QWB379" s="15"/>
      <c r="QWC379" s="15"/>
      <c r="QWD379" s="15"/>
      <c r="QWE379" s="15"/>
      <c r="QWF379" s="15"/>
      <c r="QWG379" s="15"/>
      <c r="QWH379" s="10"/>
      <c r="QWI379" s="10"/>
      <c r="QWJ379" s="21"/>
      <c r="QWK379" s="21"/>
      <c r="QWN379" s="21"/>
      <c r="QWO379" s="15"/>
      <c r="QWP379" s="15"/>
      <c r="QWQ379" s="15"/>
      <c r="QWR379" s="15"/>
      <c r="QWS379" s="15"/>
      <c r="QWT379" s="15"/>
      <c r="QWU379" s="15"/>
      <c r="QWV379" s="15"/>
      <c r="QWW379" s="15"/>
      <c r="QWX379" s="15"/>
      <c r="QWY379" s="10"/>
      <c r="QWZ379" s="10"/>
      <c r="QXA379" s="21"/>
      <c r="QXB379" s="21"/>
      <c r="QXE379" s="21"/>
      <c r="QXF379" s="15"/>
      <c r="QXG379" s="15"/>
      <c r="QXH379" s="15"/>
      <c r="QXI379" s="15"/>
      <c r="QXJ379" s="15"/>
      <c r="QXK379" s="15"/>
      <c r="QXL379" s="15"/>
      <c r="QXM379" s="15"/>
      <c r="QXN379" s="15"/>
      <c r="QXO379" s="15"/>
      <c r="QXP379" s="10"/>
      <c r="QXQ379" s="10"/>
      <c r="QXR379" s="21"/>
      <c r="QXS379" s="21"/>
      <c r="QXV379" s="21"/>
      <c r="QXW379" s="15"/>
      <c r="QXX379" s="15"/>
      <c r="QXY379" s="15"/>
      <c r="QXZ379" s="15"/>
      <c r="QYA379" s="15"/>
      <c r="QYB379" s="15"/>
      <c r="QYC379" s="15"/>
      <c r="QYD379" s="15"/>
      <c r="QYE379" s="15"/>
      <c r="QYF379" s="15"/>
      <c r="QYG379" s="10"/>
      <c r="QYH379" s="10"/>
      <c r="QYI379" s="21"/>
      <c r="QYJ379" s="21"/>
      <c r="QYM379" s="21"/>
      <c r="QYN379" s="15"/>
      <c r="QYO379" s="15"/>
      <c r="QYP379" s="15"/>
      <c r="QYQ379" s="15"/>
      <c r="QYR379" s="15"/>
      <c r="QYS379" s="15"/>
      <c r="QYT379" s="15"/>
      <c r="QYU379" s="15"/>
      <c r="QYV379" s="15"/>
      <c r="QYW379" s="15"/>
      <c r="QYX379" s="10"/>
      <c r="QYY379" s="10"/>
      <c r="QYZ379" s="21"/>
      <c r="QZA379" s="21"/>
      <c r="QZD379" s="21"/>
      <c r="QZE379" s="15"/>
      <c r="QZF379" s="15"/>
      <c r="QZG379" s="15"/>
      <c r="QZH379" s="15"/>
      <c r="QZI379" s="15"/>
      <c r="QZJ379" s="15"/>
      <c r="QZK379" s="15"/>
      <c r="QZL379" s="15"/>
      <c r="QZM379" s="15"/>
      <c r="QZN379" s="15"/>
      <c r="QZO379" s="10"/>
      <c r="QZP379" s="10"/>
      <c r="QZQ379" s="21"/>
      <c r="QZR379" s="21"/>
      <c r="QZU379" s="21"/>
      <c r="QZV379" s="15"/>
      <c r="QZW379" s="15"/>
      <c r="QZX379" s="15"/>
      <c r="QZY379" s="15"/>
      <c r="QZZ379" s="15"/>
      <c r="RAA379" s="15"/>
      <c r="RAB379" s="15"/>
      <c r="RAC379" s="15"/>
      <c r="RAD379" s="15"/>
      <c r="RAE379" s="15"/>
      <c r="RAF379" s="10"/>
      <c r="RAG379" s="10"/>
      <c r="RAH379" s="21"/>
      <c r="RAI379" s="21"/>
      <c r="RAL379" s="21"/>
      <c r="RAM379" s="15"/>
      <c r="RAN379" s="15"/>
      <c r="RAO379" s="15"/>
      <c r="RAP379" s="15"/>
      <c r="RAQ379" s="15"/>
      <c r="RAR379" s="15"/>
      <c r="RAS379" s="15"/>
      <c r="RAT379" s="15"/>
      <c r="RAU379" s="15"/>
      <c r="RAV379" s="15"/>
      <c r="RAW379" s="10"/>
      <c r="RAX379" s="10"/>
      <c r="RAY379" s="21"/>
      <c r="RAZ379" s="21"/>
      <c r="RBC379" s="21"/>
      <c r="RBD379" s="15"/>
      <c r="RBE379" s="15"/>
      <c r="RBF379" s="15"/>
      <c r="RBG379" s="15"/>
      <c r="RBH379" s="15"/>
      <c r="RBI379" s="15"/>
      <c r="RBJ379" s="15"/>
      <c r="RBK379" s="15"/>
      <c r="RBL379" s="15"/>
      <c r="RBM379" s="15"/>
      <c r="RBN379" s="10"/>
      <c r="RBO379" s="10"/>
      <c r="RBP379" s="21"/>
      <c r="RBQ379" s="21"/>
      <c r="RBT379" s="21"/>
      <c r="RBU379" s="15"/>
      <c r="RBV379" s="15"/>
      <c r="RBW379" s="15"/>
      <c r="RBX379" s="15"/>
      <c r="RBY379" s="15"/>
      <c r="RBZ379" s="15"/>
      <c r="RCA379" s="15"/>
      <c r="RCB379" s="15"/>
      <c r="RCC379" s="15"/>
      <c r="RCD379" s="15"/>
      <c r="RCE379" s="10"/>
      <c r="RCF379" s="10"/>
      <c r="RCG379" s="21"/>
      <c r="RCH379" s="21"/>
      <c r="RCK379" s="21"/>
      <c r="RCL379" s="15"/>
      <c r="RCM379" s="15"/>
      <c r="RCN379" s="15"/>
      <c r="RCO379" s="15"/>
      <c r="RCP379" s="15"/>
      <c r="RCQ379" s="15"/>
      <c r="RCR379" s="15"/>
      <c r="RCS379" s="15"/>
      <c r="RCT379" s="15"/>
      <c r="RCU379" s="15"/>
      <c r="RCV379" s="10"/>
      <c r="RCW379" s="10"/>
      <c r="RCX379" s="21"/>
      <c r="RCY379" s="21"/>
      <c r="RDB379" s="21"/>
      <c r="RDC379" s="15"/>
      <c r="RDD379" s="15"/>
      <c r="RDE379" s="15"/>
      <c r="RDF379" s="15"/>
      <c r="RDG379" s="15"/>
      <c r="RDH379" s="15"/>
      <c r="RDI379" s="15"/>
      <c r="RDJ379" s="15"/>
      <c r="RDK379" s="15"/>
      <c r="RDL379" s="15"/>
      <c r="RDM379" s="10"/>
      <c r="RDN379" s="10"/>
      <c r="RDO379" s="21"/>
      <c r="RDP379" s="21"/>
      <c r="RDS379" s="21"/>
      <c r="RDT379" s="15"/>
      <c r="RDU379" s="15"/>
      <c r="RDV379" s="15"/>
      <c r="RDW379" s="15"/>
      <c r="RDX379" s="15"/>
      <c r="RDY379" s="15"/>
      <c r="RDZ379" s="15"/>
      <c r="REA379" s="15"/>
      <c r="REB379" s="15"/>
      <c r="REC379" s="15"/>
      <c r="RED379" s="10"/>
      <c r="REE379" s="10"/>
      <c r="REF379" s="21"/>
      <c r="REG379" s="21"/>
      <c r="REJ379" s="21"/>
      <c r="REK379" s="15"/>
      <c r="REL379" s="15"/>
      <c r="REM379" s="15"/>
      <c r="REN379" s="15"/>
      <c r="REO379" s="15"/>
      <c r="REP379" s="15"/>
      <c r="REQ379" s="15"/>
      <c r="RER379" s="15"/>
      <c r="RES379" s="15"/>
      <c r="RET379" s="15"/>
      <c r="REU379" s="10"/>
      <c r="REV379" s="10"/>
      <c r="REW379" s="21"/>
      <c r="REX379" s="21"/>
      <c r="RFA379" s="21"/>
      <c r="RFB379" s="15"/>
      <c r="RFC379" s="15"/>
      <c r="RFD379" s="15"/>
      <c r="RFE379" s="15"/>
      <c r="RFF379" s="15"/>
      <c r="RFG379" s="15"/>
      <c r="RFH379" s="15"/>
      <c r="RFI379" s="15"/>
      <c r="RFJ379" s="15"/>
      <c r="RFK379" s="15"/>
      <c r="RFL379" s="10"/>
      <c r="RFM379" s="10"/>
      <c r="RFN379" s="21"/>
      <c r="RFO379" s="21"/>
      <c r="RFR379" s="21"/>
      <c r="RFS379" s="15"/>
      <c r="RFT379" s="15"/>
      <c r="RFU379" s="15"/>
      <c r="RFV379" s="15"/>
      <c r="RFW379" s="15"/>
      <c r="RFX379" s="15"/>
      <c r="RFY379" s="15"/>
      <c r="RFZ379" s="15"/>
      <c r="RGA379" s="15"/>
      <c r="RGB379" s="15"/>
      <c r="RGC379" s="10"/>
      <c r="RGD379" s="10"/>
      <c r="RGE379" s="21"/>
      <c r="RGF379" s="21"/>
      <c r="RGI379" s="21"/>
      <c r="RGJ379" s="15"/>
      <c r="RGK379" s="15"/>
      <c r="RGL379" s="15"/>
      <c r="RGM379" s="15"/>
      <c r="RGN379" s="15"/>
      <c r="RGO379" s="15"/>
      <c r="RGP379" s="15"/>
      <c r="RGQ379" s="15"/>
      <c r="RGR379" s="15"/>
      <c r="RGS379" s="15"/>
      <c r="RGT379" s="10"/>
      <c r="RGU379" s="10"/>
      <c r="RGV379" s="21"/>
      <c r="RGW379" s="21"/>
      <c r="RGZ379" s="21"/>
      <c r="RHA379" s="15"/>
      <c r="RHB379" s="15"/>
      <c r="RHC379" s="15"/>
      <c r="RHD379" s="15"/>
      <c r="RHE379" s="15"/>
      <c r="RHF379" s="15"/>
      <c r="RHG379" s="15"/>
      <c r="RHH379" s="15"/>
      <c r="RHI379" s="15"/>
      <c r="RHJ379" s="15"/>
      <c r="RHK379" s="10"/>
      <c r="RHL379" s="10"/>
      <c r="RHM379" s="21"/>
      <c r="RHN379" s="21"/>
      <c r="RHQ379" s="21"/>
      <c r="RHR379" s="15"/>
      <c r="RHS379" s="15"/>
      <c r="RHT379" s="15"/>
      <c r="RHU379" s="15"/>
      <c r="RHV379" s="15"/>
      <c r="RHW379" s="15"/>
      <c r="RHX379" s="15"/>
      <c r="RHY379" s="15"/>
      <c r="RHZ379" s="15"/>
      <c r="RIA379" s="15"/>
      <c r="RIB379" s="10"/>
      <c r="RIC379" s="10"/>
      <c r="RID379" s="21"/>
      <c r="RIE379" s="21"/>
      <c r="RIH379" s="21"/>
      <c r="RII379" s="15"/>
      <c r="RIJ379" s="15"/>
      <c r="RIK379" s="15"/>
      <c r="RIL379" s="15"/>
      <c r="RIM379" s="15"/>
      <c r="RIN379" s="15"/>
      <c r="RIO379" s="15"/>
      <c r="RIP379" s="15"/>
      <c r="RIQ379" s="15"/>
      <c r="RIR379" s="15"/>
      <c r="RIS379" s="10"/>
      <c r="RIT379" s="10"/>
      <c r="RIU379" s="21"/>
      <c r="RIV379" s="21"/>
      <c r="RIY379" s="21"/>
      <c r="RIZ379" s="15"/>
      <c r="RJA379" s="15"/>
      <c r="RJB379" s="15"/>
      <c r="RJC379" s="15"/>
      <c r="RJD379" s="15"/>
      <c r="RJE379" s="15"/>
      <c r="RJF379" s="15"/>
      <c r="RJG379" s="15"/>
      <c r="RJH379" s="15"/>
      <c r="RJI379" s="15"/>
      <c r="RJJ379" s="10"/>
      <c r="RJK379" s="10"/>
      <c r="RJL379" s="21"/>
      <c r="RJM379" s="21"/>
      <c r="RJP379" s="21"/>
      <c r="RJQ379" s="15"/>
      <c r="RJR379" s="15"/>
      <c r="RJS379" s="15"/>
      <c r="RJT379" s="15"/>
      <c r="RJU379" s="15"/>
      <c r="RJV379" s="15"/>
      <c r="RJW379" s="15"/>
      <c r="RJX379" s="15"/>
      <c r="RJY379" s="15"/>
      <c r="RJZ379" s="15"/>
      <c r="RKA379" s="10"/>
      <c r="RKB379" s="10"/>
      <c r="RKC379" s="21"/>
      <c r="RKD379" s="21"/>
      <c r="RKG379" s="21"/>
      <c r="RKH379" s="15"/>
      <c r="RKI379" s="15"/>
      <c r="RKJ379" s="15"/>
      <c r="RKK379" s="15"/>
      <c r="RKL379" s="15"/>
      <c r="RKM379" s="15"/>
      <c r="RKN379" s="15"/>
      <c r="RKO379" s="15"/>
      <c r="RKP379" s="15"/>
      <c r="RKQ379" s="15"/>
      <c r="RKR379" s="10"/>
      <c r="RKS379" s="10"/>
      <c r="RKT379" s="21"/>
      <c r="RKU379" s="21"/>
      <c r="RKX379" s="21"/>
      <c r="RKY379" s="15"/>
      <c r="RKZ379" s="15"/>
      <c r="RLA379" s="15"/>
      <c r="RLB379" s="15"/>
      <c r="RLC379" s="15"/>
      <c r="RLD379" s="15"/>
      <c r="RLE379" s="15"/>
      <c r="RLF379" s="15"/>
      <c r="RLG379" s="15"/>
      <c r="RLH379" s="15"/>
      <c r="RLI379" s="10"/>
      <c r="RLJ379" s="10"/>
      <c r="RLK379" s="21"/>
      <c r="RLL379" s="21"/>
      <c r="RLO379" s="21"/>
      <c r="RLP379" s="15"/>
      <c r="RLQ379" s="15"/>
      <c r="RLR379" s="15"/>
      <c r="RLS379" s="15"/>
      <c r="RLT379" s="15"/>
      <c r="RLU379" s="15"/>
      <c r="RLV379" s="15"/>
      <c r="RLW379" s="15"/>
      <c r="RLX379" s="15"/>
      <c r="RLY379" s="15"/>
      <c r="RLZ379" s="10"/>
      <c r="RMA379" s="10"/>
      <c r="RMB379" s="21"/>
      <c r="RMC379" s="21"/>
      <c r="RMF379" s="21"/>
      <c r="RMG379" s="15"/>
      <c r="RMH379" s="15"/>
      <c r="RMI379" s="15"/>
      <c r="RMJ379" s="15"/>
      <c r="RMK379" s="15"/>
      <c r="RML379" s="15"/>
      <c r="RMM379" s="15"/>
      <c r="RMN379" s="15"/>
      <c r="RMO379" s="15"/>
      <c r="RMP379" s="15"/>
      <c r="RMQ379" s="10"/>
      <c r="RMR379" s="10"/>
      <c r="RMS379" s="21"/>
      <c r="RMT379" s="21"/>
      <c r="RMW379" s="21"/>
      <c r="RMX379" s="15"/>
      <c r="RMY379" s="15"/>
      <c r="RMZ379" s="15"/>
      <c r="RNA379" s="15"/>
      <c r="RNB379" s="15"/>
      <c r="RNC379" s="15"/>
      <c r="RND379" s="15"/>
      <c r="RNE379" s="15"/>
      <c r="RNF379" s="15"/>
      <c r="RNG379" s="15"/>
      <c r="RNH379" s="10"/>
      <c r="RNI379" s="10"/>
      <c r="RNJ379" s="21"/>
      <c r="RNK379" s="21"/>
      <c r="RNN379" s="21"/>
      <c r="RNO379" s="15"/>
      <c r="RNP379" s="15"/>
      <c r="RNQ379" s="15"/>
      <c r="RNR379" s="15"/>
      <c r="RNS379" s="15"/>
      <c r="RNT379" s="15"/>
      <c r="RNU379" s="15"/>
      <c r="RNV379" s="15"/>
      <c r="RNW379" s="15"/>
      <c r="RNX379" s="15"/>
      <c r="RNY379" s="10"/>
      <c r="RNZ379" s="10"/>
      <c r="ROA379" s="21"/>
      <c r="ROB379" s="21"/>
      <c r="ROE379" s="21"/>
      <c r="ROF379" s="15"/>
      <c r="ROG379" s="15"/>
      <c r="ROH379" s="15"/>
      <c r="ROI379" s="15"/>
      <c r="ROJ379" s="15"/>
      <c r="ROK379" s="15"/>
      <c r="ROL379" s="15"/>
      <c r="ROM379" s="15"/>
      <c r="RON379" s="15"/>
      <c r="ROO379" s="15"/>
      <c r="ROP379" s="10"/>
      <c r="ROQ379" s="10"/>
      <c r="ROR379" s="21"/>
      <c r="ROS379" s="21"/>
      <c r="ROV379" s="21"/>
      <c r="ROW379" s="15"/>
      <c r="ROX379" s="15"/>
      <c r="ROY379" s="15"/>
      <c r="ROZ379" s="15"/>
      <c r="RPA379" s="15"/>
      <c r="RPB379" s="15"/>
      <c r="RPC379" s="15"/>
      <c r="RPD379" s="15"/>
      <c r="RPE379" s="15"/>
      <c r="RPF379" s="15"/>
      <c r="RPG379" s="10"/>
      <c r="RPH379" s="10"/>
      <c r="RPI379" s="21"/>
      <c r="RPJ379" s="21"/>
      <c r="RPM379" s="21"/>
      <c r="RPN379" s="15"/>
      <c r="RPO379" s="15"/>
      <c r="RPP379" s="15"/>
      <c r="RPQ379" s="15"/>
      <c r="RPR379" s="15"/>
      <c r="RPS379" s="15"/>
      <c r="RPT379" s="15"/>
      <c r="RPU379" s="15"/>
      <c r="RPV379" s="15"/>
      <c r="RPW379" s="15"/>
      <c r="RPX379" s="10"/>
      <c r="RPY379" s="10"/>
      <c r="RPZ379" s="21"/>
      <c r="RQA379" s="21"/>
      <c r="RQD379" s="21"/>
      <c r="RQE379" s="15"/>
      <c r="RQF379" s="15"/>
      <c r="RQG379" s="15"/>
      <c r="RQH379" s="15"/>
      <c r="RQI379" s="15"/>
      <c r="RQJ379" s="15"/>
      <c r="RQK379" s="15"/>
      <c r="RQL379" s="15"/>
      <c r="RQM379" s="15"/>
      <c r="RQN379" s="15"/>
      <c r="RQO379" s="10"/>
      <c r="RQP379" s="10"/>
      <c r="RQQ379" s="21"/>
      <c r="RQR379" s="21"/>
      <c r="RQU379" s="21"/>
      <c r="RQV379" s="15"/>
      <c r="RQW379" s="15"/>
      <c r="RQX379" s="15"/>
      <c r="RQY379" s="15"/>
      <c r="RQZ379" s="15"/>
      <c r="RRA379" s="15"/>
      <c r="RRB379" s="15"/>
      <c r="RRC379" s="15"/>
      <c r="RRD379" s="15"/>
      <c r="RRE379" s="15"/>
      <c r="RRF379" s="10"/>
      <c r="RRG379" s="10"/>
      <c r="RRH379" s="21"/>
      <c r="RRI379" s="21"/>
      <c r="RRL379" s="21"/>
      <c r="RRM379" s="15"/>
      <c r="RRN379" s="15"/>
      <c r="RRO379" s="15"/>
      <c r="RRP379" s="15"/>
      <c r="RRQ379" s="15"/>
      <c r="RRR379" s="15"/>
      <c r="RRS379" s="15"/>
      <c r="RRT379" s="15"/>
      <c r="RRU379" s="15"/>
      <c r="RRV379" s="15"/>
      <c r="RRW379" s="10"/>
      <c r="RRX379" s="10"/>
      <c r="RRY379" s="21"/>
      <c r="RRZ379" s="21"/>
      <c r="RSC379" s="21"/>
      <c r="RSD379" s="15"/>
      <c r="RSE379" s="15"/>
      <c r="RSF379" s="15"/>
      <c r="RSG379" s="15"/>
      <c r="RSH379" s="15"/>
      <c r="RSI379" s="15"/>
      <c r="RSJ379" s="15"/>
      <c r="RSK379" s="15"/>
      <c r="RSL379" s="15"/>
      <c r="RSM379" s="15"/>
      <c r="RSN379" s="10"/>
      <c r="RSO379" s="10"/>
      <c r="RSP379" s="21"/>
      <c r="RSQ379" s="21"/>
      <c r="RST379" s="21"/>
      <c r="RSU379" s="15"/>
      <c r="RSV379" s="15"/>
      <c r="RSW379" s="15"/>
      <c r="RSX379" s="15"/>
      <c r="RSY379" s="15"/>
      <c r="RSZ379" s="15"/>
      <c r="RTA379" s="15"/>
      <c r="RTB379" s="15"/>
      <c r="RTC379" s="15"/>
      <c r="RTD379" s="15"/>
      <c r="RTE379" s="10"/>
      <c r="RTF379" s="10"/>
      <c r="RTG379" s="21"/>
      <c r="RTH379" s="21"/>
      <c r="RTK379" s="21"/>
      <c r="RTL379" s="15"/>
      <c r="RTM379" s="15"/>
      <c r="RTN379" s="15"/>
      <c r="RTO379" s="15"/>
      <c r="RTP379" s="15"/>
      <c r="RTQ379" s="15"/>
      <c r="RTR379" s="15"/>
      <c r="RTS379" s="15"/>
      <c r="RTT379" s="15"/>
      <c r="RTU379" s="15"/>
      <c r="RTV379" s="10"/>
      <c r="RTW379" s="10"/>
      <c r="RTX379" s="21"/>
      <c r="RTY379" s="21"/>
      <c r="RUB379" s="21"/>
      <c r="RUC379" s="15"/>
      <c r="RUD379" s="15"/>
      <c r="RUE379" s="15"/>
      <c r="RUF379" s="15"/>
      <c r="RUG379" s="15"/>
      <c r="RUH379" s="15"/>
      <c r="RUI379" s="15"/>
      <c r="RUJ379" s="15"/>
      <c r="RUK379" s="15"/>
      <c r="RUL379" s="15"/>
      <c r="RUM379" s="10"/>
      <c r="RUN379" s="10"/>
      <c r="RUO379" s="21"/>
      <c r="RUP379" s="21"/>
      <c r="RUS379" s="21"/>
      <c r="RUT379" s="15"/>
      <c r="RUU379" s="15"/>
      <c r="RUV379" s="15"/>
      <c r="RUW379" s="15"/>
      <c r="RUX379" s="15"/>
      <c r="RUY379" s="15"/>
      <c r="RUZ379" s="15"/>
      <c r="RVA379" s="15"/>
      <c r="RVB379" s="15"/>
      <c r="RVC379" s="15"/>
      <c r="RVD379" s="10"/>
      <c r="RVE379" s="10"/>
      <c r="RVF379" s="21"/>
      <c r="RVG379" s="21"/>
      <c r="RVJ379" s="21"/>
      <c r="RVK379" s="15"/>
      <c r="RVL379" s="15"/>
      <c r="RVM379" s="15"/>
      <c r="RVN379" s="15"/>
      <c r="RVO379" s="15"/>
      <c r="RVP379" s="15"/>
      <c r="RVQ379" s="15"/>
      <c r="RVR379" s="15"/>
      <c r="RVS379" s="15"/>
      <c r="RVT379" s="15"/>
      <c r="RVU379" s="10"/>
      <c r="RVV379" s="10"/>
      <c r="RVW379" s="21"/>
      <c r="RVX379" s="21"/>
      <c r="RWA379" s="21"/>
      <c r="RWB379" s="15"/>
      <c r="RWC379" s="15"/>
      <c r="RWD379" s="15"/>
      <c r="RWE379" s="15"/>
      <c r="RWF379" s="15"/>
      <c r="RWG379" s="15"/>
      <c r="RWH379" s="15"/>
      <c r="RWI379" s="15"/>
      <c r="RWJ379" s="15"/>
      <c r="RWK379" s="15"/>
      <c r="RWL379" s="10"/>
      <c r="RWM379" s="10"/>
      <c r="RWN379" s="21"/>
      <c r="RWO379" s="21"/>
      <c r="RWR379" s="21"/>
      <c r="RWS379" s="15"/>
      <c r="RWT379" s="15"/>
      <c r="RWU379" s="15"/>
      <c r="RWV379" s="15"/>
      <c r="RWW379" s="15"/>
      <c r="RWX379" s="15"/>
      <c r="RWY379" s="15"/>
      <c r="RWZ379" s="15"/>
      <c r="RXA379" s="15"/>
      <c r="RXB379" s="15"/>
      <c r="RXC379" s="10"/>
      <c r="RXD379" s="10"/>
      <c r="RXE379" s="21"/>
      <c r="RXF379" s="21"/>
      <c r="RXI379" s="21"/>
      <c r="RXJ379" s="15"/>
      <c r="RXK379" s="15"/>
      <c r="RXL379" s="15"/>
      <c r="RXM379" s="15"/>
      <c r="RXN379" s="15"/>
      <c r="RXO379" s="15"/>
      <c r="RXP379" s="15"/>
      <c r="RXQ379" s="15"/>
      <c r="RXR379" s="15"/>
      <c r="RXS379" s="15"/>
      <c r="RXT379" s="10"/>
      <c r="RXU379" s="10"/>
      <c r="RXV379" s="21"/>
      <c r="RXW379" s="21"/>
      <c r="RXZ379" s="21"/>
      <c r="RYA379" s="15"/>
      <c r="RYB379" s="15"/>
      <c r="RYC379" s="15"/>
      <c r="RYD379" s="15"/>
      <c r="RYE379" s="15"/>
      <c r="RYF379" s="15"/>
      <c r="RYG379" s="15"/>
      <c r="RYH379" s="15"/>
      <c r="RYI379" s="15"/>
      <c r="RYJ379" s="15"/>
      <c r="RYK379" s="10"/>
      <c r="RYL379" s="10"/>
      <c r="RYM379" s="21"/>
      <c r="RYN379" s="21"/>
      <c r="RYQ379" s="21"/>
      <c r="RYR379" s="15"/>
      <c r="RYS379" s="15"/>
      <c r="RYT379" s="15"/>
      <c r="RYU379" s="15"/>
      <c r="RYV379" s="15"/>
      <c r="RYW379" s="15"/>
      <c r="RYX379" s="15"/>
      <c r="RYY379" s="15"/>
      <c r="RYZ379" s="15"/>
      <c r="RZA379" s="15"/>
      <c r="RZB379" s="10"/>
      <c r="RZC379" s="10"/>
      <c r="RZD379" s="21"/>
      <c r="RZE379" s="21"/>
      <c r="RZH379" s="21"/>
      <c r="RZI379" s="15"/>
      <c r="RZJ379" s="15"/>
      <c r="RZK379" s="15"/>
      <c r="RZL379" s="15"/>
      <c r="RZM379" s="15"/>
      <c r="RZN379" s="15"/>
      <c r="RZO379" s="15"/>
      <c r="RZP379" s="15"/>
      <c r="RZQ379" s="15"/>
      <c r="RZR379" s="15"/>
      <c r="RZS379" s="10"/>
      <c r="RZT379" s="10"/>
      <c r="RZU379" s="21"/>
      <c r="RZV379" s="21"/>
      <c r="RZY379" s="21"/>
      <c r="RZZ379" s="15"/>
      <c r="SAA379" s="15"/>
      <c r="SAB379" s="15"/>
      <c r="SAC379" s="15"/>
      <c r="SAD379" s="15"/>
      <c r="SAE379" s="15"/>
      <c r="SAF379" s="15"/>
      <c r="SAG379" s="15"/>
      <c r="SAH379" s="15"/>
      <c r="SAI379" s="15"/>
      <c r="SAJ379" s="10"/>
      <c r="SAK379" s="10"/>
      <c r="SAL379" s="21"/>
      <c r="SAM379" s="21"/>
      <c r="SAP379" s="21"/>
      <c r="SAQ379" s="15"/>
      <c r="SAR379" s="15"/>
      <c r="SAS379" s="15"/>
      <c r="SAT379" s="15"/>
      <c r="SAU379" s="15"/>
      <c r="SAV379" s="15"/>
      <c r="SAW379" s="15"/>
      <c r="SAX379" s="15"/>
      <c r="SAY379" s="15"/>
      <c r="SAZ379" s="15"/>
      <c r="SBA379" s="10"/>
      <c r="SBB379" s="10"/>
      <c r="SBC379" s="21"/>
      <c r="SBD379" s="21"/>
      <c r="SBG379" s="21"/>
      <c r="SBH379" s="15"/>
      <c r="SBI379" s="15"/>
      <c r="SBJ379" s="15"/>
      <c r="SBK379" s="15"/>
      <c r="SBL379" s="15"/>
      <c r="SBM379" s="15"/>
      <c r="SBN379" s="15"/>
      <c r="SBO379" s="15"/>
      <c r="SBP379" s="15"/>
      <c r="SBQ379" s="15"/>
      <c r="SBR379" s="10"/>
      <c r="SBS379" s="10"/>
      <c r="SBT379" s="21"/>
      <c r="SBU379" s="21"/>
      <c r="SBX379" s="21"/>
      <c r="SBY379" s="15"/>
      <c r="SBZ379" s="15"/>
      <c r="SCA379" s="15"/>
      <c r="SCB379" s="15"/>
      <c r="SCC379" s="15"/>
      <c r="SCD379" s="15"/>
      <c r="SCE379" s="15"/>
      <c r="SCF379" s="15"/>
      <c r="SCG379" s="15"/>
      <c r="SCH379" s="15"/>
      <c r="SCI379" s="10"/>
      <c r="SCJ379" s="10"/>
      <c r="SCK379" s="21"/>
      <c r="SCL379" s="21"/>
      <c r="SCO379" s="21"/>
      <c r="SCP379" s="15"/>
      <c r="SCQ379" s="15"/>
      <c r="SCR379" s="15"/>
      <c r="SCS379" s="15"/>
      <c r="SCT379" s="15"/>
      <c r="SCU379" s="15"/>
      <c r="SCV379" s="15"/>
      <c r="SCW379" s="15"/>
      <c r="SCX379" s="15"/>
      <c r="SCY379" s="15"/>
      <c r="SCZ379" s="10"/>
      <c r="SDA379" s="10"/>
      <c r="SDB379" s="21"/>
      <c r="SDC379" s="21"/>
      <c r="SDF379" s="21"/>
      <c r="SDG379" s="15"/>
      <c r="SDH379" s="15"/>
      <c r="SDI379" s="15"/>
      <c r="SDJ379" s="15"/>
      <c r="SDK379" s="15"/>
      <c r="SDL379" s="15"/>
      <c r="SDM379" s="15"/>
      <c r="SDN379" s="15"/>
      <c r="SDO379" s="15"/>
      <c r="SDP379" s="15"/>
      <c r="SDQ379" s="10"/>
      <c r="SDR379" s="10"/>
      <c r="SDS379" s="21"/>
      <c r="SDT379" s="21"/>
      <c r="SDW379" s="21"/>
      <c r="SDX379" s="15"/>
      <c r="SDY379" s="15"/>
      <c r="SDZ379" s="15"/>
      <c r="SEA379" s="15"/>
      <c r="SEB379" s="15"/>
      <c r="SEC379" s="15"/>
      <c r="SED379" s="15"/>
      <c r="SEE379" s="15"/>
      <c r="SEF379" s="15"/>
      <c r="SEG379" s="15"/>
      <c r="SEH379" s="10"/>
      <c r="SEI379" s="10"/>
      <c r="SEJ379" s="21"/>
      <c r="SEK379" s="21"/>
      <c r="SEN379" s="21"/>
      <c r="SEO379" s="15"/>
      <c r="SEP379" s="15"/>
      <c r="SEQ379" s="15"/>
      <c r="SER379" s="15"/>
      <c r="SES379" s="15"/>
      <c r="SET379" s="15"/>
      <c r="SEU379" s="15"/>
      <c r="SEV379" s="15"/>
      <c r="SEW379" s="15"/>
      <c r="SEX379" s="15"/>
      <c r="SEY379" s="10"/>
      <c r="SEZ379" s="10"/>
      <c r="SFA379" s="21"/>
      <c r="SFB379" s="21"/>
      <c r="SFE379" s="21"/>
      <c r="SFF379" s="15"/>
      <c r="SFG379" s="15"/>
      <c r="SFH379" s="15"/>
      <c r="SFI379" s="15"/>
      <c r="SFJ379" s="15"/>
      <c r="SFK379" s="15"/>
      <c r="SFL379" s="15"/>
      <c r="SFM379" s="15"/>
      <c r="SFN379" s="15"/>
      <c r="SFO379" s="15"/>
      <c r="SFP379" s="10"/>
      <c r="SFQ379" s="10"/>
      <c r="SFR379" s="21"/>
      <c r="SFS379" s="21"/>
      <c r="SFV379" s="21"/>
      <c r="SFW379" s="15"/>
      <c r="SFX379" s="15"/>
      <c r="SFY379" s="15"/>
      <c r="SFZ379" s="15"/>
      <c r="SGA379" s="15"/>
      <c r="SGB379" s="15"/>
      <c r="SGC379" s="15"/>
      <c r="SGD379" s="15"/>
      <c r="SGE379" s="15"/>
      <c r="SGF379" s="15"/>
      <c r="SGG379" s="10"/>
      <c r="SGH379" s="10"/>
      <c r="SGI379" s="21"/>
      <c r="SGJ379" s="21"/>
      <c r="SGM379" s="21"/>
      <c r="SGN379" s="15"/>
      <c r="SGO379" s="15"/>
      <c r="SGP379" s="15"/>
      <c r="SGQ379" s="15"/>
      <c r="SGR379" s="15"/>
      <c r="SGS379" s="15"/>
      <c r="SGT379" s="15"/>
      <c r="SGU379" s="15"/>
      <c r="SGV379" s="15"/>
      <c r="SGW379" s="15"/>
      <c r="SGX379" s="10"/>
      <c r="SGY379" s="10"/>
      <c r="SGZ379" s="21"/>
      <c r="SHA379" s="21"/>
      <c r="SHD379" s="21"/>
      <c r="SHE379" s="15"/>
      <c r="SHF379" s="15"/>
      <c r="SHG379" s="15"/>
      <c r="SHH379" s="15"/>
      <c r="SHI379" s="15"/>
      <c r="SHJ379" s="15"/>
      <c r="SHK379" s="15"/>
      <c r="SHL379" s="15"/>
      <c r="SHM379" s="15"/>
      <c r="SHN379" s="15"/>
      <c r="SHO379" s="10"/>
      <c r="SHP379" s="10"/>
      <c r="SHQ379" s="21"/>
      <c r="SHR379" s="21"/>
      <c r="SHU379" s="21"/>
      <c r="SHV379" s="15"/>
      <c r="SHW379" s="15"/>
      <c r="SHX379" s="15"/>
      <c r="SHY379" s="15"/>
      <c r="SHZ379" s="15"/>
      <c r="SIA379" s="15"/>
      <c r="SIB379" s="15"/>
      <c r="SIC379" s="15"/>
      <c r="SID379" s="15"/>
      <c r="SIE379" s="15"/>
      <c r="SIF379" s="10"/>
      <c r="SIG379" s="10"/>
      <c r="SIH379" s="21"/>
      <c r="SII379" s="21"/>
      <c r="SIL379" s="21"/>
      <c r="SIM379" s="15"/>
      <c r="SIN379" s="15"/>
      <c r="SIO379" s="15"/>
      <c r="SIP379" s="15"/>
      <c r="SIQ379" s="15"/>
      <c r="SIR379" s="15"/>
      <c r="SIS379" s="15"/>
      <c r="SIT379" s="15"/>
      <c r="SIU379" s="15"/>
      <c r="SIV379" s="15"/>
      <c r="SIW379" s="10"/>
      <c r="SIX379" s="10"/>
      <c r="SIY379" s="21"/>
      <c r="SIZ379" s="21"/>
      <c r="SJC379" s="21"/>
      <c r="SJD379" s="15"/>
      <c r="SJE379" s="15"/>
      <c r="SJF379" s="15"/>
      <c r="SJG379" s="15"/>
      <c r="SJH379" s="15"/>
      <c r="SJI379" s="15"/>
      <c r="SJJ379" s="15"/>
      <c r="SJK379" s="15"/>
      <c r="SJL379" s="15"/>
      <c r="SJM379" s="15"/>
      <c r="SJN379" s="10"/>
      <c r="SJO379" s="10"/>
      <c r="SJP379" s="21"/>
      <c r="SJQ379" s="21"/>
      <c r="SJT379" s="21"/>
      <c r="SJU379" s="15"/>
      <c r="SJV379" s="15"/>
      <c r="SJW379" s="15"/>
      <c r="SJX379" s="15"/>
      <c r="SJY379" s="15"/>
      <c r="SJZ379" s="15"/>
      <c r="SKA379" s="15"/>
      <c r="SKB379" s="15"/>
      <c r="SKC379" s="15"/>
      <c r="SKD379" s="15"/>
      <c r="SKE379" s="10"/>
      <c r="SKF379" s="10"/>
      <c r="SKG379" s="21"/>
      <c r="SKH379" s="21"/>
      <c r="SKK379" s="21"/>
      <c r="SKL379" s="15"/>
      <c r="SKM379" s="15"/>
      <c r="SKN379" s="15"/>
      <c r="SKO379" s="15"/>
      <c r="SKP379" s="15"/>
      <c r="SKQ379" s="15"/>
      <c r="SKR379" s="15"/>
      <c r="SKS379" s="15"/>
      <c r="SKT379" s="15"/>
      <c r="SKU379" s="15"/>
      <c r="SKV379" s="10"/>
      <c r="SKW379" s="10"/>
      <c r="SKX379" s="21"/>
      <c r="SKY379" s="21"/>
      <c r="SLB379" s="21"/>
      <c r="SLC379" s="15"/>
      <c r="SLD379" s="15"/>
      <c r="SLE379" s="15"/>
      <c r="SLF379" s="15"/>
      <c r="SLG379" s="15"/>
      <c r="SLH379" s="15"/>
      <c r="SLI379" s="15"/>
      <c r="SLJ379" s="15"/>
      <c r="SLK379" s="15"/>
      <c r="SLL379" s="15"/>
      <c r="SLM379" s="10"/>
      <c r="SLN379" s="10"/>
      <c r="SLO379" s="21"/>
      <c r="SLP379" s="21"/>
      <c r="SLS379" s="21"/>
      <c r="SLT379" s="15"/>
      <c r="SLU379" s="15"/>
      <c r="SLV379" s="15"/>
      <c r="SLW379" s="15"/>
      <c r="SLX379" s="15"/>
      <c r="SLY379" s="15"/>
      <c r="SLZ379" s="15"/>
      <c r="SMA379" s="15"/>
      <c r="SMB379" s="15"/>
      <c r="SMC379" s="15"/>
      <c r="SMD379" s="10"/>
      <c r="SME379" s="10"/>
      <c r="SMF379" s="21"/>
      <c r="SMG379" s="21"/>
      <c r="SMJ379" s="21"/>
      <c r="SMK379" s="15"/>
      <c r="SML379" s="15"/>
      <c r="SMM379" s="15"/>
      <c r="SMN379" s="15"/>
      <c r="SMO379" s="15"/>
      <c r="SMP379" s="15"/>
      <c r="SMQ379" s="15"/>
      <c r="SMR379" s="15"/>
      <c r="SMS379" s="15"/>
      <c r="SMT379" s="15"/>
      <c r="SMU379" s="10"/>
      <c r="SMV379" s="10"/>
      <c r="SMW379" s="21"/>
      <c r="SMX379" s="21"/>
      <c r="SNA379" s="21"/>
      <c r="SNB379" s="15"/>
      <c r="SNC379" s="15"/>
      <c r="SND379" s="15"/>
      <c r="SNE379" s="15"/>
      <c r="SNF379" s="15"/>
      <c r="SNG379" s="15"/>
      <c r="SNH379" s="15"/>
      <c r="SNI379" s="15"/>
      <c r="SNJ379" s="15"/>
      <c r="SNK379" s="15"/>
      <c r="SNL379" s="10"/>
      <c r="SNM379" s="10"/>
      <c r="SNN379" s="21"/>
      <c r="SNO379" s="21"/>
      <c r="SNR379" s="21"/>
      <c r="SNS379" s="15"/>
      <c r="SNT379" s="15"/>
      <c r="SNU379" s="15"/>
      <c r="SNV379" s="15"/>
      <c r="SNW379" s="15"/>
      <c r="SNX379" s="15"/>
      <c r="SNY379" s="15"/>
      <c r="SNZ379" s="15"/>
      <c r="SOA379" s="15"/>
      <c r="SOB379" s="15"/>
      <c r="SOC379" s="10"/>
      <c r="SOD379" s="10"/>
      <c r="SOE379" s="21"/>
      <c r="SOF379" s="21"/>
      <c r="SOI379" s="21"/>
      <c r="SOJ379" s="15"/>
      <c r="SOK379" s="15"/>
      <c r="SOL379" s="15"/>
      <c r="SOM379" s="15"/>
      <c r="SON379" s="15"/>
      <c r="SOO379" s="15"/>
      <c r="SOP379" s="15"/>
      <c r="SOQ379" s="15"/>
      <c r="SOR379" s="15"/>
      <c r="SOS379" s="15"/>
      <c r="SOT379" s="10"/>
      <c r="SOU379" s="10"/>
      <c r="SOV379" s="21"/>
      <c r="SOW379" s="21"/>
      <c r="SOZ379" s="21"/>
      <c r="SPA379" s="15"/>
      <c r="SPB379" s="15"/>
      <c r="SPC379" s="15"/>
      <c r="SPD379" s="15"/>
      <c r="SPE379" s="15"/>
      <c r="SPF379" s="15"/>
      <c r="SPG379" s="15"/>
      <c r="SPH379" s="15"/>
      <c r="SPI379" s="15"/>
      <c r="SPJ379" s="15"/>
      <c r="SPK379" s="10"/>
      <c r="SPL379" s="10"/>
      <c r="SPM379" s="21"/>
      <c r="SPN379" s="21"/>
      <c r="SPQ379" s="21"/>
      <c r="SPR379" s="15"/>
      <c r="SPS379" s="15"/>
      <c r="SPT379" s="15"/>
      <c r="SPU379" s="15"/>
      <c r="SPV379" s="15"/>
      <c r="SPW379" s="15"/>
      <c r="SPX379" s="15"/>
      <c r="SPY379" s="15"/>
      <c r="SPZ379" s="15"/>
      <c r="SQA379" s="15"/>
      <c r="SQB379" s="10"/>
      <c r="SQC379" s="10"/>
      <c r="SQD379" s="21"/>
      <c r="SQE379" s="21"/>
      <c r="SQH379" s="21"/>
      <c r="SQI379" s="15"/>
      <c r="SQJ379" s="15"/>
      <c r="SQK379" s="15"/>
      <c r="SQL379" s="15"/>
      <c r="SQM379" s="15"/>
      <c r="SQN379" s="15"/>
      <c r="SQO379" s="15"/>
      <c r="SQP379" s="15"/>
      <c r="SQQ379" s="15"/>
      <c r="SQR379" s="15"/>
      <c r="SQS379" s="10"/>
      <c r="SQT379" s="10"/>
      <c r="SQU379" s="21"/>
      <c r="SQV379" s="21"/>
      <c r="SQY379" s="21"/>
      <c r="SQZ379" s="15"/>
      <c r="SRA379" s="15"/>
      <c r="SRB379" s="15"/>
      <c r="SRC379" s="15"/>
      <c r="SRD379" s="15"/>
      <c r="SRE379" s="15"/>
      <c r="SRF379" s="15"/>
      <c r="SRG379" s="15"/>
      <c r="SRH379" s="15"/>
      <c r="SRI379" s="15"/>
      <c r="SRJ379" s="10"/>
      <c r="SRK379" s="10"/>
      <c r="SRL379" s="21"/>
      <c r="SRM379" s="21"/>
      <c r="SRP379" s="21"/>
      <c r="SRQ379" s="15"/>
      <c r="SRR379" s="15"/>
      <c r="SRS379" s="15"/>
      <c r="SRT379" s="15"/>
      <c r="SRU379" s="15"/>
      <c r="SRV379" s="15"/>
      <c r="SRW379" s="15"/>
      <c r="SRX379" s="15"/>
      <c r="SRY379" s="15"/>
      <c r="SRZ379" s="15"/>
      <c r="SSA379" s="10"/>
      <c r="SSB379" s="10"/>
      <c r="SSC379" s="21"/>
      <c r="SSD379" s="21"/>
      <c r="SSG379" s="21"/>
      <c r="SSH379" s="15"/>
      <c r="SSI379" s="15"/>
      <c r="SSJ379" s="15"/>
      <c r="SSK379" s="15"/>
      <c r="SSL379" s="15"/>
      <c r="SSM379" s="15"/>
      <c r="SSN379" s="15"/>
      <c r="SSO379" s="15"/>
      <c r="SSP379" s="15"/>
      <c r="SSQ379" s="15"/>
      <c r="SSR379" s="10"/>
      <c r="SSS379" s="10"/>
      <c r="SST379" s="21"/>
      <c r="SSU379" s="21"/>
      <c r="SSX379" s="21"/>
      <c r="SSY379" s="15"/>
      <c r="SSZ379" s="15"/>
      <c r="STA379" s="15"/>
      <c r="STB379" s="15"/>
      <c r="STC379" s="15"/>
      <c r="STD379" s="15"/>
      <c r="STE379" s="15"/>
      <c r="STF379" s="15"/>
      <c r="STG379" s="15"/>
      <c r="STH379" s="15"/>
      <c r="STI379" s="10"/>
      <c r="STJ379" s="10"/>
      <c r="STK379" s="21"/>
      <c r="STL379" s="21"/>
      <c r="STO379" s="21"/>
      <c r="STP379" s="15"/>
      <c r="STQ379" s="15"/>
      <c r="STR379" s="15"/>
      <c r="STS379" s="15"/>
      <c r="STT379" s="15"/>
      <c r="STU379" s="15"/>
      <c r="STV379" s="15"/>
      <c r="STW379" s="15"/>
      <c r="STX379" s="15"/>
      <c r="STY379" s="15"/>
      <c r="STZ379" s="10"/>
      <c r="SUA379" s="10"/>
      <c r="SUB379" s="21"/>
      <c r="SUC379" s="21"/>
      <c r="SUF379" s="21"/>
      <c r="SUG379" s="15"/>
      <c r="SUH379" s="15"/>
      <c r="SUI379" s="15"/>
      <c r="SUJ379" s="15"/>
      <c r="SUK379" s="15"/>
      <c r="SUL379" s="15"/>
      <c r="SUM379" s="15"/>
      <c r="SUN379" s="15"/>
      <c r="SUO379" s="15"/>
      <c r="SUP379" s="15"/>
      <c r="SUQ379" s="10"/>
      <c r="SUR379" s="10"/>
      <c r="SUS379" s="21"/>
      <c r="SUT379" s="21"/>
      <c r="SUW379" s="21"/>
      <c r="SUX379" s="15"/>
      <c r="SUY379" s="15"/>
      <c r="SUZ379" s="15"/>
      <c r="SVA379" s="15"/>
      <c r="SVB379" s="15"/>
      <c r="SVC379" s="15"/>
      <c r="SVD379" s="15"/>
      <c r="SVE379" s="15"/>
      <c r="SVF379" s="15"/>
      <c r="SVG379" s="15"/>
      <c r="SVH379" s="10"/>
      <c r="SVI379" s="10"/>
      <c r="SVJ379" s="21"/>
      <c r="SVK379" s="21"/>
      <c r="SVN379" s="21"/>
      <c r="SVO379" s="15"/>
      <c r="SVP379" s="15"/>
      <c r="SVQ379" s="15"/>
      <c r="SVR379" s="15"/>
      <c r="SVS379" s="15"/>
      <c r="SVT379" s="15"/>
      <c r="SVU379" s="15"/>
      <c r="SVV379" s="15"/>
      <c r="SVW379" s="15"/>
      <c r="SVX379" s="15"/>
      <c r="SVY379" s="10"/>
      <c r="SVZ379" s="10"/>
      <c r="SWA379" s="21"/>
      <c r="SWB379" s="21"/>
      <c r="SWE379" s="21"/>
      <c r="SWF379" s="15"/>
      <c r="SWG379" s="15"/>
      <c r="SWH379" s="15"/>
      <c r="SWI379" s="15"/>
      <c r="SWJ379" s="15"/>
      <c r="SWK379" s="15"/>
      <c r="SWL379" s="15"/>
      <c r="SWM379" s="15"/>
      <c r="SWN379" s="15"/>
      <c r="SWO379" s="15"/>
      <c r="SWP379" s="10"/>
      <c r="SWQ379" s="10"/>
      <c r="SWR379" s="21"/>
      <c r="SWS379" s="21"/>
      <c r="SWV379" s="21"/>
      <c r="SWW379" s="15"/>
      <c r="SWX379" s="15"/>
      <c r="SWY379" s="15"/>
      <c r="SWZ379" s="15"/>
      <c r="SXA379" s="15"/>
      <c r="SXB379" s="15"/>
      <c r="SXC379" s="15"/>
      <c r="SXD379" s="15"/>
      <c r="SXE379" s="15"/>
      <c r="SXF379" s="15"/>
      <c r="SXG379" s="10"/>
      <c r="SXH379" s="10"/>
      <c r="SXI379" s="21"/>
      <c r="SXJ379" s="21"/>
      <c r="SXM379" s="21"/>
      <c r="SXN379" s="15"/>
      <c r="SXO379" s="15"/>
      <c r="SXP379" s="15"/>
      <c r="SXQ379" s="15"/>
      <c r="SXR379" s="15"/>
      <c r="SXS379" s="15"/>
      <c r="SXT379" s="15"/>
      <c r="SXU379" s="15"/>
      <c r="SXV379" s="15"/>
      <c r="SXW379" s="15"/>
      <c r="SXX379" s="10"/>
      <c r="SXY379" s="10"/>
      <c r="SXZ379" s="21"/>
      <c r="SYA379" s="21"/>
      <c r="SYD379" s="21"/>
      <c r="SYE379" s="15"/>
      <c r="SYF379" s="15"/>
      <c r="SYG379" s="15"/>
      <c r="SYH379" s="15"/>
      <c r="SYI379" s="15"/>
      <c r="SYJ379" s="15"/>
      <c r="SYK379" s="15"/>
      <c r="SYL379" s="15"/>
      <c r="SYM379" s="15"/>
      <c r="SYN379" s="15"/>
      <c r="SYO379" s="10"/>
      <c r="SYP379" s="10"/>
      <c r="SYQ379" s="21"/>
      <c r="SYR379" s="21"/>
      <c r="SYU379" s="21"/>
      <c r="SYV379" s="15"/>
      <c r="SYW379" s="15"/>
      <c r="SYX379" s="15"/>
      <c r="SYY379" s="15"/>
      <c r="SYZ379" s="15"/>
      <c r="SZA379" s="15"/>
      <c r="SZB379" s="15"/>
      <c r="SZC379" s="15"/>
      <c r="SZD379" s="15"/>
      <c r="SZE379" s="15"/>
      <c r="SZF379" s="10"/>
      <c r="SZG379" s="10"/>
      <c r="SZH379" s="21"/>
      <c r="SZI379" s="21"/>
      <c r="SZL379" s="21"/>
      <c r="SZM379" s="15"/>
      <c r="SZN379" s="15"/>
      <c r="SZO379" s="15"/>
      <c r="SZP379" s="15"/>
      <c r="SZQ379" s="15"/>
      <c r="SZR379" s="15"/>
      <c r="SZS379" s="15"/>
      <c r="SZT379" s="15"/>
      <c r="SZU379" s="15"/>
      <c r="SZV379" s="15"/>
      <c r="SZW379" s="10"/>
      <c r="SZX379" s="10"/>
      <c r="SZY379" s="21"/>
      <c r="SZZ379" s="21"/>
      <c r="TAC379" s="21"/>
      <c r="TAD379" s="15"/>
      <c r="TAE379" s="15"/>
      <c r="TAF379" s="15"/>
      <c r="TAG379" s="15"/>
      <c r="TAH379" s="15"/>
      <c r="TAI379" s="15"/>
      <c r="TAJ379" s="15"/>
      <c r="TAK379" s="15"/>
      <c r="TAL379" s="15"/>
      <c r="TAM379" s="15"/>
      <c r="TAN379" s="10"/>
      <c r="TAO379" s="10"/>
      <c r="TAP379" s="21"/>
      <c r="TAQ379" s="21"/>
      <c r="TAT379" s="21"/>
      <c r="TAU379" s="15"/>
      <c r="TAV379" s="15"/>
      <c r="TAW379" s="15"/>
      <c r="TAX379" s="15"/>
      <c r="TAY379" s="15"/>
      <c r="TAZ379" s="15"/>
      <c r="TBA379" s="15"/>
      <c r="TBB379" s="15"/>
      <c r="TBC379" s="15"/>
      <c r="TBD379" s="15"/>
      <c r="TBE379" s="10"/>
      <c r="TBF379" s="10"/>
      <c r="TBG379" s="21"/>
      <c r="TBH379" s="21"/>
      <c r="TBK379" s="21"/>
      <c r="TBL379" s="15"/>
      <c r="TBM379" s="15"/>
      <c r="TBN379" s="15"/>
      <c r="TBO379" s="15"/>
      <c r="TBP379" s="15"/>
      <c r="TBQ379" s="15"/>
      <c r="TBR379" s="15"/>
      <c r="TBS379" s="15"/>
      <c r="TBT379" s="15"/>
      <c r="TBU379" s="15"/>
      <c r="TBV379" s="10"/>
      <c r="TBW379" s="10"/>
      <c r="TBX379" s="21"/>
      <c r="TBY379" s="21"/>
      <c r="TCB379" s="21"/>
      <c r="TCC379" s="15"/>
      <c r="TCD379" s="15"/>
      <c r="TCE379" s="15"/>
      <c r="TCF379" s="15"/>
      <c r="TCG379" s="15"/>
      <c r="TCH379" s="15"/>
      <c r="TCI379" s="15"/>
      <c r="TCJ379" s="15"/>
      <c r="TCK379" s="15"/>
      <c r="TCL379" s="15"/>
      <c r="TCM379" s="10"/>
      <c r="TCN379" s="10"/>
      <c r="TCO379" s="21"/>
      <c r="TCP379" s="21"/>
      <c r="TCS379" s="21"/>
      <c r="TCT379" s="15"/>
      <c r="TCU379" s="15"/>
      <c r="TCV379" s="15"/>
      <c r="TCW379" s="15"/>
      <c r="TCX379" s="15"/>
      <c r="TCY379" s="15"/>
      <c r="TCZ379" s="15"/>
      <c r="TDA379" s="15"/>
      <c r="TDB379" s="15"/>
      <c r="TDC379" s="15"/>
      <c r="TDD379" s="10"/>
      <c r="TDE379" s="10"/>
      <c r="TDF379" s="21"/>
      <c r="TDG379" s="21"/>
      <c r="TDJ379" s="21"/>
      <c r="TDK379" s="15"/>
      <c r="TDL379" s="15"/>
      <c r="TDM379" s="15"/>
      <c r="TDN379" s="15"/>
      <c r="TDO379" s="15"/>
      <c r="TDP379" s="15"/>
      <c r="TDQ379" s="15"/>
      <c r="TDR379" s="15"/>
      <c r="TDS379" s="15"/>
      <c r="TDT379" s="15"/>
      <c r="TDU379" s="10"/>
      <c r="TDV379" s="10"/>
      <c r="TDW379" s="21"/>
      <c r="TDX379" s="21"/>
      <c r="TEA379" s="21"/>
      <c r="TEB379" s="15"/>
      <c r="TEC379" s="15"/>
      <c r="TED379" s="15"/>
      <c r="TEE379" s="15"/>
      <c r="TEF379" s="15"/>
      <c r="TEG379" s="15"/>
      <c r="TEH379" s="15"/>
      <c r="TEI379" s="15"/>
      <c r="TEJ379" s="15"/>
      <c r="TEK379" s="15"/>
      <c r="TEL379" s="10"/>
      <c r="TEM379" s="10"/>
      <c r="TEN379" s="21"/>
      <c r="TEO379" s="21"/>
      <c r="TER379" s="21"/>
      <c r="TES379" s="15"/>
      <c r="TET379" s="15"/>
      <c r="TEU379" s="15"/>
      <c r="TEV379" s="15"/>
      <c r="TEW379" s="15"/>
      <c r="TEX379" s="15"/>
      <c r="TEY379" s="15"/>
      <c r="TEZ379" s="15"/>
      <c r="TFA379" s="15"/>
      <c r="TFB379" s="15"/>
      <c r="TFC379" s="10"/>
      <c r="TFD379" s="10"/>
      <c r="TFE379" s="21"/>
      <c r="TFF379" s="21"/>
      <c r="TFI379" s="21"/>
      <c r="TFJ379" s="15"/>
      <c r="TFK379" s="15"/>
      <c r="TFL379" s="15"/>
      <c r="TFM379" s="15"/>
      <c r="TFN379" s="15"/>
      <c r="TFO379" s="15"/>
      <c r="TFP379" s="15"/>
      <c r="TFQ379" s="15"/>
      <c r="TFR379" s="15"/>
      <c r="TFS379" s="15"/>
      <c r="TFT379" s="10"/>
      <c r="TFU379" s="10"/>
      <c r="TFV379" s="21"/>
      <c r="TFW379" s="21"/>
      <c r="TFZ379" s="21"/>
      <c r="TGA379" s="15"/>
      <c r="TGB379" s="15"/>
      <c r="TGC379" s="15"/>
      <c r="TGD379" s="15"/>
      <c r="TGE379" s="15"/>
      <c r="TGF379" s="15"/>
      <c r="TGG379" s="15"/>
      <c r="TGH379" s="15"/>
      <c r="TGI379" s="15"/>
      <c r="TGJ379" s="15"/>
      <c r="TGK379" s="10"/>
      <c r="TGL379" s="10"/>
      <c r="TGM379" s="21"/>
      <c r="TGN379" s="21"/>
      <c r="TGQ379" s="21"/>
      <c r="TGR379" s="15"/>
      <c r="TGS379" s="15"/>
      <c r="TGT379" s="15"/>
      <c r="TGU379" s="15"/>
      <c r="TGV379" s="15"/>
      <c r="TGW379" s="15"/>
      <c r="TGX379" s="15"/>
      <c r="TGY379" s="15"/>
      <c r="TGZ379" s="15"/>
      <c r="THA379" s="15"/>
      <c r="THB379" s="10"/>
      <c r="THC379" s="10"/>
      <c r="THD379" s="21"/>
      <c r="THE379" s="21"/>
      <c r="THH379" s="21"/>
      <c r="THI379" s="15"/>
      <c r="THJ379" s="15"/>
      <c r="THK379" s="15"/>
      <c r="THL379" s="15"/>
      <c r="THM379" s="15"/>
      <c r="THN379" s="15"/>
      <c r="THO379" s="15"/>
      <c r="THP379" s="15"/>
      <c r="THQ379" s="15"/>
      <c r="THR379" s="15"/>
      <c r="THS379" s="10"/>
      <c r="THT379" s="10"/>
      <c r="THU379" s="21"/>
      <c r="THV379" s="21"/>
      <c r="THY379" s="21"/>
      <c r="THZ379" s="15"/>
      <c r="TIA379" s="15"/>
      <c r="TIB379" s="15"/>
      <c r="TIC379" s="15"/>
      <c r="TID379" s="15"/>
      <c r="TIE379" s="15"/>
      <c r="TIF379" s="15"/>
      <c r="TIG379" s="15"/>
      <c r="TIH379" s="15"/>
      <c r="TII379" s="15"/>
      <c r="TIJ379" s="10"/>
      <c r="TIK379" s="10"/>
      <c r="TIL379" s="21"/>
      <c r="TIM379" s="21"/>
      <c r="TIP379" s="21"/>
      <c r="TIQ379" s="15"/>
      <c r="TIR379" s="15"/>
      <c r="TIS379" s="15"/>
      <c r="TIT379" s="15"/>
      <c r="TIU379" s="15"/>
      <c r="TIV379" s="15"/>
      <c r="TIW379" s="15"/>
      <c r="TIX379" s="15"/>
      <c r="TIY379" s="15"/>
      <c r="TIZ379" s="15"/>
      <c r="TJA379" s="10"/>
      <c r="TJB379" s="10"/>
      <c r="TJC379" s="21"/>
      <c r="TJD379" s="21"/>
      <c r="TJG379" s="21"/>
      <c r="TJH379" s="15"/>
      <c r="TJI379" s="15"/>
      <c r="TJJ379" s="15"/>
      <c r="TJK379" s="15"/>
      <c r="TJL379" s="15"/>
      <c r="TJM379" s="15"/>
      <c r="TJN379" s="15"/>
      <c r="TJO379" s="15"/>
      <c r="TJP379" s="15"/>
      <c r="TJQ379" s="15"/>
      <c r="TJR379" s="10"/>
      <c r="TJS379" s="10"/>
      <c r="TJT379" s="21"/>
      <c r="TJU379" s="21"/>
      <c r="TJX379" s="21"/>
      <c r="TJY379" s="15"/>
      <c r="TJZ379" s="15"/>
      <c r="TKA379" s="15"/>
      <c r="TKB379" s="15"/>
      <c r="TKC379" s="15"/>
      <c r="TKD379" s="15"/>
      <c r="TKE379" s="15"/>
      <c r="TKF379" s="15"/>
      <c r="TKG379" s="15"/>
      <c r="TKH379" s="15"/>
      <c r="TKI379" s="10"/>
      <c r="TKJ379" s="10"/>
      <c r="TKK379" s="21"/>
      <c r="TKL379" s="21"/>
      <c r="TKO379" s="21"/>
      <c r="TKP379" s="15"/>
      <c r="TKQ379" s="15"/>
      <c r="TKR379" s="15"/>
      <c r="TKS379" s="15"/>
      <c r="TKT379" s="15"/>
      <c r="TKU379" s="15"/>
      <c r="TKV379" s="15"/>
      <c r="TKW379" s="15"/>
      <c r="TKX379" s="15"/>
      <c r="TKY379" s="15"/>
      <c r="TKZ379" s="10"/>
      <c r="TLA379" s="10"/>
      <c r="TLB379" s="21"/>
      <c r="TLC379" s="21"/>
      <c r="TLF379" s="21"/>
      <c r="TLG379" s="15"/>
      <c r="TLH379" s="15"/>
      <c r="TLI379" s="15"/>
      <c r="TLJ379" s="15"/>
      <c r="TLK379" s="15"/>
      <c r="TLL379" s="15"/>
      <c r="TLM379" s="15"/>
      <c r="TLN379" s="15"/>
      <c r="TLO379" s="15"/>
      <c r="TLP379" s="15"/>
      <c r="TLQ379" s="10"/>
      <c r="TLR379" s="10"/>
      <c r="TLS379" s="21"/>
      <c r="TLT379" s="21"/>
      <c r="TLW379" s="21"/>
      <c r="TLX379" s="15"/>
      <c r="TLY379" s="15"/>
      <c r="TLZ379" s="15"/>
      <c r="TMA379" s="15"/>
      <c r="TMB379" s="15"/>
      <c r="TMC379" s="15"/>
      <c r="TMD379" s="15"/>
      <c r="TME379" s="15"/>
      <c r="TMF379" s="15"/>
      <c r="TMG379" s="15"/>
      <c r="TMH379" s="10"/>
      <c r="TMI379" s="10"/>
      <c r="TMJ379" s="21"/>
      <c r="TMK379" s="21"/>
      <c r="TMN379" s="21"/>
      <c r="TMO379" s="15"/>
      <c r="TMP379" s="15"/>
      <c r="TMQ379" s="15"/>
      <c r="TMR379" s="15"/>
      <c r="TMS379" s="15"/>
      <c r="TMT379" s="15"/>
      <c r="TMU379" s="15"/>
      <c r="TMV379" s="15"/>
      <c r="TMW379" s="15"/>
      <c r="TMX379" s="15"/>
      <c r="TMY379" s="10"/>
      <c r="TMZ379" s="10"/>
      <c r="TNA379" s="21"/>
      <c r="TNB379" s="21"/>
      <c r="TNE379" s="21"/>
      <c r="TNF379" s="15"/>
      <c r="TNG379" s="15"/>
      <c r="TNH379" s="15"/>
      <c r="TNI379" s="15"/>
      <c r="TNJ379" s="15"/>
      <c r="TNK379" s="15"/>
      <c r="TNL379" s="15"/>
      <c r="TNM379" s="15"/>
      <c r="TNN379" s="15"/>
      <c r="TNO379" s="15"/>
      <c r="TNP379" s="10"/>
      <c r="TNQ379" s="10"/>
      <c r="TNR379" s="21"/>
      <c r="TNS379" s="21"/>
      <c r="TNV379" s="21"/>
      <c r="TNW379" s="15"/>
      <c r="TNX379" s="15"/>
      <c r="TNY379" s="15"/>
      <c r="TNZ379" s="15"/>
      <c r="TOA379" s="15"/>
      <c r="TOB379" s="15"/>
      <c r="TOC379" s="15"/>
      <c r="TOD379" s="15"/>
      <c r="TOE379" s="15"/>
      <c r="TOF379" s="15"/>
      <c r="TOG379" s="10"/>
      <c r="TOH379" s="10"/>
      <c r="TOI379" s="21"/>
      <c r="TOJ379" s="21"/>
      <c r="TOM379" s="21"/>
      <c r="TON379" s="15"/>
      <c r="TOO379" s="15"/>
      <c r="TOP379" s="15"/>
      <c r="TOQ379" s="15"/>
      <c r="TOR379" s="15"/>
      <c r="TOS379" s="15"/>
      <c r="TOT379" s="15"/>
      <c r="TOU379" s="15"/>
      <c r="TOV379" s="15"/>
      <c r="TOW379" s="15"/>
      <c r="TOX379" s="10"/>
      <c r="TOY379" s="10"/>
      <c r="TOZ379" s="21"/>
      <c r="TPA379" s="21"/>
      <c r="TPD379" s="21"/>
      <c r="TPE379" s="15"/>
      <c r="TPF379" s="15"/>
      <c r="TPG379" s="15"/>
      <c r="TPH379" s="15"/>
      <c r="TPI379" s="15"/>
      <c r="TPJ379" s="15"/>
      <c r="TPK379" s="15"/>
      <c r="TPL379" s="15"/>
      <c r="TPM379" s="15"/>
      <c r="TPN379" s="15"/>
      <c r="TPO379" s="10"/>
      <c r="TPP379" s="10"/>
      <c r="TPQ379" s="21"/>
      <c r="TPR379" s="21"/>
      <c r="TPU379" s="21"/>
      <c r="TPV379" s="15"/>
      <c r="TPW379" s="15"/>
      <c r="TPX379" s="15"/>
      <c r="TPY379" s="15"/>
      <c r="TPZ379" s="15"/>
      <c r="TQA379" s="15"/>
      <c r="TQB379" s="15"/>
      <c r="TQC379" s="15"/>
      <c r="TQD379" s="15"/>
      <c r="TQE379" s="15"/>
      <c r="TQF379" s="10"/>
      <c r="TQG379" s="10"/>
      <c r="TQH379" s="21"/>
      <c r="TQI379" s="21"/>
      <c r="TQL379" s="21"/>
      <c r="TQM379" s="15"/>
      <c r="TQN379" s="15"/>
      <c r="TQO379" s="15"/>
      <c r="TQP379" s="15"/>
      <c r="TQQ379" s="15"/>
      <c r="TQR379" s="15"/>
      <c r="TQS379" s="15"/>
      <c r="TQT379" s="15"/>
      <c r="TQU379" s="15"/>
      <c r="TQV379" s="15"/>
      <c r="TQW379" s="10"/>
      <c r="TQX379" s="10"/>
      <c r="TQY379" s="21"/>
      <c r="TQZ379" s="21"/>
      <c r="TRC379" s="21"/>
      <c r="TRD379" s="15"/>
      <c r="TRE379" s="15"/>
      <c r="TRF379" s="15"/>
      <c r="TRG379" s="15"/>
      <c r="TRH379" s="15"/>
      <c r="TRI379" s="15"/>
      <c r="TRJ379" s="15"/>
      <c r="TRK379" s="15"/>
      <c r="TRL379" s="15"/>
      <c r="TRM379" s="15"/>
      <c r="TRN379" s="10"/>
      <c r="TRO379" s="10"/>
      <c r="TRP379" s="21"/>
      <c r="TRQ379" s="21"/>
      <c r="TRT379" s="21"/>
      <c r="TRU379" s="15"/>
      <c r="TRV379" s="15"/>
      <c r="TRW379" s="15"/>
      <c r="TRX379" s="15"/>
      <c r="TRY379" s="15"/>
      <c r="TRZ379" s="15"/>
      <c r="TSA379" s="15"/>
      <c r="TSB379" s="15"/>
      <c r="TSC379" s="15"/>
      <c r="TSD379" s="15"/>
      <c r="TSE379" s="10"/>
      <c r="TSF379" s="10"/>
      <c r="TSG379" s="21"/>
      <c r="TSH379" s="21"/>
      <c r="TSK379" s="21"/>
      <c r="TSL379" s="15"/>
      <c r="TSM379" s="15"/>
      <c r="TSN379" s="15"/>
      <c r="TSO379" s="15"/>
      <c r="TSP379" s="15"/>
      <c r="TSQ379" s="15"/>
      <c r="TSR379" s="15"/>
      <c r="TSS379" s="15"/>
      <c r="TST379" s="15"/>
      <c r="TSU379" s="15"/>
      <c r="TSV379" s="10"/>
      <c r="TSW379" s="10"/>
      <c r="TSX379" s="21"/>
      <c r="TSY379" s="21"/>
      <c r="TTB379" s="21"/>
      <c r="TTC379" s="15"/>
      <c r="TTD379" s="15"/>
      <c r="TTE379" s="15"/>
      <c r="TTF379" s="15"/>
      <c r="TTG379" s="15"/>
      <c r="TTH379" s="15"/>
      <c r="TTI379" s="15"/>
      <c r="TTJ379" s="15"/>
      <c r="TTK379" s="15"/>
      <c r="TTL379" s="15"/>
      <c r="TTM379" s="10"/>
      <c r="TTN379" s="10"/>
      <c r="TTO379" s="21"/>
      <c r="TTP379" s="21"/>
      <c r="TTS379" s="21"/>
      <c r="TTT379" s="15"/>
      <c r="TTU379" s="15"/>
      <c r="TTV379" s="15"/>
      <c r="TTW379" s="15"/>
      <c r="TTX379" s="15"/>
      <c r="TTY379" s="15"/>
      <c r="TTZ379" s="15"/>
      <c r="TUA379" s="15"/>
      <c r="TUB379" s="15"/>
      <c r="TUC379" s="15"/>
      <c r="TUD379" s="10"/>
      <c r="TUE379" s="10"/>
      <c r="TUF379" s="21"/>
      <c r="TUG379" s="21"/>
      <c r="TUJ379" s="21"/>
      <c r="TUK379" s="15"/>
      <c r="TUL379" s="15"/>
      <c r="TUM379" s="15"/>
      <c r="TUN379" s="15"/>
      <c r="TUO379" s="15"/>
      <c r="TUP379" s="15"/>
      <c r="TUQ379" s="15"/>
      <c r="TUR379" s="15"/>
      <c r="TUS379" s="15"/>
      <c r="TUT379" s="15"/>
      <c r="TUU379" s="10"/>
      <c r="TUV379" s="10"/>
      <c r="TUW379" s="21"/>
      <c r="TUX379" s="21"/>
      <c r="TVA379" s="21"/>
      <c r="TVB379" s="15"/>
      <c r="TVC379" s="15"/>
      <c r="TVD379" s="15"/>
      <c r="TVE379" s="15"/>
      <c r="TVF379" s="15"/>
      <c r="TVG379" s="15"/>
      <c r="TVH379" s="15"/>
      <c r="TVI379" s="15"/>
      <c r="TVJ379" s="15"/>
      <c r="TVK379" s="15"/>
      <c r="TVL379" s="10"/>
      <c r="TVM379" s="10"/>
      <c r="TVN379" s="21"/>
      <c r="TVO379" s="21"/>
      <c r="TVR379" s="21"/>
      <c r="TVS379" s="15"/>
      <c r="TVT379" s="15"/>
      <c r="TVU379" s="15"/>
      <c r="TVV379" s="15"/>
      <c r="TVW379" s="15"/>
      <c r="TVX379" s="15"/>
      <c r="TVY379" s="15"/>
      <c r="TVZ379" s="15"/>
      <c r="TWA379" s="15"/>
      <c r="TWB379" s="15"/>
      <c r="TWC379" s="10"/>
      <c r="TWD379" s="10"/>
      <c r="TWE379" s="21"/>
      <c r="TWF379" s="21"/>
      <c r="TWI379" s="21"/>
      <c r="TWJ379" s="15"/>
      <c r="TWK379" s="15"/>
      <c r="TWL379" s="15"/>
      <c r="TWM379" s="15"/>
      <c r="TWN379" s="15"/>
      <c r="TWO379" s="15"/>
      <c r="TWP379" s="15"/>
      <c r="TWQ379" s="15"/>
      <c r="TWR379" s="15"/>
      <c r="TWS379" s="15"/>
      <c r="TWT379" s="10"/>
      <c r="TWU379" s="10"/>
      <c r="TWV379" s="21"/>
      <c r="TWW379" s="21"/>
      <c r="TWZ379" s="21"/>
      <c r="TXA379" s="15"/>
      <c r="TXB379" s="15"/>
      <c r="TXC379" s="15"/>
      <c r="TXD379" s="15"/>
      <c r="TXE379" s="15"/>
      <c r="TXF379" s="15"/>
      <c r="TXG379" s="15"/>
      <c r="TXH379" s="15"/>
      <c r="TXI379" s="15"/>
      <c r="TXJ379" s="15"/>
      <c r="TXK379" s="10"/>
      <c r="TXL379" s="10"/>
      <c r="TXM379" s="21"/>
      <c r="TXN379" s="21"/>
      <c r="TXQ379" s="21"/>
      <c r="TXR379" s="15"/>
      <c r="TXS379" s="15"/>
      <c r="TXT379" s="15"/>
      <c r="TXU379" s="15"/>
      <c r="TXV379" s="15"/>
      <c r="TXW379" s="15"/>
      <c r="TXX379" s="15"/>
      <c r="TXY379" s="15"/>
      <c r="TXZ379" s="15"/>
      <c r="TYA379" s="15"/>
      <c r="TYB379" s="10"/>
      <c r="TYC379" s="10"/>
      <c r="TYD379" s="21"/>
      <c r="TYE379" s="21"/>
      <c r="TYH379" s="21"/>
      <c r="TYI379" s="15"/>
      <c r="TYJ379" s="15"/>
      <c r="TYK379" s="15"/>
      <c r="TYL379" s="15"/>
      <c r="TYM379" s="15"/>
      <c r="TYN379" s="15"/>
      <c r="TYO379" s="15"/>
      <c r="TYP379" s="15"/>
      <c r="TYQ379" s="15"/>
      <c r="TYR379" s="15"/>
      <c r="TYS379" s="10"/>
      <c r="TYT379" s="10"/>
      <c r="TYU379" s="21"/>
      <c r="TYV379" s="21"/>
      <c r="TYY379" s="21"/>
      <c r="TYZ379" s="15"/>
      <c r="TZA379" s="15"/>
      <c r="TZB379" s="15"/>
      <c r="TZC379" s="15"/>
      <c r="TZD379" s="15"/>
      <c r="TZE379" s="15"/>
      <c r="TZF379" s="15"/>
      <c r="TZG379" s="15"/>
      <c r="TZH379" s="15"/>
      <c r="TZI379" s="15"/>
      <c r="TZJ379" s="10"/>
      <c r="TZK379" s="10"/>
      <c r="TZL379" s="21"/>
      <c r="TZM379" s="21"/>
      <c r="TZP379" s="21"/>
      <c r="TZQ379" s="15"/>
      <c r="TZR379" s="15"/>
      <c r="TZS379" s="15"/>
      <c r="TZT379" s="15"/>
      <c r="TZU379" s="15"/>
      <c r="TZV379" s="15"/>
      <c r="TZW379" s="15"/>
      <c r="TZX379" s="15"/>
      <c r="TZY379" s="15"/>
      <c r="TZZ379" s="15"/>
      <c r="UAA379" s="10"/>
      <c r="UAB379" s="10"/>
      <c r="UAC379" s="21"/>
      <c r="UAD379" s="21"/>
      <c r="UAG379" s="21"/>
      <c r="UAH379" s="15"/>
      <c r="UAI379" s="15"/>
      <c r="UAJ379" s="15"/>
      <c r="UAK379" s="15"/>
      <c r="UAL379" s="15"/>
      <c r="UAM379" s="15"/>
      <c r="UAN379" s="15"/>
      <c r="UAO379" s="15"/>
      <c r="UAP379" s="15"/>
      <c r="UAQ379" s="15"/>
      <c r="UAR379" s="10"/>
      <c r="UAS379" s="10"/>
      <c r="UAT379" s="21"/>
      <c r="UAU379" s="21"/>
      <c r="UAX379" s="21"/>
      <c r="UAY379" s="15"/>
      <c r="UAZ379" s="15"/>
      <c r="UBA379" s="15"/>
      <c r="UBB379" s="15"/>
      <c r="UBC379" s="15"/>
      <c r="UBD379" s="15"/>
      <c r="UBE379" s="15"/>
      <c r="UBF379" s="15"/>
      <c r="UBG379" s="15"/>
      <c r="UBH379" s="15"/>
      <c r="UBI379" s="10"/>
      <c r="UBJ379" s="10"/>
      <c r="UBK379" s="21"/>
      <c r="UBL379" s="21"/>
      <c r="UBO379" s="21"/>
      <c r="UBP379" s="15"/>
      <c r="UBQ379" s="15"/>
      <c r="UBR379" s="15"/>
      <c r="UBS379" s="15"/>
      <c r="UBT379" s="15"/>
      <c r="UBU379" s="15"/>
      <c r="UBV379" s="15"/>
      <c r="UBW379" s="15"/>
      <c r="UBX379" s="15"/>
      <c r="UBY379" s="15"/>
      <c r="UBZ379" s="10"/>
      <c r="UCA379" s="10"/>
      <c r="UCB379" s="21"/>
      <c r="UCC379" s="21"/>
      <c r="UCF379" s="21"/>
      <c r="UCG379" s="15"/>
      <c r="UCH379" s="15"/>
      <c r="UCI379" s="15"/>
      <c r="UCJ379" s="15"/>
      <c r="UCK379" s="15"/>
      <c r="UCL379" s="15"/>
      <c r="UCM379" s="15"/>
      <c r="UCN379" s="15"/>
      <c r="UCO379" s="15"/>
      <c r="UCP379" s="15"/>
      <c r="UCQ379" s="10"/>
      <c r="UCR379" s="10"/>
      <c r="UCS379" s="21"/>
      <c r="UCT379" s="21"/>
      <c r="UCW379" s="21"/>
      <c r="UCX379" s="15"/>
      <c r="UCY379" s="15"/>
      <c r="UCZ379" s="15"/>
      <c r="UDA379" s="15"/>
      <c r="UDB379" s="15"/>
      <c r="UDC379" s="15"/>
      <c r="UDD379" s="15"/>
      <c r="UDE379" s="15"/>
      <c r="UDF379" s="15"/>
      <c r="UDG379" s="15"/>
      <c r="UDH379" s="10"/>
      <c r="UDI379" s="10"/>
      <c r="UDJ379" s="21"/>
      <c r="UDK379" s="21"/>
      <c r="UDN379" s="21"/>
      <c r="UDO379" s="15"/>
      <c r="UDP379" s="15"/>
      <c r="UDQ379" s="15"/>
      <c r="UDR379" s="15"/>
      <c r="UDS379" s="15"/>
      <c r="UDT379" s="15"/>
      <c r="UDU379" s="15"/>
      <c r="UDV379" s="15"/>
      <c r="UDW379" s="15"/>
      <c r="UDX379" s="15"/>
      <c r="UDY379" s="10"/>
      <c r="UDZ379" s="10"/>
      <c r="UEA379" s="21"/>
      <c r="UEB379" s="21"/>
      <c r="UEE379" s="21"/>
      <c r="UEF379" s="15"/>
      <c r="UEG379" s="15"/>
      <c r="UEH379" s="15"/>
      <c r="UEI379" s="15"/>
      <c r="UEJ379" s="15"/>
      <c r="UEK379" s="15"/>
      <c r="UEL379" s="15"/>
      <c r="UEM379" s="15"/>
      <c r="UEN379" s="15"/>
      <c r="UEO379" s="15"/>
      <c r="UEP379" s="10"/>
      <c r="UEQ379" s="10"/>
      <c r="UER379" s="21"/>
      <c r="UES379" s="21"/>
      <c r="UEV379" s="21"/>
      <c r="UEW379" s="15"/>
      <c r="UEX379" s="15"/>
      <c r="UEY379" s="15"/>
      <c r="UEZ379" s="15"/>
      <c r="UFA379" s="15"/>
      <c r="UFB379" s="15"/>
      <c r="UFC379" s="15"/>
      <c r="UFD379" s="15"/>
      <c r="UFE379" s="15"/>
      <c r="UFF379" s="15"/>
      <c r="UFG379" s="10"/>
      <c r="UFH379" s="10"/>
      <c r="UFI379" s="21"/>
      <c r="UFJ379" s="21"/>
      <c r="UFM379" s="21"/>
      <c r="UFN379" s="15"/>
      <c r="UFO379" s="15"/>
      <c r="UFP379" s="15"/>
      <c r="UFQ379" s="15"/>
      <c r="UFR379" s="15"/>
      <c r="UFS379" s="15"/>
      <c r="UFT379" s="15"/>
      <c r="UFU379" s="15"/>
      <c r="UFV379" s="15"/>
      <c r="UFW379" s="15"/>
      <c r="UFX379" s="10"/>
      <c r="UFY379" s="10"/>
      <c r="UFZ379" s="21"/>
      <c r="UGA379" s="21"/>
      <c r="UGD379" s="21"/>
      <c r="UGE379" s="15"/>
      <c r="UGF379" s="15"/>
      <c r="UGG379" s="15"/>
      <c r="UGH379" s="15"/>
      <c r="UGI379" s="15"/>
      <c r="UGJ379" s="15"/>
      <c r="UGK379" s="15"/>
      <c r="UGL379" s="15"/>
      <c r="UGM379" s="15"/>
      <c r="UGN379" s="15"/>
      <c r="UGO379" s="10"/>
      <c r="UGP379" s="10"/>
      <c r="UGQ379" s="21"/>
      <c r="UGR379" s="21"/>
      <c r="UGU379" s="21"/>
      <c r="UGV379" s="15"/>
      <c r="UGW379" s="15"/>
      <c r="UGX379" s="15"/>
      <c r="UGY379" s="15"/>
      <c r="UGZ379" s="15"/>
      <c r="UHA379" s="15"/>
      <c r="UHB379" s="15"/>
      <c r="UHC379" s="15"/>
      <c r="UHD379" s="15"/>
      <c r="UHE379" s="15"/>
      <c r="UHF379" s="10"/>
      <c r="UHG379" s="10"/>
      <c r="UHH379" s="21"/>
      <c r="UHI379" s="21"/>
      <c r="UHL379" s="21"/>
      <c r="UHM379" s="15"/>
      <c r="UHN379" s="15"/>
      <c r="UHO379" s="15"/>
      <c r="UHP379" s="15"/>
      <c r="UHQ379" s="15"/>
      <c r="UHR379" s="15"/>
      <c r="UHS379" s="15"/>
      <c r="UHT379" s="15"/>
      <c r="UHU379" s="15"/>
      <c r="UHV379" s="15"/>
      <c r="UHW379" s="10"/>
      <c r="UHX379" s="10"/>
      <c r="UHY379" s="21"/>
      <c r="UHZ379" s="21"/>
      <c r="UIC379" s="21"/>
      <c r="UID379" s="15"/>
      <c r="UIE379" s="15"/>
      <c r="UIF379" s="15"/>
      <c r="UIG379" s="15"/>
      <c r="UIH379" s="15"/>
      <c r="UII379" s="15"/>
      <c r="UIJ379" s="15"/>
      <c r="UIK379" s="15"/>
      <c r="UIL379" s="15"/>
      <c r="UIM379" s="15"/>
      <c r="UIN379" s="10"/>
      <c r="UIO379" s="10"/>
      <c r="UIP379" s="21"/>
      <c r="UIQ379" s="21"/>
      <c r="UIT379" s="21"/>
      <c r="UIU379" s="15"/>
      <c r="UIV379" s="15"/>
      <c r="UIW379" s="15"/>
      <c r="UIX379" s="15"/>
      <c r="UIY379" s="15"/>
      <c r="UIZ379" s="15"/>
      <c r="UJA379" s="15"/>
      <c r="UJB379" s="15"/>
      <c r="UJC379" s="15"/>
      <c r="UJD379" s="15"/>
      <c r="UJE379" s="10"/>
      <c r="UJF379" s="10"/>
      <c r="UJG379" s="21"/>
      <c r="UJH379" s="21"/>
      <c r="UJK379" s="21"/>
      <c r="UJL379" s="15"/>
      <c r="UJM379" s="15"/>
      <c r="UJN379" s="15"/>
      <c r="UJO379" s="15"/>
      <c r="UJP379" s="15"/>
      <c r="UJQ379" s="15"/>
      <c r="UJR379" s="15"/>
      <c r="UJS379" s="15"/>
      <c r="UJT379" s="15"/>
      <c r="UJU379" s="15"/>
      <c r="UJV379" s="10"/>
      <c r="UJW379" s="10"/>
      <c r="UJX379" s="21"/>
      <c r="UJY379" s="21"/>
      <c r="UKB379" s="21"/>
      <c r="UKC379" s="15"/>
      <c r="UKD379" s="15"/>
      <c r="UKE379" s="15"/>
      <c r="UKF379" s="15"/>
      <c r="UKG379" s="15"/>
      <c r="UKH379" s="15"/>
      <c r="UKI379" s="15"/>
      <c r="UKJ379" s="15"/>
      <c r="UKK379" s="15"/>
      <c r="UKL379" s="15"/>
      <c r="UKM379" s="10"/>
      <c r="UKN379" s="10"/>
      <c r="UKO379" s="21"/>
      <c r="UKP379" s="21"/>
      <c r="UKS379" s="21"/>
      <c r="UKT379" s="15"/>
      <c r="UKU379" s="15"/>
      <c r="UKV379" s="15"/>
      <c r="UKW379" s="15"/>
      <c r="UKX379" s="15"/>
      <c r="UKY379" s="15"/>
      <c r="UKZ379" s="15"/>
      <c r="ULA379" s="15"/>
      <c r="ULB379" s="15"/>
      <c r="ULC379" s="15"/>
      <c r="ULD379" s="10"/>
      <c r="ULE379" s="10"/>
      <c r="ULF379" s="21"/>
      <c r="ULG379" s="21"/>
      <c r="ULJ379" s="21"/>
      <c r="ULK379" s="15"/>
      <c r="ULL379" s="15"/>
      <c r="ULM379" s="15"/>
      <c r="ULN379" s="15"/>
      <c r="ULO379" s="15"/>
      <c r="ULP379" s="15"/>
      <c r="ULQ379" s="15"/>
      <c r="ULR379" s="15"/>
      <c r="ULS379" s="15"/>
      <c r="ULT379" s="15"/>
      <c r="ULU379" s="10"/>
      <c r="ULV379" s="10"/>
      <c r="ULW379" s="21"/>
      <c r="ULX379" s="21"/>
      <c r="UMA379" s="21"/>
      <c r="UMB379" s="15"/>
      <c r="UMC379" s="15"/>
      <c r="UMD379" s="15"/>
      <c r="UME379" s="15"/>
      <c r="UMF379" s="15"/>
      <c r="UMG379" s="15"/>
      <c r="UMH379" s="15"/>
      <c r="UMI379" s="15"/>
      <c r="UMJ379" s="15"/>
      <c r="UMK379" s="15"/>
      <c r="UML379" s="10"/>
      <c r="UMM379" s="10"/>
      <c r="UMN379" s="21"/>
      <c r="UMO379" s="21"/>
      <c r="UMR379" s="21"/>
      <c r="UMS379" s="15"/>
      <c r="UMT379" s="15"/>
      <c r="UMU379" s="15"/>
      <c r="UMV379" s="15"/>
      <c r="UMW379" s="15"/>
      <c r="UMX379" s="15"/>
      <c r="UMY379" s="15"/>
      <c r="UMZ379" s="15"/>
      <c r="UNA379" s="15"/>
      <c r="UNB379" s="15"/>
      <c r="UNC379" s="10"/>
      <c r="UND379" s="10"/>
      <c r="UNE379" s="21"/>
      <c r="UNF379" s="21"/>
      <c r="UNI379" s="21"/>
      <c r="UNJ379" s="15"/>
      <c r="UNK379" s="15"/>
      <c r="UNL379" s="15"/>
      <c r="UNM379" s="15"/>
      <c r="UNN379" s="15"/>
      <c r="UNO379" s="15"/>
      <c r="UNP379" s="15"/>
      <c r="UNQ379" s="15"/>
      <c r="UNR379" s="15"/>
      <c r="UNS379" s="15"/>
      <c r="UNT379" s="10"/>
      <c r="UNU379" s="10"/>
      <c r="UNV379" s="21"/>
      <c r="UNW379" s="21"/>
      <c r="UNZ379" s="21"/>
      <c r="UOA379" s="15"/>
      <c r="UOB379" s="15"/>
      <c r="UOC379" s="15"/>
      <c r="UOD379" s="15"/>
      <c r="UOE379" s="15"/>
      <c r="UOF379" s="15"/>
      <c r="UOG379" s="15"/>
      <c r="UOH379" s="15"/>
      <c r="UOI379" s="15"/>
      <c r="UOJ379" s="15"/>
      <c r="UOK379" s="10"/>
      <c r="UOL379" s="10"/>
      <c r="UOM379" s="21"/>
      <c r="UON379" s="21"/>
      <c r="UOQ379" s="21"/>
      <c r="UOR379" s="15"/>
      <c r="UOS379" s="15"/>
      <c r="UOT379" s="15"/>
      <c r="UOU379" s="15"/>
      <c r="UOV379" s="15"/>
      <c r="UOW379" s="15"/>
      <c r="UOX379" s="15"/>
      <c r="UOY379" s="15"/>
      <c r="UOZ379" s="15"/>
      <c r="UPA379" s="15"/>
      <c r="UPB379" s="10"/>
      <c r="UPC379" s="10"/>
      <c r="UPD379" s="21"/>
      <c r="UPE379" s="21"/>
      <c r="UPH379" s="21"/>
      <c r="UPI379" s="15"/>
      <c r="UPJ379" s="15"/>
      <c r="UPK379" s="15"/>
      <c r="UPL379" s="15"/>
      <c r="UPM379" s="15"/>
      <c r="UPN379" s="15"/>
      <c r="UPO379" s="15"/>
      <c r="UPP379" s="15"/>
      <c r="UPQ379" s="15"/>
      <c r="UPR379" s="15"/>
      <c r="UPS379" s="10"/>
      <c r="UPT379" s="10"/>
      <c r="UPU379" s="21"/>
      <c r="UPV379" s="21"/>
      <c r="UPY379" s="21"/>
      <c r="UPZ379" s="15"/>
      <c r="UQA379" s="15"/>
      <c r="UQB379" s="15"/>
      <c r="UQC379" s="15"/>
      <c r="UQD379" s="15"/>
      <c r="UQE379" s="15"/>
      <c r="UQF379" s="15"/>
      <c r="UQG379" s="15"/>
      <c r="UQH379" s="15"/>
      <c r="UQI379" s="15"/>
      <c r="UQJ379" s="10"/>
      <c r="UQK379" s="10"/>
      <c r="UQL379" s="21"/>
      <c r="UQM379" s="21"/>
      <c r="UQP379" s="21"/>
      <c r="UQQ379" s="15"/>
      <c r="UQR379" s="15"/>
      <c r="UQS379" s="15"/>
      <c r="UQT379" s="15"/>
      <c r="UQU379" s="15"/>
      <c r="UQV379" s="15"/>
      <c r="UQW379" s="15"/>
      <c r="UQX379" s="15"/>
      <c r="UQY379" s="15"/>
      <c r="UQZ379" s="15"/>
      <c r="URA379" s="10"/>
      <c r="URB379" s="10"/>
      <c r="URC379" s="21"/>
      <c r="URD379" s="21"/>
      <c r="URG379" s="21"/>
      <c r="URH379" s="15"/>
      <c r="URI379" s="15"/>
      <c r="URJ379" s="15"/>
      <c r="URK379" s="15"/>
      <c r="URL379" s="15"/>
      <c r="URM379" s="15"/>
      <c r="URN379" s="15"/>
      <c r="URO379" s="15"/>
      <c r="URP379" s="15"/>
      <c r="URQ379" s="15"/>
      <c r="URR379" s="10"/>
      <c r="URS379" s="10"/>
      <c r="URT379" s="21"/>
      <c r="URU379" s="21"/>
      <c r="URX379" s="21"/>
      <c r="URY379" s="15"/>
      <c r="URZ379" s="15"/>
      <c r="USA379" s="15"/>
      <c r="USB379" s="15"/>
      <c r="USC379" s="15"/>
      <c r="USD379" s="15"/>
      <c r="USE379" s="15"/>
      <c r="USF379" s="15"/>
      <c r="USG379" s="15"/>
      <c r="USH379" s="15"/>
      <c r="USI379" s="10"/>
      <c r="USJ379" s="10"/>
      <c r="USK379" s="21"/>
      <c r="USL379" s="21"/>
      <c r="USO379" s="21"/>
      <c r="USP379" s="15"/>
      <c r="USQ379" s="15"/>
      <c r="USR379" s="15"/>
      <c r="USS379" s="15"/>
      <c r="UST379" s="15"/>
      <c r="USU379" s="15"/>
      <c r="USV379" s="15"/>
      <c r="USW379" s="15"/>
      <c r="USX379" s="15"/>
      <c r="USY379" s="15"/>
      <c r="USZ379" s="10"/>
      <c r="UTA379" s="10"/>
      <c r="UTB379" s="21"/>
      <c r="UTC379" s="21"/>
      <c r="UTF379" s="21"/>
      <c r="UTG379" s="15"/>
      <c r="UTH379" s="15"/>
      <c r="UTI379" s="15"/>
      <c r="UTJ379" s="15"/>
      <c r="UTK379" s="15"/>
      <c r="UTL379" s="15"/>
      <c r="UTM379" s="15"/>
      <c r="UTN379" s="15"/>
      <c r="UTO379" s="15"/>
      <c r="UTP379" s="15"/>
      <c r="UTQ379" s="10"/>
      <c r="UTR379" s="10"/>
      <c r="UTS379" s="21"/>
      <c r="UTT379" s="21"/>
      <c r="UTW379" s="21"/>
      <c r="UTX379" s="15"/>
      <c r="UTY379" s="15"/>
      <c r="UTZ379" s="15"/>
      <c r="UUA379" s="15"/>
      <c r="UUB379" s="15"/>
      <c r="UUC379" s="15"/>
      <c r="UUD379" s="15"/>
      <c r="UUE379" s="15"/>
      <c r="UUF379" s="15"/>
      <c r="UUG379" s="15"/>
      <c r="UUH379" s="10"/>
      <c r="UUI379" s="10"/>
      <c r="UUJ379" s="21"/>
      <c r="UUK379" s="21"/>
      <c r="UUN379" s="21"/>
      <c r="UUO379" s="15"/>
      <c r="UUP379" s="15"/>
      <c r="UUQ379" s="15"/>
      <c r="UUR379" s="15"/>
      <c r="UUS379" s="15"/>
      <c r="UUT379" s="15"/>
      <c r="UUU379" s="15"/>
      <c r="UUV379" s="15"/>
      <c r="UUW379" s="15"/>
      <c r="UUX379" s="15"/>
      <c r="UUY379" s="10"/>
      <c r="UUZ379" s="10"/>
      <c r="UVA379" s="21"/>
      <c r="UVB379" s="21"/>
      <c r="UVE379" s="21"/>
      <c r="UVF379" s="15"/>
      <c r="UVG379" s="15"/>
      <c r="UVH379" s="15"/>
      <c r="UVI379" s="15"/>
      <c r="UVJ379" s="15"/>
      <c r="UVK379" s="15"/>
      <c r="UVL379" s="15"/>
      <c r="UVM379" s="15"/>
      <c r="UVN379" s="15"/>
      <c r="UVO379" s="15"/>
      <c r="UVP379" s="10"/>
      <c r="UVQ379" s="10"/>
      <c r="UVR379" s="21"/>
      <c r="UVS379" s="21"/>
      <c r="UVV379" s="21"/>
      <c r="UVW379" s="15"/>
      <c r="UVX379" s="15"/>
      <c r="UVY379" s="15"/>
      <c r="UVZ379" s="15"/>
      <c r="UWA379" s="15"/>
      <c r="UWB379" s="15"/>
      <c r="UWC379" s="15"/>
      <c r="UWD379" s="15"/>
      <c r="UWE379" s="15"/>
      <c r="UWF379" s="15"/>
      <c r="UWG379" s="10"/>
      <c r="UWH379" s="10"/>
      <c r="UWI379" s="21"/>
      <c r="UWJ379" s="21"/>
      <c r="UWM379" s="21"/>
      <c r="UWN379" s="15"/>
      <c r="UWO379" s="15"/>
      <c r="UWP379" s="15"/>
      <c r="UWQ379" s="15"/>
      <c r="UWR379" s="15"/>
      <c r="UWS379" s="15"/>
      <c r="UWT379" s="15"/>
      <c r="UWU379" s="15"/>
      <c r="UWV379" s="15"/>
      <c r="UWW379" s="15"/>
      <c r="UWX379" s="10"/>
      <c r="UWY379" s="10"/>
      <c r="UWZ379" s="21"/>
      <c r="UXA379" s="21"/>
      <c r="UXD379" s="21"/>
      <c r="UXE379" s="15"/>
      <c r="UXF379" s="15"/>
      <c r="UXG379" s="15"/>
      <c r="UXH379" s="15"/>
      <c r="UXI379" s="15"/>
      <c r="UXJ379" s="15"/>
      <c r="UXK379" s="15"/>
      <c r="UXL379" s="15"/>
      <c r="UXM379" s="15"/>
      <c r="UXN379" s="15"/>
      <c r="UXO379" s="10"/>
      <c r="UXP379" s="10"/>
      <c r="UXQ379" s="21"/>
      <c r="UXR379" s="21"/>
      <c r="UXU379" s="21"/>
      <c r="UXV379" s="15"/>
      <c r="UXW379" s="15"/>
      <c r="UXX379" s="15"/>
      <c r="UXY379" s="15"/>
      <c r="UXZ379" s="15"/>
      <c r="UYA379" s="15"/>
      <c r="UYB379" s="15"/>
      <c r="UYC379" s="15"/>
      <c r="UYD379" s="15"/>
      <c r="UYE379" s="15"/>
      <c r="UYF379" s="10"/>
      <c r="UYG379" s="10"/>
      <c r="UYH379" s="21"/>
      <c r="UYI379" s="21"/>
      <c r="UYL379" s="21"/>
      <c r="UYM379" s="15"/>
      <c r="UYN379" s="15"/>
      <c r="UYO379" s="15"/>
      <c r="UYP379" s="15"/>
      <c r="UYQ379" s="15"/>
      <c r="UYR379" s="15"/>
      <c r="UYS379" s="15"/>
      <c r="UYT379" s="15"/>
      <c r="UYU379" s="15"/>
      <c r="UYV379" s="15"/>
      <c r="UYW379" s="10"/>
      <c r="UYX379" s="10"/>
      <c r="UYY379" s="21"/>
      <c r="UYZ379" s="21"/>
      <c r="UZC379" s="21"/>
      <c r="UZD379" s="15"/>
      <c r="UZE379" s="15"/>
      <c r="UZF379" s="15"/>
      <c r="UZG379" s="15"/>
      <c r="UZH379" s="15"/>
      <c r="UZI379" s="15"/>
      <c r="UZJ379" s="15"/>
      <c r="UZK379" s="15"/>
      <c r="UZL379" s="15"/>
      <c r="UZM379" s="15"/>
      <c r="UZN379" s="10"/>
      <c r="UZO379" s="10"/>
      <c r="UZP379" s="21"/>
      <c r="UZQ379" s="21"/>
      <c r="UZT379" s="21"/>
      <c r="UZU379" s="15"/>
      <c r="UZV379" s="15"/>
      <c r="UZW379" s="15"/>
      <c r="UZX379" s="15"/>
      <c r="UZY379" s="15"/>
      <c r="UZZ379" s="15"/>
      <c r="VAA379" s="15"/>
      <c r="VAB379" s="15"/>
      <c r="VAC379" s="15"/>
      <c r="VAD379" s="15"/>
      <c r="VAE379" s="10"/>
      <c r="VAF379" s="10"/>
      <c r="VAG379" s="21"/>
      <c r="VAH379" s="21"/>
      <c r="VAK379" s="21"/>
      <c r="VAL379" s="15"/>
      <c r="VAM379" s="15"/>
      <c r="VAN379" s="15"/>
      <c r="VAO379" s="15"/>
      <c r="VAP379" s="15"/>
      <c r="VAQ379" s="15"/>
      <c r="VAR379" s="15"/>
      <c r="VAS379" s="15"/>
      <c r="VAT379" s="15"/>
      <c r="VAU379" s="15"/>
      <c r="VAV379" s="10"/>
      <c r="VAW379" s="10"/>
      <c r="VAX379" s="21"/>
      <c r="VAY379" s="21"/>
      <c r="VBB379" s="21"/>
      <c r="VBC379" s="15"/>
      <c r="VBD379" s="15"/>
      <c r="VBE379" s="15"/>
      <c r="VBF379" s="15"/>
      <c r="VBG379" s="15"/>
      <c r="VBH379" s="15"/>
      <c r="VBI379" s="15"/>
      <c r="VBJ379" s="15"/>
      <c r="VBK379" s="15"/>
      <c r="VBL379" s="15"/>
      <c r="VBM379" s="10"/>
      <c r="VBN379" s="10"/>
      <c r="VBO379" s="21"/>
      <c r="VBP379" s="21"/>
      <c r="VBS379" s="21"/>
      <c r="VBT379" s="15"/>
      <c r="VBU379" s="15"/>
      <c r="VBV379" s="15"/>
      <c r="VBW379" s="15"/>
      <c r="VBX379" s="15"/>
      <c r="VBY379" s="15"/>
      <c r="VBZ379" s="15"/>
      <c r="VCA379" s="15"/>
      <c r="VCB379" s="15"/>
      <c r="VCC379" s="15"/>
      <c r="VCD379" s="10"/>
      <c r="VCE379" s="10"/>
      <c r="VCF379" s="21"/>
      <c r="VCG379" s="21"/>
      <c r="VCJ379" s="21"/>
      <c r="VCK379" s="15"/>
      <c r="VCL379" s="15"/>
      <c r="VCM379" s="15"/>
      <c r="VCN379" s="15"/>
      <c r="VCO379" s="15"/>
      <c r="VCP379" s="15"/>
      <c r="VCQ379" s="15"/>
      <c r="VCR379" s="15"/>
      <c r="VCS379" s="15"/>
      <c r="VCT379" s="15"/>
      <c r="VCU379" s="10"/>
      <c r="VCV379" s="10"/>
      <c r="VCW379" s="21"/>
      <c r="VCX379" s="21"/>
      <c r="VDA379" s="21"/>
      <c r="VDB379" s="15"/>
      <c r="VDC379" s="15"/>
      <c r="VDD379" s="15"/>
      <c r="VDE379" s="15"/>
      <c r="VDF379" s="15"/>
      <c r="VDG379" s="15"/>
      <c r="VDH379" s="15"/>
      <c r="VDI379" s="15"/>
      <c r="VDJ379" s="15"/>
      <c r="VDK379" s="15"/>
      <c r="VDL379" s="10"/>
      <c r="VDM379" s="10"/>
      <c r="VDN379" s="21"/>
      <c r="VDO379" s="21"/>
      <c r="VDR379" s="21"/>
      <c r="VDS379" s="15"/>
      <c r="VDT379" s="15"/>
      <c r="VDU379" s="15"/>
      <c r="VDV379" s="15"/>
      <c r="VDW379" s="15"/>
      <c r="VDX379" s="15"/>
      <c r="VDY379" s="15"/>
      <c r="VDZ379" s="15"/>
      <c r="VEA379" s="15"/>
      <c r="VEB379" s="15"/>
      <c r="VEC379" s="10"/>
      <c r="VED379" s="10"/>
      <c r="VEE379" s="21"/>
      <c r="VEF379" s="21"/>
      <c r="VEI379" s="21"/>
      <c r="VEJ379" s="15"/>
      <c r="VEK379" s="15"/>
      <c r="VEL379" s="15"/>
      <c r="VEM379" s="15"/>
      <c r="VEN379" s="15"/>
      <c r="VEO379" s="15"/>
      <c r="VEP379" s="15"/>
      <c r="VEQ379" s="15"/>
      <c r="VER379" s="15"/>
      <c r="VES379" s="15"/>
      <c r="VET379" s="10"/>
      <c r="VEU379" s="10"/>
      <c r="VEV379" s="21"/>
      <c r="VEW379" s="21"/>
      <c r="VEZ379" s="21"/>
      <c r="VFA379" s="15"/>
      <c r="VFB379" s="15"/>
      <c r="VFC379" s="15"/>
      <c r="VFD379" s="15"/>
      <c r="VFE379" s="15"/>
      <c r="VFF379" s="15"/>
      <c r="VFG379" s="15"/>
      <c r="VFH379" s="15"/>
      <c r="VFI379" s="15"/>
      <c r="VFJ379" s="15"/>
      <c r="VFK379" s="10"/>
      <c r="VFL379" s="10"/>
      <c r="VFM379" s="21"/>
      <c r="VFN379" s="21"/>
      <c r="VFQ379" s="21"/>
      <c r="VFR379" s="15"/>
      <c r="VFS379" s="15"/>
      <c r="VFT379" s="15"/>
      <c r="VFU379" s="15"/>
      <c r="VFV379" s="15"/>
      <c r="VFW379" s="15"/>
      <c r="VFX379" s="15"/>
      <c r="VFY379" s="15"/>
      <c r="VFZ379" s="15"/>
      <c r="VGA379" s="15"/>
      <c r="VGB379" s="10"/>
      <c r="VGC379" s="10"/>
      <c r="VGD379" s="21"/>
      <c r="VGE379" s="21"/>
      <c r="VGH379" s="21"/>
      <c r="VGI379" s="15"/>
      <c r="VGJ379" s="15"/>
      <c r="VGK379" s="15"/>
      <c r="VGL379" s="15"/>
      <c r="VGM379" s="15"/>
      <c r="VGN379" s="15"/>
      <c r="VGO379" s="15"/>
      <c r="VGP379" s="15"/>
      <c r="VGQ379" s="15"/>
      <c r="VGR379" s="15"/>
      <c r="VGS379" s="10"/>
      <c r="VGT379" s="10"/>
      <c r="VGU379" s="21"/>
      <c r="VGV379" s="21"/>
      <c r="VGY379" s="21"/>
      <c r="VGZ379" s="15"/>
      <c r="VHA379" s="15"/>
      <c r="VHB379" s="15"/>
      <c r="VHC379" s="15"/>
      <c r="VHD379" s="15"/>
      <c r="VHE379" s="15"/>
      <c r="VHF379" s="15"/>
      <c r="VHG379" s="15"/>
      <c r="VHH379" s="15"/>
      <c r="VHI379" s="15"/>
      <c r="VHJ379" s="10"/>
      <c r="VHK379" s="10"/>
      <c r="VHL379" s="21"/>
      <c r="VHM379" s="21"/>
      <c r="VHP379" s="21"/>
      <c r="VHQ379" s="15"/>
      <c r="VHR379" s="15"/>
      <c r="VHS379" s="15"/>
      <c r="VHT379" s="15"/>
      <c r="VHU379" s="15"/>
      <c r="VHV379" s="15"/>
      <c r="VHW379" s="15"/>
      <c r="VHX379" s="15"/>
      <c r="VHY379" s="15"/>
      <c r="VHZ379" s="15"/>
      <c r="VIA379" s="10"/>
      <c r="VIB379" s="10"/>
      <c r="VIC379" s="21"/>
      <c r="VID379" s="21"/>
      <c r="VIG379" s="21"/>
      <c r="VIH379" s="15"/>
      <c r="VII379" s="15"/>
      <c r="VIJ379" s="15"/>
      <c r="VIK379" s="15"/>
      <c r="VIL379" s="15"/>
      <c r="VIM379" s="15"/>
      <c r="VIN379" s="15"/>
      <c r="VIO379" s="15"/>
      <c r="VIP379" s="15"/>
      <c r="VIQ379" s="15"/>
      <c r="VIR379" s="10"/>
      <c r="VIS379" s="10"/>
      <c r="VIT379" s="21"/>
      <c r="VIU379" s="21"/>
      <c r="VIX379" s="21"/>
      <c r="VIY379" s="15"/>
      <c r="VIZ379" s="15"/>
      <c r="VJA379" s="15"/>
      <c r="VJB379" s="15"/>
      <c r="VJC379" s="15"/>
      <c r="VJD379" s="15"/>
      <c r="VJE379" s="15"/>
      <c r="VJF379" s="15"/>
      <c r="VJG379" s="15"/>
      <c r="VJH379" s="15"/>
      <c r="VJI379" s="10"/>
      <c r="VJJ379" s="10"/>
      <c r="VJK379" s="21"/>
      <c r="VJL379" s="21"/>
      <c r="VJO379" s="21"/>
      <c r="VJP379" s="15"/>
      <c r="VJQ379" s="15"/>
      <c r="VJR379" s="15"/>
      <c r="VJS379" s="15"/>
      <c r="VJT379" s="15"/>
      <c r="VJU379" s="15"/>
      <c r="VJV379" s="15"/>
      <c r="VJW379" s="15"/>
      <c r="VJX379" s="15"/>
      <c r="VJY379" s="15"/>
      <c r="VJZ379" s="10"/>
      <c r="VKA379" s="10"/>
      <c r="VKB379" s="21"/>
      <c r="VKC379" s="21"/>
      <c r="VKF379" s="21"/>
      <c r="VKG379" s="15"/>
      <c r="VKH379" s="15"/>
      <c r="VKI379" s="15"/>
      <c r="VKJ379" s="15"/>
      <c r="VKK379" s="15"/>
      <c r="VKL379" s="15"/>
      <c r="VKM379" s="15"/>
      <c r="VKN379" s="15"/>
      <c r="VKO379" s="15"/>
      <c r="VKP379" s="15"/>
      <c r="VKQ379" s="10"/>
      <c r="VKR379" s="10"/>
      <c r="VKS379" s="21"/>
      <c r="VKT379" s="21"/>
      <c r="VKW379" s="21"/>
      <c r="VKX379" s="15"/>
      <c r="VKY379" s="15"/>
      <c r="VKZ379" s="15"/>
      <c r="VLA379" s="15"/>
      <c r="VLB379" s="15"/>
      <c r="VLC379" s="15"/>
      <c r="VLD379" s="15"/>
      <c r="VLE379" s="15"/>
      <c r="VLF379" s="15"/>
      <c r="VLG379" s="15"/>
      <c r="VLH379" s="10"/>
      <c r="VLI379" s="10"/>
      <c r="VLJ379" s="21"/>
      <c r="VLK379" s="21"/>
      <c r="VLN379" s="21"/>
      <c r="VLO379" s="15"/>
      <c r="VLP379" s="15"/>
      <c r="VLQ379" s="15"/>
      <c r="VLR379" s="15"/>
      <c r="VLS379" s="15"/>
      <c r="VLT379" s="15"/>
      <c r="VLU379" s="15"/>
      <c r="VLV379" s="15"/>
      <c r="VLW379" s="15"/>
      <c r="VLX379" s="15"/>
      <c r="VLY379" s="10"/>
      <c r="VLZ379" s="10"/>
      <c r="VMA379" s="21"/>
      <c r="VMB379" s="21"/>
      <c r="VME379" s="21"/>
      <c r="VMF379" s="15"/>
      <c r="VMG379" s="15"/>
      <c r="VMH379" s="15"/>
      <c r="VMI379" s="15"/>
      <c r="VMJ379" s="15"/>
      <c r="VMK379" s="15"/>
      <c r="VML379" s="15"/>
      <c r="VMM379" s="15"/>
      <c r="VMN379" s="15"/>
      <c r="VMO379" s="15"/>
      <c r="VMP379" s="10"/>
      <c r="VMQ379" s="10"/>
      <c r="VMR379" s="21"/>
      <c r="VMS379" s="21"/>
      <c r="VMV379" s="21"/>
      <c r="VMW379" s="15"/>
      <c r="VMX379" s="15"/>
      <c r="VMY379" s="15"/>
      <c r="VMZ379" s="15"/>
      <c r="VNA379" s="15"/>
      <c r="VNB379" s="15"/>
      <c r="VNC379" s="15"/>
      <c r="VND379" s="15"/>
      <c r="VNE379" s="15"/>
      <c r="VNF379" s="15"/>
      <c r="VNG379" s="10"/>
      <c r="VNH379" s="10"/>
      <c r="VNI379" s="21"/>
      <c r="VNJ379" s="21"/>
      <c r="VNM379" s="21"/>
      <c r="VNN379" s="15"/>
      <c r="VNO379" s="15"/>
      <c r="VNP379" s="15"/>
      <c r="VNQ379" s="15"/>
      <c r="VNR379" s="15"/>
      <c r="VNS379" s="15"/>
      <c r="VNT379" s="15"/>
      <c r="VNU379" s="15"/>
      <c r="VNV379" s="15"/>
      <c r="VNW379" s="15"/>
      <c r="VNX379" s="10"/>
      <c r="VNY379" s="10"/>
      <c r="VNZ379" s="21"/>
      <c r="VOA379" s="21"/>
      <c r="VOD379" s="21"/>
      <c r="VOE379" s="15"/>
      <c r="VOF379" s="15"/>
      <c r="VOG379" s="15"/>
      <c r="VOH379" s="15"/>
      <c r="VOI379" s="15"/>
      <c r="VOJ379" s="15"/>
      <c r="VOK379" s="15"/>
      <c r="VOL379" s="15"/>
      <c r="VOM379" s="15"/>
      <c r="VON379" s="15"/>
      <c r="VOO379" s="10"/>
      <c r="VOP379" s="10"/>
      <c r="VOQ379" s="21"/>
      <c r="VOR379" s="21"/>
      <c r="VOU379" s="21"/>
      <c r="VOV379" s="15"/>
      <c r="VOW379" s="15"/>
      <c r="VOX379" s="15"/>
      <c r="VOY379" s="15"/>
      <c r="VOZ379" s="15"/>
      <c r="VPA379" s="15"/>
      <c r="VPB379" s="15"/>
      <c r="VPC379" s="15"/>
      <c r="VPD379" s="15"/>
      <c r="VPE379" s="15"/>
      <c r="VPF379" s="10"/>
      <c r="VPG379" s="10"/>
      <c r="VPH379" s="21"/>
      <c r="VPI379" s="21"/>
      <c r="VPL379" s="21"/>
      <c r="VPM379" s="15"/>
      <c r="VPN379" s="15"/>
      <c r="VPO379" s="15"/>
      <c r="VPP379" s="15"/>
      <c r="VPQ379" s="15"/>
      <c r="VPR379" s="15"/>
      <c r="VPS379" s="15"/>
      <c r="VPT379" s="15"/>
      <c r="VPU379" s="15"/>
      <c r="VPV379" s="15"/>
      <c r="VPW379" s="10"/>
      <c r="VPX379" s="10"/>
      <c r="VPY379" s="21"/>
      <c r="VPZ379" s="21"/>
      <c r="VQC379" s="21"/>
      <c r="VQD379" s="15"/>
      <c r="VQE379" s="15"/>
      <c r="VQF379" s="15"/>
      <c r="VQG379" s="15"/>
      <c r="VQH379" s="15"/>
      <c r="VQI379" s="15"/>
      <c r="VQJ379" s="15"/>
      <c r="VQK379" s="15"/>
      <c r="VQL379" s="15"/>
      <c r="VQM379" s="15"/>
      <c r="VQN379" s="10"/>
      <c r="VQO379" s="10"/>
      <c r="VQP379" s="21"/>
      <c r="VQQ379" s="21"/>
      <c r="VQT379" s="21"/>
      <c r="VQU379" s="15"/>
      <c r="VQV379" s="15"/>
      <c r="VQW379" s="15"/>
      <c r="VQX379" s="15"/>
      <c r="VQY379" s="15"/>
      <c r="VQZ379" s="15"/>
      <c r="VRA379" s="15"/>
      <c r="VRB379" s="15"/>
      <c r="VRC379" s="15"/>
      <c r="VRD379" s="15"/>
      <c r="VRE379" s="10"/>
      <c r="VRF379" s="10"/>
      <c r="VRG379" s="21"/>
      <c r="VRH379" s="21"/>
      <c r="VRK379" s="21"/>
      <c r="VRL379" s="15"/>
      <c r="VRM379" s="15"/>
      <c r="VRN379" s="15"/>
      <c r="VRO379" s="15"/>
      <c r="VRP379" s="15"/>
      <c r="VRQ379" s="15"/>
      <c r="VRR379" s="15"/>
      <c r="VRS379" s="15"/>
      <c r="VRT379" s="15"/>
      <c r="VRU379" s="15"/>
      <c r="VRV379" s="10"/>
      <c r="VRW379" s="10"/>
      <c r="VRX379" s="21"/>
      <c r="VRY379" s="21"/>
      <c r="VSB379" s="21"/>
      <c r="VSC379" s="15"/>
      <c r="VSD379" s="15"/>
      <c r="VSE379" s="15"/>
      <c r="VSF379" s="15"/>
      <c r="VSG379" s="15"/>
      <c r="VSH379" s="15"/>
      <c r="VSI379" s="15"/>
      <c r="VSJ379" s="15"/>
      <c r="VSK379" s="15"/>
      <c r="VSL379" s="15"/>
      <c r="VSM379" s="10"/>
      <c r="VSN379" s="10"/>
      <c r="VSO379" s="21"/>
      <c r="VSP379" s="21"/>
      <c r="VSS379" s="21"/>
      <c r="VST379" s="15"/>
      <c r="VSU379" s="15"/>
      <c r="VSV379" s="15"/>
      <c r="VSW379" s="15"/>
      <c r="VSX379" s="15"/>
      <c r="VSY379" s="15"/>
      <c r="VSZ379" s="15"/>
      <c r="VTA379" s="15"/>
      <c r="VTB379" s="15"/>
      <c r="VTC379" s="15"/>
      <c r="VTD379" s="10"/>
      <c r="VTE379" s="10"/>
      <c r="VTF379" s="21"/>
      <c r="VTG379" s="21"/>
      <c r="VTJ379" s="21"/>
      <c r="VTK379" s="15"/>
      <c r="VTL379" s="15"/>
      <c r="VTM379" s="15"/>
      <c r="VTN379" s="15"/>
      <c r="VTO379" s="15"/>
      <c r="VTP379" s="15"/>
      <c r="VTQ379" s="15"/>
      <c r="VTR379" s="15"/>
      <c r="VTS379" s="15"/>
      <c r="VTT379" s="15"/>
      <c r="VTU379" s="10"/>
      <c r="VTV379" s="10"/>
      <c r="VTW379" s="21"/>
      <c r="VTX379" s="21"/>
      <c r="VUA379" s="21"/>
      <c r="VUB379" s="15"/>
      <c r="VUC379" s="15"/>
      <c r="VUD379" s="15"/>
      <c r="VUE379" s="15"/>
      <c r="VUF379" s="15"/>
      <c r="VUG379" s="15"/>
      <c r="VUH379" s="15"/>
      <c r="VUI379" s="15"/>
      <c r="VUJ379" s="15"/>
      <c r="VUK379" s="15"/>
      <c r="VUL379" s="10"/>
      <c r="VUM379" s="10"/>
      <c r="VUN379" s="21"/>
      <c r="VUO379" s="21"/>
      <c r="VUR379" s="21"/>
      <c r="VUS379" s="15"/>
      <c r="VUT379" s="15"/>
      <c r="VUU379" s="15"/>
      <c r="VUV379" s="15"/>
      <c r="VUW379" s="15"/>
      <c r="VUX379" s="15"/>
      <c r="VUY379" s="15"/>
      <c r="VUZ379" s="15"/>
      <c r="VVA379" s="15"/>
      <c r="VVB379" s="15"/>
      <c r="VVC379" s="10"/>
      <c r="VVD379" s="10"/>
      <c r="VVE379" s="21"/>
      <c r="VVF379" s="21"/>
      <c r="VVI379" s="21"/>
      <c r="VVJ379" s="15"/>
      <c r="VVK379" s="15"/>
      <c r="VVL379" s="15"/>
      <c r="VVM379" s="15"/>
      <c r="VVN379" s="15"/>
      <c r="VVO379" s="15"/>
      <c r="VVP379" s="15"/>
      <c r="VVQ379" s="15"/>
      <c r="VVR379" s="15"/>
      <c r="VVS379" s="15"/>
      <c r="VVT379" s="10"/>
      <c r="VVU379" s="10"/>
      <c r="VVV379" s="21"/>
      <c r="VVW379" s="21"/>
      <c r="VVZ379" s="21"/>
      <c r="VWA379" s="15"/>
      <c r="VWB379" s="15"/>
      <c r="VWC379" s="15"/>
      <c r="VWD379" s="15"/>
      <c r="VWE379" s="15"/>
      <c r="VWF379" s="15"/>
      <c r="VWG379" s="15"/>
      <c r="VWH379" s="15"/>
      <c r="VWI379" s="15"/>
      <c r="VWJ379" s="15"/>
      <c r="VWK379" s="10"/>
      <c r="VWL379" s="10"/>
      <c r="VWM379" s="21"/>
      <c r="VWN379" s="21"/>
      <c r="VWQ379" s="21"/>
      <c r="VWR379" s="15"/>
      <c r="VWS379" s="15"/>
      <c r="VWT379" s="15"/>
      <c r="VWU379" s="15"/>
      <c r="VWV379" s="15"/>
      <c r="VWW379" s="15"/>
      <c r="VWX379" s="15"/>
      <c r="VWY379" s="15"/>
      <c r="VWZ379" s="15"/>
      <c r="VXA379" s="15"/>
      <c r="VXB379" s="10"/>
      <c r="VXC379" s="10"/>
      <c r="VXD379" s="21"/>
      <c r="VXE379" s="21"/>
      <c r="VXH379" s="21"/>
      <c r="VXI379" s="15"/>
      <c r="VXJ379" s="15"/>
      <c r="VXK379" s="15"/>
      <c r="VXL379" s="15"/>
      <c r="VXM379" s="15"/>
      <c r="VXN379" s="15"/>
      <c r="VXO379" s="15"/>
      <c r="VXP379" s="15"/>
      <c r="VXQ379" s="15"/>
      <c r="VXR379" s="15"/>
      <c r="VXS379" s="10"/>
      <c r="VXT379" s="10"/>
      <c r="VXU379" s="21"/>
      <c r="VXV379" s="21"/>
      <c r="VXY379" s="21"/>
      <c r="VXZ379" s="15"/>
      <c r="VYA379" s="15"/>
      <c r="VYB379" s="15"/>
      <c r="VYC379" s="15"/>
      <c r="VYD379" s="15"/>
      <c r="VYE379" s="15"/>
      <c r="VYF379" s="15"/>
      <c r="VYG379" s="15"/>
      <c r="VYH379" s="15"/>
      <c r="VYI379" s="15"/>
      <c r="VYJ379" s="10"/>
      <c r="VYK379" s="10"/>
      <c r="VYL379" s="21"/>
      <c r="VYM379" s="21"/>
      <c r="VYP379" s="21"/>
      <c r="VYQ379" s="15"/>
      <c r="VYR379" s="15"/>
      <c r="VYS379" s="15"/>
      <c r="VYT379" s="15"/>
      <c r="VYU379" s="15"/>
      <c r="VYV379" s="15"/>
      <c r="VYW379" s="15"/>
      <c r="VYX379" s="15"/>
      <c r="VYY379" s="15"/>
      <c r="VYZ379" s="15"/>
      <c r="VZA379" s="10"/>
      <c r="VZB379" s="10"/>
      <c r="VZC379" s="21"/>
      <c r="VZD379" s="21"/>
      <c r="VZG379" s="21"/>
      <c r="VZH379" s="15"/>
      <c r="VZI379" s="15"/>
      <c r="VZJ379" s="15"/>
      <c r="VZK379" s="15"/>
      <c r="VZL379" s="15"/>
      <c r="VZM379" s="15"/>
      <c r="VZN379" s="15"/>
      <c r="VZO379" s="15"/>
      <c r="VZP379" s="15"/>
      <c r="VZQ379" s="15"/>
      <c r="VZR379" s="10"/>
      <c r="VZS379" s="10"/>
      <c r="VZT379" s="21"/>
      <c r="VZU379" s="21"/>
      <c r="VZX379" s="21"/>
      <c r="VZY379" s="15"/>
      <c r="VZZ379" s="15"/>
      <c r="WAA379" s="15"/>
      <c r="WAB379" s="15"/>
      <c r="WAC379" s="15"/>
      <c r="WAD379" s="15"/>
      <c r="WAE379" s="15"/>
      <c r="WAF379" s="15"/>
      <c r="WAG379" s="15"/>
      <c r="WAH379" s="15"/>
      <c r="WAI379" s="10"/>
      <c r="WAJ379" s="10"/>
      <c r="WAK379" s="21"/>
      <c r="WAL379" s="21"/>
      <c r="WAO379" s="21"/>
      <c r="WAP379" s="15"/>
      <c r="WAQ379" s="15"/>
      <c r="WAR379" s="15"/>
      <c r="WAS379" s="15"/>
      <c r="WAT379" s="15"/>
      <c r="WAU379" s="15"/>
      <c r="WAV379" s="15"/>
      <c r="WAW379" s="15"/>
      <c r="WAX379" s="15"/>
      <c r="WAY379" s="15"/>
      <c r="WAZ379" s="10"/>
      <c r="WBA379" s="10"/>
      <c r="WBB379" s="21"/>
      <c r="WBC379" s="21"/>
      <c r="WBF379" s="21"/>
      <c r="WBG379" s="15"/>
      <c r="WBH379" s="15"/>
      <c r="WBI379" s="15"/>
      <c r="WBJ379" s="15"/>
      <c r="WBK379" s="15"/>
      <c r="WBL379" s="15"/>
      <c r="WBM379" s="15"/>
      <c r="WBN379" s="15"/>
      <c r="WBO379" s="15"/>
      <c r="WBP379" s="15"/>
      <c r="WBQ379" s="10"/>
      <c r="WBR379" s="10"/>
      <c r="WBS379" s="21"/>
      <c r="WBT379" s="21"/>
      <c r="WBW379" s="21"/>
      <c r="WBX379" s="15"/>
      <c r="WBY379" s="15"/>
      <c r="WBZ379" s="15"/>
      <c r="WCA379" s="15"/>
      <c r="WCB379" s="15"/>
      <c r="WCC379" s="15"/>
      <c r="WCD379" s="15"/>
      <c r="WCE379" s="15"/>
      <c r="WCF379" s="15"/>
      <c r="WCG379" s="15"/>
      <c r="WCH379" s="10"/>
      <c r="WCI379" s="10"/>
      <c r="WCJ379" s="21"/>
      <c r="WCK379" s="21"/>
      <c r="WCN379" s="21"/>
      <c r="WCO379" s="15"/>
      <c r="WCP379" s="15"/>
      <c r="WCQ379" s="15"/>
      <c r="WCR379" s="15"/>
      <c r="WCS379" s="15"/>
      <c r="WCT379" s="15"/>
      <c r="WCU379" s="15"/>
      <c r="WCV379" s="15"/>
      <c r="WCW379" s="15"/>
      <c r="WCX379" s="15"/>
      <c r="WCY379" s="10"/>
      <c r="WCZ379" s="10"/>
      <c r="WDA379" s="21"/>
      <c r="WDB379" s="21"/>
      <c r="WDE379" s="21"/>
      <c r="WDF379" s="15"/>
      <c r="WDG379" s="15"/>
      <c r="WDH379" s="15"/>
      <c r="WDI379" s="15"/>
      <c r="WDJ379" s="15"/>
      <c r="WDK379" s="15"/>
      <c r="WDL379" s="15"/>
      <c r="WDM379" s="15"/>
      <c r="WDN379" s="15"/>
      <c r="WDO379" s="15"/>
      <c r="WDP379" s="10"/>
      <c r="WDQ379" s="10"/>
      <c r="WDR379" s="21"/>
      <c r="WDS379" s="21"/>
      <c r="WDV379" s="21"/>
      <c r="WDW379" s="15"/>
      <c r="WDX379" s="15"/>
      <c r="WDY379" s="15"/>
      <c r="WDZ379" s="15"/>
      <c r="WEA379" s="15"/>
      <c r="WEB379" s="15"/>
      <c r="WEC379" s="15"/>
      <c r="WED379" s="15"/>
      <c r="WEE379" s="15"/>
      <c r="WEF379" s="15"/>
      <c r="WEG379" s="10"/>
      <c r="WEH379" s="10"/>
      <c r="WEI379" s="21"/>
      <c r="WEJ379" s="21"/>
      <c r="WEM379" s="21"/>
      <c r="WEN379" s="15"/>
      <c r="WEO379" s="15"/>
      <c r="WEP379" s="15"/>
      <c r="WEQ379" s="15"/>
      <c r="WER379" s="15"/>
      <c r="WES379" s="15"/>
      <c r="WET379" s="15"/>
      <c r="WEU379" s="15"/>
      <c r="WEV379" s="15"/>
      <c r="WEW379" s="15"/>
      <c r="WEX379" s="10"/>
      <c r="WEY379" s="10"/>
      <c r="WEZ379" s="21"/>
      <c r="WFA379" s="21"/>
      <c r="WFD379" s="21"/>
      <c r="WFE379" s="15"/>
      <c r="WFF379" s="15"/>
      <c r="WFG379" s="15"/>
      <c r="WFH379" s="15"/>
      <c r="WFI379" s="15"/>
      <c r="WFJ379" s="15"/>
      <c r="WFK379" s="15"/>
      <c r="WFL379" s="15"/>
      <c r="WFM379" s="15"/>
      <c r="WFN379" s="15"/>
      <c r="WFO379" s="10"/>
      <c r="WFP379" s="10"/>
      <c r="WFQ379" s="21"/>
      <c r="WFR379" s="21"/>
      <c r="WFU379" s="21"/>
      <c r="WFV379" s="15"/>
      <c r="WFW379" s="15"/>
      <c r="WFX379" s="15"/>
      <c r="WFY379" s="15"/>
      <c r="WFZ379" s="15"/>
      <c r="WGA379" s="15"/>
      <c r="WGB379" s="15"/>
      <c r="WGC379" s="15"/>
      <c r="WGD379" s="15"/>
      <c r="WGE379" s="15"/>
      <c r="WGF379" s="10"/>
      <c r="WGG379" s="10"/>
      <c r="WGH379" s="21"/>
      <c r="WGI379" s="21"/>
      <c r="WGL379" s="21"/>
      <c r="WGM379" s="15"/>
      <c r="WGN379" s="15"/>
      <c r="WGO379" s="15"/>
      <c r="WGP379" s="15"/>
      <c r="WGQ379" s="15"/>
      <c r="WGR379" s="15"/>
      <c r="WGS379" s="15"/>
      <c r="WGT379" s="15"/>
      <c r="WGU379" s="15"/>
      <c r="WGV379" s="15"/>
      <c r="WGW379" s="10"/>
      <c r="WGX379" s="10"/>
      <c r="WGY379" s="21"/>
      <c r="WGZ379" s="21"/>
      <c r="WHC379" s="21"/>
      <c r="WHD379" s="15"/>
      <c r="WHE379" s="15"/>
      <c r="WHF379" s="15"/>
      <c r="WHG379" s="15"/>
      <c r="WHH379" s="15"/>
      <c r="WHI379" s="15"/>
      <c r="WHJ379" s="15"/>
      <c r="WHK379" s="15"/>
      <c r="WHL379" s="15"/>
      <c r="WHM379" s="15"/>
      <c r="WHN379" s="10"/>
      <c r="WHO379" s="10"/>
      <c r="WHP379" s="21"/>
      <c r="WHQ379" s="21"/>
      <c r="WHT379" s="21"/>
      <c r="WHU379" s="15"/>
      <c r="WHV379" s="15"/>
      <c r="WHW379" s="15"/>
      <c r="WHX379" s="15"/>
      <c r="WHY379" s="15"/>
      <c r="WHZ379" s="15"/>
      <c r="WIA379" s="15"/>
      <c r="WIB379" s="15"/>
      <c r="WIC379" s="15"/>
      <c r="WID379" s="15"/>
      <c r="WIE379" s="10"/>
      <c r="WIF379" s="10"/>
      <c r="WIG379" s="21"/>
      <c r="WIH379" s="21"/>
      <c r="WIK379" s="21"/>
      <c r="WIL379" s="15"/>
      <c r="WIM379" s="15"/>
      <c r="WIN379" s="15"/>
      <c r="WIO379" s="15"/>
      <c r="WIP379" s="15"/>
      <c r="WIQ379" s="15"/>
      <c r="WIR379" s="15"/>
      <c r="WIS379" s="15"/>
      <c r="WIT379" s="15"/>
      <c r="WIU379" s="15"/>
      <c r="WIV379" s="10"/>
      <c r="WIW379" s="10"/>
      <c r="WIX379" s="21"/>
      <c r="WIY379" s="21"/>
      <c r="WJB379" s="21"/>
      <c r="WJC379" s="15"/>
      <c r="WJD379" s="15"/>
      <c r="WJE379" s="15"/>
      <c r="WJF379" s="15"/>
      <c r="WJG379" s="15"/>
      <c r="WJH379" s="15"/>
      <c r="WJI379" s="15"/>
      <c r="WJJ379" s="15"/>
      <c r="WJK379" s="15"/>
      <c r="WJL379" s="15"/>
      <c r="WJM379" s="10"/>
      <c r="WJN379" s="10"/>
      <c r="WJO379" s="21"/>
      <c r="WJP379" s="21"/>
      <c r="WJS379" s="21"/>
      <c r="WJT379" s="15"/>
      <c r="WJU379" s="15"/>
      <c r="WJV379" s="15"/>
      <c r="WJW379" s="15"/>
      <c r="WJX379" s="15"/>
      <c r="WJY379" s="15"/>
      <c r="WJZ379" s="15"/>
      <c r="WKA379" s="15"/>
      <c r="WKB379" s="15"/>
      <c r="WKC379" s="15"/>
      <c r="WKD379" s="10"/>
      <c r="WKE379" s="10"/>
      <c r="WKF379" s="21"/>
      <c r="WKG379" s="21"/>
      <c r="WKJ379" s="21"/>
      <c r="WKK379" s="15"/>
      <c r="WKL379" s="15"/>
      <c r="WKM379" s="15"/>
      <c r="WKN379" s="15"/>
      <c r="WKO379" s="15"/>
      <c r="WKP379" s="15"/>
      <c r="WKQ379" s="15"/>
      <c r="WKR379" s="15"/>
      <c r="WKS379" s="15"/>
      <c r="WKT379" s="15"/>
      <c r="WKU379" s="10"/>
      <c r="WKV379" s="10"/>
      <c r="WKW379" s="21"/>
      <c r="WKX379" s="21"/>
      <c r="WLA379" s="21"/>
      <c r="WLB379" s="15"/>
      <c r="WLC379" s="15"/>
      <c r="WLD379" s="15"/>
      <c r="WLE379" s="15"/>
      <c r="WLF379" s="15"/>
      <c r="WLG379" s="15"/>
      <c r="WLH379" s="15"/>
      <c r="WLI379" s="15"/>
      <c r="WLJ379" s="15"/>
      <c r="WLK379" s="15"/>
      <c r="WLL379" s="10"/>
      <c r="WLM379" s="10"/>
      <c r="WLN379" s="21"/>
      <c r="WLO379" s="21"/>
      <c r="WLR379" s="21"/>
      <c r="WLS379" s="15"/>
      <c r="WLT379" s="15"/>
      <c r="WLU379" s="15"/>
      <c r="WLV379" s="15"/>
      <c r="WLW379" s="15"/>
      <c r="WLX379" s="15"/>
      <c r="WLY379" s="15"/>
      <c r="WLZ379" s="15"/>
      <c r="WMA379" s="15"/>
      <c r="WMB379" s="15"/>
      <c r="WMC379" s="10"/>
      <c r="WMD379" s="10"/>
      <c r="WME379" s="21"/>
      <c r="WMF379" s="21"/>
      <c r="WMI379" s="21"/>
      <c r="WMJ379" s="15"/>
      <c r="WMK379" s="15"/>
      <c r="WML379" s="15"/>
      <c r="WMM379" s="15"/>
      <c r="WMN379" s="15"/>
      <c r="WMO379" s="15"/>
      <c r="WMP379" s="15"/>
      <c r="WMQ379" s="15"/>
      <c r="WMR379" s="15"/>
      <c r="WMS379" s="15"/>
      <c r="WMT379" s="10"/>
      <c r="WMU379" s="10"/>
      <c r="WMV379" s="21"/>
      <c r="WMW379" s="21"/>
      <c r="WMZ379" s="21"/>
      <c r="WNA379" s="15"/>
      <c r="WNB379" s="15"/>
      <c r="WNC379" s="15"/>
      <c r="WND379" s="15"/>
      <c r="WNE379" s="15"/>
      <c r="WNF379" s="15"/>
      <c r="WNG379" s="15"/>
      <c r="WNH379" s="15"/>
      <c r="WNI379" s="15"/>
      <c r="WNJ379" s="15"/>
      <c r="WNK379" s="10"/>
      <c r="WNL379" s="10"/>
      <c r="WNM379" s="21"/>
      <c r="WNN379" s="21"/>
      <c r="WNQ379" s="21"/>
      <c r="WNR379" s="15"/>
      <c r="WNS379" s="15"/>
      <c r="WNT379" s="15"/>
      <c r="WNU379" s="15"/>
      <c r="WNV379" s="15"/>
      <c r="WNW379" s="15"/>
      <c r="WNX379" s="15"/>
      <c r="WNY379" s="15"/>
      <c r="WNZ379" s="15"/>
      <c r="WOA379" s="15"/>
      <c r="WOB379" s="10"/>
      <c r="WOC379" s="10"/>
      <c r="WOD379" s="21"/>
      <c r="WOE379" s="21"/>
      <c r="WOH379" s="21"/>
      <c r="WOI379" s="15"/>
      <c r="WOJ379" s="15"/>
      <c r="WOK379" s="15"/>
      <c r="WOL379" s="15"/>
      <c r="WOM379" s="15"/>
      <c r="WON379" s="15"/>
      <c r="WOO379" s="15"/>
      <c r="WOP379" s="15"/>
      <c r="WOQ379" s="15"/>
      <c r="WOR379" s="15"/>
      <c r="WOS379" s="10"/>
      <c r="WOT379" s="10"/>
      <c r="WOU379" s="21"/>
      <c r="WOV379" s="21"/>
      <c r="WOY379" s="21"/>
      <c r="WOZ379" s="15"/>
      <c r="WPA379" s="15"/>
      <c r="WPB379" s="15"/>
      <c r="WPC379" s="15"/>
      <c r="WPD379" s="15"/>
      <c r="WPE379" s="15"/>
      <c r="WPF379" s="15"/>
      <c r="WPG379" s="15"/>
      <c r="WPH379" s="15"/>
      <c r="WPI379" s="15"/>
      <c r="WPJ379" s="10"/>
      <c r="WPK379" s="10"/>
      <c r="WPL379" s="21"/>
      <c r="WPM379" s="21"/>
      <c r="WPP379" s="21"/>
      <c r="WPQ379" s="15"/>
      <c r="WPR379" s="15"/>
      <c r="WPS379" s="15"/>
      <c r="WPT379" s="15"/>
      <c r="WPU379" s="15"/>
      <c r="WPV379" s="15"/>
      <c r="WPW379" s="15"/>
      <c r="WPX379" s="15"/>
      <c r="WPY379" s="15"/>
      <c r="WPZ379" s="15"/>
      <c r="WQA379" s="10"/>
      <c r="WQB379" s="10"/>
      <c r="WQC379" s="21"/>
      <c r="WQD379" s="21"/>
      <c r="WQG379" s="21"/>
      <c r="WQH379" s="15"/>
      <c r="WQI379" s="15"/>
      <c r="WQJ379" s="15"/>
      <c r="WQK379" s="15"/>
      <c r="WQL379" s="15"/>
      <c r="WQM379" s="15"/>
      <c r="WQN379" s="15"/>
      <c r="WQO379" s="15"/>
      <c r="WQP379" s="15"/>
      <c r="WQQ379" s="15"/>
      <c r="WQR379" s="10"/>
      <c r="WQS379" s="10"/>
      <c r="WQT379" s="21"/>
      <c r="WQU379" s="21"/>
      <c r="WQX379" s="21"/>
      <c r="WQY379" s="15"/>
      <c r="WQZ379" s="15"/>
      <c r="WRA379" s="15"/>
      <c r="WRB379" s="15"/>
      <c r="WRC379" s="15"/>
      <c r="WRD379" s="15"/>
      <c r="WRE379" s="15"/>
      <c r="WRF379" s="15"/>
      <c r="WRG379" s="15"/>
      <c r="WRH379" s="15"/>
      <c r="WRI379" s="10"/>
      <c r="WRJ379" s="10"/>
      <c r="WRK379" s="21"/>
      <c r="WRL379" s="21"/>
      <c r="WRO379" s="21"/>
      <c r="WRP379" s="15"/>
      <c r="WRQ379" s="15"/>
      <c r="WRR379" s="15"/>
      <c r="WRS379" s="15"/>
      <c r="WRT379" s="15"/>
      <c r="WRU379" s="15"/>
      <c r="WRV379" s="15"/>
      <c r="WRW379" s="15"/>
      <c r="WRX379" s="15"/>
      <c r="WRY379" s="15"/>
      <c r="WRZ379" s="10"/>
      <c r="WSA379" s="10"/>
      <c r="WSB379" s="21"/>
      <c r="WSC379" s="21"/>
      <c r="WSF379" s="21"/>
      <c r="WSG379" s="15"/>
      <c r="WSH379" s="15"/>
      <c r="WSI379" s="15"/>
      <c r="WSJ379" s="15"/>
      <c r="WSK379" s="15"/>
      <c r="WSL379" s="15"/>
      <c r="WSM379" s="15"/>
      <c r="WSN379" s="15"/>
      <c r="WSO379" s="15"/>
      <c r="WSP379" s="15"/>
      <c r="WSQ379" s="10"/>
      <c r="WSR379" s="10"/>
      <c r="WSS379" s="21"/>
      <c r="WST379" s="21"/>
      <c r="WSW379" s="21"/>
      <c r="WSX379" s="15"/>
      <c r="WSY379" s="15"/>
      <c r="WSZ379" s="15"/>
      <c r="WTA379" s="15"/>
      <c r="WTB379" s="15"/>
      <c r="WTC379" s="15"/>
      <c r="WTD379" s="15"/>
      <c r="WTE379" s="15"/>
      <c r="WTF379" s="15"/>
      <c r="WTG379" s="15"/>
      <c r="WTH379" s="10"/>
      <c r="WTI379" s="10"/>
      <c r="WTJ379" s="21"/>
      <c r="WTK379" s="21"/>
      <c r="WTN379" s="21"/>
      <c r="WTO379" s="15"/>
      <c r="WTP379" s="15"/>
      <c r="WTQ379" s="15"/>
      <c r="WTR379" s="15"/>
      <c r="WTS379" s="15"/>
      <c r="WTT379" s="15"/>
      <c r="WTU379" s="15"/>
      <c r="WTV379" s="15"/>
      <c r="WTW379" s="15"/>
      <c r="WTX379" s="15"/>
      <c r="WTY379" s="10"/>
      <c r="WTZ379" s="10"/>
      <c r="WUA379" s="21"/>
      <c r="WUB379" s="21"/>
      <c r="WUE379" s="21"/>
      <c r="WUF379" s="15"/>
      <c r="WUG379" s="15"/>
      <c r="WUH379" s="15"/>
      <c r="WUI379" s="15"/>
      <c r="WUJ379" s="15"/>
      <c r="WUK379" s="15"/>
      <c r="WUL379" s="15"/>
      <c r="WUM379" s="15"/>
      <c r="WUN379" s="15"/>
      <c r="WUO379" s="15"/>
      <c r="WUP379" s="10"/>
      <c r="WUQ379" s="10"/>
      <c r="WUR379" s="21"/>
      <c r="WUS379" s="21"/>
      <c r="WUV379" s="21"/>
      <c r="WUW379" s="15"/>
      <c r="WUX379" s="15"/>
      <c r="WUY379" s="15"/>
      <c r="WUZ379" s="15"/>
      <c r="WVA379" s="15"/>
      <c r="WVB379" s="15"/>
      <c r="WVC379" s="15"/>
      <c r="WVD379" s="15"/>
      <c r="WVE379" s="15"/>
      <c r="WVF379" s="15"/>
      <c r="WVG379" s="10"/>
      <c r="WVH379" s="10"/>
      <c r="WVI379" s="21"/>
      <c r="WVJ379" s="21"/>
      <c r="WVM379" s="21"/>
      <c r="WVN379" s="15"/>
      <c r="WVO379" s="15"/>
      <c r="WVP379" s="15"/>
      <c r="WVQ379" s="15"/>
      <c r="WVR379" s="15"/>
      <c r="WVS379" s="15"/>
      <c r="WVT379" s="15"/>
      <c r="WVU379" s="15"/>
      <c r="WVV379" s="15"/>
      <c r="WVW379" s="15"/>
      <c r="WVX379" s="10"/>
      <c r="WVY379" s="10"/>
      <c r="WVZ379" s="21"/>
      <c r="WWA379" s="21"/>
      <c r="WWD379" s="21"/>
      <c r="WWE379" s="15"/>
      <c r="WWF379" s="15"/>
      <c r="WWG379" s="15"/>
      <c r="WWH379" s="15"/>
      <c r="WWI379" s="15"/>
      <c r="WWJ379" s="15"/>
      <c r="WWK379" s="15"/>
      <c r="WWL379" s="15"/>
      <c r="WWM379" s="15"/>
      <c r="WWN379" s="15"/>
      <c r="WWO379" s="10"/>
      <c r="WWP379" s="10"/>
      <c r="WWQ379" s="21"/>
      <c r="WWR379" s="21"/>
      <c r="WWU379" s="21"/>
      <c r="WWV379" s="15"/>
      <c r="WWW379" s="15"/>
      <c r="WWX379" s="15"/>
      <c r="WWY379" s="15"/>
      <c r="WWZ379" s="15"/>
      <c r="WXA379" s="15"/>
      <c r="WXB379" s="15"/>
      <c r="WXC379" s="15"/>
      <c r="WXD379" s="15"/>
      <c r="WXE379" s="15"/>
      <c r="WXF379" s="10"/>
      <c r="WXG379" s="10"/>
      <c r="WXH379" s="21"/>
      <c r="WXI379" s="21"/>
      <c r="WXL379" s="21"/>
      <c r="WXM379" s="15"/>
      <c r="WXN379" s="15"/>
      <c r="WXO379" s="15"/>
      <c r="WXP379" s="15"/>
      <c r="WXQ379" s="15"/>
      <c r="WXR379" s="15"/>
      <c r="WXS379" s="15"/>
      <c r="WXT379" s="15"/>
      <c r="WXU379" s="15"/>
      <c r="WXV379" s="15"/>
      <c r="WXW379" s="10"/>
      <c r="WXX379" s="10"/>
      <c r="WXY379" s="21"/>
      <c r="WXZ379" s="21"/>
      <c r="WYC379" s="21"/>
      <c r="WYD379" s="15"/>
      <c r="WYE379" s="15"/>
      <c r="WYF379" s="15"/>
      <c r="WYG379" s="15"/>
      <c r="WYH379" s="15"/>
      <c r="WYI379" s="15"/>
      <c r="WYJ379" s="15"/>
      <c r="WYK379" s="15"/>
      <c r="WYL379" s="15"/>
      <c r="WYM379" s="15"/>
      <c r="WYN379" s="10"/>
      <c r="WYO379" s="10"/>
      <c r="WYP379" s="21"/>
      <c r="WYQ379" s="21"/>
      <c r="WYT379" s="21"/>
      <c r="WYU379" s="15"/>
      <c r="WYV379" s="15"/>
      <c r="WYW379" s="15"/>
      <c r="WYX379" s="15"/>
      <c r="WYY379" s="15"/>
      <c r="WYZ379" s="15"/>
      <c r="WZA379" s="15"/>
      <c r="WZB379" s="15"/>
      <c r="WZC379" s="15"/>
      <c r="WZD379" s="15"/>
      <c r="WZE379" s="10"/>
      <c r="WZF379" s="10"/>
      <c r="WZG379" s="21"/>
      <c r="WZH379" s="21"/>
      <c r="WZK379" s="21"/>
      <c r="WZL379" s="15"/>
      <c r="WZM379" s="15"/>
      <c r="WZN379" s="15"/>
      <c r="WZO379" s="15"/>
      <c r="WZP379" s="15"/>
      <c r="WZQ379" s="15"/>
      <c r="WZR379" s="15"/>
      <c r="WZS379" s="15"/>
      <c r="WZT379" s="15"/>
      <c r="WZU379" s="15"/>
      <c r="WZV379" s="10"/>
      <c r="WZW379" s="10"/>
      <c r="WZX379" s="21"/>
      <c r="WZY379" s="21"/>
      <c r="XAB379" s="21"/>
      <c r="XAC379" s="15"/>
      <c r="XAD379" s="15"/>
      <c r="XAE379" s="15"/>
      <c r="XAF379" s="15"/>
      <c r="XAG379" s="15"/>
      <c r="XAH379" s="15"/>
      <c r="XAI379" s="15"/>
      <c r="XAJ379" s="15"/>
      <c r="XAK379" s="15"/>
      <c r="XAL379" s="15"/>
      <c r="XAM379" s="10"/>
      <c r="XAN379" s="10"/>
      <c r="XAO379" s="21"/>
      <c r="XAP379" s="21"/>
      <c r="XAS379" s="21"/>
      <c r="XAT379" s="15"/>
      <c r="XAU379" s="15"/>
      <c r="XAV379" s="15"/>
      <c r="XAW379" s="15"/>
      <c r="XAX379" s="15"/>
      <c r="XAY379" s="15"/>
      <c r="XAZ379" s="15"/>
      <c r="XBA379" s="15"/>
      <c r="XBB379" s="15"/>
      <c r="XBC379" s="15"/>
      <c r="XBD379" s="10"/>
      <c r="XBE379" s="10"/>
      <c r="XBF379" s="21"/>
      <c r="XBG379" s="21"/>
      <c r="XBJ379" s="21"/>
      <c r="XBK379" s="15"/>
      <c r="XBL379" s="15"/>
      <c r="XBM379" s="15"/>
      <c r="XBN379" s="15"/>
      <c r="XBO379" s="15"/>
      <c r="XBP379" s="15"/>
      <c r="XBQ379" s="15"/>
      <c r="XBR379" s="15"/>
      <c r="XBS379" s="15"/>
      <c r="XBT379" s="15"/>
      <c r="XBU379" s="10"/>
      <c r="XBV379" s="10"/>
      <c r="XBW379" s="21"/>
      <c r="XBX379" s="21"/>
      <c r="XCA379" s="21"/>
      <c r="XCB379" s="15"/>
      <c r="XCC379" s="15"/>
      <c r="XCD379" s="15"/>
      <c r="XCE379" s="15"/>
      <c r="XCF379" s="15"/>
      <c r="XCG379" s="15"/>
      <c r="XCH379" s="15"/>
      <c r="XCI379" s="15"/>
      <c r="XCJ379" s="15"/>
      <c r="XCK379" s="15"/>
      <c r="XCL379" s="10"/>
      <c r="XCM379" s="10"/>
      <c r="XCN379" s="21"/>
      <c r="XCO379" s="21"/>
      <c r="XCR379" s="21"/>
      <c r="XCS379" s="15"/>
      <c r="XCT379" s="15"/>
      <c r="XCU379" s="15"/>
      <c r="XCV379" s="15"/>
      <c r="XCW379" s="15"/>
      <c r="XCX379" s="15"/>
      <c r="XCY379" s="15"/>
      <c r="XCZ379" s="15"/>
      <c r="XDA379" s="15"/>
      <c r="XDB379" s="15"/>
      <c r="XDC379" s="10"/>
      <c r="XDD379" s="10"/>
      <c r="XDE379" s="21"/>
      <c r="XDF379" s="21"/>
      <c r="XDI379" s="21"/>
      <c r="XDJ379" s="15"/>
      <c r="XDK379" s="15"/>
      <c r="XDL379" s="15"/>
      <c r="XDM379" s="15"/>
      <c r="XDN379" s="15"/>
      <c r="XDO379" s="15"/>
      <c r="XDP379" s="15"/>
      <c r="XDQ379" s="15"/>
      <c r="XDR379" s="15"/>
      <c r="XDS379" s="15"/>
      <c r="XDT379" s="10"/>
      <c r="XDU379" s="10"/>
      <c r="XDV379" s="21"/>
      <c r="XDW379" s="21"/>
      <c r="XDZ379" s="21"/>
      <c r="XEA379" s="15"/>
      <c r="XEB379" s="15"/>
      <c r="XEC379" s="15"/>
      <c r="XED379" s="15"/>
      <c r="XEE379" s="15"/>
      <c r="XEF379" s="15"/>
      <c r="XEG379" s="15"/>
      <c r="XEH379" s="15"/>
      <c r="XEI379" s="15"/>
      <c r="XEJ379" s="15"/>
      <c r="XEK379" s="10"/>
      <c r="XEL379" s="10"/>
      <c r="XEM379" s="21"/>
      <c r="XEN379" s="21"/>
      <c r="XEQ379" s="21"/>
      <c r="XER379" s="15"/>
      <c r="XES379" s="15"/>
      <c r="XET379" s="15"/>
      <c r="XEU379" s="15"/>
      <c r="XEV379" s="15"/>
      <c r="XEW379" s="15"/>
      <c r="XEX379" s="15"/>
      <c r="XEY379" s="15"/>
      <c r="XEZ379" s="15"/>
      <c r="XFA379" s="15"/>
      <c r="XFB379" s="10"/>
      <c r="XFC379" s="10"/>
      <c r="XFD379" s="21"/>
    </row>
    <row r="380" spans="1:4094 4097:8191 8194:12288 12291:16384" s="1" customFormat="1" ht="14.25" customHeight="1" x14ac:dyDescent="0.25">
      <c r="A380" s="44">
        <v>0</v>
      </c>
      <c r="B380" s="44">
        <v>2</v>
      </c>
      <c r="C380" s="44">
        <v>5</v>
      </c>
      <c r="D380" s="45" t="s">
        <v>766</v>
      </c>
      <c r="E380" s="45" t="s">
        <v>763</v>
      </c>
      <c r="F380" s="45" t="s">
        <v>768</v>
      </c>
      <c r="G380" s="45" t="s">
        <v>206</v>
      </c>
      <c r="H380" s="45" t="s">
        <v>352</v>
      </c>
      <c r="I380" s="44" t="s">
        <v>767</v>
      </c>
      <c r="J380" s="44">
        <v>99</v>
      </c>
      <c r="K380" s="46" t="s">
        <v>708</v>
      </c>
      <c r="L380" s="46" t="s">
        <v>690</v>
      </c>
      <c r="M380" s="47" t="s">
        <v>1410</v>
      </c>
      <c r="N380" s="47" t="s">
        <v>1719</v>
      </c>
      <c r="O380" s="48"/>
      <c r="P380" s="48"/>
      <c r="Q380" s="45"/>
      <c r="S380" s="1">
        <f t="shared" si="119"/>
        <v>0</v>
      </c>
      <c r="T380" s="1">
        <f t="shared" si="120"/>
        <v>0</v>
      </c>
      <c r="U380" s="1">
        <f t="shared" si="121"/>
        <v>0</v>
      </c>
      <c r="V380" s="1">
        <f t="shared" si="122"/>
        <v>0</v>
      </c>
      <c r="W380" s="1">
        <f t="shared" si="123"/>
        <v>0</v>
      </c>
      <c r="X380" s="1">
        <f t="shared" si="124"/>
        <v>0</v>
      </c>
      <c r="Y380" s="1">
        <f t="shared" si="125"/>
        <v>0</v>
      </c>
      <c r="Z380" s="1">
        <f t="shared" si="126"/>
        <v>0</v>
      </c>
      <c r="AA380" s="1">
        <f t="shared" si="127"/>
        <v>0</v>
      </c>
      <c r="AB380" s="1">
        <f t="shared" si="128"/>
        <v>0</v>
      </c>
      <c r="AD380" s="1">
        <f t="shared" si="129"/>
        <v>0</v>
      </c>
      <c r="AE380" s="1">
        <f t="shared" si="130"/>
        <v>0</v>
      </c>
      <c r="AF380" s="1">
        <f t="shared" si="115"/>
        <v>0</v>
      </c>
      <c r="AG380" s="1">
        <f t="shared" si="116"/>
        <v>0</v>
      </c>
      <c r="AH380" s="1">
        <f t="shared" si="117"/>
        <v>0</v>
      </c>
      <c r="AI380" s="1">
        <f t="shared" si="118"/>
        <v>1</v>
      </c>
    </row>
    <row r="381" spans="1:4094 4097:8191 8194:12288 12291:16384" s="1" customFormat="1" ht="14.25" customHeight="1" x14ac:dyDescent="0.25">
      <c r="A381" s="44">
        <v>1</v>
      </c>
      <c r="B381" s="44">
        <v>2</v>
      </c>
      <c r="C381" s="44">
        <v>5</v>
      </c>
      <c r="D381" s="45" t="s">
        <v>766</v>
      </c>
      <c r="E381" s="45" t="s">
        <v>763</v>
      </c>
      <c r="F381" s="45" t="s">
        <v>993</v>
      </c>
      <c r="G381" s="45" t="s">
        <v>189</v>
      </c>
      <c r="H381" s="45" t="s">
        <v>352</v>
      </c>
      <c r="I381" s="44" t="s">
        <v>994</v>
      </c>
      <c r="J381" s="44">
        <v>99</v>
      </c>
      <c r="K381" s="46" t="s">
        <v>708</v>
      </c>
      <c r="L381" s="46" t="s">
        <v>690</v>
      </c>
      <c r="M381" s="47" t="s">
        <v>1410</v>
      </c>
      <c r="N381" s="47" t="s">
        <v>1719</v>
      </c>
      <c r="O381" s="48"/>
      <c r="P381" s="48"/>
      <c r="Q381" s="45"/>
      <c r="S381" s="1">
        <f t="shared" si="119"/>
        <v>0</v>
      </c>
      <c r="T381" s="1">
        <f t="shared" si="120"/>
        <v>0</v>
      </c>
      <c r="U381" s="1">
        <f t="shared" si="121"/>
        <v>0</v>
      </c>
      <c r="V381" s="1">
        <f t="shared" si="122"/>
        <v>0</v>
      </c>
      <c r="W381" s="1">
        <f t="shared" si="123"/>
        <v>0</v>
      </c>
      <c r="X381" s="1">
        <f t="shared" si="124"/>
        <v>0</v>
      </c>
      <c r="Y381" s="1">
        <f t="shared" si="125"/>
        <v>0</v>
      </c>
      <c r="Z381" s="1">
        <f t="shared" si="126"/>
        <v>0</v>
      </c>
      <c r="AA381" s="1">
        <f t="shared" si="127"/>
        <v>0</v>
      </c>
      <c r="AB381" s="1">
        <f t="shared" si="128"/>
        <v>0</v>
      </c>
      <c r="AD381" s="1">
        <f t="shared" si="129"/>
        <v>0</v>
      </c>
      <c r="AE381" s="1">
        <f t="shared" si="130"/>
        <v>0</v>
      </c>
      <c r="AF381" s="1">
        <f t="shared" si="115"/>
        <v>0</v>
      </c>
      <c r="AG381" s="1">
        <f t="shared" si="116"/>
        <v>0</v>
      </c>
      <c r="AH381" s="1">
        <f t="shared" si="117"/>
        <v>0</v>
      </c>
      <c r="AI381" s="1">
        <f t="shared" si="118"/>
        <v>0</v>
      </c>
    </row>
    <row r="382" spans="1:4094 4097:8191 8194:12288 12291:16384" s="1" customFormat="1" ht="14.25" customHeight="1" x14ac:dyDescent="0.25">
      <c r="A382" s="15">
        <v>0</v>
      </c>
      <c r="B382" s="15">
        <v>2</v>
      </c>
      <c r="C382" s="15">
        <v>5</v>
      </c>
      <c r="D382" s="16" t="s">
        <v>905</v>
      </c>
      <c r="E382" s="16" t="s">
        <v>900</v>
      </c>
      <c r="F382" s="16" t="s">
        <v>918</v>
      </c>
      <c r="G382" s="16" t="s">
        <v>1334</v>
      </c>
      <c r="H382" s="16" t="s">
        <v>352</v>
      </c>
      <c r="I382" s="15" t="s">
        <v>761</v>
      </c>
      <c r="J382" s="15">
        <v>99</v>
      </c>
      <c r="K382" s="10" t="s">
        <v>699</v>
      </c>
      <c r="L382" s="10">
        <v>20</v>
      </c>
      <c r="M382" s="19" t="s">
        <v>1411</v>
      </c>
      <c r="N382" s="19"/>
      <c r="Q382" s="16"/>
      <c r="S382" s="1">
        <f t="shared" si="119"/>
        <v>0</v>
      </c>
      <c r="T382" s="1">
        <f t="shared" si="120"/>
        <v>0</v>
      </c>
      <c r="U382" s="1">
        <f t="shared" si="121"/>
        <v>0</v>
      </c>
      <c r="V382" s="1">
        <f t="shared" si="122"/>
        <v>0</v>
      </c>
      <c r="W382" s="1">
        <f t="shared" si="123"/>
        <v>0</v>
      </c>
      <c r="X382" s="1">
        <f t="shared" si="124"/>
        <v>0</v>
      </c>
      <c r="Y382" s="1">
        <f t="shared" si="125"/>
        <v>0</v>
      </c>
      <c r="Z382" s="1">
        <f t="shared" si="126"/>
        <v>0</v>
      </c>
      <c r="AA382" s="1">
        <f t="shared" si="127"/>
        <v>0</v>
      </c>
      <c r="AB382" s="1">
        <f t="shared" si="128"/>
        <v>0</v>
      </c>
      <c r="AD382" s="1">
        <f t="shared" si="129"/>
        <v>0</v>
      </c>
      <c r="AE382" s="1">
        <f t="shared" si="130"/>
        <v>0</v>
      </c>
      <c r="AF382" s="1">
        <f t="shared" si="115"/>
        <v>0</v>
      </c>
      <c r="AG382" s="1">
        <f t="shared" si="116"/>
        <v>0</v>
      </c>
      <c r="AH382" s="1">
        <f t="shared" si="117"/>
        <v>0</v>
      </c>
      <c r="AI382" s="1">
        <f t="shared" si="118"/>
        <v>1</v>
      </c>
    </row>
    <row r="383" spans="1:4094 4097:8191 8194:12288 12291:16384" s="1" customFormat="1" ht="14.25" customHeight="1" x14ac:dyDescent="0.25">
      <c r="A383" s="31">
        <v>0</v>
      </c>
      <c r="B383" s="31">
        <v>2</v>
      </c>
      <c r="C383" s="31">
        <v>5</v>
      </c>
      <c r="D383" s="32" t="s">
        <v>1905</v>
      </c>
      <c r="E383" s="32"/>
      <c r="F383" s="32" t="s">
        <v>1906</v>
      </c>
      <c r="G383" s="32" t="s">
        <v>207</v>
      </c>
      <c r="H383" s="32" t="s">
        <v>352</v>
      </c>
      <c r="I383" s="31" t="s">
        <v>1907</v>
      </c>
      <c r="J383" s="31">
        <v>3</v>
      </c>
      <c r="K383" s="33" t="s">
        <v>699</v>
      </c>
      <c r="L383" s="33"/>
      <c r="M383" s="34"/>
      <c r="N383" s="34" t="s">
        <v>1711</v>
      </c>
      <c r="O383" s="35">
        <v>1</v>
      </c>
      <c r="P383" s="35">
        <v>1</v>
      </c>
      <c r="Q383" s="32" t="s">
        <v>1908</v>
      </c>
      <c r="S383" s="1">
        <f t="shared" si="119"/>
        <v>0</v>
      </c>
      <c r="T383" s="1">
        <f t="shared" si="120"/>
        <v>0</v>
      </c>
      <c r="U383" s="1">
        <f t="shared" si="121"/>
        <v>1</v>
      </c>
      <c r="V383" s="1">
        <f t="shared" si="122"/>
        <v>0</v>
      </c>
      <c r="W383" s="1">
        <f t="shared" si="123"/>
        <v>0</v>
      </c>
      <c r="X383" s="1">
        <f t="shared" si="124"/>
        <v>0</v>
      </c>
      <c r="Y383" s="1">
        <f t="shared" si="125"/>
        <v>0</v>
      </c>
      <c r="Z383" s="1">
        <f t="shared" si="126"/>
        <v>0</v>
      </c>
      <c r="AA383" s="1">
        <f t="shared" si="127"/>
        <v>0</v>
      </c>
      <c r="AB383" s="1">
        <f t="shared" si="128"/>
        <v>0</v>
      </c>
      <c r="AD383" s="1">
        <f t="shared" si="129"/>
        <v>1</v>
      </c>
      <c r="AE383" s="1">
        <f t="shared" si="130"/>
        <v>0</v>
      </c>
      <c r="AF383" s="1">
        <f t="shared" si="115"/>
        <v>1</v>
      </c>
      <c r="AG383" s="1">
        <f t="shared" si="116"/>
        <v>0</v>
      </c>
      <c r="AH383" s="1">
        <f t="shared" si="117"/>
        <v>1</v>
      </c>
      <c r="AI383" s="1">
        <f t="shared" si="118"/>
        <v>0</v>
      </c>
    </row>
    <row r="384" spans="1:4094 4097:8191 8194:12288 12291:16384" s="1" customFormat="1" ht="14.25" customHeight="1" x14ac:dyDescent="0.25">
      <c r="A384" s="31">
        <v>0</v>
      </c>
      <c r="B384" s="31">
        <v>2</v>
      </c>
      <c r="C384" s="31">
        <v>5</v>
      </c>
      <c r="D384" s="32" t="s">
        <v>1254</v>
      </c>
      <c r="E384" s="32" t="s">
        <v>1255</v>
      </c>
      <c r="F384" s="32" t="s">
        <v>1256</v>
      </c>
      <c r="G384" s="32" t="s">
        <v>219</v>
      </c>
      <c r="H384" s="32" t="s">
        <v>352</v>
      </c>
      <c r="I384" s="31" t="s">
        <v>1707</v>
      </c>
      <c r="J384" s="31">
        <v>8</v>
      </c>
      <c r="K384" s="33" t="s">
        <v>709</v>
      </c>
      <c r="L384" s="33" t="s">
        <v>39</v>
      </c>
      <c r="M384" s="34" t="s">
        <v>39</v>
      </c>
      <c r="N384" s="34" t="s">
        <v>1711</v>
      </c>
      <c r="O384" s="35">
        <v>1</v>
      </c>
      <c r="P384" s="35">
        <v>1</v>
      </c>
      <c r="Q384" s="32"/>
      <c r="S384" s="1">
        <f t="shared" si="119"/>
        <v>0</v>
      </c>
      <c r="T384" s="1">
        <f t="shared" si="120"/>
        <v>0</v>
      </c>
      <c r="U384" s="1">
        <f t="shared" si="121"/>
        <v>0</v>
      </c>
      <c r="V384" s="1">
        <f t="shared" si="122"/>
        <v>0</v>
      </c>
      <c r="W384" s="1">
        <f t="shared" si="123"/>
        <v>0</v>
      </c>
      <c r="X384" s="1">
        <f t="shared" si="124"/>
        <v>0</v>
      </c>
      <c r="Y384" s="1">
        <f t="shared" si="125"/>
        <v>0</v>
      </c>
      <c r="Z384" s="1">
        <f t="shared" si="126"/>
        <v>1</v>
      </c>
      <c r="AA384" s="1">
        <f t="shared" si="127"/>
        <v>0</v>
      </c>
      <c r="AB384" s="1">
        <f t="shared" si="128"/>
        <v>0</v>
      </c>
      <c r="AD384" s="1">
        <f t="shared" si="129"/>
        <v>1</v>
      </c>
      <c r="AE384" s="1">
        <f t="shared" si="130"/>
        <v>0</v>
      </c>
      <c r="AF384" s="1">
        <f t="shared" si="115"/>
        <v>1</v>
      </c>
      <c r="AG384" s="1">
        <f t="shared" si="116"/>
        <v>0</v>
      </c>
      <c r="AH384" s="1">
        <f t="shared" si="117"/>
        <v>1</v>
      </c>
      <c r="AI384" s="1">
        <f t="shared" si="118"/>
        <v>0</v>
      </c>
    </row>
    <row r="385" spans="1:35" s="1" customFormat="1" ht="14.25" customHeight="1" x14ac:dyDescent="0.25">
      <c r="A385" s="31">
        <v>0</v>
      </c>
      <c r="B385" s="31">
        <v>2</v>
      </c>
      <c r="C385" s="31">
        <v>5</v>
      </c>
      <c r="D385" s="32" t="s">
        <v>1069</v>
      </c>
      <c r="E385" s="32" t="s">
        <v>154</v>
      </c>
      <c r="F385" s="32" t="s">
        <v>1053</v>
      </c>
      <c r="G385" s="32" t="s">
        <v>319</v>
      </c>
      <c r="H385" s="32" t="s">
        <v>352</v>
      </c>
      <c r="I385" s="31" t="s">
        <v>1054</v>
      </c>
      <c r="J385" s="31">
        <v>99</v>
      </c>
      <c r="K385" s="33" t="s">
        <v>709</v>
      </c>
      <c r="L385" s="33" t="s">
        <v>690</v>
      </c>
      <c r="M385" s="34" t="s">
        <v>1412</v>
      </c>
      <c r="N385" s="34" t="s">
        <v>1740</v>
      </c>
      <c r="O385" s="35">
        <v>1</v>
      </c>
      <c r="P385" s="35"/>
      <c r="Q385" s="32"/>
      <c r="S385" s="1">
        <f t="shared" si="119"/>
        <v>0</v>
      </c>
      <c r="T385" s="1">
        <f t="shared" si="120"/>
        <v>0</v>
      </c>
      <c r="U385" s="1">
        <f t="shared" si="121"/>
        <v>0</v>
      </c>
      <c r="V385" s="1">
        <f t="shared" si="122"/>
        <v>0</v>
      </c>
      <c r="W385" s="1">
        <f t="shared" si="123"/>
        <v>0</v>
      </c>
      <c r="X385" s="1">
        <f t="shared" si="124"/>
        <v>0</v>
      </c>
      <c r="Y385" s="1">
        <f t="shared" si="125"/>
        <v>0</v>
      </c>
      <c r="Z385" s="1">
        <f t="shared" si="126"/>
        <v>0</v>
      </c>
      <c r="AA385" s="1">
        <f t="shared" si="127"/>
        <v>0</v>
      </c>
      <c r="AB385" s="1">
        <f t="shared" si="128"/>
        <v>0</v>
      </c>
      <c r="AD385" s="1">
        <f t="shared" si="129"/>
        <v>0</v>
      </c>
      <c r="AE385" s="1">
        <f t="shared" si="130"/>
        <v>1</v>
      </c>
      <c r="AF385" s="1">
        <f t="shared" si="115"/>
        <v>0</v>
      </c>
      <c r="AG385" s="1">
        <f t="shared" si="116"/>
        <v>1</v>
      </c>
      <c r="AH385" s="1">
        <f t="shared" si="117"/>
        <v>0</v>
      </c>
      <c r="AI385" s="1">
        <f t="shared" si="118"/>
        <v>1</v>
      </c>
    </row>
    <row r="386" spans="1:35" s="1" customFormat="1" ht="14.25" customHeight="1" x14ac:dyDescent="0.25">
      <c r="A386" s="31">
        <v>0</v>
      </c>
      <c r="B386" s="31">
        <v>2</v>
      </c>
      <c r="C386" s="31">
        <v>5</v>
      </c>
      <c r="D386" s="32" t="s">
        <v>787</v>
      </c>
      <c r="E386" s="32" t="s">
        <v>763</v>
      </c>
      <c r="F386" s="32" t="s">
        <v>921</v>
      </c>
      <c r="G386" s="32" t="s">
        <v>219</v>
      </c>
      <c r="H386" s="32" t="s">
        <v>352</v>
      </c>
      <c r="I386" s="31" t="s">
        <v>788</v>
      </c>
      <c r="J386" s="31">
        <v>8</v>
      </c>
      <c r="K386" s="33" t="s">
        <v>699</v>
      </c>
      <c r="L386" s="33">
        <v>20</v>
      </c>
      <c r="M386" s="34" t="s">
        <v>1403</v>
      </c>
      <c r="N386" s="34" t="s">
        <v>1809</v>
      </c>
      <c r="O386" s="35">
        <v>1</v>
      </c>
      <c r="P386" s="35"/>
      <c r="Q386" s="32"/>
      <c r="S386" s="1">
        <f t="shared" si="119"/>
        <v>0</v>
      </c>
      <c r="T386" s="1">
        <f t="shared" si="120"/>
        <v>0</v>
      </c>
      <c r="U386" s="1">
        <f t="shared" si="121"/>
        <v>0</v>
      </c>
      <c r="V386" s="1">
        <f t="shared" si="122"/>
        <v>0</v>
      </c>
      <c r="W386" s="1">
        <f t="shared" si="123"/>
        <v>0</v>
      </c>
      <c r="X386" s="1">
        <f t="shared" si="124"/>
        <v>0</v>
      </c>
      <c r="Y386" s="1">
        <f t="shared" si="125"/>
        <v>0</v>
      </c>
      <c r="Z386" s="1">
        <f t="shared" si="126"/>
        <v>1</v>
      </c>
      <c r="AA386" s="1">
        <f t="shared" si="127"/>
        <v>0</v>
      </c>
      <c r="AB386" s="1">
        <f t="shared" si="128"/>
        <v>0</v>
      </c>
      <c r="AD386" s="1">
        <f t="shared" si="129"/>
        <v>0</v>
      </c>
      <c r="AE386" s="1">
        <f t="shared" si="130"/>
        <v>1</v>
      </c>
      <c r="AF386" s="1">
        <f t="shared" si="115"/>
        <v>0</v>
      </c>
      <c r="AG386" s="1">
        <f t="shared" si="116"/>
        <v>1</v>
      </c>
      <c r="AH386" s="1">
        <f t="shared" si="117"/>
        <v>0</v>
      </c>
      <c r="AI386" s="1">
        <f t="shared" si="118"/>
        <v>1</v>
      </c>
    </row>
    <row r="387" spans="1:35" s="1" customFormat="1" ht="14.25" customHeight="1" x14ac:dyDescent="0.25">
      <c r="A387" s="49">
        <v>0</v>
      </c>
      <c r="B387" s="49">
        <v>2</v>
      </c>
      <c r="C387" s="49">
        <v>5</v>
      </c>
      <c r="D387" s="50" t="s">
        <v>79</v>
      </c>
      <c r="E387" s="50" t="s">
        <v>158</v>
      </c>
      <c r="F387" s="50" t="s">
        <v>267</v>
      </c>
      <c r="G387" s="50" t="s">
        <v>212</v>
      </c>
      <c r="H387" s="50" t="s">
        <v>352</v>
      </c>
      <c r="I387" s="49" t="s">
        <v>423</v>
      </c>
      <c r="J387" s="49">
        <v>1</v>
      </c>
      <c r="K387" s="51" t="s">
        <v>942</v>
      </c>
      <c r="L387" s="51" t="s">
        <v>700</v>
      </c>
      <c r="M387" s="52" t="s">
        <v>723</v>
      </c>
      <c r="N387" s="52" t="s">
        <v>1727</v>
      </c>
      <c r="O387" s="53">
        <v>1</v>
      </c>
      <c r="P387" s="53"/>
      <c r="Q387" s="50"/>
      <c r="S387" s="1">
        <f t="shared" si="119"/>
        <v>1</v>
      </c>
      <c r="T387" s="1">
        <f t="shared" si="120"/>
        <v>0</v>
      </c>
      <c r="U387" s="1">
        <f t="shared" si="121"/>
        <v>0</v>
      </c>
      <c r="V387" s="1">
        <f t="shared" si="122"/>
        <v>0</v>
      </c>
      <c r="W387" s="1">
        <f t="shared" si="123"/>
        <v>0</v>
      </c>
      <c r="X387" s="1">
        <f t="shared" si="124"/>
        <v>0</v>
      </c>
      <c r="Y387" s="1">
        <f t="shared" si="125"/>
        <v>0</v>
      </c>
      <c r="Z387" s="1">
        <f t="shared" si="126"/>
        <v>0</v>
      </c>
      <c r="AA387" s="1">
        <f t="shared" si="127"/>
        <v>0</v>
      </c>
      <c r="AB387" s="1">
        <f t="shared" si="128"/>
        <v>0</v>
      </c>
      <c r="AD387" s="1">
        <f t="shared" si="129"/>
        <v>0</v>
      </c>
      <c r="AE387" s="1">
        <f t="shared" si="130"/>
        <v>1</v>
      </c>
      <c r="AF387" s="1">
        <f t="shared" si="115"/>
        <v>0</v>
      </c>
      <c r="AG387" s="1">
        <f t="shared" si="116"/>
        <v>1</v>
      </c>
      <c r="AH387" s="1">
        <f t="shared" si="117"/>
        <v>0</v>
      </c>
      <c r="AI387" s="1">
        <f t="shared" si="118"/>
        <v>1</v>
      </c>
    </row>
    <row r="388" spans="1:35" s="1" customFormat="1" ht="14.25" customHeight="1" x14ac:dyDescent="0.25">
      <c r="A388" s="31">
        <v>0</v>
      </c>
      <c r="B388" s="31">
        <v>2</v>
      </c>
      <c r="C388" s="31">
        <v>5</v>
      </c>
      <c r="D388" s="32" t="s">
        <v>1626</v>
      </c>
      <c r="E388" s="32" t="s">
        <v>1638</v>
      </c>
      <c r="F388" s="32" t="s">
        <v>1535</v>
      </c>
      <c r="G388" s="32" t="s">
        <v>261</v>
      </c>
      <c r="H388" s="32" t="s">
        <v>352</v>
      </c>
      <c r="I388" s="31" t="s">
        <v>1536</v>
      </c>
      <c r="J388" s="31">
        <v>99</v>
      </c>
      <c r="K388" s="33" t="s">
        <v>942</v>
      </c>
      <c r="L388" s="33">
        <v>40</v>
      </c>
      <c r="M388" s="34" t="s">
        <v>39</v>
      </c>
      <c r="N388" s="34" t="s">
        <v>1809</v>
      </c>
      <c r="O388" s="35">
        <v>1</v>
      </c>
      <c r="P388" s="35"/>
      <c r="Q388" s="32"/>
      <c r="S388" s="1">
        <f t="shared" si="119"/>
        <v>0</v>
      </c>
      <c r="T388" s="1">
        <f t="shared" si="120"/>
        <v>0</v>
      </c>
      <c r="U388" s="1">
        <f t="shared" si="121"/>
        <v>0</v>
      </c>
      <c r="V388" s="1">
        <f t="shared" si="122"/>
        <v>0</v>
      </c>
      <c r="W388" s="1">
        <f t="shared" si="123"/>
        <v>0</v>
      </c>
      <c r="X388" s="1">
        <f t="shared" si="124"/>
        <v>0</v>
      </c>
      <c r="Y388" s="1">
        <f t="shared" si="125"/>
        <v>0</v>
      </c>
      <c r="Z388" s="1">
        <f t="shared" si="126"/>
        <v>0</v>
      </c>
      <c r="AA388" s="1">
        <f t="shared" si="127"/>
        <v>0</v>
      </c>
      <c r="AB388" s="1">
        <f t="shared" si="128"/>
        <v>0</v>
      </c>
      <c r="AD388" s="1">
        <f t="shared" si="129"/>
        <v>0</v>
      </c>
      <c r="AE388" s="1">
        <f t="shared" si="130"/>
        <v>1</v>
      </c>
      <c r="AF388" s="1">
        <f t="shared" si="115"/>
        <v>0</v>
      </c>
      <c r="AG388" s="1">
        <f t="shared" si="116"/>
        <v>1</v>
      </c>
      <c r="AH388" s="1">
        <f t="shared" si="117"/>
        <v>0</v>
      </c>
      <c r="AI388" s="1">
        <f t="shared" si="118"/>
        <v>1</v>
      </c>
    </row>
    <row r="389" spans="1:35" s="1" customFormat="1" ht="14.25" customHeight="1" x14ac:dyDescent="0.25">
      <c r="A389" s="31">
        <v>0</v>
      </c>
      <c r="B389" s="31">
        <v>2</v>
      </c>
      <c r="C389" s="31">
        <v>5</v>
      </c>
      <c r="D389" s="32" t="s">
        <v>1281</v>
      </c>
      <c r="E389" s="32" t="s">
        <v>27</v>
      </c>
      <c r="F389" s="32" t="s">
        <v>1282</v>
      </c>
      <c r="G389" s="32" t="s">
        <v>1283</v>
      </c>
      <c r="H389" s="32" t="s">
        <v>352</v>
      </c>
      <c r="I389" s="31" t="s">
        <v>1284</v>
      </c>
      <c r="J389" s="31">
        <v>99</v>
      </c>
      <c r="K389" s="33" t="s">
        <v>942</v>
      </c>
      <c r="L389" s="33" t="s">
        <v>39</v>
      </c>
      <c r="M389" s="34" t="s">
        <v>39</v>
      </c>
      <c r="N389" s="34" t="s">
        <v>1711</v>
      </c>
      <c r="O389" s="35">
        <v>1</v>
      </c>
      <c r="P389" s="35">
        <v>1</v>
      </c>
      <c r="Q389" s="36"/>
      <c r="S389" s="1">
        <f t="shared" si="119"/>
        <v>0</v>
      </c>
      <c r="T389" s="1">
        <f t="shared" si="120"/>
        <v>0</v>
      </c>
      <c r="U389" s="1">
        <f t="shared" si="121"/>
        <v>0</v>
      </c>
      <c r="V389" s="1">
        <f t="shared" si="122"/>
        <v>0</v>
      </c>
      <c r="W389" s="1">
        <f t="shared" si="123"/>
        <v>0</v>
      </c>
      <c r="X389" s="1">
        <f t="shared" si="124"/>
        <v>0</v>
      </c>
      <c r="Y389" s="1">
        <f t="shared" si="125"/>
        <v>0</v>
      </c>
      <c r="Z389" s="1">
        <f t="shared" si="126"/>
        <v>0</v>
      </c>
      <c r="AA389" s="1">
        <f t="shared" si="127"/>
        <v>0</v>
      </c>
      <c r="AB389" s="1">
        <f t="shared" si="128"/>
        <v>0</v>
      </c>
      <c r="AD389" s="1">
        <f t="shared" si="129"/>
        <v>1</v>
      </c>
      <c r="AE389" s="1">
        <f t="shared" si="130"/>
        <v>0</v>
      </c>
      <c r="AF389" s="1">
        <f t="shared" si="115"/>
        <v>1</v>
      </c>
      <c r="AG389" s="1">
        <f t="shared" si="116"/>
        <v>0</v>
      </c>
      <c r="AH389" s="1">
        <f t="shared" si="117"/>
        <v>1</v>
      </c>
      <c r="AI389" s="1">
        <f t="shared" si="118"/>
        <v>0</v>
      </c>
    </row>
    <row r="390" spans="1:35" s="1" customFormat="1" ht="14.25" customHeight="1" x14ac:dyDescent="0.25">
      <c r="A390" s="44">
        <v>0</v>
      </c>
      <c r="B390" s="44">
        <v>2</v>
      </c>
      <c r="C390" s="44">
        <v>5</v>
      </c>
      <c r="D390" s="45" t="s">
        <v>1587</v>
      </c>
      <c r="E390" s="45" t="s">
        <v>158</v>
      </c>
      <c r="F390" s="45" t="s">
        <v>1659</v>
      </c>
      <c r="G390" s="45" t="s">
        <v>1452</v>
      </c>
      <c r="H390" s="45" t="s">
        <v>352</v>
      </c>
      <c r="I390" s="44" t="s">
        <v>1453</v>
      </c>
      <c r="J390" s="44">
        <v>99</v>
      </c>
      <c r="K390" s="46" t="s">
        <v>709</v>
      </c>
      <c r="L390" s="46" t="s">
        <v>692</v>
      </c>
      <c r="M390" s="47" t="s">
        <v>1454</v>
      </c>
      <c r="N390" s="47" t="s">
        <v>1731</v>
      </c>
      <c r="O390" s="48"/>
      <c r="P390" s="48"/>
      <c r="Q390" s="45"/>
      <c r="S390" s="1">
        <f t="shared" si="119"/>
        <v>0</v>
      </c>
      <c r="T390" s="1">
        <f t="shared" si="120"/>
        <v>0</v>
      </c>
      <c r="U390" s="1">
        <f t="shared" si="121"/>
        <v>0</v>
      </c>
      <c r="V390" s="1">
        <f t="shared" si="122"/>
        <v>0</v>
      </c>
      <c r="W390" s="1">
        <f t="shared" si="123"/>
        <v>0</v>
      </c>
      <c r="X390" s="1">
        <f t="shared" si="124"/>
        <v>0</v>
      </c>
      <c r="Y390" s="1">
        <f t="shared" si="125"/>
        <v>0</v>
      </c>
      <c r="Z390" s="1">
        <f t="shared" si="126"/>
        <v>0</v>
      </c>
      <c r="AA390" s="1">
        <f t="shared" si="127"/>
        <v>0</v>
      </c>
      <c r="AB390" s="1">
        <f t="shared" si="128"/>
        <v>0</v>
      </c>
      <c r="AD390" s="1">
        <f t="shared" si="129"/>
        <v>0</v>
      </c>
      <c r="AE390" s="1">
        <f t="shared" si="130"/>
        <v>0</v>
      </c>
      <c r="AF390" s="1">
        <f t="shared" si="115"/>
        <v>0</v>
      </c>
      <c r="AG390" s="1">
        <f t="shared" si="116"/>
        <v>0</v>
      </c>
      <c r="AH390" s="1">
        <f t="shared" si="117"/>
        <v>0</v>
      </c>
      <c r="AI390" s="1">
        <f t="shared" si="118"/>
        <v>1</v>
      </c>
    </row>
    <row r="391" spans="1:35" s="1" customFormat="1" ht="14.25" customHeight="1" x14ac:dyDescent="0.25">
      <c r="A391" s="31">
        <v>0</v>
      </c>
      <c r="B391" s="31">
        <v>2</v>
      </c>
      <c r="C391" s="31">
        <v>5</v>
      </c>
      <c r="D391" s="32" t="s">
        <v>2025</v>
      </c>
      <c r="E391" s="32" t="s">
        <v>2026</v>
      </c>
      <c r="F391" s="32" t="s">
        <v>2027</v>
      </c>
      <c r="G391" s="32" t="s">
        <v>2030</v>
      </c>
      <c r="H391" s="32" t="s">
        <v>352</v>
      </c>
      <c r="I391" s="31" t="s">
        <v>2028</v>
      </c>
      <c r="J391" s="31"/>
      <c r="K391" s="33" t="s">
        <v>1806</v>
      </c>
      <c r="L391" s="33"/>
      <c r="M391" s="34"/>
      <c r="N391" s="34" t="s">
        <v>1711</v>
      </c>
      <c r="O391" s="35">
        <v>1</v>
      </c>
      <c r="P391" s="35">
        <v>1</v>
      </c>
      <c r="Q391" s="32" t="s">
        <v>2029</v>
      </c>
      <c r="S391" s="1">
        <f t="shared" si="119"/>
        <v>0</v>
      </c>
      <c r="T391" s="1">
        <f t="shared" si="120"/>
        <v>0</v>
      </c>
      <c r="U391" s="1">
        <f t="shared" si="121"/>
        <v>0</v>
      </c>
      <c r="V391" s="1">
        <f t="shared" si="122"/>
        <v>0</v>
      </c>
      <c r="W391" s="1">
        <f t="shared" si="123"/>
        <v>0</v>
      </c>
      <c r="X391" s="1">
        <f t="shared" si="124"/>
        <v>0</v>
      </c>
      <c r="Y391" s="1">
        <f t="shared" si="125"/>
        <v>0</v>
      </c>
      <c r="Z391" s="1">
        <f t="shared" si="126"/>
        <v>0</v>
      </c>
      <c r="AA391" s="1">
        <f t="shared" si="127"/>
        <v>0</v>
      </c>
      <c r="AB391" s="1">
        <f t="shared" si="128"/>
        <v>0</v>
      </c>
      <c r="AD391" s="1">
        <f t="shared" si="129"/>
        <v>1</v>
      </c>
      <c r="AE391" s="1">
        <f t="shared" si="130"/>
        <v>0</v>
      </c>
      <c r="AF391" s="1">
        <f t="shared" si="115"/>
        <v>1</v>
      </c>
      <c r="AG391" s="1">
        <f t="shared" si="116"/>
        <v>0</v>
      </c>
      <c r="AH391" s="1">
        <f t="shared" si="117"/>
        <v>1</v>
      </c>
      <c r="AI391" s="1">
        <f t="shared" si="118"/>
        <v>0</v>
      </c>
    </row>
    <row r="392" spans="1:35" s="1" customFormat="1" ht="14.25" customHeight="1" x14ac:dyDescent="0.25">
      <c r="A392" s="31">
        <v>0</v>
      </c>
      <c r="B392" s="31">
        <v>2</v>
      </c>
      <c r="C392" s="31">
        <v>5</v>
      </c>
      <c r="D392" s="32" t="s">
        <v>1762</v>
      </c>
      <c r="E392" s="32" t="s">
        <v>154</v>
      </c>
      <c r="F392" s="32" t="s">
        <v>1763</v>
      </c>
      <c r="G392" s="32" t="s">
        <v>652</v>
      </c>
      <c r="H392" s="32" t="s">
        <v>352</v>
      </c>
      <c r="I392" s="31" t="s">
        <v>1764</v>
      </c>
      <c r="J392" s="31"/>
      <c r="K392" s="33" t="s">
        <v>699</v>
      </c>
      <c r="L392" s="33">
        <v>40</v>
      </c>
      <c r="M392" s="34" t="s">
        <v>1765</v>
      </c>
      <c r="N392" s="34" t="s">
        <v>1727</v>
      </c>
      <c r="O392" s="35">
        <v>1</v>
      </c>
      <c r="P392" s="35"/>
      <c r="Q392" s="32"/>
      <c r="S392" s="1">
        <f t="shared" si="119"/>
        <v>0</v>
      </c>
      <c r="T392" s="1">
        <f t="shared" si="120"/>
        <v>0</v>
      </c>
      <c r="U392" s="1">
        <f t="shared" si="121"/>
        <v>0</v>
      </c>
      <c r="V392" s="1">
        <f t="shared" si="122"/>
        <v>0</v>
      </c>
      <c r="W392" s="1">
        <f t="shared" si="123"/>
        <v>0</v>
      </c>
      <c r="X392" s="1">
        <f t="shared" si="124"/>
        <v>0</v>
      </c>
      <c r="Y392" s="1">
        <f t="shared" si="125"/>
        <v>0</v>
      </c>
      <c r="Z392" s="1">
        <f t="shared" si="126"/>
        <v>0</v>
      </c>
      <c r="AA392" s="1">
        <f t="shared" si="127"/>
        <v>0</v>
      </c>
      <c r="AB392" s="1">
        <f t="shared" si="128"/>
        <v>0</v>
      </c>
      <c r="AD392" s="1">
        <f t="shared" si="129"/>
        <v>0</v>
      </c>
      <c r="AE392" s="1">
        <f t="shared" si="130"/>
        <v>1</v>
      </c>
      <c r="AF392" s="1">
        <f t="shared" si="115"/>
        <v>0</v>
      </c>
      <c r="AG392" s="1">
        <f t="shared" si="116"/>
        <v>1</v>
      </c>
      <c r="AH392" s="1">
        <f t="shared" si="117"/>
        <v>0</v>
      </c>
      <c r="AI392" s="1">
        <f t="shared" si="118"/>
        <v>1</v>
      </c>
    </row>
    <row r="393" spans="1:35" s="1" customFormat="1" ht="14.25" customHeight="1" x14ac:dyDescent="0.25">
      <c r="A393" s="31">
        <v>0</v>
      </c>
      <c r="B393" s="31">
        <v>2</v>
      </c>
      <c r="C393" s="31">
        <v>5</v>
      </c>
      <c r="D393" s="32" t="s">
        <v>828</v>
      </c>
      <c r="E393" s="32" t="s">
        <v>822</v>
      </c>
      <c r="F393" s="32" t="s">
        <v>929</v>
      </c>
      <c r="G393" s="32" t="s">
        <v>179</v>
      </c>
      <c r="H393" s="32" t="s">
        <v>352</v>
      </c>
      <c r="I393" s="31" t="s">
        <v>1096</v>
      </c>
      <c r="J393" s="31">
        <v>10</v>
      </c>
      <c r="K393" s="33" t="s">
        <v>708</v>
      </c>
      <c r="L393" s="33" t="s">
        <v>689</v>
      </c>
      <c r="M393" s="34" t="s">
        <v>1413</v>
      </c>
      <c r="N393" s="34" t="s">
        <v>1739</v>
      </c>
      <c r="O393" s="35">
        <v>1</v>
      </c>
      <c r="P393" s="35"/>
      <c r="Q393" s="32"/>
      <c r="S393" s="1">
        <f t="shared" si="119"/>
        <v>0</v>
      </c>
      <c r="T393" s="1">
        <f t="shared" si="120"/>
        <v>0</v>
      </c>
      <c r="U393" s="1">
        <f t="shared" si="121"/>
        <v>0</v>
      </c>
      <c r="V393" s="1">
        <f t="shared" si="122"/>
        <v>0</v>
      </c>
      <c r="W393" s="1">
        <f t="shared" si="123"/>
        <v>0</v>
      </c>
      <c r="X393" s="1">
        <f t="shared" si="124"/>
        <v>0</v>
      </c>
      <c r="Y393" s="1">
        <f t="shared" si="125"/>
        <v>0</v>
      </c>
      <c r="Z393" s="1">
        <f t="shared" si="126"/>
        <v>0</v>
      </c>
      <c r="AA393" s="1">
        <f t="shared" si="127"/>
        <v>0</v>
      </c>
      <c r="AB393" s="1">
        <f t="shared" si="128"/>
        <v>1</v>
      </c>
      <c r="AD393" s="1">
        <f t="shared" si="129"/>
        <v>0</v>
      </c>
      <c r="AE393" s="1">
        <f t="shared" si="130"/>
        <v>1</v>
      </c>
      <c r="AF393" s="1">
        <f t="shared" si="115"/>
        <v>0</v>
      </c>
      <c r="AG393" s="1">
        <f t="shared" si="116"/>
        <v>1</v>
      </c>
      <c r="AH393" s="1">
        <f t="shared" si="117"/>
        <v>0</v>
      </c>
      <c r="AI393" s="1">
        <f t="shared" si="118"/>
        <v>1</v>
      </c>
    </row>
    <row r="394" spans="1:35" s="1" customFormat="1" ht="14.25" customHeight="1" x14ac:dyDescent="0.25">
      <c r="A394" s="57">
        <v>0</v>
      </c>
      <c r="B394" s="57">
        <v>2</v>
      </c>
      <c r="C394" s="57">
        <v>6</v>
      </c>
      <c r="D394" s="58" t="s">
        <v>1527</v>
      </c>
      <c r="E394" s="58" t="s">
        <v>27</v>
      </c>
      <c r="F394" s="58" t="s">
        <v>1529</v>
      </c>
      <c r="G394" s="58" t="s">
        <v>1518</v>
      </c>
      <c r="H394" s="58" t="s">
        <v>352</v>
      </c>
      <c r="I394" s="57" t="s">
        <v>1528</v>
      </c>
      <c r="J394" s="57">
        <v>5</v>
      </c>
      <c r="K394" s="59" t="s">
        <v>942</v>
      </c>
      <c r="L394" s="59" t="s">
        <v>39</v>
      </c>
      <c r="M394" s="60" t="s">
        <v>39</v>
      </c>
      <c r="N394" s="61"/>
      <c r="O394" s="62"/>
      <c r="P394" s="62"/>
      <c r="Q394" s="66" t="s">
        <v>1884</v>
      </c>
      <c r="S394" s="1">
        <f t="shared" si="119"/>
        <v>0</v>
      </c>
      <c r="T394" s="1">
        <f t="shared" si="120"/>
        <v>0</v>
      </c>
      <c r="U394" s="1">
        <f t="shared" si="121"/>
        <v>0</v>
      </c>
      <c r="V394" s="1">
        <f t="shared" si="122"/>
        <v>0</v>
      </c>
      <c r="W394" s="1">
        <f t="shared" si="123"/>
        <v>1</v>
      </c>
      <c r="X394" s="1">
        <f t="shared" si="124"/>
        <v>0</v>
      </c>
      <c r="Y394" s="1">
        <f t="shared" si="125"/>
        <v>0</v>
      </c>
      <c r="Z394" s="1">
        <f t="shared" si="126"/>
        <v>0</v>
      </c>
      <c r="AA394" s="1">
        <f t="shared" si="127"/>
        <v>0</v>
      </c>
      <c r="AB394" s="1">
        <f t="shared" si="128"/>
        <v>0</v>
      </c>
      <c r="AD394" s="1">
        <f t="shared" si="129"/>
        <v>0</v>
      </c>
      <c r="AE394" s="1">
        <f t="shared" si="130"/>
        <v>0</v>
      </c>
      <c r="AF394" s="1">
        <f t="shared" si="115"/>
        <v>0</v>
      </c>
      <c r="AG394" s="1">
        <f t="shared" si="116"/>
        <v>0</v>
      </c>
      <c r="AH394" s="1">
        <f t="shared" si="117"/>
        <v>0</v>
      </c>
      <c r="AI394" s="1">
        <f t="shared" si="118"/>
        <v>1</v>
      </c>
    </row>
    <row r="395" spans="1:35" s="1" customFormat="1" ht="14.25" customHeight="1" x14ac:dyDescent="0.25">
      <c r="A395" s="44">
        <v>0</v>
      </c>
      <c r="B395" s="44">
        <v>2</v>
      </c>
      <c r="C395" s="44">
        <v>6</v>
      </c>
      <c r="D395" s="45" t="s">
        <v>515</v>
      </c>
      <c r="E395" s="45" t="s">
        <v>31</v>
      </c>
      <c r="F395" s="45" t="s">
        <v>668</v>
      </c>
      <c r="G395" s="45" t="s">
        <v>199</v>
      </c>
      <c r="H395" s="45" t="s">
        <v>352</v>
      </c>
      <c r="I395" s="44" t="s">
        <v>516</v>
      </c>
      <c r="J395" s="44">
        <v>2</v>
      </c>
      <c r="K395" s="46" t="s">
        <v>941</v>
      </c>
      <c r="L395" s="46" t="s">
        <v>690</v>
      </c>
      <c r="M395" s="47" t="s">
        <v>1414</v>
      </c>
      <c r="N395" s="47" t="s">
        <v>1719</v>
      </c>
      <c r="O395" s="48"/>
      <c r="P395" s="48"/>
      <c r="Q395" s="45"/>
      <c r="S395" s="1">
        <f t="shared" si="119"/>
        <v>0</v>
      </c>
      <c r="T395" s="1">
        <f t="shared" si="120"/>
        <v>1</v>
      </c>
      <c r="U395" s="1">
        <f t="shared" si="121"/>
        <v>0</v>
      </c>
      <c r="V395" s="1">
        <f t="shared" si="122"/>
        <v>0</v>
      </c>
      <c r="W395" s="1">
        <f t="shared" si="123"/>
        <v>0</v>
      </c>
      <c r="X395" s="1">
        <f t="shared" si="124"/>
        <v>0</v>
      </c>
      <c r="Y395" s="1">
        <f t="shared" si="125"/>
        <v>0</v>
      </c>
      <c r="Z395" s="1">
        <f t="shared" si="126"/>
        <v>0</v>
      </c>
      <c r="AA395" s="1">
        <f t="shared" si="127"/>
        <v>0</v>
      </c>
      <c r="AB395" s="1">
        <f t="shared" si="128"/>
        <v>0</v>
      </c>
      <c r="AD395" s="1">
        <f t="shared" si="129"/>
        <v>0</v>
      </c>
      <c r="AE395" s="1">
        <f t="shared" si="130"/>
        <v>0</v>
      </c>
      <c r="AF395" s="1">
        <f t="shared" si="115"/>
        <v>0</v>
      </c>
      <c r="AG395" s="1">
        <f t="shared" si="116"/>
        <v>0</v>
      </c>
      <c r="AH395" s="1">
        <f t="shared" si="117"/>
        <v>0</v>
      </c>
      <c r="AI395" s="1">
        <f t="shared" si="118"/>
        <v>1</v>
      </c>
    </row>
    <row r="396" spans="1:35" s="1" customFormat="1" ht="14.25" customHeight="1" x14ac:dyDescent="0.25">
      <c r="A396" s="31">
        <v>0</v>
      </c>
      <c r="B396" s="31">
        <v>2</v>
      </c>
      <c r="C396" s="31">
        <v>6</v>
      </c>
      <c r="D396" s="32" t="s">
        <v>53</v>
      </c>
      <c r="E396" s="32" t="s">
        <v>31</v>
      </c>
      <c r="F396" s="32" t="s">
        <v>209</v>
      </c>
      <c r="G396" s="32" t="s">
        <v>210</v>
      </c>
      <c r="H396" s="32" t="s">
        <v>352</v>
      </c>
      <c r="I396" s="31" t="s">
        <v>390</v>
      </c>
      <c r="J396" s="31">
        <v>1</v>
      </c>
      <c r="K396" s="33" t="s">
        <v>708</v>
      </c>
      <c r="L396" s="33" t="s">
        <v>700</v>
      </c>
      <c r="M396" s="34" t="s">
        <v>724</v>
      </c>
      <c r="N396" s="34" t="s">
        <v>1727</v>
      </c>
      <c r="O396" s="35">
        <v>1</v>
      </c>
      <c r="P396" s="35"/>
      <c r="Q396" s="32"/>
      <c r="S396" s="1">
        <f t="shared" si="119"/>
        <v>1</v>
      </c>
      <c r="T396" s="1">
        <f t="shared" si="120"/>
        <v>0</v>
      </c>
      <c r="U396" s="1">
        <f t="shared" si="121"/>
        <v>0</v>
      </c>
      <c r="V396" s="1">
        <f t="shared" si="122"/>
        <v>0</v>
      </c>
      <c r="W396" s="1">
        <f t="shared" si="123"/>
        <v>0</v>
      </c>
      <c r="X396" s="1">
        <f t="shared" si="124"/>
        <v>0</v>
      </c>
      <c r="Y396" s="1">
        <f t="shared" si="125"/>
        <v>0</v>
      </c>
      <c r="Z396" s="1">
        <f t="shared" si="126"/>
        <v>0</v>
      </c>
      <c r="AA396" s="1">
        <f t="shared" si="127"/>
        <v>0</v>
      </c>
      <c r="AB396" s="1">
        <f t="shared" si="128"/>
        <v>0</v>
      </c>
      <c r="AD396" s="1">
        <f t="shared" si="129"/>
        <v>0</v>
      </c>
      <c r="AE396" s="1">
        <f t="shared" si="130"/>
        <v>1</v>
      </c>
      <c r="AF396" s="1">
        <f t="shared" si="115"/>
        <v>0</v>
      </c>
      <c r="AG396" s="1">
        <f t="shared" si="116"/>
        <v>1</v>
      </c>
      <c r="AH396" s="1">
        <f t="shared" si="117"/>
        <v>0</v>
      </c>
      <c r="AI396" s="1">
        <f t="shared" si="118"/>
        <v>1</v>
      </c>
    </row>
    <row r="397" spans="1:35" s="1" customFormat="1" ht="14.25" customHeight="1" x14ac:dyDescent="0.25">
      <c r="A397" s="31">
        <v>0</v>
      </c>
      <c r="B397" s="31">
        <v>2</v>
      </c>
      <c r="C397" s="31">
        <v>6</v>
      </c>
      <c r="D397" s="32" t="s">
        <v>1846</v>
      </c>
      <c r="E397" s="32" t="s">
        <v>1847</v>
      </c>
      <c r="F397" s="32" t="s">
        <v>1848</v>
      </c>
      <c r="G397" s="32"/>
      <c r="H397" s="32" t="s">
        <v>352</v>
      </c>
      <c r="I397" s="31" t="s">
        <v>1849</v>
      </c>
      <c r="J397" s="31">
        <v>99</v>
      </c>
      <c r="K397" s="33" t="s">
        <v>699</v>
      </c>
      <c r="L397" s="33">
        <v>25</v>
      </c>
      <c r="M397" s="34" t="s">
        <v>1850</v>
      </c>
      <c r="N397" s="34" t="s">
        <v>1727</v>
      </c>
      <c r="O397" s="35">
        <v>1</v>
      </c>
      <c r="P397" s="35"/>
      <c r="Q397" s="32" t="s">
        <v>2031</v>
      </c>
      <c r="S397" s="1">
        <f t="shared" si="119"/>
        <v>0</v>
      </c>
      <c r="T397" s="1">
        <f t="shared" si="120"/>
        <v>0</v>
      </c>
      <c r="U397" s="1">
        <f t="shared" si="121"/>
        <v>0</v>
      </c>
      <c r="V397" s="1">
        <f t="shared" si="122"/>
        <v>0</v>
      </c>
      <c r="W397" s="1">
        <f t="shared" si="123"/>
        <v>0</v>
      </c>
      <c r="X397" s="1">
        <f t="shared" si="124"/>
        <v>0</v>
      </c>
      <c r="Y397" s="1">
        <f t="shared" si="125"/>
        <v>0</v>
      </c>
      <c r="Z397" s="1">
        <f t="shared" si="126"/>
        <v>0</v>
      </c>
      <c r="AA397" s="1">
        <f t="shared" si="127"/>
        <v>0</v>
      </c>
      <c r="AB397" s="1">
        <f t="shared" si="128"/>
        <v>0</v>
      </c>
      <c r="AD397" s="1">
        <f t="shared" si="129"/>
        <v>0</v>
      </c>
      <c r="AE397" s="1">
        <f t="shared" si="130"/>
        <v>1</v>
      </c>
      <c r="AF397" s="1">
        <f t="shared" si="115"/>
        <v>0</v>
      </c>
      <c r="AG397" s="1">
        <f t="shared" si="116"/>
        <v>1</v>
      </c>
      <c r="AH397" s="1">
        <f t="shared" si="117"/>
        <v>0</v>
      </c>
      <c r="AI397" s="1">
        <f t="shared" si="118"/>
        <v>1</v>
      </c>
    </row>
    <row r="398" spans="1:35" s="1" customFormat="1" ht="14.25" customHeight="1" x14ac:dyDescent="0.25">
      <c r="A398" s="44">
        <v>0</v>
      </c>
      <c r="B398" s="44">
        <v>2</v>
      </c>
      <c r="C398" s="44">
        <v>6</v>
      </c>
      <c r="D398" s="45" t="s">
        <v>80</v>
      </c>
      <c r="E398" s="45" t="s">
        <v>31</v>
      </c>
      <c r="F398" s="45" t="s">
        <v>269</v>
      </c>
      <c r="G398" s="45" t="s">
        <v>223</v>
      </c>
      <c r="H398" s="45" t="s">
        <v>352</v>
      </c>
      <c r="I398" s="44" t="s">
        <v>674</v>
      </c>
      <c r="J398" s="44">
        <v>99</v>
      </c>
      <c r="K398" s="46" t="s">
        <v>942</v>
      </c>
      <c r="L398" s="46" t="s">
        <v>690</v>
      </c>
      <c r="M398" s="47" t="s">
        <v>1415</v>
      </c>
      <c r="N398" s="47" t="s">
        <v>1793</v>
      </c>
      <c r="O398" s="48"/>
      <c r="P398" s="48"/>
      <c r="Q398" s="45"/>
      <c r="S398" s="1">
        <f t="shared" si="119"/>
        <v>0</v>
      </c>
      <c r="T398" s="1">
        <f t="shared" si="120"/>
        <v>0</v>
      </c>
      <c r="U398" s="1">
        <f t="shared" si="121"/>
        <v>0</v>
      </c>
      <c r="V398" s="1">
        <f t="shared" si="122"/>
        <v>0</v>
      </c>
      <c r="W398" s="1">
        <f t="shared" si="123"/>
        <v>0</v>
      </c>
      <c r="X398" s="1">
        <f t="shared" si="124"/>
        <v>0</v>
      </c>
      <c r="Y398" s="1">
        <f t="shared" si="125"/>
        <v>0</v>
      </c>
      <c r="Z398" s="1">
        <f t="shared" si="126"/>
        <v>0</v>
      </c>
      <c r="AA398" s="1">
        <f t="shared" si="127"/>
        <v>0</v>
      </c>
      <c r="AB398" s="1">
        <f t="shared" si="128"/>
        <v>0</v>
      </c>
      <c r="AD398" s="1">
        <f t="shared" si="129"/>
        <v>0</v>
      </c>
      <c r="AE398" s="1">
        <f t="shared" si="130"/>
        <v>0</v>
      </c>
      <c r="AF398" s="1">
        <f t="shared" ref="AF398:AF416" si="131">+O398*P398*(1-A398)</f>
        <v>0</v>
      </c>
      <c r="AG398" s="1">
        <f t="shared" ref="AG398:AG416" si="132">O398*(1-P398)*(1-A398)</f>
        <v>0</v>
      </c>
      <c r="AH398" s="1">
        <f t="shared" ref="AH398:AH416" si="133">+P398*(1-A398)</f>
        <v>0</v>
      </c>
      <c r="AI398" s="1">
        <f t="shared" ref="AI398:AI416" si="134">+(1-A398)*(1-P398)</f>
        <v>1</v>
      </c>
    </row>
    <row r="399" spans="1:35" s="1" customFormat="1" ht="14.25" customHeight="1" x14ac:dyDescent="0.25">
      <c r="A399" s="44">
        <v>0</v>
      </c>
      <c r="B399" s="44">
        <v>2</v>
      </c>
      <c r="C399" s="44">
        <v>6</v>
      </c>
      <c r="D399" s="45" t="s">
        <v>635</v>
      </c>
      <c r="E399" s="45" t="s">
        <v>31</v>
      </c>
      <c r="F399" s="45" t="s">
        <v>636</v>
      </c>
      <c r="G399" s="45" t="s">
        <v>239</v>
      </c>
      <c r="H399" s="45" t="s">
        <v>352</v>
      </c>
      <c r="I399" s="44" t="s">
        <v>637</v>
      </c>
      <c r="J399" s="44">
        <v>1</v>
      </c>
      <c r="K399" s="46" t="s">
        <v>709</v>
      </c>
      <c r="L399" s="46" t="s">
        <v>690</v>
      </c>
      <c r="M399" s="47" t="s">
        <v>1416</v>
      </c>
      <c r="N399" s="47" t="s">
        <v>1719</v>
      </c>
      <c r="O399" s="48"/>
      <c r="P399" s="48"/>
      <c r="Q399" s="45"/>
      <c r="S399" s="1">
        <f t="shared" si="119"/>
        <v>1</v>
      </c>
      <c r="T399" s="1">
        <f t="shared" si="120"/>
        <v>0</v>
      </c>
      <c r="U399" s="1">
        <f t="shared" si="121"/>
        <v>0</v>
      </c>
      <c r="V399" s="1">
        <f t="shared" si="122"/>
        <v>0</v>
      </c>
      <c r="W399" s="1">
        <f t="shared" si="123"/>
        <v>0</v>
      </c>
      <c r="X399" s="1">
        <f t="shared" si="124"/>
        <v>0</v>
      </c>
      <c r="Y399" s="1">
        <f t="shared" si="125"/>
        <v>0</v>
      </c>
      <c r="Z399" s="1">
        <f t="shared" si="126"/>
        <v>0</v>
      </c>
      <c r="AA399" s="1">
        <f t="shared" si="127"/>
        <v>0</v>
      </c>
      <c r="AB399" s="1">
        <f t="shared" si="128"/>
        <v>0</v>
      </c>
      <c r="AD399" s="1">
        <f t="shared" si="129"/>
        <v>0</v>
      </c>
      <c r="AE399" s="1">
        <f t="shared" si="130"/>
        <v>0</v>
      </c>
      <c r="AF399" s="1">
        <f t="shared" si="131"/>
        <v>0</v>
      </c>
      <c r="AG399" s="1">
        <f t="shared" si="132"/>
        <v>0</v>
      </c>
      <c r="AH399" s="1">
        <f t="shared" si="133"/>
        <v>0</v>
      </c>
      <c r="AI399" s="1">
        <f t="shared" si="134"/>
        <v>1</v>
      </c>
    </row>
    <row r="400" spans="1:35" s="1" customFormat="1" ht="14.25" customHeight="1" x14ac:dyDescent="0.25">
      <c r="A400" s="44">
        <v>0</v>
      </c>
      <c r="B400" s="44">
        <v>2</v>
      </c>
      <c r="C400" s="44">
        <v>6</v>
      </c>
      <c r="D400" s="45" t="s">
        <v>1119</v>
      </c>
      <c r="E400" s="45" t="s">
        <v>31</v>
      </c>
      <c r="F400" s="45" t="s">
        <v>668</v>
      </c>
      <c r="G400" s="45" t="s">
        <v>199</v>
      </c>
      <c r="H400" s="45" t="s">
        <v>352</v>
      </c>
      <c r="I400" s="44" t="s">
        <v>516</v>
      </c>
      <c r="J400" s="44">
        <v>2</v>
      </c>
      <c r="K400" s="46" t="s">
        <v>708</v>
      </c>
      <c r="L400" s="46" t="s">
        <v>690</v>
      </c>
      <c r="M400" s="47" t="s">
        <v>724</v>
      </c>
      <c r="N400" s="47" t="s">
        <v>1719</v>
      </c>
      <c r="O400" s="48"/>
      <c r="P400" s="48"/>
      <c r="Q400" s="45"/>
      <c r="S400" s="1">
        <f t="shared" si="119"/>
        <v>0</v>
      </c>
      <c r="T400" s="1">
        <f t="shared" si="120"/>
        <v>1</v>
      </c>
      <c r="U400" s="1">
        <f t="shared" si="121"/>
        <v>0</v>
      </c>
      <c r="V400" s="1">
        <f t="shared" si="122"/>
        <v>0</v>
      </c>
      <c r="W400" s="1">
        <f t="shared" si="123"/>
        <v>0</v>
      </c>
      <c r="X400" s="1">
        <f t="shared" si="124"/>
        <v>0</v>
      </c>
      <c r="Y400" s="1">
        <f t="shared" si="125"/>
        <v>0</v>
      </c>
      <c r="Z400" s="1">
        <f t="shared" si="126"/>
        <v>0</v>
      </c>
      <c r="AA400" s="1">
        <f t="shared" si="127"/>
        <v>0</v>
      </c>
      <c r="AB400" s="1">
        <f t="shared" si="128"/>
        <v>0</v>
      </c>
      <c r="AD400" s="1">
        <f t="shared" si="129"/>
        <v>0</v>
      </c>
      <c r="AE400" s="1">
        <f t="shared" si="130"/>
        <v>0</v>
      </c>
      <c r="AF400" s="1">
        <f t="shared" si="131"/>
        <v>0</v>
      </c>
      <c r="AG400" s="1">
        <f t="shared" si="132"/>
        <v>0</v>
      </c>
      <c r="AH400" s="1">
        <f t="shared" si="133"/>
        <v>0</v>
      </c>
      <c r="AI400" s="1">
        <f t="shared" si="134"/>
        <v>1</v>
      </c>
    </row>
    <row r="401" spans="1:35" s="1" customFormat="1" ht="14.25" customHeight="1" x14ac:dyDescent="0.25">
      <c r="A401" s="44">
        <v>0</v>
      </c>
      <c r="B401" s="44">
        <v>2</v>
      </c>
      <c r="C401" s="44">
        <v>6</v>
      </c>
      <c r="D401" s="45" t="s">
        <v>1070</v>
      </c>
      <c r="E401" s="45" t="s">
        <v>158</v>
      </c>
      <c r="F401" s="45" t="s">
        <v>197</v>
      </c>
      <c r="G401" s="45" t="s">
        <v>198</v>
      </c>
      <c r="H401" s="45" t="s">
        <v>352</v>
      </c>
      <c r="I401" s="44" t="s">
        <v>386</v>
      </c>
      <c r="J401" s="44">
        <v>99</v>
      </c>
      <c r="K401" s="46" t="s">
        <v>708</v>
      </c>
      <c r="L401" s="46" t="s">
        <v>712</v>
      </c>
      <c r="M401" s="47" t="s">
        <v>726</v>
      </c>
      <c r="N401" s="47" t="s">
        <v>1718</v>
      </c>
      <c r="O401" s="48"/>
      <c r="P401" s="48"/>
      <c r="Q401" s="45"/>
      <c r="S401" s="1">
        <f t="shared" si="119"/>
        <v>0</v>
      </c>
      <c r="T401" s="1">
        <f t="shared" si="120"/>
        <v>0</v>
      </c>
      <c r="U401" s="1">
        <f t="shared" si="121"/>
        <v>0</v>
      </c>
      <c r="V401" s="1">
        <f t="shared" si="122"/>
        <v>0</v>
      </c>
      <c r="W401" s="1">
        <f t="shared" si="123"/>
        <v>0</v>
      </c>
      <c r="X401" s="1">
        <f t="shared" si="124"/>
        <v>0</v>
      </c>
      <c r="Y401" s="1">
        <f t="shared" si="125"/>
        <v>0</v>
      </c>
      <c r="Z401" s="1">
        <f t="shared" si="126"/>
        <v>0</v>
      </c>
      <c r="AA401" s="1">
        <f t="shared" si="127"/>
        <v>0</v>
      </c>
      <c r="AB401" s="1">
        <f t="shared" si="128"/>
        <v>0</v>
      </c>
      <c r="AD401" s="1">
        <f t="shared" si="129"/>
        <v>0</v>
      </c>
      <c r="AE401" s="1">
        <f t="shared" si="130"/>
        <v>0</v>
      </c>
      <c r="AF401" s="1">
        <f t="shared" si="131"/>
        <v>0</v>
      </c>
      <c r="AG401" s="1">
        <f t="shared" si="132"/>
        <v>0</v>
      </c>
      <c r="AH401" s="1">
        <f t="shared" si="133"/>
        <v>0</v>
      </c>
      <c r="AI401" s="1">
        <f t="shared" si="134"/>
        <v>1</v>
      </c>
    </row>
    <row r="402" spans="1:35" s="1" customFormat="1" ht="14.25" customHeight="1" x14ac:dyDescent="0.25">
      <c r="A402" s="31">
        <v>0</v>
      </c>
      <c r="B402" s="31">
        <v>2</v>
      </c>
      <c r="C402" s="31">
        <v>7</v>
      </c>
      <c r="D402" s="32" t="s">
        <v>505</v>
      </c>
      <c r="E402" s="32" t="s">
        <v>155</v>
      </c>
      <c r="F402" s="32" t="s">
        <v>506</v>
      </c>
      <c r="G402" s="32" t="s">
        <v>39</v>
      </c>
      <c r="H402" s="32" t="s">
        <v>352</v>
      </c>
      <c r="I402" s="31" t="s">
        <v>930</v>
      </c>
      <c r="J402" s="31">
        <v>7</v>
      </c>
      <c r="K402" s="33" t="s">
        <v>942</v>
      </c>
      <c r="L402" s="33" t="s">
        <v>39</v>
      </c>
      <c r="M402" s="34" t="s">
        <v>39</v>
      </c>
      <c r="N402" s="34" t="s">
        <v>1711</v>
      </c>
      <c r="O402" s="35">
        <v>1</v>
      </c>
      <c r="P402" s="35">
        <v>1</v>
      </c>
      <c r="Q402" s="32"/>
      <c r="S402" s="1">
        <f t="shared" ref="S402:S416" si="135">IF(J402=$S$7,1,0)</f>
        <v>0</v>
      </c>
      <c r="T402" s="1">
        <f t="shared" ref="T402:T416" si="136">IF(J402=$T$7,1,0)</f>
        <v>0</v>
      </c>
      <c r="U402" s="1">
        <f t="shared" ref="U402:U416" si="137">IF(J402=$U$7,1,0)</f>
        <v>0</v>
      </c>
      <c r="V402" s="1">
        <f t="shared" ref="V402:V416" si="138">IF(J402=$V$7,1,0)</f>
        <v>0</v>
      </c>
      <c r="W402" s="1">
        <f t="shared" ref="W402:W416" si="139">IF(J402=$W$7,1,0)</f>
        <v>0</v>
      </c>
      <c r="X402" s="1">
        <f t="shared" ref="X402:X416" si="140">IF(J402=$X$7,1,0)</f>
        <v>0</v>
      </c>
      <c r="Y402" s="1">
        <f t="shared" ref="Y402:Y416" si="141">IF(J402=$Y$7,1,0)</f>
        <v>1</v>
      </c>
      <c r="Z402" s="1">
        <f t="shared" ref="Z402:Z416" si="142">IF(J402=$Z$7,1,0)</f>
        <v>0</v>
      </c>
      <c r="AA402" s="1">
        <f t="shared" ref="AA402:AA416" si="143">IF(J402=$AA$7,1,0)</f>
        <v>0</v>
      </c>
      <c r="AB402" s="1">
        <f t="shared" ref="AB402:AB416" si="144">IF(J402=$AB$7,1,0)</f>
        <v>0</v>
      </c>
      <c r="AD402" s="1">
        <f t="shared" ref="AD402:AD416" si="145">+O402*P402</f>
        <v>1</v>
      </c>
      <c r="AE402" s="1">
        <f t="shared" ref="AE402:AE416" si="146">O402*(1-P402)</f>
        <v>0</v>
      </c>
      <c r="AF402" s="1">
        <f t="shared" si="131"/>
        <v>1</v>
      </c>
      <c r="AG402" s="1">
        <f t="shared" si="132"/>
        <v>0</v>
      </c>
      <c r="AH402" s="1">
        <f t="shared" si="133"/>
        <v>1</v>
      </c>
      <c r="AI402" s="1">
        <f t="shared" si="134"/>
        <v>0</v>
      </c>
    </row>
    <row r="403" spans="1:35" s="1" customFormat="1" ht="14.25" customHeight="1" x14ac:dyDescent="0.25">
      <c r="A403" s="31">
        <v>0</v>
      </c>
      <c r="B403" s="31">
        <v>2</v>
      </c>
      <c r="C403" s="31">
        <v>7</v>
      </c>
      <c r="D403" s="32" t="s">
        <v>70</v>
      </c>
      <c r="E403" s="32" t="s">
        <v>28</v>
      </c>
      <c r="F403" s="32" t="s">
        <v>669</v>
      </c>
      <c r="G403" s="32" t="s">
        <v>257</v>
      </c>
      <c r="H403" s="32" t="s">
        <v>352</v>
      </c>
      <c r="I403" s="31" t="s">
        <v>415</v>
      </c>
      <c r="J403" s="31">
        <v>8</v>
      </c>
      <c r="K403" s="33" t="s">
        <v>709</v>
      </c>
      <c r="L403" s="33" t="s">
        <v>709</v>
      </c>
      <c r="M403" s="34" t="s">
        <v>727</v>
      </c>
      <c r="N403" s="34" t="s">
        <v>1727</v>
      </c>
      <c r="O403" s="35">
        <v>1</v>
      </c>
      <c r="P403" s="35"/>
      <c r="Q403" s="32"/>
      <c r="S403" s="1">
        <f t="shared" si="135"/>
        <v>0</v>
      </c>
      <c r="T403" s="1">
        <f t="shared" si="136"/>
        <v>0</v>
      </c>
      <c r="U403" s="1">
        <f t="shared" si="137"/>
        <v>0</v>
      </c>
      <c r="V403" s="1">
        <f t="shared" si="138"/>
        <v>0</v>
      </c>
      <c r="W403" s="1">
        <f t="shared" si="139"/>
        <v>0</v>
      </c>
      <c r="X403" s="1">
        <f t="shared" si="140"/>
        <v>0</v>
      </c>
      <c r="Y403" s="1">
        <f t="shared" si="141"/>
        <v>0</v>
      </c>
      <c r="Z403" s="1">
        <f t="shared" si="142"/>
        <v>1</v>
      </c>
      <c r="AA403" s="1">
        <f t="shared" si="143"/>
        <v>0</v>
      </c>
      <c r="AB403" s="1">
        <f t="shared" si="144"/>
        <v>0</v>
      </c>
      <c r="AD403" s="1">
        <f t="shared" si="145"/>
        <v>0</v>
      </c>
      <c r="AE403" s="1">
        <f t="shared" si="146"/>
        <v>1</v>
      </c>
      <c r="AF403" s="1">
        <f t="shared" si="131"/>
        <v>0</v>
      </c>
      <c r="AG403" s="1">
        <f t="shared" si="132"/>
        <v>1</v>
      </c>
      <c r="AH403" s="1">
        <f t="shared" si="133"/>
        <v>0</v>
      </c>
      <c r="AI403" s="1">
        <f t="shared" si="134"/>
        <v>1</v>
      </c>
    </row>
    <row r="404" spans="1:35" s="1" customFormat="1" ht="14.25" customHeight="1" x14ac:dyDescent="0.25">
      <c r="A404" s="31">
        <v>0</v>
      </c>
      <c r="B404" s="31">
        <v>2</v>
      </c>
      <c r="C404" s="31">
        <v>7</v>
      </c>
      <c r="D404" s="32" t="s">
        <v>650</v>
      </c>
      <c r="E404" s="32" t="s">
        <v>155</v>
      </c>
      <c r="F404" s="32" t="s">
        <v>581</v>
      </c>
      <c r="G404" s="32" t="s">
        <v>248</v>
      </c>
      <c r="H404" s="32" t="s">
        <v>352</v>
      </c>
      <c r="I404" s="31" t="s">
        <v>675</v>
      </c>
      <c r="J404" s="31">
        <v>7</v>
      </c>
      <c r="K404" s="33" t="s">
        <v>942</v>
      </c>
      <c r="L404" s="33" t="s">
        <v>39</v>
      </c>
      <c r="M404" s="34" t="s">
        <v>39</v>
      </c>
      <c r="N404" s="34" t="s">
        <v>1711</v>
      </c>
      <c r="O404" s="35">
        <v>1</v>
      </c>
      <c r="P404" s="35">
        <v>1</v>
      </c>
      <c r="Q404" s="32"/>
      <c r="S404" s="1">
        <f t="shared" si="135"/>
        <v>0</v>
      </c>
      <c r="T404" s="1">
        <f t="shared" si="136"/>
        <v>0</v>
      </c>
      <c r="U404" s="1">
        <f t="shared" si="137"/>
        <v>0</v>
      </c>
      <c r="V404" s="1">
        <f t="shared" si="138"/>
        <v>0</v>
      </c>
      <c r="W404" s="1">
        <f t="shared" si="139"/>
        <v>0</v>
      </c>
      <c r="X404" s="1">
        <f t="shared" si="140"/>
        <v>0</v>
      </c>
      <c r="Y404" s="1">
        <f t="shared" si="141"/>
        <v>1</v>
      </c>
      <c r="Z404" s="1">
        <f t="shared" si="142"/>
        <v>0</v>
      </c>
      <c r="AA404" s="1">
        <f t="shared" si="143"/>
        <v>0</v>
      </c>
      <c r="AB404" s="1">
        <f t="shared" si="144"/>
        <v>0</v>
      </c>
      <c r="AD404" s="1">
        <f t="shared" si="145"/>
        <v>1</v>
      </c>
      <c r="AE404" s="1">
        <f t="shared" si="146"/>
        <v>0</v>
      </c>
      <c r="AF404" s="1">
        <f t="shared" si="131"/>
        <v>1</v>
      </c>
      <c r="AG404" s="1">
        <f t="shared" si="132"/>
        <v>0</v>
      </c>
      <c r="AH404" s="1">
        <f t="shared" si="133"/>
        <v>1</v>
      </c>
      <c r="AI404" s="1">
        <f t="shared" si="134"/>
        <v>0</v>
      </c>
    </row>
    <row r="405" spans="1:35" s="1" customFormat="1" ht="14.25" customHeight="1" x14ac:dyDescent="0.25">
      <c r="A405" s="44">
        <v>0</v>
      </c>
      <c r="B405" s="44">
        <v>2</v>
      </c>
      <c r="C405" s="44">
        <v>7</v>
      </c>
      <c r="D405" s="45" t="s">
        <v>1618</v>
      </c>
      <c r="E405" s="45" t="s">
        <v>155</v>
      </c>
      <c r="F405" s="45" t="s">
        <v>1641</v>
      </c>
      <c r="G405" s="45" t="s">
        <v>212</v>
      </c>
      <c r="H405" s="45" t="s">
        <v>352</v>
      </c>
      <c r="I405" s="44" t="s">
        <v>590</v>
      </c>
      <c r="J405" s="44">
        <v>1</v>
      </c>
      <c r="K405" s="46" t="s">
        <v>708</v>
      </c>
      <c r="L405" s="46" t="s">
        <v>718</v>
      </c>
      <c r="M405" s="47" t="s">
        <v>1417</v>
      </c>
      <c r="N405" s="47" t="s">
        <v>1719</v>
      </c>
      <c r="O405" s="48"/>
      <c r="P405" s="48"/>
      <c r="Q405" s="45"/>
      <c r="S405" s="1">
        <f t="shared" si="135"/>
        <v>1</v>
      </c>
      <c r="T405" s="1">
        <f t="shared" si="136"/>
        <v>0</v>
      </c>
      <c r="U405" s="1">
        <f t="shared" si="137"/>
        <v>0</v>
      </c>
      <c r="V405" s="1">
        <f t="shared" si="138"/>
        <v>0</v>
      </c>
      <c r="W405" s="1">
        <f t="shared" si="139"/>
        <v>0</v>
      </c>
      <c r="X405" s="1">
        <f t="shared" si="140"/>
        <v>0</v>
      </c>
      <c r="Y405" s="1">
        <f t="shared" si="141"/>
        <v>0</v>
      </c>
      <c r="Z405" s="1">
        <f t="shared" si="142"/>
        <v>0</v>
      </c>
      <c r="AA405" s="1">
        <f t="shared" si="143"/>
        <v>0</v>
      </c>
      <c r="AB405" s="1">
        <f t="shared" si="144"/>
        <v>0</v>
      </c>
      <c r="AD405" s="1">
        <f t="shared" si="145"/>
        <v>0</v>
      </c>
      <c r="AE405" s="1">
        <f t="shared" si="146"/>
        <v>0</v>
      </c>
      <c r="AF405" s="1">
        <f t="shared" si="131"/>
        <v>0</v>
      </c>
      <c r="AG405" s="1">
        <f t="shared" si="132"/>
        <v>0</v>
      </c>
      <c r="AH405" s="1">
        <f t="shared" si="133"/>
        <v>0</v>
      </c>
      <c r="AI405" s="1">
        <f t="shared" si="134"/>
        <v>1</v>
      </c>
    </row>
    <row r="406" spans="1:35" s="1" customFormat="1" ht="14.25" customHeight="1" x14ac:dyDescent="0.25">
      <c r="A406" s="44">
        <v>0</v>
      </c>
      <c r="B406" s="44">
        <v>2</v>
      </c>
      <c r="C406" s="44">
        <v>7</v>
      </c>
      <c r="D406" s="45" t="s">
        <v>1057</v>
      </c>
      <c r="E406" s="45" t="s">
        <v>1033</v>
      </c>
      <c r="F406" s="45" t="s">
        <v>1058</v>
      </c>
      <c r="G406" s="45" t="s">
        <v>212</v>
      </c>
      <c r="H406" s="45" t="s">
        <v>352</v>
      </c>
      <c r="I406" s="44" t="s">
        <v>1059</v>
      </c>
      <c r="J406" s="44">
        <v>1</v>
      </c>
      <c r="K406" s="46" t="s">
        <v>942</v>
      </c>
      <c r="L406" s="46" t="s">
        <v>718</v>
      </c>
      <c r="M406" s="47" t="s">
        <v>1418</v>
      </c>
      <c r="N406" s="47" t="s">
        <v>1719</v>
      </c>
      <c r="O406" s="48"/>
      <c r="P406" s="48"/>
      <c r="Q406" s="45" t="s">
        <v>1902</v>
      </c>
      <c r="S406" s="1">
        <f t="shared" si="135"/>
        <v>1</v>
      </c>
      <c r="T406" s="1">
        <f t="shared" si="136"/>
        <v>0</v>
      </c>
      <c r="U406" s="1">
        <f t="shared" si="137"/>
        <v>0</v>
      </c>
      <c r="V406" s="1">
        <f t="shared" si="138"/>
        <v>0</v>
      </c>
      <c r="W406" s="1">
        <f t="shared" si="139"/>
        <v>0</v>
      </c>
      <c r="X406" s="1">
        <f t="shared" si="140"/>
        <v>0</v>
      </c>
      <c r="Y406" s="1">
        <f t="shared" si="141"/>
        <v>0</v>
      </c>
      <c r="Z406" s="1">
        <f t="shared" si="142"/>
        <v>0</v>
      </c>
      <c r="AA406" s="1">
        <f t="shared" si="143"/>
        <v>0</v>
      </c>
      <c r="AB406" s="1">
        <f t="shared" si="144"/>
        <v>0</v>
      </c>
      <c r="AD406" s="1">
        <f t="shared" si="145"/>
        <v>0</v>
      </c>
      <c r="AE406" s="1">
        <f t="shared" si="146"/>
        <v>0</v>
      </c>
      <c r="AF406" s="1">
        <f t="shared" si="131"/>
        <v>0</v>
      </c>
      <c r="AG406" s="1">
        <f t="shared" si="132"/>
        <v>0</v>
      </c>
      <c r="AH406" s="1">
        <f t="shared" si="133"/>
        <v>0</v>
      </c>
      <c r="AI406" s="1">
        <f t="shared" si="134"/>
        <v>1</v>
      </c>
    </row>
    <row r="407" spans="1:35" s="1" customFormat="1" ht="14.25" customHeight="1" x14ac:dyDescent="0.25">
      <c r="A407" s="31">
        <v>0</v>
      </c>
      <c r="B407" s="31">
        <v>2</v>
      </c>
      <c r="C407" s="31">
        <v>7</v>
      </c>
      <c r="D407" s="32" t="s">
        <v>1004</v>
      </c>
      <c r="E407" s="32" t="s">
        <v>155</v>
      </c>
      <c r="F407" s="32" t="s">
        <v>1075</v>
      </c>
      <c r="G407" s="32" t="s">
        <v>1085</v>
      </c>
      <c r="H407" s="32" t="s">
        <v>352</v>
      </c>
      <c r="I407" s="31" t="s">
        <v>1005</v>
      </c>
      <c r="J407" s="31">
        <v>99</v>
      </c>
      <c r="K407" s="33" t="s">
        <v>709</v>
      </c>
      <c r="L407" s="33" t="s">
        <v>718</v>
      </c>
      <c r="M407" s="34" t="s">
        <v>1418</v>
      </c>
      <c r="N407" s="34" t="s">
        <v>1732</v>
      </c>
      <c r="O407" s="35">
        <v>1</v>
      </c>
      <c r="P407" s="35"/>
      <c r="Q407" s="32"/>
      <c r="S407" s="1">
        <f t="shared" si="135"/>
        <v>0</v>
      </c>
      <c r="T407" s="1">
        <f t="shared" si="136"/>
        <v>0</v>
      </c>
      <c r="U407" s="1">
        <f t="shared" si="137"/>
        <v>0</v>
      </c>
      <c r="V407" s="1">
        <f t="shared" si="138"/>
        <v>0</v>
      </c>
      <c r="W407" s="1">
        <f t="shared" si="139"/>
        <v>0</v>
      </c>
      <c r="X407" s="1">
        <f t="shared" si="140"/>
        <v>0</v>
      </c>
      <c r="Y407" s="1">
        <f t="shared" si="141"/>
        <v>0</v>
      </c>
      <c r="Z407" s="1">
        <f t="shared" si="142"/>
        <v>0</v>
      </c>
      <c r="AA407" s="1">
        <f t="shared" si="143"/>
        <v>0</v>
      </c>
      <c r="AB407" s="1">
        <f t="shared" si="144"/>
        <v>0</v>
      </c>
      <c r="AD407" s="1">
        <f t="shared" si="145"/>
        <v>0</v>
      </c>
      <c r="AE407" s="1">
        <f t="shared" si="146"/>
        <v>1</v>
      </c>
      <c r="AF407" s="1">
        <f t="shared" si="131"/>
        <v>0</v>
      </c>
      <c r="AG407" s="1">
        <f t="shared" si="132"/>
        <v>1</v>
      </c>
      <c r="AH407" s="1">
        <f t="shared" si="133"/>
        <v>0</v>
      </c>
      <c r="AI407" s="1">
        <f t="shared" si="134"/>
        <v>1</v>
      </c>
    </row>
    <row r="408" spans="1:35" s="1" customFormat="1" ht="14.25" customHeight="1" x14ac:dyDescent="0.25">
      <c r="A408" s="31">
        <v>0</v>
      </c>
      <c r="B408" s="31">
        <v>2</v>
      </c>
      <c r="C408" s="31">
        <v>7</v>
      </c>
      <c r="D408" s="32" t="s">
        <v>1189</v>
      </c>
      <c r="E408" s="32" t="s">
        <v>1316</v>
      </c>
      <c r="F408" s="32" t="s">
        <v>1190</v>
      </c>
      <c r="G408" s="32" t="s">
        <v>39</v>
      </c>
      <c r="H408" s="32" t="s">
        <v>352</v>
      </c>
      <c r="I408" s="31" t="s">
        <v>1669</v>
      </c>
      <c r="J408" s="31">
        <v>99</v>
      </c>
      <c r="K408" s="33" t="s">
        <v>942</v>
      </c>
      <c r="L408" s="33" t="s">
        <v>725</v>
      </c>
      <c r="M408" s="34" t="s">
        <v>1419</v>
      </c>
      <c r="N408" s="34" t="s">
        <v>1732</v>
      </c>
      <c r="O408" s="35">
        <v>1</v>
      </c>
      <c r="P408" s="35"/>
      <c r="Q408" s="32"/>
      <c r="S408" s="1">
        <f t="shared" si="135"/>
        <v>0</v>
      </c>
      <c r="T408" s="1">
        <f t="shared" si="136"/>
        <v>0</v>
      </c>
      <c r="U408" s="1">
        <f t="shared" si="137"/>
        <v>0</v>
      </c>
      <c r="V408" s="1">
        <f t="shared" si="138"/>
        <v>0</v>
      </c>
      <c r="W408" s="1">
        <f t="shared" si="139"/>
        <v>0</v>
      </c>
      <c r="X408" s="1">
        <f t="shared" si="140"/>
        <v>0</v>
      </c>
      <c r="Y408" s="1">
        <f t="shared" si="141"/>
        <v>0</v>
      </c>
      <c r="Z408" s="1">
        <f t="shared" si="142"/>
        <v>0</v>
      </c>
      <c r="AA408" s="1">
        <f t="shared" si="143"/>
        <v>0</v>
      </c>
      <c r="AB408" s="1">
        <f t="shared" si="144"/>
        <v>0</v>
      </c>
      <c r="AD408" s="1">
        <f t="shared" si="145"/>
        <v>0</v>
      </c>
      <c r="AE408" s="1">
        <f t="shared" si="146"/>
        <v>1</v>
      </c>
      <c r="AF408" s="1">
        <f t="shared" si="131"/>
        <v>0</v>
      </c>
      <c r="AG408" s="1">
        <f t="shared" si="132"/>
        <v>1</v>
      </c>
      <c r="AH408" s="1">
        <f t="shared" si="133"/>
        <v>0</v>
      </c>
      <c r="AI408" s="1">
        <f t="shared" si="134"/>
        <v>1</v>
      </c>
    </row>
    <row r="409" spans="1:35" s="1" customFormat="1" ht="14.25" customHeight="1" x14ac:dyDescent="0.25">
      <c r="A409" s="31">
        <v>0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640</v>
      </c>
      <c r="G409" s="32" t="s">
        <v>531</v>
      </c>
      <c r="H409" s="32" t="s">
        <v>352</v>
      </c>
      <c r="I409" s="31" t="s">
        <v>392</v>
      </c>
      <c r="J409" s="31">
        <v>6</v>
      </c>
      <c r="K409" s="33" t="s">
        <v>708</v>
      </c>
      <c r="L409" s="33" t="s">
        <v>709</v>
      </c>
      <c r="M409" s="34" t="s">
        <v>727</v>
      </c>
      <c r="N409" s="34" t="s">
        <v>1745</v>
      </c>
      <c r="O409" s="35">
        <v>1</v>
      </c>
      <c r="P409" s="35"/>
      <c r="Q409" s="32"/>
      <c r="S409" s="1">
        <f t="shared" si="135"/>
        <v>0</v>
      </c>
      <c r="T409" s="1">
        <f t="shared" si="136"/>
        <v>0</v>
      </c>
      <c r="U409" s="1">
        <f t="shared" si="137"/>
        <v>0</v>
      </c>
      <c r="V409" s="1">
        <f t="shared" si="138"/>
        <v>0</v>
      </c>
      <c r="W409" s="1">
        <f t="shared" si="139"/>
        <v>0</v>
      </c>
      <c r="X409" s="1">
        <f t="shared" si="140"/>
        <v>1</v>
      </c>
      <c r="Y409" s="1">
        <f t="shared" si="141"/>
        <v>0</v>
      </c>
      <c r="Z409" s="1">
        <f t="shared" si="142"/>
        <v>0</v>
      </c>
      <c r="AA409" s="1">
        <f t="shared" si="143"/>
        <v>0</v>
      </c>
      <c r="AB409" s="1">
        <f t="shared" si="144"/>
        <v>0</v>
      </c>
      <c r="AD409" s="1">
        <f t="shared" si="145"/>
        <v>0</v>
      </c>
      <c r="AE409" s="1">
        <f t="shared" si="146"/>
        <v>1</v>
      </c>
      <c r="AF409" s="1">
        <f t="shared" si="131"/>
        <v>0</v>
      </c>
      <c r="AG409" s="1">
        <f t="shared" si="132"/>
        <v>1</v>
      </c>
      <c r="AH409" s="1">
        <f t="shared" si="133"/>
        <v>0</v>
      </c>
      <c r="AI409" s="1">
        <f t="shared" si="134"/>
        <v>1</v>
      </c>
    </row>
    <row r="410" spans="1:35" s="1" customFormat="1" ht="14.25" customHeight="1" x14ac:dyDescent="0.25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215</v>
      </c>
      <c r="G410" s="32" t="s">
        <v>39</v>
      </c>
      <c r="H410" s="32" t="s">
        <v>352</v>
      </c>
      <c r="I410" s="31" t="s">
        <v>30</v>
      </c>
      <c r="J410" s="31">
        <v>99</v>
      </c>
      <c r="K410" s="33" t="s">
        <v>708</v>
      </c>
      <c r="L410" s="33" t="s">
        <v>709</v>
      </c>
      <c r="M410" s="34" t="s">
        <v>727</v>
      </c>
      <c r="N410" s="34" t="s">
        <v>1745</v>
      </c>
      <c r="O410" s="35">
        <v>1</v>
      </c>
      <c r="P410" s="35"/>
      <c r="Q410" s="32"/>
      <c r="S410" s="1">
        <f t="shared" si="135"/>
        <v>0</v>
      </c>
      <c r="T410" s="1">
        <f t="shared" si="136"/>
        <v>0</v>
      </c>
      <c r="U410" s="1">
        <f t="shared" si="137"/>
        <v>0</v>
      </c>
      <c r="V410" s="1">
        <f t="shared" si="138"/>
        <v>0</v>
      </c>
      <c r="W410" s="1">
        <f t="shared" si="139"/>
        <v>0</v>
      </c>
      <c r="X410" s="1">
        <f t="shared" si="140"/>
        <v>0</v>
      </c>
      <c r="Y410" s="1">
        <f t="shared" si="141"/>
        <v>0</v>
      </c>
      <c r="Z410" s="1">
        <f t="shared" si="142"/>
        <v>0</v>
      </c>
      <c r="AA410" s="1">
        <f t="shared" si="143"/>
        <v>0</v>
      </c>
      <c r="AB410" s="1">
        <f t="shared" si="144"/>
        <v>0</v>
      </c>
      <c r="AD410" s="1">
        <f t="shared" si="145"/>
        <v>0</v>
      </c>
      <c r="AE410" s="1">
        <f t="shared" si="146"/>
        <v>1</v>
      </c>
      <c r="AF410" s="1">
        <f t="shared" si="131"/>
        <v>0</v>
      </c>
      <c r="AG410" s="1">
        <f t="shared" si="132"/>
        <v>0</v>
      </c>
      <c r="AH410" s="1">
        <f t="shared" si="133"/>
        <v>0</v>
      </c>
      <c r="AI410" s="1">
        <f t="shared" si="134"/>
        <v>0</v>
      </c>
    </row>
    <row r="411" spans="1:35" s="1" customFormat="1" ht="14.25" customHeight="1" x14ac:dyDescent="0.25">
      <c r="A411" s="31">
        <v>1</v>
      </c>
      <c r="B411" s="31">
        <v>2</v>
      </c>
      <c r="C411" s="31">
        <v>7</v>
      </c>
      <c r="D411" s="32" t="s">
        <v>55</v>
      </c>
      <c r="E411" s="32" t="s">
        <v>28</v>
      </c>
      <c r="F411" s="32" t="s">
        <v>214</v>
      </c>
      <c r="G411" s="32" t="s">
        <v>39</v>
      </c>
      <c r="H411" s="32" t="s">
        <v>352</v>
      </c>
      <c r="I411" s="31" t="s">
        <v>392</v>
      </c>
      <c r="J411" s="31">
        <v>99</v>
      </c>
      <c r="K411" s="33" t="s">
        <v>708</v>
      </c>
      <c r="L411" s="33" t="s">
        <v>709</v>
      </c>
      <c r="M411" s="34" t="s">
        <v>727</v>
      </c>
      <c r="N411" s="34" t="s">
        <v>1745</v>
      </c>
      <c r="O411" s="35">
        <v>1</v>
      </c>
      <c r="P411" s="35"/>
      <c r="Q411" s="32"/>
      <c r="S411" s="1">
        <f t="shared" si="135"/>
        <v>0</v>
      </c>
      <c r="T411" s="1">
        <f t="shared" si="136"/>
        <v>0</v>
      </c>
      <c r="U411" s="1">
        <f t="shared" si="137"/>
        <v>0</v>
      </c>
      <c r="V411" s="1">
        <f t="shared" si="138"/>
        <v>0</v>
      </c>
      <c r="W411" s="1">
        <f t="shared" si="139"/>
        <v>0</v>
      </c>
      <c r="X411" s="1">
        <f t="shared" si="140"/>
        <v>0</v>
      </c>
      <c r="Y411" s="1">
        <f t="shared" si="141"/>
        <v>0</v>
      </c>
      <c r="Z411" s="1">
        <f t="shared" si="142"/>
        <v>0</v>
      </c>
      <c r="AA411" s="1">
        <f t="shared" si="143"/>
        <v>0</v>
      </c>
      <c r="AB411" s="1">
        <f t="shared" si="144"/>
        <v>0</v>
      </c>
      <c r="AD411" s="1">
        <f t="shared" si="145"/>
        <v>0</v>
      </c>
      <c r="AE411" s="1">
        <f t="shared" si="146"/>
        <v>1</v>
      </c>
      <c r="AF411" s="1">
        <f t="shared" si="131"/>
        <v>0</v>
      </c>
      <c r="AG411" s="1">
        <f t="shared" si="132"/>
        <v>0</v>
      </c>
      <c r="AH411" s="1">
        <f t="shared" si="133"/>
        <v>0</v>
      </c>
      <c r="AI411" s="1">
        <f t="shared" si="134"/>
        <v>0</v>
      </c>
    </row>
    <row r="412" spans="1:35" s="1" customFormat="1" ht="14.25" customHeight="1" x14ac:dyDescent="0.25">
      <c r="A412" s="31">
        <v>1</v>
      </c>
      <c r="B412" s="31">
        <v>2</v>
      </c>
      <c r="C412" s="31">
        <v>7</v>
      </c>
      <c r="D412" s="32" t="s">
        <v>55</v>
      </c>
      <c r="E412" s="32" t="s">
        <v>28</v>
      </c>
      <c r="F412" s="32" t="s">
        <v>216</v>
      </c>
      <c r="G412" s="32" t="s">
        <v>217</v>
      </c>
      <c r="H412" s="32" t="s">
        <v>352</v>
      </c>
      <c r="I412" s="31" t="s">
        <v>393</v>
      </c>
      <c r="J412" s="31">
        <v>99</v>
      </c>
      <c r="K412" s="33" t="s">
        <v>708</v>
      </c>
      <c r="L412" s="33" t="s">
        <v>709</v>
      </c>
      <c r="M412" s="34" t="s">
        <v>727</v>
      </c>
      <c r="N412" s="34" t="s">
        <v>1745</v>
      </c>
      <c r="O412" s="35">
        <v>1</v>
      </c>
      <c r="P412" s="35"/>
      <c r="Q412" s="32"/>
      <c r="S412" s="1">
        <f t="shared" si="135"/>
        <v>0</v>
      </c>
      <c r="T412" s="1">
        <f t="shared" si="136"/>
        <v>0</v>
      </c>
      <c r="U412" s="1">
        <f t="shared" si="137"/>
        <v>0</v>
      </c>
      <c r="V412" s="1">
        <f t="shared" si="138"/>
        <v>0</v>
      </c>
      <c r="W412" s="1">
        <f t="shared" si="139"/>
        <v>0</v>
      </c>
      <c r="X412" s="1">
        <f t="shared" si="140"/>
        <v>0</v>
      </c>
      <c r="Y412" s="1">
        <f t="shared" si="141"/>
        <v>0</v>
      </c>
      <c r="Z412" s="1">
        <f t="shared" si="142"/>
        <v>0</v>
      </c>
      <c r="AA412" s="1">
        <f t="shared" si="143"/>
        <v>0</v>
      </c>
      <c r="AB412" s="1">
        <f t="shared" si="144"/>
        <v>0</v>
      </c>
      <c r="AD412" s="1">
        <f t="shared" si="145"/>
        <v>0</v>
      </c>
      <c r="AE412" s="1">
        <f t="shared" si="146"/>
        <v>1</v>
      </c>
      <c r="AF412" s="1">
        <f t="shared" si="131"/>
        <v>0</v>
      </c>
      <c r="AG412" s="1">
        <f t="shared" si="132"/>
        <v>0</v>
      </c>
      <c r="AH412" s="1">
        <f t="shared" si="133"/>
        <v>0</v>
      </c>
      <c r="AI412" s="1">
        <f t="shared" si="134"/>
        <v>0</v>
      </c>
    </row>
    <row r="413" spans="1:35" s="1" customFormat="1" ht="14.25" customHeight="1" x14ac:dyDescent="0.25">
      <c r="A413" s="31">
        <v>0</v>
      </c>
      <c r="B413" s="31">
        <v>2</v>
      </c>
      <c r="C413" s="31">
        <v>7</v>
      </c>
      <c r="D413" s="36" t="s">
        <v>2033</v>
      </c>
      <c r="E413" s="36" t="s">
        <v>155</v>
      </c>
      <c r="F413" s="36" t="s">
        <v>2034</v>
      </c>
      <c r="G413" s="36" t="s">
        <v>219</v>
      </c>
      <c r="H413" s="36" t="s">
        <v>352</v>
      </c>
      <c r="I413" s="37" t="s">
        <v>2035</v>
      </c>
      <c r="J413" s="31">
        <v>99</v>
      </c>
      <c r="K413" s="33" t="s">
        <v>699</v>
      </c>
      <c r="L413" s="33">
        <v>10</v>
      </c>
      <c r="M413" s="34" t="s">
        <v>2036</v>
      </c>
      <c r="N413" s="34" t="s">
        <v>1732</v>
      </c>
      <c r="O413" s="35">
        <v>1</v>
      </c>
      <c r="P413" s="35"/>
      <c r="Q413" s="32"/>
      <c r="S413" s="1">
        <f t="shared" si="135"/>
        <v>0</v>
      </c>
      <c r="T413" s="1">
        <f t="shared" si="136"/>
        <v>0</v>
      </c>
      <c r="U413" s="1">
        <f t="shared" si="137"/>
        <v>0</v>
      </c>
      <c r="V413" s="1">
        <f t="shared" si="138"/>
        <v>0</v>
      </c>
      <c r="W413" s="1">
        <f t="shared" si="139"/>
        <v>0</v>
      </c>
      <c r="X413" s="1">
        <f t="shared" si="140"/>
        <v>0</v>
      </c>
      <c r="Y413" s="1">
        <f t="shared" si="141"/>
        <v>0</v>
      </c>
      <c r="Z413" s="1">
        <f t="shared" si="142"/>
        <v>0</v>
      </c>
      <c r="AA413" s="1">
        <f t="shared" si="143"/>
        <v>0</v>
      </c>
      <c r="AB413" s="1">
        <f t="shared" si="144"/>
        <v>0</v>
      </c>
      <c r="AD413" s="1">
        <f t="shared" si="145"/>
        <v>0</v>
      </c>
      <c r="AE413" s="1">
        <f t="shared" si="146"/>
        <v>1</v>
      </c>
      <c r="AF413" s="1">
        <f t="shared" si="131"/>
        <v>0</v>
      </c>
      <c r="AG413" s="1">
        <f t="shared" si="132"/>
        <v>1</v>
      </c>
      <c r="AH413" s="1">
        <f t="shared" si="133"/>
        <v>0</v>
      </c>
      <c r="AI413" s="1">
        <f t="shared" si="134"/>
        <v>1</v>
      </c>
    </row>
    <row r="414" spans="1:35" s="1" customFormat="1" ht="14.25" customHeight="1" x14ac:dyDescent="0.25">
      <c r="A414" s="44">
        <v>0</v>
      </c>
      <c r="B414" s="44">
        <v>2</v>
      </c>
      <c r="C414" s="44">
        <v>7</v>
      </c>
      <c r="D414" s="45" t="s">
        <v>68</v>
      </c>
      <c r="E414" s="45" t="s">
        <v>28</v>
      </c>
      <c r="F414" s="45" t="s">
        <v>252</v>
      </c>
      <c r="G414" s="45" t="s">
        <v>253</v>
      </c>
      <c r="H414" s="45" t="s">
        <v>352</v>
      </c>
      <c r="I414" s="44" t="s">
        <v>412</v>
      </c>
      <c r="J414" s="44">
        <v>99</v>
      </c>
      <c r="K414" s="46" t="s">
        <v>709</v>
      </c>
      <c r="L414" s="46" t="s">
        <v>709</v>
      </c>
      <c r="M414" s="47" t="s">
        <v>727</v>
      </c>
      <c r="N414" s="47" t="s">
        <v>1786</v>
      </c>
      <c r="O414" s="48"/>
      <c r="P414" s="48"/>
      <c r="Q414" s="45"/>
      <c r="S414" s="1">
        <f t="shared" si="135"/>
        <v>0</v>
      </c>
      <c r="T414" s="1">
        <f t="shared" si="136"/>
        <v>0</v>
      </c>
      <c r="U414" s="1">
        <f t="shared" si="137"/>
        <v>0</v>
      </c>
      <c r="V414" s="1">
        <f t="shared" si="138"/>
        <v>0</v>
      </c>
      <c r="W414" s="1">
        <f t="shared" si="139"/>
        <v>0</v>
      </c>
      <c r="X414" s="1">
        <f t="shared" si="140"/>
        <v>0</v>
      </c>
      <c r="Y414" s="1">
        <f t="shared" si="141"/>
        <v>0</v>
      </c>
      <c r="Z414" s="1">
        <f t="shared" si="142"/>
        <v>0</v>
      </c>
      <c r="AA414" s="1">
        <f t="shared" si="143"/>
        <v>0</v>
      </c>
      <c r="AB414" s="1">
        <f t="shared" si="144"/>
        <v>0</v>
      </c>
      <c r="AD414" s="1">
        <f t="shared" si="145"/>
        <v>0</v>
      </c>
      <c r="AE414" s="1">
        <f t="shared" si="146"/>
        <v>0</v>
      </c>
      <c r="AF414" s="1">
        <f t="shared" si="131"/>
        <v>0</v>
      </c>
      <c r="AG414" s="1">
        <f t="shared" si="132"/>
        <v>0</v>
      </c>
      <c r="AH414" s="1">
        <f t="shared" si="133"/>
        <v>0</v>
      </c>
      <c r="AI414" s="1">
        <f t="shared" si="134"/>
        <v>1</v>
      </c>
    </row>
    <row r="415" spans="1:35" s="1" customFormat="1" ht="14.25" customHeight="1" x14ac:dyDescent="0.25">
      <c r="A415" s="31">
        <v>0</v>
      </c>
      <c r="B415" s="31">
        <v>2</v>
      </c>
      <c r="C415" s="31">
        <v>7</v>
      </c>
      <c r="D415" s="32" t="s">
        <v>1997</v>
      </c>
      <c r="E415" s="32" t="s">
        <v>28</v>
      </c>
      <c r="F415" s="32" t="s">
        <v>1999</v>
      </c>
      <c r="G415" s="32" t="s">
        <v>1091</v>
      </c>
      <c r="H415" s="32" t="s">
        <v>352</v>
      </c>
      <c r="I415" s="31" t="s">
        <v>2000</v>
      </c>
      <c r="J415" s="31">
        <v>1</v>
      </c>
      <c r="K415" s="33" t="s">
        <v>699</v>
      </c>
      <c r="L415" s="33"/>
      <c r="M415" s="34"/>
      <c r="N415" s="34" t="s">
        <v>1711</v>
      </c>
      <c r="O415" s="35">
        <v>1</v>
      </c>
      <c r="P415" s="35">
        <v>1</v>
      </c>
      <c r="Q415" s="32" t="s">
        <v>2002</v>
      </c>
      <c r="S415" s="1">
        <f t="shared" si="135"/>
        <v>1</v>
      </c>
      <c r="T415" s="1">
        <f t="shared" si="136"/>
        <v>0</v>
      </c>
      <c r="U415" s="1">
        <f t="shared" si="137"/>
        <v>0</v>
      </c>
      <c r="V415" s="1">
        <f t="shared" si="138"/>
        <v>0</v>
      </c>
      <c r="W415" s="1">
        <f t="shared" si="139"/>
        <v>0</v>
      </c>
      <c r="X415" s="1">
        <f t="shared" si="140"/>
        <v>0</v>
      </c>
      <c r="Y415" s="1">
        <f t="shared" si="141"/>
        <v>0</v>
      </c>
      <c r="Z415" s="1">
        <f t="shared" si="142"/>
        <v>0</v>
      </c>
      <c r="AA415" s="1">
        <f t="shared" si="143"/>
        <v>0</v>
      </c>
      <c r="AB415" s="1">
        <f t="shared" si="144"/>
        <v>0</v>
      </c>
      <c r="AD415" s="1">
        <f t="shared" si="145"/>
        <v>1</v>
      </c>
      <c r="AE415" s="1">
        <f t="shared" si="146"/>
        <v>0</v>
      </c>
      <c r="AF415" s="1">
        <f t="shared" si="131"/>
        <v>1</v>
      </c>
      <c r="AG415" s="1">
        <f t="shared" si="132"/>
        <v>0</v>
      </c>
      <c r="AH415" s="1">
        <f t="shared" si="133"/>
        <v>1</v>
      </c>
      <c r="AI415" s="1">
        <f t="shared" si="134"/>
        <v>0</v>
      </c>
    </row>
    <row r="416" spans="1:35" s="1" customFormat="1" ht="14.25" customHeight="1" x14ac:dyDescent="0.25">
      <c r="A416" s="31">
        <v>1</v>
      </c>
      <c r="B416" s="31">
        <v>2</v>
      </c>
      <c r="C416" s="31">
        <v>7</v>
      </c>
      <c r="D416" s="32" t="s">
        <v>1997</v>
      </c>
      <c r="E416" s="32" t="s">
        <v>28</v>
      </c>
      <c r="F416" s="32" t="s">
        <v>1998</v>
      </c>
      <c r="G416" s="36" t="s">
        <v>2004</v>
      </c>
      <c r="H416" s="32" t="s">
        <v>352</v>
      </c>
      <c r="I416" s="31" t="s">
        <v>2001</v>
      </c>
      <c r="J416" s="31">
        <v>8</v>
      </c>
      <c r="K416" s="33" t="s">
        <v>699</v>
      </c>
      <c r="L416" s="33"/>
      <c r="M416" s="34"/>
      <c r="N416" s="34" t="s">
        <v>1711</v>
      </c>
      <c r="O416" s="35">
        <v>1</v>
      </c>
      <c r="P416" s="35">
        <v>1</v>
      </c>
      <c r="Q416" s="32" t="s">
        <v>2003</v>
      </c>
      <c r="S416" s="1">
        <f t="shared" si="135"/>
        <v>0</v>
      </c>
      <c r="T416" s="1">
        <f t="shared" si="136"/>
        <v>0</v>
      </c>
      <c r="U416" s="1">
        <f t="shared" si="137"/>
        <v>0</v>
      </c>
      <c r="V416" s="1">
        <f t="shared" si="138"/>
        <v>0</v>
      </c>
      <c r="W416" s="1">
        <f t="shared" si="139"/>
        <v>0</v>
      </c>
      <c r="X416" s="1">
        <f t="shared" si="140"/>
        <v>0</v>
      </c>
      <c r="Y416" s="1">
        <f t="shared" si="141"/>
        <v>0</v>
      </c>
      <c r="Z416" s="1">
        <f t="shared" si="142"/>
        <v>1</v>
      </c>
      <c r="AA416" s="1">
        <f t="shared" si="143"/>
        <v>0</v>
      </c>
      <c r="AB416" s="1">
        <f t="shared" si="144"/>
        <v>0</v>
      </c>
      <c r="AD416" s="1">
        <f t="shared" si="145"/>
        <v>1</v>
      </c>
      <c r="AE416" s="1">
        <f t="shared" si="146"/>
        <v>0</v>
      </c>
      <c r="AF416" s="1">
        <f t="shared" si="131"/>
        <v>0</v>
      </c>
      <c r="AG416" s="1">
        <f t="shared" si="132"/>
        <v>0</v>
      </c>
      <c r="AH416" s="1">
        <f t="shared" si="133"/>
        <v>0</v>
      </c>
      <c r="AI416" s="1">
        <f t="shared" si="134"/>
        <v>0</v>
      </c>
    </row>
    <row r="417" spans="1:35" s="1" customFormat="1" ht="14.25" customHeight="1" x14ac:dyDescent="0.25">
      <c r="A417" s="31">
        <v>0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254</v>
      </c>
      <c r="G417" s="36" t="s">
        <v>206</v>
      </c>
      <c r="H417" s="32" t="s">
        <v>352</v>
      </c>
      <c r="I417" s="31" t="s">
        <v>413</v>
      </c>
      <c r="J417" s="31">
        <v>99</v>
      </c>
      <c r="K417" s="33" t="s">
        <v>942</v>
      </c>
      <c r="L417" s="33" t="s">
        <v>709</v>
      </c>
      <c r="M417" s="34" t="s">
        <v>727</v>
      </c>
      <c r="N417" s="34" t="s">
        <v>1717</v>
      </c>
      <c r="O417" s="35">
        <v>1</v>
      </c>
      <c r="P417" s="35">
        <v>1</v>
      </c>
      <c r="Q417" s="32"/>
      <c r="S417" s="1">
        <f t="shared" ref="S417:S467" si="147">IF(J417=$S$7,1,0)</f>
        <v>0</v>
      </c>
      <c r="T417" s="1">
        <f t="shared" ref="T417:T467" si="148">IF(J417=$T$7,1,0)</f>
        <v>0</v>
      </c>
      <c r="U417" s="1">
        <f t="shared" ref="U417:U467" si="149">IF(J417=$U$7,1,0)</f>
        <v>0</v>
      </c>
      <c r="V417" s="1">
        <f t="shared" ref="V417:V467" si="150">IF(J417=$V$7,1,0)</f>
        <v>0</v>
      </c>
      <c r="W417" s="1">
        <f t="shared" ref="W417:W467" si="151">IF(J417=$W$7,1,0)</f>
        <v>0</v>
      </c>
      <c r="X417" s="1">
        <f t="shared" ref="X417:X467" si="152">IF(J417=$X$7,1,0)</f>
        <v>0</v>
      </c>
      <c r="Y417" s="1">
        <f t="shared" ref="Y417:Y467" si="153">IF(J417=$Y$7,1,0)</f>
        <v>0</v>
      </c>
      <c r="Z417" s="1">
        <f t="shared" ref="Z417:Z467" si="154">IF(J417=$Z$7,1,0)</f>
        <v>0</v>
      </c>
      <c r="AA417" s="1">
        <f t="shared" ref="AA417:AA467" si="155">IF(J417=$AA$7,1,0)</f>
        <v>0</v>
      </c>
      <c r="AB417" s="1">
        <f t="shared" ref="AB417:AB467" si="156">IF(J417=$AB$7,1,0)</f>
        <v>0</v>
      </c>
      <c r="AD417" s="1">
        <f t="shared" ref="AD417:AD467" si="157">+O417*P417</f>
        <v>1</v>
      </c>
      <c r="AE417" s="1">
        <f t="shared" ref="AE417:AE467" si="158">O417*(1-P417)</f>
        <v>0</v>
      </c>
      <c r="AF417" s="1">
        <f t="shared" ref="AF417:AF463" si="159">+O417*P417*(1-A417)</f>
        <v>1</v>
      </c>
      <c r="AG417" s="1">
        <f t="shared" ref="AG417:AG463" si="160">O417*(1-P417)*(1-A417)</f>
        <v>0</v>
      </c>
      <c r="AH417" s="1">
        <f t="shared" ref="AH417:AH463" si="161">+P417*(1-A417)</f>
        <v>1</v>
      </c>
      <c r="AI417" s="1">
        <f t="shared" ref="AI417:AI463" si="162">+(1-A417)*(1-P417)</f>
        <v>0</v>
      </c>
    </row>
    <row r="418" spans="1:35" s="1" customFormat="1" ht="14.25" customHeight="1" x14ac:dyDescent="0.25">
      <c r="A418" s="31">
        <v>1</v>
      </c>
      <c r="B418" s="31">
        <v>2</v>
      </c>
      <c r="C418" s="31">
        <v>7</v>
      </c>
      <c r="D418" s="32" t="s">
        <v>69</v>
      </c>
      <c r="E418" s="32" t="s">
        <v>28</v>
      </c>
      <c r="F418" s="32" t="s">
        <v>1858</v>
      </c>
      <c r="G418" s="36" t="s">
        <v>255</v>
      </c>
      <c r="H418" s="32" t="s">
        <v>352</v>
      </c>
      <c r="I418" s="31" t="s">
        <v>414</v>
      </c>
      <c r="J418" s="31">
        <v>99</v>
      </c>
      <c r="K418" s="33" t="s">
        <v>942</v>
      </c>
      <c r="L418" s="33" t="s">
        <v>709</v>
      </c>
      <c r="M418" s="34" t="s">
        <v>727</v>
      </c>
      <c r="N418" s="34" t="s">
        <v>1717</v>
      </c>
      <c r="O418" s="35">
        <v>1</v>
      </c>
      <c r="P418" s="35">
        <v>1</v>
      </c>
      <c r="Q418" s="32"/>
      <c r="S418" s="1">
        <f t="shared" si="147"/>
        <v>0</v>
      </c>
      <c r="T418" s="1">
        <f t="shared" si="148"/>
        <v>0</v>
      </c>
      <c r="U418" s="1">
        <f t="shared" si="149"/>
        <v>0</v>
      </c>
      <c r="V418" s="1">
        <f t="shared" si="150"/>
        <v>0</v>
      </c>
      <c r="W418" s="1">
        <f t="shared" si="151"/>
        <v>0</v>
      </c>
      <c r="X418" s="1">
        <f t="shared" si="152"/>
        <v>0</v>
      </c>
      <c r="Y418" s="1">
        <f t="shared" si="153"/>
        <v>0</v>
      </c>
      <c r="Z418" s="1">
        <f t="shared" si="154"/>
        <v>0</v>
      </c>
      <c r="AA418" s="1">
        <f t="shared" si="155"/>
        <v>0</v>
      </c>
      <c r="AB418" s="1">
        <f t="shared" si="156"/>
        <v>0</v>
      </c>
      <c r="AD418" s="1">
        <f t="shared" si="157"/>
        <v>1</v>
      </c>
      <c r="AE418" s="1">
        <f t="shared" si="158"/>
        <v>0</v>
      </c>
      <c r="AF418" s="1">
        <f t="shared" si="159"/>
        <v>0</v>
      </c>
      <c r="AG418" s="1">
        <f t="shared" si="160"/>
        <v>0</v>
      </c>
      <c r="AH418" s="1">
        <f t="shared" si="161"/>
        <v>0</v>
      </c>
      <c r="AI418" s="1">
        <f t="shared" si="162"/>
        <v>0</v>
      </c>
    </row>
    <row r="419" spans="1:35" s="1" customFormat="1" ht="14.25" customHeight="1" x14ac:dyDescent="0.25">
      <c r="A419" s="31">
        <v>1</v>
      </c>
      <c r="B419" s="31">
        <v>2</v>
      </c>
      <c r="C419" s="31">
        <v>7</v>
      </c>
      <c r="D419" s="32" t="s">
        <v>69</v>
      </c>
      <c r="E419" s="32" t="s">
        <v>28</v>
      </c>
      <c r="F419" s="32" t="s">
        <v>566</v>
      </c>
      <c r="G419" s="36" t="s">
        <v>567</v>
      </c>
      <c r="H419" s="32" t="s">
        <v>352</v>
      </c>
      <c r="I419" s="31" t="s">
        <v>576</v>
      </c>
      <c r="J419" s="31">
        <v>99</v>
      </c>
      <c r="K419" s="33" t="s">
        <v>942</v>
      </c>
      <c r="L419" s="33" t="s">
        <v>709</v>
      </c>
      <c r="M419" s="34" t="s">
        <v>727</v>
      </c>
      <c r="N419" s="34" t="s">
        <v>1717</v>
      </c>
      <c r="O419" s="35">
        <v>1</v>
      </c>
      <c r="P419" s="35">
        <v>1</v>
      </c>
      <c r="Q419" s="32"/>
      <c r="S419" s="1">
        <f t="shared" si="147"/>
        <v>0</v>
      </c>
      <c r="T419" s="1">
        <f t="shared" si="148"/>
        <v>0</v>
      </c>
      <c r="U419" s="1">
        <f t="shared" si="149"/>
        <v>0</v>
      </c>
      <c r="V419" s="1">
        <f t="shared" si="150"/>
        <v>0</v>
      </c>
      <c r="W419" s="1">
        <f t="shared" si="151"/>
        <v>0</v>
      </c>
      <c r="X419" s="1">
        <f t="shared" si="152"/>
        <v>0</v>
      </c>
      <c r="Y419" s="1">
        <f t="shared" si="153"/>
        <v>0</v>
      </c>
      <c r="Z419" s="1">
        <f t="shared" si="154"/>
        <v>0</v>
      </c>
      <c r="AA419" s="1">
        <f t="shared" si="155"/>
        <v>0</v>
      </c>
      <c r="AB419" s="1">
        <f t="shared" si="156"/>
        <v>0</v>
      </c>
      <c r="AD419" s="1">
        <f t="shared" si="157"/>
        <v>1</v>
      </c>
      <c r="AE419" s="1">
        <f t="shared" si="158"/>
        <v>0</v>
      </c>
      <c r="AF419" s="1">
        <f t="shared" si="159"/>
        <v>0</v>
      </c>
      <c r="AG419" s="1">
        <f t="shared" si="160"/>
        <v>0</v>
      </c>
      <c r="AH419" s="1">
        <f t="shared" si="161"/>
        <v>0</v>
      </c>
      <c r="AI419" s="1">
        <f t="shared" si="162"/>
        <v>0</v>
      </c>
    </row>
    <row r="420" spans="1:35" s="1" customFormat="1" ht="14.25" customHeight="1" x14ac:dyDescent="0.25">
      <c r="A420" s="44">
        <v>0</v>
      </c>
      <c r="B420" s="44">
        <v>2</v>
      </c>
      <c r="C420" s="44">
        <v>7</v>
      </c>
      <c r="D420" s="45" t="s">
        <v>71</v>
      </c>
      <c r="E420" s="45" t="s">
        <v>28</v>
      </c>
      <c r="F420" s="45" t="s">
        <v>1333</v>
      </c>
      <c r="G420" s="45" t="s">
        <v>258</v>
      </c>
      <c r="H420" s="45" t="s">
        <v>352</v>
      </c>
      <c r="I420" s="44" t="s">
        <v>416</v>
      </c>
      <c r="J420" s="44">
        <v>99</v>
      </c>
      <c r="K420" s="46" t="s">
        <v>709</v>
      </c>
      <c r="L420" s="46" t="s">
        <v>709</v>
      </c>
      <c r="M420" s="47" t="s">
        <v>727</v>
      </c>
      <c r="N420" s="47" t="s">
        <v>1786</v>
      </c>
      <c r="O420" s="48"/>
      <c r="P420" s="48"/>
      <c r="Q420" s="45"/>
      <c r="S420" s="1">
        <f t="shared" si="147"/>
        <v>0</v>
      </c>
      <c r="T420" s="1">
        <f t="shared" si="148"/>
        <v>0</v>
      </c>
      <c r="U420" s="1">
        <f t="shared" si="149"/>
        <v>0</v>
      </c>
      <c r="V420" s="1">
        <f t="shared" si="150"/>
        <v>0</v>
      </c>
      <c r="W420" s="1">
        <f t="shared" si="151"/>
        <v>0</v>
      </c>
      <c r="X420" s="1">
        <f t="shared" si="152"/>
        <v>0</v>
      </c>
      <c r="Y420" s="1">
        <f t="shared" si="153"/>
        <v>0</v>
      </c>
      <c r="Z420" s="1">
        <f t="shared" si="154"/>
        <v>0</v>
      </c>
      <c r="AA420" s="1">
        <f t="shared" si="155"/>
        <v>0</v>
      </c>
      <c r="AB420" s="1">
        <f t="shared" si="156"/>
        <v>0</v>
      </c>
      <c r="AD420" s="1">
        <f t="shared" si="157"/>
        <v>0</v>
      </c>
      <c r="AE420" s="1">
        <f t="shared" si="158"/>
        <v>0</v>
      </c>
      <c r="AF420" s="1">
        <f t="shared" si="159"/>
        <v>0</v>
      </c>
      <c r="AG420" s="1">
        <f t="shared" si="160"/>
        <v>0</v>
      </c>
      <c r="AH420" s="1">
        <f t="shared" si="161"/>
        <v>0</v>
      </c>
      <c r="AI420" s="1">
        <f t="shared" si="162"/>
        <v>1</v>
      </c>
    </row>
    <row r="421" spans="1:35" s="1" customFormat="1" ht="14.25" customHeight="1" x14ac:dyDescent="0.25">
      <c r="A421" s="44">
        <v>0</v>
      </c>
      <c r="B421" s="44">
        <v>2</v>
      </c>
      <c r="C421" s="44">
        <v>7</v>
      </c>
      <c r="D421" s="45" t="s">
        <v>1049</v>
      </c>
      <c r="E421" s="45" t="s">
        <v>28</v>
      </c>
      <c r="F421" s="45" t="s">
        <v>1050</v>
      </c>
      <c r="G421" s="45" t="s">
        <v>1051</v>
      </c>
      <c r="H421" s="45" t="s">
        <v>352</v>
      </c>
      <c r="I421" s="44" t="s">
        <v>1052</v>
      </c>
      <c r="J421" s="44">
        <v>99</v>
      </c>
      <c r="K421" s="46" t="s">
        <v>709</v>
      </c>
      <c r="L421" s="46" t="s">
        <v>709</v>
      </c>
      <c r="M421" s="47" t="s">
        <v>727</v>
      </c>
      <c r="N421" s="47" t="s">
        <v>1786</v>
      </c>
      <c r="O421" s="48"/>
      <c r="P421" s="48"/>
      <c r="Q421" s="45"/>
      <c r="S421" s="1">
        <f t="shared" si="147"/>
        <v>0</v>
      </c>
      <c r="T421" s="1">
        <f t="shared" si="148"/>
        <v>0</v>
      </c>
      <c r="U421" s="1">
        <f t="shared" si="149"/>
        <v>0</v>
      </c>
      <c r="V421" s="1">
        <f t="shared" si="150"/>
        <v>0</v>
      </c>
      <c r="W421" s="1">
        <f t="shared" si="151"/>
        <v>0</v>
      </c>
      <c r="X421" s="1">
        <f t="shared" si="152"/>
        <v>0</v>
      </c>
      <c r="Y421" s="1">
        <f t="shared" si="153"/>
        <v>0</v>
      </c>
      <c r="Z421" s="1">
        <f t="shared" si="154"/>
        <v>0</v>
      </c>
      <c r="AA421" s="1">
        <f t="shared" si="155"/>
        <v>0</v>
      </c>
      <c r="AB421" s="1">
        <f t="shared" si="156"/>
        <v>0</v>
      </c>
      <c r="AD421" s="1">
        <f t="shared" si="157"/>
        <v>0</v>
      </c>
      <c r="AE421" s="1">
        <f t="shared" si="158"/>
        <v>0</v>
      </c>
      <c r="AF421" s="1">
        <f t="shared" si="159"/>
        <v>0</v>
      </c>
      <c r="AG421" s="1">
        <f t="shared" si="160"/>
        <v>0</v>
      </c>
      <c r="AH421" s="1">
        <f t="shared" si="161"/>
        <v>0</v>
      </c>
      <c r="AI421" s="1">
        <f t="shared" si="162"/>
        <v>1</v>
      </c>
    </row>
    <row r="422" spans="1:35" s="1" customFormat="1" ht="14.25" customHeight="1" x14ac:dyDescent="0.25">
      <c r="A422" s="31">
        <v>0</v>
      </c>
      <c r="B422" s="31">
        <v>2</v>
      </c>
      <c r="C422" s="31">
        <v>7</v>
      </c>
      <c r="D422" s="32" t="s">
        <v>1790</v>
      </c>
      <c r="E422" s="32" t="s">
        <v>155</v>
      </c>
      <c r="F422" s="32" t="s">
        <v>1791</v>
      </c>
      <c r="G422" s="32"/>
      <c r="H422" s="32" t="s">
        <v>352</v>
      </c>
      <c r="I422" s="31" t="s">
        <v>1792</v>
      </c>
      <c r="J422" s="31">
        <v>99</v>
      </c>
      <c r="K422" s="33" t="s">
        <v>699</v>
      </c>
      <c r="L422" s="33"/>
      <c r="M422" s="34"/>
      <c r="N422" s="34" t="s">
        <v>1711</v>
      </c>
      <c r="O422" s="35">
        <v>1</v>
      </c>
      <c r="P422" s="35">
        <v>1</v>
      </c>
      <c r="Q422" s="32"/>
      <c r="S422" s="1">
        <f t="shared" si="147"/>
        <v>0</v>
      </c>
      <c r="T422" s="1">
        <f t="shared" si="148"/>
        <v>0</v>
      </c>
      <c r="U422" s="1">
        <f t="shared" si="149"/>
        <v>0</v>
      </c>
      <c r="V422" s="1">
        <f t="shared" si="150"/>
        <v>0</v>
      </c>
      <c r="W422" s="1">
        <f t="shared" si="151"/>
        <v>0</v>
      </c>
      <c r="X422" s="1">
        <f t="shared" si="152"/>
        <v>0</v>
      </c>
      <c r="Y422" s="1">
        <f t="shared" si="153"/>
        <v>0</v>
      </c>
      <c r="Z422" s="1">
        <f t="shared" si="154"/>
        <v>0</v>
      </c>
      <c r="AA422" s="1">
        <f t="shared" si="155"/>
        <v>0</v>
      </c>
      <c r="AB422" s="1">
        <f t="shared" si="156"/>
        <v>0</v>
      </c>
      <c r="AD422" s="1">
        <f t="shared" si="157"/>
        <v>1</v>
      </c>
      <c r="AE422" s="1">
        <f t="shared" si="158"/>
        <v>0</v>
      </c>
      <c r="AF422" s="1">
        <f t="shared" si="159"/>
        <v>1</v>
      </c>
      <c r="AG422" s="1">
        <f t="shared" si="160"/>
        <v>0</v>
      </c>
      <c r="AH422" s="1">
        <f t="shared" si="161"/>
        <v>1</v>
      </c>
      <c r="AI422" s="1">
        <f t="shared" si="162"/>
        <v>0</v>
      </c>
    </row>
    <row r="423" spans="1:35" s="1" customFormat="1" ht="14.25" customHeight="1" x14ac:dyDescent="0.25">
      <c r="A423" s="31">
        <v>0</v>
      </c>
      <c r="B423" s="31">
        <v>2</v>
      </c>
      <c r="C423" s="31">
        <v>7</v>
      </c>
      <c r="D423" s="32" t="s">
        <v>1162</v>
      </c>
      <c r="E423" s="32" t="s">
        <v>155</v>
      </c>
      <c r="F423" s="32" t="s">
        <v>1163</v>
      </c>
      <c r="G423" s="32" t="s">
        <v>291</v>
      </c>
      <c r="H423" s="32" t="s">
        <v>352</v>
      </c>
      <c r="I423" s="31" t="s">
        <v>1164</v>
      </c>
      <c r="J423" s="31">
        <v>99</v>
      </c>
      <c r="K423" s="33" t="s">
        <v>709</v>
      </c>
      <c r="L423" s="33" t="s">
        <v>718</v>
      </c>
      <c r="M423" s="34" t="s">
        <v>1418</v>
      </c>
      <c r="N423" s="34" t="s">
        <v>1732</v>
      </c>
      <c r="O423" s="35">
        <v>1</v>
      </c>
      <c r="P423" s="35"/>
      <c r="Q423" s="32"/>
      <c r="S423" s="1">
        <f t="shared" si="147"/>
        <v>0</v>
      </c>
      <c r="T423" s="1">
        <f t="shared" si="148"/>
        <v>0</v>
      </c>
      <c r="U423" s="1">
        <f t="shared" si="149"/>
        <v>0</v>
      </c>
      <c r="V423" s="1">
        <f t="shared" si="150"/>
        <v>0</v>
      </c>
      <c r="W423" s="1">
        <f t="shared" si="151"/>
        <v>0</v>
      </c>
      <c r="X423" s="1">
        <f t="shared" si="152"/>
        <v>0</v>
      </c>
      <c r="Y423" s="1">
        <f t="shared" si="153"/>
        <v>0</v>
      </c>
      <c r="Z423" s="1">
        <f t="shared" si="154"/>
        <v>0</v>
      </c>
      <c r="AA423" s="1">
        <f t="shared" si="155"/>
        <v>0</v>
      </c>
      <c r="AB423" s="1">
        <f t="shared" si="156"/>
        <v>0</v>
      </c>
      <c r="AD423" s="1">
        <f t="shared" si="157"/>
        <v>0</v>
      </c>
      <c r="AE423" s="1">
        <f t="shared" si="158"/>
        <v>1</v>
      </c>
      <c r="AF423" s="1">
        <f t="shared" si="159"/>
        <v>0</v>
      </c>
      <c r="AG423" s="1">
        <f t="shared" si="160"/>
        <v>1</v>
      </c>
      <c r="AH423" s="1">
        <f t="shared" si="161"/>
        <v>0</v>
      </c>
      <c r="AI423" s="1">
        <f t="shared" si="162"/>
        <v>1</v>
      </c>
    </row>
    <row r="424" spans="1:35" s="1" customFormat="1" ht="14.25" customHeight="1" x14ac:dyDescent="0.25">
      <c r="A424" s="31">
        <v>0</v>
      </c>
      <c r="B424" s="31">
        <v>2</v>
      </c>
      <c r="C424" s="31">
        <v>7</v>
      </c>
      <c r="D424" s="32" t="s">
        <v>1137</v>
      </c>
      <c r="E424" s="32" t="s">
        <v>1138</v>
      </c>
      <c r="F424" s="36" t="s">
        <v>1862</v>
      </c>
      <c r="G424" s="32" t="s">
        <v>624</v>
      </c>
      <c r="H424" s="32" t="s">
        <v>352</v>
      </c>
      <c r="I424" s="31" t="s">
        <v>1139</v>
      </c>
      <c r="J424" s="31">
        <v>99</v>
      </c>
      <c r="K424" s="33" t="s">
        <v>709</v>
      </c>
      <c r="L424" s="33" t="s">
        <v>709</v>
      </c>
      <c r="M424" s="34" t="s">
        <v>727</v>
      </c>
      <c r="N424" s="34" t="s">
        <v>1727</v>
      </c>
      <c r="O424" s="35">
        <v>1</v>
      </c>
      <c r="P424" s="35"/>
      <c r="Q424" s="36" t="s">
        <v>1882</v>
      </c>
      <c r="S424" s="1">
        <f t="shared" si="147"/>
        <v>0</v>
      </c>
      <c r="T424" s="1">
        <f t="shared" si="148"/>
        <v>0</v>
      </c>
      <c r="U424" s="1">
        <f t="shared" si="149"/>
        <v>0</v>
      </c>
      <c r="V424" s="1">
        <f t="shared" si="150"/>
        <v>0</v>
      </c>
      <c r="W424" s="1">
        <f t="shared" si="151"/>
        <v>0</v>
      </c>
      <c r="X424" s="1">
        <f t="shared" si="152"/>
        <v>0</v>
      </c>
      <c r="Y424" s="1">
        <f t="shared" si="153"/>
        <v>0</v>
      </c>
      <c r="Z424" s="1">
        <f t="shared" si="154"/>
        <v>0</v>
      </c>
      <c r="AA424" s="1">
        <f t="shared" si="155"/>
        <v>0</v>
      </c>
      <c r="AB424" s="1">
        <f t="shared" si="156"/>
        <v>0</v>
      </c>
      <c r="AD424" s="1">
        <f t="shared" si="157"/>
        <v>0</v>
      </c>
      <c r="AE424" s="1">
        <f t="shared" si="158"/>
        <v>1</v>
      </c>
      <c r="AF424" s="1">
        <f t="shared" si="159"/>
        <v>0</v>
      </c>
      <c r="AG424" s="1">
        <f t="shared" si="160"/>
        <v>1</v>
      </c>
      <c r="AH424" s="1">
        <f t="shared" si="161"/>
        <v>0</v>
      </c>
      <c r="AI424" s="1">
        <f t="shared" si="162"/>
        <v>1</v>
      </c>
    </row>
    <row r="425" spans="1:35" s="1" customFormat="1" ht="14.25" customHeight="1" x14ac:dyDescent="0.25">
      <c r="A425" s="31">
        <v>0</v>
      </c>
      <c r="B425" s="31">
        <v>2</v>
      </c>
      <c r="C425" s="31">
        <v>7</v>
      </c>
      <c r="D425" s="32" t="s">
        <v>538</v>
      </c>
      <c r="E425" s="32" t="s">
        <v>157</v>
      </c>
      <c r="F425" s="32" t="s">
        <v>194</v>
      </c>
      <c r="G425" s="32" t="s">
        <v>195</v>
      </c>
      <c r="H425" s="32" t="s">
        <v>352</v>
      </c>
      <c r="I425" s="31" t="s">
        <v>546</v>
      </c>
      <c r="J425" s="31">
        <v>99</v>
      </c>
      <c r="K425" s="33" t="s">
        <v>942</v>
      </c>
      <c r="L425" s="33" t="s">
        <v>692</v>
      </c>
      <c r="M425" s="34" t="s">
        <v>1420</v>
      </c>
      <c r="N425" s="34" t="s">
        <v>1732</v>
      </c>
      <c r="O425" s="35">
        <v>1</v>
      </c>
      <c r="P425" s="35"/>
      <c r="Q425" s="32"/>
      <c r="S425" s="1">
        <f t="shared" si="147"/>
        <v>0</v>
      </c>
      <c r="T425" s="1">
        <f t="shared" si="148"/>
        <v>0</v>
      </c>
      <c r="U425" s="1">
        <f t="shared" si="149"/>
        <v>0</v>
      </c>
      <c r="V425" s="1">
        <f t="shared" si="150"/>
        <v>0</v>
      </c>
      <c r="W425" s="1">
        <f t="shared" si="151"/>
        <v>0</v>
      </c>
      <c r="X425" s="1">
        <f t="shared" si="152"/>
        <v>0</v>
      </c>
      <c r="Y425" s="1">
        <f t="shared" si="153"/>
        <v>0</v>
      </c>
      <c r="Z425" s="1">
        <f t="shared" si="154"/>
        <v>0</v>
      </c>
      <c r="AA425" s="1">
        <f t="shared" si="155"/>
        <v>0</v>
      </c>
      <c r="AB425" s="1">
        <f t="shared" si="156"/>
        <v>0</v>
      </c>
      <c r="AD425" s="1">
        <f t="shared" si="157"/>
        <v>0</v>
      </c>
      <c r="AE425" s="1">
        <f t="shared" si="158"/>
        <v>1</v>
      </c>
      <c r="AF425" s="1">
        <f t="shared" si="159"/>
        <v>0</v>
      </c>
      <c r="AG425" s="1">
        <f t="shared" si="160"/>
        <v>1</v>
      </c>
      <c r="AH425" s="1">
        <f t="shared" si="161"/>
        <v>0</v>
      </c>
      <c r="AI425" s="1">
        <f t="shared" si="162"/>
        <v>1</v>
      </c>
    </row>
    <row r="426" spans="1:35" s="1" customFormat="1" ht="14.25" customHeight="1" x14ac:dyDescent="0.25">
      <c r="A426" s="44">
        <v>0</v>
      </c>
      <c r="B426" s="44">
        <v>2</v>
      </c>
      <c r="C426" s="44">
        <v>7</v>
      </c>
      <c r="D426" s="45" t="s">
        <v>46</v>
      </c>
      <c r="E426" s="45" t="s">
        <v>155</v>
      </c>
      <c r="F426" s="45" t="s">
        <v>182</v>
      </c>
      <c r="G426" s="45" t="s">
        <v>178</v>
      </c>
      <c r="H426" s="45" t="s">
        <v>352</v>
      </c>
      <c r="I426" s="44" t="s">
        <v>380</v>
      </c>
      <c r="J426" s="44">
        <v>10</v>
      </c>
      <c r="K426" s="46" t="s">
        <v>942</v>
      </c>
      <c r="L426" s="46" t="s">
        <v>718</v>
      </c>
      <c r="M426" s="47" t="s">
        <v>1418</v>
      </c>
      <c r="N426" s="47" t="s">
        <v>1793</v>
      </c>
      <c r="O426" s="48"/>
      <c r="P426" s="48"/>
      <c r="Q426" s="45"/>
      <c r="S426" s="1">
        <f t="shared" si="147"/>
        <v>0</v>
      </c>
      <c r="T426" s="1">
        <f t="shared" si="148"/>
        <v>0</v>
      </c>
      <c r="U426" s="1">
        <f t="shared" si="149"/>
        <v>0</v>
      </c>
      <c r="V426" s="1">
        <f t="shared" si="150"/>
        <v>0</v>
      </c>
      <c r="W426" s="1">
        <f t="shared" si="151"/>
        <v>0</v>
      </c>
      <c r="X426" s="1">
        <f t="shared" si="152"/>
        <v>0</v>
      </c>
      <c r="Y426" s="1">
        <f t="shared" si="153"/>
        <v>0</v>
      </c>
      <c r="Z426" s="1">
        <f t="shared" si="154"/>
        <v>0</v>
      </c>
      <c r="AA426" s="1">
        <f t="shared" si="155"/>
        <v>0</v>
      </c>
      <c r="AB426" s="1">
        <f t="shared" si="156"/>
        <v>1</v>
      </c>
      <c r="AD426" s="1">
        <f t="shared" si="157"/>
        <v>0</v>
      </c>
      <c r="AE426" s="1">
        <f t="shared" si="158"/>
        <v>0</v>
      </c>
      <c r="AF426" s="1">
        <f t="shared" si="159"/>
        <v>0</v>
      </c>
      <c r="AG426" s="1">
        <f t="shared" si="160"/>
        <v>0</v>
      </c>
      <c r="AH426" s="1">
        <f t="shared" si="161"/>
        <v>0</v>
      </c>
      <c r="AI426" s="1">
        <f t="shared" si="162"/>
        <v>1</v>
      </c>
    </row>
    <row r="427" spans="1:35" s="1" customFormat="1" ht="14.25" customHeight="1" x14ac:dyDescent="0.25">
      <c r="A427" s="44">
        <v>0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247</v>
      </c>
      <c r="G427" s="45" t="s">
        <v>248</v>
      </c>
      <c r="H427" s="45" t="s">
        <v>352</v>
      </c>
      <c r="I427" s="44" t="s">
        <v>409</v>
      </c>
      <c r="J427" s="44">
        <v>7</v>
      </c>
      <c r="K427" s="46" t="s">
        <v>709</v>
      </c>
      <c r="L427" s="46" t="s">
        <v>709</v>
      </c>
      <c r="M427" s="47" t="s">
        <v>727</v>
      </c>
      <c r="N427" s="47" t="s">
        <v>1718</v>
      </c>
      <c r="O427" s="48"/>
      <c r="P427" s="48"/>
      <c r="Q427" s="45"/>
      <c r="S427" s="1">
        <f t="shared" si="147"/>
        <v>0</v>
      </c>
      <c r="T427" s="1">
        <f t="shared" si="148"/>
        <v>0</v>
      </c>
      <c r="U427" s="1">
        <f t="shared" si="149"/>
        <v>0</v>
      </c>
      <c r="V427" s="1">
        <f t="shared" si="150"/>
        <v>0</v>
      </c>
      <c r="W427" s="1">
        <f t="shared" si="151"/>
        <v>0</v>
      </c>
      <c r="X427" s="1">
        <f t="shared" si="152"/>
        <v>0</v>
      </c>
      <c r="Y427" s="1">
        <f t="shared" si="153"/>
        <v>1</v>
      </c>
      <c r="Z427" s="1">
        <f t="shared" si="154"/>
        <v>0</v>
      </c>
      <c r="AA427" s="1">
        <f t="shared" si="155"/>
        <v>0</v>
      </c>
      <c r="AB427" s="1">
        <f t="shared" si="156"/>
        <v>0</v>
      </c>
      <c r="AD427" s="1">
        <f t="shared" si="157"/>
        <v>0</v>
      </c>
      <c r="AE427" s="1">
        <f t="shared" si="158"/>
        <v>0</v>
      </c>
      <c r="AF427" s="1">
        <f t="shared" si="159"/>
        <v>0</v>
      </c>
      <c r="AG427" s="1">
        <f t="shared" si="160"/>
        <v>0</v>
      </c>
      <c r="AH427" s="1">
        <f t="shared" si="161"/>
        <v>0</v>
      </c>
      <c r="AI427" s="1">
        <f t="shared" si="162"/>
        <v>1</v>
      </c>
    </row>
    <row r="428" spans="1:35" s="1" customFormat="1" ht="14.25" customHeight="1" x14ac:dyDescent="0.25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1026</v>
      </c>
      <c r="G428" s="45" t="s">
        <v>535</v>
      </c>
      <c r="H428" s="45" t="s">
        <v>352</v>
      </c>
      <c r="I428" s="44" t="s">
        <v>30</v>
      </c>
      <c r="J428" s="44">
        <v>1</v>
      </c>
      <c r="K428" s="46" t="s">
        <v>709</v>
      </c>
      <c r="L428" s="46" t="s">
        <v>709</v>
      </c>
      <c r="M428" s="47" t="s">
        <v>727</v>
      </c>
      <c r="N428" s="47" t="s">
        <v>1718</v>
      </c>
      <c r="O428" s="48"/>
      <c r="P428" s="48"/>
      <c r="Q428" s="45"/>
      <c r="S428" s="1">
        <f t="shared" si="147"/>
        <v>1</v>
      </c>
      <c r="T428" s="1">
        <f t="shared" si="148"/>
        <v>0</v>
      </c>
      <c r="U428" s="1">
        <f t="shared" si="149"/>
        <v>0</v>
      </c>
      <c r="V428" s="1">
        <f t="shared" si="150"/>
        <v>0</v>
      </c>
      <c r="W428" s="1">
        <f t="shared" si="151"/>
        <v>0</v>
      </c>
      <c r="X428" s="1">
        <f t="shared" si="152"/>
        <v>0</v>
      </c>
      <c r="Y428" s="1">
        <f t="shared" si="153"/>
        <v>0</v>
      </c>
      <c r="Z428" s="1">
        <f t="shared" si="154"/>
        <v>0</v>
      </c>
      <c r="AA428" s="1">
        <f t="shared" si="155"/>
        <v>0</v>
      </c>
      <c r="AB428" s="1">
        <f t="shared" si="156"/>
        <v>0</v>
      </c>
      <c r="AD428" s="1">
        <f t="shared" si="157"/>
        <v>0</v>
      </c>
      <c r="AE428" s="1">
        <f t="shared" si="158"/>
        <v>0</v>
      </c>
      <c r="AF428" s="1">
        <f t="shared" si="159"/>
        <v>0</v>
      </c>
      <c r="AG428" s="1">
        <f t="shared" si="160"/>
        <v>0</v>
      </c>
      <c r="AH428" s="1">
        <f t="shared" si="161"/>
        <v>0</v>
      </c>
      <c r="AI428" s="1">
        <f t="shared" si="162"/>
        <v>0</v>
      </c>
    </row>
    <row r="429" spans="1:35" s="1" customFormat="1" ht="14.25" customHeight="1" x14ac:dyDescent="0.25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249</v>
      </c>
      <c r="G429" s="45" t="s">
        <v>199</v>
      </c>
      <c r="H429" s="45" t="s">
        <v>352</v>
      </c>
      <c r="I429" s="44" t="s">
        <v>410</v>
      </c>
      <c r="J429" s="44">
        <v>2</v>
      </c>
      <c r="K429" s="46" t="s">
        <v>709</v>
      </c>
      <c r="L429" s="46" t="s">
        <v>709</v>
      </c>
      <c r="M429" s="47" t="s">
        <v>727</v>
      </c>
      <c r="N429" s="47" t="s">
        <v>1718</v>
      </c>
      <c r="O429" s="48"/>
      <c r="P429" s="48"/>
      <c r="Q429" s="45"/>
      <c r="S429" s="1">
        <f t="shared" si="147"/>
        <v>0</v>
      </c>
      <c r="T429" s="1">
        <f t="shared" si="148"/>
        <v>1</v>
      </c>
      <c r="U429" s="1">
        <f t="shared" si="149"/>
        <v>0</v>
      </c>
      <c r="V429" s="1">
        <f t="shared" si="150"/>
        <v>0</v>
      </c>
      <c r="W429" s="1">
        <f t="shared" si="151"/>
        <v>0</v>
      </c>
      <c r="X429" s="1">
        <f t="shared" si="152"/>
        <v>0</v>
      </c>
      <c r="Y429" s="1">
        <f t="shared" si="153"/>
        <v>0</v>
      </c>
      <c r="Z429" s="1">
        <f t="shared" si="154"/>
        <v>0</v>
      </c>
      <c r="AA429" s="1">
        <f t="shared" si="155"/>
        <v>0</v>
      </c>
      <c r="AB429" s="1">
        <f t="shared" si="156"/>
        <v>0</v>
      </c>
      <c r="AD429" s="1">
        <f t="shared" si="157"/>
        <v>0</v>
      </c>
      <c r="AE429" s="1">
        <f t="shared" si="158"/>
        <v>0</v>
      </c>
      <c r="AF429" s="1">
        <f t="shared" si="159"/>
        <v>0</v>
      </c>
      <c r="AG429" s="1">
        <f t="shared" si="160"/>
        <v>0</v>
      </c>
      <c r="AH429" s="1">
        <f t="shared" si="161"/>
        <v>0</v>
      </c>
      <c r="AI429" s="1">
        <f t="shared" si="162"/>
        <v>0</v>
      </c>
    </row>
    <row r="430" spans="1:35" s="1" customFormat="1" ht="14.25" customHeight="1" x14ac:dyDescent="0.25">
      <c r="A430" s="44">
        <v>1</v>
      </c>
      <c r="B430" s="44">
        <v>2</v>
      </c>
      <c r="C430" s="44">
        <v>7</v>
      </c>
      <c r="D430" s="45" t="s">
        <v>67</v>
      </c>
      <c r="E430" s="45" t="s">
        <v>28</v>
      </c>
      <c r="F430" s="45" t="s">
        <v>246</v>
      </c>
      <c r="G430" s="45" t="s">
        <v>1335</v>
      </c>
      <c r="H430" s="45" t="s">
        <v>352</v>
      </c>
      <c r="I430" s="44" t="s">
        <v>30</v>
      </c>
      <c r="J430" s="44">
        <v>1</v>
      </c>
      <c r="K430" s="46" t="s">
        <v>709</v>
      </c>
      <c r="L430" s="46" t="s">
        <v>709</v>
      </c>
      <c r="M430" s="47" t="s">
        <v>727</v>
      </c>
      <c r="N430" s="47" t="s">
        <v>1718</v>
      </c>
      <c r="O430" s="48"/>
      <c r="P430" s="48"/>
      <c r="Q430" s="45" t="s">
        <v>1901</v>
      </c>
      <c r="S430" s="1">
        <f t="shared" si="147"/>
        <v>1</v>
      </c>
      <c r="T430" s="1">
        <f t="shared" si="148"/>
        <v>0</v>
      </c>
      <c r="U430" s="1">
        <f t="shared" si="149"/>
        <v>0</v>
      </c>
      <c r="V430" s="1">
        <f t="shared" si="150"/>
        <v>0</v>
      </c>
      <c r="W430" s="1">
        <f t="shared" si="151"/>
        <v>0</v>
      </c>
      <c r="X430" s="1">
        <f t="shared" si="152"/>
        <v>0</v>
      </c>
      <c r="Y430" s="1">
        <f t="shared" si="153"/>
        <v>0</v>
      </c>
      <c r="Z430" s="1">
        <f t="shared" si="154"/>
        <v>0</v>
      </c>
      <c r="AA430" s="1">
        <f t="shared" si="155"/>
        <v>0</v>
      </c>
      <c r="AB430" s="1">
        <f t="shared" si="156"/>
        <v>0</v>
      </c>
      <c r="AD430" s="1">
        <f t="shared" si="157"/>
        <v>0</v>
      </c>
      <c r="AE430" s="1">
        <f t="shared" si="158"/>
        <v>0</v>
      </c>
      <c r="AF430" s="1">
        <f t="shared" si="159"/>
        <v>0</v>
      </c>
      <c r="AG430" s="1">
        <f t="shared" si="160"/>
        <v>0</v>
      </c>
      <c r="AH430" s="1">
        <f t="shared" si="161"/>
        <v>0</v>
      </c>
      <c r="AI430" s="1">
        <f t="shared" si="162"/>
        <v>0</v>
      </c>
    </row>
    <row r="431" spans="1:35" s="1" customFormat="1" ht="14.25" customHeight="1" x14ac:dyDescent="0.25">
      <c r="A431" s="44">
        <v>1</v>
      </c>
      <c r="B431" s="44">
        <v>2</v>
      </c>
      <c r="C431" s="44">
        <v>7</v>
      </c>
      <c r="D431" s="45" t="s">
        <v>67</v>
      </c>
      <c r="E431" s="45" t="s">
        <v>28</v>
      </c>
      <c r="F431" s="45" t="s">
        <v>251</v>
      </c>
      <c r="G431" s="45" t="s">
        <v>193</v>
      </c>
      <c r="H431" s="45" t="s">
        <v>352</v>
      </c>
      <c r="I431" s="44" t="s">
        <v>411</v>
      </c>
      <c r="J431" s="44">
        <v>9</v>
      </c>
      <c r="K431" s="46" t="s">
        <v>709</v>
      </c>
      <c r="L431" s="46" t="s">
        <v>709</v>
      </c>
      <c r="M431" s="47" t="s">
        <v>727</v>
      </c>
      <c r="N431" s="47" t="s">
        <v>1718</v>
      </c>
      <c r="O431" s="48"/>
      <c r="P431" s="48"/>
      <c r="Q431" s="45"/>
      <c r="S431" s="1">
        <f t="shared" si="147"/>
        <v>0</v>
      </c>
      <c r="T431" s="1">
        <f t="shared" si="148"/>
        <v>0</v>
      </c>
      <c r="U431" s="1">
        <f t="shared" si="149"/>
        <v>0</v>
      </c>
      <c r="V431" s="1">
        <f t="shared" si="150"/>
        <v>0</v>
      </c>
      <c r="W431" s="1">
        <f t="shared" si="151"/>
        <v>0</v>
      </c>
      <c r="X431" s="1">
        <f t="shared" si="152"/>
        <v>0</v>
      </c>
      <c r="Y431" s="1">
        <f t="shared" si="153"/>
        <v>0</v>
      </c>
      <c r="Z431" s="1">
        <f t="shared" si="154"/>
        <v>0</v>
      </c>
      <c r="AA431" s="1">
        <f t="shared" si="155"/>
        <v>1</v>
      </c>
      <c r="AB431" s="1">
        <f t="shared" si="156"/>
        <v>0</v>
      </c>
      <c r="AD431" s="1">
        <f t="shared" si="157"/>
        <v>0</v>
      </c>
      <c r="AE431" s="1">
        <f t="shared" si="158"/>
        <v>0</v>
      </c>
      <c r="AF431" s="1">
        <f t="shared" si="159"/>
        <v>0</v>
      </c>
      <c r="AG431" s="1">
        <f t="shared" si="160"/>
        <v>0</v>
      </c>
      <c r="AH431" s="1">
        <f t="shared" si="161"/>
        <v>0</v>
      </c>
      <c r="AI431" s="1">
        <f t="shared" si="162"/>
        <v>0</v>
      </c>
    </row>
    <row r="432" spans="1:35" s="1" customFormat="1" ht="14.25" customHeight="1" x14ac:dyDescent="0.25">
      <c r="A432" s="44">
        <v>0</v>
      </c>
      <c r="B432" s="44">
        <v>2</v>
      </c>
      <c r="C432" s="44">
        <v>7</v>
      </c>
      <c r="D432" s="45" t="s">
        <v>1010</v>
      </c>
      <c r="E432" s="45" t="s">
        <v>28</v>
      </c>
      <c r="F432" s="45" t="s">
        <v>1011</v>
      </c>
      <c r="G432" s="45" t="s">
        <v>193</v>
      </c>
      <c r="H432" s="45" t="s">
        <v>352</v>
      </c>
      <c r="I432" s="44" t="s">
        <v>1012</v>
      </c>
      <c r="J432" s="44">
        <v>9</v>
      </c>
      <c r="K432" s="46" t="s">
        <v>708</v>
      </c>
      <c r="L432" s="46" t="s">
        <v>709</v>
      </c>
      <c r="M432" s="47" t="s">
        <v>727</v>
      </c>
      <c r="N432" s="47" t="s">
        <v>1719</v>
      </c>
      <c r="O432" s="48"/>
      <c r="P432" s="48"/>
      <c r="Q432" s="45"/>
      <c r="S432" s="1">
        <f t="shared" si="147"/>
        <v>0</v>
      </c>
      <c r="T432" s="1">
        <f t="shared" si="148"/>
        <v>0</v>
      </c>
      <c r="U432" s="1">
        <f t="shared" si="149"/>
        <v>0</v>
      </c>
      <c r="V432" s="1">
        <f t="shared" si="150"/>
        <v>0</v>
      </c>
      <c r="W432" s="1">
        <f t="shared" si="151"/>
        <v>0</v>
      </c>
      <c r="X432" s="1">
        <f t="shared" si="152"/>
        <v>0</v>
      </c>
      <c r="Y432" s="1">
        <f t="shared" si="153"/>
        <v>0</v>
      </c>
      <c r="Z432" s="1">
        <f t="shared" si="154"/>
        <v>0</v>
      </c>
      <c r="AA432" s="1">
        <f t="shared" si="155"/>
        <v>1</v>
      </c>
      <c r="AB432" s="1">
        <f t="shared" si="156"/>
        <v>0</v>
      </c>
      <c r="AD432" s="1">
        <f t="shared" si="157"/>
        <v>0</v>
      </c>
      <c r="AE432" s="1">
        <f t="shared" si="158"/>
        <v>0</v>
      </c>
      <c r="AF432" s="1">
        <f t="shared" si="159"/>
        <v>0</v>
      </c>
      <c r="AG432" s="1">
        <f t="shared" si="160"/>
        <v>0</v>
      </c>
      <c r="AH432" s="1">
        <f t="shared" si="161"/>
        <v>0</v>
      </c>
      <c r="AI432" s="1">
        <f t="shared" si="162"/>
        <v>1</v>
      </c>
    </row>
    <row r="433" spans="1:35" s="1" customFormat="1" ht="14.25" customHeight="1" x14ac:dyDescent="0.25">
      <c r="A433" s="31">
        <v>0</v>
      </c>
      <c r="B433" s="31">
        <v>2</v>
      </c>
      <c r="C433" s="31">
        <v>7</v>
      </c>
      <c r="D433" s="32" t="s">
        <v>1817</v>
      </c>
      <c r="E433" s="32" t="s">
        <v>1818</v>
      </c>
      <c r="F433" s="32" t="s">
        <v>1819</v>
      </c>
      <c r="G433" s="32" t="s">
        <v>206</v>
      </c>
      <c r="H433" s="32" t="s">
        <v>352</v>
      </c>
      <c r="I433" s="31" t="s">
        <v>30</v>
      </c>
      <c r="J433" s="31"/>
      <c r="K433" s="33" t="s">
        <v>699</v>
      </c>
      <c r="L433" s="33">
        <v>20</v>
      </c>
      <c r="M433" s="34" t="s">
        <v>1820</v>
      </c>
      <c r="N433" s="34" t="s">
        <v>1727</v>
      </c>
      <c r="O433" s="35">
        <v>1</v>
      </c>
      <c r="P433" s="35"/>
      <c r="Q433" s="32"/>
      <c r="S433" s="1">
        <f t="shared" si="147"/>
        <v>0</v>
      </c>
      <c r="T433" s="1">
        <f t="shared" si="148"/>
        <v>0</v>
      </c>
      <c r="U433" s="1">
        <f t="shared" si="149"/>
        <v>0</v>
      </c>
      <c r="V433" s="1">
        <f t="shared" si="150"/>
        <v>0</v>
      </c>
      <c r="W433" s="1">
        <f t="shared" si="151"/>
        <v>0</v>
      </c>
      <c r="X433" s="1">
        <f t="shared" si="152"/>
        <v>0</v>
      </c>
      <c r="Y433" s="1">
        <f t="shared" si="153"/>
        <v>0</v>
      </c>
      <c r="Z433" s="1">
        <f t="shared" si="154"/>
        <v>0</v>
      </c>
      <c r="AA433" s="1">
        <f t="shared" si="155"/>
        <v>0</v>
      </c>
      <c r="AB433" s="1">
        <f t="shared" si="156"/>
        <v>0</v>
      </c>
      <c r="AD433" s="1">
        <f t="shared" si="157"/>
        <v>0</v>
      </c>
      <c r="AE433" s="1">
        <f t="shared" si="158"/>
        <v>1</v>
      </c>
      <c r="AF433" s="1">
        <f t="shared" si="159"/>
        <v>0</v>
      </c>
      <c r="AG433" s="1">
        <f t="shared" si="160"/>
        <v>1</v>
      </c>
      <c r="AH433" s="1">
        <f t="shared" si="161"/>
        <v>0</v>
      </c>
      <c r="AI433" s="1">
        <f t="shared" si="162"/>
        <v>1</v>
      </c>
    </row>
    <row r="434" spans="1:35" s="1" customFormat="1" ht="14.25" customHeight="1" x14ac:dyDescent="0.25">
      <c r="A434" s="49">
        <v>0</v>
      </c>
      <c r="B434" s="49">
        <v>2</v>
      </c>
      <c r="C434" s="49">
        <v>7</v>
      </c>
      <c r="D434" s="50" t="s">
        <v>1066</v>
      </c>
      <c r="E434" s="50" t="s">
        <v>540</v>
      </c>
      <c r="F434" s="50" t="s">
        <v>1047</v>
      </c>
      <c r="G434" s="50" t="s">
        <v>237</v>
      </c>
      <c r="H434" s="50" t="s">
        <v>352</v>
      </c>
      <c r="I434" s="49" t="s">
        <v>1048</v>
      </c>
      <c r="J434" s="49">
        <v>99</v>
      </c>
      <c r="K434" s="51" t="s">
        <v>942</v>
      </c>
      <c r="L434" s="51" t="s">
        <v>718</v>
      </c>
      <c r="M434" s="52" t="s">
        <v>1421</v>
      </c>
      <c r="N434" s="52" t="s">
        <v>1727</v>
      </c>
      <c r="O434" s="53">
        <v>1</v>
      </c>
      <c r="P434" s="53"/>
      <c r="Q434" s="50"/>
      <c r="S434" s="1">
        <f t="shared" si="147"/>
        <v>0</v>
      </c>
      <c r="T434" s="1">
        <f t="shared" si="148"/>
        <v>0</v>
      </c>
      <c r="U434" s="1">
        <f t="shared" si="149"/>
        <v>0</v>
      </c>
      <c r="V434" s="1">
        <f t="shared" si="150"/>
        <v>0</v>
      </c>
      <c r="W434" s="1">
        <f t="shared" si="151"/>
        <v>0</v>
      </c>
      <c r="X434" s="1">
        <f t="shared" si="152"/>
        <v>0</v>
      </c>
      <c r="Y434" s="1">
        <f t="shared" si="153"/>
        <v>0</v>
      </c>
      <c r="Z434" s="1">
        <f t="shared" si="154"/>
        <v>0</v>
      </c>
      <c r="AA434" s="1">
        <f t="shared" si="155"/>
        <v>0</v>
      </c>
      <c r="AB434" s="1">
        <f t="shared" si="156"/>
        <v>0</v>
      </c>
      <c r="AD434" s="1">
        <f t="shared" si="157"/>
        <v>0</v>
      </c>
      <c r="AE434" s="1">
        <f t="shared" si="158"/>
        <v>1</v>
      </c>
      <c r="AF434" s="1">
        <f t="shared" si="159"/>
        <v>0</v>
      </c>
      <c r="AG434" s="1">
        <f t="shared" si="160"/>
        <v>1</v>
      </c>
      <c r="AH434" s="1">
        <f t="shared" si="161"/>
        <v>0</v>
      </c>
      <c r="AI434" s="1">
        <f t="shared" si="162"/>
        <v>1</v>
      </c>
    </row>
    <row r="435" spans="1:35" s="1" customFormat="1" ht="14.25" customHeight="1" x14ac:dyDescent="0.25">
      <c r="A435" s="31">
        <v>0</v>
      </c>
      <c r="B435" s="31">
        <v>2</v>
      </c>
      <c r="C435" s="31">
        <v>7</v>
      </c>
      <c r="D435" s="32" t="s">
        <v>1210</v>
      </c>
      <c r="E435" s="32" t="s">
        <v>155</v>
      </c>
      <c r="F435" s="32" t="s">
        <v>1211</v>
      </c>
      <c r="G435" s="32" t="s">
        <v>250</v>
      </c>
      <c r="H435" s="32" t="s">
        <v>352</v>
      </c>
      <c r="I435" s="31" t="s">
        <v>1212</v>
      </c>
      <c r="J435" s="31">
        <v>99</v>
      </c>
      <c r="K435" s="33" t="s">
        <v>709</v>
      </c>
      <c r="L435" s="33">
        <v>10</v>
      </c>
      <c r="M435" s="34" t="s">
        <v>1730</v>
      </c>
      <c r="N435" s="34" t="s">
        <v>1711</v>
      </c>
      <c r="O435" s="35">
        <v>1</v>
      </c>
      <c r="P435" s="35">
        <v>1</v>
      </c>
      <c r="Q435" s="32"/>
      <c r="S435" s="1">
        <f t="shared" si="147"/>
        <v>0</v>
      </c>
      <c r="T435" s="1">
        <f t="shared" si="148"/>
        <v>0</v>
      </c>
      <c r="U435" s="1">
        <f t="shared" si="149"/>
        <v>0</v>
      </c>
      <c r="V435" s="1">
        <f t="shared" si="150"/>
        <v>0</v>
      </c>
      <c r="W435" s="1">
        <f t="shared" si="151"/>
        <v>0</v>
      </c>
      <c r="X435" s="1">
        <f t="shared" si="152"/>
        <v>0</v>
      </c>
      <c r="Y435" s="1">
        <f t="shared" si="153"/>
        <v>0</v>
      </c>
      <c r="Z435" s="1">
        <f t="shared" si="154"/>
        <v>0</v>
      </c>
      <c r="AA435" s="1">
        <f t="shared" si="155"/>
        <v>0</v>
      </c>
      <c r="AB435" s="1">
        <f t="shared" si="156"/>
        <v>0</v>
      </c>
      <c r="AD435" s="1">
        <f t="shared" si="157"/>
        <v>1</v>
      </c>
      <c r="AE435" s="1">
        <f t="shared" si="158"/>
        <v>0</v>
      </c>
      <c r="AF435" s="1">
        <f t="shared" si="159"/>
        <v>1</v>
      </c>
      <c r="AG435" s="1">
        <f t="shared" si="160"/>
        <v>0</v>
      </c>
      <c r="AH435" s="1">
        <f t="shared" si="161"/>
        <v>1</v>
      </c>
      <c r="AI435" s="1">
        <f t="shared" si="162"/>
        <v>0</v>
      </c>
    </row>
    <row r="436" spans="1:35" s="1" customFormat="1" ht="14.25" customHeight="1" x14ac:dyDescent="0.25">
      <c r="A436" s="31">
        <v>0</v>
      </c>
      <c r="B436" s="31">
        <v>2</v>
      </c>
      <c r="C436" s="31">
        <v>7</v>
      </c>
      <c r="D436" s="36" t="s">
        <v>1787</v>
      </c>
      <c r="E436" s="36" t="s">
        <v>28</v>
      </c>
      <c r="F436" s="36" t="s">
        <v>1788</v>
      </c>
      <c r="G436" s="36" t="s">
        <v>179</v>
      </c>
      <c r="H436" s="36" t="s">
        <v>352</v>
      </c>
      <c r="I436" s="37" t="s">
        <v>1789</v>
      </c>
      <c r="J436" s="31">
        <v>10</v>
      </c>
      <c r="K436" s="33" t="s">
        <v>699</v>
      </c>
      <c r="L436" s="33">
        <v>10</v>
      </c>
      <c r="M436" s="34"/>
      <c r="N436" s="34" t="s">
        <v>1711</v>
      </c>
      <c r="O436" s="35">
        <v>1</v>
      </c>
      <c r="P436" s="35">
        <v>1</v>
      </c>
      <c r="Q436" s="36"/>
      <c r="S436" s="1">
        <f t="shared" si="147"/>
        <v>0</v>
      </c>
      <c r="T436" s="1">
        <f t="shared" si="148"/>
        <v>0</v>
      </c>
      <c r="U436" s="1">
        <f t="shared" si="149"/>
        <v>0</v>
      </c>
      <c r="V436" s="1">
        <f t="shared" si="150"/>
        <v>0</v>
      </c>
      <c r="W436" s="1">
        <f t="shared" si="151"/>
        <v>0</v>
      </c>
      <c r="X436" s="1">
        <f t="shared" si="152"/>
        <v>0</v>
      </c>
      <c r="Y436" s="1">
        <f t="shared" si="153"/>
        <v>0</v>
      </c>
      <c r="Z436" s="1">
        <f t="shared" si="154"/>
        <v>0</v>
      </c>
      <c r="AA436" s="1">
        <f t="shared" si="155"/>
        <v>0</v>
      </c>
      <c r="AB436" s="1">
        <f t="shared" si="156"/>
        <v>1</v>
      </c>
      <c r="AD436" s="1">
        <f t="shared" si="157"/>
        <v>1</v>
      </c>
      <c r="AE436" s="1">
        <f t="shared" si="158"/>
        <v>0</v>
      </c>
      <c r="AF436" s="1">
        <f t="shared" si="159"/>
        <v>1</v>
      </c>
      <c r="AG436" s="1">
        <f t="shared" si="160"/>
        <v>0</v>
      </c>
      <c r="AH436" s="1">
        <f t="shared" si="161"/>
        <v>1</v>
      </c>
      <c r="AI436" s="1">
        <f t="shared" si="162"/>
        <v>0</v>
      </c>
    </row>
    <row r="437" spans="1:35" s="1" customFormat="1" ht="14.25" customHeight="1" x14ac:dyDescent="0.25">
      <c r="A437" s="37">
        <v>0</v>
      </c>
      <c r="B437" s="37">
        <v>2</v>
      </c>
      <c r="C437" s="37">
        <v>7</v>
      </c>
      <c r="D437" s="36" t="s">
        <v>1569</v>
      </c>
      <c r="E437" s="36" t="s">
        <v>1635</v>
      </c>
      <c r="F437" s="36" t="s">
        <v>1570</v>
      </c>
      <c r="G437" s="36" t="s">
        <v>652</v>
      </c>
      <c r="H437" s="36" t="s">
        <v>352</v>
      </c>
      <c r="I437" s="37" t="s">
        <v>1571</v>
      </c>
      <c r="J437" s="37">
        <v>99</v>
      </c>
      <c r="K437" s="33" t="s">
        <v>709</v>
      </c>
      <c r="L437" s="33" t="s">
        <v>39</v>
      </c>
      <c r="M437" s="34" t="s">
        <v>39</v>
      </c>
      <c r="N437" s="34" t="s">
        <v>1711</v>
      </c>
      <c r="O437" s="35">
        <v>1</v>
      </c>
      <c r="P437" s="35">
        <v>1</v>
      </c>
      <c r="Q437" s="36"/>
      <c r="S437" s="1">
        <f t="shared" si="147"/>
        <v>0</v>
      </c>
      <c r="T437" s="1">
        <f t="shared" si="148"/>
        <v>0</v>
      </c>
      <c r="U437" s="1">
        <f t="shared" si="149"/>
        <v>0</v>
      </c>
      <c r="V437" s="1">
        <f t="shared" si="150"/>
        <v>0</v>
      </c>
      <c r="W437" s="1">
        <f t="shared" si="151"/>
        <v>0</v>
      </c>
      <c r="X437" s="1">
        <f t="shared" si="152"/>
        <v>0</v>
      </c>
      <c r="Y437" s="1">
        <f t="shared" si="153"/>
        <v>0</v>
      </c>
      <c r="Z437" s="1">
        <f t="shared" si="154"/>
        <v>0</v>
      </c>
      <c r="AA437" s="1">
        <f t="shared" si="155"/>
        <v>0</v>
      </c>
      <c r="AB437" s="1">
        <f t="shared" si="156"/>
        <v>0</v>
      </c>
      <c r="AD437" s="1">
        <f t="shared" si="157"/>
        <v>1</v>
      </c>
      <c r="AE437" s="1">
        <f t="shared" si="158"/>
        <v>0</v>
      </c>
      <c r="AF437" s="1">
        <f t="shared" si="159"/>
        <v>1</v>
      </c>
      <c r="AG437" s="1">
        <f t="shared" si="160"/>
        <v>0</v>
      </c>
      <c r="AH437" s="1">
        <f t="shared" si="161"/>
        <v>1</v>
      </c>
      <c r="AI437" s="1">
        <f t="shared" si="162"/>
        <v>0</v>
      </c>
    </row>
    <row r="438" spans="1:35" s="1" customFormat="1" ht="14.25" customHeight="1" x14ac:dyDescent="0.25">
      <c r="A438" s="44">
        <v>0</v>
      </c>
      <c r="B438" s="44">
        <v>2</v>
      </c>
      <c r="C438" s="44">
        <v>7</v>
      </c>
      <c r="D438" s="45" t="s">
        <v>1521</v>
      </c>
      <c r="E438" s="45" t="s">
        <v>28</v>
      </c>
      <c r="F438" s="45" t="s">
        <v>1646</v>
      </c>
      <c r="G438" s="45" t="s">
        <v>285</v>
      </c>
      <c r="H438" s="45" t="s">
        <v>352</v>
      </c>
      <c r="I438" s="44" t="s">
        <v>1672</v>
      </c>
      <c r="J438" s="44">
        <v>99</v>
      </c>
      <c r="K438" s="46" t="s">
        <v>709</v>
      </c>
      <c r="L438" s="46" t="s">
        <v>709</v>
      </c>
      <c r="M438" s="47" t="s">
        <v>727</v>
      </c>
      <c r="N438" s="47" t="s">
        <v>1719</v>
      </c>
      <c r="O438" s="48"/>
      <c r="P438" s="48"/>
      <c r="Q438" s="45"/>
      <c r="S438" s="1">
        <f t="shared" si="147"/>
        <v>0</v>
      </c>
      <c r="T438" s="1">
        <f t="shared" si="148"/>
        <v>0</v>
      </c>
      <c r="U438" s="1">
        <f t="shared" si="149"/>
        <v>0</v>
      </c>
      <c r="V438" s="1">
        <f t="shared" si="150"/>
        <v>0</v>
      </c>
      <c r="W438" s="1">
        <f t="shared" si="151"/>
        <v>0</v>
      </c>
      <c r="X438" s="1">
        <f t="shared" si="152"/>
        <v>0</v>
      </c>
      <c r="Y438" s="1">
        <f t="shared" si="153"/>
        <v>0</v>
      </c>
      <c r="Z438" s="1">
        <f t="shared" si="154"/>
        <v>0</v>
      </c>
      <c r="AA438" s="1">
        <f t="shared" si="155"/>
        <v>0</v>
      </c>
      <c r="AB438" s="1">
        <f t="shared" si="156"/>
        <v>0</v>
      </c>
      <c r="AD438" s="1">
        <f t="shared" si="157"/>
        <v>0</v>
      </c>
      <c r="AE438" s="1">
        <f t="shared" si="158"/>
        <v>0</v>
      </c>
      <c r="AF438" s="1">
        <f t="shared" si="159"/>
        <v>0</v>
      </c>
      <c r="AG438" s="1">
        <f t="shared" si="160"/>
        <v>0</v>
      </c>
      <c r="AH438" s="1">
        <f t="shared" si="161"/>
        <v>0</v>
      </c>
      <c r="AI438" s="1">
        <f t="shared" si="162"/>
        <v>1</v>
      </c>
    </row>
    <row r="439" spans="1:35" s="1" customFormat="1" ht="14.25" customHeight="1" x14ac:dyDescent="0.25">
      <c r="A439" s="44">
        <v>0</v>
      </c>
      <c r="B439" s="44">
        <v>2</v>
      </c>
      <c r="C439" s="44">
        <v>7</v>
      </c>
      <c r="D439" s="45" t="s">
        <v>1312</v>
      </c>
      <c r="E439" s="45" t="s">
        <v>28</v>
      </c>
      <c r="F439" s="45" t="s">
        <v>568</v>
      </c>
      <c r="G439" s="45" t="s">
        <v>180</v>
      </c>
      <c r="H439" s="45" t="s">
        <v>352</v>
      </c>
      <c r="I439" s="44" t="s">
        <v>428</v>
      </c>
      <c r="J439" s="44">
        <v>7</v>
      </c>
      <c r="K439" s="46" t="s">
        <v>708</v>
      </c>
      <c r="L439" s="46" t="s">
        <v>709</v>
      </c>
      <c r="M439" s="47" t="s">
        <v>727</v>
      </c>
      <c r="N439" s="47" t="s">
        <v>1719</v>
      </c>
      <c r="O439" s="48"/>
      <c r="P439" s="48"/>
      <c r="Q439" s="45"/>
      <c r="S439" s="1">
        <f t="shared" si="147"/>
        <v>0</v>
      </c>
      <c r="T439" s="1">
        <f t="shared" si="148"/>
        <v>0</v>
      </c>
      <c r="U439" s="1">
        <f t="shared" si="149"/>
        <v>0</v>
      </c>
      <c r="V439" s="1">
        <f t="shared" si="150"/>
        <v>0</v>
      </c>
      <c r="W439" s="1">
        <f t="shared" si="151"/>
        <v>0</v>
      </c>
      <c r="X439" s="1">
        <f t="shared" si="152"/>
        <v>0</v>
      </c>
      <c r="Y439" s="1">
        <f t="shared" si="153"/>
        <v>1</v>
      </c>
      <c r="Z439" s="1">
        <f t="shared" si="154"/>
        <v>0</v>
      </c>
      <c r="AA439" s="1">
        <f t="shared" si="155"/>
        <v>0</v>
      </c>
      <c r="AB439" s="1">
        <f t="shared" si="156"/>
        <v>0</v>
      </c>
      <c r="AD439" s="1">
        <f t="shared" si="157"/>
        <v>0</v>
      </c>
      <c r="AE439" s="1">
        <f t="shared" si="158"/>
        <v>0</v>
      </c>
      <c r="AF439" s="1">
        <f t="shared" si="159"/>
        <v>0</v>
      </c>
      <c r="AG439" s="1">
        <f t="shared" si="160"/>
        <v>0</v>
      </c>
      <c r="AH439" s="1">
        <f t="shared" si="161"/>
        <v>0</v>
      </c>
      <c r="AI439" s="1">
        <f t="shared" si="162"/>
        <v>1</v>
      </c>
    </row>
    <row r="440" spans="1:35" s="1" customFormat="1" ht="14.25" customHeight="1" x14ac:dyDescent="0.25">
      <c r="A440" s="44">
        <v>0</v>
      </c>
      <c r="B440" s="44">
        <v>2</v>
      </c>
      <c r="C440" s="44">
        <v>7</v>
      </c>
      <c r="D440" s="45" t="s">
        <v>72</v>
      </c>
      <c r="E440" s="45" t="s">
        <v>28</v>
      </c>
      <c r="F440" s="65" t="s">
        <v>1859</v>
      </c>
      <c r="G440" s="45" t="s">
        <v>234</v>
      </c>
      <c r="H440" s="45" t="s">
        <v>352</v>
      </c>
      <c r="I440" s="44" t="s">
        <v>676</v>
      </c>
      <c r="J440" s="44">
        <v>99</v>
      </c>
      <c r="K440" s="46" t="s">
        <v>709</v>
      </c>
      <c r="L440" s="46" t="s">
        <v>709</v>
      </c>
      <c r="M440" s="47" t="s">
        <v>727</v>
      </c>
      <c r="N440" s="47" t="s">
        <v>1719</v>
      </c>
      <c r="O440" s="48"/>
      <c r="P440" s="48"/>
      <c r="Q440" s="45"/>
      <c r="S440" s="1">
        <f t="shared" si="147"/>
        <v>0</v>
      </c>
      <c r="T440" s="1">
        <f t="shared" si="148"/>
        <v>0</v>
      </c>
      <c r="U440" s="1">
        <f t="shared" si="149"/>
        <v>0</v>
      </c>
      <c r="V440" s="1">
        <f t="shared" si="150"/>
        <v>0</v>
      </c>
      <c r="W440" s="1">
        <f t="shared" si="151"/>
        <v>0</v>
      </c>
      <c r="X440" s="1">
        <f t="shared" si="152"/>
        <v>0</v>
      </c>
      <c r="Y440" s="1">
        <f t="shared" si="153"/>
        <v>0</v>
      </c>
      <c r="Z440" s="1">
        <f t="shared" si="154"/>
        <v>0</v>
      </c>
      <c r="AA440" s="1">
        <f t="shared" si="155"/>
        <v>0</v>
      </c>
      <c r="AB440" s="1">
        <f t="shared" si="156"/>
        <v>0</v>
      </c>
      <c r="AD440" s="1">
        <f t="shared" si="157"/>
        <v>0</v>
      </c>
      <c r="AE440" s="1">
        <f t="shared" si="158"/>
        <v>0</v>
      </c>
      <c r="AF440" s="1">
        <f t="shared" si="159"/>
        <v>0</v>
      </c>
      <c r="AG440" s="1">
        <f t="shared" si="160"/>
        <v>0</v>
      </c>
      <c r="AH440" s="1">
        <f t="shared" si="161"/>
        <v>0</v>
      </c>
      <c r="AI440" s="1">
        <f t="shared" si="162"/>
        <v>1</v>
      </c>
    </row>
    <row r="441" spans="1:35" s="1" customFormat="1" ht="14.25" customHeight="1" x14ac:dyDescent="0.25">
      <c r="A441" s="44">
        <v>1</v>
      </c>
      <c r="B441" s="44">
        <v>2</v>
      </c>
      <c r="C441" s="44">
        <v>7</v>
      </c>
      <c r="D441" s="45" t="s">
        <v>72</v>
      </c>
      <c r="E441" s="45" t="s">
        <v>28</v>
      </c>
      <c r="F441" s="45" t="s">
        <v>260</v>
      </c>
      <c r="G441" s="45" t="s">
        <v>219</v>
      </c>
      <c r="H441" s="45" t="s">
        <v>352</v>
      </c>
      <c r="I441" s="44" t="s">
        <v>418</v>
      </c>
      <c r="J441" s="44">
        <v>8</v>
      </c>
      <c r="K441" s="46" t="s">
        <v>709</v>
      </c>
      <c r="L441" s="46" t="s">
        <v>709</v>
      </c>
      <c r="M441" s="47" t="s">
        <v>727</v>
      </c>
      <c r="N441" s="47" t="s">
        <v>1719</v>
      </c>
      <c r="O441" s="48"/>
      <c r="P441" s="48"/>
      <c r="Q441" s="45"/>
      <c r="S441" s="1">
        <f t="shared" si="147"/>
        <v>0</v>
      </c>
      <c r="T441" s="1">
        <f t="shared" si="148"/>
        <v>0</v>
      </c>
      <c r="U441" s="1">
        <f t="shared" si="149"/>
        <v>0</v>
      </c>
      <c r="V441" s="1">
        <f t="shared" si="150"/>
        <v>0</v>
      </c>
      <c r="W441" s="1">
        <f t="shared" si="151"/>
        <v>0</v>
      </c>
      <c r="X441" s="1">
        <f t="shared" si="152"/>
        <v>0</v>
      </c>
      <c r="Y441" s="1">
        <f t="shared" si="153"/>
        <v>0</v>
      </c>
      <c r="Z441" s="1">
        <f t="shared" si="154"/>
        <v>1</v>
      </c>
      <c r="AA441" s="1">
        <f t="shared" si="155"/>
        <v>0</v>
      </c>
      <c r="AB441" s="1">
        <f t="shared" si="156"/>
        <v>0</v>
      </c>
      <c r="AD441" s="1">
        <f t="shared" si="157"/>
        <v>0</v>
      </c>
      <c r="AE441" s="1">
        <f t="shared" si="158"/>
        <v>0</v>
      </c>
      <c r="AF441" s="1">
        <f t="shared" si="159"/>
        <v>0</v>
      </c>
      <c r="AG441" s="1">
        <f t="shared" si="160"/>
        <v>0</v>
      </c>
      <c r="AH441" s="1">
        <f t="shared" si="161"/>
        <v>0</v>
      </c>
      <c r="AI441" s="1">
        <f t="shared" si="162"/>
        <v>0</v>
      </c>
    </row>
    <row r="442" spans="1:35" s="1" customFormat="1" ht="14.25" customHeight="1" x14ac:dyDescent="0.25">
      <c r="A442" s="44">
        <v>1</v>
      </c>
      <c r="B442" s="44">
        <v>2</v>
      </c>
      <c r="C442" s="44">
        <v>7</v>
      </c>
      <c r="D442" s="45" t="s">
        <v>72</v>
      </c>
      <c r="E442" s="45" t="s">
        <v>28</v>
      </c>
      <c r="F442" s="45" t="s">
        <v>259</v>
      </c>
      <c r="G442" s="45" t="s">
        <v>177</v>
      </c>
      <c r="H442" s="45" t="s">
        <v>352</v>
      </c>
      <c r="I442" s="44" t="s">
        <v>417</v>
      </c>
      <c r="J442" s="44">
        <v>1</v>
      </c>
      <c r="K442" s="46" t="s">
        <v>709</v>
      </c>
      <c r="L442" s="46" t="s">
        <v>709</v>
      </c>
      <c r="M442" s="47" t="s">
        <v>727</v>
      </c>
      <c r="N442" s="47" t="s">
        <v>1719</v>
      </c>
      <c r="O442" s="48"/>
      <c r="P442" s="48"/>
      <c r="Q442" s="45"/>
      <c r="S442" s="1">
        <f t="shared" si="147"/>
        <v>1</v>
      </c>
      <c r="T442" s="1">
        <f t="shared" si="148"/>
        <v>0</v>
      </c>
      <c r="U442" s="1">
        <f t="shared" si="149"/>
        <v>0</v>
      </c>
      <c r="V442" s="1">
        <f t="shared" si="150"/>
        <v>0</v>
      </c>
      <c r="W442" s="1">
        <f t="shared" si="151"/>
        <v>0</v>
      </c>
      <c r="X442" s="1">
        <f t="shared" si="152"/>
        <v>0</v>
      </c>
      <c r="Y442" s="1">
        <f t="shared" si="153"/>
        <v>0</v>
      </c>
      <c r="Z442" s="1">
        <f t="shared" si="154"/>
        <v>0</v>
      </c>
      <c r="AA442" s="1">
        <f t="shared" si="155"/>
        <v>0</v>
      </c>
      <c r="AB442" s="1">
        <f t="shared" si="156"/>
        <v>0</v>
      </c>
      <c r="AD442" s="1">
        <f t="shared" si="157"/>
        <v>0</v>
      </c>
      <c r="AE442" s="1">
        <f t="shared" si="158"/>
        <v>0</v>
      </c>
      <c r="AF442" s="1">
        <f t="shared" si="159"/>
        <v>0</v>
      </c>
      <c r="AG442" s="1">
        <f t="shared" si="160"/>
        <v>0</v>
      </c>
      <c r="AH442" s="1">
        <f t="shared" si="161"/>
        <v>0</v>
      </c>
      <c r="AI442" s="1">
        <f t="shared" si="162"/>
        <v>0</v>
      </c>
    </row>
    <row r="443" spans="1:35" s="1" customFormat="1" ht="14.25" customHeight="1" x14ac:dyDescent="0.25">
      <c r="A443" s="15">
        <v>0</v>
      </c>
      <c r="B443" s="15">
        <v>2</v>
      </c>
      <c r="C443" s="15">
        <v>7</v>
      </c>
      <c r="D443" s="16" t="s">
        <v>769</v>
      </c>
      <c r="E443" s="16" t="s">
        <v>28</v>
      </c>
      <c r="F443" s="16" t="s">
        <v>770</v>
      </c>
      <c r="G443" s="16" t="s">
        <v>278</v>
      </c>
      <c r="H443" s="16" t="s">
        <v>352</v>
      </c>
      <c r="I443" s="15" t="s">
        <v>771</v>
      </c>
      <c r="J443" s="15">
        <v>99</v>
      </c>
      <c r="K443" s="10" t="s">
        <v>709</v>
      </c>
      <c r="L443" s="10" t="s">
        <v>709</v>
      </c>
      <c r="M443" s="19" t="s">
        <v>727</v>
      </c>
      <c r="N443" s="17"/>
      <c r="Q443" s="16"/>
      <c r="S443" s="1">
        <f t="shared" si="147"/>
        <v>0</v>
      </c>
      <c r="T443" s="1">
        <f t="shared" si="148"/>
        <v>0</v>
      </c>
      <c r="U443" s="1">
        <f t="shared" si="149"/>
        <v>0</v>
      </c>
      <c r="V443" s="1">
        <f t="shared" si="150"/>
        <v>0</v>
      </c>
      <c r="W443" s="1">
        <f t="shared" si="151"/>
        <v>0</v>
      </c>
      <c r="X443" s="1">
        <f t="shared" si="152"/>
        <v>0</v>
      </c>
      <c r="Y443" s="1">
        <f t="shared" si="153"/>
        <v>0</v>
      </c>
      <c r="Z443" s="1">
        <f t="shared" si="154"/>
        <v>0</v>
      </c>
      <c r="AA443" s="1">
        <f t="shared" si="155"/>
        <v>0</v>
      </c>
      <c r="AB443" s="1">
        <f t="shared" si="156"/>
        <v>0</v>
      </c>
      <c r="AD443" s="1">
        <f t="shared" si="157"/>
        <v>0</v>
      </c>
      <c r="AE443" s="1">
        <f t="shared" si="158"/>
        <v>0</v>
      </c>
      <c r="AF443" s="1">
        <f t="shared" si="159"/>
        <v>0</v>
      </c>
      <c r="AG443" s="1">
        <f t="shared" si="160"/>
        <v>0</v>
      </c>
      <c r="AH443" s="1">
        <f t="shared" si="161"/>
        <v>0</v>
      </c>
      <c r="AI443" s="1">
        <f t="shared" si="162"/>
        <v>1</v>
      </c>
    </row>
    <row r="444" spans="1:35" s="1" customFormat="1" ht="14.25" customHeight="1" x14ac:dyDescent="0.25">
      <c r="A444" s="15">
        <v>0</v>
      </c>
      <c r="B444" s="15">
        <v>2</v>
      </c>
      <c r="C444" s="15">
        <v>7</v>
      </c>
      <c r="D444" s="16" t="s">
        <v>85</v>
      </c>
      <c r="E444" s="16" t="s">
        <v>28</v>
      </c>
      <c r="F444" s="16" t="s">
        <v>277</v>
      </c>
      <c r="G444" s="16" t="s">
        <v>278</v>
      </c>
      <c r="H444" s="16" t="s">
        <v>352</v>
      </c>
      <c r="I444" s="15" t="s">
        <v>432</v>
      </c>
      <c r="J444" s="15">
        <v>99</v>
      </c>
      <c r="K444" s="10" t="s">
        <v>709</v>
      </c>
      <c r="L444" s="10" t="s">
        <v>709</v>
      </c>
      <c r="M444" s="19" t="s">
        <v>727</v>
      </c>
      <c r="N444" s="17"/>
      <c r="Q444" s="16"/>
      <c r="S444" s="1">
        <f t="shared" si="147"/>
        <v>0</v>
      </c>
      <c r="T444" s="1">
        <f t="shared" si="148"/>
        <v>0</v>
      </c>
      <c r="U444" s="1">
        <f t="shared" si="149"/>
        <v>0</v>
      </c>
      <c r="V444" s="1">
        <f t="shared" si="150"/>
        <v>0</v>
      </c>
      <c r="W444" s="1">
        <f t="shared" si="151"/>
        <v>0</v>
      </c>
      <c r="X444" s="1">
        <f t="shared" si="152"/>
        <v>0</v>
      </c>
      <c r="Y444" s="1">
        <f t="shared" si="153"/>
        <v>0</v>
      </c>
      <c r="Z444" s="1">
        <f t="shared" si="154"/>
        <v>0</v>
      </c>
      <c r="AA444" s="1">
        <f t="shared" si="155"/>
        <v>0</v>
      </c>
      <c r="AB444" s="1">
        <f t="shared" si="156"/>
        <v>0</v>
      </c>
      <c r="AD444" s="1">
        <f t="shared" si="157"/>
        <v>0</v>
      </c>
      <c r="AE444" s="1">
        <f t="shared" si="158"/>
        <v>0</v>
      </c>
      <c r="AF444" s="1">
        <f t="shared" si="159"/>
        <v>0</v>
      </c>
      <c r="AG444" s="1">
        <f t="shared" si="160"/>
        <v>0</v>
      </c>
      <c r="AH444" s="1">
        <f t="shared" si="161"/>
        <v>0</v>
      </c>
      <c r="AI444" s="1">
        <f t="shared" si="162"/>
        <v>1</v>
      </c>
    </row>
    <row r="445" spans="1:35" s="1" customFormat="1" ht="14.25" customHeight="1" x14ac:dyDescent="0.25">
      <c r="A445" s="37">
        <v>0</v>
      </c>
      <c r="B445" s="37">
        <v>2</v>
      </c>
      <c r="C445" s="37">
        <v>7</v>
      </c>
      <c r="D445" s="36" t="s">
        <v>1921</v>
      </c>
      <c r="E445" s="36" t="s">
        <v>28</v>
      </c>
      <c r="F445" s="36" t="s">
        <v>1922</v>
      </c>
      <c r="G445" s="36" t="s">
        <v>184</v>
      </c>
      <c r="H445" s="36" t="s">
        <v>352</v>
      </c>
      <c r="I445" s="37" t="s">
        <v>1923</v>
      </c>
      <c r="J445" s="37">
        <v>99</v>
      </c>
      <c r="K445" s="33" t="s">
        <v>699</v>
      </c>
      <c r="L445" s="33">
        <v>4</v>
      </c>
      <c r="M445" s="34" t="s">
        <v>727</v>
      </c>
      <c r="N445" s="34" t="s">
        <v>1727</v>
      </c>
      <c r="O445" s="35">
        <v>1</v>
      </c>
      <c r="P445" s="35"/>
      <c r="Q445" s="36" t="s">
        <v>1924</v>
      </c>
      <c r="S445" s="1">
        <f t="shared" si="147"/>
        <v>0</v>
      </c>
      <c r="T445" s="1">
        <f t="shared" si="148"/>
        <v>0</v>
      </c>
      <c r="U445" s="1">
        <f t="shared" si="149"/>
        <v>0</v>
      </c>
      <c r="V445" s="1">
        <f t="shared" si="150"/>
        <v>0</v>
      </c>
      <c r="W445" s="1">
        <f t="shared" si="151"/>
        <v>0</v>
      </c>
      <c r="X445" s="1">
        <f t="shared" si="152"/>
        <v>0</v>
      </c>
      <c r="Y445" s="1">
        <f t="shared" si="153"/>
        <v>0</v>
      </c>
      <c r="Z445" s="1">
        <f t="shared" si="154"/>
        <v>0</v>
      </c>
      <c r="AA445" s="1">
        <f t="shared" si="155"/>
        <v>0</v>
      </c>
      <c r="AB445" s="1">
        <f t="shared" si="156"/>
        <v>0</v>
      </c>
      <c r="AD445" s="1">
        <f t="shared" si="157"/>
        <v>0</v>
      </c>
      <c r="AE445" s="1">
        <f t="shared" si="158"/>
        <v>1</v>
      </c>
      <c r="AF445" s="1">
        <f t="shared" si="159"/>
        <v>0</v>
      </c>
      <c r="AG445" s="1">
        <f t="shared" si="160"/>
        <v>1</v>
      </c>
      <c r="AH445" s="1">
        <f t="shared" si="161"/>
        <v>0</v>
      </c>
      <c r="AI445" s="1">
        <f t="shared" si="162"/>
        <v>1</v>
      </c>
    </row>
    <row r="446" spans="1:35" s="1" customFormat="1" ht="14.25" customHeight="1" x14ac:dyDescent="0.25">
      <c r="A446" s="37">
        <v>0</v>
      </c>
      <c r="B446" s="37">
        <v>2</v>
      </c>
      <c r="C446" s="37">
        <v>7</v>
      </c>
      <c r="D446" s="36" t="s">
        <v>549</v>
      </c>
      <c r="E446" s="36" t="s">
        <v>28</v>
      </c>
      <c r="F446" s="36" t="s">
        <v>1860</v>
      </c>
      <c r="G446" s="36" t="s">
        <v>552</v>
      </c>
      <c r="H446" s="36" t="s">
        <v>352</v>
      </c>
      <c r="I446" s="37" t="s">
        <v>553</v>
      </c>
      <c r="J446" s="37">
        <v>99</v>
      </c>
      <c r="K446" s="33" t="s">
        <v>709</v>
      </c>
      <c r="L446" s="33" t="s">
        <v>709</v>
      </c>
      <c r="M446" s="34" t="s">
        <v>727</v>
      </c>
      <c r="N446" s="34" t="s">
        <v>1809</v>
      </c>
      <c r="O446" s="35">
        <v>1</v>
      </c>
      <c r="P446" s="35"/>
      <c r="Q446" s="36"/>
      <c r="S446" s="1">
        <f t="shared" si="147"/>
        <v>0</v>
      </c>
      <c r="T446" s="1">
        <f t="shared" si="148"/>
        <v>0</v>
      </c>
      <c r="U446" s="1">
        <f t="shared" si="149"/>
        <v>0</v>
      </c>
      <c r="V446" s="1">
        <f t="shared" si="150"/>
        <v>0</v>
      </c>
      <c r="W446" s="1">
        <f t="shared" si="151"/>
        <v>0</v>
      </c>
      <c r="X446" s="1">
        <f t="shared" si="152"/>
        <v>0</v>
      </c>
      <c r="Y446" s="1">
        <f t="shared" si="153"/>
        <v>0</v>
      </c>
      <c r="Z446" s="1">
        <f t="shared" si="154"/>
        <v>0</v>
      </c>
      <c r="AA446" s="1">
        <f t="shared" si="155"/>
        <v>0</v>
      </c>
      <c r="AB446" s="1">
        <f t="shared" si="156"/>
        <v>0</v>
      </c>
      <c r="AD446" s="1">
        <f t="shared" si="157"/>
        <v>0</v>
      </c>
      <c r="AE446" s="1">
        <f t="shared" si="158"/>
        <v>1</v>
      </c>
      <c r="AF446" s="1">
        <f t="shared" si="159"/>
        <v>0</v>
      </c>
      <c r="AG446" s="1">
        <f t="shared" si="160"/>
        <v>1</v>
      </c>
      <c r="AH446" s="1">
        <f t="shared" si="161"/>
        <v>0</v>
      </c>
      <c r="AI446" s="1">
        <f t="shared" si="162"/>
        <v>1</v>
      </c>
    </row>
    <row r="447" spans="1:35" s="1" customFormat="1" ht="14.25" customHeight="1" x14ac:dyDescent="0.25">
      <c r="A447" s="37">
        <v>1</v>
      </c>
      <c r="B447" s="37">
        <v>2</v>
      </c>
      <c r="C447" s="37">
        <v>7</v>
      </c>
      <c r="D447" s="36" t="s">
        <v>549</v>
      </c>
      <c r="E447" s="36" t="s">
        <v>28</v>
      </c>
      <c r="F447" s="36" t="s">
        <v>1861</v>
      </c>
      <c r="G447" s="36" t="s">
        <v>550</v>
      </c>
      <c r="H447" s="36" t="s">
        <v>352</v>
      </c>
      <c r="I447" s="37" t="s">
        <v>551</v>
      </c>
      <c r="J447" s="37">
        <v>99</v>
      </c>
      <c r="K447" s="33" t="s">
        <v>709</v>
      </c>
      <c r="L447" s="33" t="s">
        <v>709</v>
      </c>
      <c r="M447" s="34" t="s">
        <v>727</v>
      </c>
      <c r="N447" s="34" t="s">
        <v>1809</v>
      </c>
      <c r="O447" s="35">
        <v>1</v>
      </c>
      <c r="P447" s="35"/>
      <c r="Q447" s="36"/>
      <c r="S447" s="1">
        <f t="shared" si="147"/>
        <v>0</v>
      </c>
      <c r="T447" s="1">
        <f t="shared" si="148"/>
        <v>0</v>
      </c>
      <c r="U447" s="1">
        <f t="shared" si="149"/>
        <v>0</v>
      </c>
      <c r="V447" s="1">
        <f t="shared" si="150"/>
        <v>0</v>
      </c>
      <c r="W447" s="1">
        <f t="shared" si="151"/>
        <v>0</v>
      </c>
      <c r="X447" s="1">
        <f t="shared" si="152"/>
        <v>0</v>
      </c>
      <c r="Y447" s="1">
        <f t="shared" si="153"/>
        <v>0</v>
      </c>
      <c r="Z447" s="1">
        <f t="shared" si="154"/>
        <v>0</v>
      </c>
      <c r="AA447" s="1">
        <f t="shared" si="155"/>
        <v>0</v>
      </c>
      <c r="AB447" s="1">
        <f t="shared" si="156"/>
        <v>0</v>
      </c>
      <c r="AD447" s="1">
        <f t="shared" si="157"/>
        <v>0</v>
      </c>
      <c r="AE447" s="1">
        <f t="shared" si="158"/>
        <v>1</v>
      </c>
      <c r="AF447" s="1">
        <f t="shared" si="159"/>
        <v>0</v>
      </c>
      <c r="AG447" s="1">
        <f t="shared" si="160"/>
        <v>0</v>
      </c>
      <c r="AH447" s="1">
        <f t="shared" si="161"/>
        <v>0</v>
      </c>
      <c r="AI447" s="1">
        <f t="shared" si="162"/>
        <v>0</v>
      </c>
    </row>
    <row r="448" spans="1:35" s="1" customFormat="1" ht="14.25" customHeight="1" x14ac:dyDescent="0.25">
      <c r="A448" s="44">
        <v>0</v>
      </c>
      <c r="B448" s="44">
        <v>2</v>
      </c>
      <c r="C448" s="44">
        <v>7</v>
      </c>
      <c r="D448" s="45" t="s">
        <v>1169</v>
      </c>
      <c r="E448" s="45" t="s">
        <v>28</v>
      </c>
      <c r="F448" s="45" t="s">
        <v>1662</v>
      </c>
      <c r="G448" s="45" t="s">
        <v>234</v>
      </c>
      <c r="H448" s="45" t="s">
        <v>352</v>
      </c>
      <c r="I448" s="44" t="s">
        <v>1350</v>
      </c>
      <c r="J448" s="44">
        <v>99</v>
      </c>
      <c r="K448" s="46" t="s">
        <v>708</v>
      </c>
      <c r="L448" s="46" t="s">
        <v>709</v>
      </c>
      <c r="M448" s="47" t="s">
        <v>727</v>
      </c>
      <c r="N448" s="47" t="s">
        <v>1719</v>
      </c>
      <c r="O448" s="48"/>
      <c r="P448" s="48"/>
      <c r="Q448" s="45"/>
      <c r="S448" s="1">
        <f t="shared" si="147"/>
        <v>0</v>
      </c>
      <c r="T448" s="1">
        <f t="shared" si="148"/>
        <v>0</v>
      </c>
      <c r="U448" s="1">
        <f t="shared" si="149"/>
        <v>0</v>
      </c>
      <c r="V448" s="1">
        <f t="shared" si="150"/>
        <v>0</v>
      </c>
      <c r="W448" s="1">
        <f t="shared" si="151"/>
        <v>0</v>
      </c>
      <c r="X448" s="1">
        <f t="shared" si="152"/>
        <v>0</v>
      </c>
      <c r="Y448" s="1">
        <f t="shared" si="153"/>
        <v>0</v>
      </c>
      <c r="Z448" s="1">
        <f t="shared" si="154"/>
        <v>0</v>
      </c>
      <c r="AA448" s="1">
        <f t="shared" si="155"/>
        <v>0</v>
      </c>
      <c r="AB448" s="1">
        <f t="shared" si="156"/>
        <v>0</v>
      </c>
      <c r="AD448" s="1">
        <f t="shared" si="157"/>
        <v>0</v>
      </c>
      <c r="AE448" s="1">
        <f t="shared" si="158"/>
        <v>0</v>
      </c>
      <c r="AF448" s="1">
        <f t="shared" si="159"/>
        <v>0</v>
      </c>
      <c r="AG448" s="1">
        <f t="shared" si="160"/>
        <v>0</v>
      </c>
      <c r="AH448" s="1">
        <f t="shared" si="161"/>
        <v>0</v>
      </c>
      <c r="AI448" s="1">
        <f t="shared" si="162"/>
        <v>1</v>
      </c>
    </row>
    <row r="449" spans="1:35" s="1" customFormat="1" ht="14.25" customHeight="1" x14ac:dyDescent="0.25">
      <c r="A449" s="44">
        <v>1</v>
      </c>
      <c r="B449" s="44">
        <v>2</v>
      </c>
      <c r="C449" s="44">
        <v>7</v>
      </c>
      <c r="D449" s="45" t="s">
        <v>1169</v>
      </c>
      <c r="E449" s="45" t="s">
        <v>28</v>
      </c>
      <c r="F449" s="45" t="s">
        <v>1663</v>
      </c>
      <c r="G449" s="45" t="s">
        <v>1336</v>
      </c>
      <c r="H449" s="45" t="s">
        <v>352</v>
      </c>
      <c r="I449" s="44" t="s">
        <v>1351</v>
      </c>
      <c r="J449" s="44">
        <v>99</v>
      </c>
      <c r="K449" s="46" t="s">
        <v>708</v>
      </c>
      <c r="L449" s="46" t="s">
        <v>709</v>
      </c>
      <c r="M449" s="47" t="s">
        <v>727</v>
      </c>
      <c r="N449" s="47" t="s">
        <v>1719</v>
      </c>
      <c r="O449" s="48"/>
      <c r="P449" s="48"/>
      <c r="Q449" s="45"/>
      <c r="S449" s="1">
        <f t="shared" si="147"/>
        <v>0</v>
      </c>
      <c r="T449" s="1">
        <f t="shared" si="148"/>
        <v>0</v>
      </c>
      <c r="U449" s="1">
        <f t="shared" si="149"/>
        <v>0</v>
      </c>
      <c r="V449" s="1">
        <f t="shared" si="150"/>
        <v>0</v>
      </c>
      <c r="W449" s="1">
        <f t="shared" si="151"/>
        <v>0</v>
      </c>
      <c r="X449" s="1">
        <f t="shared" si="152"/>
        <v>0</v>
      </c>
      <c r="Y449" s="1">
        <f t="shared" si="153"/>
        <v>0</v>
      </c>
      <c r="Z449" s="1">
        <f t="shared" si="154"/>
        <v>0</v>
      </c>
      <c r="AA449" s="1">
        <f t="shared" si="155"/>
        <v>0</v>
      </c>
      <c r="AB449" s="1">
        <f t="shared" si="156"/>
        <v>0</v>
      </c>
      <c r="AD449" s="1">
        <f t="shared" si="157"/>
        <v>0</v>
      </c>
      <c r="AE449" s="1">
        <f t="shared" si="158"/>
        <v>0</v>
      </c>
      <c r="AF449" s="1">
        <f t="shared" si="159"/>
        <v>0</v>
      </c>
      <c r="AG449" s="1">
        <f t="shared" si="160"/>
        <v>0</v>
      </c>
      <c r="AH449" s="1">
        <f t="shared" si="161"/>
        <v>0</v>
      </c>
      <c r="AI449" s="1">
        <f t="shared" si="162"/>
        <v>0</v>
      </c>
    </row>
    <row r="450" spans="1:35" s="1" customFormat="1" ht="14.25" customHeight="1" x14ac:dyDescent="0.25">
      <c r="A450" s="31">
        <v>0</v>
      </c>
      <c r="B450" s="31">
        <v>2</v>
      </c>
      <c r="C450" s="31">
        <v>7</v>
      </c>
      <c r="D450" s="32" t="s">
        <v>1237</v>
      </c>
      <c r="E450" s="32" t="s">
        <v>28</v>
      </c>
      <c r="F450" s="32" t="s">
        <v>1236</v>
      </c>
      <c r="G450" s="32" t="s">
        <v>1221</v>
      </c>
      <c r="H450" s="32" t="s">
        <v>352</v>
      </c>
      <c r="I450" s="31" t="s">
        <v>1238</v>
      </c>
      <c r="J450" s="31">
        <v>99</v>
      </c>
      <c r="K450" s="33" t="s">
        <v>699</v>
      </c>
      <c r="L450" s="33" t="s">
        <v>709</v>
      </c>
      <c r="M450" s="34" t="s">
        <v>727</v>
      </c>
      <c r="N450" s="34" t="s">
        <v>1727</v>
      </c>
      <c r="O450" s="35">
        <v>1</v>
      </c>
      <c r="P450" s="35"/>
      <c r="Q450" s="32"/>
      <c r="S450" s="1">
        <f t="shared" si="147"/>
        <v>0</v>
      </c>
      <c r="T450" s="1">
        <f t="shared" si="148"/>
        <v>0</v>
      </c>
      <c r="U450" s="1">
        <f t="shared" si="149"/>
        <v>0</v>
      </c>
      <c r="V450" s="1">
        <f t="shared" si="150"/>
        <v>0</v>
      </c>
      <c r="W450" s="1">
        <f t="shared" si="151"/>
        <v>0</v>
      </c>
      <c r="X450" s="1">
        <f t="shared" si="152"/>
        <v>0</v>
      </c>
      <c r="Y450" s="1">
        <f t="shared" si="153"/>
        <v>0</v>
      </c>
      <c r="Z450" s="1">
        <f t="shared" si="154"/>
        <v>0</v>
      </c>
      <c r="AA450" s="1">
        <f t="shared" si="155"/>
        <v>0</v>
      </c>
      <c r="AB450" s="1">
        <f t="shared" si="156"/>
        <v>0</v>
      </c>
      <c r="AD450" s="1">
        <f t="shared" si="157"/>
        <v>0</v>
      </c>
      <c r="AE450" s="1">
        <f t="shared" si="158"/>
        <v>1</v>
      </c>
      <c r="AF450" s="1">
        <f t="shared" si="159"/>
        <v>0</v>
      </c>
      <c r="AG450" s="1">
        <f t="shared" si="160"/>
        <v>1</v>
      </c>
      <c r="AH450" s="1">
        <f t="shared" si="161"/>
        <v>0</v>
      </c>
      <c r="AI450" s="1">
        <f t="shared" si="162"/>
        <v>1</v>
      </c>
    </row>
    <row r="451" spans="1:35" s="1" customFormat="1" ht="14.25" customHeight="1" x14ac:dyDescent="0.25">
      <c r="A451" s="31">
        <v>1</v>
      </c>
      <c r="B451" s="31">
        <v>2</v>
      </c>
      <c r="C451" s="31">
        <v>7</v>
      </c>
      <c r="D451" s="32" t="s">
        <v>1237</v>
      </c>
      <c r="E451" s="32" t="s">
        <v>28</v>
      </c>
      <c r="F451" s="32" t="s">
        <v>1235</v>
      </c>
      <c r="G451" s="32" t="s">
        <v>39</v>
      </c>
      <c r="H451" s="32" t="s">
        <v>352</v>
      </c>
      <c r="I451" s="31" t="s">
        <v>1239</v>
      </c>
      <c r="J451" s="31">
        <v>9</v>
      </c>
      <c r="K451" s="33" t="s">
        <v>699</v>
      </c>
      <c r="L451" s="33" t="s">
        <v>709</v>
      </c>
      <c r="M451" s="34" t="s">
        <v>727</v>
      </c>
      <c r="N451" s="34" t="s">
        <v>1727</v>
      </c>
      <c r="O451" s="35">
        <v>1</v>
      </c>
      <c r="P451" s="35"/>
      <c r="Q451" s="32"/>
      <c r="S451" s="1">
        <f t="shared" si="147"/>
        <v>0</v>
      </c>
      <c r="T451" s="1">
        <f t="shared" si="148"/>
        <v>0</v>
      </c>
      <c r="U451" s="1">
        <f t="shared" si="149"/>
        <v>0</v>
      </c>
      <c r="V451" s="1">
        <f t="shared" si="150"/>
        <v>0</v>
      </c>
      <c r="W451" s="1">
        <f t="shared" si="151"/>
        <v>0</v>
      </c>
      <c r="X451" s="1">
        <f t="shared" si="152"/>
        <v>0</v>
      </c>
      <c r="Y451" s="1">
        <f t="shared" si="153"/>
        <v>0</v>
      </c>
      <c r="Z451" s="1">
        <f t="shared" si="154"/>
        <v>0</v>
      </c>
      <c r="AA451" s="1">
        <f t="shared" si="155"/>
        <v>1</v>
      </c>
      <c r="AB451" s="1">
        <f t="shared" si="156"/>
        <v>0</v>
      </c>
      <c r="AD451" s="1">
        <f t="shared" si="157"/>
        <v>0</v>
      </c>
      <c r="AE451" s="1">
        <f t="shared" si="158"/>
        <v>1</v>
      </c>
      <c r="AF451" s="1">
        <f t="shared" si="159"/>
        <v>0</v>
      </c>
      <c r="AG451" s="1">
        <f t="shared" si="160"/>
        <v>0</v>
      </c>
      <c r="AH451" s="1">
        <f t="shared" si="161"/>
        <v>0</v>
      </c>
      <c r="AI451" s="1">
        <f t="shared" si="162"/>
        <v>0</v>
      </c>
    </row>
    <row r="452" spans="1:35" s="1" customFormat="1" ht="14.25" customHeight="1" x14ac:dyDescent="0.25">
      <c r="A452" s="31">
        <v>1</v>
      </c>
      <c r="B452" s="31">
        <v>2</v>
      </c>
      <c r="C452" s="31">
        <v>7</v>
      </c>
      <c r="D452" s="32" t="s">
        <v>1237</v>
      </c>
      <c r="E452" s="32" t="s">
        <v>28</v>
      </c>
      <c r="F452" s="36" t="s">
        <v>1808</v>
      </c>
      <c r="G452" s="36" t="s">
        <v>257</v>
      </c>
      <c r="H452" s="32" t="s">
        <v>352</v>
      </c>
      <c r="I452" s="37" t="s">
        <v>30</v>
      </c>
      <c r="J452" s="31">
        <v>8</v>
      </c>
      <c r="K452" s="33" t="s">
        <v>699</v>
      </c>
      <c r="L452" s="33" t="s">
        <v>709</v>
      </c>
      <c r="M452" s="34" t="s">
        <v>727</v>
      </c>
      <c r="N452" s="34" t="s">
        <v>1727</v>
      </c>
      <c r="O452" s="35">
        <v>1</v>
      </c>
      <c r="P452" s="35"/>
      <c r="Q452" s="32"/>
      <c r="S452" s="1">
        <f t="shared" si="147"/>
        <v>0</v>
      </c>
      <c r="T452" s="1">
        <f t="shared" si="148"/>
        <v>0</v>
      </c>
      <c r="U452" s="1">
        <f t="shared" si="149"/>
        <v>0</v>
      </c>
      <c r="V452" s="1">
        <f t="shared" si="150"/>
        <v>0</v>
      </c>
      <c r="W452" s="1">
        <f t="shared" si="151"/>
        <v>0</v>
      </c>
      <c r="X452" s="1">
        <f t="shared" si="152"/>
        <v>0</v>
      </c>
      <c r="Y452" s="1">
        <f t="shared" si="153"/>
        <v>0</v>
      </c>
      <c r="Z452" s="1">
        <f t="shared" si="154"/>
        <v>1</v>
      </c>
      <c r="AA452" s="1">
        <f t="shared" si="155"/>
        <v>0</v>
      </c>
      <c r="AB452" s="1">
        <f t="shared" si="156"/>
        <v>0</v>
      </c>
      <c r="AD452" s="1">
        <f t="shared" si="157"/>
        <v>0</v>
      </c>
      <c r="AE452" s="1">
        <f t="shared" si="158"/>
        <v>1</v>
      </c>
      <c r="AF452" s="1">
        <f t="shared" si="159"/>
        <v>0</v>
      </c>
      <c r="AG452" s="1">
        <f t="shared" si="160"/>
        <v>0</v>
      </c>
      <c r="AH452" s="1">
        <f t="shared" si="161"/>
        <v>0</v>
      </c>
      <c r="AI452" s="1">
        <f t="shared" si="162"/>
        <v>0</v>
      </c>
    </row>
    <row r="453" spans="1:35" s="1" customFormat="1" ht="14.25" customHeight="1" x14ac:dyDescent="0.25">
      <c r="A453" s="31">
        <v>0</v>
      </c>
      <c r="B453" s="31">
        <v>2</v>
      </c>
      <c r="C453" s="31">
        <v>7</v>
      </c>
      <c r="D453" s="32" t="s">
        <v>51</v>
      </c>
      <c r="E453" s="32" t="s">
        <v>28</v>
      </c>
      <c r="F453" s="32" t="s">
        <v>670</v>
      </c>
      <c r="G453" s="32" t="s">
        <v>184</v>
      </c>
      <c r="H453" s="32" t="s">
        <v>352</v>
      </c>
      <c r="I453" s="31" t="s">
        <v>388</v>
      </c>
      <c r="J453" s="31">
        <v>99</v>
      </c>
      <c r="K453" s="33" t="s">
        <v>708</v>
      </c>
      <c r="L453" s="33" t="s">
        <v>709</v>
      </c>
      <c r="M453" s="34" t="s">
        <v>727</v>
      </c>
      <c r="N453" s="34" t="s">
        <v>1733</v>
      </c>
      <c r="O453" s="35">
        <v>1</v>
      </c>
      <c r="P453" s="35"/>
      <c r="Q453" s="32"/>
      <c r="S453" s="1">
        <f t="shared" si="147"/>
        <v>0</v>
      </c>
      <c r="T453" s="1">
        <f t="shared" si="148"/>
        <v>0</v>
      </c>
      <c r="U453" s="1">
        <f t="shared" si="149"/>
        <v>0</v>
      </c>
      <c r="V453" s="1">
        <f t="shared" si="150"/>
        <v>0</v>
      </c>
      <c r="W453" s="1">
        <f t="shared" si="151"/>
        <v>0</v>
      </c>
      <c r="X453" s="1">
        <f t="shared" si="152"/>
        <v>0</v>
      </c>
      <c r="Y453" s="1">
        <f t="shared" si="153"/>
        <v>0</v>
      </c>
      <c r="Z453" s="1">
        <f t="shared" si="154"/>
        <v>0</v>
      </c>
      <c r="AA453" s="1">
        <f t="shared" si="155"/>
        <v>0</v>
      </c>
      <c r="AB453" s="1">
        <f t="shared" si="156"/>
        <v>0</v>
      </c>
      <c r="AD453" s="1">
        <f t="shared" si="157"/>
        <v>0</v>
      </c>
      <c r="AE453" s="1">
        <f t="shared" si="158"/>
        <v>1</v>
      </c>
      <c r="AF453" s="1">
        <f t="shared" si="159"/>
        <v>0</v>
      </c>
      <c r="AG453" s="1">
        <f t="shared" si="160"/>
        <v>1</v>
      </c>
      <c r="AH453" s="1">
        <f t="shared" si="161"/>
        <v>0</v>
      </c>
      <c r="AI453" s="1">
        <f t="shared" si="162"/>
        <v>1</v>
      </c>
    </row>
    <row r="454" spans="1:35" s="1" customFormat="1" ht="14.25" customHeight="1" x14ac:dyDescent="0.25">
      <c r="A454" s="44">
        <v>0</v>
      </c>
      <c r="B454" s="44">
        <v>2</v>
      </c>
      <c r="C454" s="44">
        <v>7</v>
      </c>
      <c r="D454" s="45" t="s">
        <v>1068</v>
      </c>
      <c r="E454" s="45" t="s">
        <v>28</v>
      </c>
      <c r="F454" s="45" t="s">
        <v>985</v>
      </c>
      <c r="G454" s="45" t="s">
        <v>239</v>
      </c>
      <c r="H454" s="45" t="s">
        <v>352</v>
      </c>
      <c r="I454" s="44" t="s">
        <v>1093</v>
      </c>
      <c r="J454" s="44">
        <v>1</v>
      </c>
      <c r="K454" s="46" t="s">
        <v>708</v>
      </c>
      <c r="L454" s="46" t="s">
        <v>709</v>
      </c>
      <c r="M454" s="47" t="s">
        <v>727</v>
      </c>
      <c r="N454" s="47" t="s">
        <v>1719</v>
      </c>
      <c r="O454" s="48"/>
      <c r="P454" s="48"/>
      <c r="Q454" s="45"/>
      <c r="S454" s="1">
        <f t="shared" si="147"/>
        <v>1</v>
      </c>
      <c r="T454" s="1">
        <f t="shared" si="148"/>
        <v>0</v>
      </c>
      <c r="U454" s="1">
        <f t="shared" si="149"/>
        <v>0</v>
      </c>
      <c r="V454" s="1">
        <f t="shared" si="150"/>
        <v>0</v>
      </c>
      <c r="W454" s="1">
        <f t="shared" si="151"/>
        <v>0</v>
      </c>
      <c r="X454" s="1">
        <f t="shared" si="152"/>
        <v>0</v>
      </c>
      <c r="Y454" s="1">
        <f t="shared" si="153"/>
        <v>0</v>
      </c>
      <c r="Z454" s="1">
        <f t="shared" si="154"/>
        <v>0</v>
      </c>
      <c r="AA454" s="1">
        <f t="shared" si="155"/>
        <v>0</v>
      </c>
      <c r="AB454" s="1">
        <f t="shared" si="156"/>
        <v>0</v>
      </c>
      <c r="AD454" s="1">
        <f t="shared" si="157"/>
        <v>0</v>
      </c>
      <c r="AE454" s="1">
        <f t="shared" si="158"/>
        <v>0</v>
      </c>
      <c r="AF454" s="1">
        <f t="shared" si="159"/>
        <v>0</v>
      </c>
      <c r="AG454" s="1">
        <f t="shared" si="160"/>
        <v>0</v>
      </c>
      <c r="AH454" s="1">
        <f t="shared" si="161"/>
        <v>0</v>
      </c>
      <c r="AI454" s="1">
        <f t="shared" si="162"/>
        <v>1</v>
      </c>
    </row>
    <row r="455" spans="1:35" s="1" customFormat="1" ht="14.25" customHeight="1" x14ac:dyDescent="0.25">
      <c r="A455" s="44">
        <v>1</v>
      </c>
      <c r="B455" s="44">
        <v>2</v>
      </c>
      <c r="C455" s="44">
        <v>7</v>
      </c>
      <c r="D455" s="45" t="s">
        <v>1068</v>
      </c>
      <c r="E455" s="45" t="s">
        <v>28</v>
      </c>
      <c r="F455" s="45" t="s">
        <v>986</v>
      </c>
      <c r="G455" s="45" t="s">
        <v>1086</v>
      </c>
      <c r="H455" s="45" t="s">
        <v>352</v>
      </c>
      <c r="I455" s="44" t="s">
        <v>1094</v>
      </c>
      <c r="J455" s="44">
        <v>1</v>
      </c>
      <c r="K455" s="46" t="s">
        <v>708</v>
      </c>
      <c r="L455" s="46" t="s">
        <v>709</v>
      </c>
      <c r="M455" s="47" t="s">
        <v>727</v>
      </c>
      <c r="N455" s="47" t="s">
        <v>1719</v>
      </c>
      <c r="O455" s="48"/>
      <c r="P455" s="48"/>
      <c r="Q455" s="45"/>
      <c r="S455" s="1">
        <f t="shared" si="147"/>
        <v>1</v>
      </c>
      <c r="T455" s="1">
        <f t="shared" si="148"/>
        <v>0</v>
      </c>
      <c r="U455" s="1">
        <f t="shared" si="149"/>
        <v>0</v>
      </c>
      <c r="V455" s="1">
        <f t="shared" si="150"/>
        <v>0</v>
      </c>
      <c r="W455" s="1">
        <f t="shared" si="151"/>
        <v>0</v>
      </c>
      <c r="X455" s="1">
        <f t="shared" si="152"/>
        <v>0</v>
      </c>
      <c r="Y455" s="1">
        <f t="shared" si="153"/>
        <v>0</v>
      </c>
      <c r="Z455" s="1">
        <f t="shared" si="154"/>
        <v>0</v>
      </c>
      <c r="AA455" s="1">
        <f t="shared" si="155"/>
        <v>0</v>
      </c>
      <c r="AB455" s="1">
        <f t="shared" si="156"/>
        <v>0</v>
      </c>
      <c r="AD455" s="1">
        <f t="shared" si="157"/>
        <v>0</v>
      </c>
      <c r="AE455" s="1">
        <f t="shared" si="158"/>
        <v>0</v>
      </c>
      <c r="AF455" s="1">
        <f t="shared" si="159"/>
        <v>0</v>
      </c>
      <c r="AG455" s="1">
        <f t="shared" si="160"/>
        <v>0</v>
      </c>
      <c r="AH455" s="1">
        <f t="shared" si="161"/>
        <v>0</v>
      </c>
      <c r="AI455" s="1">
        <f t="shared" si="162"/>
        <v>0</v>
      </c>
    </row>
    <row r="456" spans="1:35" s="1" customFormat="1" ht="14.25" customHeight="1" x14ac:dyDescent="0.25">
      <c r="A456" s="31">
        <v>0</v>
      </c>
      <c r="B456" s="31">
        <v>2</v>
      </c>
      <c r="C456" s="31">
        <v>7</v>
      </c>
      <c r="D456" s="32" t="s">
        <v>1622</v>
      </c>
      <c r="E456" s="32" t="s">
        <v>155</v>
      </c>
      <c r="F456" s="32" t="s">
        <v>1475</v>
      </c>
      <c r="G456" s="32" t="s">
        <v>1476</v>
      </c>
      <c r="H456" s="32" t="s">
        <v>352</v>
      </c>
      <c r="I456" s="31" t="s">
        <v>1477</v>
      </c>
      <c r="J456" s="31">
        <v>99</v>
      </c>
      <c r="K456" s="33" t="s">
        <v>942</v>
      </c>
      <c r="L456" s="33" t="s">
        <v>718</v>
      </c>
      <c r="M456" s="34" t="s">
        <v>728</v>
      </c>
      <c r="N456" s="34" t="s">
        <v>1732</v>
      </c>
      <c r="O456" s="35">
        <v>1</v>
      </c>
      <c r="P456" s="35"/>
      <c r="Q456" s="32"/>
      <c r="S456" s="1">
        <f t="shared" si="147"/>
        <v>0</v>
      </c>
      <c r="T456" s="1">
        <f t="shared" si="148"/>
        <v>0</v>
      </c>
      <c r="U456" s="1">
        <f t="shared" si="149"/>
        <v>0</v>
      </c>
      <c r="V456" s="1">
        <f t="shared" si="150"/>
        <v>0</v>
      </c>
      <c r="W456" s="1">
        <f t="shared" si="151"/>
        <v>0</v>
      </c>
      <c r="X456" s="1">
        <f t="shared" si="152"/>
        <v>0</v>
      </c>
      <c r="Y456" s="1">
        <f t="shared" si="153"/>
        <v>0</v>
      </c>
      <c r="Z456" s="1">
        <f t="shared" si="154"/>
        <v>0</v>
      </c>
      <c r="AA456" s="1">
        <f t="shared" si="155"/>
        <v>0</v>
      </c>
      <c r="AB456" s="1">
        <f t="shared" si="156"/>
        <v>0</v>
      </c>
      <c r="AD456" s="1">
        <f t="shared" si="157"/>
        <v>0</v>
      </c>
      <c r="AE456" s="1">
        <f t="shared" si="158"/>
        <v>1</v>
      </c>
      <c r="AF456" s="1">
        <f t="shared" si="159"/>
        <v>0</v>
      </c>
      <c r="AG456" s="1">
        <f t="shared" si="160"/>
        <v>1</v>
      </c>
      <c r="AH456" s="1">
        <f t="shared" si="161"/>
        <v>0</v>
      </c>
      <c r="AI456" s="1">
        <f t="shared" si="162"/>
        <v>1</v>
      </c>
    </row>
    <row r="457" spans="1:35" s="1" customFormat="1" ht="14.25" customHeight="1" x14ac:dyDescent="0.25">
      <c r="A457" s="44">
        <v>0</v>
      </c>
      <c r="B457" s="44">
        <v>2</v>
      </c>
      <c r="C457" s="44">
        <v>7</v>
      </c>
      <c r="D457" s="45" t="s">
        <v>82</v>
      </c>
      <c r="E457" s="45" t="s">
        <v>28</v>
      </c>
      <c r="F457" s="45" t="s">
        <v>273</v>
      </c>
      <c r="G457" s="45" t="s">
        <v>274</v>
      </c>
      <c r="H457" s="45" t="s">
        <v>352</v>
      </c>
      <c r="I457" s="44" t="s">
        <v>427</v>
      </c>
      <c r="J457" s="44">
        <v>7</v>
      </c>
      <c r="K457" s="46" t="s">
        <v>942</v>
      </c>
      <c r="L457" s="46" t="s">
        <v>941</v>
      </c>
      <c r="M457" s="47" t="s">
        <v>955</v>
      </c>
      <c r="N457" s="47" t="s">
        <v>1793</v>
      </c>
      <c r="O457" s="48"/>
      <c r="P457" s="48"/>
      <c r="Q457" s="45"/>
      <c r="S457" s="1">
        <f t="shared" si="147"/>
        <v>0</v>
      </c>
      <c r="T457" s="1">
        <f t="shared" si="148"/>
        <v>0</v>
      </c>
      <c r="U457" s="1">
        <f t="shared" si="149"/>
        <v>0</v>
      </c>
      <c r="V457" s="1">
        <f t="shared" si="150"/>
        <v>0</v>
      </c>
      <c r="W457" s="1">
        <f t="shared" si="151"/>
        <v>0</v>
      </c>
      <c r="X457" s="1">
        <f t="shared" si="152"/>
        <v>0</v>
      </c>
      <c r="Y457" s="1">
        <f t="shared" si="153"/>
        <v>1</v>
      </c>
      <c r="Z457" s="1">
        <f t="shared" si="154"/>
        <v>0</v>
      </c>
      <c r="AA457" s="1">
        <f t="shared" si="155"/>
        <v>0</v>
      </c>
      <c r="AB457" s="1">
        <f t="shared" si="156"/>
        <v>0</v>
      </c>
      <c r="AD457" s="1">
        <f t="shared" si="157"/>
        <v>0</v>
      </c>
      <c r="AE457" s="1">
        <f t="shared" si="158"/>
        <v>0</v>
      </c>
      <c r="AF457" s="1">
        <f t="shared" si="159"/>
        <v>0</v>
      </c>
      <c r="AG457" s="1">
        <f t="shared" si="160"/>
        <v>0</v>
      </c>
      <c r="AH457" s="1">
        <f t="shared" si="161"/>
        <v>0</v>
      </c>
      <c r="AI457" s="1">
        <f t="shared" si="162"/>
        <v>1</v>
      </c>
    </row>
    <row r="458" spans="1:35" s="1" customFormat="1" ht="14.25" customHeight="1" x14ac:dyDescent="0.25">
      <c r="A458" s="44">
        <v>0</v>
      </c>
      <c r="B458" s="44">
        <v>2</v>
      </c>
      <c r="C458" s="44">
        <v>7</v>
      </c>
      <c r="D458" s="45" t="s">
        <v>76</v>
      </c>
      <c r="E458" s="45" t="s">
        <v>28</v>
      </c>
      <c r="F458" s="45" t="s">
        <v>1665</v>
      </c>
      <c r="G458" s="45" t="s">
        <v>189</v>
      </c>
      <c r="H458" s="45" t="s">
        <v>352</v>
      </c>
      <c r="I458" s="44" t="s">
        <v>421</v>
      </c>
      <c r="J458" s="44">
        <v>99</v>
      </c>
      <c r="K458" s="46" t="s">
        <v>941</v>
      </c>
      <c r="L458" s="46" t="s">
        <v>709</v>
      </c>
      <c r="M458" s="47" t="s">
        <v>727</v>
      </c>
      <c r="N458" s="47" t="s">
        <v>1719</v>
      </c>
      <c r="O458" s="48"/>
      <c r="P458" s="48"/>
      <c r="Q458" s="45"/>
      <c r="S458" s="1">
        <f t="shared" si="147"/>
        <v>0</v>
      </c>
      <c r="T458" s="1">
        <f t="shared" si="148"/>
        <v>0</v>
      </c>
      <c r="U458" s="1">
        <f t="shared" si="149"/>
        <v>0</v>
      </c>
      <c r="V458" s="1">
        <f t="shared" si="150"/>
        <v>0</v>
      </c>
      <c r="W458" s="1">
        <f t="shared" si="151"/>
        <v>0</v>
      </c>
      <c r="X458" s="1">
        <f t="shared" si="152"/>
        <v>0</v>
      </c>
      <c r="Y458" s="1">
        <f t="shared" si="153"/>
        <v>0</v>
      </c>
      <c r="Z458" s="1">
        <f t="shared" si="154"/>
        <v>0</v>
      </c>
      <c r="AA458" s="1">
        <f t="shared" si="155"/>
        <v>0</v>
      </c>
      <c r="AB458" s="1">
        <f t="shared" si="156"/>
        <v>0</v>
      </c>
      <c r="AD458" s="1">
        <f t="shared" si="157"/>
        <v>0</v>
      </c>
      <c r="AE458" s="1">
        <f t="shared" si="158"/>
        <v>0</v>
      </c>
      <c r="AF458" s="1">
        <f t="shared" si="159"/>
        <v>0</v>
      </c>
      <c r="AG458" s="1">
        <f t="shared" si="160"/>
        <v>0</v>
      </c>
      <c r="AH458" s="1">
        <f t="shared" si="161"/>
        <v>0</v>
      </c>
      <c r="AI458" s="1">
        <f t="shared" si="162"/>
        <v>1</v>
      </c>
    </row>
    <row r="459" spans="1:35" s="1" customFormat="1" ht="14.25" customHeight="1" x14ac:dyDescent="0.25">
      <c r="A459" s="31">
        <v>0</v>
      </c>
      <c r="B459" s="31">
        <v>2</v>
      </c>
      <c r="C459" s="31">
        <v>7</v>
      </c>
      <c r="D459" s="36" t="s">
        <v>2013</v>
      </c>
      <c r="E459" s="32" t="s">
        <v>2017</v>
      </c>
      <c r="F459" s="36" t="s">
        <v>2014</v>
      </c>
      <c r="G459" s="36" t="s">
        <v>2015</v>
      </c>
      <c r="H459" s="36" t="s">
        <v>352</v>
      </c>
      <c r="I459" s="37" t="s">
        <v>2016</v>
      </c>
      <c r="J459" s="31">
        <v>99</v>
      </c>
      <c r="K459" s="33" t="s">
        <v>699</v>
      </c>
      <c r="L459" s="33">
        <v>20</v>
      </c>
      <c r="M459" s="34" t="s">
        <v>2019</v>
      </c>
      <c r="N459" s="34" t="s">
        <v>1732</v>
      </c>
      <c r="O459" s="35">
        <v>1</v>
      </c>
      <c r="P459" s="35"/>
      <c r="Q459" s="36" t="s">
        <v>2018</v>
      </c>
      <c r="S459" s="1">
        <f t="shared" si="147"/>
        <v>0</v>
      </c>
      <c r="T459" s="1">
        <f t="shared" si="148"/>
        <v>0</v>
      </c>
      <c r="U459" s="1">
        <f t="shared" si="149"/>
        <v>0</v>
      </c>
      <c r="V459" s="1">
        <f t="shared" si="150"/>
        <v>0</v>
      </c>
      <c r="W459" s="1">
        <f t="shared" si="151"/>
        <v>0</v>
      </c>
      <c r="X459" s="1">
        <f t="shared" si="152"/>
        <v>0</v>
      </c>
      <c r="Y459" s="1">
        <f t="shared" si="153"/>
        <v>0</v>
      </c>
      <c r="Z459" s="1">
        <f t="shared" si="154"/>
        <v>0</v>
      </c>
      <c r="AA459" s="1">
        <f t="shared" si="155"/>
        <v>0</v>
      </c>
      <c r="AB459" s="1">
        <f t="shared" si="156"/>
        <v>0</v>
      </c>
      <c r="AD459" s="1">
        <f t="shared" si="157"/>
        <v>0</v>
      </c>
      <c r="AE459" s="1">
        <f t="shared" si="158"/>
        <v>1</v>
      </c>
      <c r="AF459" s="1">
        <f t="shared" si="159"/>
        <v>0</v>
      </c>
      <c r="AG459" s="1">
        <f t="shared" si="160"/>
        <v>1</v>
      </c>
      <c r="AH459" s="1">
        <f t="shared" si="161"/>
        <v>0</v>
      </c>
      <c r="AI459" s="1">
        <f t="shared" si="162"/>
        <v>1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2" t="s">
        <v>1624</v>
      </c>
      <c r="E460" s="32" t="s">
        <v>162</v>
      </c>
      <c r="F460" s="32" t="s">
        <v>243</v>
      </c>
      <c r="G460" s="32" t="s">
        <v>217</v>
      </c>
      <c r="H460" s="32" t="s">
        <v>352</v>
      </c>
      <c r="I460" s="31" t="s">
        <v>406</v>
      </c>
      <c r="J460" s="31">
        <v>99</v>
      </c>
      <c r="K460" s="33" t="s">
        <v>709</v>
      </c>
      <c r="L460" s="33" t="s">
        <v>718</v>
      </c>
      <c r="M460" s="34" t="s">
        <v>728</v>
      </c>
      <c r="N460" s="34" t="s">
        <v>1711</v>
      </c>
      <c r="O460" s="35">
        <v>1</v>
      </c>
      <c r="P460" s="35">
        <v>1</v>
      </c>
      <c r="Q460" s="32"/>
      <c r="S460" s="1">
        <f t="shared" si="147"/>
        <v>0</v>
      </c>
      <c r="T460" s="1">
        <f t="shared" si="148"/>
        <v>0</v>
      </c>
      <c r="U460" s="1">
        <f t="shared" si="149"/>
        <v>0</v>
      </c>
      <c r="V460" s="1">
        <f t="shared" si="150"/>
        <v>0</v>
      </c>
      <c r="W460" s="1">
        <f t="shared" si="151"/>
        <v>0</v>
      </c>
      <c r="X460" s="1">
        <f t="shared" si="152"/>
        <v>0</v>
      </c>
      <c r="Y460" s="1">
        <f t="shared" si="153"/>
        <v>0</v>
      </c>
      <c r="Z460" s="1">
        <f t="shared" si="154"/>
        <v>0</v>
      </c>
      <c r="AA460" s="1">
        <f t="shared" si="155"/>
        <v>0</v>
      </c>
      <c r="AB460" s="1">
        <f t="shared" si="156"/>
        <v>0</v>
      </c>
      <c r="AD460" s="1">
        <f t="shared" si="157"/>
        <v>1</v>
      </c>
      <c r="AE460" s="1">
        <f t="shared" si="158"/>
        <v>0</v>
      </c>
      <c r="AF460" s="1">
        <f t="shared" si="159"/>
        <v>1</v>
      </c>
      <c r="AG460" s="1">
        <f t="shared" si="160"/>
        <v>0</v>
      </c>
      <c r="AH460" s="1">
        <f t="shared" si="161"/>
        <v>1</v>
      </c>
      <c r="AI460" s="1">
        <f t="shared" si="162"/>
        <v>0</v>
      </c>
    </row>
    <row r="461" spans="1:35" s="1" customFormat="1" ht="14.25" customHeight="1" x14ac:dyDescent="0.25">
      <c r="A461" s="31">
        <v>0</v>
      </c>
      <c r="B461" s="31">
        <v>2</v>
      </c>
      <c r="C461" s="31">
        <v>7</v>
      </c>
      <c r="D461" s="32" t="s">
        <v>1522</v>
      </c>
      <c r="E461" s="32" t="s">
        <v>155</v>
      </c>
      <c r="F461" s="32" t="s">
        <v>1523</v>
      </c>
      <c r="G461" s="32" t="s">
        <v>39</v>
      </c>
      <c r="H461" s="32" t="s">
        <v>352</v>
      </c>
      <c r="I461" s="31" t="s">
        <v>1524</v>
      </c>
      <c r="J461" s="31">
        <v>99</v>
      </c>
      <c r="K461" s="33" t="s">
        <v>709</v>
      </c>
      <c r="L461" s="33" t="s">
        <v>718</v>
      </c>
      <c r="M461" s="34" t="s">
        <v>728</v>
      </c>
      <c r="N461" s="34" t="s">
        <v>1732</v>
      </c>
      <c r="O461" s="35">
        <v>1</v>
      </c>
      <c r="P461" s="35"/>
      <c r="Q461" s="32"/>
      <c r="S461" s="1">
        <f t="shared" si="147"/>
        <v>0</v>
      </c>
      <c r="T461" s="1">
        <f t="shared" si="148"/>
        <v>0</v>
      </c>
      <c r="U461" s="1">
        <f t="shared" si="149"/>
        <v>0</v>
      </c>
      <c r="V461" s="1">
        <f t="shared" si="150"/>
        <v>0</v>
      </c>
      <c r="W461" s="1">
        <f t="shared" si="151"/>
        <v>0</v>
      </c>
      <c r="X461" s="1">
        <f t="shared" si="152"/>
        <v>0</v>
      </c>
      <c r="Y461" s="1">
        <f t="shared" si="153"/>
        <v>0</v>
      </c>
      <c r="Z461" s="1">
        <f t="shared" si="154"/>
        <v>0</v>
      </c>
      <c r="AA461" s="1">
        <f t="shared" si="155"/>
        <v>0</v>
      </c>
      <c r="AB461" s="1">
        <f t="shared" si="156"/>
        <v>0</v>
      </c>
      <c r="AD461" s="1">
        <f t="shared" si="157"/>
        <v>0</v>
      </c>
      <c r="AE461" s="1">
        <f t="shared" si="158"/>
        <v>1</v>
      </c>
      <c r="AF461" s="1">
        <f t="shared" si="159"/>
        <v>0</v>
      </c>
      <c r="AG461" s="1">
        <f t="shared" si="160"/>
        <v>1</v>
      </c>
      <c r="AH461" s="1">
        <f t="shared" si="161"/>
        <v>0</v>
      </c>
      <c r="AI461" s="1">
        <f t="shared" si="162"/>
        <v>1</v>
      </c>
    </row>
    <row r="462" spans="1:35" s="1" customFormat="1" ht="14.25" customHeight="1" x14ac:dyDescent="0.25">
      <c r="A462" s="44">
        <v>0</v>
      </c>
      <c r="B462" s="44">
        <v>2</v>
      </c>
      <c r="C462" s="44">
        <v>7</v>
      </c>
      <c r="D462" s="45" t="s">
        <v>1246</v>
      </c>
      <c r="E462" s="45" t="s">
        <v>1508</v>
      </c>
      <c r="F462" s="45" t="s">
        <v>1339</v>
      </c>
      <c r="G462" s="45" t="s">
        <v>185</v>
      </c>
      <c r="H462" s="45" t="s">
        <v>352</v>
      </c>
      <c r="I462" s="44" t="s">
        <v>1352</v>
      </c>
      <c r="J462" s="44">
        <v>1</v>
      </c>
      <c r="K462" s="46" t="s">
        <v>709</v>
      </c>
      <c r="L462" s="46" t="s">
        <v>712</v>
      </c>
      <c r="M462" s="47" t="s">
        <v>1422</v>
      </c>
      <c r="N462" s="47" t="s">
        <v>1719</v>
      </c>
      <c r="O462" s="48"/>
      <c r="P462" s="48"/>
      <c r="Q462" s="45"/>
      <c r="S462" s="1">
        <f t="shared" si="147"/>
        <v>1</v>
      </c>
      <c r="T462" s="1">
        <f t="shared" si="148"/>
        <v>0</v>
      </c>
      <c r="U462" s="1">
        <f t="shared" si="149"/>
        <v>0</v>
      </c>
      <c r="V462" s="1">
        <f t="shared" si="150"/>
        <v>0</v>
      </c>
      <c r="W462" s="1">
        <f t="shared" si="151"/>
        <v>0</v>
      </c>
      <c r="X462" s="1">
        <f t="shared" si="152"/>
        <v>0</v>
      </c>
      <c r="Y462" s="1">
        <f t="shared" si="153"/>
        <v>0</v>
      </c>
      <c r="Z462" s="1">
        <f t="shared" si="154"/>
        <v>0</v>
      </c>
      <c r="AA462" s="1">
        <f t="shared" si="155"/>
        <v>0</v>
      </c>
      <c r="AB462" s="1">
        <f t="shared" si="156"/>
        <v>0</v>
      </c>
      <c r="AD462" s="1">
        <f t="shared" si="157"/>
        <v>0</v>
      </c>
      <c r="AE462" s="1">
        <f t="shared" si="158"/>
        <v>0</v>
      </c>
      <c r="AF462" s="1">
        <f t="shared" si="159"/>
        <v>0</v>
      </c>
      <c r="AG462" s="1">
        <f t="shared" si="160"/>
        <v>0</v>
      </c>
      <c r="AH462" s="1">
        <f t="shared" si="161"/>
        <v>0</v>
      </c>
      <c r="AI462" s="1">
        <f t="shared" si="162"/>
        <v>1</v>
      </c>
    </row>
    <row r="463" spans="1:35" s="1" customFormat="1" ht="14.25" customHeight="1" x14ac:dyDescent="0.25">
      <c r="A463" s="31">
        <v>0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961</v>
      </c>
      <c r="G463" s="32" t="s">
        <v>1088</v>
      </c>
      <c r="H463" s="32" t="s">
        <v>352</v>
      </c>
      <c r="I463" s="31" t="s">
        <v>1095</v>
      </c>
      <c r="J463" s="31">
        <v>99</v>
      </c>
      <c r="K463" s="33" t="s">
        <v>709</v>
      </c>
      <c r="L463" s="33" t="s">
        <v>709</v>
      </c>
      <c r="M463" s="34" t="s">
        <v>727</v>
      </c>
      <c r="N463" s="34" t="s">
        <v>1727</v>
      </c>
      <c r="O463" s="35">
        <v>1</v>
      </c>
      <c r="P463" s="35"/>
      <c r="Q463" s="32"/>
      <c r="S463" s="1">
        <f t="shared" si="147"/>
        <v>0</v>
      </c>
      <c r="T463" s="1">
        <f t="shared" si="148"/>
        <v>0</v>
      </c>
      <c r="U463" s="1">
        <f t="shared" si="149"/>
        <v>0</v>
      </c>
      <c r="V463" s="1">
        <f t="shared" si="150"/>
        <v>0</v>
      </c>
      <c r="W463" s="1">
        <f t="shared" si="151"/>
        <v>0</v>
      </c>
      <c r="X463" s="1">
        <f t="shared" si="152"/>
        <v>0</v>
      </c>
      <c r="Y463" s="1">
        <f t="shared" si="153"/>
        <v>0</v>
      </c>
      <c r="Z463" s="1">
        <f t="shared" si="154"/>
        <v>0</v>
      </c>
      <c r="AA463" s="1">
        <f t="shared" si="155"/>
        <v>0</v>
      </c>
      <c r="AB463" s="1">
        <f t="shared" si="156"/>
        <v>0</v>
      </c>
      <c r="AD463" s="1">
        <f t="shared" si="157"/>
        <v>0</v>
      </c>
      <c r="AE463" s="1">
        <f t="shared" si="158"/>
        <v>1</v>
      </c>
      <c r="AF463" s="1">
        <f t="shared" si="159"/>
        <v>0</v>
      </c>
      <c r="AG463" s="1">
        <f t="shared" si="160"/>
        <v>1</v>
      </c>
      <c r="AH463" s="1">
        <f t="shared" si="161"/>
        <v>0</v>
      </c>
      <c r="AI463" s="1">
        <f t="shared" si="162"/>
        <v>1</v>
      </c>
    </row>
    <row r="464" spans="1:35" s="1" customFormat="1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244</v>
      </c>
      <c r="G464" s="32" t="s">
        <v>223</v>
      </c>
      <c r="H464" s="32" t="s">
        <v>352</v>
      </c>
      <c r="I464" s="31" t="s">
        <v>407</v>
      </c>
      <c r="J464" s="31">
        <v>99</v>
      </c>
      <c r="K464" s="33" t="s">
        <v>709</v>
      </c>
      <c r="L464" s="33" t="s">
        <v>709</v>
      </c>
      <c r="M464" s="34" t="s">
        <v>727</v>
      </c>
      <c r="N464" s="34" t="s">
        <v>1727</v>
      </c>
      <c r="O464" s="35">
        <v>1</v>
      </c>
      <c r="P464" s="35"/>
      <c r="Q464" s="32"/>
      <c r="S464" s="1">
        <f t="shared" si="147"/>
        <v>0</v>
      </c>
      <c r="T464" s="1">
        <f t="shared" si="148"/>
        <v>0</v>
      </c>
      <c r="U464" s="1">
        <f t="shared" si="149"/>
        <v>0</v>
      </c>
      <c r="V464" s="1">
        <f t="shared" si="150"/>
        <v>0</v>
      </c>
      <c r="W464" s="1">
        <f t="shared" si="151"/>
        <v>0</v>
      </c>
      <c r="X464" s="1">
        <f t="shared" si="152"/>
        <v>0</v>
      </c>
      <c r="Y464" s="1">
        <f t="shared" si="153"/>
        <v>0</v>
      </c>
      <c r="Z464" s="1">
        <f t="shared" si="154"/>
        <v>0</v>
      </c>
      <c r="AA464" s="1">
        <f t="shared" si="155"/>
        <v>0</v>
      </c>
      <c r="AB464" s="1">
        <f t="shared" si="156"/>
        <v>0</v>
      </c>
      <c r="AD464" s="1">
        <f t="shared" si="157"/>
        <v>0</v>
      </c>
      <c r="AE464" s="1">
        <f t="shared" si="158"/>
        <v>1</v>
      </c>
      <c r="AF464" s="1">
        <f t="shared" ref="AF464:AF498" si="163">+O464*P464*(1-A464)</f>
        <v>0</v>
      </c>
      <c r="AG464" s="1">
        <f t="shared" ref="AG464:AG498" si="164">O464*(1-P464)*(1-A464)</f>
        <v>0</v>
      </c>
      <c r="AH464" s="1">
        <f t="shared" ref="AH464:AH498" si="165">+P464*(1-A464)</f>
        <v>0</v>
      </c>
      <c r="AI464" s="1">
        <f t="shared" ref="AI464:AI498" si="166">+(1-A464)*(1-P464)</f>
        <v>0</v>
      </c>
    </row>
    <row r="465" spans="1:35" s="1" customFormat="1" ht="14.25" customHeight="1" x14ac:dyDescent="0.25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245</v>
      </c>
      <c r="G465" s="32" t="s">
        <v>219</v>
      </c>
      <c r="H465" s="32" t="s">
        <v>352</v>
      </c>
      <c r="I465" s="31" t="s">
        <v>408</v>
      </c>
      <c r="J465" s="31">
        <v>8</v>
      </c>
      <c r="K465" s="33" t="s">
        <v>709</v>
      </c>
      <c r="L465" s="33" t="s">
        <v>709</v>
      </c>
      <c r="M465" s="34" t="s">
        <v>727</v>
      </c>
      <c r="N465" s="34" t="s">
        <v>1727</v>
      </c>
      <c r="O465" s="35">
        <v>1</v>
      </c>
      <c r="P465" s="35"/>
      <c r="Q465" s="32" t="s">
        <v>1996</v>
      </c>
      <c r="S465" s="1">
        <f t="shared" si="147"/>
        <v>0</v>
      </c>
      <c r="T465" s="1">
        <f t="shared" si="148"/>
        <v>0</v>
      </c>
      <c r="U465" s="1">
        <f t="shared" si="149"/>
        <v>0</v>
      </c>
      <c r="V465" s="1">
        <f t="shared" si="150"/>
        <v>0</v>
      </c>
      <c r="W465" s="1">
        <f t="shared" si="151"/>
        <v>0</v>
      </c>
      <c r="X465" s="1">
        <f t="shared" si="152"/>
        <v>0</v>
      </c>
      <c r="Y465" s="1">
        <f t="shared" si="153"/>
        <v>0</v>
      </c>
      <c r="Z465" s="1">
        <f t="shared" si="154"/>
        <v>1</v>
      </c>
      <c r="AA465" s="1">
        <f t="shared" si="155"/>
        <v>0</v>
      </c>
      <c r="AB465" s="1">
        <f t="shared" si="156"/>
        <v>0</v>
      </c>
      <c r="AD465" s="1">
        <f t="shared" si="157"/>
        <v>0</v>
      </c>
      <c r="AE465" s="1">
        <f t="shared" si="158"/>
        <v>1</v>
      </c>
      <c r="AF465" s="1">
        <f t="shared" si="163"/>
        <v>0</v>
      </c>
      <c r="AG465" s="1">
        <f t="shared" si="164"/>
        <v>0</v>
      </c>
      <c r="AH465" s="1">
        <f t="shared" si="165"/>
        <v>0</v>
      </c>
      <c r="AI465" s="1">
        <f t="shared" si="166"/>
        <v>0</v>
      </c>
    </row>
    <row r="466" spans="1:35" s="1" customFormat="1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1021</v>
      </c>
      <c r="G466" s="32" t="s">
        <v>39</v>
      </c>
      <c r="H466" s="32" t="s">
        <v>352</v>
      </c>
      <c r="I466" s="31" t="s">
        <v>1022</v>
      </c>
      <c r="J466" s="31">
        <v>1</v>
      </c>
      <c r="K466" s="33" t="s">
        <v>709</v>
      </c>
      <c r="L466" s="33" t="s">
        <v>709</v>
      </c>
      <c r="M466" s="34" t="s">
        <v>727</v>
      </c>
      <c r="N466" s="34" t="s">
        <v>1727</v>
      </c>
      <c r="O466" s="35">
        <v>1</v>
      </c>
      <c r="P466" s="35"/>
      <c r="Q466" s="32"/>
      <c r="S466" s="1">
        <f t="shared" si="147"/>
        <v>1</v>
      </c>
      <c r="T466" s="1">
        <f t="shared" si="148"/>
        <v>0</v>
      </c>
      <c r="U466" s="1">
        <f t="shared" si="149"/>
        <v>0</v>
      </c>
      <c r="V466" s="1">
        <f t="shared" si="150"/>
        <v>0</v>
      </c>
      <c r="W466" s="1">
        <f t="shared" si="151"/>
        <v>0</v>
      </c>
      <c r="X466" s="1">
        <f t="shared" si="152"/>
        <v>0</v>
      </c>
      <c r="Y466" s="1">
        <f t="shared" si="153"/>
        <v>0</v>
      </c>
      <c r="Z466" s="1">
        <f t="shared" si="154"/>
        <v>0</v>
      </c>
      <c r="AA466" s="1">
        <f t="shared" si="155"/>
        <v>0</v>
      </c>
      <c r="AB466" s="1">
        <f t="shared" si="156"/>
        <v>0</v>
      </c>
      <c r="AD466" s="1">
        <f t="shared" si="157"/>
        <v>0</v>
      </c>
      <c r="AE466" s="1">
        <f t="shared" si="158"/>
        <v>1</v>
      </c>
      <c r="AF466" s="1">
        <f t="shared" si="163"/>
        <v>0</v>
      </c>
      <c r="AG466" s="1">
        <f t="shared" si="164"/>
        <v>0</v>
      </c>
      <c r="AH466" s="1">
        <f t="shared" si="165"/>
        <v>0</v>
      </c>
      <c r="AI466" s="1">
        <f t="shared" si="166"/>
        <v>0</v>
      </c>
    </row>
    <row r="467" spans="1:35" s="1" customFormat="1" ht="14.25" customHeight="1" x14ac:dyDescent="0.25">
      <c r="A467" s="31">
        <v>1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1023</v>
      </c>
      <c r="G467" s="32" t="s">
        <v>300</v>
      </c>
      <c r="H467" s="32" t="s">
        <v>352</v>
      </c>
      <c r="I467" s="31" t="s">
        <v>1024</v>
      </c>
      <c r="J467" s="31">
        <v>1</v>
      </c>
      <c r="K467" s="33" t="s">
        <v>709</v>
      </c>
      <c r="L467" s="33" t="s">
        <v>709</v>
      </c>
      <c r="M467" s="34" t="s">
        <v>727</v>
      </c>
      <c r="N467" s="34" t="s">
        <v>1727</v>
      </c>
      <c r="O467" s="35">
        <v>1</v>
      </c>
      <c r="P467" s="35"/>
      <c r="Q467" s="32"/>
      <c r="S467" s="1">
        <f t="shared" si="147"/>
        <v>1</v>
      </c>
      <c r="T467" s="1">
        <f t="shared" si="148"/>
        <v>0</v>
      </c>
      <c r="U467" s="1">
        <f t="shared" si="149"/>
        <v>0</v>
      </c>
      <c r="V467" s="1">
        <f t="shared" si="150"/>
        <v>0</v>
      </c>
      <c r="W467" s="1">
        <f t="shared" si="151"/>
        <v>0</v>
      </c>
      <c r="X467" s="1">
        <f t="shared" si="152"/>
        <v>0</v>
      </c>
      <c r="Y467" s="1">
        <f t="shared" si="153"/>
        <v>0</v>
      </c>
      <c r="Z467" s="1">
        <f t="shared" si="154"/>
        <v>0</v>
      </c>
      <c r="AA467" s="1">
        <f t="shared" si="155"/>
        <v>0</v>
      </c>
      <c r="AB467" s="1">
        <f t="shared" si="156"/>
        <v>0</v>
      </c>
      <c r="AD467" s="1">
        <f t="shared" si="157"/>
        <v>0</v>
      </c>
      <c r="AE467" s="1">
        <f t="shared" si="158"/>
        <v>1</v>
      </c>
      <c r="AF467" s="1">
        <f t="shared" si="163"/>
        <v>0</v>
      </c>
      <c r="AG467" s="1">
        <f t="shared" si="164"/>
        <v>0</v>
      </c>
      <c r="AH467" s="1">
        <f t="shared" si="165"/>
        <v>0</v>
      </c>
      <c r="AI467" s="1">
        <f t="shared" si="166"/>
        <v>0</v>
      </c>
    </row>
    <row r="468" spans="1:35" s="1" customFormat="1" ht="14.25" customHeight="1" x14ac:dyDescent="0.25">
      <c r="A468" s="31">
        <v>0</v>
      </c>
      <c r="B468" s="31">
        <v>2</v>
      </c>
      <c r="C468" s="31">
        <v>7</v>
      </c>
      <c r="D468" s="32" t="s">
        <v>1557</v>
      </c>
      <c r="E468" s="32" t="s">
        <v>155</v>
      </c>
      <c r="F468" s="32" t="s">
        <v>1558</v>
      </c>
      <c r="G468" s="32" t="s">
        <v>206</v>
      </c>
      <c r="H468" s="32" t="s">
        <v>352</v>
      </c>
      <c r="I468" s="31" t="s">
        <v>1559</v>
      </c>
      <c r="J468" s="31">
        <v>99</v>
      </c>
      <c r="K468" s="33" t="s">
        <v>708</v>
      </c>
      <c r="L468" s="33" t="s">
        <v>718</v>
      </c>
      <c r="M468" s="34" t="s">
        <v>728</v>
      </c>
      <c r="N468" s="34" t="s">
        <v>1930</v>
      </c>
      <c r="O468" s="35">
        <v>1</v>
      </c>
      <c r="P468" s="35"/>
      <c r="Q468" s="32"/>
      <c r="S468" s="1">
        <f t="shared" ref="S468:S498" si="167">IF(J468=$S$7,1,0)</f>
        <v>0</v>
      </c>
      <c r="T468" s="1">
        <f t="shared" ref="T468:T498" si="168">IF(J468=$T$7,1,0)</f>
        <v>0</v>
      </c>
      <c r="U468" s="1">
        <f t="shared" ref="U468:U498" si="169">IF(J468=$U$7,1,0)</f>
        <v>0</v>
      </c>
      <c r="V468" s="1">
        <f t="shared" ref="V468:V498" si="170">IF(J468=$V$7,1,0)</f>
        <v>0</v>
      </c>
      <c r="W468" s="1">
        <f t="shared" ref="W468:W498" si="171">IF(J468=$W$7,1,0)</f>
        <v>0</v>
      </c>
      <c r="X468" s="1">
        <f t="shared" ref="X468:X498" si="172">IF(J468=$X$7,1,0)</f>
        <v>0</v>
      </c>
      <c r="Y468" s="1">
        <f t="shared" ref="Y468:Y498" si="173">IF(J468=$Y$7,1,0)</f>
        <v>0</v>
      </c>
      <c r="Z468" s="1">
        <f t="shared" ref="Z468:Z498" si="174">IF(J468=$Z$7,1,0)</f>
        <v>0</v>
      </c>
      <c r="AA468" s="1">
        <f t="shared" ref="AA468:AA498" si="175">IF(J468=$AA$7,1,0)</f>
        <v>0</v>
      </c>
      <c r="AB468" s="1">
        <f t="shared" ref="AB468:AB498" si="176">IF(J468=$AB$7,1,0)</f>
        <v>0</v>
      </c>
      <c r="AD468" s="1">
        <f t="shared" ref="AD468:AD498" si="177">+O468*P468</f>
        <v>0</v>
      </c>
      <c r="AE468" s="1">
        <f t="shared" ref="AE468:AE498" si="178">O468*(1-P468)</f>
        <v>1</v>
      </c>
      <c r="AF468" s="1">
        <f t="shared" si="163"/>
        <v>0</v>
      </c>
      <c r="AG468" s="1">
        <f t="shared" si="164"/>
        <v>1</v>
      </c>
      <c r="AH468" s="1">
        <f t="shared" si="165"/>
        <v>0</v>
      </c>
      <c r="AI468" s="1">
        <f t="shared" si="166"/>
        <v>1</v>
      </c>
    </row>
    <row r="469" spans="1:35" s="1" customFormat="1" ht="14.25" customHeight="1" x14ac:dyDescent="0.25">
      <c r="A469" s="44">
        <v>0</v>
      </c>
      <c r="B469" s="44">
        <v>2</v>
      </c>
      <c r="C469" s="44">
        <v>7</v>
      </c>
      <c r="D469" s="45" t="s">
        <v>73</v>
      </c>
      <c r="E469" s="45" t="s">
        <v>28</v>
      </c>
      <c r="F469" s="45" t="s">
        <v>263</v>
      </c>
      <c r="G469" s="45" t="s">
        <v>193</v>
      </c>
      <c r="H469" s="45" t="s">
        <v>352</v>
      </c>
      <c r="I469" s="44" t="s">
        <v>419</v>
      </c>
      <c r="J469" s="44">
        <v>9</v>
      </c>
      <c r="K469" s="46" t="s">
        <v>708</v>
      </c>
      <c r="L469" s="46" t="s">
        <v>709</v>
      </c>
      <c r="M469" s="47" t="s">
        <v>727</v>
      </c>
      <c r="N469" s="47" t="s">
        <v>1719</v>
      </c>
      <c r="O469" s="48"/>
      <c r="P469" s="48"/>
      <c r="Q469" s="45"/>
      <c r="S469" s="1">
        <f t="shared" si="167"/>
        <v>0</v>
      </c>
      <c r="T469" s="1">
        <f t="shared" si="168"/>
        <v>0</v>
      </c>
      <c r="U469" s="1">
        <f t="shared" si="169"/>
        <v>0</v>
      </c>
      <c r="V469" s="1">
        <f t="shared" si="170"/>
        <v>0</v>
      </c>
      <c r="W469" s="1">
        <f t="shared" si="171"/>
        <v>0</v>
      </c>
      <c r="X469" s="1">
        <f t="shared" si="172"/>
        <v>0</v>
      </c>
      <c r="Y469" s="1">
        <f t="shared" si="173"/>
        <v>0</v>
      </c>
      <c r="Z469" s="1">
        <f t="shared" si="174"/>
        <v>0</v>
      </c>
      <c r="AA469" s="1">
        <f t="shared" si="175"/>
        <v>1</v>
      </c>
      <c r="AB469" s="1">
        <f t="shared" si="176"/>
        <v>0</v>
      </c>
      <c r="AD469" s="1">
        <f t="shared" si="177"/>
        <v>0</v>
      </c>
      <c r="AE469" s="1">
        <f t="shared" si="178"/>
        <v>0</v>
      </c>
      <c r="AF469" s="1">
        <f t="shared" si="163"/>
        <v>0</v>
      </c>
      <c r="AG469" s="1">
        <f t="shared" si="164"/>
        <v>0</v>
      </c>
      <c r="AH469" s="1">
        <f t="shared" si="165"/>
        <v>0</v>
      </c>
      <c r="AI469" s="1">
        <f t="shared" si="166"/>
        <v>1</v>
      </c>
    </row>
    <row r="470" spans="1:35" s="1" customFormat="1" ht="14.25" customHeight="1" x14ac:dyDescent="0.25">
      <c r="A470" s="31">
        <v>0</v>
      </c>
      <c r="B470" s="31">
        <v>2</v>
      </c>
      <c r="C470" s="31">
        <v>7</v>
      </c>
      <c r="D470" s="32" t="s">
        <v>59</v>
      </c>
      <c r="E470" s="32" t="s">
        <v>162</v>
      </c>
      <c r="F470" s="32" t="s">
        <v>224</v>
      </c>
      <c r="G470" s="32" t="s">
        <v>225</v>
      </c>
      <c r="H470" s="32" t="s">
        <v>352</v>
      </c>
      <c r="I470" s="31" t="s">
        <v>396</v>
      </c>
      <c r="J470" s="31">
        <v>99</v>
      </c>
      <c r="K470" s="33" t="s">
        <v>709</v>
      </c>
      <c r="L470" s="33" t="s">
        <v>718</v>
      </c>
      <c r="M470" s="34" t="s">
        <v>728</v>
      </c>
      <c r="N470" s="34" t="s">
        <v>1734</v>
      </c>
      <c r="O470" s="35">
        <v>1</v>
      </c>
      <c r="P470" s="35"/>
      <c r="Q470" s="32"/>
      <c r="S470" s="1">
        <f t="shared" si="167"/>
        <v>0</v>
      </c>
      <c r="T470" s="1">
        <f t="shared" si="168"/>
        <v>0</v>
      </c>
      <c r="U470" s="1">
        <f t="shared" si="169"/>
        <v>0</v>
      </c>
      <c r="V470" s="1">
        <f t="shared" si="170"/>
        <v>0</v>
      </c>
      <c r="W470" s="1">
        <f t="shared" si="171"/>
        <v>0</v>
      </c>
      <c r="X470" s="1">
        <f t="shared" si="172"/>
        <v>0</v>
      </c>
      <c r="Y470" s="1">
        <f t="shared" si="173"/>
        <v>0</v>
      </c>
      <c r="Z470" s="1">
        <f t="shared" si="174"/>
        <v>0</v>
      </c>
      <c r="AA470" s="1">
        <f t="shared" si="175"/>
        <v>0</v>
      </c>
      <c r="AB470" s="1">
        <f t="shared" si="176"/>
        <v>0</v>
      </c>
      <c r="AD470" s="1">
        <f t="shared" si="177"/>
        <v>0</v>
      </c>
      <c r="AE470" s="1">
        <f t="shared" si="178"/>
        <v>1</v>
      </c>
      <c r="AF470" s="1">
        <f t="shared" si="163"/>
        <v>0</v>
      </c>
      <c r="AG470" s="1">
        <f t="shared" si="164"/>
        <v>1</v>
      </c>
      <c r="AH470" s="1">
        <f t="shared" si="165"/>
        <v>0</v>
      </c>
      <c r="AI470" s="1">
        <f t="shared" si="166"/>
        <v>1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1062</v>
      </c>
      <c r="E471" s="32" t="s">
        <v>155</v>
      </c>
      <c r="F471" s="32" t="s">
        <v>1063</v>
      </c>
      <c r="G471" s="32" t="s">
        <v>219</v>
      </c>
      <c r="H471" s="32" t="s">
        <v>352</v>
      </c>
      <c r="I471" s="31" t="s">
        <v>1064</v>
      </c>
      <c r="J471" s="31">
        <v>8</v>
      </c>
      <c r="K471" s="33" t="s">
        <v>708</v>
      </c>
      <c r="L471" s="33" t="s">
        <v>718</v>
      </c>
      <c r="M471" s="34" t="s">
        <v>728</v>
      </c>
      <c r="N471" s="34" t="s">
        <v>1732</v>
      </c>
      <c r="O471" s="35">
        <v>1</v>
      </c>
      <c r="P471" s="35"/>
      <c r="Q471" s="32"/>
      <c r="S471" s="1">
        <f t="shared" si="167"/>
        <v>0</v>
      </c>
      <c r="T471" s="1">
        <f t="shared" si="168"/>
        <v>0</v>
      </c>
      <c r="U471" s="1">
        <f t="shared" si="169"/>
        <v>0</v>
      </c>
      <c r="V471" s="1">
        <f t="shared" si="170"/>
        <v>0</v>
      </c>
      <c r="W471" s="1">
        <f t="shared" si="171"/>
        <v>0</v>
      </c>
      <c r="X471" s="1">
        <f t="shared" si="172"/>
        <v>0</v>
      </c>
      <c r="Y471" s="1">
        <f t="shared" si="173"/>
        <v>0</v>
      </c>
      <c r="Z471" s="1">
        <f t="shared" si="174"/>
        <v>1</v>
      </c>
      <c r="AA471" s="1">
        <f t="shared" si="175"/>
        <v>0</v>
      </c>
      <c r="AB471" s="1">
        <f t="shared" si="176"/>
        <v>0</v>
      </c>
      <c r="AD471" s="1">
        <f t="shared" si="177"/>
        <v>0</v>
      </c>
      <c r="AE471" s="1">
        <f t="shared" si="178"/>
        <v>1</v>
      </c>
      <c r="AF471" s="1">
        <f t="shared" si="163"/>
        <v>0</v>
      </c>
      <c r="AG471" s="1">
        <f t="shared" si="164"/>
        <v>1</v>
      </c>
      <c r="AH471" s="1">
        <f t="shared" si="165"/>
        <v>0</v>
      </c>
      <c r="AI471" s="1">
        <f t="shared" si="166"/>
        <v>1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81</v>
      </c>
      <c r="E472" s="32" t="s">
        <v>155</v>
      </c>
      <c r="F472" s="32" t="s">
        <v>272</v>
      </c>
      <c r="G472" s="32" t="s">
        <v>253</v>
      </c>
      <c r="H472" s="32" t="s">
        <v>352</v>
      </c>
      <c r="I472" s="31" t="s">
        <v>426</v>
      </c>
      <c r="J472" s="31">
        <v>99</v>
      </c>
      <c r="K472" s="33" t="s">
        <v>709</v>
      </c>
      <c r="L472" s="33" t="s">
        <v>729</v>
      </c>
      <c r="M472" s="34" t="s">
        <v>730</v>
      </c>
      <c r="N472" s="34" t="s">
        <v>1740</v>
      </c>
      <c r="O472" s="35">
        <v>1</v>
      </c>
      <c r="P472" s="35"/>
      <c r="Q472" s="32"/>
      <c r="S472" s="1">
        <f t="shared" si="167"/>
        <v>0</v>
      </c>
      <c r="T472" s="1">
        <f t="shared" si="168"/>
        <v>0</v>
      </c>
      <c r="U472" s="1">
        <f t="shared" si="169"/>
        <v>0</v>
      </c>
      <c r="V472" s="1">
        <f t="shared" si="170"/>
        <v>0</v>
      </c>
      <c r="W472" s="1">
        <f t="shared" si="171"/>
        <v>0</v>
      </c>
      <c r="X472" s="1">
        <f t="shared" si="172"/>
        <v>0</v>
      </c>
      <c r="Y472" s="1">
        <f t="shared" si="173"/>
        <v>0</v>
      </c>
      <c r="Z472" s="1">
        <f t="shared" si="174"/>
        <v>0</v>
      </c>
      <c r="AA472" s="1">
        <f t="shared" si="175"/>
        <v>0</v>
      </c>
      <c r="AB472" s="1">
        <f t="shared" si="176"/>
        <v>0</v>
      </c>
      <c r="AD472" s="1">
        <f t="shared" si="177"/>
        <v>0</v>
      </c>
      <c r="AE472" s="1">
        <f t="shared" si="178"/>
        <v>1</v>
      </c>
      <c r="AF472" s="1">
        <f t="shared" si="163"/>
        <v>0</v>
      </c>
      <c r="AG472" s="1">
        <f t="shared" si="164"/>
        <v>1</v>
      </c>
      <c r="AH472" s="1">
        <f t="shared" si="165"/>
        <v>0</v>
      </c>
      <c r="AI472" s="1">
        <f t="shared" si="166"/>
        <v>1</v>
      </c>
    </row>
    <row r="473" spans="1:35" s="1" customFormat="1" ht="14.25" customHeight="1" x14ac:dyDescent="0.25">
      <c r="A473" s="37">
        <v>0</v>
      </c>
      <c r="B473" s="37">
        <v>2</v>
      </c>
      <c r="C473" s="37">
        <v>7</v>
      </c>
      <c r="D473" s="36" t="s">
        <v>1759</v>
      </c>
      <c r="E473" s="36" t="s">
        <v>1760</v>
      </c>
      <c r="F473" s="36" t="s">
        <v>1761</v>
      </c>
      <c r="G473" s="36" t="s">
        <v>189</v>
      </c>
      <c r="H473" s="36" t="s">
        <v>352</v>
      </c>
      <c r="I473" s="37"/>
      <c r="J473" s="37"/>
      <c r="K473" s="33" t="s">
        <v>699</v>
      </c>
      <c r="L473" s="33"/>
      <c r="M473" s="34"/>
      <c r="N473" s="34" t="s">
        <v>1711</v>
      </c>
      <c r="O473" s="35">
        <v>1</v>
      </c>
      <c r="P473" s="35">
        <v>1</v>
      </c>
      <c r="Q473" s="36"/>
      <c r="S473" s="1">
        <f t="shared" si="167"/>
        <v>0</v>
      </c>
      <c r="T473" s="1">
        <f t="shared" si="168"/>
        <v>0</v>
      </c>
      <c r="U473" s="1">
        <f t="shared" si="169"/>
        <v>0</v>
      </c>
      <c r="V473" s="1">
        <f t="shared" si="170"/>
        <v>0</v>
      </c>
      <c r="W473" s="1">
        <f t="shared" si="171"/>
        <v>0</v>
      </c>
      <c r="X473" s="1">
        <f t="shared" si="172"/>
        <v>0</v>
      </c>
      <c r="Y473" s="1">
        <f t="shared" si="173"/>
        <v>0</v>
      </c>
      <c r="Z473" s="1">
        <f t="shared" si="174"/>
        <v>0</v>
      </c>
      <c r="AA473" s="1">
        <f t="shared" si="175"/>
        <v>0</v>
      </c>
      <c r="AB473" s="1">
        <f t="shared" si="176"/>
        <v>0</v>
      </c>
      <c r="AD473" s="1">
        <f t="shared" si="177"/>
        <v>1</v>
      </c>
      <c r="AE473" s="1">
        <f t="shared" si="178"/>
        <v>0</v>
      </c>
      <c r="AF473" s="1">
        <f t="shared" si="163"/>
        <v>1</v>
      </c>
      <c r="AG473" s="1">
        <f t="shared" si="164"/>
        <v>0</v>
      </c>
      <c r="AH473" s="1">
        <f t="shared" si="165"/>
        <v>1</v>
      </c>
      <c r="AI473" s="1">
        <f t="shared" si="166"/>
        <v>0</v>
      </c>
    </row>
    <row r="474" spans="1:35" s="1" customFormat="1" ht="14.25" customHeight="1" x14ac:dyDescent="0.25">
      <c r="A474" s="37">
        <v>0</v>
      </c>
      <c r="B474" s="37">
        <v>2</v>
      </c>
      <c r="C474" s="37">
        <v>7</v>
      </c>
      <c r="D474" s="36" t="s">
        <v>510</v>
      </c>
      <c r="E474" s="36" t="s">
        <v>155</v>
      </c>
      <c r="F474" s="36" t="s">
        <v>570</v>
      </c>
      <c r="G474" s="36" t="s">
        <v>319</v>
      </c>
      <c r="H474" s="36" t="s">
        <v>352</v>
      </c>
      <c r="I474" s="37" t="s">
        <v>577</v>
      </c>
      <c r="J474" s="37">
        <v>99</v>
      </c>
      <c r="K474" s="33" t="s">
        <v>941</v>
      </c>
      <c r="L474" s="33" t="s">
        <v>718</v>
      </c>
      <c r="M474" s="34" t="s">
        <v>728</v>
      </c>
      <c r="N474" s="34" t="s">
        <v>1745</v>
      </c>
      <c r="O474" s="35">
        <v>1</v>
      </c>
      <c r="P474" s="35"/>
      <c r="Q474" s="36"/>
      <c r="S474" s="1">
        <f t="shared" si="167"/>
        <v>0</v>
      </c>
      <c r="T474" s="1">
        <f t="shared" si="168"/>
        <v>0</v>
      </c>
      <c r="U474" s="1">
        <f t="shared" si="169"/>
        <v>0</v>
      </c>
      <c r="V474" s="1">
        <f t="shared" si="170"/>
        <v>0</v>
      </c>
      <c r="W474" s="1">
        <f t="shared" si="171"/>
        <v>0</v>
      </c>
      <c r="X474" s="1">
        <f t="shared" si="172"/>
        <v>0</v>
      </c>
      <c r="Y474" s="1">
        <f t="shared" si="173"/>
        <v>0</v>
      </c>
      <c r="Z474" s="1">
        <f t="shared" si="174"/>
        <v>0</v>
      </c>
      <c r="AA474" s="1">
        <f t="shared" si="175"/>
        <v>0</v>
      </c>
      <c r="AB474" s="1">
        <f t="shared" si="176"/>
        <v>0</v>
      </c>
      <c r="AD474" s="1">
        <f t="shared" si="177"/>
        <v>0</v>
      </c>
      <c r="AE474" s="1">
        <f t="shared" si="178"/>
        <v>1</v>
      </c>
      <c r="AF474" s="1">
        <f t="shared" si="163"/>
        <v>0</v>
      </c>
      <c r="AG474" s="1">
        <f t="shared" si="164"/>
        <v>1</v>
      </c>
      <c r="AH474" s="1">
        <f t="shared" si="165"/>
        <v>0</v>
      </c>
      <c r="AI474" s="1">
        <f t="shared" si="166"/>
        <v>1</v>
      </c>
    </row>
    <row r="475" spans="1:35" s="1" customFormat="1" ht="14.25" customHeight="1" x14ac:dyDescent="0.25">
      <c r="A475" s="44">
        <v>0</v>
      </c>
      <c r="B475" s="44">
        <v>2</v>
      </c>
      <c r="C475" s="44">
        <v>7</v>
      </c>
      <c r="D475" s="45" t="s">
        <v>74</v>
      </c>
      <c r="E475" s="45" t="s">
        <v>155</v>
      </c>
      <c r="F475" s="45" t="s">
        <v>671</v>
      </c>
      <c r="G475" s="45" t="s">
        <v>264</v>
      </c>
      <c r="H475" s="45" t="s">
        <v>352</v>
      </c>
      <c r="I475" s="44" t="s">
        <v>420</v>
      </c>
      <c r="J475" s="44">
        <v>99</v>
      </c>
      <c r="K475" s="46" t="s">
        <v>708</v>
      </c>
      <c r="L475" s="46" t="s">
        <v>725</v>
      </c>
      <c r="M475" s="47" t="s">
        <v>728</v>
      </c>
      <c r="N475" s="47" t="s">
        <v>1719</v>
      </c>
      <c r="O475" s="48"/>
      <c r="P475" s="48"/>
      <c r="Q475" s="45"/>
      <c r="S475" s="1">
        <f t="shared" si="167"/>
        <v>0</v>
      </c>
      <c r="T475" s="1">
        <f t="shared" si="168"/>
        <v>0</v>
      </c>
      <c r="U475" s="1">
        <f t="shared" si="169"/>
        <v>0</v>
      </c>
      <c r="V475" s="1">
        <f t="shared" si="170"/>
        <v>0</v>
      </c>
      <c r="W475" s="1">
        <f t="shared" si="171"/>
        <v>0</v>
      </c>
      <c r="X475" s="1">
        <f t="shared" si="172"/>
        <v>0</v>
      </c>
      <c r="Y475" s="1">
        <f t="shared" si="173"/>
        <v>0</v>
      </c>
      <c r="Z475" s="1">
        <f t="shared" si="174"/>
        <v>0</v>
      </c>
      <c r="AA475" s="1">
        <f t="shared" si="175"/>
        <v>0</v>
      </c>
      <c r="AB475" s="1">
        <f t="shared" si="176"/>
        <v>0</v>
      </c>
      <c r="AD475" s="1">
        <f t="shared" si="177"/>
        <v>0</v>
      </c>
      <c r="AE475" s="1">
        <f t="shared" si="178"/>
        <v>0</v>
      </c>
      <c r="AF475" s="1">
        <f t="shared" si="163"/>
        <v>0</v>
      </c>
      <c r="AG475" s="1">
        <f t="shared" si="164"/>
        <v>0</v>
      </c>
      <c r="AH475" s="1">
        <f t="shared" si="165"/>
        <v>0</v>
      </c>
      <c r="AI475" s="1">
        <f t="shared" si="166"/>
        <v>1</v>
      </c>
    </row>
    <row r="476" spans="1:35" s="1" customFormat="1" ht="14.25" customHeight="1" x14ac:dyDescent="0.25">
      <c r="A476" s="31">
        <v>0</v>
      </c>
      <c r="B476" s="31">
        <v>2</v>
      </c>
      <c r="C476" s="31">
        <v>7</v>
      </c>
      <c r="D476" s="32" t="s">
        <v>1986</v>
      </c>
      <c r="E476" s="32" t="s">
        <v>155</v>
      </c>
      <c r="F476" s="32" t="s">
        <v>1987</v>
      </c>
      <c r="G476" s="32" t="s">
        <v>281</v>
      </c>
      <c r="H476" s="32" t="s">
        <v>352</v>
      </c>
      <c r="I476" s="31" t="s">
        <v>1988</v>
      </c>
      <c r="J476" s="31">
        <v>99</v>
      </c>
      <c r="K476" s="33" t="s">
        <v>699</v>
      </c>
      <c r="L476" s="33" t="s">
        <v>718</v>
      </c>
      <c r="M476" s="34" t="s">
        <v>728</v>
      </c>
      <c r="N476" s="34" t="s">
        <v>1711</v>
      </c>
      <c r="O476" s="35">
        <v>1</v>
      </c>
      <c r="P476" s="35">
        <v>1</v>
      </c>
      <c r="Q476" s="32"/>
      <c r="S476" s="1">
        <f t="shared" si="167"/>
        <v>0</v>
      </c>
      <c r="T476" s="1">
        <f t="shared" si="168"/>
        <v>0</v>
      </c>
      <c r="U476" s="1">
        <f t="shared" si="169"/>
        <v>0</v>
      </c>
      <c r="V476" s="1">
        <f t="shared" si="170"/>
        <v>0</v>
      </c>
      <c r="W476" s="1">
        <f t="shared" si="171"/>
        <v>0</v>
      </c>
      <c r="X476" s="1">
        <f t="shared" si="172"/>
        <v>0</v>
      </c>
      <c r="Y476" s="1">
        <f t="shared" si="173"/>
        <v>0</v>
      </c>
      <c r="Z476" s="1">
        <f t="shared" si="174"/>
        <v>0</v>
      </c>
      <c r="AA476" s="1">
        <f t="shared" si="175"/>
        <v>0</v>
      </c>
      <c r="AB476" s="1">
        <f t="shared" si="176"/>
        <v>0</v>
      </c>
      <c r="AD476" s="1">
        <f t="shared" si="177"/>
        <v>1</v>
      </c>
      <c r="AE476" s="1">
        <f t="shared" si="178"/>
        <v>0</v>
      </c>
      <c r="AF476" s="1">
        <f t="shared" si="163"/>
        <v>1</v>
      </c>
      <c r="AG476" s="1">
        <f t="shared" si="164"/>
        <v>0</v>
      </c>
      <c r="AH476" s="1">
        <f t="shared" si="165"/>
        <v>1</v>
      </c>
      <c r="AI476" s="1">
        <f t="shared" si="166"/>
        <v>0</v>
      </c>
    </row>
    <row r="477" spans="1:35" s="1" customFormat="1" ht="14.25" customHeight="1" x14ac:dyDescent="0.25">
      <c r="A477" s="31">
        <v>1</v>
      </c>
      <c r="B477" s="31">
        <v>2</v>
      </c>
      <c r="C477" s="31">
        <v>7</v>
      </c>
      <c r="D477" s="32" t="s">
        <v>1986</v>
      </c>
      <c r="E477" s="32" t="s">
        <v>155</v>
      </c>
      <c r="F477" s="32" t="s">
        <v>1989</v>
      </c>
      <c r="G477" s="32" t="s">
        <v>1990</v>
      </c>
      <c r="H477" s="32" t="s">
        <v>352</v>
      </c>
      <c r="I477" s="31" t="s">
        <v>1991</v>
      </c>
      <c r="J477" s="31">
        <v>99</v>
      </c>
      <c r="K477" s="33" t="s">
        <v>699</v>
      </c>
      <c r="L477" s="33" t="s">
        <v>718</v>
      </c>
      <c r="M477" s="34" t="s">
        <v>728</v>
      </c>
      <c r="N477" s="34" t="s">
        <v>1711</v>
      </c>
      <c r="O477" s="35">
        <v>1</v>
      </c>
      <c r="P477" s="35">
        <v>1</v>
      </c>
      <c r="Q477" s="32"/>
      <c r="S477" s="1">
        <f t="shared" si="167"/>
        <v>0</v>
      </c>
      <c r="T477" s="1">
        <f t="shared" si="168"/>
        <v>0</v>
      </c>
      <c r="U477" s="1">
        <f t="shared" si="169"/>
        <v>0</v>
      </c>
      <c r="V477" s="1">
        <f t="shared" si="170"/>
        <v>0</v>
      </c>
      <c r="W477" s="1">
        <f t="shared" si="171"/>
        <v>0</v>
      </c>
      <c r="X477" s="1">
        <f t="shared" si="172"/>
        <v>0</v>
      </c>
      <c r="Y477" s="1">
        <f t="shared" si="173"/>
        <v>0</v>
      </c>
      <c r="Z477" s="1">
        <f t="shared" si="174"/>
        <v>0</v>
      </c>
      <c r="AA477" s="1">
        <f t="shared" si="175"/>
        <v>0</v>
      </c>
      <c r="AB477" s="1">
        <f t="shared" si="176"/>
        <v>0</v>
      </c>
      <c r="AD477" s="1">
        <f t="shared" si="177"/>
        <v>1</v>
      </c>
      <c r="AE477" s="1">
        <f t="shared" si="178"/>
        <v>0</v>
      </c>
      <c r="AF477" s="1">
        <f t="shared" si="163"/>
        <v>0</v>
      </c>
      <c r="AG477" s="1">
        <f t="shared" si="164"/>
        <v>0</v>
      </c>
      <c r="AH477" s="1">
        <f t="shared" si="165"/>
        <v>0</v>
      </c>
      <c r="AI477" s="1">
        <f t="shared" si="166"/>
        <v>0</v>
      </c>
    </row>
    <row r="478" spans="1:35" s="1" customFormat="1" ht="14.25" customHeight="1" x14ac:dyDescent="0.25">
      <c r="A478" s="15">
        <v>0</v>
      </c>
      <c r="B478" s="15">
        <v>2</v>
      </c>
      <c r="C478" s="15">
        <v>7</v>
      </c>
      <c r="D478" s="20" t="s">
        <v>1842</v>
      </c>
      <c r="E478" s="16" t="s">
        <v>155</v>
      </c>
      <c r="F478" s="20" t="s">
        <v>1843</v>
      </c>
      <c r="G478" s="20" t="s">
        <v>281</v>
      </c>
      <c r="H478" s="20" t="s">
        <v>352</v>
      </c>
      <c r="I478" s="21" t="s">
        <v>1844</v>
      </c>
      <c r="J478" s="15">
        <v>99</v>
      </c>
      <c r="K478" s="10" t="s">
        <v>699</v>
      </c>
      <c r="L478" s="10" t="s">
        <v>718</v>
      </c>
      <c r="M478" s="19" t="s">
        <v>728</v>
      </c>
      <c r="N478" s="19"/>
      <c r="Q478" s="20"/>
      <c r="S478" s="1">
        <f t="shared" si="167"/>
        <v>0</v>
      </c>
      <c r="T478" s="1">
        <f t="shared" si="168"/>
        <v>0</v>
      </c>
      <c r="U478" s="1">
        <f t="shared" si="169"/>
        <v>0</v>
      </c>
      <c r="V478" s="1">
        <f t="shared" si="170"/>
        <v>0</v>
      </c>
      <c r="W478" s="1">
        <f t="shared" si="171"/>
        <v>0</v>
      </c>
      <c r="X478" s="1">
        <f t="shared" si="172"/>
        <v>0</v>
      </c>
      <c r="Y478" s="1">
        <f t="shared" si="173"/>
        <v>0</v>
      </c>
      <c r="Z478" s="1">
        <f t="shared" si="174"/>
        <v>0</v>
      </c>
      <c r="AA478" s="1">
        <f t="shared" si="175"/>
        <v>0</v>
      </c>
      <c r="AB478" s="1">
        <f t="shared" si="176"/>
        <v>0</v>
      </c>
      <c r="AD478" s="1">
        <f t="shared" si="177"/>
        <v>0</v>
      </c>
      <c r="AE478" s="1">
        <f t="shared" si="178"/>
        <v>0</v>
      </c>
      <c r="AF478" s="1">
        <f t="shared" si="163"/>
        <v>0</v>
      </c>
      <c r="AG478" s="1">
        <f t="shared" si="164"/>
        <v>0</v>
      </c>
      <c r="AH478" s="1">
        <f t="shared" si="165"/>
        <v>0</v>
      </c>
      <c r="AI478" s="1">
        <f t="shared" si="166"/>
        <v>1</v>
      </c>
    </row>
    <row r="479" spans="1:35" s="1" customFormat="1" ht="14.25" customHeight="1" x14ac:dyDescent="0.25">
      <c r="A479" s="31">
        <v>0</v>
      </c>
      <c r="B479" s="31">
        <v>2</v>
      </c>
      <c r="C479" s="31">
        <v>7</v>
      </c>
      <c r="D479" s="32" t="s">
        <v>60</v>
      </c>
      <c r="E479" s="32" t="s">
        <v>162</v>
      </c>
      <c r="F479" s="32" t="s">
        <v>226</v>
      </c>
      <c r="G479" s="32" t="s">
        <v>189</v>
      </c>
      <c r="H479" s="32" t="s">
        <v>352</v>
      </c>
      <c r="I479" s="31" t="s">
        <v>397</v>
      </c>
      <c r="J479" s="31">
        <v>99</v>
      </c>
      <c r="K479" s="33" t="s">
        <v>709</v>
      </c>
      <c r="L479" s="33" t="s">
        <v>718</v>
      </c>
      <c r="M479" s="34" t="s">
        <v>728</v>
      </c>
      <c r="N479" s="34" t="s">
        <v>1732</v>
      </c>
      <c r="O479" s="35">
        <v>1</v>
      </c>
      <c r="P479" s="35"/>
      <c r="Q479" s="32"/>
      <c r="S479" s="1">
        <f t="shared" si="167"/>
        <v>0</v>
      </c>
      <c r="T479" s="1">
        <f t="shared" si="168"/>
        <v>0</v>
      </c>
      <c r="U479" s="1">
        <f t="shared" si="169"/>
        <v>0</v>
      </c>
      <c r="V479" s="1">
        <f t="shared" si="170"/>
        <v>0</v>
      </c>
      <c r="W479" s="1">
        <f t="shared" si="171"/>
        <v>0</v>
      </c>
      <c r="X479" s="1">
        <f t="shared" si="172"/>
        <v>0</v>
      </c>
      <c r="Y479" s="1">
        <f t="shared" si="173"/>
        <v>0</v>
      </c>
      <c r="Z479" s="1">
        <f t="shared" si="174"/>
        <v>0</v>
      </c>
      <c r="AA479" s="1">
        <f t="shared" si="175"/>
        <v>0</v>
      </c>
      <c r="AB479" s="1">
        <f t="shared" si="176"/>
        <v>0</v>
      </c>
      <c r="AD479" s="1">
        <f t="shared" si="177"/>
        <v>0</v>
      </c>
      <c r="AE479" s="1">
        <f t="shared" si="178"/>
        <v>1</v>
      </c>
      <c r="AF479" s="1">
        <f t="shared" si="163"/>
        <v>0</v>
      </c>
      <c r="AG479" s="1">
        <f t="shared" si="164"/>
        <v>1</v>
      </c>
      <c r="AH479" s="1">
        <f t="shared" si="165"/>
        <v>0</v>
      </c>
      <c r="AI479" s="1">
        <f t="shared" si="166"/>
        <v>1</v>
      </c>
    </row>
    <row r="480" spans="1:35" s="1" customFormat="1" ht="14.25" customHeight="1" x14ac:dyDescent="0.25">
      <c r="A480" s="31">
        <v>0</v>
      </c>
      <c r="B480" s="31">
        <v>2</v>
      </c>
      <c r="C480" s="31">
        <v>7</v>
      </c>
      <c r="D480" s="32" t="s">
        <v>1313</v>
      </c>
      <c r="E480" s="32" t="s">
        <v>155</v>
      </c>
      <c r="F480" s="32" t="s">
        <v>1127</v>
      </c>
      <c r="G480" s="32" t="s">
        <v>191</v>
      </c>
      <c r="H480" s="32" t="s">
        <v>352</v>
      </c>
      <c r="I480" s="31" t="s">
        <v>1353</v>
      </c>
      <c r="J480" s="31">
        <v>99</v>
      </c>
      <c r="K480" s="33" t="s">
        <v>708</v>
      </c>
      <c r="L480" s="33" t="s">
        <v>39</v>
      </c>
      <c r="M480" s="34" t="s">
        <v>39</v>
      </c>
      <c r="N480" s="34" t="s">
        <v>1711</v>
      </c>
      <c r="O480" s="35">
        <v>1</v>
      </c>
      <c r="P480" s="35">
        <v>1</v>
      </c>
      <c r="Q480" s="32"/>
      <c r="S480" s="1">
        <f t="shared" si="167"/>
        <v>0</v>
      </c>
      <c r="T480" s="1">
        <f t="shared" si="168"/>
        <v>0</v>
      </c>
      <c r="U480" s="1">
        <f t="shared" si="169"/>
        <v>0</v>
      </c>
      <c r="V480" s="1">
        <f t="shared" si="170"/>
        <v>0</v>
      </c>
      <c r="W480" s="1">
        <f t="shared" si="171"/>
        <v>0</v>
      </c>
      <c r="X480" s="1">
        <f t="shared" si="172"/>
        <v>0</v>
      </c>
      <c r="Y480" s="1">
        <f t="shared" si="173"/>
        <v>0</v>
      </c>
      <c r="Z480" s="1">
        <f t="shared" si="174"/>
        <v>0</v>
      </c>
      <c r="AA480" s="1">
        <f t="shared" si="175"/>
        <v>0</v>
      </c>
      <c r="AB480" s="1">
        <f t="shared" si="176"/>
        <v>0</v>
      </c>
      <c r="AD480" s="1">
        <f t="shared" si="177"/>
        <v>1</v>
      </c>
      <c r="AE480" s="1">
        <f t="shared" si="178"/>
        <v>0</v>
      </c>
      <c r="AF480" s="1">
        <f t="shared" si="163"/>
        <v>1</v>
      </c>
      <c r="AG480" s="1">
        <f t="shared" si="164"/>
        <v>0</v>
      </c>
      <c r="AH480" s="1">
        <f t="shared" si="165"/>
        <v>1</v>
      </c>
      <c r="AI480" s="1">
        <f t="shared" si="166"/>
        <v>0</v>
      </c>
    </row>
    <row r="481" spans="1:35" s="1" customFormat="1" ht="14.25" customHeight="1" x14ac:dyDescent="0.25">
      <c r="A481" s="31">
        <v>0</v>
      </c>
      <c r="B481" s="31">
        <v>2</v>
      </c>
      <c r="C481" s="31">
        <v>7</v>
      </c>
      <c r="D481" s="32" t="s">
        <v>585</v>
      </c>
      <c r="E481" s="32" t="s">
        <v>1321</v>
      </c>
      <c r="F481" s="32" t="s">
        <v>672</v>
      </c>
      <c r="G481" s="32" t="s">
        <v>239</v>
      </c>
      <c r="H481" s="32" t="s">
        <v>352</v>
      </c>
      <c r="I481" s="31" t="s">
        <v>403</v>
      </c>
      <c r="J481" s="31">
        <v>1</v>
      </c>
      <c r="K481" s="33" t="s">
        <v>709</v>
      </c>
      <c r="L481" s="33" t="s">
        <v>1695</v>
      </c>
      <c r="M481" s="34" t="s">
        <v>1423</v>
      </c>
      <c r="N481" s="34" t="s">
        <v>1732</v>
      </c>
      <c r="O481" s="35">
        <v>1</v>
      </c>
      <c r="P481" s="35"/>
      <c r="Q481" s="32"/>
      <c r="S481" s="1">
        <f t="shared" si="167"/>
        <v>1</v>
      </c>
      <c r="T481" s="1">
        <f t="shared" si="168"/>
        <v>0</v>
      </c>
      <c r="U481" s="1">
        <f t="shared" si="169"/>
        <v>0</v>
      </c>
      <c r="V481" s="1">
        <f t="shared" si="170"/>
        <v>0</v>
      </c>
      <c r="W481" s="1">
        <f t="shared" si="171"/>
        <v>0</v>
      </c>
      <c r="X481" s="1">
        <f t="shared" si="172"/>
        <v>0</v>
      </c>
      <c r="Y481" s="1">
        <f t="shared" si="173"/>
        <v>0</v>
      </c>
      <c r="Z481" s="1">
        <f t="shared" si="174"/>
        <v>0</v>
      </c>
      <c r="AA481" s="1">
        <f t="shared" si="175"/>
        <v>0</v>
      </c>
      <c r="AB481" s="1">
        <f t="shared" si="176"/>
        <v>0</v>
      </c>
      <c r="AD481" s="1">
        <f t="shared" si="177"/>
        <v>0</v>
      </c>
      <c r="AE481" s="1">
        <f t="shared" si="178"/>
        <v>1</v>
      </c>
      <c r="AF481" s="1">
        <f t="shared" si="163"/>
        <v>0</v>
      </c>
      <c r="AG481" s="1">
        <f t="shared" si="164"/>
        <v>1</v>
      </c>
      <c r="AH481" s="1">
        <f t="shared" si="165"/>
        <v>0</v>
      </c>
      <c r="AI481" s="1">
        <f t="shared" si="166"/>
        <v>1</v>
      </c>
    </row>
    <row r="482" spans="1:35" s="1" customFormat="1" ht="14.25" customHeight="1" x14ac:dyDescent="0.25">
      <c r="A482" s="31">
        <v>1</v>
      </c>
      <c r="B482" s="31">
        <v>2</v>
      </c>
      <c r="C482" s="31">
        <v>7</v>
      </c>
      <c r="D482" s="32" t="s">
        <v>585</v>
      </c>
      <c r="E482" s="32" t="s">
        <v>1321</v>
      </c>
      <c r="F482" s="32" t="s">
        <v>238</v>
      </c>
      <c r="G482" s="32" t="s">
        <v>177</v>
      </c>
      <c r="H482" s="32" t="s">
        <v>352</v>
      </c>
      <c r="I482" s="31" t="s">
        <v>402</v>
      </c>
      <c r="J482" s="31">
        <v>1</v>
      </c>
      <c r="K482" s="33" t="s">
        <v>709</v>
      </c>
      <c r="L482" s="33" t="s">
        <v>1695</v>
      </c>
      <c r="M482" s="34" t="s">
        <v>1423</v>
      </c>
      <c r="N482" s="34" t="s">
        <v>1732</v>
      </c>
      <c r="O482" s="35">
        <v>1</v>
      </c>
      <c r="P482" s="35"/>
      <c r="Q482" s="36" t="s">
        <v>1895</v>
      </c>
      <c r="S482" s="1">
        <f t="shared" si="167"/>
        <v>1</v>
      </c>
      <c r="T482" s="1">
        <f t="shared" si="168"/>
        <v>0</v>
      </c>
      <c r="U482" s="1">
        <f t="shared" si="169"/>
        <v>0</v>
      </c>
      <c r="V482" s="1">
        <f t="shared" si="170"/>
        <v>0</v>
      </c>
      <c r="W482" s="1">
        <f t="shared" si="171"/>
        <v>0</v>
      </c>
      <c r="X482" s="1">
        <f t="shared" si="172"/>
        <v>0</v>
      </c>
      <c r="Y482" s="1">
        <f t="shared" si="173"/>
        <v>0</v>
      </c>
      <c r="Z482" s="1">
        <f t="shared" si="174"/>
        <v>0</v>
      </c>
      <c r="AA482" s="1">
        <f t="shared" si="175"/>
        <v>0</v>
      </c>
      <c r="AB482" s="1">
        <f t="shared" si="176"/>
        <v>0</v>
      </c>
      <c r="AD482" s="1">
        <f t="shared" si="177"/>
        <v>0</v>
      </c>
      <c r="AE482" s="1">
        <f t="shared" si="178"/>
        <v>1</v>
      </c>
      <c r="AF482" s="1">
        <f t="shared" si="163"/>
        <v>0</v>
      </c>
      <c r="AG482" s="1">
        <f t="shared" si="164"/>
        <v>0</v>
      </c>
      <c r="AH482" s="1">
        <f t="shared" si="165"/>
        <v>0</v>
      </c>
      <c r="AI482" s="1">
        <f t="shared" si="166"/>
        <v>0</v>
      </c>
    </row>
    <row r="483" spans="1:35" s="1" customFormat="1" ht="14.25" customHeight="1" x14ac:dyDescent="0.25">
      <c r="A483" s="31">
        <v>0</v>
      </c>
      <c r="B483" s="31">
        <v>2</v>
      </c>
      <c r="C483" s="31">
        <v>7</v>
      </c>
      <c r="D483" s="32" t="s">
        <v>1314</v>
      </c>
      <c r="E483" s="32" t="s">
        <v>155</v>
      </c>
      <c r="F483" s="32" t="s">
        <v>1340</v>
      </c>
      <c r="G483" s="32" t="s">
        <v>257</v>
      </c>
      <c r="H483" s="32" t="s">
        <v>352</v>
      </c>
      <c r="I483" s="31" t="s">
        <v>1223</v>
      </c>
      <c r="J483" s="31">
        <v>8</v>
      </c>
      <c r="K483" s="33" t="s">
        <v>942</v>
      </c>
      <c r="L483" s="33" t="s">
        <v>718</v>
      </c>
      <c r="M483" s="34" t="s">
        <v>728</v>
      </c>
      <c r="N483" s="34" t="s">
        <v>1732</v>
      </c>
      <c r="O483" s="35">
        <v>1</v>
      </c>
      <c r="P483" s="35"/>
      <c r="Q483" s="32"/>
      <c r="S483" s="1">
        <f t="shared" si="167"/>
        <v>0</v>
      </c>
      <c r="T483" s="1">
        <f t="shared" si="168"/>
        <v>0</v>
      </c>
      <c r="U483" s="1">
        <f t="shared" si="169"/>
        <v>0</v>
      </c>
      <c r="V483" s="1">
        <f t="shared" si="170"/>
        <v>0</v>
      </c>
      <c r="W483" s="1">
        <f t="shared" si="171"/>
        <v>0</v>
      </c>
      <c r="X483" s="1">
        <f t="shared" si="172"/>
        <v>0</v>
      </c>
      <c r="Y483" s="1">
        <f t="shared" si="173"/>
        <v>0</v>
      </c>
      <c r="Z483" s="1">
        <f t="shared" si="174"/>
        <v>1</v>
      </c>
      <c r="AA483" s="1">
        <f t="shared" si="175"/>
        <v>0</v>
      </c>
      <c r="AB483" s="1">
        <f t="shared" si="176"/>
        <v>0</v>
      </c>
      <c r="AD483" s="1">
        <f t="shared" si="177"/>
        <v>0</v>
      </c>
      <c r="AE483" s="1">
        <f t="shared" si="178"/>
        <v>1</v>
      </c>
      <c r="AF483" s="1">
        <f t="shared" si="163"/>
        <v>0</v>
      </c>
      <c r="AG483" s="1">
        <f t="shared" si="164"/>
        <v>1</v>
      </c>
      <c r="AH483" s="1">
        <f t="shared" si="165"/>
        <v>0</v>
      </c>
      <c r="AI483" s="1">
        <f t="shared" si="166"/>
        <v>1</v>
      </c>
    </row>
    <row r="484" spans="1:35" s="1" customFormat="1" ht="14.25" customHeight="1" x14ac:dyDescent="0.25">
      <c r="A484" s="31">
        <v>1</v>
      </c>
      <c r="B484" s="31">
        <v>2</v>
      </c>
      <c r="C484" s="31">
        <v>7</v>
      </c>
      <c r="D484" s="32" t="s">
        <v>1314</v>
      </c>
      <c r="E484" s="32" t="s">
        <v>155</v>
      </c>
      <c r="F484" s="32" t="s">
        <v>1202</v>
      </c>
      <c r="G484" s="32" t="s">
        <v>217</v>
      </c>
      <c r="H484" s="32" t="s">
        <v>352</v>
      </c>
      <c r="I484" s="31" t="s">
        <v>1223</v>
      </c>
      <c r="J484" s="31">
        <v>99</v>
      </c>
      <c r="K484" s="33" t="s">
        <v>942</v>
      </c>
      <c r="L484" s="33" t="s">
        <v>718</v>
      </c>
      <c r="M484" s="34" t="s">
        <v>728</v>
      </c>
      <c r="N484" s="34" t="s">
        <v>1732</v>
      </c>
      <c r="O484" s="35">
        <v>1</v>
      </c>
      <c r="P484" s="35"/>
      <c r="Q484" s="32"/>
      <c r="S484" s="1">
        <f t="shared" si="167"/>
        <v>0</v>
      </c>
      <c r="T484" s="1">
        <f t="shared" si="168"/>
        <v>0</v>
      </c>
      <c r="U484" s="1">
        <f t="shared" si="169"/>
        <v>0</v>
      </c>
      <c r="V484" s="1">
        <f t="shared" si="170"/>
        <v>0</v>
      </c>
      <c r="W484" s="1">
        <f t="shared" si="171"/>
        <v>0</v>
      </c>
      <c r="X484" s="1">
        <f t="shared" si="172"/>
        <v>0</v>
      </c>
      <c r="Y484" s="1">
        <f t="shared" si="173"/>
        <v>0</v>
      </c>
      <c r="Z484" s="1">
        <f t="shared" si="174"/>
        <v>0</v>
      </c>
      <c r="AA484" s="1">
        <f t="shared" si="175"/>
        <v>0</v>
      </c>
      <c r="AB484" s="1">
        <f t="shared" si="176"/>
        <v>0</v>
      </c>
      <c r="AD484" s="1">
        <f t="shared" si="177"/>
        <v>0</v>
      </c>
      <c r="AE484" s="1">
        <f t="shared" si="178"/>
        <v>1</v>
      </c>
      <c r="AF484" s="1">
        <f t="shared" si="163"/>
        <v>0</v>
      </c>
      <c r="AG484" s="1">
        <f t="shared" si="164"/>
        <v>0</v>
      </c>
      <c r="AH484" s="1">
        <f t="shared" si="165"/>
        <v>0</v>
      </c>
      <c r="AI484" s="1">
        <f t="shared" si="166"/>
        <v>0</v>
      </c>
    </row>
    <row r="485" spans="1:35" s="1" customFormat="1" ht="14.25" customHeight="1" x14ac:dyDescent="0.25">
      <c r="A485" s="44">
        <v>0</v>
      </c>
      <c r="B485" s="44">
        <v>2</v>
      </c>
      <c r="C485" s="44">
        <v>7</v>
      </c>
      <c r="D485" s="45" t="s">
        <v>1232</v>
      </c>
      <c r="E485" s="45" t="s">
        <v>155</v>
      </c>
      <c r="F485" s="45" t="s">
        <v>1234</v>
      </c>
      <c r="G485" s="45" t="s">
        <v>219</v>
      </c>
      <c r="H485" s="45" t="s">
        <v>352</v>
      </c>
      <c r="I485" s="44" t="s">
        <v>1354</v>
      </c>
      <c r="J485" s="44">
        <v>8</v>
      </c>
      <c r="K485" s="46" t="s">
        <v>941</v>
      </c>
      <c r="L485" s="46" t="s">
        <v>718</v>
      </c>
      <c r="M485" s="47" t="s">
        <v>728</v>
      </c>
      <c r="N485" s="47" t="s">
        <v>1719</v>
      </c>
      <c r="O485" s="48"/>
      <c r="P485" s="48"/>
      <c r="Q485" s="45"/>
      <c r="S485" s="1">
        <f t="shared" si="167"/>
        <v>0</v>
      </c>
      <c r="T485" s="1">
        <f t="shared" si="168"/>
        <v>0</v>
      </c>
      <c r="U485" s="1">
        <f t="shared" si="169"/>
        <v>0</v>
      </c>
      <c r="V485" s="1">
        <f t="shared" si="170"/>
        <v>0</v>
      </c>
      <c r="W485" s="1">
        <f t="shared" si="171"/>
        <v>0</v>
      </c>
      <c r="X485" s="1">
        <f t="shared" si="172"/>
        <v>0</v>
      </c>
      <c r="Y485" s="1">
        <f t="shared" si="173"/>
        <v>0</v>
      </c>
      <c r="Z485" s="1">
        <f t="shared" si="174"/>
        <v>1</v>
      </c>
      <c r="AA485" s="1">
        <f t="shared" si="175"/>
        <v>0</v>
      </c>
      <c r="AB485" s="1">
        <f t="shared" si="176"/>
        <v>0</v>
      </c>
      <c r="AD485" s="1">
        <f t="shared" si="177"/>
        <v>0</v>
      </c>
      <c r="AE485" s="1">
        <f t="shared" si="178"/>
        <v>0</v>
      </c>
      <c r="AF485" s="1">
        <f t="shared" si="163"/>
        <v>0</v>
      </c>
      <c r="AG485" s="1">
        <f t="shared" si="164"/>
        <v>0</v>
      </c>
      <c r="AH485" s="1">
        <f t="shared" si="165"/>
        <v>0</v>
      </c>
      <c r="AI485" s="1">
        <f t="shared" si="166"/>
        <v>1</v>
      </c>
    </row>
    <row r="486" spans="1:35" s="1" customFormat="1" ht="14.25" customHeight="1" x14ac:dyDescent="0.25">
      <c r="A486" s="44">
        <v>1</v>
      </c>
      <c r="B486" s="44">
        <v>2</v>
      </c>
      <c r="C486" s="44">
        <v>7</v>
      </c>
      <c r="D486" s="45" t="s">
        <v>1232</v>
      </c>
      <c r="E486" s="45" t="s">
        <v>155</v>
      </c>
      <c r="F486" s="45" t="s">
        <v>1341</v>
      </c>
      <c r="G486" s="45" t="s">
        <v>39</v>
      </c>
      <c r="H486" s="45" t="s">
        <v>353</v>
      </c>
      <c r="I486" s="44" t="s">
        <v>1233</v>
      </c>
      <c r="J486" s="44">
        <v>99</v>
      </c>
      <c r="K486" s="46" t="s">
        <v>941</v>
      </c>
      <c r="L486" s="46" t="s">
        <v>718</v>
      </c>
      <c r="M486" s="47" t="s">
        <v>728</v>
      </c>
      <c r="N486" s="47" t="s">
        <v>1719</v>
      </c>
      <c r="O486" s="48"/>
      <c r="P486" s="48"/>
      <c r="Q486" s="65" t="s">
        <v>1888</v>
      </c>
      <c r="S486" s="1">
        <f t="shared" si="167"/>
        <v>0</v>
      </c>
      <c r="T486" s="1">
        <f t="shared" si="168"/>
        <v>0</v>
      </c>
      <c r="U486" s="1">
        <f t="shared" si="169"/>
        <v>0</v>
      </c>
      <c r="V486" s="1">
        <f t="shared" si="170"/>
        <v>0</v>
      </c>
      <c r="W486" s="1">
        <f t="shared" si="171"/>
        <v>0</v>
      </c>
      <c r="X486" s="1">
        <f t="shared" si="172"/>
        <v>0</v>
      </c>
      <c r="Y486" s="1">
        <f t="shared" si="173"/>
        <v>0</v>
      </c>
      <c r="Z486" s="1">
        <f t="shared" si="174"/>
        <v>0</v>
      </c>
      <c r="AA486" s="1">
        <f t="shared" si="175"/>
        <v>0</v>
      </c>
      <c r="AB486" s="1">
        <f t="shared" si="176"/>
        <v>0</v>
      </c>
      <c r="AD486" s="1">
        <f t="shared" si="177"/>
        <v>0</v>
      </c>
      <c r="AE486" s="1">
        <f t="shared" si="178"/>
        <v>0</v>
      </c>
      <c r="AF486" s="1">
        <f t="shared" si="163"/>
        <v>0</v>
      </c>
      <c r="AG486" s="1">
        <f t="shared" si="164"/>
        <v>0</v>
      </c>
      <c r="AH486" s="1">
        <f t="shared" si="165"/>
        <v>0</v>
      </c>
      <c r="AI486" s="1">
        <f t="shared" si="166"/>
        <v>0</v>
      </c>
    </row>
    <row r="487" spans="1:35" s="1" customFormat="1" ht="14.25" customHeight="1" x14ac:dyDescent="0.25">
      <c r="A487" s="44">
        <v>1</v>
      </c>
      <c r="B487" s="44">
        <v>2</v>
      </c>
      <c r="C487" s="44">
        <v>7</v>
      </c>
      <c r="D487" s="45" t="s">
        <v>1232</v>
      </c>
      <c r="E487" s="45" t="s">
        <v>155</v>
      </c>
      <c r="F487" s="45" t="s">
        <v>1507</v>
      </c>
      <c r="G487" s="45" t="s">
        <v>234</v>
      </c>
      <c r="H487" s="45" t="s">
        <v>352</v>
      </c>
      <c r="I487" s="44" t="s">
        <v>1675</v>
      </c>
      <c r="J487" s="44">
        <v>99</v>
      </c>
      <c r="K487" s="46" t="s">
        <v>941</v>
      </c>
      <c r="L487" s="46" t="s">
        <v>718</v>
      </c>
      <c r="M487" s="47" t="s">
        <v>728</v>
      </c>
      <c r="N487" s="47" t="s">
        <v>1719</v>
      </c>
      <c r="O487" s="48"/>
      <c r="P487" s="48"/>
      <c r="Q487" s="45"/>
      <c r="S487" s="1">
        <f t="shared" si="167"/>
        <v>0</v>
      </c>
      <c r="T487" s="1">
        <f t="shared" si="168"/>
        <v>0</v>
      </c>
      <c r="U487" s="1">
        <f t="shared" si="169"/>
        <v>0</v>
      </c>
      <c r="V487" s="1">
        <f t="shared" si="170"/>
        <v>0</v>
      </c>
      <c r="W487" s="1">
        <f t="shared" si="171"/>
        <v>0</v>
      </c>
      <c r="X487" s="1">
        <f t="shared" si="172"/>
        <v>0</v>
      </c>
      <c r="Y487" s="1">
        <f t="shared" si="173"/>
        <v>0</v>
      </c>
      <c r="Z487" s="1">
        <f t="shared" si="174"/>
        <v>0</v>
      </c>
      <c r="AA487" s="1">
        <f t="shared" si="175"/>
        <v>0</v>
      </c>
      <c r="AB487" s="1">
        <f t="shared" si="176"/>
        <v>0</v>
      </c>
      <c r="AD487" s="1">
        <f t="shared" si="177"/>
        <v>0</v>
      </c>
      <c r="AE487" s="1">
        <f t="shared" si="178"/>
        <v>0</v>
      </c>
      <c r="AF487" s="1">
        <f t="shared" si="163"/>
        <v>0</v>
      </c>
      <c r="AG487" s="1">
        <f t="shared" si="164"/>
        <v>0</v>
      </c>
      <c r="AH487" s="1">
        <f t="shared" si="165"/>
        <v>0</v>
      </c>
      <c r="AI487" s="1">
        <f t="shared" si="166"/>
        <v>0</v>
      </c>
    </row>
    <row r="488" spans="1:35" s="1" customFormat="1" ht="14.25" customHeight="1" x14ac:dyDescent="0.25">
      <c r="A488" s="31">
        <v>0</v>
      </c>
      <c r="B488" s="31">
        <v>2</v>
      </c>
      <c r="C488" s="31">
        <v>7</v>
      </c>
      <c r="D488" s="32" t="s">
        <v>1834</v>
      </c>
      <c r="E488" s="32" t="s">
        <v>1835</v>
      </c>
      <c r="F488" s="32" t="s">
        <v>1836</v>
      </c>
      <c r="G488" s="32" t="s">
        <v>264</v>
      </c>
      <c r="H488" s="32" t="s">
        <v>352</v>
      </c>
      <c r="I488" s="31" t="s">
        <v>1837</v>
      </c>
      <c r="J488" s="31">
        <v>99</v>
      </c>
      <c r="K488" s="33" t="s">
        <v>699</v>
      </c>
      <c r="L488" s="33"/>
      <c r="M488" s="34"/>
      <c r="N488" s="34" t="s">
        <v>1711</v>
      </c>
      <c r="O488" s="35">
        <v>1</v>
      </c>
      <c r="P488" s="35">
        <v>1</v>
      </c>
      <c r="Q488" s="32"/>
      <c r="S488" s="1">
        <f t="shared" si="167"/>
        <v>0</v>
      </c>
      <c r="T488" s="1">
        <f t="shared" si="168"/>
        <v>0</v>
      </c>
      <c r="U488" s="1">
        <f t="shared" si="169"/>
        <v>0</v>
      </c>
      <c r="V488" s="1">
        <f t="shared" si="170"/>
        <v>0</v>
      </c>
      <c r="W488" s="1">
        <f t="shared" si="171"/>
        <v>0</v>
      </c>
      <c r="X488" s="1">
        <f t="shared" si="172"/>
        <v>0</v>
      </c>
      <c r="Y488" s="1">
        <f t="shared" si="173"/>
        <v>0</v>
      </c>
      <c r="Z488" s="1">
        <f t="shared" si="174"/>
        <v>0</v>
      </c>
      <c r="AA488" s="1">
        <f t="shared" si="175"/>
        <v>0</v>
      </c>
      <c r="AB488" s="1">
        <f t="shared" si="176"/>
        <v>0</v>
      </c>
      <c r="AD488" s="1">
        <f t="shared" si="177"/>
        <v>1</v>
      </c>
      <c r="AE488" s="1">
        <f t="shared" si="178"/>
        <v>0</v>
      </c>
      <c r="AF488" s="1">
        <f t="shared" si="163"/>
        <v>1</v>
      </c>
      <c r="AG488" s="1">
        <f t="shared" si="164"/>
        <v>0</v>
      </c>
      <c r="AH488" s="1">
        <f t="shared" si="165"/>
        <v>1</v>
      </c>
      <c r="AI488" s="1">
        <f t="shared" si="166"/>
        <v>0</v>
      </c>
    </row>
    <row r="489" spans="1:35" s="1" customFormat="1" ht="14.25" customHeight="1" x14ac:dyDescent="0.25">
      <c r="A489" s="44">
        <v>0</v>
      </c>
      <c r="B489" s="44">
        <v>2</v>
      </c>
      <c r="C489" s="44">
        <v>7</v>
      </c>
      <c r="D489" s="45" t="s">
        <v>1227</v>
      </c>
      <c r="E489" s="45" t="s">
        <v>28</v>
      </c>
      <c r="F489" s="45" t="s">
        <v>1220</v>
      </c>
      <c r="G489" s="45" t="s">
        <v>1221</v>
      </c>
      <c r="H489" s="45" t="s">
        <v>352</v>
      </c>
      <c r="I489" s="44" t="s">
        <v>1222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1719</v>
      </c>
      <c r="O489" s="48"/>
      <c r="P489" s="48"/>
      <c r="Q489" s="45"/>
      <c r="S489" s="1">
        <f t="shared" si="167"/>
        <v>0</v>
      </c>
      <c r="T489" s="1">
        <f t="shared" si="168"/>
        <v>0</v>
      </c>
      <c r="U489" s="1">
        <f t="shared" si="169"/>
        <v>0</v>
      </c>
      <c r="V489" s="1">
        <f t="shared" si="170"/>
        <v>0</v>
      </c>
      <c r="W489" s="1">
        <f t="shared" si="171"/>
        <v>0</v>
      </c>
      <c r="X489" s="1">
        <f t="shared" si="172"/>
        <v>0</v>
      </c>
      <c r="Y489" s="1">
        <f t="shared" si="173"/>
        <v>0</v>
      </c>
      <c r="Z489" s="1">
        <f t="shared" si="174"/>
        <v>0</v>
      </c>
      <c r="AA489" s="1">
        <f t="shared" si="175"/>
        <v>0</v>
      </c>
      <c r="AB489" s="1">
        <f t="shared" si="176"/>
        <v>0</v>
      </c>
      <c r="AD489" s="1">
        <f t="shared" si="177"/>
        <v>0</v>
      </c>
      <c r="AE489" s="1">
        <f t="shared" si="178"/>
        <v>0</v>
      </c>
      <c r="AF489" s="1">
        <f t="shared" si="163"/>
        <v>0</v>
      </c>
      <c r="AG489" s="1">
        <f t="shared" si="164"/>
        <v>0</v>
      </c>
      <c r="AH489" s="1">
        <f t="shared" si="165"/>
        <v>0</v>
      </c>
      <c r="AI489" s="1">
        <f t="shared" si="166"/>
        <v>1</v>
      </c>
    </row>
    <row r="490" spans="1:35" s="1" customFormat="1" ht="14.25" customHeight="1" x14ac:dyDescent="0.25">
      <c r="A490" s="44">
        <v>1</v>
      </c>
      <c r="B490" s="44">
        <v>2</v>
      </c>
      <c r="C490" s="44">
        <v>7</v>
      </c>
      <c r="D490" s="45" t="s">
        <v>1224</v>
      </c>
      <c r="E490" s="45" t="s">
        <v>28</v>
      </c>
      <c r="F490" s="45" t="s">
        <v>1225</v>
      </c>
      <c r="G490" s="45" t="s">
        <v>519</v>
      </c>
      <c r="H490" s="45" t="s">
        <v>352</v>
      </c>
      <c r="I490" s="44" t="s">
        <v>1226</v>
      </c>
      <c r="J490" s="44">
        <v>99</v>
      </c>
      <c r="K490" s="46" t="s">
        <v>708</v>
      </c>
      <c r="L490" s="46" t="s">
        <v>709</v>
      </c>
      <c r="M490" s="47" t="s">
        <v>727</v>
      </c>
      <c r="N490" s="47" t="s">
        <v>1719</v>
      </c>
      <c r="O490" s="48"/>
      <c r="P490" s="48"/>
      <c r="Q490" s="45"/>
      <c r="S490" s="1">
        <f t="shared" si="167"/>
        <v>0</v>
      </c>
      <c r="T490" s="1">
        <f t="shared" si="168"/>
        <v>0</v>
      </c>
      <c r="U490" s="1">
        <f t="shared" si="169"/>
        <v>0</v>
      </c>
      <c r="V490" s="1">
        <f t="shared" si="170"/>
        <v>0</v>
      </c>
      <c r="W490" s="1">
        <f t="shared" si="171"/>
        <v>0</v>
      </c>
      <c r="X490" s="1">
        <f t="shared" si="172"/>
        <v>0</v>
      </c>
      <c r="Y490" s="1">
        <f t="shared" si="173"/>
        <v>0</v>
      </c>
      <c r="Z490" s="1">
        <f t="shared" si="174"/>
        <v>0</v>
      </c>
      <c r="AA490" s="1">
        <f t="shared" si="175"/>
        <v>0</v>
      </c>
      <c r="AB490" s="1">
        <f t="shared" si="176"/>
        <v>0</v>
      </c>
      <c r="AD490" s="1">
        <f t="shared" si="177"/>
        <v>0</v>
      </c>
      <c r="AE490" s="1">
        <f t="shared" si="178"/>
        <v>0</v>
      </c>
      <c r="AF490" s="1">
        <f t="shared" si="163"/>
        <v>0</v>
      </c>
      <c r="AG490" s="1">
        <f t="shared" si="164"/>
        <v>0</v>
      </c>
      <c r="AH490" s="1">
        <f t="shared" si="165"/>
        <v>0</v>
      </c>
      <c r="AI490" s="1">
        <f t="shared" si="166"/>
        <v>0</v>
      </c>
    </row>
    <row r="491" spans="1:35" s="1" customFormat="1" ht="14.25" customHeight="1" x14ac:dyDescent="0.25">
      <c r="A491" s="31">
        <v>0</v>
      </c>
      <c r="B491" s="31">
        <v>2</v>
      </c>
      <c r="C491" s="31">
        <v>7</v>
      </c>
      <c r="D491" s="32" t="s">
        <v>1830</v>
      </c>
      <c r="E491" s="32" t="s">
        <v>1152</v>
      </c>
      <c r="F491" s="32" t="s">
        <v>1831</v>
      </c>
      <c r="G491" s="32"/>
      <c r="H491" s="32" t="s">
        <v>352</v>
      </c>
      <c r="I491" s="31" t="s">
        <v>1832</v>
      </c>
      <c r="J491" s="31">
        <v>6</v>
      </c>
      <c r="K491" s="33" t="s">
        <v>699</v>
      </c>
      <c r="L491" s="33"/>
      <c r="M491" s="34"/>
      <c r="N491" s="34" t="s">
        <v>1732</v>
      </c>
      <c r="O491" s="35">
        <v>1</v>
      </c>
      <c r="P491" s="35"/>
      <c r="Q491" s="32"/>
      <c r="S491" s="1">
        <f t="shared" si="167"/>
        <v>0</v>
      </c>
      <c r="T491" s="1">
        <f t="shared" si="168"/>
        <v>0</v>
      </c>
      <c r="U491" s="1">
        <f t="shared" si="169"/>
        <v>0</v>
      </c>
      <c r="V491" s="1">
        <f t="shared" si="170"/>
        <v>0</v>
      </c>
      <c r="W491" s="1">
        <f t="shared" si="171"/>
        <v>0</v>
      </c>
      <c r="X491" s="1">
        <f t="shared" si="172"/>
        <v>1</v>
      </c>
      <c r="Y491" s="1">
        <f t="shared" si="173"/>
        <v>0</v>
      </c>
      <c r="Z491" s="1">
        <f t="shared" si="174"/>
        <v>0</v>
      </c>
      <c r="AA491" s="1">
        <f t="shared" si="175"/>
        <v>0</v>
      </c>
      <c r="AB491" s="1">
        <f t="shared" si="176"/>
        <v>0</v>
      </c>
      <c r="AD491" s="1">
        <f t="shared" si="177"/>
        <v>0</v>
      </c>
      <c r="AE491" s="1">
        <f t="shared" si="178"/>
        <v>1</v>
      </c>
      <c r="AF491" s="1">
        <f t="shared" si="163"/>
        <v>0</v>
      </c>
      <c r="AG491" s="1">
        <f t="shared" si="164"/>
        <v>1</v>
      </c>
      <c r="AH491" s="1">
        <f t="shared" si="165"/>
        <v>0</v>
      </c>
      <c r="AI491" s="1">
        <f t="shared" si="166"/>
        <v>1</v>
      </c>
    </row>
    <row r="492" spans="1:35" s="1" customFormat="1" ht="14.25" customHeight="1" x14ac:dyDescent="0.25">
      <c r="A492" s="44">
        <v>0</v>
      </c>
      <c r="B492" s="44">
        <v>2</v>
      </c>
      <c r="C492" s="44">
        <v>7</v>
      </c>
      <c r="D492" s="45" t="s">
        <v>1442</v>
      </c>
      <c r="E492" s="45" t="s">
        <v>28</v>
      </c>
      <c r="F492" s="45" t="s">
        <v>1443</v>
      </c>
      <c r="G492" s="45" t="s">
        <v>1444</v>
      </c>
      <c r="H492" s="45" t="s">
        <v>352</v>
      </c>
      <c r="I492" s="44" t="s">
        <v>1445</v>
      </c>
      <c r="J492" s="44">
        <v>99</v>
      </c>
      <c r="K492" s="46" t="s">
        <v>708</v>
      </c>
      <c r="L492" s="46" t="s">
        <v>709</v>
      </c>
      <c r="M492" s="47" t="s">
        <v>727</v>
      </c>
      <c r="N492" s="47" t="s">
        <v>1719</v>
      </c>
      <c r="O492" s="48"/>
      <c r="P492" s="48"/>
      <c r="Q492" s="45" t="s">
        <v>1915</v>
      </c>
      <c r="S492" s="1">
        <f t="shared" si="167"/>
        <v>0</v>
      </c>
      <c r="T492" s="1">
        <f t="shared" si="168"/>
        <v>0</v>
      </c>
      <c r="U492" s="1">
        <f t="shared" si="169"/>
        <v>0</v>
      </c>
      <c r="V492" s="1">
        <f t="shared" si="170"/>
        <v>0</v>
      </c>
      <c r="W492" s="1">
        <f t="shared" si="171"/>
        <v>0</v>
      </c>
      <c r="X492" s="1">
        <f t="shared" si="172"/>
        <v>0</v>
      </c>
      <c r="Y492" s="1">
        <f t="shared" si="173"/>
        <v>0</v>
      </c>
      <c r="Z492" s="1">
        <f t="shared" si="174"/>
        <v>0</v>
      </c>
      <c r="AA492" s="1">
        <f t="shared" si="175"/>
        <v>0</v>
      </c>
      <c r="AB492" s="1">
        <f t="shared" si="176"/>
        <v>0</v>
      </c>
      <c r="AD492" s="1">
        <f t="shared" si="177"/>
        <v>0</v>
      </c>
      <c r="AE492" s="1">
        <f t="shared" si="178"/>
        <v>0</v>
      </c>
      <c r="AF492" s="1">
        <f t="shared" si="163"/>
        <v>0</v>
      </c>
      <c r="AG492" s="1">
        <f t="shared" si="164"/>
        <v>0</v>
      </c>
      <c r="AH492" s="1">
        <f t="shared" si="165"/>
        <v>0</v>
      </c>
      <c r="AI492" s="1">
        <f t="shared" si="166"/>
        <v>1</v>
      </c>
    </row>
    <row r="493" spans="1:35" s="1" customFormat="1" ht="14.25" customHeight="1" x14ac:dyDescent="0.25">
      <c r="A493" s="31">
        <v>0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571</v>
      </c>
      <c r="G493" s="32" t="s">
        <v>234</v>
      </c>
      <c r="H493" s="32" t="s">
        <v>352</v>
      </c>
      <c r="I493" s="31" t="s">
        <v>578</v>
      </c>
      <c r="J493" s="31">
        <v>99</v>
      </c>
      <c r="K493" s="33" t="s">
        <v>708</v>
      </c>
      <c r="L493" s="33" t="s">
        <v>725</v>
      </c>
      <c r="M493" s="34" t="s">
        <v>1424</v>
      </c>
      <c r="N493" s="34" t="s">
        <v>1732</v>
      </c>
      <c r="O493" s="35">
        <v>1</v>
      </c>
      <c r="P493" s="35"/>
      <c r="Q493" s="32"/>
      <c r="S493" s="1">
        <f t="shared" si="167"/>
        <v>0</v>
      </c>
      <c r="T493" s="1">
        <f t="shared" si="168"/>
        <v>0</v>
      </c>
      <c r="U493" s="1">
        <f t="shared" si="169"/>
        <v>0</v>
      </c>
      <c r="V493" s="1">
        <f t="shared" si="170"/>
        <v>0</v>
      </c>
      <c r="W493" s="1">
        <f t="shared" si="171"/>
        <v>0</v>
      </c>
      <c r="X493" s="1">
        <f t="shared" si="172"/>
        <v>0</v>
      </c>
      <c r="Y493" s="1">
        <f t="shared" si="173"/>
        <v>0</v>
      </c>
      <c r="Z493" s="1">
        <f t="shared" si="174"/>
        <v>0</v>
      </c>
      <c r="AA493" s="1">
        <f t="shared" si="175"/>
        <v>0</v>
      </c>
      <c r="AB493" s="1">
        <f t="shared" si="176"/>
        <v>0</v>
      </c>
      <c r="AD493" s="1">
        <f t="shared" si="177"/>
        <v>0</v>
      </c>
      <c r="AE493" s="1">
        <f t="shared" si="178"/>
        <v>1</v>
      </c>
      <c r="AF493" s="1">
        <f t="shared" si="163"/>
        <v>0</v>
      </c>
      <c r="AG493" s="1">
        <f t="shared" si="164"/>
        <v>1</v>
      </c>
      <c r="AH493" s="1">
        <f t="shared" si="165"/>
        <v>0</v>
      </c>
      <c r="AI493" s="1">
        <f t="shared" si="166"/>
        <v>1</v>
      </c>
    </row>
    <row r="494" spans="1:35" s="1" customFormat="1" ht="14.25" customHeight="1" x14ac:dyDescent="0.25">
      <c r="A494" s="31">
        <v>1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270</v>
      </c>
      <c r="G494" s="32" t="s">
        <v>179</v>
      </c>
      <c r="H494" s="32" t="s">
        <v>352</v>
      </c>
      <c r="I494" s="31" t="s">
        <v>424</v>
      </c>
      <c r="J494" s="31">
        <v>10</v>
      </c>
      <c r="K494" s="33" t="s">
        <v>708</v>
      </c>
      <c r="L494" s="33" t="s">
        <v>725</v>
      </c>
      <c r="M494" s="34" t="s">
        <v>1424</v>
      </c>
      <c r="N494" s="34" t="s">
        <v>1732</v>
      </c>
      <c r="O494" s="35">
        <v>1</v>
      </c>
      <c r="P494" s="35"/>
      <c r="Q494" s="32"/>
      <c r="S494" s="1">
        <f t="shared" si="167"/>
        <v>0</v>
      </c>
      <c r="T494" s="1">
        <f t="shared" si="168"/>
        <v>0</v>
      </c>
      <c r="U494" s="1">
        <f t="shared" si="169"/>
        <v>0</v>
      </c>
      <c r="V494" s="1">
        <f t="shared" si="170"/>
        <v>0</v>
      </c>
      <c r="W494" s="1">
        <f t="shared" si="171"/>
        <v>0</v>
      </c>
      <c r="X494" s="1">
        <f t="shared" si="172"/>
        <v>0</v>
      </c>
      <c r="Y494" s="1">
        <f t="shared" si="173"/>
        <v>0</v>
      </c>
      <c r="Z494" s="1">
        <f t="shared" si="174"/>
        <v>0</v>
      </c>
      <c r="AA494" s="1">
        <f t="shared" si="175"/>
        <v>0</v>
      </c>
      <c r="AB494" s="1">
        <f t="shared" si="176"/>
        <v>1</v>
      </c>
      <c r="AD494" s="1">
        <f t="shared" si="177"/>
        <v>0</v>
      </c>
      <c r="AE494" s="1">
        <f t="shared" si="178"/>
        <v>1</v>
      </c>
      <c r="AF494" s="1">
        <f t="shared" si="163"/>
        <v>0</v>
      </c>
      <c r="AG494" s="1">
        <f t="shared" si="164"/>
        <v>0</v>
      </c>
      <c r="AH494" s="1">
        <f t="shared" si="165"/>
        <v>0</v>
      </c>
      <c r="AI494" s="1">
        <f t="shared" si="166"/>
        <v>0</v>
      </c>
    </row>
    <row r="495" spans="1:35" s="1" customFormat="1" ht="14.25" customHeight="1" x14ac:dyDescent="0.25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271</v>
      </c>
      <c r="G495" s="32" t="s">
        <v>39</v>
      </c>
      <c r="H495" s="32" t="s">
        <v>352</v>
      </c>
      <c r="I495" s="31" t="s">
        <v>425</v>
      </c>
      <c r="J495" s="31">
        <v>5</v>
      </c>
      <c r="K495" s="33" t="s">
        <v>708</v>
      </c>
      <c r="L495" s="33" t="s">
        <v>725</v>
      </c>
      <c r="M495" s="34" t="s">
        <v>1424</v>
      </c>
      <c r="N495" s="34" t="s">
        <v>1732</v>
      </c>
      <c r="O495" s="35">
        <v>1</v>
      </c>
      <c r="P495" s="35"/>
      <c r="Q495" s="32"/>
      <c r="S495" s="1">
        <f t="shared" si="167"/>
        <v>0</v>
      </c>
      <c r="T495" s="1">
        <f t="shared" si="168"/>
        <v>0</v>
      </c>
      <c r="U495" s="1">
        <f t="shared" si="169"/>
        <v>0</v>
      </c>
      <c r="V495" s="1">
        <f t="shared" si="170"/>
        <v>0</v>
      </c>
      <c r="W495" s="1">
        <f t="shared" si="171"/>
        <v>1</v>
      </c>
      <c r="X495" s="1">
        <f t="shared" si="172"/>
        <v>0</v>
      </c>
      <c r="Y495" s="1">
        <f t="shared" si="173"/>
        <v>0</v>
      </c>
      <c r="Z495" s="1">
        <f t="shared" si="174"/>
        <v>0</v>
      </c>
      <c r="AA495" s="1">
        <f t="shared" si="175"/>
        <v>0</v>
      </c>
      <c r="AB495" s="1">
        <f t="shared" si="176"/>
        <v>0</v>
      </c>
      <c r="AD495" s="1">
        <f t="shared" si="177"/>
        <v>0</v>
      </c>
      <c r="AE495" s="1">
        <f t="shared" si="178"/>
        <v>1</v>
      </c>
      <c r="AF495" s="1">
        <f t="shared" si="163"/>
        <v>0</v>
      </c>
      <c r="AG495" s="1">
        <f t="shared" si="164"/>
        <v>0</v>
      </c>
      <c r="AH495" s="1">
        <f t="shared" si="165"/>
        <v>0</v>
      </c>
      <c r="AI495" s="1">
        <f t="shared" si="166"/>
        <v>0</v>
      </c>
    </row>
    <row r="496" spans="1:35" s="1" customFormat="1" ht="14.25" customHeight="1" x14ac:dyDescent="0.25">
      <c r="A496" s="31">
        <v>1</v>
      </c>
      <c r="B496" s="31">
        <v>2</v>
      </c>
      <c r="C496" s="31">
        <v>7</v>
      </c>
      <c r="D496" s="32" t="s">
        <v>43</v>
      </c>
      <c r="E496" s="32" t="s">
        <v>537</v>
      </c>
      <c r="F496" s="32" t="s">
        <v>275</v>
      </c>
      <c r="G496" s="32" t="s">
        <v>193</v>
      </c>
      <c r="H496" s="32" t="s">
        <v>352</v>
      </c>
      <c r="I496" s="31" t="s">
        <v>429</v>
      </c>
      <c r="J496" s="31">
        <v>9</v>
      </c>
      <c r="K496" s="33" t="s">
        <v>708</v>
      </c>
      <c r="L496" s="33" t="s">
        <v>725</v>
      </c>
      <c r="M496" s="34" t="s">
        <v>1424</v>
      </c>
      <c r="N496" s="34" t="s">
        <v>1732</v>
      </c>
      <c r="O496" s="35">
        <v>1</v>
      </c>
      <c r="P496" s="35"/>
      <c r="Q496" s="32"/>
      <c r="S496" s="1">
        <f t="shared" si="167"/>
        <v>0</v>
      </c>
      <c r="T496" s="1">
        <f t="shared" si="168"/>
        <v>0</v>
      </c>
      <c r="U496" s="1">
        <f t="shared" si="169"/>
        <v>0</v>
      </c>
      <c r="V496" s="1">
        <f t="shared" si="170"/>
        <v>0</v>
      </c>
      <c r="W496" s="1">
        <f t="shared" si="171"/>
        <v>0</v>
      </c>
      <c r="X496" s="1">
        <f t="shared" si="172"/>
        <v>0</v>
      </c>
      <c r="Y496" s="1">
        <f t="shared" si="173"/>
        <v>0</v>
      </c>
      <c r="Z496" s="1">
        <f t="shared" si="174"/>
        <v>0</v>
      </c>
      <c r="AA496" s="1">
        <f t="shared" si="175"/>
        <v>1</v>
      </c>
      <c r="AB496" s="1">
        <f t="shared" si="176"/>
        <v>0</v>
      </c>
      <c r="AD496" s="1">
        <f t="shared" si="177"/>
        <v>0</v>
      </c>
      <c r="AE496" s="1">
        <f t="shared" si="178"/>
        <v>1</v>
      </c>
      <c r="AF496" s="1">
        <f t="shared" si="163"/>
        <v>0</v>
      </c>
      <c r="AG496" s="1">
        <f t="shared" si="164"/>
        <v>0</v>
      </c>
      <c r="AH496" s="1">
        <f t="shared" si="165"/>
        <v>0</v>
      </c>
      <c r="AI496" s="1">
        <f t="shared" si="166"/>
        <v>0</v>
      </c>
    </row>
    <row r="497" spans="1:35" s="1" customFormat="1" ht="14.25" customHeight="1" x14ac:dyDescent="0.25">
      <c r="A497" s="44">
        <v>0</v>
      </c>
      <c r="B497" s="44">
        <v>2</v>
      </c>
      <c r="C497" s="44">
        <v>7</v>
      </c>
      <c r="D497" s="45" t="s">
        <v>1545</v>
      </c>
      <c r="E497" s="45" t="s">
        <v>28</v>
      </c>
      <c r="F497" s="45" t="s">
        <v>1546</v>
      </c>
      <c r="G497" s="45" t="s">
        <v>237</v>
      </c>
      <c r="H497" s="45" t="s">
        <v>352</v>
      </c>
      <c r="I497" s="44" t="s">
        <v>1679</v>
      </c>
      <c r="J497" s="44">
        <v>4</v>
      </c>
      <c r="K497" s="46" t="s">
        <v>709</v>
      </c>
      <c r="L497" s="46" t="s">
        <v>709</v>
      </c>
      <c r="M497" s="47" t="s">
        <v>727</v>
      </c>
      <c r="N497" s="47" t="s">
        <v>1719</v>
      </c>
      <c r="O497" s="48"/>
      <c r="P497" s="48"/>
      <c r="Q497" s="45"/>
      <c r="S497" s="1">
        <f t="shared" si="167"/>
        <v>0</v>
      </c>
      <c r="T497" s="1">
        <f t="shared" si="168"/>
        <v>0</v>
      </c>
      <c r="U497" s="1">
        <f t="shared" si="169"/>
        <v>0</v>
      </c>
      <c r="V497" s="1">
        <f t="shared" si="170"/>
        <v>1</v>
      </c>
      <c r="W497" s="1">
        <f t="shared" si="171"/>
        <v>0</v>
      </c>
      <c r="X497" s="1">
        <f t="shared" si="172"/>
        <v>0</v>
      </c>
      <c r="Y497" s="1">
        <f t="shared" si="173"/>
        <v>0</v>
      </c>
      <c r="Z497" s="1">
        <f t="shared" si="174"/>
        <v>0</v>
      </c>
      <c r="AA497" s="1">
        <f t="shared" si="175"/>
        <v>0</v>
      </c>
      <c r="AB497" s="1">
        <f t="shared" si="176"/>
        <v>0</v>
      </c>
      <c r="AD497" s="1">
        <f t="shared" si="177"/>
        <v>0</v>
      </c>
      <c r="AE497" s="1">
        <f t="shared" si="178"/>
        <v>0</v>
      </c>
      <c r="AF497" s="1">
        <f t="shared" si="163"/>
        <v>0</v>
      </c>
      <c r="AG497" s="1">
        <f t="shared" si="164"/>
        <v>0</v>
      </c>
      <c r="AH497" s="1">
        <f t="shared" si="165"/>
        <v>0</v>
      </c>
      <c r="AI497" s="1">
        <f t="shared" si="166"/>
        <v>1</v>
      </c>
    </row>
    <row r="498" spans="1:35" s="1" customFormat="1" ht="14.25" customHeight="1" x14ac:dyDescent="0.25">
      <c r="A498" s="44">
        <v>0</v>
      </c>
      <c r="B498" s="44">
        <v>2</v>
      </c>
      <c r="C498" s="44">
        <v>7</v>
      </c>
      <c r="D498" s="45" t="s">
        <v>63</v>
      </c>
      <c r="E498" s="45" t="s">
        <v>44</v>
      </c>
      <c r="F498" s="45" t="s">
        <v>235</v>
      </c>
      <c r="G498" s="45" t="s">
        <v>199</v>
      </c>
      <c r="H498" s="45" t="s">
        <v>352</v>
      </c>
      <c r="I498" s="44" t="s">
        <v>400</v>
      </c>
      <c r="J498" s="44">
        <v>2</v>
      </c>
      <c r="K498" s="46" t="s">
        <v>709</v>
      </c>
      <c r="L498" s="46" t="s">
        <v>718</v>
      </c>
      <c r="M498" s="47" t="s">
        <v>731</v>
      </c>
      <c r="N498" s="47" t="s">
        <v>1719</v>
      </c>
      <c r="O498" s="48"/>
      <c r="P498" s="48"/>
      <c r="Q498" s="45"/>
      <c r="S498" s="1">
        <f t="shared" si="167"/>
        <v>0</v>
      </c>
      <c r="T498" s="1">
        <f t="shared" si="168"/>
        <v>1</v>
      </c>
      <c r="U498" s="1">
        <f t="shared" si="169"/>
        <v>0</v>
      </c>
      <c r="V498" s="1">
        <f t="shared" si="170"/>
        <v>0</v>
      </c>
      <c r="W498" s="1">
        <f t="shared" si="171"/>
        <v>0</v>
      </c>
      <c r="X498" s="1">
        <f t="shared" si="172"/>
        <v>0</v>
      </c>
      <c r="Y498" s="1">
        <f t="shared" si="173"/>
        <v>0</v>
      </c>
      <c r="Z498" s="1">
        <f t="shared" si="174"/>
        <v>0</v>
      </c>
      <c r="AA498" s="1">
        <f t="shared" si="175"/>
        <v>0</v>
      </c>
      <c r="AB498" s="1">
        <f t="shared" si="176"/>
        <v>0</v>
      </c>
      <c r="AD498" s="1">
        <f t="shared" si="177"/>
        <v>0</v>
      </c>
      <c r="AE498" s="1">
        <f t="shared" si="178"/>
        <v>0</v>
      </c>
      <c r="AF498" s="1">
        <f t="shared" si="163"/>
        <v>0</v>
      </c>
      <c r="AG498" s="1">
        <f t="shared" si="164"/>
        <v>0</v>
      </c>
      <c r="AH498" s="1">
        <f t="shared" si="165"/>
        <v>0</v>
      </c>
      <c r="AI498" s="1">
        <f t="shared" si="166"/>
        <v>1</v>
      </c>
    </row>
    <row r="499" spans="1:35" s="1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Q499" s="20"/>
    </row>
    <row r="500" spans="1:35" s="1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35" s="1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35" s="1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35" s="1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35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35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35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35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35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35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35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35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35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L786" s="10"/>
      <c r="M786" s="19"/>
      <c r="N786" s="17"/>
      <c r="Q786" s="20"/>
    </row>
    <row r="787" spans="1:17" s="1" customFormat="1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L787" s="10"/>
      <c r="M787" s="19"/>
      <c r="N787" s="17"/>
      <c r="Q787" s="20"/>
    </row>
    <row r="788" spans="1:17" s="1" customFormat="1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L788" s="10"/>
      <c r="M788" s="19"/>
      <c r="N788" s="17"/>
      <c r="Q788" s="20"/>
    </row>
    <row r="789" spans="1:17" s="1" customFormat="1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L789" s="10"/>
      <c r="M789" s="19"/>
      <c r="N789" s="17"/>
      <c r="Q789" s="20"/>
    </row>
    <row r="790" spans="1:17" s="1" customFormat="1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L790" s="10"/>
      <c r="M790" s="19"/>
      <c r="N790" s="17"/>
      <c r="Q790" s="16"/>
    </row>
    <row r="791" spans="1:17" s="1" customFormat="1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L791" s="10"/>
      <c r="M791" s="19"/>
      <c r="N791" s="17"/>
      <c r="Q791" s="16"/>
    </row>
    <row r="792" spans="1:17" s="1" customFormat="1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L792" s="10"/>
      <c r="M792" s="19"/>
      <c r="N792" s="17"/>
      <c r="Q792" s="16"/>
    </row>
    <row r="793" spans="1:17" s="1" customFormat="1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L793" s="10"/>
      <c r="M793" s="19"/>
      <c r="N793" s="17"/>
      <c r="Q793" s="16"/>
    </row>
    <row r="794" spans="1:17" s="1" customFormat="1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L794" s="10"/>
      <c r="M794" s="17"/>
      <c r="N794" s="17"/>
      <c r="Q794" s="16"/>
    </row>
    <row r="795" spans="1:17" s="1" customFormat="1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L795" s="10"/>
      <c r="M795" s="17"/>
      <c r="N795" s="17"/>
      <c r="Q795" s="16"/>
    </row>
    <row r="796" spans="1:17" s="1" customFormat="1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L796" s="10"/>
      <c r="M796" s="17"/>
      <c r="N796" s="17"/>
      <c r="Q796" s="16"/>
    </row>
    <row r="797" spans="1:17" s="1" customFormat="1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L797" s="10"/>
      <c r="M797" s="17"/>
      <c r="N797" s="17"/>
      <c r="Q797" s="16"/>
    </row>
  </sheetData>
  <autoFilter ref="A7:Q498" xr:uid="{AEE30112-88BB-441D-AEFC-A7A733AB1798}">
    <sortState xmlns:xlrd2="http://schemas.microsoft.com/office/spreadsheetml/2017/richdata2" ref="A8:Q498">
      <sortCondition ref="B8:B498"/>
      <sortCondition ref="C8:C498"/>
      <sortCondition ref="D8:D498"/>
      <sortCondition ref="A8:A498"/>
    </sortState>
  </autoFilter>
  <sortState xmlns:xlrd2="http://schemas.microsoft.com/office/spreadsheetml/2017/richdata2" ref="A8:Q498">
    <sortCondition ref="B8:B498"/>
    <sortCondition ref="C8:C498"/>
    <sortCondition ref="D8:D498"/>
    <sortCondition ref="A8:A49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2026-08-27T09:51:00Z</dcterms:modified>
</cp:coreProperties>
</file>