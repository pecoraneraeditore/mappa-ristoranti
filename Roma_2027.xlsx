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36EFEC2-8D70-4CB2-B750-C75A24B0AD9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golose'!$A$7:$Q$507</definedName>
    <definedName name="_xlnm.Print_Area" localSheetId="0">'Tavole e pause golose'!$D$7:$I$189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05" i="6" l="1"/>
  <c r="AE105" i="6"/>
  <c r="AF105" i="6"/>
  <c r="AG105" i="6"/>
  <c r="AH105" i="6"/>
  <c r="AI105" i="6"/>
  <c r="AD106" i="6"/>
  <c r="AE106" i="6"/>
  <c r="AF106" i="6"/>
  <c r="AG106" i="6"/>
  <c r="AH106" i="6"/>
  <c r="AI106" i="6"/>
  <c r="AD107" i="6"/>
  <c r="AE107" i="6"/>
  <c r="AF107" i="6"/>
  <c r="AG107" i="6"/>
  <c r="AH107" i="6"/>
  <c r="AI107" i="6"/>
  <c r="AD108" i="6"/>
  <c r="AE108" i="6"/>
  <c r="AF108" i="6"/>
  <c r="AG108" i="6"/>
  <c r="AH108" i="6"/>
  <c r="AI108" i="6"/>
  <c r="AD109" i="6"/>
  <c r="AE109" i="6"/>
  <c r="AF109" i="6"/>
  <c r="AG109" i="6"/>
  <c r="AH109" i="6"/>
  <c r="AI109" i="6"/>
  <c r="AD110" i="6"/>
  <c r="AE110" i="6"/>
  <c r="AF110" i="6"/>
  <c r="AG110" i="6"/>
  <c r="AH110" i="6"/>
  <c r="AI110" i="6"/>
  <c r="S107" i="6"/>
  <c r="T107" i="6"/>
  <c r="U107" i="6"/>
  <c r="V107" i="6"/>
  <c r="W107" i="6"/>
  <c r="X107" i="6"/>
  <c r="Y107" i="6"/>
  <c r="Z107" i="6"/>
  <c r="AA107" i="6"/>
  <c r="AB107" i="6"/>
  <c r="AD121" i="6"/>
  <c r="AE121" i="6"/>
  <c r="AF121" i="6"/>
  <c r="AG121" i="6"/>
  <c r="S121" i="6"/>
  <c r="AH121" i="6"/>
  <c r="AI121" i="6"/>
  <c r="AD394" i="6"/>
  <c r="AE394" i="6"/>
  <c r="AF394" i="6"/>
  <c r="AG394" i="6"/>
  <c r="S394" i="6"/>
  <c r="AH394" i="6"/>
  <c r="AI394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AD125" i="6"/>
  <c r="AE125" i="6"/>
  <c r="AF125" i="6"/>
  <c r="AG125" i="6"/>
  <c r="AH125" i="6"/>
  <c r="AI125" i="6"/>
  <c r="AD126" i="6"/>
  <c r="AE126" i="6"/>
  <c r="AF126" i="6"/>
  <c r="AG126" i="6"/>
  <c r="AH126" i="6"/>
  <c r="AI126" i="6"/>
  <c r="S124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501" i="6" l="1"/>
  <c r="S500" i="6"/>
  <c r="AI501" i="6"/>
  <c r="AH501" i="6"/>
  <c r="AG501" i="6"/>
  <c r="AF501" i="6"/>
  <c r="AE501" i="6"/>
  <c r="AD501" i="6"/>
  <c r="AD500" i="6"/>
  <c r="AE500" i="6"/>
  <c r="AF500" i="6"/>
  <c r="AG500" i="6"/>
  <c r="AH500" i="6"/>
  <c r="AI500" i="6"/>
  <c r="AD294" i="6"/>
  <c r="AE294" i="6"/>
  <c r="AF294" i="6"/>
  <c r="AG294" i="6"/>
  <c r="AH294" i="6"/>
  <c r="AI294" i="6"/>
  <c r="S294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AD115" i="6"/>
  <c r="AE115" i="6"/>
  <c r="AF115" i="6"/>
  <c r="AG115" i="6"/>
  <c r="AH115" i="6"/>
  <c r="AI115" i="6"/>
  <c r="S113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S106" i="6"/>
  <c r="S108" i="6"/>
  <c r="S109" i="6"/>
  <c r="S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4" i="6"/>
  <c r="S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2" i="6"/>
  <c r="AD122" i="6"/>
  <c r="AE122" i="6"/>
  <c r="AF122" i="6"/>
  <c r="AG122" i="6"/>
  <c r="AH122" i="6"/>
  <c r="AI122" i="6"/>
  <c r="S123" i="6"/>
  <c r="S125" i="6"/>
  <c r="S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1" i="6" s="1"/>
  <c r="T124" i="6" l="1"/>
  <c r="T394" i="6"/>
  <c r="T169" i="6"/>
  <c r="T333" i="6"/>
  <c r="T334" i="6"/>
  <c r="T335" i="6"/>
  <c r="T336" i="6"/>
  <c r="T337" i="6"/>
  <c r="T500" i="6"/>
  <c r="T501" i="6"/>
  <c r="T294" i="6"/>
  <c r="T55" i="6"/>
  <c r="T113" i="6"/>
  <c r="T207" i="6"/>
  <c r="T205" i="6"/>
  <c r="T206" i="6"/>
  <c r="T204" i="6"/>
  <c r="T175" i="6"/>
  <c r="T174" i="6"/>
  <c r="T173" i="6"/>
  <c r="T172" i="6"/>
  <c r="T171" i="6"/>
  <c r="T170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10" i="6"/>
  <c r="T129" i="6"/>
  <c r="T137" i="6"/>
  <c r="T102" i="6"/>
  <c r="T120" i="6"/>
  <c r="T146" i="6"/>
  <c r="T150" i="6"/>
  <c r="T112" i="6"/>
  <c r="T134" i="6"/>
  <c r="T166" i="6"/>
  <c r="T104" i="6"/>
  <c r="T123" i="6"/>
  <c r="T142" i="6"/>
  <c r="T115" i="6"/>
  <c r="T131" i="6"/>
  <c r="T139" i="6"/>
  <c r="T106" i="6"/>
  <c r="T126" i="6"/>
  <c r="T145" i="6"/>
  <c r="T149" i="6"/>
  <c r="T153" i="6"/>
  <c r="T157" i="6"/>
  <c r="T161" i="6"/>
  <c r="T165" i="6"/>
  <c r="T99" i="6"/>
  <c r="T117" i="6"/>
  <c r="T136" i="6"/>
  <c r="T109" i="6"/>
  <c r="T128" i="6"/>
  <c r="T101" i="6"/>
  <c r="T119" i="6"/>
  <c r="T133" i="6"/>
  <c r="T141" i="6"/>
  <c r="T111" i="6"/>
  <c r="T144" i="6"/>
  <c r="T148" i="6"/>
  <c r="T152" i="6"/>
  <c r="T156" i="6"/>
  <c r="T160" i="6"/>
  <c r="T164" i="6"/>
  <c r="T103" i="6"/>
  <c r="T122" i="6"/>
  <c r="T130" i="6"/>
  <c r="T138" i="6"/>
  <c r="T114" i="6"/>
  <c r="T105" i="6"/>
  <c r="T125" i="6"/>
  <c r="T135" i="6"/>
  <c r="T168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116" i="6"/>
  <c r="T147" i="6"/>
  <c r="T151" i="6"/>
  <c r="T155" i="6"/>
  <c r="T159" i="6"/>
  <c r="T163" i="6"/>
  <c r="T108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5" i="6"/>
  <c r="T296" i="6"/>
  <c r="T297" i="6"/>
  <c r="T298" i="6"/>
  <c r="T299" i="6"/>
  <c r="T300" i="6"/>
  <c r="T301" i="6"/>
  <c r="T302" i="6"/>
  <c r="T303" i="6"/>
  <c r="T118" i="6"/>
  <c r="T127" i="6"/>
  <c r="T140" i="6"/>
  <c r="T167" i="6"/>
  <c r="T132" i="6"/>
  <c r="T143" i="6"/>
  <c r="T100" i="6"/>
  <c r="T162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158" i="6"/>
  <c r="T154" i="6"/>
  <c r="T424" i="6"/>
  <c r="T423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507" i="6"/>
  <c r="T506" i="6"/>
  <c r="T505" i="6"/>
  <c r="T504" i="6"/>
  <c r="T503" i="6"/>
  <c r="T502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9" i="6"/>
  <c r="T11" i="6"/>
  <c r="U7" i="6"/>
  <c r="U121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24" i="6" l="1"/>
  <c r="U394" i="6"/>
  <c r="U333" i="6"/>
  <c r="U334" i="6"/>
  <c r="U335" i="6"/>
  <c r="U336" i="6"/>
  <c r="U337" i="6"/>
  <c r="U294" i="6"/>
  <c r="U501" i="6"/>
  <c r="U500" i="6"/>
  <c r="U113" i="6"/>
  <c r="U55" i="6"/>
  <c r="U169" i="6"/>
  <c r="U170" i="6"/>
  <c r="U171" i="6"/>
  <c r="U172" i="6"/>
  <c r="U173" i="6"/>
  <c r="U174" i="6"/>
  <c r="U175" i="6"/>
  <c r="U207" i="6"/>
  <c r="U204" i="6"/>
  <c r="U205" i="6"/>
  <c r="U206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8" i="6"/>
  <c r="U167" i="6"/>
  <c r="U110" i="6"/>
  <c r="U129" i="6"/>
  <c r="U137" i="6"/>
  <c r="U102" i="6"/>
  <c r="U120" i="6"/>
  <c r="U146" i="6"/>
  <c r="U150" i="6"/>
  <c r="U154" i="6"/>
  <c r="U158" i="6"/>
  <c r="U162" i="6"/>
  <c r="U112" i="6"/>
  <c r="U134" i="6"/>
  <c r="U166" i="6"/>
  <c r="U56" i="6"/>
  <c r="U104" i="6"/>
  <c r="U123" i="6"/>
  <c r="U142" i="6"/>
  <c r="U42" i="6"/>
  <c r="U80" i="6"/>
  <c r="U115" i="6"/>
  <c r="U131" i="6"/>
  <c r="U139" i="6"/>
  <c r="U40" i="6"/>
  <c r="U106" i="6"/>
  <c r="U126" i="6"/>
  <c r="U145" i="6"/>
  <c r="U149" i="6"/>
  <c r="U153" i="6"/>
  <c r="U157" i="6"/>
  <c r="U161" i="6"/>
  <c r="U165" i="6"/>
  <c r="U38" i="6"/>
  <c r="U99" i="6"/>
  <c r="U117" i="6"/>
  <c r="U136" i="6"/>
  <c r="U36" i="6"/>
  <c r="U109" i="6"/>
  <c r="U128" i="6"/>
  <c r="U34" i="6"/>
  <c r="U47" i="6"/>
  <c r="U101" i="6"/>
  <c r="U119" i="6"/>
  <c r="U133" i="6"/>
  <c r="U141" i="6"/>
  <c r="U32" i="6"/>
  <c r="U72" i="6"/>
  <c r="U111" i="6"/>
  <c r="U144" i="6"/>
  <c r="U148" i="6"/>
  <c r="U152" i="6"/>
  <c r="U156" i="6"/>
  <c r="U160" i="6"/>
  <c r="U164" i="6"/>
  <c r="U30" i="6"/>
  <c r="U103" i="6"/>
  <c r="U122" i="6"/>
  <c r="U130" i="6"/>
  <c r="U138" i="6"/>
  <c r="U28" i="6"/>
  <c r="U114" i="6"/>
  <c r="U26" i="6"/>
  <c r="U105" i="6"/>
  <c r="U125" i="6"/>
  <c r="U135" i="6"/>
  <c r="U168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240" i="6"/>
  <c r="U241" i="6"/>
  <c r="U64" i="6"/>
  <c r="U108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5" i="6"/>
  <c r="U296" i="6"/>
  <c r="U297" i="6"/>
  <c r="U298" i="6"/>
  <c r="U299" i="6"/>
  <c r="U300" i="6"/>
  <c r="U301" i="6"/>
  <c r="U302" i="6"/>
  <c r="U116" i="6"/>
  <c r="U127" i="6"/>
  <c r="U140" i="6"/>
  <c r="U151" i="6"/>
  <c r="U155" i="6"/>
  <c r="U159" i="6"/>
  <c r="U163" i="6"/>
  <c r="U147" i="6"/>
  <c r="U132" i="6"/>
  <c r="U143" i="6"/>
  <c r="U24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98" i="6"/>
  <c r="U361" i="6"/>
  <c r="U377" i="6"/>
  <c r="U366" i="6"/>
  <c r="U371" i="6"/>
  <c r="U376" i="6"/>
  <c r="U357" i="6"/>
  <c r="U365" i="6"/>
  <c r="U360" i="6"/>
  <c r="U370" i="6"/>
  <c r="U375" i="6"/>
  <c r="U372" i="6"/>
  <c r="U364" i="6"/>
  <c r="U36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356" i="6"/>
  <c r="U374" i="6"/>
  <c r="U359" i="6"/>
  <c r="U363" i="6"/>
  <c r="U379" i="6"/>
  <c r="U368" i="6"/>
  <c r="U373" i="6"/>
  <c r="U362" i="6"/>
  <c r="U378" i="6"/>
  <c r="U367" i="6"/>
  <c r="U358" i="6"/>
  <c r="U490" i="6"/>
  <c r="U494" i="6"/>
  <c r="U496" i="6"/>
  <c r="U498" i="6"/>
  <c r="U502" i="6"/>
  <c r="U503" i="6"/>
  <c r="U504" i="6"/>
  <c r="U506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1" i="6"/>
  <c r="U492" i="6"/>
  <c r="U493" i="6"/>
  <c r="U495" i="6"/>
  <c r="U497" i="6"/>
  <c r="U499" i="6"/>
  <c r="U505" i="6"/>
  <c r="U507" i="6"/>
  <c r="V7" i="6"/>
  <c r="V121" i="6" s="1"/>
  <c r="U9" i="6"/>
  <c r="U11" i="6"/>
  <c r="U10" i="6"/>
  <c r="U8" i="6"/>
  <c r="U12" i="6"/>
  <c r="F5" i="6"/>
  <c r="G5" i="6"/>
  <c r="E5" i="6"/>
  <c r="H4" i="6"/>
  <c r="H3" i="6"/>
  <c r="T5" i="6"/>
  <c r="V124" i="6" l="1"/>
  <c r="V394" i="6"/>
  <c r="V333" i="6"/>
  <c r="V334" i="6"/>
  <c r="V335" i="6"/>
  <c r="V336" i="6"/>
  <c r="V337" i="6"/>
  <c r="V294" i="6"/>
  <c r="V501" i="6"/>
  <c r="V500" i="6"/>
  <c r="V113" i="6"/>
  <c r="V55" i="6"/>
  <c r="V169" i="6"/>
  <c r="V170" i="6"/>
  <c r="V171" i="6"/>
  <c r="V172" i="6"/>
  <c r="V173" i="6"/>
  <c r="V174" i="6"/>
  <c r="V175" i="6"/>
  <c r="V204" i="6"/>
  <c r="V205" i="6"/>
  <c r="V206" i="6"/>
  <c r="V20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8" i="6"/>
  <c r="V109" i="6"/>
  <c r="V110" i="6"/>
  <c r="V111" i="6"/>
  <c r="V112" i="6"/>
  <c r="V114" i="6"/>
  <c r="V115" i="6"/>
  <c r="V116" i="6"/>
  <c r="V117" i="6"/>
  <c r="V118" i="6"/>
  <c r="V119" i="6"/>
  <c r="V120" i="6"/>
  <c r="V122" i="6"/>
  <c r="V123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97" i="6"/>
  <c r="V96" i="6"/>
  <c r="V95" i="6"/>
  <c r="V94" i="6"/>
  <c r="V93" i="6"/>
  <c r="V92" i="6"/>
  <c r="V166" i="6"/>
  <c r="V91" i="6"/>
  <c r="V165" i="6"/>
  <c r="V237" i="6"/>
  <c r="V183" i="6"/>
  <c r="V191" i="6"/>
  <c r="V199" i="6"/>
  <c r="V208" i="6"/>
  <c r="V216" i="6"/>
  <c r="V224" i="6"/>
  <c r="V180" i="6"/>
  <c r="V188" i="6"/>
  <c r="V196" i="6"/>
  <c r="V213" i="6"/>
  <c r="V221" i="6"/>
  <c r="V229" i="6"/>
  <c r="V236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32" i="6"/>
  <c r="V241" i="6"/>
  <c r="V177" i="6"/>
  <c r="V185" i="6"/>
  <c r="V193" i="6"/>
  <c r="V201" i="6"/>
  <c r="V210" i="6"/>
  <c r="V218" i="6"/>
  <c r="V167" i="6"/>
  <c r="V182" i="6"/>
  <c r="V190" i="6"/>
  <c r="V198" i="6"/>
  <c r="V215" i="6"/>
  <c r="V223" i="6"/>
  <c r="V235" i="6"/>
  <c r="V240" i="6"/>
  <c r="V179" i="6"/>
  <c r="V187" i="6"/>
  <c r="V195" i="6"/>
  <c r="V203" i="6"/>
  <c r="V212" i="6"/>
  <c r="V220" i="6"/>
  <c r="V228" i="6"/>
  <c r="V231" i="6"/>
  <c r="V239" i="6"/>
  <c r="V176" i="6"/>
  <c r="V184" i="6"/>
  <c r="V192" i="6"/>
  <c r="V200" i="6"/>
  <c r="V209" i="6"/>
  <c r="V217" i="6"/>
  <c r="V225" i="6"/>
  <c r="V234" i="6"/>
  <c r="V181" i="6"/>
  <c r="V189" i="6"/>
  <c r="V197" i="6"/>
  <c r="V230" i="6"/>
  <c r="V178" i="6"/>
  <c r="V233" i="6"/>
  <c r="V298" i="6"/>
  <c r="V295" i="6"/>
  <c r="V301" i="6"/>
  <c r="V227" i="6"/>
  <c r="V291" i="6"/>
  <c r="V194" i="6"/>
  <c r="V219" i="6"/>
  <c r="V300" i="6"/>
  <c r="V293" i="6"/>
  <c r="V211" i="6"/>
  <c r="V238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186" i="6"/>
  <c r="V226" i="6"/>
  <c r="V222" i="6"/>
  <c r="V296" i="6"/>
  <c r="V299" i="6"/>
  <c r="V302" i="6"/>
  <c r="V202" i="6"/>
  <c r="V214" i="6"/>
  <c r="V297" i="6"/>
  <c r="V292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168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2" i="6"/>
  <c r="V503" i="6"/>
  <c r="V504" i="6"/>
  <c r="V505" i="6"/>
  <c r="V506" i="6"/>
  <c r="V507" i="6"/>
  <c r="V12" i="6"/>
  <c r="V9" i="6"/>
  <c r="W7" i="6"/>
  <c r="W121" i="6" s="1"/>
  <c r="V10" i="6"/>
  <c r="V11" i="6"/>
  <c r="V8" i="6"/>
  <c r="U5" i="6"/>
  <c r="H5" i="6"/>
  <c r="W124" i="6" l="1"/>
  <c r="W394" i="6"/>
  <c r="W333" i="6"/>
  <c r="W334" i="6"/>
  <c r="W335" i="6"/>
  <c r="W336" i="6"/>
  <c r="W337" i="6"/>
  <c r="W294" i="6"/>
  <c r="W501" i="6"/>
  <c r="W500" i="6"/>
  <c r="W113" i="6"/>
  <c r="W55" i="6"/>
  <c r="W169" i="6"/>
  <c r="W170" i="6"/>
  <c r="W171" i="6"/>
  <c r="W172" i="6"/>
  <c r="W173" i="6"/>
  <c r="W174" i="6"/>
  <c r="W175" i="6"/>
  <c r="W204" i="6"/>
  <c r="W205" i="6"/>
  <c r="W206" i="6"/>
  <c r="W20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8" i="6"/>
  <c r="W109" i="6"/>
  <c r="W110" i="6"/>
  <c r="W111" i="6"/>
  <c r="W112" i="6"/>
  <c r="W114" i="6"/>
  <c r="W115" i="6"/>
  <c r="W116" i="6"/>
  <c r="W117" i="6"/>
  <c r="W118" i="6"/>
  <c r="W119" i="6"/>
  <c r="W120" i="6"/>
  <c r="W122" i="6"/>
  <c r="W123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90" i="6"/>
  <c r="W97" i="6"/>
  <c r="W96" i="6"/>
  <c r="W95" i="6"/>
  <c r="W94" i="6"/>
  <c r="W93" i="6"/>
  <c r="W92" i="6"/>
  <c r="W91" i="6"/>
  <c r="W178" i="6"/>
  <c r="W186" i="6"/>
  <c r="W194" i="6"/>
  <c r="W202" i="6"/>
  <c r="W211" i="6"/>
  <c r="W219" i="6"/>
  <c r="W227" i="6"/>
  <c r="W233" i="6"/>
  <c r="W237" i="6"/>
  <c r="W183" i="6"/>
  <c r="W191" i="6"/>
  <c r="W199" i="6"/>
  <c r="W208" i="6"/>
  <c r="W216" i="6"/>
  <c r="W224" i="6"/>
  <c r="W180" i="6"/>
  <c r="W188" i="6"/>
  <c r="W196" i="6"/>
  <c r="W213" i="6"/>
  <c r="W221" i="6"/>
  <c r="W229" i="6"/>
  <c r="W236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5" i="6"/>
  <c r="W296" i="6"/>
  <c r="W177" i="6"/>
  <c r="W185" i="6"/>
  <c r="W193" i="6"/>
  <c r="W201" i="6"/>
  <c r="W210" i="6"/>
  <c r="W218" i="6"/>
  <c r="W226" i="6"/>
  <c r="W182" i="6"/>
  <c r="W190" i="6"/>
  <c r="W198" i="6"/>
  <c r="W215" i="6"/>
  <c r="W223" i="6"/>
  <c r="W235" i="6"/>
  <c r="W240" i="6"/>
  <c r="W179" i="6"/>
  <c r="W187" i="6"/>
  <c r="W195" i="6"/>
  <c r="W203" i="6"/>
  <c r="W212" i="6"/>
  <c r="W220" i="6"/>
  <c r="W228" i="6"/>
  <c r="W231" i="6"/>
  <c r="W239" i="6"/>
  <c r="W176" i="6"/>
  <c r="W184" i="6"/>
  <c r="W192" i="6"/>
  <c r="W200" i="6"/>
  <c r="W209" i="6"/>
  <c r="W217" i="6"/>
  <c r="W225" i="6"/>
  <c r="W234" i="6"/>
  <c r="W181" i="6"/>
  <c r="W189" i="6"/>
  <c r="W197" i="6"/>
  <c r="W214" i="6"/>
  <c r="W222" i="6"/>
  <c r="W238" i="6"/>
  <c r="W241" i="6"/>
  <c r="W298" i="6"/>
  <c r="W301" i="6"/>
  <c r="W297" i="6"/>
  <c r="W300" i="6"/>
  <c r="W232" i="6"/>
  <c r="W230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299" i="6"/>
  <c r="W358" i="6"/>
  <c r="W372" i="6"/>
  <c r="W361" i="6"/>
  <c r="W377" i="6"/>
  <c r="W366" i="6"/>
  <c r="W371" i="6"/>
  <c r="W376" i="6"/>
  <c r="W357" i="6"/>
  <c r="W365" i="6"/>
  <c r="W360" i="6"/>
  <c r="W370" i="6"/>
  <c r="W375" i="6"/>
  <c r="W302" i="6"/>
  <c r="W364" i="6"/>
  <c r="W369" i="6"/>
  <c r="W356" i="6"/>
  <c r="W374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359" i="6"/>
  <c r="W363" i="6"/>
  <c r="W379" i="6"/>
  <c r="W368" i="6"/>
  <c r="W373" i="6"/>
  <c r="W362" i="6"/>
  <c r="W378" i="6"/>
  <c r="W367" i="6"/>
  <c r="W490" i="6"/>
  <c r="W493" i="6"/>
  <c r="W495" i="6"/>
  <c r="W497" i="6"/>
  <c r="W498" i="6"/>
  <c r="W502" i="6"/>
  <c r="W504" i="6"/>
  <c r="W505" i="6"/>
  <c r="W507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1" i="6"/>
  <c r="W492" i="6"/>
  <c r="W494" i="6"/>
  <c r="W496" i="6"/>
  <c r="W499" i="6"/>
  <c r="W503" i="6"/>
  <c r="W506" i="6"/>
  <c r="W12" i="6"/>
  <c r="W8" i="6"/>
  <c r="V5" i="6"/>
  <c r="X7" i="6"/>
  <c r="X121" i="6" s="1"/>
  <c r="W10" i="6"/>
  <c r="W9" i="6"/>
  <c r="W11" i="6"/>
  <c r="X124" i="6" l="1"/>
  <c r="X394" i="6"/>
  <c r="X333" i="6"/>
  <c r="X334" i="6"/>
  <c r="X335" i="6"/>
  <c r="X336" i="6"/>
  <c r="X337" i="6"/>
  <c r="X294" i="6"/>
  <c r="X500" i="6"/>
  <c r="X501" i="6"/>
  <c r="X113" i="6"/>
  <c r="X55" i="6"/>
  <c r="X169" i="6"/>
  <c r="X170" i="6"/>
  <c r="X171" i="6"/>
  <c r="X172" i="6"/>
  <c r="X173" i="6"/>
  <c r="X174" i="6"/>
  <c r="X175" i="6"/>
  <c r="X204" i="6"/>
  <c r="X205" i="6"/>
  <c r="X206" i="6"/>
  <c r="X20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8" i="6"/>
  <c r="X109" i="6"/>
  <c r="X110" i="6"/>
  <c r="X111" i="6"/>
  <c r="X112" i="6"/>
  <c r="X114" i="6"/>
  <c r="X115" i="6"/>
  <c r="X116" i="6"/>
  <c r="X117" i="6"/>
  <c r="X118" i="6"/>
  <c r="X119" i="6"/>
  <c r="X120" i="6"/>
  <c r="X122" i="6"/>
  <c r="X123" i="6"/>
  <c r="X125" i="6"/>
  <c r="X126" i="6"/>
  <c r="X127" i="6"/>
  <c r="X128" i="6"/>
  <c r="X97" i="6"/>
  <c r="X96" i="6"/>
  <c r="X95" i="6"/>
  <c r="X94" i="6"/>
  <c r="X93" i="6"/>
  <c r="X92" i="6"/>
  <c r="X132" i="6"/>
  <c r="X140" i="6"/>
  <c r="X143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129" i="6"/>
  <c r="X137" i="6"/>
  <c r="X167" i="6"/>
  <c r="X146" i="6"/>
  <c r="X150" i="6"/>
  <c r="X154" i="6"/>
  <c r="X158" i="6"/>
  <c r="X162" i="6"/>
  <c r="X134" i="6"/>
  <c r="X142" i="6"/>
  <c r="X166" i="6"/>
  <c r="X131" i="6"/>
  <c r="X139" i="6"/>
  <c r="X145" i="6"/>
  <c r="X149" i="6"/>
  <c r="X153" i="6"/>
  <c r="X157" i="6"/>
  <c r="X161" i="6"/>
  <c r="X136" i="6"/>
  <c r="X165" i="6"/>
  <c r="X133" i="6"/>
  <c r="X141" i="6"/>
  <c r="X144" i="6"/>
  <c r="X148" i="6"/>
  <c r="X152" i="6"/>
  <c r="X156" i="6"/>
  <c r="X160" i="6"/>
  <c r="X164" i="6"/>
  <c r="X130" i="6"/>
  <c r="X138" i="6"/>
  <c r="X135" i="6"/>
  <c r="X168" i="6"/>
  <c r="X230" i="6"/>
  <c r="X233" i="6"/>
  <c r="X237" i="6"/>
  <c r="X232" i="6"/>
  <c r="X241" i="6"/>
  <c r="X151" i="6"/>
  <c r="X155" i="6"/>
  <c r="X159" i="6"/>
  <c r="X163" i="6"/>
  <c r="X235" i="6"/>
  <c r="X240" i="6"/>
  <c r="X147" i="6"/>
  <c r="X231" i="6"/>
  <c r="X239" i="6"/>
  <c r="X229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89" i="6"/>
  <c r="X295" i="6"/>
  <c r="X298" i="6"/>
  <c r="X301" i="6"/>
  <c r="X291" i="6"/>
  <c r="X297" i="6"/>
  <c r="X234" i="6"/>
  <c r="X236" i="6"/>
  <c r="X293" i="6"/>
  <c r="X300" i="6"/>
  <c r="X238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290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296" i="6"/>
  <c r="X292" i="6"/>
  <c r="X302" i="6"/>
  <c r="X367" i="6"/>
  <c r="X372" i="6"/>
  <c r="X299" i="6"/>
  <c r="X361" i="6"/>
  <c r="X377" i="6"/>
  <c r="X366" i="6"/>
  <c r="X371" i="6"/>
  <c r="X376" i="6"/>
  <c r="X365" i="6"/>
  <c r="X370" i="6"/>
  <c r="X375" i="6"/>
  <c r="X364" i="6"/>
  <c r="X369" i="6"/>
  <c r="X374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363" i="6"/>
  <c r="X379" i="6"/>
  <c r="X368" i="6"/>
  <c r="X373" i="6"/>
  <c r="X362" i="6"/>
  <c r="X378" i="6"/>
  <c r="X505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2" i="6"/>
  <c r="X503" i="6"/>
  <c r="X504" i="6"/>
  <c r="X506" i="6"/>
  <c r="X507" i="6"/>
  <c r="W5" i="6"/>
  <c r="X10" i="6"/>
  <c r="Y7" i="6"/>
  <c r="Y121" i="6" s="1"/>
  <c r="X9" i="6"/>
  <c r="X11" i="6"/>
  <c r="X12" i="6"/>
  <c r="X8" i="6"/>
  <c r="Y124" i="6" l="1"/>
  <c r="Y394" i="6"/>
  <c r="Y337" i="6"/>
  <c r="Y333" i="6"/>
  <c r="Y334" i="6"/>
  <c r="Y335" i="6"/>
  <c r="Y336" i="6"/>
  <c r="Y294" i="6"/>
  <c r="Y500" i="6"/>
  <c r="Y501" i="6"/>
  <c r="Y113" i="6"/>
  <c r="Y55" i="6"/>
  <c r="Y169" i="6"/>
  <c r="Y170" i="6"/>
  <c r="Y171" i="6"/>
  <c r="Y172" i="6"/>
  <c r="Y173" i="6"/>
  <c r="Y174" i="6"/>
  <c r="Y175" i="6"/>
  <c r="Y204" i="6"/>
  <c r="Y205" i="6"/>
  <c r="Y206" i="6"/>
  <c r="Y20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8" i="6"/>
  <c r="Y109" i="6"/>
  <c r="Y110" i="6"/>
  <c r="Y111" i="6"/>
  <c r="Y112" i="6"/>
  <c r="Y114" i="6"/>
  <c r="Y115" i="6"/>
  <c r="Y116" i="6"/>
  <c r="Y117" i="6"/>
  <c r="Y118" i="6"/>
  <c r="Y119" i="6"/>
  <c r="Y120" i="6"/>
  <c r="Y122" i="6"/>
  <c r="Y123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7" i="6"/>
  <c r="Y151" i="6"/>
  <c r="Y155" i="6"/>
  <c r="Y159" i="6"/>
  <c r="Y163" i="6"/>
  <c r="Y168" i="6"/>
  <c r="Y88" i="6"/>
  <c r="Y92" i="6"/>
  <c r="Y167" i="6"/>
  <c r="Y146" i="6"/>
  <c r="Y150" i="6"/>
  <c r="Y154" i="6"/>
  <c r="Y158" i="6"/>
  <c r="Y162" i="6"/>
  <c r="Y56" i="6"/>
  <c r="Y80" i="6"/>
  <c r="Y166" i="6"/>
  <c r="Y145" i="6"/>
  <c r="Y149" i="6"/>
  <c r="Y153" i="6"/>
  <c r="Y157" i="6"/>
  <c r="Y161" i="6"/>
  <c r="Y165" i="6"/>
  <c r="Y47" i="6"/>
  <c r="Y72" i="6"/>
  <c r="Y144" i="6"/>
  <c r="Y148" i="6"/>
  <c r="Y152" i="6"/>
  <c r="Y156" i="6"/>
  <c r="Y160" i="6"/>
  <c r="Y164" i="6"/>
  <c r="Y238" i="6"/>
  <c r="Y178" i="6"/>
  <c r="Y186" i="6"/>
  <c r="Y194" i="6"/>
  <c r="Y202" i="6"/>
  <c r="Y211" i="6"/>
  <c r="Y219" i="6"/>
  <c r="Y227" i="6"/>
  <c r="Y230" i="6"/>
  <c r="Y233" i="6"/>
  <c r="Y183" i="6"/>
  <c r="Y191" i="6"/>
  <c r="Y199" i="6"/>
  <c r="Y208" i="6"/>
  <c r="Y216" i="6"/>
  <c r="Y224" i="6"/>
  <c r="Y237" i="6"/>
  <c r="Y180" i="6"/>
  <c r="Y188" i="6"/>
  <c r="Y196" i="6"/>
  <c r="Y213" i="6"/>
  <c r="Y229" i="6"/>
  <c r="Y236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5" i="6"/>
  <c r="Y296" i="6"/>
  <c r="Y297" i="6"/>
  <c r="Y298" i="6"/>
  <c r="Y299" i="6"/>
  <c r="Y300" i="6"/>
  <c r="Y301" i="6"/>
  <c r="Y302" i="6"/>
  <c r="Y177" i="6"/>
  <c r="Y185" i="6"/>
  <c r="Y193" i="6"/>
  <c r="Y201" i="6"/>
  <c r="Y210" i="6"/>
  <c r="Y218" i="6"/>
  <c r="Y226" i="6"/>
  <c r="Y232" i="6"/>
  <c r="Y241" i="6"/>
  <c r="Y182" i="6"/>
  <c r="Y190" i="6"/>
  <c r="Y198" i="6"/>
  <c r="Y215" i="6"/>
  <c r="Y223" i="6"/>
  <c r="Y235" i="6"/>
  <c r="Y240" i="6"/>
  <c r="Y179" i="6"/>
  <c r="Y187" i="6"/>
  <c r="Y195" i="6"/>
  <c r="Y203" i="6"/>
  <c r="Y212" i="6"/>
  <c r="Y220" i="6"/>
  <c r="Y228" i="6"/>
  <c r="Y231" i="6"/>
  <c r="Y176" i="6"/>
  <c r="Y184" i="6"/>
  <c r="Y192" i="6"/>
  <c r="Y200" i="6"/>
  <c r="Y209" i="6"/>
  <c r="Y234" i="6"/>
  <c r="Y189" i="6"/>
  <c r="Y239" i="6"/>
  <c r="Y225" i="6"/>
  <c r="Y221" i="6"/>
  <c r="Y217" i="6"/>
  <c r="Y181" i="6"/>
  <c r="Y197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222" i="6"/>
  <c r="Y214" i="6"/>
  <c r="Y362" i="6"/>
  <c r="Y378" i="6"/>
  <c r="Y367" i="6"/>
  <c r="Y372" i="6"/>
  <c r="Y373" i="6"/>
  <c r="Y361" i="6"/>
  <c r="Y377" i="6"/>
  <c r="Y366" i="6"/>
  <c r="Y371" i="6"/>
  <c r="Y376" i="6"/>
  <c r="Y365" i="6"/>
  <c r="Y370" i="6"/>
  <c r="Y375" i="6"/>
  <c r="Y364" i="6"/>
  <c r="Y369" i="6"/>
  <c r="Y374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423" i="6"/>
  <c r="Y424" i="6"/>
  <c r="Y363" i="6"/>
  <c r="Y379" i="6"/>
  <c r="Y368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2" i="6"/>
  <c r="Y503" i="6"/>
  <c r="Y504" i="6"/>
  <c r="Y505" i="6"/>
  <c r="Y506" i="6"/>
  <c r="Y507" i="6"/>
  <c r="Y12" i="6"/>
  <c r="Y9" i="6"/>
  <c r="Y8" i="6"/>
  <c r="Y10" i="6"/>
  <c r="Y11" i="6"/>
  <c r="Z7" i="6"/>
  <c r="Z121" i="6" s="1"/>
  <c r="X5" i="6"/>
  <c r="Z124" i="6" l="1"/>
  <c r="Z394" i="6"/>
  <c r="Z333" i="6"/>
  <c r="Z334" i="6"/>
  <c r="Z335" i="6"/>
  <c r="Z336" i="6"/>
  <c r="Z337" i="6"/>
  <c r="Z294" i="6"/>
  <c r="Z500" i="6"/>
  <c r="Z501" i="6"/>
  <c r="Z113" i="6"/>
  <c r="Z55" i="6"/>
  <c r="Z169" i="6"/>
  <c r="Z170" i="6"/>
  <c r="Z171" i="6"/>
  <c r="Z172" i="6"/>
  <c r="Z173" i="6"/>
  <c r="Z174" i="6"/>
  <c r="Z175" i="6"/>
  <c r="Z204" i="6"/>
  <c r="Z205" i="6"/>
  <c r="Z206" i="6"/>
  <c r="Z20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8" i="6"/>
  <c r="Z109" i="6"/>
  <c r="Z110" i="6"/>
  <c r="Z111" i="6"/>
  <c r="Z112" i="6"/>
  <c r="Z114" i="6"/>
  <c r="Z115" i="6"/>
  <c r="Z116" i="6"/>
  <c r="Z117" i="6"/>
  <c r="Z118" i="6"/>
  <c r="Z119" i="6"/>
  <c r="Z120" i="6"/>
  <c r="Z122" i="6"/>
  <c r="Z123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97" i="6"/>
  <c r="Z96" i="6"/>
  <c r="Z95" i="6"/>
  <c r="Z94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231" i="6"/>
  <c r="Z232" i="6"/>
  <c r="Z93" i="6"/>
  <c r="Z238" i="6"/>
  <c r="Z233" i="6"/>
  <c r="Z237" i="6"/>
  <c r="Z236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41" i="6"/>
  <c r="Z235" i="6"/>
  <c r="Z240" i="6"/>
  <c r="Z239" i="6"/>
  <c r="Z289" i="6"/>
  <c r="Z295" i="6"/>
  <c r="Z298" i="6"/>
  <c r="Z301" i="6"/>
  <c r="Z297" i="6"/>
  <c r="Z234" i="6"/>
  <c r="Z293" i="6"/>
  <c r="Z300" i="6"/>
  <c r="Z290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299" i="6"/>
  <c r="Z373" i="6"/>
  <c r="Z368" i="6"/>
  <c r="Z358" i="6"/>
  <c r="Z362" i="6"/>
  <c r="Z378" i="6"/>
  <c r="Z367" i="6"/>
  <c r="Z372" i="6"/>
  <c r="Z361" i="6"/>
  <c r="Z377" i="6"/>
  <c r="Z292" i="6"/>
  <c r="Z366" i="6"/>
  <c r="Z357" i="6"/>
  <c r="Z371" i="6"/>
  <c r="Z413" i="6"/>
  <c r="Z360" i="6"/>
  <c r="Z376" i="6"/>
  <c r="Z416" i="6"/>
  <c r="Z365" i="6"/>
  <c r="Z411" i="6"/>
  <c r="Z302" i="6"/>
  <c r="Z370" i="6"/>
  <c r="Z414" i="6"/>
  <c r="Z375" i="6"/>
  <c r="Z410" i="6"/>
  <c r="Z296" i="6"/>
  <c r="Z356" i="6"/>
  <c r="Z364" i="6"/>
  <c r="Z407" i="6"/>
  <c r="Z291" i="6"/>
  <c r="Z359" i="6"/>
  <c r="Z369" i="6"/>
  <c r="Z408" i="6"/>
  <c r="Z374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5" i="6"/>
  <c r="Z396" i="6"/>
  <c r="Z397" i="6"/>
  <c r="Z398" i="6"/>
  <c r="Z399" i="6"/>
  <c r="Z400" i="6"/>
  <c r="Z401" i="6"/>
  <c r="Z402" i="6"/>
  <c r="Z403" i="6"/>
  <c r="Z404" i="6"/>
  <c r="Z405" i="6"/>
  <c r="Z406" i="6"/>
  <c r="Z409" i="6"/>
  <c r="Z412" i="6"/>
  <c r="Z415" i="6"/>
  <c r="Z417" i="6"/>
  <c r="Z418" i="6"/>
  <c r="Z419" i="6"/>
  <c r="Z420" i="6"/>
  <c r="Z421" i="6"/>
  <c r="Z422" i="6"/>
  <c r="Z423" i="6"/>
  <c r="Z424" i="6"/>
  <c r="Z363" i="6"/>
  <c r="Z379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2" i="6"/>
  <c r="Z503" i="6"/>
  <c r="Z504" i="6"/>
  <c r="Z505" i="6"/>
  <c r="Z506" i="6"/>
  <c r="Z507" i="6"/>
  <c r="Z12" i="6"/>
  <c r="Z8" i="6"/>
  <c r="Y5" i="6"/>
  <c r="AA7" i="6"/>
  <c r="AA121" i="6" s="1"/>
  <c r="Z10" i="6"/>
  <c r="Z9" i="6"/>
  <c r="Z11" i="6"/>
  <c r="AA124" i="6" l="1"/>
  <c r="AA394" i="6"/>
  <c r="AA334" i="6"/>
  <c r="AA336" i="6"/>
  <c r="AA335" i="6"/>
  <c r="AA337" i="6"/>
  <c r="AA333" i="6"/>
  <c r="AA294" i="6"/>
  <c r="AA500" i="6"/>
  <c r="AA501" i="6"/>
  <c r="AA113" i="6"/>
  <c r="AA55" i="6"/>
  <c r="AA169" i="6"/>
  <c r="AA170" i="6"/>
  <c r="AA171" i="6"/>
  <c r="AA172" i="6"/>
  <c r="AA173" i="6"/>
  <c r="AA174" i="6"/>
  <c r="AA175" i="6"/>
  <c r="AA204" i="6"/>
  <c r="AA205" i="6"/>
  <c r="AA206" i="6"/>
  <c r="AA20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8" i="6"/>
  <c r="AA109" i="6"/>
  <c r="AA110" i="6"/>
  <c r="AA111" i="6"/>
  <c r="AA112" i="6"/>
  <c r="AA114" i="6"/>
  <c r="AA115" i="6"/>
  <c r="AA116" i="6"/>
  <c r="AA117" i="6"/>
  <c r="AA118" i="6"/>
  <c r="AA119" i="6"/>
  <c r="AA120" i="6"/>
  <c r="AA122" i="6"/>
  <c r="AA123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3" i="6"/>
  <c r="AA147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167" i="6"/>
  <c r="AA146" i="6"/>
  <c r="AA150" i="6"/>
  <c r="AA154" i="6"/>
  <c r="AA158" i="6"/>
  <c r="AA162" i="6"/>
  <c r="AA67" i="6"/>
  <c r="AA142" i="6"/>
  <c r="AA166" i="6"/>
  <c r="AA145" i="6"/>
  <c r="AA149" i="6"/>
  <c r="AA153" i="6"/>
  <c r="AA157" i="6"/>
  <c r="AA161" i="6"/>
  <c r="AA93" i="6"/>
  <c r="AA165" i="6"/>
  <c r="AA59" i="6"/>
  <c r="AA141" i="6"/>
  <c r="AA83" i="6"/>
  <c r="AA144" i="6"/>
  <c r="AA148" i="6"/>
  <c r="AA152" i="6"/>
  <c r="AA156" i="6"/>
  <c r="AA160" i="6"/>
  <c r="AA164" i="6"/>
  <c r="AA168" i="6"/>
  <c r="AA238" i="6"/>
  <c r="AA236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5" i="6"/>
  <c r="AA296" i="6"/>
  <c r="AA297" i="6"/>
  <c r="AA298" i="6"/>
  <c r="AA299" i="6"/>
  <c r="AA300" i="6"/>
  <c r="AA301" i="6"/>
  <c r="AA302" i="6"/>
  <c r="AA151" i="6"/>
  <c r="AA155" i="6"/>
  <c r="AA159" i="6"/>
  <c r="AA163" i="6"/>
  <c r="AA241" i="6"/>
  <c r="AA240" i="6"/>
  <c r="AA237" i="6"/>
  <c r="AA239" i="6"/>
  <c r="AA368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1" i="6"/>
  <c r="AA339" i="6"/>
  <c r="AA341" i="6"/>
  <c r="AA343" i="6"/>
  <c r="AA345" i="6"/>
  <c r="AA347" i="6"/>
  <c r="AA349" i="6"/>
  <c r="AA351" i="6"/>
  <c r="AA353" i="6"/>
  <c r="AA355" i="6"/>
  <c r="AA373" i="6"/>
  <c r="AA358" i="6"/>
  <c r="AA362" i="6"/>
  <c r="AA378" i="6"/>
  <c r="AA367" i="6"/>
  <c r="AA372" i="6"/>
  <c r="AA361" i="6"/>
  <c r="AA377" i="6"/>
  <c r="AA366" i="6"/>
  <c r="AA363" i="6"/>
  <c r="AA379" i="6"/>
  <c r="AA357" i="6"/>
  <c r="AA371" i="6"/>
  <c r="AA360" i="6"/>
  <c r="AA376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2" i="6"/>
  <c r="AA338" i="6"/>
  <c r="AA340" i="6"/>
  <c r="AA342" i="6"/>
  <c r="AA344" i="6"/>
  <c r="AA346" i="6"/>
  <c r="AA348" i="6"/>
  <c r="AA350" i="6"/>
  <c r="AA352" i="6"/>
  <c r="AA354" i="6"/>
  <c r="AA365" i="6"/>
  <c r="AA370" i="6"/>
  <c r="AA375" i="6"/>
  <c r="AA356" i="6"/>
  <c r="AA364" i="6"/>
  <c r="AA359" i="6"/>
  <c r="AA369" i="6"/>
  <c r="AA374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89" i="6"/>
  <c r="AA493" i="6"/>
  <c r="AA497" i="6"/>
  <c r="AA499" i="6"/>
  <c r="AA503" i="6"/>
  <c r="AA505" i="6"/>
  <c r="AA507" i="6"/>
  <c r="AA490" i="6"/>
  <c r="AA494" i="6"/>
  <c r="AA496" i="6"/>
  <c r="AA498" i="6"/>
  <c r="AA502" i="6"/>
  <c r="AA506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7" i="6"/>
  <c r="AA488" i="6"/>
  <c r="AA491" i="6"/>
  <c r="AA492" i="6"/>
  <c r="AA495" i="6"/>
  <c r="AA504" i="6"/>
  <c r="AA11" i="6"/>
  <c r="Z5" i="6"/>
  <c r="AA8" i="6"/>
  <c r="AA10" i="6"/>
  <c r="AA12" i="6"/>
  <c r="AA9" i="6"/>
  <c r="AB7" i="6"/>
  <c r="AB121" i="6" s="1"/>
  <c r="AB124" i="6" l="1"/>
  <c r="AB394" i="6"/>
  <c r="AB333" i="6"/>
  <c r="AB334" i="6"/>
  <c r="AB335" i="6"/>
  <c r="AB336" i="6"/>
  <c r="AB337" i="6"/>
  <c r="AB294" i="6"/>
  <c r="AB500" i="6"/>
  <c r="AB501" i="6"/>
  <c r="AB113" i="6"/>
  <c r="AB55" i="6"/>
  <c r="AB169" i="6"/>
  <c r="AB170" i="6"/>
  <c r="AB171" i="6"/>
  <c r="AB172" i="6"/>
  <c r="AB173" i="6"/>
  <c r="AB174" i="6"/>
  <c r="AB175" i="6"/>
  <c r="AB204" i="6"/>
  <c r="AB205" i="6"/>
  <c r="AB206" i="6"/>
  <c r="AB20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8" i="6"/>
  <c r="AB109" i="6"/>
  <c r="AB110" i="6"/>
  <c r="AB111" i="6"/>
  <c r="AB112" i="6"/>
  <c r="AB114" i="6"/>
  <c r="AB115" i="6"/>
  <c r="AB116" i="6"/>
  <c r="AB117" i="6"/>
  <c r="AB118" i="6"/>
  <c r="AB119" i="6"/>
  <c r="AB120" i="6"/>
  <c r="AB122" i="6"/>
  <c r="AB123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78" i="6"/>
  <c r="AB379" i="6"/>
  <c r="AB386" i="6"/>
  <c r="AB393" i="6"/>
  <c r="AB399" i="6"/>
  <c r="AB403" i="6"/>
  <c r="AB407" i="6"/>
  <c r="AB411" i="6"/>
  <c r="AB416" i="6"/>
  <c r="AB421" i="6"/>
  <c r="AB424" i="6"/>
  <c r="AB391" i="6"/>
  <c r="AB418" i="6"/>
  <c r="AB382" i="6"/>
  <c r="AB385" i="6"/>
  <c r="AB388" i="6"/>
  <c r="AB390" i="6"/>
  <c r="AB395" i="6"/>
  <c r="AB400" i="6"/>
  <c r="AB404" i="6"/>
  <c r="AB408" i="6"/>
  <c r="AB412" i="6"/>
  <c r="AB417" i="6"/>
  <c r="AB422" i="6"/>
  <c r="AB383" i="6"/>
  <c r="AB402" i="6"/>
  <c r="AB410" i="6"/>
  <c r="AB414" i="6"/>
  <c r="AB419" i="6"/>
  <c r="AB381" i="6"/>
  <c r="AB398" i="6"/>
  <c r="AB406" i="6"/>
  <c r="AB413" i="6"/>
  <c r="AB420" i="6"/>
  <c r="AB396" i="6"/>
  <c r="AB380" i="6"/>
  <c r="AB384" i="6"/>
  <c r="AB387" i="6"/>
  <c r="AB389" i="6"/>
  <c r="AB392" i="6"/>
  <c r="AB397" i="6"/>
  <c r="AB401" i="6"/>
  <c r="AB405" i="6"/>
  <c r="AB409" i="6"/>
  <c r="AB415" i="6"/>
  <c r="AB423" i="6"/>
  <c r="AB499" i="6"/>
  <c r="AB505" i="6"/>
  <c r="AB497" i="6"/>
  <c r="AB503" i="6"/>
  <c r="AB506" i="6"/>
  <c r="AB507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5" i="6"/>
  <c r="AB496" i="6"/>
  <c r="AB498" i="6"/>
  <c r="AB502" i="6"/>
  <c r="AB50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<sst xmlns="http://schemas.openxmlformats.org/spreadsheetml/2006/main" count="4858" uniqueCount="2128">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</sst>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6"/>
  <sheetViews>
    <sheetView tabSelected="1" zoomScaleNormal="100" workbookViewId="0">
      <pane ySplit="7" topLeftCell="A227" activePane="bottomLeft" state="frozen"/>
      <selection pane="bottomLeft" activeCell="N215" sqref="N215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127</v>
      </c>
      <c r="F3" s="5">
        <f>+AD6</f>
        <v>126</v>
      </c>
      <c r="G3" s="5">
        <f>+AF6</f>
        <v>121</v>
      </c>
      <c r="H3" s="5">
        <f>+E3-G3</f>
        <v>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333</v>
      </c>
      <c r="F4" s="7">
        <f>+AE6</f>
        <v>263</v>
      </c>
      <c r="G4" s="7">
        <f>+AG6</f>
        <v>230</v>
      </c>
      <c r="H4" s="5">
        <f>+E4-G4</f>
        <v>103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460</v>
      </c>
      <c r="F5" s="8">
        <f>+F3+F4</f>
        <v>389</v>
      </c>
      <c r="G5" s="8">
        <f>+G3+G4</f>
        <v>351</v>
      </c>
      <c r="H5" s="8">
        <f>+H3+H4</f>
        <v>109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SUM(S8:S2449)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SUM(AD8:AD1718)</f>
        <v>126</v>
      </c>
      <c r="AE6" s="1">
        <f t="shared" si="1"/>
        <v>263</v>
      </c>
      <c r="AF6" s="1">
        <f t="shared" si="1"/>
        <v>121</v>
      </c>
      <c r="AG6" s="1">
        <f t="shared" si="1"/>
        <v>230</v>
      </c>
      <c r="AH6" s="1">
        <f t="shared" si="1"/>
        <v>127</v>
      </c>
      <c r="AI6" s="1">
        <f t="shared" si="1"/>
        <v>333</v>
      </c>
    </row>
    <row r="7" spans="1:35" s="61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1851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s="1" customFormat="1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1779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s="1" customFormat="1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15">
        <v>0</v>
      </c>
      <c r="B15" s="15">
        <v>1</v>
      </c>
      <c r="C15" s="15">
        <v>1</v>
      </c>
      <c r="D15" s="20" t="s">
        <v>115</v>
      </c>
      <c r="E15" s="20" t="s">
        <v>170</v>
      </c>
      <c r="F15" s="20" t="s">
        <v>313</v>
      </c>
      <c r="G15" s="16" t="s">
        <v>185</v>
      </c>
      <c r="H15" s="20" t="s">
        <v>352</v>
      </c>
      <c r="I15" s="21" t="s">
        <v>460</v>
      </c>
      <c r="J15" s="15">
        <v>1</v>
      </c>
      <c r="K15" s="10" t="s">
        <v>951</v>
      </c>
      <c r="L15" s="10" t="s">
        <v>1679</v>
      </c>
      <c r="M15" s="19" t="s">
        <v>1106</v>
      </c>
      <c r="N15" s="17"/>
      <c r="Q15" s="16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1725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1772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1819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1719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729</v>
      </c>
      <c r="L26" s="33" t="s">
        <v>39</v>
      </c>
      <c r="M26" s="34" t="s">
        <v>39</v>
      </c>
      <c r="N26" s="34" t="s">
        <v>1706</v>
      </c>
      <c r="O26" s="35">
        <v>1</v>
      </c>
      <c r="P26" s="35">
        <v>1</v>
      </c>
      <c r="Q26" s="32" t="s">
        <v>2123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19"/>
        <v>1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57" t="s">
        <v>1876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1759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1710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1732</v>
      </c>
      <c r="E37" s="36" t="s">
        <v>154</v>
      </c>
      <c r="F37" s="36" t="s">
        <v>1733</v>
      </c>
      <c r="G37" s="36"/>
      <c r="H37" s="36" t="s">
        <v>1734</v>
      </c>
      <c r="I37" s="37" t="s">
        <v>1735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1721</v>
      </c>
      <c r="E39" s="36" t="s">
        <v>1722</v>
      </c>
      <c r="F39" s="36" t="s">
        <v>1723</v>
      </c>
      <c r="G39" s="36" t="s">
        <v>319</v>
      </c>
      <c r="H39" s="36" t="s">
        <v>352</v>
      </c>
      <c r="I39" s="37" t="s">
        <v>1724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1673</v>
      </c>
      <c r="M40" s="47" t="s">
        <v>1354</v>
      </c>
      <c r="N40" s="47" t="s">
        <v>1779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1785</v>
      </c>
      <c r="E43" s="45" t="s">
        <v>174</v>
      </c>
      <c r="F43" s="45" t="s">
        <v>1786</v>
      </c>
      <c r="G43" s="45" t="s">
        <v>193</v>
      </c>
      <c r="H43" s="45" t="s">
        <v>352</v>
      </c>
      <c r="I43" s="44" t="s">
        <v>1787</v>
      </c>
      <c r="J43" s="44">
        <v>9</v>
      </c>
      <c r="K43" s="46" t="s">
        <v>699</v>
      </c>
      <c r="L43" s="46">
        <v>60</v>
      </c>
      <c r="M43" s="47" t="s">
        <v>1788</v>
      </c>
      <c r="N43" s="47" t="s">
        <v>1779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57" t="s">
        <v>1849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57" t="s">
        <v>1877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1772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1759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15">
        <v>0</v>
      </c>
      <c r="B50" s="15">
        <v>1</v>
      </c>
      <c r="C50" s="15">
        <v>2</v>
      </c>
      <c r="D50" s="16" t="s">
        <v>802</v>
      </c>
      <c r="E50" s="16" t="s">
        <v>174</v>
      </c>
      <c r="F50" s="16" t="s">
        <v>803</v>
      </c>
      <c r="G50" s="16" t="s">
        <v>39</v>
      </c>
      <c r="H50" s="16" t="s">
        <v>804</v>
      </c>
      <c r="I50" s="15" t="s">
        <v>805</v>
      </c>
      <c r="J50" s="15">
        <v>11</v>
      </c>
      <c r="K50" s="10" t="s">
        <v>699</v>
      </c>
      <c r="L50" s="10">
        <v>50</v>
      </c>
      <c r="M50" s="19" t="s">
        <v>1106</v>
      </c>
      <c r="N50" s="19"/>
      <c r="Q50" s="16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19"/>
        <v>0</v>
      </c>
      <c r="AG50" s="1">
        <f t="shared" si="20"/>
        <v>0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1718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1966</v>
      </c>
      <c r="E52" s="32" t="s">
        <v>174</v>
      </c>
      <c r="F52" s="32" t="s">
        <v>1967</v>
      </c>
      <c r="G52" s="32" t="s">
        <v>1968</v>
      </c>
      <c r="H52" s="32" t="s">
        <v>352</v>
      </c>
      <c r="I52" s="31" t="s">
        <v>1969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1970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1772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1759</v>
      </c>
      <c r="O54" s="35">
        <v>1</v>
      </c>
      <c r="P54" s="35"/>
      <c r="Q54" s="32" t="s">
        <v>1880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2094</v>
      </c>
      <c r="E55" s="16" t="s">
        <v>171</v>
      </c>
      <c r="F55" s="16" t="s">
        <v>2095</v>
      </c>
      <c r="G55" s="16"/>
      <c r="H55" s="16" t="s">
        <v>2096</v>
      </c>
      <c r="I55" s="15" t="s">
        <v>2097</v>
      </c>
      <c r="J55" s="15">
        <v>15</v>
      </c>
      <c r="K55" s="10" t="s">
        <v>699</v>
      </c>
      <c r="L55" s="10" t="s">
        <v>1713</v>
      </c>
      <c r="M55" s="19" t="s">
        <v>1106</v>
      </c>
      <c r="N55" s="17"/>
      <c r="Q55" s="16" t="s">
        <v>2098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1725</v>
      </c>
      <c r="O56" s="35">
        <v>1</v>
      </c>
      <c r="P56" s="35"/>
      <c r="Q56" s="32" t="s">
        <v>2017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1714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1856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20" t="s">
        <v>1182</v>
      </c>
      <c r="E59" s="20" t="s">
        <v>173</v>
      </c>
      <c r="F59" s="20" t="s">
        <v>1183</v>
      </c>
      <c r="G59" s="16" t="s">
        <v>39</v>
      </c>
      <c r="H59" s="20" t="s">
        <v>1184</v>
      </c>
      <c r="I59" s="21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1016</v>
      </c>
      <c r="E60" s="20" t="s">
        <v>174</v>
      </c>
      <c r="F60" s="20" t="s">
        <v>1018</v>
      </c>
      <c r="G60" s="16" t="s">
        <v>39</v>
      </c>
      <c r="H60" s="20" t="s">
        <v>363</v>
      </c>
      <c r="I60" s="21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1875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1719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1779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1719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2056</v>
      </c>
      <c r="G69" s="32" t="s">
        <v>2057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2058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806</v>
      </c>
      <c r="E71" s="16" t="s">
        <v>174</v>
      </c>
      <c r="F71" s="16" t="s">
        <v>924</v>
      </c>
      <c r="G71" s="16" t="s">
        <v>212</v>
      </c>
      <c r="H71" s="16" t="s">
        <v>352</v>
      </c>
      <c r="I71" s="15" t="s">
        <v>807</v>
      </c>
      <c r="J71" s="15">
        <v>1</v>
      </c>
      <c r="K71" s="10" t="s">
        <v>943</v>
      </c>
      <c r="L71" s="10" t="s">
        <v>685</v>
      </c>
      <c r="M71" s="19" t="s">
        <v>687</v>
      </c>
      <c r="N71" s="17"/>
      <c r="Q71" s="16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0</v>
      </c>
      <c r="AI71" s="1">
        <f t="shared" si="22"/>
        <v>1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1952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2022</v>
      </c>
      <c r="E74" s="32" t="s">
        <v>1948</v>
      </c>
      <c r="F74" s="32" t="s">
        <v>2023</v>
      </c>
      <c r="G74" s="32" t="s">
        <v>283</v>
      </c>
      <c r="H74" s="32" t="s">
        <v>352</v>
      </c>
      <c r="I74" s="31" t="s">
        <v>2024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2025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1978</v>
      </c>
      <c r="E75" s="32" t="s">
        <v>174</v>
      </c>
      <c r="F75" s="36" t="s">
        <v>1979</v>
      </c>
      <c r="G75" s="36" t="s">
        <v>219</v>
      </c>
      <c r="H75" s="36" t="s">
        <v>352</v>
      </c>
      <c r="I75" s="37" t="s">
        <v>1980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1812</v>
      </c>
      <c r="E77" s="32" t="s">
        <v>173</v>
      </c>
      <c r="F77" s="32" t="s">
        <v>1813</v>
      </c>
      <c r="G77" s="32"/>
      <c r="H77" s="32" t="s">
        <v>1814</v>
      </c>
      <c r="I77" s="31" t="s">
        <v>1815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1714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5" si="41">+O78*P78*(1-A78)</f>
        <v>1</v>
      </c>
      <c r="AG78" s="1">
        <f t="shared" ref="AG78:AG145" si="42">O78*(1-P78)*(1-A78)</f>
        <v>0</v>
      </c>
      <c r="AH78" s="1">
        <f t="shared" ref="AH78:AH145" si="43">+P78*(1-A78)</f>
        <v>1</v>
      </c>
      <c r="AI78" s="1">
        <f t="shared" ref="AI78:AI145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1719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1759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1769</v>
      </c>
      <c r="E82" s="32" t="s">
        <v>169</v>
      </c>
      <c r="F82" s="36" t="s">
        <v>1767</v>
      </c>
      <c r="G82" s="36" t="s">
        <v>231</v>
      </c>
      <c r="H82" s="36" t="s">
        <v>352</v>
      </c>
      <c r="I82" s="37" t="s">
        <v>1768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9" si="45">IF(J82=$S$7,1,0)</f>
        <v>0</v>
      </c>
      <c r="T82" s="1">
        <f t="shared" ref="T82:T149" si="46">IF(J82=$T$7,1,0)</f>
        <v>0</v>
      </c>
      <c r="U82" s="1">
        <f t="shared" ref="U82:U149" si="47">IF(J82=$U$7,1,0)</f>
        <v>0</v>
      </c>
      <c r="V82" s="1">
        <f t="shared" ref="V82:V149" si="48">IF(J82=$V$7,1,0)</f>
        <v>0</v>
      </c>
      <c r="W82" s="1">
        <f t="shared" ref="W82:W149" si="49">IF(J82=$W$7,1,0)</f>
        <v>0</v>
      </c>
      <c r="X82" s="1">
        <f t="shared" ref="X82:X149" si="50">IF(J82=$X$7,1,0)</f>
        <v>0</v>
      </c>
      <c r="Y82" s="1">
        <f t="shared" ref="Y82:Y149" si="51">IF(J82=$Y$7,1,0)</f>
        <v>0</v>
      </c>
      <c r="Z82" s="1">
        <f t="shared" ref="Z82:Z149" si="52">IF(J82=$Z$7,1,0)</f>
        <v>0</v>
      </c>
      <c r="AA82" s="1">
        <f t="shared" ref="AA82:AA149" si="53">IF(J82=$AA$7,1,0)</f>
        <v>0</v>
      </c>
      <c r="AB82" s="1">
        <f t="shared" ref="AB82:AB149" si="54">IF(J82=$AB$7,1,0)</f>
        <v>0</v>
      </c>
      <c r="AD82" s="1">
        <f t="shared" ref="AD82:AD149" si="55">+O82*P82</f>
        <v>1</v>
      </c>
      <c r="AE82" s="1">
        <f t="shared" ref="AE82:AE149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1719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1795</v>
      </c>
      <c r="O84" s="35">
        <v>1</v>
      </c>
      <c r="P84" s="35"/>
      <c r="Q84" s="36" t="s">
        <v>1852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1714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2075</v>
      </c>
      <c r="E87" s="32" t="s">
        <v>169</v>
      </c>
      <c r="F87" s="36" t="s">
        <v>2076</v>
      </c>
      <c r="G87" s="36" t="s">
        <v>206</v>
      </c>
      <c r="H87" s="36" t="s">
        <v>352</v>
      </c>
      <c r="I87" s="37" t="s">
        <v>2077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2078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1756</v>
      </c>
      <c r="E88" s="16" t="s">
        <v>171</v>
      </c>
      <c r="F88" s="16" t="s">
        <v>1758</v>
      </c>
      <c r="G88" s="16"/>
      <c r="H88" s="16" t="s">
        <v>362</v>
      </c>
      <c r="I88" s="15" t="s">
        <v>1757</v>
      </c>
      <c r="J88" s="15">
        <v>17</v>
      </c>
      <c r="K88" s="10" t="s">
        <v>699</v>
      </c>
      <c r="L88" s="10" t="s">
        <v>1713</v>
      </c>
      <c r="M88" s="19" t="s">
        <v>687</v>
      </c>
      <c r="N88" s="17"/>
      <c r="Q88" s="20" t="s">
        <v>1884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1780</v>
      </c>
      <c r="E89" s="32" t="s">
        <v>171</v>
      </c>
      <c r="F89" s="32" t="s">
        <v>1781</v>
      </c>
      <c r="G89" s="32" t="s">
        <v>1782</v>
      </c>
      <c r="H89" s="32" t="s">
        <v>352</v>
      </c>
      <c r="I89" s="31" t="s">
        <v>1783</v>
      </c>
      <c r="J89" s="31">
        <v>1</v>
      </c>
      <c r="K89" s="33" t="s">
        <v>699</v>
      </c>
      <c r="L89" s="33">
        <v>60</v>
      </c>
      <c r="M89" s="34" t="s">
        <v>1784</v>
      </c>
      <c r="N89" s="34" t="s">
        <v>1819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2032</v>
      </c>
      <c r="E90" s="36" t="s">
        <v>175</v>
      </c>
      <c r="F90" s="36" t="s">
        <v>2030</v>
      </c>
      <c r="G90" s="36" t="s">
        <v>219</v>
      </c>
      <c r="H90" s="36" t="s">
        <v>352</v>
      </c>
      <c r="I90" s="37" t="s">
        <v>2031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1725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s="1" customFormat="1" ht="14.25" customHeight="1" x14ac:dyDescent="0.25">
      <c r="A92" s="44">
        <v>0</v>
      </c>
      <c r="B92" s="44">
        <v>1</v>
      </c>
      <c r="C92" s="44">
        <v>3</v>
      </c>
      <c r="D92" s="45" t="s">
        <v>135</v>
      </c>
      <c r="E92" s="45" t="s">
        <v>171</v>
      </c>
      <c r="F92" s="45" t="s">
        <v>1850</v>
      </c>
      <c r="G92" s="45" t="s">
        <v>239</v>
      </c>
      <c r="H92" s="45" t="s">
        <v>352</v>
      </c>
      <c r="I92" s="44" t="s">
        <v>481</v>
      </c>
      <c r="J92" s="44">
        <v>1</v>
      </c>
      <c r="K92" s="46" t="s">
        <v>943</v>
      </c>
      <c r="L92" s="46" t="s">
        <v>685</v>
      </c>
      <c r="M92" s="47" t="s">
        <v>687</v>
      </c>
      <c r="N92" s="47" t="s">
        <v>1779</v>
      </c>
      <c r="O92" s="48"/>
      <c r="P92" s="48"/>
      <c r="Q92" s="45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0</v>
      </c>
      <c r="AI92" s="1">
        <f t="shared" si="44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781</v>
      </c>
      <c r="E93" s="16" t="s">
        <v>606</v>
      </c>
      <c r="F93" s="16" t="s">
        <v>783</v>
      </c>
      <c r="G93" s="16" t="s">
        <v>213</v>
      </c>
      <c r="H93" s="16" t="s">
        <v>352</v>
      </c>
      <c r="I93" s="15" t="s">
        <v>782</v>
      </c>
      <c r="J93" s="15">
        <v>99</v>
      </c>
      <c r="K93" s="10" t="s">
        <v>718</v>
      </c>
      <c r="L93" s="10" t="s">
        <v>1672</v>
      </c>
      <c r="M93" s="19" t="s">
        <v>1367</v>
      </c>
      <c r="N93" s="19"/>
      <c r="Q93" s="16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1714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1920</v>
      </c>
      <c r="E95" s="20" t="s">
        <v>1948</v>
      </c>
      <c r="F95" s="20" t="s">
        <v>1949</v>
      </c>
      <c r="G95" s="20"/>
      <c r="H95" s="20" t="s">
        <v>1947</v>
      </c>
      <c r="I95" s="21" t="s">
        <v>1950</v>
      </c>
      <c r="J95" s="15">
        <v>18</v>
      </c>
      <c r="K95" s="10" t="s">
        <v>699</v>
      </c>
      <c r="L95" s="10" t="s">
        <v>1713</v>
      </c>
      <c r="M95" s="19" t="s">
        <v>958</v>
      </c>
      <c r="N95" s="17"/>
      <c r="Q95" s="20" t="s">
        <v>1951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1824</v>
      </c>
      <c r="E97" s="36" t="s">
        <v>171</v>
      </c>
      <c r="F97" s="36" t="s">
        <v>1825</v>
      </c>
      <c r="G97" s="36"/>
      <c r="H97" s="36" t="s">
        <v>1826</v>
      </c>
      <c r="I97" s="37" t="s">
        <v>1827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1862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1819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1886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1718</v>
      </c>
      <c r="O100" s="35">
        <v>1</v>
      </c>
      <c r="P100" s="35"/>
      <c r="Q100" s="36" t="s">
        <v>1859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1902</v>
      </c>
      <c r="E102" s="32" t="s">
        <v>1903</v>
      </c>
      <c r="F102" s="36" t="s">
        <v>1904</v>
      </c>
      <c r="G102" s="36"/>
      <c r="H102" s="36" t="s">
        <v>364</v>
      </c>
      <c r="I102" s="37" t="s">
        <v>1906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1905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s="1" customFormat="1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1772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1714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ref="AD105:AD110" si="57">+O105*P105</f>
        <v>0</v>
      </c>
      <c r="AE105" s="1">
        <f t="shared" ref="AE105:AE110" si="58">O105*(1-P105)</f>
        <v>1</v>
      </c>
      <c r="AF105" s="1">
        <f t="shared" ref="AF105:AF110" si="59">+O105*P105*(1-A105)</f>
        <v>0</v>
      </c>
      <c r="AG105" s="1">
        <f t="shared" ref="AG105:AG110" si="60">O105*(1-P105)*(1-A105)</f>
        <v>1</v>
      </c>
      <c r="AH105" s="1">
        <f t="shared" ref="AH105:AH110" si="61">+P105*(1-A105)</f>
        <v>0</v>
      </c>
      <c r="AI105" s="1">
        <f t="shared" ref="AI105:AI110" si="62">+(1-A105)*(1-P105)</f>
        <v>1</v>
      </c>
    </row>
    <row r="106" spans="1:35" s="1" customFormat="1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1712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7"/>
        <v>0</v>
      </c>
      <c r="AE106" s="1">
        <f t="shared" si="58"/>
        <v>0</v>
      </c>
      <c r="AF106" s="1">
        <f t="shared" si="59"/>
        <v>0</v>
      </c>
      <c r="AG106" s="1">
        <f t="shared" si="60"/>
        <v>0</v>
      </c>
      <c r="AH106" s="1">
        <f t="shared" si="61"/>
        <v>0</v>
      </c>
      <c r="AI106" s="1">
        <f t="shared" si="62"/>
        <v>1</v>
      </c>
    </row>
    <row r="107" spans="1:35" s="1" customFormat="1" ht="14.25" customHeight="1" x14ac:dyDescent="0.25">
      <c r="A107" s="44">
        <v>0</v>
      </c>
      <c r="B107" s="44">
        <v>1</v>
      </c>
      <c r="C107" s="44">
        <v>3</v>
      </c>
      <c r="D107" s="45" t="s">
        <v>2125</v>
      </c>
      <c r="E107" s="45" t="s">
        <v>169</v>
      </c>
      <c r="F107" s="45" t="s">
        <v>2124</v>
      </c>
      <c r="G107" s="45"/>
      <c r="H107" s="45" t="s">
        <v>352</v>
      </c>
      <c r="I107" s="44" t="s">
        <v>2126</v>
      </c>
      <c r="J107" s="44">
        <v>99</v>
      </c>
      <c r="K107" s="46" t="s">
        <v>699</v>
      </c>
      <c r="L107" s="46"/>
      <c r="M107" s="47"/>
      <c r="N107" s="47" t="s">
        <v>1772</v>
      </c>
      <c r="O107" s="48"/>
      <c r="P107" s="48"/>
      <c r="Q107" s="45" t="s">
        <v>2127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7"/>
        <v>0</v>
      </c>
      <c r="AE107" s="1">
        <f t="shared" si="58"/>
        <v>0</v>
      </c>
      <c r="AF107" s="1">
        <f t="shared" si="59"/>
        <v>0</v>
      </c>
      <c r="AG107" s="1">
        <f t="shared" si="60"/>
        <v>0</v>
      </c>
      <c r="AH107" s="1">
        <f t="shared" si="61"/>
        <v>0</v>
      </c>
      <c r="AI107" s="1">
        <f t="shared" si="62"/>
        <v>1</v>
      </c>
    </row>
    <row r="108" spans="1:35" ht="14.25" customHeight="1" x14ac:dyDescent="0.25">
      <c r="A108" s="15">
        <v>0</v>
      </c>
      <c r="B108" s="15">
        <v>1</v>
      </c>
      <c r="C108" s="15">
        <v>3</v>
      </c>
      <c r="D108" s="16" t="s">
        <v>1619</v>
      </c>
      <c r="E108" s="16" t="s">
        <v>1074</v>
      </c>
      <c r="F108" s="16" t="s">
        <v>1200</v>
      </c>
      <c r="G108" s="16" t="s">
        <v>39</v>
      </c>
      <c r="H108" s="16" t="s">
        <v>1201</v>
      </c>
      <c r="I108" s="15" t="s">
        <v>1202</v>
      </c>
      <c r="J108" s="15">
        <v>18</v>
      </c>
      <c r="K108" s="10" t="s">
        <v>945</v>
      </c>
      <c r="L108" s="10" t="s">
        <v>684</v>
      </c>
      <c r="M108" s="19" t="s">
        <v>957</v>
      </c>
      <c r="N108" s="17"/>
      <c r="Q108" s="16" t="s">
        <v>1854</v>
      </c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7"/>
        <v>0</v>
      </c>
      <c r="AE108" s="1">
        <f t="shared" si="58"/>
        <v>0</v>
      </c>
      <c r="AF108" s="1">
        <f t="shared" si="59"/>
        <v>0</v>
      </c>
      <c r="AG108" s="1">
        <f t="shared" si="60"/>
        <v>0</v>
      </c>
      <c r="AH108" s="1">
        <f t="shared" si="61"/>
        <v>0</v>
      </c>
      <c r="AI108" s="1">
        <f t="shared" si="6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1532</v>
      </c>
      <c r="E109" s="32" t="s">
        <v>169</v>
      </c>
      <c r="F109" s="32" t="s">
        <v>1650</v>
      </c>
      <c r="G109" s="32" t="s">
        <v>39</v>
      </c>
      <c r="H109" s="32" t="s">
        <v>355</v>
      </c>
      <c r="I109" s="31" t="s">
        <v>1533</v>
      </c>
      <c r="J109" s="31">
        <v>18</v>
      </c>
      <c r="K109" s="33" t="s">
        <v>718</v>
      </c>
      <c r="L109" s="33" t="s">
        <v>684</v>
      </c>
      <c r="M109" s="34" t="s">
        <v>687</v>
      </c>
      <c r="N109" s="34" t="s">
        <v>1714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7"/>
        <v>0</v>
      </c>
      <c r="AE109" s="1">
        <f t="shared" si="58"/>
        <v>1</v>
      </c>
      <c r="AF109" s="1">
        <f t="shared" si="59"/>
        <v>0</v>
      </c>
      <c r="AG109" s="1">
        <f t="shared" si="60"/>
        <v>1</v>
      </c>
      <c r="AH109" s="1">
        <f t="shared" si="61"/>
        <v>0</v>
      </c>
      <c r="AI109" s="1">
        <f t="shared" si="62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1299</v>
      </c>
      <c r="E110" s="32" t="s">
        <v>174</v>
      </c>
      <c r="F110" s="32" t="s">
        <v>1320</v>
      </c>
      <c r="G110" s="32" t="s">
        <v>39</v>
      </c>
      <c r="H110" s="32" t="s">
        <v>352</v>
      </c>
      <c r="I110" s="31" t="s">
        <v>1120</v>
      </c>
      <c r="J110" s="31">
        <v>99</v>
      </c>
      <c r="K110" s="33" t="s">
        <v>698</v>
      </c>
      <c r="L110" s="33" t="s">
        <v>1672</v>
      </c>
      <c r="M110" s="34" t="s">
        <v>1369</v>
      </c>
      <c r="N110" s="34" t="s">
        <v>1719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7"/>
        <v>0</v>
      </c>
      <c r="AE110" s="1">
        <f t="shared" si="58"/>
        <v>1</v>
      </c>
      <c r="AF110" s="1">
        <f t="shared" si="59"/>
        <v>0</v>
      </c>
      <c r="AG110" s="1">
        <f t="shared" si="60"/>
        <v>1</v>
      </c>
      <c r="AH110" s="1">
        <f t="shared" si="61"/>
        <v>0</v>
      </c>
      <c r="AI110" s="1">
        <f t="shared" si="6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1243</v>
      </c>
      <c r="E111" s="32" t="s">
        <v>169</v>
      </c>
      <c r="F111" s="32" t="s">
        <v>1321</v>
      </c>
      <c r="G111" s="32" t="s">
        <v>1175</v>
      </c>
      <c r="H111" s="32" t="s">
        <v>352</v>
      </c>
      <c r="I111" s="31" t="s">
        <v>1176</v>
      </c>
      <c r="J111" s="31">
        <v>99</v>
      </c>
      <c r="K111" s="33" t="s">
        <v>718</v>
      </c>
      <c r="L111" s="33">
        <v>50</v>
      </c>
      <c r="M111" s="34" t="s">
        <v>39</v>
      </c>
      <c r="N111" s="34" t="s">
        <v>1771</v>
      </c>
      <c r="O111" s="35">
        <v>1</v>
      </c>
      <c r="P111" s="35"/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0</v>
      </c>
      <c r="AE111" s="1">
        <f t="shared" si="56"/>
        <v>1</v>
      </c>
      <c r="AF111" s="1">
        <f t="shared" si="41"/>
        <v>0</v>
      </c>
      <c r="AG111" s="1">
        <f t="shared" si="42"/>
        <v>1</v>
      </c>
      <c r="AH111" s="1">
        <f t="shared" si="43"/>
        <v>0</v>
      </c>
      <c r="AI111" s="1">
        <f t="shared" si="4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1006</v>
      </c>
      <c r="E112" s="32" t="s">
        <v>606</v>
      </c>
      <c r="F112" s="32" t="s">
        <v>1007</v>
      </c>
      <c r="G112" s="32" t="s">
        <v>1008</v>
      </c>
      <c r="H112" s="32" t="s">
        <v>352</v>
      </c>
      <c r="I112" s="31" t="s">
        <v>1009</v>
      </c>
      <c r="J112" s="31">
        <v>99</v>
      </c>
      <c r="K112" s="33" t="s">
        <v>943</v>
      </c>
      <c r="L112" s="33" t="s">
        <v>39</v>
      </c>
      <c r="M112" s="34" t="s">
        <v>39</v>
      </c>
      <c r="N112" s="34" t="s">
        <v>1706</v>
      </c>
      <c r="O112" s="35">
        <v>1</v>
      </c>
      <c r="P112" s="35">
        <v>1</v>
      </c>
      <c r="Q112" s="32"/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si="55"/>
        <v>1</v>
      </c>
      <c r="AE112" s="1">
        <f t="shared" si="56"/>
        <v>0</v>
      </c>
      <c r="AF112" s="1">
        <f t="shared" si="41"/>
        <v>1</v>
      </c>
      <c r="AG112" s="1">
        <f t="shared" si="42"/>
        <v>0</v>
      </c>
      <c r="AH112" s="1">
        <f t="shared" si="43"/>
        <v>1</v>
      </c>
      <c r="AI112" s="1">
        <f t="shared" si="44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20" t="s">
        <v>2088</v>
      </c>
      <c r="E113" s="20" t="s">
        <v>171</v>
      </c>
      <c r="F113" s="20" t="s">
        <v>2089</v>
      </c>
      <c r="G113" s="16"/>
      <c r="H113" s="20" t="s">
        <v>2090</v>
      </c>
      <c r="I113" s="21" t="s">
        <v>2091</v>
      </c>
      <c r="J113" s="15">
        <v>12</v>
      </c>
      <c r="K113" s="10" t="s">
        <v>699</v>
      </c>
      <c r="L113" s="10">
        <v>40</v>
      </c>
      <c r="M113" s="19" t="s">
        <v>1370</v>
      </c>
      <c r="N113" s="17"/>
      <c r="Q113" s="16" t="s">
        <v>2092</v>
      </c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ref="AD113:AD115" si="63">+O113*P113</f>
        <v>0</v>
      </c>
      <c r="AE113" s="1">
        <f t="shared" ref="AE113:AE115" si="64">O113*(1-P113)</f>
        <v>0</v>
      </c>
      <c r="AF113" s="1">
        <f t="shared" ref="AF113:AF115" si="65">+O113*P113*(1-A113)</f>
        <v>0</v>
      </c>
      <c r="AG113" s="1">
        <f t="shared" ref="AG113:AG115" si="66">O113*(1-P113)*(1-A113)</f>
        <v>0</v>
      </c>
      <c r="AH113" s="1">
        <f t="shared" ref="AH113:AH115" si="67">+P113*(1-A113)</f>
        <v>0</v>
      </c>
      <c r="AI113" s="1">
        <f t="shared" ref="AI113:AI115" si="68">+(1-A113)*(1-P113)</f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140</v>
      </c>
      <c r="E114" s="32" t="s">
        <v>174</v>
      </c>
      <c r="F114" s="32" t="s">
        <v>340</v>
      </c>
      <c r="G114" s="32" t="s">
        <v>39</v>
      </c>
      <c r="H114" s="32" t="s">
        <v>374</v>
      </c>
      <c r="I114" s="31" t="s">
        <v>486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1718</v>
      </c>
      <c r="O114" s="35">
        <v>1</v>
      </c>
      <c r="P114" s="35"/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63"/>
        <v>0</v>
      </c>
      <c r="AE114" s="1">
        <f t="shared" si="64"/>
        <v>1</v>
      </c>
      <c r="AF114" s="1">
        <f t="shared" si="65"/>
        <v>0</v>
      </c>
      <c r="AG114" s="1">
        <f t="shared" si="66"/>
        <v>1</v>
      </c>
      <c r="AH114" s="1">
        <f t="shared" si="67"/>
        <v>0</v>
      </c>
      <c r="AI114" s="1">
        <f t="shared" si="68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808</v>
      </c>
      <c r="E115" s="32" t="s">
        <v>171</v>
      </c>
      <c r="F115" s="32" t="s">
        <v>809</v>
      </c>
      <c r="G115" s="32" t="s">
        <v>39</v>
      </c>
      <c r="H115" s="32" t="s">
        <v>810</v>
      </c>
      <c r="I115" s="31" t="s">
        <v>811</v>
      </c>
      <c r="J115" s="31">
        <v>16</v>
      </c>
      <c r="K115" s="33" t="s">
        <v>698</v>
      </c>
      <c r="L115" s="33" t="s">
        <v>684</v>
      </c>
      <c r="M115" s="34" t="s">
        <v>1370</v>
      </c>
      <c r="N115" s="34" t="s">
        <v>1700</v>
      </c>
      <c r="O115" s="35">
        <v>1</v>
      </c>
      <c r="P115" s="35">
        <v>1</v>
      </c>
      <c r="Q115" s="32"/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63"/>
        <v>1</v>
      </c>
      <c r="AE115" s="1">
        <f t="shared" si="64"/>
        <v>0</v>
      </c>
      <c r="AF115" s="1">
        <f t="shared" si="65"/>
        <v>1</v>
      </c>
      <c r="AG115" s="1">
        <f t="shared" si="66"/>
        <v>0</v>
      </c>
      <c r="AH115" s="1">
        <f t="shared" si="67"/>
        <v>1</v>
      </c>
      <c r="AI115" s="1">
        <f t="shared" si="68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107</v>
      </c>
      <c r="E116" s="16" t="s">
        <v>169</v>
      </c>
      <c r="F116" s="16" t="s">
        <v>304</v>
      </c>
      <c r="G116" s="16" t="s">
        <v>39</v>
      </c>
      <c r="H116" s="16" t="s">
        <v>359</v>
      </c>
      <c r="I116" s="15" t="s">
        <v>452</v>
      </c>
      <c r="J116" s="15">
        <v>18</v>
      </c>
      <c r="K116" s="10" t="s">
        <v>699</v>
      </c>
      <c r="L116" s="10" t="s">
        <v>684</v>
      </c>
      <c r="M116" s="19" t="s">
        <v>687</v>
      </c>
      <c r="N116" s="17"/>
      <c r="Q116" s="20" t="s">
        <v>1853</v>
      </c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0</v>
      </c>
      <c r="AF116" s="1">
        <f t="shared" si="41"/>
        <v>0</v>
      </c>
      <c r="AG116" s="1">
        <f t="shared" si="42"/>
        <v>0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1480</v>
      </c>
      <c r="E117" s="32" t="s">
        <v>169</v>
      </c>
      <c r="F117" s="32" t="s">
        <v>1481</v>
      </c>
      <c r="G117" s="32" t="s">
        <v>39</v>
      </c>
      <c r="H117" s="32" t="s">
        <v>372</v>
      </c>
      <c r="I117" s="31" t="s">
        <v>1482</v>
      </c>
      <c r="J117" s="31">
        <v>11</v>
      </c>
      <c r="K117" s="33" t="s">
        <v>718</v>
      </c>
      <c r="L117" s="33">
        <v>50</v>
      </c>
      <c r="M117" s="34" t="s">
        <v>39</v>
      </c>
      <c r="N117" s="34" t="s">
        <v>1719</v>
      </c>
      <c r="O117" s="35">
        <v>1</v>
      </c>
      <c r="P117" s="35"/>
      <c r="Q117" s="32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1</v>
      </c>
      <c r="AF117" s="1">
        <f t="shared" si="41"/>
        <v>0</v>
      </c>
      <c r="AG117" s="1">
        <f t="shared" si="42"/>
        <v>1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44">
        <v>0</v>
      </c>
      <c r="B118" s="44">
        <v>1</v>
      </c>
      <c r="C118" s="44">
        <v>3</v>
      </c>
      <c r="D118" s="45" t="s">
        <v>106</v>
      </c>
      <c r="E118" s="45" t="s">
        <v>169</v>
      </c>
      <c r="F118" s="45" t="s">
        <v>303</v>
      </c>
      <c r="G118" s="45" t="s">
        <v>39</v>
      </c>
      <c r="H118" s="45" t="s">
        <v>358</v>
      </c>
      <c r="I118" s="44" t="s">
        <v>451</v>
      </c>
      <c r="J118" s="44">
        <v>18</v>
      </c>
      <c r="K118" s="46" t="s">
        <v>698</v>
      </c>
      <c r="L118" s="46">
        <v>55</v>
      </c>
      <c r="M118" s="47" t="s">
        <v>687</v>
      </c>
      <c r="N118" s="47" t="s">
        <v>1707</v>
      </c>
      <c r="O118" s="48"/>
      <c r="P118" s="48"/>
      <c r="Q118" s="45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0</v>
      </c>
      <c r="AF118" s="1">
        <f t="shared" si="41"/>
        <v>0</v>
      </c>
      <c r="AG118" s="1">
        <f t="shared" si="42"/>
        <v>0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127</v>
      </c>
      <c r="E119" s="32" t="s">
        <v>174</v>
      </c>
      <c r="F119" s="32" t="s">
        <v>327</v>
      </c>
      <c r="G119" s="32" t="s">
        <v>39</v>
      </c>
      <c r="H119" s="32" t="s">
        <v>373</v>
      </c>
      <c r="I119" s="31" t="s">
        <v>474</v>
      </c>
      <c r="J119" s="31">
        <v>12</v>
      </c>
      <c r="K119" s="33" t="s">
        <v>698</v>
      </c>
      <c r="L119" s="33">
        <v>35</v>
      </c>
      <c r="M119" s="34" t="s">
        <v>687</v>
      </c>
      <c r="N119" s="34" t="s">
        <v>1719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16" t="s">
        <v>981</v>
      </c>
      <c r="E120" s="16" t="s">
        <v>169</v>
      </c>
      <c r="F120" s="16" t="s">
        <v>1080</v>
      </c>
      <c r="G120" s="16" t="s">
        <v>231</v>
      </c>
      <c r="H120" s="16" t="s">
        <v>352</v>
      </c>
      <c r="I120" s="15" t="s">
        <v>982</v>
      </c>
      <c r="J120" s="15">
        <v>99</v>
      </c>
      <c r="K120" s="10" t="s">
        <v>943</v>
      </c>
      <c r="L120" s="10">
        <v>40</v>
      </c>
      <c r="M120" s="19" t="s">
        <v>39</v>
      </c>
      <c r="N120" s="19"/>
      <c r="Q120" s="16"/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0</v>
      </c>
      <c r="AE120" s="1">
        <f t="shared" si="56"/>
        <v>0</v>
      </c>
      <c r="AF120" s="1">
        <f t="shared" si="41"/>
        <v>0</v>
      </c>
      <c r="AG120" s="1">
        <f t="shared" si="42"/>
        <v>0</v>
      </c>
      <c r="AH120" s="1">
        <f t="shared" si="43"/>
        <v>0</v>
      </c>
      <c r="AI120" s="1">
        <f t="shared" si="4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128</v>
      </c>
      <c r="E121" s="32" t="s">
        <v>169</v>
      </c>
      <c r="F121" s="32" t="s">
        <v>328</v>
      </c>
      <c r="G121" s="32" t="s">
        <v>39</v>
      </c>
      <c r="H121" s="32" t="s">
        <v>369</v>
      </c>
      <c r="I121" s="31" t="s">
        <v>475</v>
      </c>
      <c r="J121" s="31">
        <v>11</v>
      </c>
      <c r="K121" s="33" t="s">
        <v>698</v>
      </c>
      <c r="L121" s="33" t="s">
        <v>39</v>
      </c>
      <c r="M121" s="34" t="s">
        <v>39</v>
      </c>
      <c r="N121" s="34" t="s">
        <v>1700</v>
      </c>
      <c r="O121" s="35">
        <v>1</v>
      </c>
      <c r="P121" s="35">
        <v>1</v>
      </c>
      <c r="Q121" s="32" t="s">
        <v>2005</v>
      </c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1</v>
      </c>
      <c r="AE121" s="1">
        <f t="shared" si="56"/>
        <v>0</v>
      </c>
      <c r="AF121" s="1">
        <f t="shared" si="41"/>
        <v>1</v>
      </c>
      <c r="AG121" s="1">
        <f t="shared" si="42"/>
        <v>0</v>
      </c>
      <c r="AH121" s="1">
        <f t="shared" si="43"/>
        <v>1</v>
      </c>
      <c r="AI121" s="1">
        <f t="shared" si="44"/>
        <v>0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1300</v>
      </c>
      <c r="E122" s="32" t="s">
        <v>171</v>
      </c>
      <c r="F122" s="32" t="s">
        <v>1323</v>
      </c>
      <c r="G122" s="32" t="s">
        <v>39</v>
      </c>
      <c r="H122" s="32" t="s">
        <v>975</v>
      </c>
      <c r="I122" s="31" t="s">
        <v>976</v>
      </c>
      <c r="J122" s="31">
        <v>14</v>
      </c>
      <c r="K122" s="33" t="s">
        <v>699</v>
      </c>
      <c r="L122" s="33">
        <v>30</v>
      </c>
      <c r="M122" s="34" t="s">
        <v>958</v>
      </c>
      <c r="N122" s="34" t="s">
        <v>1714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2110</v>
      </c>
      <c r="E123" s="16" t="s">
        <v>169</v>
      </c>
      <c r="F123" s="16" t="s">
        <v>2112</v>
      </c>
      <c r="G123" s="16"/>
      <c r="H123" s="16" t="s">
        <v>372</v>
      </c>
      <c r="I123" s="15" t="s">
        <v>2113</v>
      </c>
      <c r="J123" s="15">
        <v>11</v>
      </c>
      <c r="K123" s="10" t="s">
        <v>699</v>
      </c>
      <c r="L123" s="10">
        <v>50</v>
      </c>
      <c r="M123" s="19" t="s">
        <v>2111</v>
      </c>
      <c r="N123" s="17"/>
      <c r="Q123" s="16" t="s">
        <v>2114</v>
      </c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ref="AD123:AD126" si="69">+O123*P123</f>
        <v>0</v>
      </c>
      <c r="AE123" s="1">
        <f t="shared" ref="AE123:AE126" si="70">O123*(1-P123)</f>
        <v>0</v>
      </c>
      <c r="AF123" s="1">
        <f t="shared" ref="AF123:AF126" si="71">+O123*P123*(1-A123)</f>
        <v>0</v>
      </c>
      <c r="AG123" s="1">
        <f t="shared" ref="AG123:AG126" si="72">O123*(1-P123)*(1-A123)</f>
        <v>0</v>
      </c>
      <c r="AH123" s="1">
        <f t="shared" ref="AH123:AH126" si="73">+P123*(1-A123)</f>
        <v>0</v>
      </c>
      <c r="AI123" s="1">
        <f t="shared" ref="AI123:AI126" si="74">+(1-A123)*(1-P123)</f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695</v>
      </c>
      <c r="E124" s="32" t="s">
        <v>174</v>
      </c>
      <c r="F124" s="32" t="s">
        <v>696</v>
      </c>
      <c r="G124" s="32" t="s">
        <v>39</v>
      </c>
      <c r="H124" s="32" t="s">
        <v>697</v>
      </c>
      <c r="I124" s="31" t="s">
        <v>1102</v>
      </c>
      <c r="J124" s="31">
        <v>13</v>
      </c>
      <c r="K124" s="33" t="s">
        <v>698</v>
      </c>
      <c r="L124" s="33" t="s">
        <v>1672</v>
      </c>
      <c r="M124" s="34" t="s">
        <v>957</v>
      </c>
      <c r="N124" s="34" t="s">
        <v>1795</v>
      </c>
      <c r="O124" s="35">
        <v>1</v>
      </c>
      <c r="P124" s="35"/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9"/>
        <v>0</v>
      </c>
      <c r="AE124" s="1">
        <f t="shared" si="70"/>
        <v>1</v>
      </c>
      <c r="AF124" s="1">
        <f t="shared" si="71"/>
        <v>0</v>
      </c>
      <c r="AG124" s="1">
        <f t="shared" si="72"/>
        <v>1</v>
      </c>
      <c r="AH124" s="1">
        <f t="shared" si="73"/>
        <v>0</v>
      </c>
      <c r="AI124" s="1">
        <f t="shared" si="74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1495</v>
      </c>
      <c r="E125" s="32" t="s">
        <v>169</v>
      </c>
      <c r="F125" s="32" t="s">
        <v>1641</v>
      </c>
      <c r="G125" s="32" t="s">
        <v>39</v>
      </c>
      <c r="H125" s="32" t="s">
        <v>1496</v>
      </c>
      <c r="I125" s="31" t="s">
        <v>1497</v>
      </c>
      <c r="J125" s="31">
        <v>11</v>
      </c>
      <c r="K125" s="33" t="s">
        <v>718</v>
      </c>
      <c r="L125" s="33">
        <v>40</v>
      </c>
      <c r="M125" s="34" t="s">
        <v>39</v>
      </c>
      <c r="N125" s="34" t="s">
        <v>1700</v>
      </c>
      <c r="O125" s="35">
        <v>1</v>
      </c>
      <c r="P125" s="35">
        <v>1</v>
      </c>
      <c r="Q125" s="32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69"/>
        <v>1</v>
      </c>
      <c r="AE125" s="1">
        <f t="shared" si="70"/>
        <v>0</v>
      </c>
      <c r="AF125" s="1">
        <f t="shared" si="71"/>
        <v>1</v>
      </c>
      <c r="AG125" s="1">
        <f t="shared" si="72"/>
        <v>0</v>
      </c>
      <c r="AH125" s="1">
        <f t="shared" si="73"/>
        <v>1</v>
      </c>
      <c r="AI125" s="1">
        <f t="shared" si="74"/>
        <v>0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145</v>
      </c>
      <c r="E126" s="16" t="s">
        <v>171</v>
      </c>
      <c r="F126" s="16" t="s">
        <v>346</v>
      </c>
      <c r="G126" s="16" t="s">
        <v>39</v>
      </c>
      <c r="H126" s="16" t="s">
        <v>365</v>
      </c>
      <c r="I126" s="15" t="s">
        <v>490</v>
      </c>
      <c r="J126" s="15">
        <v>18</v>
      </c>
      <c r="K126" s="10" t="s">
        <v>943</v>
      </c>
      <c r="L126" s="10" t="s">
        <v>693</v>
      </c>
      <c r="M126" s="19" t="s">
        <v>957</v>
      </c>
      <c r="N126" s="17"/>
      <c r="Q126" s="16"/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69"/>
        <v>0</v>
      </c>
      <c r="AE126" s="1">
        <f t="shared" si="70"/>
        <v>0</v>
      </c>
      <c r="AF126" s="1">
        <f t="shared" si="71"/>
        <v>0</v>
      </c>
      <c r="AG126" s="1">
        <f t="shared" si="72"/>
        <v>0</v>
      </c>
      <c r="AH126" s="1">
        <f t="shared" si="73"/>
        <v>0</v>
      </c>
      <c r="AI126" s="1">
        <f t="shared" si="74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20" t="s">
        <v>1946</v>
      </c>
      <c r="E127" s="20" t="s">
        <v>171</v>
      </c>
      <c r="F127" s="20" t="s">
        <v>1943</v>
      </c>
      <c r="G127" s="20"/>
      <c r="H127" s="20" t="s">
        <v>1944</v>
      </c>
      <c r="I127" s="21" t="s">
        <v>1942</v>
      </c>
      <c r="J127" s="15">
        <v>17</v>
      </c>
      <c r="K127" s="10" t="s">
        <v>699</v>
      </c>
      <c r="L127" s="10" t="s">
        <v>1713</v>
      </c>
      <c r="M127" s="19" t="s">
        <v>958</v>
      </c>
      <c r="N127" s="17"/>
      <c r="Q127" s="20" t="s">
        <v>1945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44">
        <v>0</v>
      </c>
      <c r="B128" s="44">
        <v>1</v>
      </c>
      <c r="C128" s="44">
        <v>3</v>
      </c>
      <c r="D128" s="45" t="s">
        <v>987</v>
      </c>
      <c r="E128" s="45" t="s">
        <v>171</v>
      </c>
      <c r="F128" s="57" t="s">
        <v>1837</v>
      </c>
      <c r="G128" s="45" t="s">
        <v>39</v>
      </c>
      <c r="H128" s="45" t="s">
        <v>988</v>
      </c>
      <c r="I128" s="44" t="s">
        <v>1103</v>
      </c>
      <c r="J128" s="44">
        <v>16</v>
      </c>
      <c r="K128" s="46" t="s">
        <v>718</v>
      </c>
      <c r="L128" s="46" t="s">
        <v>1713</v>
      </c>
      <c r="M128" s="47" t="s">
        <v>1371</v>
      </c>
      <c r="N128" s="47" t="s">
        <v>1772</v>
      </c>
      <c r="O128" s="48"/>
      <c r="P128" s="48"/>
      <c r="Q128" s="57" t="s">
        <v>1860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0</v>
      </c>
      <c r="AF128" s="1">
        <f t="shared" si="41"/>
        <v>0</v>
      </c>
      <c r="AG128" s="1">
        <f t="shared" si="42"/>
        <v>0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1114</v>
      </c>
      <c r="E129" s="32" t="s">
        <v>171</v>
      </c>
      <c r="F129" s="32" t="s">
        <v>1324</v>
      </c>
      <c r="G129" s="32" t="s">
        <v>39</v>
      </c>
      <c r="H129" s="32" t="s">
        <v>1116</v>
      </c>
      <c r="I129" s="31" t="s">
        <v>1115</v>
      </c>
      <c r="J129" s="31">
        <v>14</v>
      </c>
      <c r="K129" s="33" t="s">
        <v>945</v>
      </c>
      <c r="L129" s="33" t="s">
        <v>1672</v>
      </c>
      <c r="M129" s="34" t="s">
        <v>1372</v>
      </c>
      <c r="N129" s="34" t="s">
        <v>1700</v>
      </c>
      <c r="O129" s="35">
        <v>1</v>
      </c>
      <c r="P129" s="35">
        <v>1</v>
      </c>
      <c r="Q129" s="32" t="s">
        <v>2093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1065</v>
      </c>
      <c r="E130" s="32" t="s">
        <v>171</v>
      </c>
      <c r="F130" s="32" t="s">
        <v>1027</v>
      </c>
      <c r="G130" s="32" t="s">
        <v>1091</v>
      </c>
      <c r="H130" s="32" t="s">
        <v>352</v>
      </c>
      <c r="I130" s="31" t="s">
        <v>1028</v>
      </c>
      <c r="J130" s="31">
        <v>1</v>
      </c>
      <c r="K130" s="33" t="s">
        <v>945</v>
      </c>
      <c r="L130" s="33" t="s">
        <v>683</v>
      </c>
      <c r="M130" s="34" t="s">
        <v>958</v>
      </c>
      <c r="N130" s="34" t="s">
        <v>1725</v>
      </c>
      <c r="O130" s="35">
        <v>1</v>
      </c>
      <c r="P130" s="35"/>
      <c r="Q130" s="32"/>
      <c r="S130" s="1">
        <f t="shared" si="45"/>
        <v>1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6" t="s">
        <v>2063</v>
      </c>
      <c r="E131" s="36" t="s">
        <v>171</v>
      </c>
      <c r="F131" s="36" t="s">
        <v>2064</v>
      </c>
      <c r="G131" s="32"/>
      <c r="H131" s="36" t="s">
        <v>2065</v>
      </c>
      <c r="I131" s="37" t="s">
        <v>2066</v>
      </c>
      <c r="J131" s="31">
        <v>14</v>
      </c>
      <c r="K131" s="33" t="s">
        <v>699</v>
      </c>
      <c r="L131" s="33"/>
      <c r="M131" s="34"/>
      <c r="N131" s="34" t="s">
        <v>1706</v>
      </c>
      <c r="O131" s="35">
        <v>1</v>
      </c>
      <c r="P131" s="35">
        <v>1</v>
      </c>
      <c r="Q131" s="36" t="s">
        <v>2067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1</v>
      </c>
      <c r="AE131" s="1">
        <f t="shared" si="56"/>
        <v>0</v>
      </c>
      <c r="AF131" s="1">
        <f t="shared" si="41"/>
        <v>1</v>
      </c>
      <c r="AG131" s="1">
        <f t="shared" si="42"/>
        <v>0</v>
      </c>
      <c r="AH131" s="1">
        <f t="shared" si="43"/>
        <v>1</v>
      </c>
      <c r="AI131" s="1">
        <f t="shared" si="4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1603</v>
      </c>
      <c r="E132" s="32" t="s">
        <v>1074</v>
      </c>
      <c r="F132" s="32" t="s">
        <v>1604</v>
      </c>
      <c r="G132" s="32" t="s">
        <v>39</v>
      </c>
      <c r="H132" s="32" t="s">
        <v>1605</v>
      </c>
      <c r="I132" s="31" t="s">
        <v>1606</v>
      </c>
      <c r="J132" s="31">
        <v>15</v>
      </c>
      <c r="K132" s="33" t="s">
        <v>945</v>
      </c>
      <c r="L132" s="33" t="s">
        <v>39</v>
      </c>
      <c r="M132" s="34" t="s">
        <v>39</v>
      </c>
      <c r="N132" s="34" t="s">
        <v>1718</v>
      </c>
      <c r="O132" s="35">
        <v>1</v>
      </c>
      <c r="P132" s="35"/>
      <c r="Q132" s="36" t="s">
        <v>1865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1</v>
      </c>
      <c r="AF132" s="1">
        <f t="shared" si="41"/>
        <v>0</v>
      </c>
      <c r="AG132" s="1">
        <f t="shared" si="42"/>
        <v>1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609</v>
      </c>
      <c r="E133" s="16" t="s">
        <v>169</v>
      </c>
      <c r="F133" s="16" t="s">
        <v>610</v>
      </c>
      <c r="G133" s="16" t="s">
        <v>39</v>
      </c>
      <c r="H133" s="16" t="s">
        <v>364</v>
      </c>
      <c r="I133" s="15" t="s">
        <v>611</v>
      </c>
      <c r="J133" s="15">
        <v>18</v>
      </c>
      <c r="K133" s="10" t="s">
        <v>718</v>
      </c>
      <c r="L133" s="10" t="s">
        <v>1713</v>
      </c>
      <c r="M133" s="19" t="s">
        <v>39</v>
      </c>
      <c r="N133" s="17"/>
      <c r="Q133" s="16"/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6" t="s">
        <v>2119</v>
      </c>
      <c r="E134" s="36" t="s">
        <v>171</v>
      </c>
      <c r="F134" s="36" t="s">
        <v>2120</v>
      </c>
      <c r="G134" s="32"/>
      <c r="H134" s="36" t="s">
        <v>360</v>
      </c>
      <c r="I134" s="37" t="s">
        <v>2121</v>
      </c>
      <c r="J134" s="31">
        <v>12</v>
      </c>
      <c r="K134" s="33" t="s">
        <v>699</v>
      </c>
      <c r="L134" s="33">
        <v>40</v>
      </c>
      <c r="M134" s="34" t="s">
        <v>958</v>
      </c>
      <c r="N134" s="34" t="s">
        <v>1714</v>
      </c>
      <c r="O134" s="35">
        <v>1</v>
      </c>
      <c r="P134" s="35"/>
      <c r="Q134" s="32" t="s">
        <v>2122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1</v>
      </c>
      <c r="AF134" s="1">
        <f t="shared" si="41"/>
        <v>0</v>
      </c>
      <c r="AG134" s="1">
        <f t="shared" si="42"/>
        <v>1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20" t="s">
        <v>2070</v>
      </c>
      <c r="E135" s="20" t="s">
        <v>865</v>
      </c>
      <c r="F135" s="20" t="s">
        <v>2071</v>
      </c>
      <c r="G135" s="16"/>
      <c r="H135" s="20" t="s">
        <v>2072</v>
      </c>
      <c r="I135" s="21" t="s">
        <v>2073</v>
      </c>
      <c r="J135" s="15">
        <v>16</v>
      </c>
      <c r="K135" s="10" t="s">
        <v>699</v>
      </c>
      <c r="L135" s="10" t="s">
        <v>684</v>
      </c>
      <c r="M135" s="19" t="s">
        <v>958</v>
      </c>
      <c r="N135" s="17"/>
      <c r="Q135" s="16" t="s">
        <v>2074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20" t="s">
        <v>1919</v>
      </c>
      <c r="E136" s="20" t="s">
        <v>171</v>
      </c>
      <c r="F136" s="20" t="s">
        <v>1939</v>
      </c>
      <c r="G136" s="20"/>
      <c r="H136" s="20" t="s">
        <v>1938</v>
      </c>
      <c r="I136" s="21" t="s">
        <v>1940</v>
      </c>
      <c r="J136" s="15">
        <v>15</v>
      </c>
      <c r="K136" s="10" t="s">
        <v>699</v>
      </c>
      <c r="L136" s="10" t="s">
        <v>1713</v>
      </c>
      <c r="M136" s="19" t="s">
        <v>958</v>
      </c>
      <c r="N136" s="17"/>
      <c r="Q136" s="20" t="s">
        <v>1941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909</v>
      </c>
      <c r="E137" s="32" t="s">
        <v>171</v>
      </c>
      <c r="F137" s="32" t="s">
        <v>1141</v>
      </c>
      <c r="G137" s="32" t="s">
        <v>39</v>
      </c>
      <c r="H137" s="32" t="s">
        <v>361</v>
      </c>
      <c r="I137" s="31" t="s">
        <v>880</v>
      </c>
      <c r="J137" s="31">
        <v>14</v>
      </c>
      <c r="K137" s="33" t="s">
        <v>944</v>
      </c>
      <c r="L137" s="33" t="s">
        <v>39</v>
      </c>
      <c r="M137" s="34" t="s">
        <v>39</v>
      </c>
      <c r="N137" s="34" t="s">
        <v>1706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104</v>
      </c>
      <c r="E138" s="45" t="s">
        <v>171</v>
      </c>
      <c r="F138" s="45" t="s">
        <v>920</v>
      </c>
      <c r="G138" s="45" t="s">
        <v>39</v>
      </c>
      <c r="H138" s="45" t="s">
        <v>356</v>
      </c>
      <c r="I138" s="44" t="s">
        <v>449</v>
      </c>
      <c r="J138" s="44">
        <v>18</v>
      </c>
      <c r="K138" s="46" t="s">
        <v>943</v>
      </c>
      <c r="L138" s="46" t="s">
        <v>693</v>
      </c>
      <c r="M138" s="47" t="s">
        <v>687</v>
      </c>
      <c r="N138" s="47" t="s">
        <v>1708</v>
      </c>
      <c r="O138" s="48"/>
      <c r="P138" s="48"/>
      <c r="Q138" s="45" t="s">
        <v>1858</v>
      </c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0</v>
      </c>
      <c r="AF138" s="1">
        <f t="shared" si="41"/>
        <v>0</v>
      </c>
      <c r="AG138" s="1">
        <f t="shared" si="42"/>
        <v>0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1483</v>
      </c>
      <c r="E139" s="32" t="s">
        <v>1626</v>
      </c>
      <c r="F139" s="32" t="s">
        <v>1485</v>
      </c>
      <c r="G139" s="32" t="s">
        <v>39</v>
      </c>
      <c r="H139" s="32" t="s">
        <v>1486</v>
      </c>
      <c r="I139" s="31" t="s">
        <v>1484</v>
      </c>
      <c r="J139" s="31">
        <v>14</v>
      </c>
      <c r="K139" s="33" t="s">
        <v>949</v>
      </c>
      <c r="L139" s="33" t="s">
        <v>683</v>
      </c>
      <c r="M139" s="34" t="s">
        <v>1373</v>
      </c>
      <c r="N139" s="34" t="s">
        <v>1700</v>
      </c>
      <c r="O139" s="35">
        <v>1</v>
      </c>
      <c r="P139" s="35">
        <v>1</v>
      </c>
      <c r="Q139" s="3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1</v>
      </c>
      <c r="AE139" s="1">
        <f t="shared" si="56"/>
        <v>0</v>
      </c>
      <c r="AF139" s="1">
        <f t="shared" si="41"/>
        <v>1</v>
      </c>
      <c r="AG139" s="1">
        <f t="shared" si="42"/>
        <v>0</v>
      </c>
      <c r="AH139" s="1">
        <f t="shared" si="43"/>
        <v>1</v>
      </c>
      <c r="AI139" s="1">
        <f t="shared" si="4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1237</v>
      </c>
      <c r="E140" s="32" t="s">
        <v>171</v>
      </c>
      <c r="F140" s="32" t="s">
        <v>1238</v>
      </c>
      <c r="G140" s="32" t="s">
        <v>1240</v>
      </c>
      <c r="H140" s="32" t="s">
        <v>352</v>
      </c>
      <c r="I140" s="31" t="s">
        <v>1239</v>
      </c>
      <c r="J140" s="31">
        <v>99</v>
      </c>
      <c r="K140" s="33" t="s">
        <v>945</v>
      </c>
      <c r="L140" s="33" t="s">
        <v>689</v>
      </c>
      <c r="M140" s="34" t="s">
        <v>958</v>
      </c>
      <c r="N140" s="34" t="s">
        <v>1795</v>
      </c>
      <c r="O140" s="35">
        <v>1</v>
      </c>
      <c r="P140" s="35"/>
      <c r="Q140" s="3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1</v>
      </c>
      <c r="AF140" s="1">
        <f t="shared" si="41"/>
        <v>0</v>
      </c>
      <c r="AG140" s="1">
        <f t="shared" si="42"/>
        <v>1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171</v>
      </c>
      <c r="F141" s="32" t="s">
        <v>1478</v>
      </c>
      <c r="G141" s="32" t="s">
        <v>39</v>
      </c>
      <c r="H141" s="32" t="s">
        <v>363</v>
      </c>
      <c r="I141" s="31" t="s">
        <v>1479</v>
      </c>
      <c r="J141" s="31">
        <v>18</v>
      </c>
      <c r="K141" s="33" t="s">
        <v>943</v>
      </c>
      <c r="L141" s="33" t="s">
        <v>1713</v>
      </c>
      <c r="M141" s="34" t="s">
        <v>39</v>
      </c>
      <c r="N141" s="34" t="s">
        <v>1718</v>
      </c>
      <c r="O141" s="35">
        <v>1</v>
      </c>
      <c r="P141" s="35"/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0</v>
      </c>
      <c r="AE141" s="1">
        <f t="shared" si="56"/>
        <v>1</v>
      </c>
      <c r="AF141" s="1">
        <f t="shared" si="41"/>
        <v>0</v>
      </c>
      <c r="AG141" s="1">
        <f t="shared" si="42"/>
        <v>1</v>
      </c>
      <c r="AH141" s="1">
        <f t="shared" si="43"/>
        <v>0</v>
      </c>
      <c r="AI141" s="1">
        <f t="shared" si="44"/>
        <v>1</v>
      </c>
    </row>
    <row r="142" spans="1:35" ht="14.25" customHeight="1" x14ac:dyDescent="0.25">
      <c r="A142" s="15">
        <v>0</v>
      </c>
      <c r="B142" s="15">
        <v>1</v>
      </c>
      <c r="C142" s="15">
        <v>3</v>
      </c>
      <c r="D142" s="16" t="s">
        <v>1597</v>
      </c>
      <c r="E142" s="16" t="s">
        <v>171</v>
      </c>
      <c r="F142" s="16" t="s">
        <v>1600</v>
      </c>
      <c r="G142" s="16" t="s">
        <v>39</v>
      </c>
      <c r="H142" s="16" t="s">
        <v>1598</v>
      </c>
      <c r="I142" s="15" t="s">
        <v>1599</v>
      </c>
      <c r="J142" s="15">
        <v>15</v>
      </c>
      <c r="K142" s="10" t="s">
        <v>718</v>
      </c>
      <c r="L142" s="10" t="s">
        <v>39</v>
      </c>
      <c r="M142" s="19" t="s">
        <v>39</v>
      </c>
      <c r="N142" s="17"/>
      <c r="Q142" s="16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0</v>
      </c>
      <c r="AF142" s="1">
        <f t="shared" si="41"/>
        <v>0</v>
      </c>
      <c r="AG142" s="1">
        <f t="shared" si="42"/>
        <v>0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1225</v>
      </c>
      <c r="E143" s="32" t="s">
        <v>1227</v>
      </c>
      <c r="F143" s="32" t="s">
        <v>1228</v>
      </c>
      <c r="G143" s="32" t="s">
        <v>39</v>
      </c>
      <c r="H143" s="32" t="s">
        <v>367</v>
      </c>
      <c r="I143" s="31" t="s">
        <v>1226</v>
      </c>
      <c r="J143" s="31">
        <v>14</v>
      </c>
      <c r="K143" s="33" t="s">
        <v>945</v>
      </c>
      <c r="L143" s="33" t="s">
        <v>683</v>
      </c>
      <c r="M143" s="34" t="s">
        <v>1373</v>
      </c>
      <c r="N143" s="34" t="s">
        <v>1706</v>
      </c>
      <c r="O143" s="35">
        <v>1</v>
      </c>
      <c r="P143" s="35">
        <v>1</v>
      </c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1</v>
      </c>
      <c r="AE143" s="1">
        <f t="shared" si="56"/>
        <v>0</v>
      </c>
      <c r="AF143" s="1">
        <f t="shared" si="41"/>
        <v>1</v>
      </c>
      <c r="AG143" s="1">
        <f t="shared" si="42"/>
        <v>0</v>
      </c>
      <c r="AH143" s="1">
        <f t="shared" si="43"/>
        <v>1</v>
      </c>
      <c r="AI143" s="1">
        <f t="shared" si="44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129</v>
      </c>
      <c r="E144" s="32" t="s">
        <v>175</v>
      </c>
      <c r="F144" s="32" t="s">
        <v>329</v>
      </c>
      <c r="G144" s="32" t="s">
        <v>181</v>
      </c>
      <c r="H144" s="32" t="s">
        <v>352</v>
      </c>
      <c r="I144" s="31" t="s">
        <v>476</v>
      </c>
      <c r="J144" s="31">
        <v>99</v>
      </c>
      <c r="K144" s="33" t="s">
        <v>944</v>
      </c>
      <c r="L144" s="33" t="s">
        <v>39</v>
      </c>
      <c r="M144" s="34" t="s">
        <v>39</v>
      </c>
      <c r="N144" s="34" t="s">
        <v>1706</v>
      </c>
      <c r="O144" s="35">
        <v>1</v>
      </c>
      <c r="P144" s="35">
        <v>1</v>
      </c>
      <c r="Q144" s="32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1</v>
      </c>
      <c r="AE144" s="1">
        <f t="shared" si="56"/>
        <v>0</v>
      </c>
      <c r="AF144" s="1">
        <f t="shared" si="41"/>
        <v>1</v>
      </c>
      <c r="AG144" s="1">
        <f t="shared" si="42"/>
        <v>0</v>
      </c>
      <c r="AH144" s="1">
        <f t="shared" si="43"/>
        <v>1</v>
      </c>
      <c r="AI144" s="1">
        <f t="shared" si="44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910</v>
      </c>
      <c r="E145" s="32" t="s">
        <v>171</v>
      </c>
      <c r="F145" s="32" t="s">
        <v>922</v>
      </c>
      <c r="G145" s="32" t="s">
        <v>234</v>
      </c>
      <c r="H145" s="32" t="s">
        <v>352</v>
      </c>
      <c r="I145" s="31" t="s">
        <v>935</v>
      </c>
      <c r="J145" s="31">
        <v>99</v>
      </c>
      <c r="K145" s="33" t="s">
        <v>718</v>
      </c>
      <c r="L145" s="33">
        <v>45</v>
      </c>
      <c r="M145" s="34" t="s">
        <v>39</v>
      </c>
      <c r="N145" s="34" t="s">
        <v>1771</v>
      </c>
      <c r="O145" s="35">
        <v>1</v>
      </c>
      <c r="P145" s="35"/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1</v>
      </c>
      <c r="AF145" s="1">
        <f t="shared" si="41"/>
        <v>0</v>
      </c>
      <c r="AG145" s="1">
        <f t="shared" si="42"/>
        <v>1</v>
      </c>
      <c r="AH145" s="1">
        <f t="shared" si="43"/>
        <v>0</v>
      </c>
      <c r="AI145" s="1">
        <f t="shared" si="44"/>
        <v>1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78</v>
      </c>
      <c r="E146" s="45" t="s">
        <v>606</v>
      </c>
      <c r="F146" s="45" t="s">
        <v>306</v>
      </c>
      <c r="G146" s="45" t="s">
        <v>39</v>
      </c>
      <c r="H146" s="45" t="s">
        <v>360</v>
      </c>
      <c r="I146" s="44" t="s">
        <v>454</v>
      </c>
      <c r="J146" s="44">
        <v>12</v>
      </c>
      <c r="K146" s="46" t="s">
        <v>699</v>
      </c>
      <c r="L146" s="46">
        <v>40</v>
      </c>
      <c r="M146" s="47" t="s">
        <v>958</v>
      </c>
      <c r="N146" s="47" t="s">
        <v>1772</v>
      </c>
      <c r="O146" s="48"/>
      <c r="P146" s="48"/>
      <c r="Q146" s="45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0</v>
      </c>
      <c r="AE146" s="1">
        <f t="shared" si="56"/>
        <v>0</v>
      </c>
      <c r="AF146" s="1">
        <f t="shared" ref="AF146:AF211" si="75">+O146*P146*(1-A146)</f>
        <v>0</v>
      </c>
      <c r="AG146" s="1">
        <f t="shared" ref="AG146:AG211" si="76">O146*(1-P146)*(1-A146)</f>
        <v>0</v>
      </c>
      <c r="AH146" s="1">
        <f t="shared" ref="AH146:AH211" si="77">+P146*(1-A146)</f>
        <v>0</v>
      </c>
      <c r="AI146" s="1">
        <f t="shared" ref="AI146:AI211" si="78">+(1-A146)*(1-P146)</f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1556</v>
      </c>
      <c r="E147" s="16" t="s">
        <v>169</v>
      </c>
      <c r="F147" s="16" t="s">
        <v>1558</v>
      </c>
      <c r="G147" s="16"/>
      <c r="H147" s="16" t="s">
        <v>363</v>
      </c>
      <c r="I147" s="15" t="s">
        <v>1557</v>
      </c>
      <c r="J147" s="15">
        <v>18</v>
      </c>
      <c r="K147" s="10" t="s">
        <v>699</v>
      </c>
      <c r="L147" s="10" t="s">
        <v>684</v>
      </c>
      <c r="M147" s="19" t="s">
        <v>958</v>
      </c>
      <c r="N147" s="17"/>
      <c r="Q147" s="16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0</v>
      </c>
      <c r="AE147" s="1">
        <f t="shared" si="56"/>
        <v>0</v>
      </c>
      <c r="AF147" s="1">
        <f t="shared" si="75"/>
        <v>0</v>
      </c>
      <c r="AG147" s="1">
        <f t="shared" si="76"/>
        <v>0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1267</v>
      </c>
      <c r="E148" s="32" t="s">
        <v>171</v>
      </c>
      <c r="F148" s="32" t="s">
        <v>1268</v>
      </c>
      <c r="G148" s="32" t="s">
        <v>237</v>
      </c>
      <c r="H148" s="32" t="s">
        <v>352</v>
      </c>
      <c r="I148" s="31" t="s">
        <v>1269</v>
      </c>
      <c r="J148" s="31">
        <v>4</v>
      </c>
      <c r="K148" s="33" t="s">
        <v>944</v>
      </c>
      <c r="L148" s="33" t="s">
        <v>39</v>
      </c>
      <c r="M148" s="34" t="s">
        <v>39</v>
      </c>
      <c r="N148" s="34" t="s">
        <v>1700</v>
      </c>
      <c r="O148" s="35">
        <v>1</v>
      </c>
      <c r="P148" s="35">
        <v>1</v>
      </c>
      <c r="Q148" s="32"/>
      <c r="S148" s="1">
        <f t="shared" si="45"/>
        <v>0</v>
      </c>
      <c r="T148" s="1">
        <f t="shared" si="46"/>
        <v>0</v>
      </c>
      <c r="U148" s="1">
        <f t="shared" si="47"/>
        <v>0</v>
      </c>
      <c r="V148" s="1">
        <f t="shared" si="48"/>
        <v>1</v>
      </c>
      <c r="W148" s="1">
        <f t="shared" si="49"/>
        <v>0</v>
      </c>
      <c r="X148" s="1">
        <f t="shared" si="50"/>
        <v>0</v>
      </c>
      <c r="Y148" s="1">
        <f t="shared" si="51"/>
        <v>0</v>
      </c>
      <c r="Z148" s="1">
        <f t="shared" si="52"/>
        <v>0</v>
      </c>
      <c r="AA148" s="1">
        <f t="shared" si="53"/>
        <v>0</v>
      </c>
      <c r="AB148" s="1">
        <f t="shared" si="54"/>
        <v>0</v>
      </c>
      <c r="AD148" s="1">
        <f t="shared" si="55"/>
        <v>1</v>
      </c>
      <c r="AE148" s="1">
        <f t="shared" si="56"/>
        <v>0</v>
      </c>
      <c r="AF148" s="1">
        <f t="shared" si="75"/>
        <v>1</v>
      </c>
      <c r="AG148" s="1">
        <f t="shared" si="76"/>
        <v>0</v>
      </c>
      <c r="AH148" s="1">
        <f t="shared" si="77"/>
        <v>1</v>
      </c>
      <c r="AI148" s="1">
        <f t="shared" si="78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644</v>
      </c>
      <c r="E149" s="32" t="s">
        <v>171</v>
      </c>
      <c r="F149" s="32" t="s">
        <v>653</v>
      </c>
      <c r="G149" s="32" t="s">
        <v>231</v>
      </c>
      <c r="H149" s="32" t="s">
        <v>352</v>
      </c>
      <c r="I149" s="31" t="s">
        <v>608</v>
      </c>
      <c r="J149" s="31">
        <v>99</v>
      </c>
      <c r="K149" s="33" t="s">
        <v>698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45"/>
        <v>0</v>
      </c>
      <c r="T149" s="1">
        <f t="shared" si="46"/>
        <v>0</v>
      </c>
      <c r="U149" s="1">
        <f t="shared" si="47"/>
        <v>0</v>
      </c>
      <c r="V149" s="1">
        <f t="shared" si="48"/>
        <v>0</v>
      </c>
      <c r="W149" s="1">
        <f t="shared" si="49"/>
        <v>0</v>
      </c>
      <c r="X149" s="1">
        <f t="shared" si="50"/>
        <v>0</v>
      </c>
      <c r="Y149" s="1">
        <f t="shared" si="51"/>
        <v>0</v>
      </c>
      <c r="Z149" s="1">
        <f t="shared" si="52"/>
        <v>0</v>
      </c>
      <c r="AA149" s="1">
        <f t="shared" si="53"/>
        <v>0</v>
      </c>
      <c r="AB149" s="1">
        <f t="shared" si="54"/>
        <v>0</v>
      </c>
      <c r="AD149" s="1">
        <f t="shared" si="55"/>
        <v>1</v>
      </c>
      <c r="AE149" s="1">
        <f t="shared" si="56"/>
        <v>0</v>
      </c>
      <c r="AF149" s="1">
        <f t="shared" si="75"/>
        <v>1</v>
      </c>
      <c r="AG149" s="1">
        <f t="shared" si="76"/>
        <v>0</v>
      </c>
      <c r="AH149" s="1">
        <f t="shared" si="77"/>
        <v>1</v>
      </c>
      <c r="AI149" s="1">
        <f t="shared" si="78"/>
        <v>0</v>
      </c>
    </row>
    <row r="150" spans="1:35" ht="14.25" customHeight="1" x14ac:dyDescent="0.25">
      <c r="A150" s="38">
        <v>0</v>
      </c>
      <c r="B150" s="38">
        <v>1</v>
      </c>
      <c r="C150" s="38">
        <v>3</v>
      </c>
      <c r="D150" s="39" t="s">
        <v>864</v>
      </c>
      <c r="E150" s="39" t="s">
        <v>865</v>
      </c>
      <c r="F150" s="39" t="s">
        <v>866</v>
      </c>
      <c r="G150" s="39" t="s">
        <v>39</v>
      </c>
      <c r="H150" s="39" t="s">
        <v>364</v>
      </c>
      <c r="I150" s="38" t="s">
        <v>867</v>
      </c>
      <c r="J150" s="38">
        <v>18</v>
      </c>
      <c r="K150" s="40" t="s">
        <v>943</v>
      </c>
      <c r="L150" s="40" t="s">
        <v>39</v>
      </c>
      <c r="M150" s="41" t="s">
        <v>39</v>
      </c>
      <c r="N150" s="42"/>
      <c r="O150" s="43"/>
      <c r="P150" s="43">
        <v>1</v>
      </c>
      <c r="Q150" s="39"/>
      <c r="S150" s="1">
        <f t="shared" ref="S150:S215" si="79">IF(J150=$S$7,1,0)</f>
        <v>0</v>
      </c>
      <c r="T150" s="1">
        <f t="shared" ref="T150:T215" si="80">IF(J150=$T$7,1,0)</f>
        <v>0</v>
      </c>
      <c r="U150" s="1">
        <f t="shared" ref="U150:U215" si="81">IF(J150=$U$7,1,0)</f>
        <v>0</v>
      </c>
      <c r="V150" s="1">
        <f t="shared" ref="V150:V215" si="82">IF(J150=$V$7,1,0)</f>
        <v>0</v>
      </c>
      <c r="W150" s="1">
        <f t="shared" ref="W150:W215" si="83">IF(J150=$W$7,1,0)</f>
        <v>0</v>
      </c>
      <c r="X150" s="1">
        <f t="shared" ref="X150:X215" si="84">IF(J150=$X$7,1,0)</f>
        <v>0</v>
      </c>
      <c r="Y150" s="1">
        <f t="shared" ref="Y150:Y215" si="85">IF(J150=$Y$7,1,0)</f>
        <v>0</v>
      </c>
      <c r="Z150" s="1">
        <f t="shared" ref="Z150:Z215" si="86">IF(J150=$Z$7,1,0)</f>
        <v>0</v>
      </c>
      <c r="AA150" s="1">
        <f t="shared" ref="AA150:AA215" si="87">IF(J150=$AA$7,1,0)</f>
        <v>0</v>
      </c>
      <c r="AB150" s="1">
        <f t="shared" ref="AB150:AB215" si="88">IF(J150=$AB$7,1,0)</f>
        <v>0</v>
      </c>
      <c r="AD150" s="1">
        <f t="shared" ref="AD150:AD215" si="89">+O150*P150</f>
        <v>0</v>
      </c>
      <c r="AE150" s="1">
        <f t="shared" ref="AE150:AE215" si="90">O150*(1-P150)</f>
        <v>0</v>
      </c>
      <c r="AF150" s="1">
        <f t="shared" si="75"/>
        <v>0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1287</v>
      </c>
      <c r="E151" s="32" t="s">
        <v>171</v>
      </c>
      <c r="F151" s="32" t="s">
        <v>1288</v>
      </c>
      <c r="G151" s="32" t="s">
        <v>207</v>
      </c>
      <c r="H151" s="32" t="s">
        <v>352</v>
      </c>
      <c r="I151" s="31" t="s">
        <v>1289</v>
      </c>
      <c r="J151" s="31">
        <v>3</v>
      </c>
      <c r="K151" s="33" t="s">
        <v>943</v>
      </c>
      <c r="L151" s="33" t="s">
        <v>39</v>
      </c>
      <c r="M151" s="34" t="s">
        <v>39</v>
      </c>
      <c r="N151" s="34" t="s">
        <v>1706</v>
      </c>
      <c r="O151" s="35">
        <v>1</v>
      </c>
      <c r="P151" s="35">
        <v>1</v>
      </c>
      <c r="Q151" s="32"/>
      <c r="S151" s="1">
        <f t="shared" si="79"/>
        <v>0</v>
      </c>
      <c r="T151" s="1">
        <f t="shared" si="80"/>
        <v>0</v>
      </c>
      <c r="U151" s="1">
        <f t="shared" si="81"/>
        <v>1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1</v>
      </c>
      <c r="AE151" s="1">
        <f t="shared" si="90"/>
        <v>0</v>
      </c>
      <c r="AF151" s="1">
        <f t="shared" si="75"/>
        <v>1</v>
      </c>
      <c r="AG151" s="1">
        <f t="shared" si="76"/>
        <v>0</v>
      </c>
      <c r="AH151" s="1">
        <f t="shared" si="77"/>
        <v>1</v>
      </c>
      <c r="AI151" s="1">
        <f t="shared" si="78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858</v>
      </c>
      <c r="E152" s="32" t="s">
        <v>169</v>
      </c>
      <c r="F152" s="32" t="s">
        <v>859</v>
      </c>
      <c r="G152" s="32" t="s">
        <v>39</v>
      </c>
      <c r="H152" s="32" t="s">
        <v>860</v>
      </c>
      <c r="I152" s="31" t="s">
        <v>936</v>
      </c>
      <c r="J152" s="31">
        <v>11</v>
      </c>
      <c r="K152" s="33" t="s">
        <v>698</v>
      </c>
      <c r="L152" s="33" t="s">
        <v>685</v>
      </c>
      <c r="M152" s="34" t="s">
        <v>958</v>
      </c>
      <c r="N152" s="34" t="s">
        <v>1725</v>
      </c>
      <c r="O152" s="35">
        <v>1</v>
      </c>
      <c r="P152" s="35"/>
      <c r="Q152" s="32"/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1</v>
      </c>
      <c r="AF152" s="1">
        <f t="shared" si="75"/>
        <v>0</v>
      </c>
      <c r="AG152" s="1">
        <f t="shared" si="76"/>
        <v>1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502</v>
      </c>
      <c r="E153" s="16" t="s">
        <v>169</v>
      </c>
      <c r="F153" s="16" t="s">
        <v>503</v>
      </c>
      <c r="G153" s="16" t="s">
        <v>500</v>
      </c>
      <c r="H153" s="16" t="s">
        <v>352</v>
      </c>
      <c r="I153" s="15" t="s">
        <v>504</v>
      </c>
      <c r="J153" s="15">
        <v>99</v>
      </c>
      <c r="K153" s="10" t="s">
        <v>699</v>
      </c>
      <c r="L153" s="10">
        <v>40</v>
      </c>
      <c r="M153" s="19" t="s">
        <v>958</v>
      </c>
      <c r="N153" s="19"/>
      <c r="Q153" s="16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6" t="s">
        <v>1762</v>
      </c>
      <c r="E154" s="36" t="s">
        <v>1763</v>
      </c>
      <c r="F154" s="36" t="s">
        <v>1764</v>
      </c>
      <c r="G154" s="36" t="s">
        <v>1765</v>
      </c>
      <c r="H154" s="36" t="s">
        <v>352</v>
      </c>
      <c r="I154" s="37" t="s">
        <v>1766</v>
      </c>
      <c r="J154" s="31">
        <v>99</v>
      </c>
      <c r="K154" s="33" t="s">
        <v>699</v>
      </c>
      <c r="L154" s="33"/>
      <c r="M154" s="34"/>
      <c r="N154" s="34" t="s">
        <v>1706</v>
      </c>
      <c r="O154" s="35">
        <v>1</v>
      </c>
      <c r="P154" s="35">
        <v>1</v>
      </c>
      <c r="Q154" s="36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1</v>
      </c>
      <c r="AE154" s="1">
        <f t="shared" si="90"/>
        <v>0</v>
      </c>
      <c r="AF154" s="1">
        <f t="shared" si="75"/>
        <v>1</v>
      </c>
      <c r="AG154" s="1">
        <f t="shared" si="76"/>
        <v>0</v>
      </c>
      <c r="AH154" s="1">
        <f t="shared" si="77"/>
        <v>1</v>
      </c>
      <c r="AI154" s="1">
        <f t="shared" si="78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525</v>
      </c>
      <c r="E155" s="32" t="s">
        <v>169</v>
      </c>
      <c r="F155" s="32" t="s">
        <v>654</v>
      </c>
      <c r="G155" s="32" t="s">
        <v>39</v>
      </c>
      <c r="H155" s="32" t="s">
        <v>526</v>
      </c>
      <c r="I155" s="31" t="s">
        <v>527</v>
      </c>
      <c r="J155" s="31">
        <v>18</v>
      </c>
      <c r="K155" s="33" t="s">
        <v>943</v>
      </c>
      <c r="L155" s="33" t="s">
        <v>1713</v>
      </c>
      <c r="M155" s="34" t="s">
        <v>957</v>
      </c>
      <c r="N155" s="34" t="s">
        <v>1706</v>
      </c>
      <c r="O155" s="35">
        <v>1</v>
      </c>
      <c r="P155" s="35">
        <v>1</v>
      </c>
      <c r="Q155" s="32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1</v>
      </c>
      <c r="AE155" s="1">
        <f t="shared" si="90"/>
        <v>0</v>
      </c>
      <c r="AF155" s="1">
        <f t="shared" si="75"/>
        <v>1</v>
      </c>
      <c r="AG155" s="1">
        <f t="shared" si="76"/>
        <v>0</v>
      </c>
      <c r="AH155" s="1">
        <f t="shared" si="77"/>
        <v>1</v>
      </c>
      <c r="AI155" s="1">
        <f t="shared" si="78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962</v>
      </c>
      <c r="E156" s="32" t="s">
        <v>174</v>
      </c>
      <c r="F156" s="32" t="s">
        <v>796</v>
      </c>
      <c r="G156" s="32" t="s">
        <v>39</v>
      </c>
      <c r="H156" s="32" t="s">
        <v>797</v>
      </c>
      <c r="I156" s="31" t="s">
        <v>798</v>
      </c>
      <c r="J156" s="31">
        <v>16</v>
      </c>
      <c r="K156" s="33" t="s">
        <v>944</v>
      </c>
      <c r="L156" s="33" t="s">
        <v>1125</v>
      </c>
      <c r="M156" s="34" t="s">
        <v>957</v>
      </c>
      <c r="N156" s="34" t="s">
        <v>1718</v>
      </c>
      <c r="O156" s="35">
        <v>1</v>
      </c>
      <c r="P156" s="35"/>
      <c r="Q156" s="32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1</v>
      </c>
      <c r="AF156" s="1">
        <f t="shared" si="75"/>
        <v>0</v>
      </c>
      <c r="AG156" s="1">
        <f t="shared" si="76"/>
        <v>1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1179</v>
      </c>
      <c r="E157" s="32" t="s">
        <v>171</v>
      </c>
      <c r="F157" s="32" t="s">
        <v>1180</v>
      </c>
      <c r="G157" s="32" t="s">
        <v>237</v>
      </c>
      <c r="H157" s="32" t="s">
        <v>352</v>
      </c>
      <c r="I157" s="31" t="s">
        <v>1181</v>
      </c>
      <c r="J157" s="31">
        <v>4</v>
      </c>
      <c r="K157" s="33" t="s">
        <v>950</v>
      </c>
      <c r="L157" s="33" t="s">
        <v>1672</v>
      </c>
      <c r="M157" s="34" t="s">
        <v>1578</v>
      </c>
      <c r="N157" s="34" t="s">
        <v>1700</v>
      </c>
      <c r="O157" s="35">
        <v>1</v>
      </c>
      <c r="P157" s="35">
        <v>1</v>
      </c>
      <c r="Q157" s="32"/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1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1</v>
      </c>
      <c r="AE157" s="1">
        <f t="shared" si="90"/>
        <v>0</v>
      </c>
      <c r="AF157" s="1">
        <f t="shared" si="75"/>
        <v>1</v>
      </c>
      <c r="AG157" s="1">
        <f t="shared" si="76"/>
        <v>0</v>
      </c>
      <c r="AH157" s="1">
        <f t="shared" si="77"/>
        <v>1</v>
      </c>
      <c r="AI157" s="1">
        <f t="shared" si="78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1615</v>
      </c>
      <c r="E158" s="32" t="s">
        <v>169</v>
      </c>
      <c r="F158" s="32" t="s">
        <v>1451</v>
      </c>
      <c r="G158" s="32" t="s">
        <v>1643</v>
      </c>
      <c r="H158" s="32" t="s">
        <v>352</v>
      </c>
      <c r="I158" s="31" t="s">
        <v>1450</v>
      </c>
      <c r="J158" s="31">
        <v>99</v>
      </c>
      <c r="K158" s="33" t="s">
        <v>698</v>
      </c>
      <c r="L158" s="33" t="s">
        <v>1677</v>
      </c>
      <c r="M158" s="34" t="s">
        <v>1452</v>
      </c>
      <c r="N158" s="34" t="s">
        <v>1719</v>
      </c>
      <c r="O158" s="35">
        <v>1</v>
      </c>
      <c r="P158" s="35"/>
      <c r="Q158" s="32"/>
      <c r="S158" s="1">
        <f t="shared" si="79"/>
        <v>0</v>
      </c>
      <c r="T158" s="1">
        <f t="shared" si="80"/>
        <v>0</v>
      </c>
      <c r="U158" s="1">
        <f t="shared" si="81"/>
        <v>0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1</v>
      </c>
      <c r="AF158" s="1">
        <f t="shared" si="75"/>
        <v>0</v>
      </c>
      <c r="AG158" s="1">
        <f t="shared" si="76"/>
        <v>1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6" t="s">
        <v>2044</v>
      </c>
      <c r="E159" s="36" t="s">
        <v>171</v>
      </c>
      <c r="F159" s="36" t="s">
        <v>2045</v>
      </c>
      <c r="G159" s="32"/>
      <c r="H159" s="36" t="s">
        <v>607</v>
      </c>
      <c r="I159" s="37" t="s">
        <v>2046</v>
      </c>
      <c r="J159" s="31">
        <v>14</v>
      </c>
      <c r="K159" s="33" t="s">
        <v>699</v>
      </c>
      <c r="L159" s="33"/>
      <c r="M159" s="34"/>
      <c r="N159" s="34" t="s">
        <v>1706</v>
      </c>
      <c r="O159" s="35">
        <v>1</v>
      </c>
      <c r="P159" s="35">
        <v>1</v>
      </c>
      <c r="Q159" s="32" t="s">
        <v>2047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1</v>
      </c>
      <c r="AE159" s="1">
        <f t="shared" si="90"/>
        <v>0</v>
      </c>
      <c r="AF159" s="1">
        <f t="shared" si="75"/>
        <v>1</v>
      </c>
      <c r="AG159" s="1">
        <f t="shared" si="76"/>
        <v>0</v>
      </c>
      <c r="AH159" s="1">
        <f t="shared" si="77"/>
        <v>1</v>
      </c>
      <c r="AI159" s="1">
        <f t="shared" si="78"/>
        <v>0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1917</v>
      </c>
      <c r="E160" s="20" t="s">
        <v>171</v>
      </c>
      <c r="F160" s="20" t="s">
        <v>1932</v>
      </c>
      <c r="G160" s="20"/>
      <c r="H160" s="20" t="s">
        <v>1931</v>
      </c>
      <c r="I160" s="21" t="s">
        <v>1930</v>
      </c>
      <c r="J160" s="15">
        <v>14</v>
      </c>
      <c r="K160" s="10" t="s">
        <v>699</v>
      </c>
      <c r="L160" s="10" t="s">
        <v>693</v>
      </c>
      <c r="M160" s="19" t="s">
        <v>958</v>
      </c>
      <c r="N160" s="17"/>
      <c r="Q160" s="20" t="s">
        <v>1933</v>
      </c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144</v>
      </c>
      <c r="E161" s="32" t="s">
        <v>171</v>
      </c>
      <c r="F161" s="32" t="s">
        <v>345</v>
      </c>
      <c r="G161" s="32" t="s">
        <v>39</v>
      </c>
      <c r="H161" s="32" t="s">
        <v>376</v>
      </c>
      <c r="I161" s="31" t="s">
        <v>1340</v>
      </c>
      <c r="J161" s="31">
        <v>14</v>
      </c>
      <c r="K161" s="33" t="s">
        <v>943</v>
      </c>
      <c r="L161" s="33" t="s">
        <v>685</v>
      </c>
      <c r="M161" s="34" t="s">
        <v>687</v>
      </c>
      <c r="N161" s="34" t="s">
        <v>1718</v>
      </c>
      <c r="O161" s="35">
        <v>1</v>
      </c>
      <c r="P161" s="35"/>
      <c r="Q161" s="32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0</v>
      </c>
      <c r="AB161" s="1">
        <f t="shared" si="88"/>
        <v>0</v>
      </c>
      <c r="AD161" s="1">
        <f t="shared" si="89"/>
        <v>0</v>
      </c>
      <c r="AE161" s="1">
        <f t="shared" si="90"/>
        <v>1</v>
      </c>
      <c r="AF161" s="1">
        <f t="shared" si="75"/>
        <v>0</v>
      </c>
      <c r="AG161" s="1">
        <f t="shared" si="76"/>
        <v>1</v>
      </c>
      <c r="AH161" s="1">
        <f t="shared" si="77"/>
        <v>0</v>
      </c>
      <c r="AI161" s="1">
        <f t="shared" si="78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1541</v>
      </c>
      <c r="E162" s="32" t="s">
        <v>171</v>
      </c>
      <c r="F162" s="32" t="s">
        <v>1542</v>
      </c>
      <c r="G162" s="32" t="s">
        <v>39</v>
      </c>
      <c r="H162" s="32" t="s">
        <v>1543</v>
      </c>
      <c r="I162" s="31" t="s">
        <v>1544</v>
      </c>
      <c r="J162" s="31">
        <v>17</v>
      </c>
      <c r="K162" s="33" t="s">
        <v>718</v>
      </c>
      <c r="L162" s="33" t="s">
        <v>39</v>
      </c>
      <c r="M162" s="34" t="s">
        <v>39</v>
      </c>
      <c r="N162" s="34" t="s">
        <v>1706</v>
      </c>
      <c r="O162" s="35">
        <v>1</v>
      </c>
      <c r="P162" s="35">
        <v>1</v>
      </c>
      <c r="Q162" s="32" t="s">
        <v>1883</v>
      </c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1</v>
      </c>
      <c r="AE162" s="1">
        <f t="shared" si="90"/>
        <v>0</v>
      </c>
      <c r="AF162" s="1">
        <f t="shared" si="75"/>
        <v>1</v>
      </c>
      <c r="AG162" s="1">
        <f t="shared" si="76"/>
        <v>0</v>
      </c>
      <c r="AH162" s="1">
        <f t="shared" si="77"/>
        <v>1</v>
      </c>
      <c r="AI162" s="1">
        <f t="shared" si="78"/>
        <v>0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152</v>
      </c>
      <c r="E163" s="32" t="s">
        <v>171</v>
      </c>
      <c r="F163" s="32" t="s">
        <v>351</v>
      </c>
      <c r="G163" s="32" t="s">
        <v>39</v>
      </c>
      <c r="H163" s="32" t="s">
        <v>1839</v>
      </c>
      <c r="I163" s="31" t="s">
        <v>497</v>
      </c>
      <c r="J163" s="31">
        <v>14</v>
      </c>
      <c r="K163" s="33" t="s">
        <v>698</v>
      </c>
      <c r="L163" s="33" t="s">
        <v>685</v>
      </c>
      <c r="M163" s="34" t="s">
        <v>957</v>
      </c>
      <c r="N163" s="34" t="s">
        <v>1718</v>
      </c>
      <c r="O163" s="35">
        <v>1</v>
      </c>
      <c r="P163" s="35"/>
      <c r="Q163" s="32" t="s">
        <v>1866</v>
      </c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1</v>
      </c>
      <c r="AF163" s="1">
        <f t="shared" si="75"/>
        <v>0</v>
      </c>
      <c r="AG163" s="1">
        <f t="shared" si="76"/>
        <v>1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735</v>
      </c>
      <c r="E164" s="16" t="s">
        <v>171</v>
      </c>
      <c r="F164" s="16" t="s">
        <v>736</v>
      </c>
      <c r="G164" s="16" t="s">
        <v>39</v>
      </c>
      <c r="H164" s="16" t="s">
        <v>737</v>
      </c>
      <c r="I164" s="15" t="s">
        <v>738</v>
      </c>
      <c r="J164" s="15">
        <v>17</v>
      </c>
      <c r="K164" s="10" t="s">
        <v>718</v>
      </c>
      <c r="L164" s="10" t="s">
        <v>693</v>
      </c>
      <c r="M164" s="19" t="s">
        <v>687</v>
      </c>
      <c r="N164" s="17"/>
      <c r="Q164" s="16" t="s">
        <v>1857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0</v>
      </c>
      <c r="AE164" s="1">
        <f t="shared" si="90"/>
        <v>0</v>
      </c>
      <c r="AF164" s="1">
        <f t="shared" si="75"/>
        <v>0</v>
      </c>
      <c r="AG164" s="1">
        <f t="shared" si="76"/>
        <v>0</v>
      </c>
      <c r="AH164" s="1">
        <f t="shared" si="77"/>
        <v>0</v>
      </c>
      <c r="AI164" s="1">
        <f t="shared" si="78"/>
        <v>1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893</v>
      </c>
      <c r="E165" s="45" t="s">
        <v>171</v>
      </c>
      <c r="F165" s="45" t="s">
        <v>1083</v>
      </c>
      <c r="G165" s="45" t="s">
        <v>39</v>
      </c>
      <c r="H165" s="45" t="s">
        <v>895</v>
      </c>
      <c r="I165" s="44" t="s">
        <v>894</v>
      </c>
      <c r="J165" s="44">
        <v>11</v>
      </c>
      <c r="K165" s="46" t="s">
        <v>944</v>
      </c>
      <c r="L165" s="46">
        <v>60</v>
      </c>
      <c r="M165" s="47" t="s">
        <v>39</v>
      </c>
      <c r="N165" s="47" t="s">
        <v>1712</v>
      </c>
      <c r="O165" s="48"/>
      <c r="P165" s="48"/>
      <c r="Q165" s="45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122</v>
      </c>
      <c r="E166" s="32" t="s">
        <v>174</v>
      </c>
      <c r="F166" s="32" t="s">
        <v>322</v>
      </c>
      <c r="G166" s="32" t="s">
        <v>39</v>
      </c>
      <c r="H166" s="32" t="s">
        <v>361</v>
      </c>
      <c r="I166" s="31" t="s">
        <v>467</v>
      </c>
      <c r="J166" s="31">
        <v>14</v>
      </c>
      <c r="K166" s="33" t="s">
        <v>718</v>
      </c>
      <c r="L166" s="33" t="s">
        <v>689</v>
      </c>
      <c r="M166" s="34" t="s">
        <v>1356</v>
      </c>
      <c r="N166" s="34" t="s">
        <v>1819</v>
      </c>
      <c r="O166" s="35">
        <v>1</v>
      </c>
      <c r="P166" s="35"/>
      <c r="Q166" s="36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0</v>
      </c>
      <c r="AE166" s="1">
        <f t="shared" si="90"/>
        <v>1</v>
      </c>
      <c r="AF166" s="1">
        <f t="shared" si="75"/>
        <v>0</v>
      </c>
      <c r="AG166" s="1">
        <f t="shared" si="76"/>
        <v>1</v>
      </c>
      <c r="AH166" s="1">
        <f t="shared" si="77"/>
        <v>0</v>
      </c>
      <c r="AI166" s="1">
        <f t="shared" si="78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1153</v>
      </c>
      <c r="E167" s="32" t="s">
        <v>171</v>
      </c>
      <c r="F167" s="32" t="s">
        <v>1155</v>
      </c>
      <c r="G167" s="32" t="s">
        <v>758</v>
      </c>
      <c r="H167" s="32" t="s">
        <v>352</v>
      </c>
      <c r="I167" s="31" t="s">
        <v>1154</v>
      </c>
      <c r="J167" s="31">
        <v>99</v>
      </c>
      <c r="K167" s="33" t="s">
        <v>699</v>
      </c>
      <c r="L167" s="33">
        <v>30</v>
      </c>
      <c r="M167" s="34" t="s">
        <v>957</v>
      </c>
      <c r="N167" s="34" t="s">
        <v>1795</v>
      </c>
      <c r="O167" s="35">
        <v>1</v>
      </c>
      <c r="P167" s="35"/>
      <c r="Q167" s="36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1</v>
      </c>
      <c r="AF167" s="1">
        <f t="shared" si="75"/>
        <v>0</v>
      </c>
      <c r="AG167" s="1">
        <f t="shared" si="76"/>
        <v>1</v>
      </c>
      <c r="AH167" s="1">
        <f t="shared" si="77"/>
        <v>0</v>
      </c>
      <c r="AI167" s="1">
        <f t="shared" si="78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2006</v>
      </c>
      <c r="E168" s="32" t="s">
        <v>171</v>
      </c>
      <c r="F168" s="32" t="s">
        <v>2007</v>
      </c>
      <c r="G168" s="32"/>
      <c r="H168" s="32" t="s">
        <v>352</v>
      </c>
      <c r="I168" s="31" t="s">
        <v>2008</v>
      </c>
      <c r="J168" s="31">
        <v>18</v>
      </c>
      <c r="K168" s="33" t="s">
        <v>699</v>
      </c>
      <c r="L168" s="33"/>
      <c r="M168" s="34"/>
      <c r="N168" s="34" t="s">
        <v>1706</v>
      </c>
      <c r="O168" s="35">
        <v>1</v>
      </c>
      <c r="P168" s="35">
        <v>1</v>
      </c>
      <c r="Q168" s="36" t="s">
        <v>2009</v>
      </c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1</v>
      </c>
      <c r="AE168" s="1">
        <f t="shared" si="90"/>
        <v>0</v>
      </c>
      <c r="AF168" s="1">
        <f t="shared" si="75"/>
        <v>1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739</v>
      </c>
      <c r="E169" s="16" t="s">
        <v>169</v>
      </c>
      <c r="F169" s="16" t="s">
        <v>740</v>
      </c>
      <c r="G169" s="16" t="s">
        <v>39</v>
      </c>
      <c r="H169" s="16" t="s">
        <v>741</v>
      </c>
      <c r="I169" s="15" t="s">
        <v>742</v>
      </c>
      <c r="J169" s="15">
        <v>17</v>
      </c>
      <c r="K169" s="10" t="s">
        <v>699</v>
      </c>
      <c r="L169" s="10" t="s">
        <v>693</v>
      </c>
      <c r="M169" s="19" t="s">
        <v>958</v>
      </c>
      <c r="N169" s="17"/>
      <c r="Q169" s="16"/>
      <c r="S169" s="1">
        <f t="shared" ref="S169:S175" si="91">IF(J169=$S$7,1,0)</f>
        <v>0</v>
      </c>
      <c r="T169" s="1">
        <f t="shared" ref="T169:T175" si="92">IF(J169=$T$7,1,0)</f>
        <v>0</v>
      </c>
      <c r="U169" s="1">
        <f t="shared" ref="U169:U175" si="93">IF(J169=$U$7,1,0)</f>
        <v>0</v>
      </c>
      <c r="V169" s="1">
        <f t="shared" ref="V169:V175" si="94">IF(J169=$V$7,1,0)</f>
        <v>0</v>
      </c>
      <c r="W169" s="1">
        <f t="shared" ref="W169:W175" si="95">IF(J169=$W$7,1,0)</f>
        <v>0</v>
      </c>
      <c r="X169" s="1">
        <f t="shared" ref="X169:X175" si="96">IF(J169=$X$7,1,0)</f>
        <v>0</v>
      </c>
      <c r="Y169" s="1">
        <f t="shared" ref="Y169:Y175" si="97">IF(J169=$Y$7,1,0)</f>
        <v>0</v>
      </c>
      <c r="Z169" s="1">
        <f t="shared" ref="Z169:Z175" si="98">IF(J169=$Z$7,1,0)</f>
        <v>0</v>
      </c>
      <c r="AA169" s="1">
        <f t="shared" ref="AA169:AA175" si="99">IF(J169=$AA$7,1,0)</f>
        <v>0</v>
      </c>
      <c r="AB169" s="1">
        <f t="shared" ref="AB169:AB175" si="100">IF(J169=$AB$7,1,0)</f>
        <v>0</v>
      </c>
      <c r="AD169" s="1">
        <f t="shared" ref="AD169:AD175" si="101">+O169*P169</f>
        <v>0</v>
      </c>
      <c r="AE169" s="1">
        <f t="shared" ref="AE169:AE175" si="102">O169*(1-P169)</f>
        <v>0</v>
      </c>
      <c r="AF169" s="1">
        <f t="shared" ref="AF169:AF175" si="103">+O169*P169*(1-A169)</f>
        <v>0</v>
      </c>
      <c r="AG169" s="1">
        <f t="shared" ref="AG169:AG175" si="104">O169*(1-P169)*(1-A169)</f>
        <v>0</v>
      </c>
      <c r="AH169" s="1">
        <f t="shared" ref="AH169:AH175" si="105">+P169*(1-A169)</f>
        <v>0</v>
      </c>
      <c r="AI169" s="1">
        <f t="shared" ref="AI169:AI175" si="106">+(1-A169)*(1-P169)</f>
        <v>1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1916</v>
      </c>
      <c r="E170" s="20" t="s">
        <v>171</v>
      </c>
      <c r="F170" s="20" t="s">
        <v>1926</v>
      </c>
      <c r="G170" s="20"/>
      <c r="H170" s="20" t="s">
        <v>1927</v>
      </c>
      <c r="I170" s="21" t="s">
        <v>1928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1925</v>
      </c>
      <c r="S170" s="1">
        <f t="shared" si="91"/>
        <v>0</v>
      </c>
      <c r="T170" s="1">
        <f t="shared" si="92"/>
        <v>0</v>
      </c>
      <c r="U170" s="1">
        <f t="shared" si="93"/>
        <v>0</v>
      </c>
      <c r="V170" s="1">
        <f t="shared" si="94"/>
        <v>0</v>
      </c>
      <c r="W170" s="1">
        <f t="shared" si="95"/>
        <v>0</v>
      </c>
      <c r="X170" s="1">
        <f t="shared" si="96"/>
        <v>0</v>
      </c>
      <c r="Y170" s="1">
        <f t="shared" si="97"/>
        <v>0</v>
      </c>
      <c r="Z170" s="1">
        <f t="shared" si="98"/>
        <v>0</v>
      </c>
      <c r="AA170" s="1">
        <f t="shared" si="99"/>
        <v>0</v>
      </c>
      <c r="AB170" s="1">
        <f t="shared" si="100"/>
        <v>0</v>
      </c>
      <c r="AD170" s="1">
        <f t="shared" si="101"/>
        <v>0</v>
      </c>
      <c r="AE170" s="1">
        <f t="shared" si="102"/>
        <v>0</v>
      </c>
      <c r="AF170" s="1">
        <f t="shared" si="103"/>
        <v>0</v>
      </c>
      <c r="AG170" s="1">
        <f t="shared" si="104"/>
        <v>0</v>
      </c>
      <c r="AH170" s="1">
        <f t="shared" si="105"/>
        <v>0</v>
      </c>
      <c r="AI170" s="1">
        <f t="shared" si="10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825</v>
      </c>
      <c r="E171" s="32" t="s">
        <v>903</v>
      </c>
      <c r="F171" s="32" t="s">
        <v>826</v>
      </c>
      <c r="G171" s="32" t="s">
        <v>207</v>
      </c>
      <c r="H171" s="32" t="s">
        <v>352</v>
      </c>
      <c r="I171" s="37" t="s">
        <v>827</v>
      </c>
      <c r="J171" s="31">
        <v>3</v>
      </c>
      <c r="K171" s="33" t="s">
        <v>718</v>
      </c>
      <c r="L171" s="33" t="s">
        <v>689</v>
      </c>
      <c r="M171" s="34" t="s">
        <v>694</v>
      </c>
      <c r="N171" s="34" t="s">
        <v>1759</v>
      </c>
      <c r="O171" s="35">
        <v>1</v>
      </c>
      <c r="P171" s="35"/>
      <c r="Q171" s="36"/>
      <c r="S171" s="1">
        <f t="shared" si="91"/>
        <v>0</v>
      </c>
      <c r="T171" s="1">
        <f t="shared" si="92"/>
        <v>0</v>
      </c>
      <c r="U171" s="1">
        <f t="shared" si="93"/>
        <v>1</v>
      </c>
      <c r="V171" s="1">
        <f t="shared" si="94"/>
        <v>0</v>
      </c>
      <c r="W171" s="1">
        <f t="shared" si="95"/>
        <v>0</v>
      </c>
      <c r="X171" s="1">
        <f t="shared" si="96"/>
        <v>0</v>
      </c>
      <c r="Y171" s="1">
        <f t="shared" si="97"/>
        <v>0</v>
      </c>
      <c r="Z171" s="1">
        <f t="shared" si="98"/>
        <v>0</v>
      </c>
      <c r="AA171" s="1">
        <f t="shared" si="99"/>
        <v>0</v>
      </c>
      <c r="AB171" s="1">
        <f t="shared" si="100"/>
        <v>0</v>
      </c>
      <c r="AD171" s="1">
        <f t="shared" si="101"/>
        <v>0</v>
      </c>
      <c r="AE171" s="1">
        <f t="shared" si="102"/>
        <v>1</v>
      </c>
      <c r="AF171" s="1">
        <f t="shared" si="103"/>
        <v>0</v>
      </c>
      <c r="AG171" s="1">
        <f t="shared" si="104"/>
        <v>1</v>
      </c>
      <c r="AH171" s="1">
        <f t="shared" si="105"/>
        <v>0</v>
      </c>
      <c r="AI171" s="1">
        <f t="shared" si="106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2083</v>
      </c>
      <c r="E172" s="32" t="s">
        <v>174</v>
      </c>
      <c r="F172" s="32" t="s">
        <v>2084</v>
      </c>
      <c r="G172" s="32"/>
      <c r="H172" s="32" t="s">
        <v>2085</v>
      </c>
      <c r="I172" s="37" t="s">
        <v>2086</v>
      </c>
      <c r="J172" s="31">
        <v>16</v>
      </c>
      <c r="K172" s="33" t="s">
        <v>699</v>
      </c>
      <c r="L172" s="33"/>
      <c r="M172" s="34"/>
      <c r="N172" s="34" t="s">
        <v>1700</v>
      </c>
      <c r="O172" s="35">
        <v>1</v>
      </c>
      <c r="P172" s="35">
        <v>1</v>
      </c>
      <c r="Q172" s="36" t="s">
        <v>2087</v>
      </c>
      <c r="S172" s="1">
        <f t="shared" si="91"/>
        <v>0</v>
      </c>
      <c r="T172" s="1">
        <f t="shared" si="92"/>
        <v>0</v>
      </c>
      <c r="U172" s="1">
        <f t="shared" si="93"/>
        <v>0</v>
      </c>
      <c r="V172" s="1">
        <f t="shared" si="94"/>
        <v>0</v>
      </c>
      <c r="W172" s="1">
        <f t="shared" si="95"/>
        <v>0</v>
      </c>
      <c r="X172" s="1">
        <f t="shared" si="96"/>
        <v>0</v>
      </c>
      <c r="Y172" s="1">
        <f t="shared" si="97"/>
        <v>0</v>
      </c>
      <c r="Z172" s="1">
        <f t="shared" si="98"/>
        <v>0</v>
      </c>
      <c r="AA172" s="1">
        <f t="shared" si="99"/>
        <v>0</v>
      </c>
      <c r="AB172" s="1">
        <f t="shared" si="100"/>
        <v>0</v>
      </c>
      <c r="AD172" s="1">
        <f t="shared" si="101"/>
        <v>1</v>
      </c>
      <c r="AE172" s="1">
        <f t="shared" si="102"/>
        <v>0</v>
      </c>
      <c r="AF172" s="1">
        <f t="shared" si="103"/>
        <v>1</v>
      </c>
      <c r="AG172" s="1">
        <f t="shared" si="104"/>
        <v>0</v>
      </c>
      <c r="AH172" s="1">
        <f t="shared" si="105"/>
        <v>1</v>
      </c>
      <c r="AI172" s="1">
        <f t="shared" si="106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1921</v>
      </c>
      <c r="E173" s="32" t="s">
        <v>171</v>
      </c>
      <c r="F173" s="32" t="s">
        <v>1923</v>
      </c>
      <c r="G173" s="32"/>
      <c r="H173" s="32" t="s">
        <v>1924</v>
      </c>
      <c r="I173" s="37" t="s">
        <v>1922</v>
      </c>
      <c r="J173" s="31">
        <v>16</v>
      </c>
      <c r="K173" s="33" t="s">
        <v>699</v>
      </c>
      <c r="L173" s="33" t="s">
        <v>693</v>
      </c>
      <c r="M173" s="34" t="s">
        <v>958</v>
      </c>
      <c r="N173" s="34" t="s">
        <v>1718</v>
      </c>
      <c r="O173" s="35">
        <v>1</v>
      </c>
      <c r="P173" s="35"/>
      <c r="Q173" s="36" t="s">
        <v>1929</v>
      </c>
      <c r="S173" s="1">
        <f t="shared" si="91"/>
        <v>0</v>
      </c>
      <c r="T173" s="1">
        <f t="shared" si="92"/>
        <v>0</v>
      </c>
      <c r="U173" s="1">
        <f t="shared" si="93"/>
        <v>0</v>
      </c>
      <c r="V173" s="1">
        <f t="shared" si="94"/>
        <v>0</v>
      </c>
      <c r="W173" s="1">
        <f t="shared" si="95"/>
        <v>0</v>
      </c>
      <c r="X173" s="1">
        <f t="shared" si="96"/>
        <v>0</v>
      </c>
      <c r="Y173" s="1">
        <f t="shared" si="97"/>
        <v>0</v>
      </c>
      <c r="Z173" s="1">
        <f t="shared" si="98"/>
        <v>0</v>
      </c>
      <c r="AA173" s="1">
        <f t="shared" si="99"/>
        <v>0</v>
      </c>
      <c r="AB173" s="1">
        <f t="shared" si="100"/>
        <v>0</v>
      </c>
      <c r="AD173" s="1">
        <f t="shared" si="101"/>
        <v>0</v>
      </c>
      <c r="AE173" s="1">
        <f t="shared" si="102"/>
        <v>1</v>
      </c>
      <c r="AF173" s="1">
        <f t="shared" si="103"/>
        <v>0</v>
      </c>
      <c r="AG173" s="1">
        <f t="shared" si="104"/>
        <v>1</v>
      </c>
      <c r="AH173" s="1">
        <f t="shared" si="105"/>
        <v>0</v>
      </c>
      <c r="AI173" s="1">
        <f t="shared" si="106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1190</v>
      </c>
      <c r="E174" s="32" t="s">
        <v>171</v>
      </c>
      <c r="F174" s="32" t="s">
        <v>1192</v>
      </c>
      <c r="G174" s="32" t="s">
        <v>184</v>
      </c>
      <c r="H174" s="32" t="s">
        <v>352</v>
      </c>
      <c r="I174" s="31" t="s">
        <v>1191</v>
      </c>
      <c r="J174" s="31">
        <v>99</v>
      </c>
      <c r="K174" s="33" t="s">
        <v>945</v>
      </c>
      <c r="L174" s="33" t="s">
        <v>685</v>
      </c>
      <c r="M174" s="34" t="s">
        <v>958</v>
      </c>
      <c r="N174" s="34" t="s">
        <v>1719</v>
      </c>
      <c r="O174" s="35">
        <v>1</v>
      </c>
      <c r="P174" s="35"/>
      <c r="Q174" s="32"/>
      <c r="S174" s="1">
        <f t="shared" si="91"/>
        <v>0</v>
      </c>
      <c r="T174" s="1">
        <f t="shared" si="92"/>
        <v>0</v>
      </c>
      <c r="U174" s="1">
        <f t="shared" si="93"/>
        <v>0</v>
      </c>
      <c r="V174" s="1">
        <f t="shared" si="94"/>
        <v>0</v>
      </c>
      <c r="W174" s="1">
        <f t="shared" si="95"/>
        <v>0</v>
      </c>
      <c r="X174" s="1">
        <f t="shared" si="96"/>
        <v>0</v>
      </c>
      <c r="Y174" s="1">
        <f t="shared" si="97"/>
        <v>0</v>
      </c>
      <c r="Z174" s="1">
        <f t="shared" si="98"/>
        <v>0</v>
      </c>
      <c r="AA174" s="1">
        <f t="shared" si="99"/>
        <v>0</v>
      </c>
      <c r="AB174" s="1">
        <f t="shared" si="100"/>
        <v>0</v>
      </c>
      <c r="AD174" s="1">
        <f t="shared" si="101"/>
        <v>0</v>
      </c>
      <c r="AE174" s="1">
        <f t="shared" si="102"/>
        <v>1</v>
      </c>
      <c r="AF174" s="1">
        <f t="shared" si="103"/>
        <v>0</v>
      </c>
      <c r="AG174" s="1">
        <f t="shared" si="104"/>
        <v>1</v>
      </c>
      <c r="AH174" s="1">
        <f t="shared" si="105"/>
        <v>0</v>
      </c>
      <c r="AI174" s="1">
        <f t="shared" si="10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628</v>
      </c>
      <c r="E175" s="32" t="s">
        <v>169</v>
      </c>
      <c r="F175" s="32" t="s">
        <v>629</v>
      </c>
      <c r="G175" s="32" t="s">
        <v>193</v>
      </c>
      <c r="H175" s="32" t="s">
        <v>352</v>
      </c>
      <c r="I175" s="31" t="s">
        <v>630</v>
      </c>
      <c r="J175" s="31">
        <v>9</v>
      </c>
      <c r="K175" s="33" t="s">
        <v>944</v>
      </c>
      <c r="L175" s="33" t="s">
        <v>1672</v>
      </c>
      <c r="M175" s="34" t="s">
        <v>957</v>
      </c>
      <c r="N175" s="34" t="s">
        <v>1700</v>
      </c>
      <c r="O175" s="35">
        <v>1</v>
      </c>
      <c r="P175" s="35">
        <v>1</v>
      </c>
      <c r="Q175" s="32"/>
      <c r="S175" s="1">
        <f t="shared" si="91"/>
        <v>0</v>
      </c>
      <c r="T175" s="1">
        <f t="shared" si="92"/>
        <v>0</v>
      </c>
      <c r="U175" s="1">
        <f t="shared" si="93"/>
        <v>0</v>
      </c>
      <c r="V175" s="1">
        <f t="shared" si="94"/>
        <v>0</v>
      </c>
      <c r="W175" s="1">
        <f t="shared" si="95"/>
        <v>0</v>
      </c>
      <c r="X175" s="1">
        <f t="shared" si="96"/>
        <v>0</v>
      </c>
      <c r="Y175" s="1">
        <f t="shared" si="97"/>
        <v>0</v>
      </c>
      <c r="Z175" s="1">
        <f t="shared" si="98"/>
        <v>0</v>
      </c>
      <c r="AA175" s="1">
        <f t="shared" si="99"/>
        <v>1</v>
      </c>
      <c r="AB175" s="1">
        <f t="shared" si="100"/>
        <v>0</v>
      </c>
      <c r="AD175" s="1">
        <f t="shared" si="101"/>
        <v>1</v>
      </c>
      <c r="AE175" s="1">
        <f t="shared" si="102"/>
        <v>0</v>
      </c>
      <c r="AF175" s="1">
        <f t="shared" si="103"/>
        <v>1</v>
      </c>
      <c r="AG175" s="1">
        <f t="shared" si="104"/>
        <v>0</v>
      </c>
      <c r="AH175" s="1">
        <f t="shared" si="105"/>
        <v>1</v>
      </c>
      <c r="AI175" s="1">
        <f t="shared" si="106"/>
        <v>0</v>
      </c>
    </row>
    <row r="176" spans="1:35" ht="14.25" customHeight="1" x14ac:dyDescent="0.25">
      <c r="A176" s="44">
        <v>0</v>
      </c>
      <c r="B176" s="44">
        <v>1</v>
      </c>
      <c r="C176" s="44">
        <v>3</v>
      </c>
      <c r="D176" s="45" t="s">
        <v>131</v>
      </c>
      <c r="E176" s="45" t="s">
        <v>679</v>
      </c>
      <c r="F176" s="45" t="s">
        <v>332</v>
      </c>
      <c r="G176" s="45" t="s">
        <v>39</v>
      </c>
      <c r="H176" s="45" t="s">
        <v>360</v>
      </c>
      <c r="I176" s="44" t="s">
        <v>478</v>
      </c>
      <c r="J176" s="44">
        <v>12</v>
      </c>
      <c r="K176" s="46" t="s">
        <v>718</v>
      </c>
      <c r="L176" s="46">
        <v>35</v>
      </c>
      <c r="M176" s="47" t="s">
        <v>39</v>
      </c>
      <c r="N176" s="47" t="s">
        <v>1772</v>
      </c>
      <c r="O176" s="48"/>
      <c r="P176" s="48"/>
      <c r="Q176" s="45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817</v>
      </c>
      <c r="E177" s="16" t="s">
        <v>171</v>
      </c>
      <c r="F177" s="16" t="s">
        <v>818</v>
      </c>
      <c r="G177" s="16" t="s">
        <v>39</v>
      </c>
      <c r="H177" s="16" t="s">
        <v>373</v>
      </c>
      <c r="I177" s="15" t="s">
        <v>816</v>
      </c>
      <c r="J177" s="15">
        <v>12</v>
      </c>
      <c r="K177" s="10" t="s">
        <v>699</v>
      </c>
      <c r="L177" s="10">
        <v>40</v>
      </c>
      <c r="M177" s="19" t="s">
        <v>957</v>
      </c>
      <c r="N177" s="19"/>
      <c r="Q177" s="16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0</v>
      </c>
      <c r="AF177" s="1">
        <f t="shared" si="75"/>
        <v>0</v>
      </c>
      <c r="AG177" s="1">
        <f t="shared" si="76"/>
        <v>0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141</v>
      </c>
      <c r="E178" s="32" t="s">
        <v>171</v>
      </c>
      <c r="F178" s="32" t="s">
        <v>341</v>
      </c>
      <c r="G178" s="32" t="s">
        <v>39</v>
      </c>
      <c r="H178" s="32" t="s">
        <v>375</v>
      </c>
      <c r="I178" s="31" t="s">
        <v>487</v>
      </c>
      <c r="J178" s="31">
        <v>15</v>
      </c>
      <c r="K178" s="33" t="s">
        <v>698</v>
      </c>
      <c r="L178" s="33" t="s">
        <v>688</v>
      </c>
      <c r="M178" s="34" t="s">
        <v>687</v>
      </c>
      <c r="N178" s="34" t="s">
        <v>1706</v>
      </c>
      <c r="O178" s="35">
        <v>1</v>
      </c>
      <c r="P178" s="35">
        <v>1</v>
      </c>
      <c r="Q178" s="36" t="s">
        <v>1861</v>
      </c>
      <c r="S178" s="1">
        <f t="shared" si="79"/>
        <v>0</v>
      </c>
      <c r="T178" s="1">
        <f t="shared" si="80"/>
        <v>0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743</v>
      </c>
      <c r="E179" s="32" t="s">
        <v>606</v>
      </c>
      <c r="F179" s="32" t="s">
        <v>744</v>
      </c>
      <c r="G179" s="32" t="s">
        <v>39</v>
      </c>
      <c r="H179" s="32" t="s">
        <v>745</v>
      </c>
      <c r="I179" s="31" t="s">
        <v>746</v>
      </c>
      <c r="J179" s="31">
        <v>18</v>
      </c>
      <c r="K179" s="33" t="s">
        <v>699</v>
      </c>
      <c r="L179" s="33" t="s">
        <v>693</v>
      </c>
      <c r="M179" s="34" t="s">
        <v>687</v>
      </c>
      <c r="N179" s="34" t="s">
        <v>1819</v>
      </c>
      <c r="O179" s="35">
        <v>1</v>
      </c>
      <c r="P179" s="35"/>
      <c r="Q179" s="36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0</v>
      </c>
      <c r="AB179" s="1">
        <f t="shared" si="88"/>
        <v>0</v>
      </c>
      <c r="AD179" s="1">
        <f t="shared" si="89"/>
        <v>0</v>
      </c>
      <c r="AE179" s="1">
        <f t="shared" si="90"/>
        <v>1</v>
      </c>
      <c r="AF179" s="1">
        <f t="shared" si="75"/>
        <v>0</v>
      </c>
      <c r="AG179" s="1">
        <f t="shared" si="76"/>
        <v>1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6" t="s">
        <v>1811</v>
      </c>
      <c r="E180" s="32" t="s">
        <v>1074</v>
      </c>
      <c r="F180" s="32" t="s">
        <v>1796</v>
      </c>
      <c r="G180" s="32"/>
      <c r="H180" s="32" t="s">
        <v>370</v>
      </c>
      <c r="I180" s="31" t="s">
        <v>1797</v>
      </c>
      <c r="J180" s="31">
        <v>16</v>
      </c>
      <c r="K180" s="33" t="s">
        <v>699</v>
      </c>
      <c r="L180" s="33"/>
      <c r="M180" s="34"/>
      <c r="N180" s="34" t="s">
        <v>1700</v>
      </c>
      <c r="O180" s="35">
        <v>1</v>
      </c>
      <c r="P180" s="35">
        <v>1</v>
      </c>
      <c r="Q180" s="32"/>
      <c r="S180" s="1">
        <f t="shared" si="79"/>
        <v>0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1</v>
      </c>
      <c r="AE180" s="1">
        <f t="shared" si="90"/>
        <v>0</v>
      </c>
      <c r="AF180" s="1">
        <f t="shared" si="75"/>
        <v>1</v>
      </c>
      <c r="AG180" s="1">
        <f t="shared" si="76"/>
        <v>0</v>
      </c>
      <c r="AH180" s="1">
        <f t="shared" si="77"/>
        <v>1</v>
      </c>
      <c r="AI180" s="1">
        <f t="shared" si="78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966</v>
      </c>
      <c r="E181" s="32" t="s">
        <v>606</v>
      </c>
      <c r="F181" s="32" t="s">
        <v>967</v>
      </c>
      <c r="G181" s="32" t="s">
        <v>202</v>
      </c>
      <c r="H181" s="32" t="s">
        <v>352</v>
      </c>
      <c r="I181" s="31" t="s">
        <v>968</v>
      </c>
      <c r="J181" s="31">
        <v>99</v>
      </c>
      <c r="K181" s="33" t="s">
        <v>943</v>
      </c>
      <c r="L181" s="33" t="s">
        <v>39</v>
      </c>
      <c r="M181" s="34" t="s">
        <v>39</v>
      </c>
      <c r="N181" s="34" t="s">
        <v>1700</v>
      </c>
      <c r="O181" s="35">
        <v>1</v>
      </c>
      <c r="P181" s="35">
        <v>1</v>
      </c>
      <c r="Q181" s="32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1</v>
      </c>
      <c r="AE181" s="1">
        <f t="shared" si="90"/>
        <v>0</v>
      </c>
      <c r="AF181" s="1">
        <f t="shared" si="75"/>
        <v>1</v>
      </c>
      <c r="AG181" s="1">
        <f t="shared" si="76"/>
        <v>0</v>
      </c>
      <c r="AH181" s="1">
        <f t="shared" si="77"/>
        <v>1</v>
      </c>
      <c r="AI181" s="1">
        <f t="shared" si="78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148</v>
      </c>
      <c r="E182" s="32" t="s">
        <v>171</v>
      </c>
      <c r="F182" s="32" t="s">
        <v>348</v>
      </c>
      <c r="G182" s="32" t="s">
        <v>39</v>
      </c>
      <c r="H182" s="32" t="s">
        <v>378</v>
      </c>
      <c r="I182" s="31" t="s">
        <v>493</v>
      </c>
      <c r="J182" s="31">
        <v>14</v>
      </c>
      <c r="K182" s="33" t="s">
        <v>951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1</v>
      </c>
      <c r="AE182" s="1">
        <f t="shared" si="90"/>
        <v>0</v>
      </c>
      <c r="AF182" s="1">
        <f t="shared" si="75"/>
        <v>1</v>
      </c>
      <c r="AG182" s="1">
        <f t="shared" si="76"/>
        <v>0</v>
      </c>
      <c r="AH182" s="1">
        <f t="shared" si="77"/>
        <v>1</v>
      </c>
      <c r="AI182" s="1">
        <f t="shared" si="78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1954</v>
      </c>
      <c r="E183" s="32" t="s">
        <v>1955</v>
      </c>
      <c r="F183" s="32" t="s">
        <v>1956</v>
      </c>
      <c r="G183" s="32" t="s">
        <v>531</v>
      </c>
      <c r="H183" s="32" t="s">
        <v>352</v>
      </c>
      <c r="I183" s="31" t="s">
        <v>1957</v>
      </c>
      <c r="J183" s="31"/>
      <c r="K183" s="33" t="s">
        <v>699</v>
      </c>
      <c r="L183" s="33"/>
      <c r="M183" s="34"/>
      <c r="N183" s="34" t="s">
        <v>1706</v>
      </c>
      <c r="O183" s="35">
        <v>1</v>
      </c>
      <c r="P183" s="35">
        <v>1</v>
      </c>
      <c r="Q183" s="32"/>
      <c r="S183" s="1">
        <f t="shared" si="79"/>
        <v>0</v>
      </c>
      <c r="T183" s="1">
        <f t="shared" si="80"/>
        <v>0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1</v>
      </c>
      <c r="AE183" s="1">
        <f t="shared" si="90"/>
        <v>0</v>
      </c>
      <c r="AF183" s="1">
        <f t="shared" si="75"/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631</v>
      </c>
      <c r="E184" s="32" t="s">
        <v>171</v>
      </c>
      <c r="F184" s="32" t="s">
        <v>633</v>
      </c>
      <c r="G184" s="32" t="s">
        <v>237</v>
      </c>
      <c r="H184" s="32" t="s">
        <v>352</v>
      </c>
      <c r="I184" s="31" t="s">
        <v>632</v>
      </c>
      <c r="J184" s="31">
        <v>4</v>
      </c>
      <c r="K184" s="33" t="s">
        <v>943</v>
      </c>
      <c r="L184" s="33" t="s">
        <v>39</v>
      </c>
      <c r="M184" s="34" t="s">
        <v>39</v>
      </c>
      <c r="N184" s="34" t="s">
        <v>1706</v>
      </c>
      <c r="O184" s="35">
        <v>1</v>
      </c>
      <c r="P184" s="35">
        <v>1</v>
      </c>
      <c r="Q184" s="32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1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0</v>
      </c>
      <c r="AB184" s="1">
        <f t="shared" si="88"/>
        <v>0</v>
      </c>
      <c r="AD184" s="1">
        <f t="shared" si="89"/>
        <v>1</v>
      </c>
      <c r="AE184" s="1">
        <f t="shared" si="90"/>
        <v>0</v>
      </c>
      <c r="AF184" s="1">
        <f t="shared" si="75"/>
        <v>1</v>
      </c>
      <c r="AG184" s="1">
        <f t="shared" si="76"/>
        <v>0</v>
      </c>
      <c r="AH184" s="1">
        <f t="shared" si="77"/>
        <v>1</v>
      </c>
      <c r="AI184" s="1">
        <f t="shared" si="78"/>
        <v>0</v>
      </c>
    </row>
    <row r="185" spans="1:35" ht="14.25" customHeight="1" x14ac:dyDescent="0.25">
      <c r="A185" s="15">
        <v>0</v>
      </c>
      <c r="B185" s="15">
        <v>1</v>
      </c>
      <c r="C185" s="15">
        <v>3</v>
      </c>
      <c r="D185" s="16" t="s">
        <v>1502</v>
      </c>
      <c r="E185" s="16" t="s">
        <v>1074</v>
      </c>
      <c r="F185" s="16" t="s">
        <v>1503</v>
      </c>
      <c r="G185" s="16" t="s">
        <v>217</v>
      </c>
      <c r="H185" s="16" t="s">
        <v>352</v>
      </c>
      <c r="I185" s="15" t="s">
        <v>1504</v>
      </c>
      <c r="J185" s="15">
        <v>99</v>
      </c>
      <c r="K185" s="10" t="s">
        <v>699</v>
      </c>
      <c r="L185" s="10">
        <v>40</v>
      </c>
      <c r="M185" s="19" t="s">
        <v>957</v>
      </c>
      <c r="N185" s="19"/>
      <c r="Q185" s="16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0</v>
      </c>
      <c r="AD185" s="1">
        <f t="shared" si="89"/>
        <v>0</v>
      </c>
      <c r="AE185" s="1">
        <f t="shared" si="90"/>
        <v>0</v>
      </c>
      <c r="AF185" s="1">
        <f t="shared" si="75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101</v>
      </c>
      <c r="E186" s="32" t="s">
        <v>171</v>
      </c>
      <c r="F186" s="32" t="s">
        <v>297</v>
      </c>
      <c r="G186" s="32" t="s">
        <v>298</v>
      </c>
      <c r="H186" s="32" t="s">
        <v>352</v>
      </c>
      <c r="I186" s="31" t="s">
        <v>446</v>
      </c>
      <c r="J186" s="31">
        <v>99</v>
      </c>
      <c r="K186" s="33" t="s">
        <v>945</v>
      </c>
      <c r="L186" s="33" t="s">
        <v>689</v>
      </c>
      <c r="M186" s="34" t="s">
        <v>687</v>
      </c>
      <c r="N186" s="34" t="s">
        <v>1714</v>
      </c>
      <c r="O186" s="35">
        <v>1</v>
      </c>
      <c r="P186" s="35"/>
      <c r="Q186" s="32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1</v>
      </c>
      <c r="AF186" s="1">
        <f t="shared" si="75"/>
        <v>0</v>
      </c>
      <c r="AG186" s="1">
        <f t="shared" si="76"/>
        <v>1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977</v>
      </c>
      <c r="E187" s="32" t="s">
        <v>171</v>
      </c>
      <c r="F187" s="32" t="s">
        <v>980</v>
      </c>
      <c r="G187" s="32" t="s">
        <v>39</v>
      </c>
      <c r="H187" s="32" t="s">
        <v>979</v>
      </c>
      <c r="I187" s="31" t="s">
        <v>978</v>
      </c>
      <c r="J187" s="31">
        <v>14</v>
      </c>
      <c r="K187" s="33" t="s">
        <v>718</v>
      </c>
      <c r="L187" s="33" t="s">
        <v>690</v>
      </c>
      <c r="M187" s="34" t="s">
        <v>958</v>
      </c>
      <c r="N187" s="34" t="s">
        <v>1714</v>
      </c>
      <c r="O187" s="35">
        <v>1</v>
      </c>
      <c r="P187" s="35"/>
      <c r="Q187" s="32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0</v>
      </c>
      <c r="AD187" s="1">
        <f t="shared" si="89"/>
        <v>0</v>
      </c>
      <c r="AE187" s="1">
        <f t="shared" si="90"/>
        <v>1</v>
      </c>
      <c r="AF187" s="1">
        <f t="shared" si="75"/>
        <v>0</v>
      </c>
      <c r="AG187" s="1">
        <f t="shared" si="76"/>
        <v>1</v>
      </c>
      <c r="AH187" s="1">
        <f t="shared" si="77"/>
        <v>0</v>
      </c>
      <c r="AI187" s="1">
        <f t="shared" si="78"/>
        <v>1</v>
      </c>
    </row>
    <row r="188" spans="1:35" ht="14.25" customHeight="1" x14ac:dyDescent="0.25">
      <c r="A188" s="51">
        <v>0</v>
      </c>
      <c r="B188" s="51">
        <v>1</v>
      </c>
      <c r="C188" s="51">
        <v>3</v>
      </c>
      <c r="D188" s="52" t="s">
        <v>1618</v>
      </c>
      <c r="E188" s="52" t="s">
        <v>171</v>
      </c>
      <c r="F188" s="52" t="s">
        <v>764</v>
      </c>
      <c r="G188" s="52" t="s">
        <v>39</v>
      </c>
      <c r="H188" s="52" t="s">
        <v>365</v>
      </c>
      <c r="I188" s="51" t="s">
        <v>772</v>
      </c>
      <c r="J188" s="51">
        <v>18</v>
      </c>
      <c r="K188" s="53" t="s">
        <v>1670</v>
      </c>
      <c r="L188" s="53" t="s">
        <v>39</v>
      </c>
      <c r="M188" s="54" t="s">
        <v>765</v>
      </c>
      <c r="N188" s="55"/>
      <c r="O188" s="56"/>
      <c r="P188" s="56"/>
      <c r="Q188" s="52"/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si="89"/>
        <v>0</v>
      </c>
      <c r="AE188" s="1">
        <f t="shared" si="90"/>
        <v>0</v>
      </c>
      <c r="AF188" s="1">
        <f t="shared" si="75"/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134</v>
      </c>
      <c r="E189" s="32" t="s">
        <v>171</v>
      </c>
      <c r="F189" s="32" t="s">
        <v>655</v>
      </c>
      <c r="G189" s="32" t="s">
        <v>256</v>
      </c>
      <c r="H189" s="32" t="s">
        <v>352</v>
      </c>
      <c r="I189" s="31" t="s">
        <v>1666</v>
      </c>
      <c r="J189" s="31">
        <v>99</v>
      </c>
      <c r="K189" s="33" t="s">
        <v>718</v>
      </c>
      <c r="L189" s="33" t="s">
        <v>683</v>
      </c>
      <c r="M189" s="34" t="s">
        <v>1374</v>
      </c>
      <c r="N189" s="34" t="s">
        <v>1714</v>
      </c>
      <c r="O189" s="35">
        <v>1</v>
      </c>
      <c r="P189" s="35"/>
      <c r="Q189" s="32" t="s">
        <v>1900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89"/>
        <v>0</v>
      </c>
      <c r="AE189" s="1">
        <f t="shared" si="90"/>
        <v>1</v>
      </c>
      <c r="AF189" s="1">
        <f t="shared" si="75"/>
        <v>0</v>
      </c>
      <c r="AG189" s="1">
        <f t="shared" si="76"/>
        <v>1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912</v>
      </c>
      <c r="E190" s="32" t="s">
        <v>169</v>
      </c>
      <c r="F190" s="32" t="s">
        <v>928</v>
      </c>
      <c r="G190" s="32" t="s">
        <v>39</v>
      </c>
      <c r="H190" s="32" t="s">
        <v>363</v>
      </c>
      <c r="I190" s="31" t="s">
        <v>874</v>
      </c>
      <c r="J190" s="31">
        <v>18</v>
      </c>
      <c r="K190" s="33" t="s">
        <v>698</v>
      </c>
      <c r="L190" s="33" t="s">
        <v>693</v>
      </c>
      <c r="M190" s="34" t="s">
        <v>958</v>
      </c>
      <c r="N190" s="34" t="s">
        <v>1718</v>
      </c>
      <c r="O190" s="35">
        <v>1</v>
      </c>
      <c r="P190" s="35"/>
      <c r="Q190" s="32"/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0</v>
      </c>
      <c r="AE190" s="1">
        <f t="shared" si="90"/>
        <v>1</v>
      </c>
      <c r="AF190" s="1">
        <f t="shared" si="75"/>
        <v>0</v>
      </c>
      <c r="AG190" s="1">
        <f t="shared" si="76"/>
        <v>1</v>
      </c>
      <c r="AH190" s="1">
        <f t="shared" si="77"/>
        <v>0</v>
      </c>
      <c r="AI190" s="1">
        <f t="shared" si="78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1241</v>
      </c>
      <c r="E191" s="32" t="s">
        <v>169</v>
      </c>
      <c r="F191" s="32" t="s">
        <v>1649</v>
      </c>
      <c r="G191" s="32" t="s">
        <v>39</v>
      </c>
      <c r="H191" s="32" t="s">
        <v>762</v>
      </c>
      <c r="I191" s="31" t="s">
        <v>1242</v>
      </c>
      <c r="J191" s="31">
        <v>11</v>
      </c>
      <c r="K191" s="33" t="s">
        <v>718</v>
      </c>
      <c r="L191" s="33" t="s">
        <v>685</v>
      </c>
      <c r="M191" s="34" t="s">
        <v>1375</v>
      </c>
      <c r="N191" s="34" t="s">
        <v>1719</v>
      </c>
      <c r="O191" s="35">
        <v>1</v>
      </c>
      <c r="P191" s="35"/>
      <c r="Q191" s="32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1</v>
      </c>
      <c r="AF191" s="1">
        <f t="shared" si="75"/>
        <v>0</v>
      </c>
      <c r="AG191" s="1">
        <f t="shared" si="76"/>
        <v>1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983</v>
      </c>
      <c r="E192" s="32" t="s">
        <v>763</v>
      </c>
      <c r="F192" s="32" t="s">
        <v>1081</v>
      </c>
      <c r="G192" s="32" t="s">
        <v>199</v>
      </c>
      <c r="H192" s="32" t="s">
        <v>352</v>
      </c>
      <c r="I192" s="31" t="s">
        <v>984</v>
      </c>
      <c r="J192" s="31">
        <v>2</v>
      </c>
      <c r="K192" s="33" t="s">
        <v>943</v>
      </c>
      <c r="L192" s="33" t="s">
        <v>689</v>
      </c>
      <c r="M192" s="34" t="s">
        <v>1376</v>
      </c>
      <c r="N192" s="34" t="s">
        <v>1700</v>
      </c>
      <c r="O192" s="35">
        <v>1</v>
      </c>
      <c r="P192" s="35">
        <v>1</v>
      </c>
      <c r="Q192" s="32"/>
      <c r="S192" s="1">
        <f t="shared" si="79"/>
        <v>0</v>
      </c>
      <c r="T192" s="1">
        <f t="shared" si="80"/>
        <v>1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1</v>
      </c>
      <c r="AE192" s="1">
        <f t="shared" si="90"/>
        <v>0</v>
      </c>
      <c r="AF192" s="1">
        <f t="shared" si="75"/>
        <v>1</v>
      </c>
      <c r="AG192" s="1">
        <f t="shared" si="76"/>
        <v>0</v>
      </c>
      <c r="AH192" s="1">
        <f t="shared" si="77"/>
        <v>1</v>
      </c>
      <c r="AI192" s="1">
        <f t="shared" si="78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50</v>
      </c>
      <c r="E193" s="32" t="s">
        <v>763</v>
      </c>
      <c r="F193" s="32" t="s">
        <v>192</v>
      </c>
      <c r="G193" s="32" t="s">
        <v>193</v>
      </c>
      <c r="H193" s="32" t="s">
        <v>352</v>
      </c>
      <c r="I193" s="31" t="s">
        <v>385</v>
      </c>
      <c r="J193" s="31">
        <v>9</v>
      </c>
      <c r="K193" s="33" t="s">
        <v>943</v>
      </c>
      <c r="L193" s="33" t="s">
        <v>690</v>
      </c>
      <c r="M193" s="34" t="s">
        <v>956</v>
      </c>
      <c r="N193" s="34" t="s">
        <v>1771</v>
      </c>
      <c r="O193" s="35">
        <v>1</v>
      </c>
      <c r="P193" s="35"/>
      <c r="Q193" s="32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1</v>
      </c>
      <c r="AB193" s="1">
        <f t="shared" si="88"/>
        <v>0</v>
      </c>
      <c r="AD193" s="1">
        <f t="shared" si="89"/>
        <v>0</v>
      </c>
      <c r="AE193" s="1">
        <f t="shared" si="90"/>
        <v>1</v>
      </c>
      <c r="AF193" s="1">
        <f t="shared" si="75"/>
        <v>0</v>
      </c>
      <c r="AG193" s="1">
        <f t="shared" si="76"/>
        <v>1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6" t="s">
        <v>2048</v>
      </c>
      <c r="E194" s="32" t="s">
        <v>763</v>
      </c>
      <c r="F194" s="36" t="s">
        <v>2049</v>
      </c>
      <c r="G194" s="36" t="s">
        <v>212</v>
      </c>
      <c r="H194" s="36" t="s">
        <v>352</v>
      </c>
      <c r="I194" s="37" t="s">
        <v>2050</v>
      </c>
      <c r="J194" s="31">
        <v>1</v>
      </c>
      <c r="K194" s="33" t="s">
        <v>699</v>
      </c>
      <c r="L194" s="33"/>
      <c r="M194" s="34"/>
      <c r="N194" s="34" t="s">
        <v>1706</v>
      </c>
      <c r="O194" s="35">
        <v>1</v>
      </c>
      <c r="P194" s="35">
        <v>1</v>
      </c>
      <c r="Q194" s="32" t="s">
        <v>2051</v>
      </c>
      <c r="S194" s="1">
        <f t="shared" si="79"/>
        <v>1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1</v>
      </c>
      <c r="AE194" s="1">
        <f t="shared" si="90"/>
        <v>0</v>
      </c>
      <c r="AF194" s="1">
        <f t="shared" si="75"/>
        <v>1</v>
      </c>
      <c r="AG194" s="1">
        <f t="shared" si="76"/>
        <v>0</v>
      </c>
      <c r="AH194" s="1">
        <f t="shared" si="77"/>
        <v>1</v>
      </c>
      <c r="AI194" s="1">
        <f t="shared" si="78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943</v>
      </c>
      <c r="L195" s="33" t="s">
        <v>685</v>
      </c>
      <c r="M195" s="34" t="s">
        <v>687</v>
      </c>
      <c r="N195" s="34" t="s">
        <v>1714</v>
      </c>
      <c r="O195" s="35">
        <v>1</v>
      </c>
      <c r="P195" s="35"/>
      <c r="Q195" s="32"/>
      <c r="S195" s="1">
        <f t="shared" si="79"/>
        <v>1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1</v>
      </c>
      <c r="AF195" s="1">
        <f t="shared" si="75"/>
        <v>0</v>
      </c>
      <c r="AG195" s="1">
        <f t="shared" si="76"/>
        <v>1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125</v>
      </c>
      <c r="E196" s="32" t="s">
        <v>522</v>
      </c>
      <c r="F196" s="32" t="s">
        <v>325</v>
      </c>
      <c r="G196" s="32" t="s">
        <v>298</v>
      </c>
      <c r="H196" s="32" t="s">
        <v>352</v>
      </c>
      <c r="I196" s="31" t="s">
        <v>472</v>
      </c>
      <c r="J196" s="31">
        <v>99</v>
      </c>
      <c r="K196" s="33" t="s">
        <v>698</v>
      </c>
      <c r="L196" s="33" t="s">
        <v>685</v>
      </c>
      <c r="M196" s="34" t="s">
        <v>957</v>
      </c>
      <c r="N196" s="34" t="s">
        <v>1714</v>
      </c>
      <c r="O196" s="35">
        <v>1</v>
      </c>
      <c r="P196" s="35"/>
      <c r="Q196" s="32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0</v>
      </c>
      <c r="AE196" s="1">
        <f t="shared" si="90"/>
        <v>1</v>
      </c>
      <c r="AF196" s="1">
        <f t="shared" si="75"/>
        <v>0</v>
      </c>
      <c r="AG196" s="1">
        <f t="shared" si="76"/>
        <v>1</v>
      </c>
      <c r="AH196" s="1">
        <f t="shared" si="77"/>
        <v>0</v>
      </c>
      <c r="AI196" s="1">
        <f t="shared" si="78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1702</v>
      </c>
      <c r="E197" s="32" t="s">
        <v>165</v>
      </c>
      <c r="F197" s="32" t="s">
        <v>1703</v>
      </c>
      <c r="G197" s="32" t="s">
        <v>1704</v>
      </c>
      <c r="H197" s="32" t="s">
        <v>352</v>
      </c>
      <c r="I197" s="31" t="s">
        <v>1705</v>
      </c>
      <c r="J197" s="31">
        <v>2</v>
      </c>
      <c r="K197" s="33" t="s">
        <v>699</v>
      </c>
      <c r="L197" s="33"/>
      <c r="M197" s="34"/>
      <c r="N197" s="34" t="s">
        <v>1706</v>
      </c>
      <c r="O197" s="35">
        <v>1</v>
      </c>
      <c r="P197" s="35">
        <v>1</v>
      </c>
      <c r="Q197" s="32"/>
      <c r="S197" s="1">
        <f t="shared" si="79"/>
        <v>0</v>
      </c>
      <c r="T197" s="1">
        <f t="shared" si="80"/>
        <v>1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1</v>
      </c>
      <c r="AE197" s="1">
        <f t="shared" si="90"/>
        <v>0</v>
      </c>
      <c r="AF197" s="1">
        <f t="shared" si="75"/>
        <v>1</v>
      </c>
      <c r="AG197" s="1">
        <f t="shared" si="76"/>
        <v>0</v>
      </c>
      <c r="AH197" s="1">
        <f t="shared" si="77"/>
        <v>1</v>
      </c>
      <c r="AI197" s="1">
        <f t="shared" si="78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87</v>
      </c>
      <c r="E198" s="32" t="s">
        <v>165</v>
      </c>
      <c r="F198" s="32" t="s">
        <v>573</v>
      </c>
      <c r="G198" s="32" t="s">
        <v>193</v>
      </c>
      <c r="H198" s="32" t="s">
        <v>352</v>
      </c>
      <c r="I198" s="31" t="s">
        <v>434</v>
      </c>
      <c r="J198" s="31">
        <v>9</v>
      </c>
      <c r="K198" s="33" t="s">
        <v>943</v>
      </c>
      <c r="L198" s="33" t="s">
        <v>692</v>
      </c>
      <c r="M198" s="34" t="s">
        <v>687</v>
      </c>
      <c r="N198" s="34" t="s">
        <v>1714</v>
      </c>
      <c r="O198" s="35">
        <v>1</v>
      </c>
      <c r="P198" s="35"/>
      <c r="Q198" s="32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1</v>
      </c>
      <c r="AB198" s="1">
        <f t="shared" si="88"/>
        <v>0</v>
      </c>
      <c r="AD198" s="1">
        <f t="shared" si="89"/>
        <v>0</v>
      </c>
      <c r="AE198" s="1">
        <f t="shared" si="90"/>
        <v>1</v>
      </c>
      <c r="AF198" s="1">
        <f t="shared" si="75"/>
        <v>0</v>
      </c>
      <c r="AG198" s="1">
        <f t="shared" si="76"/>
        <v>1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1961</v>
      </c>
      <c r="E199" s="32" t="s">
        <v>165</v>
      </c>
      <c r="F199" s="32" t="s">
        <v>1962</v>
      </c>
      <c r="G199" s="32" t="s">
        <v>1965</v>
      </c>
      <c r="H199" s="32" t="s">
        <v>352</v>
      </c>
      <c r="I199" s="31" t="s">
        <v>1963</v>
      </c>
      <c r="J199" s="31">
        <v>99</v>
      </c>
      <c r="K199" s="33" t="s">
        <v>699</v>
      </c>
      <c r="L199" s="33">
        <v>25</v>
      </c>
      <c r="M199" s="34" t="s">
        <v>687</v>
      </c>
      <c r="N199" s="34" t="s">
        <v>1714</v>
      </c>
      <c r="O199" s="35">
        <v>1</v>
      </c>
      <c r="P199" s="35"/>
      <c r="Q199" s="32" t="s">
        <v>1964</v>
      </c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1</v>
      </c>
      <c r="AF199" s="1">
        <f t="shared" si="75"/>
        <v>0</v>
      </c>
      <c r="AG199" s="1">
        <f t="shared" si="76"/>
        <v>1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126</v>
      </c>
      <c r="E200" s="32" t="s">
        <v>165</v>
      </c>
      <c r="F200" s="32" t="s">
        <v>326</v>
      </c>
      <c r="G200" s="32" t="s">
        <v>179</v>
      </c>
      <c r="H200" s="32" t="s">
        <v>352</v>
      </c>
      <c r="I200" s="31" t="s">
        <v>473</v>
      </c>
      <c r="J200" s="31">
        <v>10</v>
      </c>
      <c r="K200" s="33" t="s">
        <v>945</v>
      </c>
      <c r="L200" s="33" t="s">
        <v>690</v>
      </c>
      <c r="M200" s="34" t="s">
        <v>687</v>
      </c>
      <c r="N200" s="34" t="s">
        <v>1759</v>
      </c>
      <c r="O200" s="35">
        <v>1</v>
      </c>
      <c r="P200" s="35"/>
      <c r="Q200" s="32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1</v>
      </c>
      <c r="AD200" s="1">
        <f t="shared" si="89"/>
        <v>0</v>
      </c>
      <c r="AE200" s="1">
        <f t="shared" si="90"/>
        <v>1</v>
      </c>
      <c r="AF200" s="1">
        <f t="shared" si="75"/>
        <v>0</v>
      </c>
      <c r="AG200" s="1">
        <f t="shared" si="76"/>
        <v>1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136</v>
      </c>
      <c r="E201" s="32" t="s">
        <v>165</v>
      </c>
      <c r="F201" s="32" t="s">
        <v>544</v>
      </c>
      <c r="G201" s="32" t="s">
        <v>219</v>
      </c>
      <c r="H201" s="32" t="s">
        <v>352</v>
      </c>
      <c r="I201" s="31" t="s">
        <v>536</v>
      </c>
      <c r="J201" s="31">
        <v>8</v>
      </c>
      <c r="K201" s="33" t="s">
        <v>943</v>
      </c>
      <c r="L201" s="33" t="s">
        <v>690</v>
      </c>
      <c r="M201" s="34" t="s">
        <v>687</v>
      </c>
      <c r="N201" s="34" t="s">
        <v>1714</v>
      </c>
      <c r="O201" s="35">
        <v>1</v>
      </c>
      <c r="P201" s="35"/>
      <c r="Q201" s="32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1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1</v>
      </c>
      <c r="AF201" s="1">
        <f t="shared" si="75"/>
        <v>0</v>
      </c>
      <c r="AG201" s="1">
        <f t="shared" si="76"/>
        <v>1</v>
      </c>
      <c r="AH201" s="1">
        <f t="shared" si="77"/>
        <v>0</v>
      </c>
      <c r="AI201" s="1">
        <f t="shared" si="78"/>
        <v>1</v>
      </c>
    </row>
    <row r="202" spans="1:35" ht="14.25" customHeight="1" x14ac:dyDescent="0.25">
      <c r="A202" s="31">
        <v>1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335</v>
      </c>
      <c r="G202" s="32" t="s">
        <v>336</v>
      </c>
      <c r="H202" s="32" t="s">
        <v>352</v>
      </c>
      <c r="I202" s="31" t="s">
        <v>482</v>
      </c>
      <c r="J202" s="31">
        <v>10</v>
      </c>
      <c r="K202" s="33" t="s">
        <v>943</v>
      </c>
      <c r="L202" s="33" t="s">
        <v>690</v>
      </c>
      <c r="M202" s="34" t="s">
        <v>687</v>
      </c>
      <c r="N202" s="34" t="s">
        <v>1714</v>
      </c>
      <c r="O202" s="35">
        <v>1</v>
      </c>
      <c r="P202" s="35"/>
      <c r="Q202" s="32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1</v>
      </c>
      <c r="AD202" s="1">
        <f t="shared" si="89"/>
        <v>0</v>
      </c>
      <c r="AE202" s="1">
        <f t="shared" si="90"/>
        <v>1</v>
      </c>
      <c r="AF202" s="1">
        <f t="shared" si="75"/>
        <v>0</v>
      </c>
      <c r="AG202" s="1">
        <f t="shared" si="76"/>
        <v>0</v>
      </c>
      <c r="AH202" s="1">
        <f t="shared" si="77"/>
        <v>0</v>
      </c>
      <c r="AI202" s="1">
        <f t="shared" si="78"/>
        <v>0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1611</v>
      </c>
      <c r="E203" s="32" t="s">
        <v>165</v>
      </c>
      <c r="F203" s="32" t="s">
        <v>856</v>
      </c>
      <c r="G203" s="32" t="s">
        <v>1638</v>
      </c>
      <c r="H203" s="32" t="s">
        <v>352</v>
      </c>
      <c r="I203" s="31" t="s">
        <v>857</v>
      </c>
      <c r="J203" s="31">
        <v>1</v>
      </c>
      <c r="K203" s="33" t="s">
        <v>718</v>
      </c>
      <c r="L203" s="33" t="s">
        <v>1680</v>
      </c>
      <c r="M203" s="34" t="s">
        <v>1377</v>
      </c>
      <c r="N203" s="34" t="s">
        <v>1714</v>
      </c>
      <c r="O203" s="35">
        <v>1</v>
      </c>
      <c r="P203" s="35"/>
      <c r="Q203" s="32"/>
      <c r="S203" s="1">
        <f t="shared" si="79"/>
        <v>1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0</v>
      </c>
      <c r="AD203" s="1">
        <f t="shared" si="89"/>
        <v>0</v>
      </c>
      <c r="AE203" s="1">
        <f t="shared" si="90"/>
        <v>1</v>
      </c>
      <c r="AF203" s="1">
        <f t="shared" si="75"/>
        <v>0</v>
      </c>
      <c r="AG203" s="1">
        <f t="shared" si="76"/>
        <v>1</v>
      </c>
      <c r="AH203" s="1">
        <f t="shared" si="77"/>
        <v>0</v>
      </c>
      <c r="AI203" s="1">
        <f t="shared" si="78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2079</v>
      </c>
      <c r="E204" s="32" t="s">
        <v>165</v>
      </c>
      <c r="F204" s="32" t="s">
        <v>2080</v>
      </c>
      <c r="G204" s="32" t="s">
        <v>193</v>
      </c>
      <c r="H204" s="32" t="s">
        <v>352</v>
      </c>
      <c r="I204" s="31" t="s">
        <v>2081</v>
      </c>
      <c r="J204" s="31">
        <v>9</v>
      </c>
      <c r="K204" s="33" t="s">
        <v>699</v>
      </c>
      <c r="L204" s="33"/>
      <c r="M204" s="34"/>
      <c r="N204" s="34" t="s">
        <v>1706</v>
      </c>
      <c r="O204" s="35">
        <v>1</v>
      </c>
      <c r="P204" s="35">
        <v>1</v>
      </c>
      <c r="Q204" s="32" t="s">
        <v>2082</v>
      </c>
      <c r="S204" s="1">
        <f t="shared" ref="S204:S207" si="107">IF(J204=$S$7,1,0)</f>
        <v>0</v>
      </c>
      <c r="T204" s="1">
        <f t="shared" ref="T204:T207" si="108">IF(J204=$T$7,1,0)</f>
        <v>0</v>
      </c>
      <c r="U204" s="1">
        <f t="shared" ref="U204:U207" si="109">IF(J204=$U$7,1,0)</f>
        <v>0</v>
      </c>
      <c r="V204" s="1">
        <f t="shared" ref="V204:V207" si="110">IF(J204=$V$7,1,0)</f>
        <v>0</v>
      </c>
      <c r="W204" s="1">
        <f t="shared" ref="W204:W207" si="111">IF(J204=$W$7,1,0)</f>
        <v>0</v>
      </c>
      <c r="X204" s="1">
        <f t="shared" ref="X204:X207" si="112">IF(J204=$X$7,1,0)</f>
        <v>0</v>
      </c>
      <c r="Y204" s="1">
        <f t="shared" ref="Y204:Y207" si="113">IF(J204=$Y$7,1,0)</f>
        <v>0</v>
      </c>
      <c r="Z204" s="1">
        <f t="shared" ref="Z204:Z207" si="114">IF(J204=$Z$7,1,0)</f>
        <v>0</v>
      </c>
      <c r="AA204" s="1">
        <f t="shared" ref="AA204:AA207" si="115">IF(J204=$AA$7,1,0)</f>
        <v>1</v>
      </c>
      <c r="AB204" s="1">
        <f t="shared" ref="AB204:AB207" si="116">IF(J204=$AB$7,1,0)</f>
        <v>0</v>
      </c>
      <c r="AD204" s="1">
        <f t="shared" ref="AD204:AD207" si="117">+O204*P204</f>
        <v>1</v>
      </c>
      <c r="AE204" s="1">
        <f t="shared" ref="AE204:AE207" si="118">O204*(1-P204)</f>
        <v>0</v>
      </c>
      <c r="AF204" s="1">
        <f t="shared" ref="AF204:AF207" si="119">+O204*P204*(1-A204)</f>
        <v>1</v>
      </c>
      <c r="AG204" s="1">
        <f t="shared" ref="AG204:AG207" si="120">O204*(1-P204)*(1-A204)</f>
        <v>0</v>
      </c>
      <c r="AH204" s="1">
        <f t="shared" ref="AH204:AH207" si="121">+P204*(1-A204)</f>
        <v>1</v>
      </c>
      <c r="AI204" s="1">
        <f t="shared" ref="AI204:AI207" si="122">+(1-A204)*(1-P204)</f>
        <v>0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20" t="s">
        <v>1918</v>
      </c>
      <c r="E205" s="20" t="s">
        <v>882</v>
      </c>
      <c r="F205" s="20" t="s">
        <v>1935</v>
      </c>
      <c r="G205" s="20"/>
      <c r="H205" s="20" t="s">
        <v>1936</v>
      </c>
      <c r="I205" s="21" t="s">
        <v>1934</v>
      </c>
      <c r="J205" s="15">
        <v>15</v>
      </c>
      <c r="K205" s="10" t="s">
        <v>699</v>
      </c>
      <c r="L205" s="10" t="s">
        <v>693</v>
      </c>
      <c r="M205" s="19" t="s">
        <v>958</v>
      </c>
      <c r="N205" s="17"/>
      <c r="Q205" s="20" t="s">
        <v>1937</v>
      </c>
      <c r="S205" s="1">
        <f t="shared" si="107"/>
        <v>0</v>
      </c>
      <c r="T205" s="1">
        <f t="shared" si="108"/>
        <v>0</v>
      </c>
      <c r="U205" s="1">
        <f t="shared" si="109"/>
        <v>0</v>
      </c>
      <c r="V205" s="1">
        <f t="shared" si="110"/>
        <v>0</v>
      </c>
      <c r="W205" s="1">
        <f t="shared" si="111"/>
        <v>0</v>
      </c>
      <c r="X205" s="1">
        <f t="shared" si="112"/>
        <v>0</v>
      </c>
      <c r="Y205" s="1">
        <f t="shared" si="113"/>
        <v>0</v>
      </c>
      <c r="Z205" s="1">
        <f t="shared" si="114"/>
        <v>0</v>
      </c>
      <c r="AA205" s="1">
        <f t="shared" si="115"/>
        <v>0</v>
      </c>
      <c r="AB205" s="1">
        <f t="shared" si="116"/>
        <v>0</v>
      </c>
      <c r="AD205" s="1">
        <f t="shared" si="117"/>
        <v>0</v>
      </c>
      <c r="AE205" s="1">
        <f t="shared" si="118"/>
        <v>0</v>
      </c>
      <c r="AF205" s="1">
        <f t="shared" si="119"/>
        <v>0</v>
      </c>
      <c r="AG205" s="1">
        <f t="shared" si="120"/>
        <v>0</v>
      </c>
      <c r="AH205" s="1">
        <f t="shared" si="121"/>
        <v>0</v>
      </c>
      <c r="AI205" s="1">
        <f t="shared" si="122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876</v>
      </c>
      <c r="E206" s="32" t="s">
        <v>877</v>
      </c>
      <c r="F206" s="32" t="s">
        <v>1079</v>
      </c>
      <c r="G206" s="32" t="s">
        <v>39</v>
      </c>
      <c r="H206" s="32" t="s">
        <v>878</v>
      </c>
      <c r="I206" s="31" t="s">
        <v>879</v>
      </c>
      <c r="J206" s="31">
        <v>16</v>
      </c>
      <c r="K206" s="33" t="s">
        <v>699</v>
      </c>
      <c r="L206" s="33" t="s">
        <v>688</v>
      </c>
      <c r="M206" s="34" t="s">
        <v>957</v>
      </c>
      <c r="N206" s="34" t="s">
        <v>1706</v>
      </c>
      <c r="O206" s="35">
        <v>1</v>
      </c>
      <c r="P206" s="35">
        <v>1</v>
      </c>
      <c r="Q206" s="36" t="s">
        <v>1864</v>
      </c>
      <c r="S206" s="1">
        <f t="shared" si="107"/>
        <v>0</v>
      </c>
      <c r="T206" s="1">
        <f t="shared" si="108"/>
        <v>0</v>
      </c>
      <c r="U206" s="1">
        <f t="shared" si="109"/>
        <v>0</v>
      </c>
      <c r="V206" s="1">
        <f t="shared" si="110"/>
        <v>0</v>
      </c>
      <c r="W206" s="1">
        <f t="shared" si="111"/>
        <v>0</v>
      </c>
      <c r="X206" s="1">
        <f t="shared" si="112"/>
        <v>0</v>
      </c>
      <c r="Y206" s="1">
        <f t="shared" si="113"/>
        <v>0</v>
      </c>
      <c r="Z206" s="1">
        <f t="shared" si="114"/>
        <v>0</v>
      </c>
      <c r="AA206" s="1">
        <f t="shared" si="115"/>
        <v>0</v>
      </c>
      <c r="AB206" s="1">
        <f t="shared" si="116"/>
        <v>0</v>
      </c>
      <c r="AD206" s="1">
        <f t="shared" si="117"/>
        <v>1</v>
      </c>
      <c r="AE206" s="1">
        <f t="shared" si="118"/>
        <v>0</v>
      </c>
      <c r="AF206" s="1">
        <f t="shared" si="119"/>
        <v>1</v>
      </c>
      <c r="AG206" s="1">
        <f t="shared" si="120"/>
        <v>0</v>
      </c>
      <c r="AH206" s="1">
        <f t="shared" si="121"/>
        <v>1</v>
      </c>
      <c r="AI206" s="1">
        <f t="shared" si="122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105</v>
      </c>
      <c r="E207" s="32" t="s">
        <v>172</v>
      </c>
      <c r="F207" s="32" t="s">
        <v>302</v>
      </c>
      <c r="G207" s="32" t="s">
        <v>39</v>
      </c>
      <c r="H207" s="32" t="s">
        <v>357</v>
      </c>
      <c r="I207" s="31" t="s">
        <v>450</v>
      </c>
      <c r="J207" s="31">
        <v>14</v>
      </c>
      <c r="K207" s="33" t="s">
        <v>943</v>
      </c>
      <c r="L207" s="33" t="s">
        <v>689</v>
      </c>
      <c r="M207" s="34" t="s">
        <v>957</v>
      </c>
      <c r="N207" s="34" t="s">
        <v>1714</v>
      </c>
      <c r="O207" s="35">
        <v>1</v>
      </c>
      <c r="P207" s="35"/>
      <c r="Q207" s="32"/>
      <c r="S207" s="1">
        <f t="shared" si="107"/>
        <v>0</v>
      </c>
      <c r="T207" s="1">
        <f t="shared" si="108"/>
        <v>0</v>
      </c>
      <c r="U207" s="1">
        <f t="shared" si="109"/>
        <v>0</v>
      </c>
      <c r="V207" s="1">
        <f t="shared" si="110"/>
        <v>0</v>
      </c>
      <c r="W207" s="1">
        <f t="shared" si="111"/>
        <v>0</v>
      </c>
      <c r="X207" s="1">
        <f t="shared" si="112"/>
        <v>0</v>
      </c>
      <c r="Y207" s="1">
        <f t="shared" si="113"/>
        <v>0</v>
      </c>
      <c r="Z207" s="1">
        <f t="shared" si="114"/>
        <v>0</v>
      </c>
      <c r="AA207" s="1">
        <f t="shared" si="115"/>
        <v>0</v>
      </c>
      <c r="AB207" s="1">
        <f t="shared" si="116"/>
        <v>0</v>
      </c>
      <c r="AD207" s="1">
        <f t="shared" si="117"/>
        <v>0</v>
      </c>
      <c r="AE207" s="1">
        <f t="shared" si="118"/>
        <v>1</v>
      </c>
      <c r="AF207" s="1">
        <f t="shared" si="119"/>
        <v>0</v>
      </c>
      <c r="AG207" s="1">
        <f t="shared" si="120"/>
        <v>1</v>
      </c>
      <c r="AH207" s="1">
        <f t="shared" si="121"/>
        <v>0</v>
      </c>
      <c r="AI207" s="1">
        <f t="shared" si="122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509</v>
      </c>
      <c r="E208" s="45" t="s">
        <v>171</v>
      </c>
      <c r="F208" s="45" t="s">
        <v>545</v>
      </c>
      <c r="G208" s="45" t="s">
        <v>39</v>
      </c>
      <c r="H208" s="45" t="s">
        <v>360</v>
      </c>
      <c r="I208" s="44" t="s">
        <v>1101</v>
      </c>
      <c r="J208" s="44">
        <v>12</v>
      </c>
      <c r="K208" s="46" t="s">
        <v>699</v>
      </c>
      <c r="L208" s="46">
        <v>35</v>
      </c>
      <c r="M208" s="47" t="s">
        <v>957</v>
      </c>
      <c r="N208" s="47" t="s">
        <v>1772</v>
      </c>
      <c r="O208" s="48"/>
      <c r="P208" s="48"/>
      <c r="Q208" s="45"/>
      <c r="S208" s="1">
        <f t="shared" si="79"/>
        <v>0</v>
      </c>
      <c r="T208" s="1">
        <f t="shared" si="80"/>
        <v>0</v>
      </c>
      <c r="U208" s="1">
        <f t="shared" si="81"/>
        <v>0</v>
      </c>
      <c r="V208" s="1">
        <f t="shared" si="82"/>
        <v>0</v>
      </c>
      <c r="W208" s="1">
        <f t="shared" si="83"/>
        <v>0</v>
      </c>
      <c r="X208" s="1">
        <f t="shared" si="84"/>
        <v>0</v>
      </c>
      <c r="Y208" s="1">
        <f t="shared" si="85"/>
        <v>0</v>
      </c>
      <c r="Z208" s="1">
        <f t="shared" si="86"/>
        <v>0</v>
      </c>
      <c r="AA208" s="1">
        <f t="shared" si="87"/>
        <v>0</v>
      </c>
      <c r="AB208" s="1">
        <f t="shared" si="88"/>
        <v>0</v>
      </c>
      <c r="AD208" s="1">
        <f t="shared" si="89"/>
        <v>0</v>
      </c>
      <c r="AE208" s="1">
        <f t="shared" si="90"/>
        <v>0</v>
      </c>
      <c r="AF208" s="1">
        <f t="shared" si="75"/>
        <v>0</v>
      </c>
      <c r="AG208" s="1">
        <f t="shared" si="76"/>
        <v>0</v>
      </c>
      <c r="AH208" s="1">
        <f t="shared" si="77"/>
        <v>0</v>
      </c>
      <c r="AI208" s="1">
        <f t="shared" si="78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150</v>
      </c>
      <c r="E209" s="32" t="s">
        <v>165</v>
      </c>
      <c r="F209" s="36" t="s">
        <v>1840</v>
      </c>
      <c r="G209" s="32" t="s">
        <v>196</v>
      </c>
      <c r="H209" s="32" t="s">
        <v>352</v>
      </c>
      <c r="I209" s="31" t="s">
        <v>495</v>
      </c>
      <c r="J209" s="31">
        <v>99</v>
      </c>
      <c r="K209" s="33" t="s">
        <v>943</v>
      </c>
      <c r="L209" s="33" t="s">
        <v>689</v>
      </c>
      <c r="M209" s="34" t="s">
        <v>957</v>
      </c>
      <c r="N209" s="34" t="s">
        <v>1718</v>
      </c>
      <c r="O209" s="35">
        <v>1</v>
      </c>
      <c r="P209" s="35"/>
      <c r="Q209" s="32"/>
      <c r="S209" s="1">
        <f t="shared" si="79"/>
        <v>0</v>
      </c>
      <c r="T209" s="1">
        <f t="shared" si="80"/>
        <v>0</v>
      </c>
      <c r="U209" s="1">
        <f t="shared" si="81"/>
        <v>0</v>
      </c>
      <c r="V209" s="1">
        <f t="shared" si="82"/>
        <v>0</v>
      </c>
      <c r="W209" s="1">
        <f t="shared" si="83"/>
        <v>0</v>
      </c>
      <c r="X209" s="1">
        <f t="shared" si="84"/>
        <v>0</v>
      </c>
      <c r="Y209" s="1">
        <f t="shared" si="85"/>
        <v>0</v>
      </c>
      <c r="Z209" s="1">
        <f t="shared" si="86"/>
        <v>0</v>
      </c>
      <c r="AA209" s="1">
        <f t="shared" si="87"/>
        <v>0</v>
      </c>
      <c r="AB209" s="1">
        <f t="shared" si="88"/>
        <v>0</v>
      </c>
      <c r="AD209" s="1">
        <f t="shared" si="89"/>
        <v>0</v>
      </c>
      <c r="AE209" s="1">
        <f t="shared" si="90"/>
        <v>1</v>
      </c>
      <c r="AF209" s="1">
        <f t="shared" si="75"/>
        <v>0</v>
      </c>
      <c r="AG209" s="1">
        <f t="shared" si="76"/>
        <v>1</v>
      </c>
      <c r="AH209" s="1">
        <f t="shared" si="77"/>
        <v>0</v>
      </c>
      <c r="AI209" s="1">
        <f t="shared" si="78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645</v>
      </c>
      <c r="E210" s="32" t="s">
        <v>680</v>
      </c>
      <c r="F210" s="32" t="s">
        <v>641</v>
      </c>
      <c r="G210" s="32" t="s">
        <v>184</v>
      </c>
      <c r="H210" s="32" t="s">
        <v>352</v>
      </c>
      <c r="I210" s="31" t="s">
        <v>642</v>
      </c>
      <c r="J210" s="31">
        <v>99</v>
      </c>
      <c r="K210" s="33" t="s">
        <v>718</v>
      </c>
      <c r="L210" s="33" t="s">
        <v>689</v>
      </c>
      <c r="M210" s="34" t="s">
        <v>957</v>
      </c>
      <c r="N210" s="34" t="s">
        <v>1719</v>
      </c>
      <c r="O210" s="35">
        <v>1</v>
      </c>
      <c r="P210" s="35"/>
      <c r="Q210" s="32"/>
      <c r="S210" s="1">
        <f t="shared" si="79"/>
        <v>0</v>
      </c>
      <c r="T210" s="1">
        <f t="shared" si="80"/>
        <v>0</v>
      </c>
      <c r="U210" s="1">
        <f t="shared" si="81"/>
        <v>0</v>
      </c>
      <c r="V210" s="1">
        <f t="shared" si="82"/>
        <v>0</v>
      </c>
      <c r="W210" s="1">
        <f t="shared" si="83"/>
        <v>0</v>
      </c>
      <c r="X210" s="1">
        <f t="shared" si="84"/>
        <v>0</v>
      </c>
      <c r="Y210" s="1">
        <f t="shared" si="85"/>
        <v>0</v>
      </c>
      <c r="Z210" s="1">
        <f t="shared" si="86"/>
        <v>0</v>
      </c>
      <c r="AA210" s="1">
        <f t="shared" si="87"/>
        <v>0</v>
      </c>
      <c r="AB210" s="1">
        <f t="shared" si="88"/>
        <v>0</v>
      </c>
      <c r="AD210" s="1">
        <f t="shared" si="89"/>
        <v>0</v>
      </c>
      <c r="AE210" s="1">
        <f t="shared" si="90"/>
        <v>1</v>
      </c>
      <c r="AF210" s="1">
        <f t="shared" si="75"/>
        <v>0</v>
      </c>
      <c r="AG210" s="1">
        <f t="shared" si="76"/>
        <v>1</v>
      </c>
      <c r="AH210" s="1">
        <f t="shared" si="77"/>
        <v>0</v>
      </c>
      <c r="AI210" s="1">
        <f t="shared" si="78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1290</v>
      </c>
      <c r="E211" s="32" t="s">
        <v>165</v>
      </c>
      <c r="F211" s="32" t="s">
        <v>1291</v>
      </c>
      <c r="G211" s="32" t="s">
        <v>281</v>
      </c>
      <c r="H211" s="32" t="s">
        <v>352</v>
      </c>
      <c r="I211" s="31" t="s">
        <v>1292</v>
      </c>
      <c r="J211" s="31">
        <v>99</v>
      </c>
      <c r="K211" s="33" t="s">
        <v>698</v>
      </c>
      <c r="L211" s="33" t="s">
        <v>39</v>
      </c>
      <c r="M211" s="34" t="s">
        <v>39</v>
      </c>
      <c r="N211" s="34" t="s">
        <v>1706</v>
      </c>
      <c r="O211" s="35">
        <v>1</v>
      </c>
      <c r="P211" s="35">
        <v>1</v>
      </c>
      <c r="Q211" s="32"/>
      <c r="S211" s="1">
        <f t="shared" si="79"/>
        <v>0</v>
      </c>
      <c r="T211" s="1">
        <f t="shared" si="80"/>
        <v>0</v>
      </c>
      <c r="U211" s="1">
        <f t="shared" si="81"/>
        <v>0</v>
      </c>
      <c r="V211" s="1">
        <f t="shared" si="82"/>
        <v>0</v>
      </c>
      <c r="W211" s="1">
        <f t="shared" si="83"/>
        <v>0</v>
      </c>
      <c r="X211" s="1">
        <f t="shared" si="84"/>
        <v>0</v>
      </c>
      <c r="Y211" s="1">
        <f t="shared" si="85"/>
        <v>0</v>
      </c>
      <c r="Z211" s="1">
        <f t="shared" si="86"/>
        <v>0</v>
      </c>
      <c r="AA211" s="1">
        <f t="shared" si="87"/>
        <v>0</v>
      </c>
      <c r="AB211" s="1">
        <f t="shared" si="88"/>
        <v>0</v>
      </c>
      <c r="AD211" s="1">
        <f t="shared" si="89"/>
        <v>1</v>
      </c>
      <c r="AE211" s="1">
        <f t="shared" si="90"/>
        <v>0</v>
      </c>
      <c r="AF211" s="1">
        <f t="shared" si="75"/>
        <v>1</v>
      </c>
      <c r="AG211" s="1">
        <f t="shared" si="76"/>
        <v>0</v>
      </c>
      <c r="AH211" s="1">
        <f t="shared" si="77"/>
        <v>1</v>
      </c>
      <c r="AI211" s="1">
        <f t="shared" si="78"/>
        <v>0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881</v>
      </c>
      <c r="E212" s="32" t="s">
        <v>882</v>
      </c>
      <c r="F212" s="32" t="s">
        <v>923</v>
      </c>
      <c r="G212" s="32" t="s">
        <v>39</v>
      </c>
      <c r="H212" s="32" t="s">
        <v>883</v>
      </c>
      <c r="I212" s="31" t="s">
        <v>884</v>
      </c>
      <c r="J212" s="31">
        <v>17</v>
      </c>
      <c r="K212" s="33" t="s">
        <v>699</v>
      </c>
      <c r="L212" s="33" t="s">
        <v>693</v>
      </c>
      <c r="M212" s="34" t="s">
        <v>957</v>
      </c>
      <c r="N212" s="34" t="s">
        <v>1725</v>
      </c>
      <c r="O212" s="35">
        <v>1</v>
      </c>
      <c r="P212" s="35"/>
      <c r="Q212" s="32"/>
      <c r="S212" s="1">
        <f t="shared" si="79"/>
        <v>0</v>
      </c>
      <c r="T212" s="1">
        <f t="shared" si="80"/>
        <v>0</v>
      </c>
      <c r="U212" s="1">
        <f t="shared" si="81"/>
        <v>0</v>
      </c>
      <c r="V212" s="1">
        <f t="shared" si="82"/>
        <v>0</v>
      </c>
      <c r="W212" s="1">
        <f t="shared" si="83"/>
        <v>0</v>
      </c>
      <c r="X212" s="1">
        <f t="shared" si="84"/>
        <v>0</v>
      </c>
      <c r="Y212" s="1">
        <f t="shared" si="85"/>
        <v>0</v>
      </c>
      <c r="Z212" s="1">
        <f t="shared" si="86"/>
        <v>0</v>
      </c>
      <c r="AA212" s="1">
        <f t="shared" si="87"/>
        <v>0</v>
      </c>
      <c r="AB212" s="1">
        <f t="shared" si="88"/>
        <v>0</v>
      </c>
      <c r="AD212" s="1">
        <f t="shared" si="89"/>
        <v>0</v>
      </c>
      <c r="AE212" s="1">
        <f t="shared" si="90"/>
        <v>1</v>
      </c>
      <c r="AF212" s="1">
        <f t="shared" ref="AF212:AF275" si="123">+O212*P212*(1-A212)</f>
        <v>0</v>
      </c>
      <c r="AG212" s="1">
        <f t="shared" ref="AG212:AG275" si="124">O212*(1-P212)*(1-A212)</f>
        <v>1</v>
      </c>
      <c r="AH212" s="1">
        <f t="shared" ref="AH212:AH275" si="125">+P212*(1-A212)</f>
        <v>0</v>
      </c>
      <c r="AI212" s="1">
        <f t="shared" ref="AI212:AI275" si="126">+(1-A212)*(1-P212)</f>
        <v>1</v>
      </c>
    </row>
    <row r="213" spans="1:35" ht="14.25" customHeight="1" x14ac:dyDescent="0.25">
      <c r="A213" s="15">
        <v>0</v>
      </c>
      <c r="B213" s="15">
        <v>1</v>
      </c>
      <c r="C213" s="15">
        <v>5</v>
      </c>
      <c r="D213" s="16" t="s">
        <v>1911</v>
      </c>
      <c r="E213" s="16" t="s">
        <v>882</v>
      </c>
      <c r="F213" s="16" t="s">
        <v>1913</v>
      </c>
      <c r="G213" s="16"/>
      <c r="H213" s="16" t="s">
        <v>1912</v>
      </c>
      <c r="I213" s="15" t="s">
        <v>1914</v>
      </c>
      <c r="J213" s="15">
        <v>16</v>
      </c>
      <c r="K213" s="10" t="s">
        <v>699</v>
      </c>
      <c r="L213" s="10" t="s">
        <v>693</v>
      </c>
      <c r="M213" s="19" t="s">
        <v>957</v>
      </c>
      <c r="N213" s="17"/>
      <c r="Q213" s="20" t="s">
        <v>1915</v>
      </c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0</v>
      </c>
      <c r="AF213" s="1">
        <f t="shared" si="123"/>
        <v>0</v>
      </c>
      <c r="AG213" s="1">
        <f t="shared" si="124"/>
        <v>0</v>
      </c>
      <c r="AH213" s="1">
        <f t="shared" si="125"/>
        <v>0</v>
      </c>
      <c r="AI213" s="1">
        <f t="shared" si="126"/>
        <v>1</v>
      </c>
    </row>
    <row r="214" spans="1:35" s="1" customFormat="1" ht="14.25" customHeight="1" x14ac:dyDescent="0.25">
      <c r="A214" s="44">
        <v>0</v>
      </c>
      <c r="B214" s="44">
        <v>1</v>
      </c>
      <c r="C214" s="44">
        <v>5</v>
      </c>
      <c r="D214" s="45" t="s">
        <v>130</v>
      </c>
      <c r="E214" s="45" t="s">
        <v>165</v>
      </c>
      <c r="F214" s="45" t="s">
        <v>330</v>
      </c>
      <c r="G214" s="45" t="s">
        <v>331</v>
      </c>
      <c r="H214" s="45" t="s">
        <v>352</v>
      </c>
      <c r="I214" s="44" t="s">
        <v>477</v>
      </c>
      <c r="J214" s="44">
        <v>99</v>
      </c>
      <c r="K214" s="46" t="s">
        <v>718</v>
      </c>
      <c r="L214" s="46" t="s">
        <v>690</v>
      </c>
      <c r="M214" s="47" t="s">
        <v>957</v>
      </c>
      <c r="N214" s="47" t="s">
        <v>1707</v>
      </c>
      <c r="O214" s="48"/>
      <c r="P214" s="48"/>
      <c r="Q214" s="45"/>
      <c r="S214" s="1">
        <f t="shared" si="79"/>
        <v>0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0</v>
      </c>
      <c r="AE214" s="1">
        <f t="shared" si="90"/>
        <v>0</v>
      </c>
      <c r="AF214" s="1">
        <f t="shared" si="123"/>
        <v>0</v>
      </c>
      <c r="AG214" s="1">
        <f t="shared" si="124"/>
        <v>0</v>
      </c>
      <c r="AH214" s="1">
        <f t="shared" si="125"/>
        <v>0</v>
      </c>
      <c r="AI214" s="1">
        <f t="shared" si="12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108</v>
      </c>
      <c r="E215" s="32" t="s">
        <v>165</v>
      </c>
      <c r="F215" s="32" t="s">
        <v>305</v>
      </c>
      <c r="G215" s="32" t="s">
        <v>230</v>
      </c>
      <c r="H215" s="32" t="s">
        <v>352</v>
      </c>
      <c r="I215" s="31" t="s">
        <v>453</v>
      </c>
      <c r="J215" s="31">
        <v>99</v>
      </c>
      <c r="K215" s="33" t="s">
        <v>718</v>
      </c>
      <c r="L215" s="33" t="s">
        <v>692</v>
      </c>
      <c r="M215" s="34" t="s">
        <v>687</v>
      </c>
      <c r="N215" s="34" t="s">
        <v>1714</v>
      </c>
      <c r="O215" s="35">
        <v>1</v>
      </c>
      <c r="P215" s="35"/>
      <c r="Q215" s="32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1</v>
      </c>
      <c r="AF215" s="1">
        <f t="shared" si="123"/>
        <v>0</v>
      </c>
      <c r="AG215" s="1">
        <f t="shared" si="124"/>
        <v>1</v>
      </c>
      <c r="AH215" s="1">
        <f t="shared" si="125"/>
        <v>0</v>
      </c>
      <c r="AI215" s="1">
        <f t="shared" si="12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110</v>
      </c>
      <c r="E216" s="32" t="s">
        <v>171</v>
      </c>
      <c r="F216" s="32" t="s">
        <v>308</v>
      </c>
      <c r="G216" s="32" t="s">
        <v>39</v>
      </c>
      <c r="H216" s="32" t="s">
        <v>362</v>
      </c>
      <c r="I216" s="31" t="s">
        <v>456</v>
      </c>
      <c r="J216" s="31">
        <v>17</v>
      </c>
      <c r="K216" s="33" t="s">
        <v>699</v>
      </c>
      <c r="L216" s="33" t="s">
        <v>693</v>
      </c>
      <c r="M216" s="34" t="s">
        <v>687</v>
      </c>
      <c r="N216" s="34" t="s">
        <v>1706</v>
      </c>
      <c r="O216" s="35">
        <v>1</v>
      </c>
      <c r="P216" s="35">
        <v>1</v>
      </c>
      <c r="Q216" s="32" t="s">
        <v>1885</v>
      </c>
      <c r="S216" s="1">
        <f t="shared" ref="S216:S279" si="127">IF(J216=$S$7,1,0)</f>
        <v>0</v>
      </c>
      <c r="T216" s="1">
        <f t="shared" ref="T216:T279" si="128">IF(J216=$T$7,1,0)</f>
        <v>0</v>
      </c>
      <c r="U216" s="1">
        <f t="shared" ref="U216:U279" si="129">IF(J216=$U$7,1,0)</f>
        <v>0</v>
      </c>
      <c r="V216" s="1">
        <f t="shared" ref="V216:V279" si="130">IF(J216=$V$7,1,0)</f>
        <v>0</v>
      </c>
      <c r="W216" s="1">
        <f t="shared" ref="W216:W279" si="131">IF(J216=$W$7,1,0)</f>
        <v>0</v>
      </c>
      <c r="X216" s="1">
        <f t="shared" ref="X216:X279" si="132">IF(J216=$X$7,1,0)</f>
        <v>0</v>
      </c>
      <c r="Y216" s="1">
        <f t="shared" ref="Y216:Y279" si="133">IF(J216=$Y$7,1,0)</f>
        <v>0</v>
      </c>
      <c r="Z216" s="1">
        <f t="shared" ref="Z216:Z279" si="134">IF(J216=$Z$7,1,0)</f>
        <v>0</v>
      </c>
      <c r="AA216" s="1">
        <f t="shared" ref="AA216:AA279" si="135">IF(J216=$AA$7,1,0)</f>
        <v>0</v>
      </c>
      <c r="AB216" s="1">
        <f t="shared" ref="AB216:AB279" si="136">IF(J216=$AB$7,1,0)</f>
        <v>0</v>
      </c>
      <c r="AD216" s="1">
        <f t="shared" ref="AD216:AD279" si="137">+O216*P216</f>
        <v>1</v>
      </c>
      <c r="AE216" s="1">
        <f t="shared" ref="AE216:AE279" si="138">O216*(1-P216)</f>
        <v>0</v>
      </c>
      <c r="AF216" s="1">
        <f t="shared" si="123"/>
        <v>1</v>
      </c>
      <c r="AG216" s="1">
        <f t="shared" si="124"/>
        <v>0</v>
      </c>
      <c r="AH216" s="1">
        <f t="shared" si="125"/>
        <v>1</v>
      </c>
      <c r="AI216" s="1">
        <f t="shared" si="126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521</v>
      </c>
      <c r="E217" s="32" t="s">
        <v>522</v>
      </c>
      <c r="F217" s="32" t="s">
        <v>523</v>
      </c>
      <c r="G217" s="32" t="s">
        <v>201</v>
      </c>
      <c r="H217" s="32" t="s">
        <v>352</v>
      </c>
      <c r="I217" s="31" t="s">
        <v>524</v>
      </c>
      <c r="J217" s="31">
        <v>10</v>
      </c>
      <c r="K217" s="33" t="s">
        <v>698</v>
      </c>
      <c r="L217" s="33" t="s">
        <v>689</v>
      </c>
      <c r="M217" s="34" t="s">
        <v>957</v>
      </c>
      <c r="N217" s="34" t="s">
        <v>1706</v>
      </c>
      <c r="O217" s="35">
        <v>1</v>
      </c>
      <c r="P217" s="35">
        <v>1</v>
      </c>
      <c r="Q217" s="32"/>
      <c r="S217" s="1">
        <f t="shared" si="127"/>
        <v>0</v>
      </c>
      <c r="T217" s="1">
        <f t="shared" si="128"/>
        <v>0</v>
      </c>
      <c r="U217" s="1">
        <f t="shared" si="129"/>
        <v>0</v>
      </c>
      <c r="V217" s="1">
        <f t="shared" si="130"/>
        <v>0</v>
      </c>
      <c r="W217" s="1">
        <f t="shared" si="131"/>
        <v>0</v>
      </c>
      <c r="X217" s="1">
        <f t="shared" si="132"/>
        <v>0</v>
      </c>
      <c r="Y217" s="1">
        <f t="shared" si="133"/>
        <v>0</v>
      </c>
      <c r="Z217" s="1">
        <f t="shared" si="134"/>
        <v>0</v>
      </c>
      <c r="AA217" s="1">
        <f t="shared" si="135"/>
        <v>0</v>
      </c>
      <c r="AB217" s="1">
        <f t="shared" si="136"/>
        <v>1</v>
      </c>
      <c r="AD217" s="1">
        <f t="shared" si="137"/>
        <v>1</v>
      </c>
      <c r="AE217" s="1">
        <f t="shared" si="138"/>
        <v>0</v>
      </c>
      <c r="AF217" s="1">
        <f t="shared" si="123"/>
        <v>1</v>
      </c>
      <c r="AG217" s="1">
        <f t="shared" si="124"/>
        <v>0</v>
      </c>
      <c r="AH217" s="1">
        <f t="shared" si="125"/>
        <v>1</v>
      </c>
      <c r="AI217" s="1">
        <f t="shared" si="12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1474</v>
      </c>
      <c r="E218" s="32" t="s">
        <v>165</v>
      </c>
      <c r="F218" s="32" t="s">
        <v>1475</v>
      </c>
      <c r="G218" s="32" t="s">
        <v>179</v>
      </c>
      <c r="H218" s="32" t="s">
        <v>352</v>
      </c>
      <c r="I218" s="31" t="s">
        <v>1476</v>
      </c>
      <c r="J218" s="31">
        <v>10</v>
      </c>
      <c r="K218" s="33" t="s">
        <v>943</v>
      </c>
      <c r="L218" s="33" t="s">
        <v>689</v>
      </c>
      <c r="M218" s="34" t="s">
        <v>957</v>
      </c>
      <c r="N218" s="34" t="s">
        <v>1700</v>
      </c>
      <c r="O218" s="35">
        <v>1</v>
      </c>
      <c r="P218" s="35">
        <v>1</v>
      </c>
      <c r="Q218" s="32"/>
      <c r="S218" s="1">
        <f t="shared" si="127"/>
        <v>0</v>
      </c>
      <c r="T218" s="1">
        <f t="shared" si="128"/>
        <v>0</v>
      </c>
      <c r="U218" s="1">
        <f t="shared" si="129"/>
        <v>0</v>
      </c>
      <c r="V218" s="1">
        <f t="shared" si="130"/>
        <v>0</v>
      </c>
      <c r="W218" s="1">
        <f t="shared" si="131"/>
        <v>0</v>
      </c>
      <c r="X218" s="1">
        <f t="shared" si="132"/>
        <v>0</v>
      </c>
      <c r="Y218" s="1">
        <f t="shared" si="133"/>
        <v>0</v>
      </c>
      <c r="Z218" s="1">
        <f t="shared" si="134"/>
        <v>0</v>
      </c>
      <c r="AA218" s="1">
        <f t="shared" si="135"/>
        <v>0</v>
      </c>
      <c r="AB218" s="1">
        <f t="shared" si="136"/>
        <v>1</v>
      </c>
      <c r="AD218" s="1">
        <f t="shared" si="137"/>
        <v>1</v>
      </c>
      <c r="AE218" s="1">
        <f t="shared" si="138"/>
        <v>0</v>
      </c>
      <c r="AF218" s="1">
        <f t="shared" si="123"/>
        <v>1</v>
      </c>
      <c r="AG218" s="1">
        <f t="shared" si="124"/>
        <v>0</v>
      </c>
      <c r="AH218" s="1">
        <f t="shared" si="125"/>
        <v>1</v>
      </c>
      <c r="AI218" s="1">
        <f t="shared" si="12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1727</v>
      </c>
      <c r="E219" s="32" t="s">
        <v>165</v>
      </c>
      <c r="F219" s="32" t="s">
        <v>1728</v>
      </c>
      <c r="G219" s="32" t="s">
        <v>1729</v>
      </c>
      <c r="H219" s="32" t="s">
        <v>352</v>
      </c>
      <c r="I219" s="31" t="s">
        <v>1730</v>
      </c>
      <c r="J219" s="31">
        <v>1</v>
      </c>
      <c r="K219" s="33" t="s">
        <v>699</v>
      </c>
      <c r="L219" s="33"/>
      <c r="M219" s="34"/>
      <c r="N219" s="34" t="s">
        <v>1718</v>
      </c>
      <c r="O219" s="35">
        <v>1</v>
      </c>
      <c r="P219" s="35"/>
      <c r="Q219" s="32"/>
      <c r="S219" s="1">
        <f t="shared" si="127"/>
        <v>1</v>
      </c>
      <c r="T219" s="1">
        <f t="shared" si="128"/>
        <v>0</v>
      </c>
      <c r="U219" s="1">
        <f t="shared" si="129"/>
        <v>0</v>
      </c>
      <c r="V219" s="1">
        <f t="shared" si="130"/>
        <v>0</v>
      </c>
      <c r="W219" s="1">
        <f t="shared" si="131"/>
        <v>0</v>
      </c>
      <c r="X219" s="1">
        <f t="shared" si="132"/>
        <v>0</v>
      </c>
      <c r="Y219" s="1">
        <f t="shared" si="133"/>
        <v>0</v>
      </c>
      <c r="Z219" s="1">
        <f t="shared" si="134"/>
        <v>0</v>
      </c>
      <c r="AA219" s="1">
        <f t="shared" si="135"/>
        <v>0</v>
      </c>
      <c r="AB219" s="1">
        <f t="shared" si="136"/>
        <v>0</v>
      </c>
      <c r="AD219" s="1">
        <f t="shared" si="137"/>
        <v>0</v>
      </c>
      <c r="AE219" s="1">
        <f t="shared" si="138"/>
        <v>1</v>
      </c>
      <c r="AF219" s="1">
        <f t="shared" si="123"/>
        <v>0</v>
      </c>
      <c r="AG219" s="1">
        <f t="shared" si="124"/>
        <v>1</v>
      </c>
      <c r="AH219" s="1">
        <f t="shared" si="125"/>
        <v>0</v>
      </c>
      <c r="AI219" s="1">
        <f t="shared" si="126"/>
        <v>1</v>
      </c>
    </row>
    <row r="220" spans="1:35" ht="14.25" customHeight="1" x14ac:dyDescent="0.25">
      <c r="A220" s="44">
        <v>0</v>
      </c>
      <c r="B220" s="44">
        <v>1</v>
      </c>
      <c r="C220" s="44">
        <v>5</v>
      </c>
      <c r="D220" s="45" t="s">
        <v>1013</v>
      </c>
      <c r="E220" s="45" t="s">
        <v>1074</v>
      </c>
      <c r="F220" s="45" t="s">
        <v>1014</v>
      </c>
      <c r="G220" s="45" t="s">
        <v>193</v>
      </c>
      <c r="H220" s="45" t="s">
        <v>352</v>
      </c>
      <c r="I220" s="44" t="s">
        <v>1015</v>
      </c>
      <c r="J220" s="44">
        <v>9</v>
      </c>
      <c r="K220" s="46" t="s">
        <v>718</v>
      </c>
      <c r="L220" s="46" t="s">
        <v>1677</v>
      </c>
      <c r="M220" s="47" t="s">
        <v>1578</v>
      </c>
      <c r="N220" s="47" t="s">
        <v>1708</v>
      </c>
      <c r="O220" s="48"/>
      <c r="P220" s="48"/>
      <c r="Q220" s="45"/>
      <c r="S220" s="1">
        <f t="shared" si="127"/>
        <v>0</v>
      </c>
      <c r="T220" s="1">
        <f t="shared" si="128"/>
        <v>0</v>
      </c>
      <c r="U220" s="1">
        <f t="shared" si="129"/>
        <v>0</v>
      </c>
      <c r="V220" s="1">
        <f t="shared" si="130"/>
        <v>0</v>
      </c>
      <c r="W220" s="1">
        <f t="shared" si="131"/>
        <v>0</v>
      </c>
      <c r="X220" s="1">
        <f t="shared" si="132"/>
        <v>0</v>
      </c>
      <c r="Y220" s="1">
        <f t="shared" si="133"/>
        <v>0</v>
      </c>
      <c r="Z220" s="1">
        <f t="shared" si="134"/>
        <v>0</v>
      </c>
      <c r="AA220" s="1">
        <f t="shared" si="135"/>
        <v>1</v>
      </c>
      <c r="AB220" s="1">
        <f t="shared" si="136"/>
        <v>0</v>
      </c>
      <c r="AD220" s="1">
        <f t="shared" si="137"/>
        <v>0</v>
      </c>
      <c r="AE220" s="1">
        <f t="shared" si="138"/>
        <v>0</v>
      </c>
      <c r="AF220" s="1">
        <f t="shared" si="123"/>
        <v>0</v>
      </c>
      <c r="AG220" s="1">
        <f t="shared" si="124"/>
        <v>0</v>
      </c>
      <c r="AH220" s="1">
        <f t="shared" si="125"/>
        <v>0</v>
      </c>
      <c r="AI220" s="1">
        <f t="shared" si="126"/>
        <v>1</v>
      </c>
    </row>
    <row r="221" spans="1:35" ht="14.25" customHeight="1" x14ac:dyDescent="0.25">
      <c r="A221" s="44">
        <v>0</v>
      </c>
      <c r="B221" s="44">
        <v>1</v>
      </c>
      <c r="C221" s="44">
        <v>5</v>
      </c>
      <c r="D221" s="45" t="s">
        <v>1588</v>
      </c>
      <c r="E221" s="45" t="s">
        <v>165</v>
      </c>
      <c r="F221" s="45" t="s">
        <v>1589</v>
      </c>
      <c r="G221" s="45" t="s">
        <v>212</v>
      </c>
      <c r="H221" s="45" t="s">
        <v>352</v>
      </c>
      <c r="I221" s="44" t="s">
        <v>1590</v>
      </c>
      <c r="J221" s="44">
        <v>1</v>
      </c>
      <c r="K221" s="46" t="s">
        <v>718</v>
      </c>
      <c r="L221" s="46" t="s">
        <v>690</v>
      </c>
      <c r="M221" s="47" t="s">
        <v>957</v>
      </c>
      <c r="N221" s="47" t="s">
        <v>1709</v>
      </c>
      <c r="O221" s="48"/>
      <c r="P221" s="48"/>
      <c r="Q221" s="45"/>
      <c r="S221" s="1">
        <f t="shared" si="127"/>
        <v>1</v>
      </c>
      <c r="T221" s="1">
        <f t="shared" si="128"/>
        <v>0</v>
      </c>
      <c r="U221" s="1">
        <f t="shared" si="129"/>
        <v>0</v>
      </c>
      <c r="V221" s="1">
        <f t="shared" si="130"/>
        <v>0</v>
      </c>
      <c r="W221" s="1">
        <f t="shared" si="131"/>
        <v>0</v>
      </c>
      <c r="X221" s="1">
        <f t="shared" si="132"/>
        <v>0</v>
      </c>
      <c r="Y221" s="1">
        <f t="shared" si="133"/>
        <v>0</v>
      </c>
      <c r="Z221" s="1">
        <f t="shared" si="134"/>
        <v>0</v>
      </c>
      <c r="AA221" s="1">
        <f t="shared" si="135"/>
        <v>0</v>
      </c>
      <c r="AB221" s="1">
        <f t="shared" si="136"/>
        <v>0</v>
      </c>
      <c r="AD221" s="1">
        <f t="shared" si="137"/>
        <v>0</v>
      </c>
      <c r="AE221" s="1">
        <f t="shared" si="138"/>
        <v>0</v>
      </c>
      <c r="AF221" s="1">
        <f t="shared" si="123"/>
        <v>0</v>
      </c>
      <c r="AG221" s="1">
        <f t="shared" si="124"/>
        <v>0</v>
      </c>
      <c r="AH221" s="1">
        <f t="shared" si="125"/>
        <v>0</v>
      </c>
      <c r="AI221" s="1">
        <f t="shared" si="12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146</v>
      </c>
      <c r="E222" s="32" t="s">
        <v>541</v>
      </c>
      <c r="F222" s="32" t="s">
        <v>1573</v>
      </c>
      <c r="G222" s="32" t="s">
        <v>1647</v>
      </c>
      <c r="H222" s="32" t="s">
        <v>352</v>
      </c>
      <c r="I222" s="31" t="s">
        <v>491</v>
      </c>
      <c r="J222" s="31">
        <v>99</v>
      </c>
      <c r="K222" s="33" t="s">
        <v>698</v>
      </c>
      <c r="L222" s="33" t="s">
        <v>685</v>
      </c>
      <c r="M222" s="34" t="s">
        <v>957</v>
      </c>
      <c r="N222" s="34" t="s">
        <v>1795</v>
      </c>
      <c r="O222" s="35">
        <v>1</v>
      </c>
      <c r="P222" s="35"/>
      <c r="Q222" s="32"/>
      <c r="S222" s="1">
        <f t="shared" si="127"/>
        <v>0</v>
      </c>
      <c r="T222" s="1">
        <f t="shared" si="128"/>
        <v>0</v>
      </c>
      <c r="U222" s="1">
        <f t="shared" si="129"/>
        <v>0</v>
      </c>
      <c r="V222" s="1">
        <f t="shared" si="130"/>
        <v>0</v>
      </c>
      <c r="W222" s="1">
        <f t="shared" si="131"/>
        <v>0</v>
      </c>
      <c r="X222" s="1">
        <f t="shared" si="132"/>
        <v>0</v>
      </c>
      <c r="Y222" s="1">
        <f t="shared" si="133"/>
        <v>0</v>
      </c>
      <c r="Z222" s="1">
        <f t="shared" si="134"/>
        <v>0</v>
      </c>
      <c r="AA222" s="1">
        <f t="shared" si="135"/>
        <v>0</v>
      </c>
      <c r="AB222" s="1">
        <f t="shared" si="136"/>
        <v>0</v>
      </c>
      <c r="AD222" s="1">
        <f t="shared" si="137"/>
        <v>0</v>
      </c>
      <c r="AE222" s="1">
        <f t="shared" si="138"/>
        <v>1</v>
      </c>
      <c r="AF222" s="1">
        <f t="shared" si="123"/>
        <v>0</v>
      </c>
      <c r="AG222" s="1">
        <f t="shared" si="124"/>
        <v>1</v>
      </c>
      <c r="AH222" s="1">
        <f t="shared" si="125"/>
        <v>0</v>
      </c>
      <c r="AI222" s="1">
        <f t="shared" si="126"/>
        <v>1</v>
      </c>
    </row>
    <row r="223" spans="1:35" ht="14.25" customHeight="1" x14ac:dyDescent="0.25">
      <c r="A223" s="15">
        <v>0</v>
      </c>
      <c r="B223" s="15">
        <v>1</v>
      </c>
      <c r="C223" s="15">
        <v>5</v>
      </c>
      <c r="D223" s="16" t="s">
        <v>1193</v>
      </c>
      <c r="E223" s="16" t="s">
        <v>165</v>
      </c>
      <c r="F223" s="16" t="s">
        <v>1194</v>
      </c>
      <c r="G223" s="16" t="s">
        <v>1195</v>
      </c>
      <c r="H223" s="16" t="s">
        <v>352</v>
      </c>
      <c r="I223" s="15" t="s">
        <v>1196</v>
      </c>
      <c r="J223" s="15">
        <v>99</v>
      </c>
      <c r="K223" s="10" t="s">
        <v>699</v>
      </c>
      <c r="L223" s="10">
        <v>30</v>
      </c>
      <c r="M223" s="19" t="s">
        <v>957</v>
      </c>
      <c r="N223" s="19"/>
      <c r="Q223" s="16"/>
      <c r="S223" s="1">
        <f t="shared" si="127"/>
        <v>0</v>
      </c>
      <c r="T223" s="1">
        <f t="shared" si="128"/>
        <v>0</v>
      </c>
      <c r="U223" s="1">
        <f t="shared" si="129"/>
        <v>0</v>
      </c>
      <c r="V223" s="1">
        <f t="shared" si="130"/>
        <v>0</v>
      </c>
      <c r="W223" s="1">
        <f t="shared" si="131"/>
        <v>0</v>
      </c>
      <c r="X223" s="1">
        <f t="shared" si="132"/>
        <v>0</v>
      </c>
      <c r="Y223" s="1">
        <f t="shared" si="133"/>
        <v>0</v>
      </c>
      <c r="Z223" s="1">
        <f t="shared" si="134"/>
        <v>0</v>
      </c>
      <c r="AA223" s="1">
        <f t="shared" si="135"/>
        <v>0</v>
      </c>
      <c r="AB223" s="1">
        <f t="shared" si="136"/>
        <v>0</v>
      </c>
      <c r="AD223" s="1">
        <f t="shared" si="137"/>
        <v>0</v>
      </c>
      <c r="AE223" s="1">
        <f t="shared" si="138"/>
        <v>0</v>
      </c>
      <c r="AF223" s="1">
        <f t="shared" si="123"/>
        <v>0</v>
      </c>
      <c r="AG223" s="1">
        <f t="shared" si="124"/>
        <v>0</v>
      </c>
      <c r="AH223" s="1">
        <f t="shared" si="125"/>
        <v>0</v>
      </c>
      <c r="AI223" s="1">
        <f t="shared" si="126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1574</v>
      </c>
      <c r="E224" s="32" t="s">
        <v>171</v>
      </c>
      <c r="F224" s="32" t="s">
        <v>799</v>
      </c>
      <c r="G224" s="32" t="s">
        <v>39</v>
      </c>
      <c r="H224" s="32" t="s">
        <v>800</v>
      </c>
      <c r="I224" s="31" t="s">
        <v>801</v>
      </c>
      <c r="J224" s="31">
        <v>16</v>
      </c>
      <c r="K224" s="33" t="s">
        <v>944</v>
      </c>
      <c r="L224" s="33" t="s">
        <v>1713</v>
      </c>
      <c r="M224" s="34" t="s">
        <v>957</v>
      </c>
      <c r="N224" s="34" t="s">
        <v>1718</v>
      </c>
      <c r="O224" s="35">
        <v>1</v>
      </c>
      <c r="P224" s="35"/>
      <c r="Q224" s="32"/>
      <c r="S224" s="1">
        <f t="shared" si="127"/>
        <v>0</v>
      </c>
      <c r="T224" s="1">
        <f t="shared" si="128"/>
        <v>0</v>
      </c>
      <c r="U224" s="1">
        <f t="shared" si="129"/>
        <v>0</v>
      </c>
      <c r="V224" s="1">
        <f t="shared" si="130"/>
        <v>0</v>
      </c>
      <c r="W224" s="1">
        <f t="shared" si="131"/>
        <v>0</v>
      </c>
      <c r="X224" s="1">
        <f t="shared" si="132"/>
        <v>0</v>
      </c>
      <c r="Y224" s="1">
        <f t="shared" si="133"/>
        <v>0</v>
      </c>
      <c r="Z224" s="1">
        <f t="shared" si="134"/>
        <v>0</v>
      </c>
      <c r="AA224" s="1">
        <f t="shared" si="135"/>
        <v>0</v>
      </c>
      <c r="AB224" s="1">
        <f t="shared" si="136"/>
        <v>0</v>
      </c>
      <c r="AD224" s="1">
        <f t="shared" si="137"/>
        <v>0</v>
      </c>
      <c r="AE224" s="1">
        <f t="shared" si="138"/>
        <v>1</v>
      </c>
      <c r="AF224" s="1">
        <f t="shared" si="123"/>
        <v>0</v>
      </c>
      <c r="AG224" s="1">
        <f t="shared" si="124"/>
        <v>1</v>
      </c>
      <c r="AH224" s="1">
        <f t="shared" si="125"/>
        <v>0</v>
      </c>
      <c r="AI224" s="1">
        <f t="shared" si="126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5</v>
      </c>
      <c r="D225" s="32" t="s">
        <v>498</v>
      </c>
      <c r="E225" s="32" t="s">
        <v>165</v>
      </c>
      <c r="F225" s="32" t="s">
        <v>499</v>
      </c>
      <c r="G225" s="32" t="s">
        <v>500</v>
      </c>
      <c r="H225" s="32" t="s">
        <v>352</v>
      </c>
      <c r="I225" s="31" t="s">
        <v>501</v>
      </c>
      <c r="J225" s="31">
        <v>99</v>
      </c>
      <c r="K225" s="33" t="s">
        <v>944</v>
      </c>
      <c r="L225" s="33" t="s">
        <v>690</v>
      </c>
      <c r="M225" s="34" t="s">
        <v>687</v>
      </c>
      <c r="N225" s="34" t="s">
        <v>1700</v>
      </c>
      <c r="O225" s="35">
        <v>1</v>
      </c>
      <c r="P225" s="35">
        <v>1</v>
      </c>
      <c r="Q225" s="32"/>
      <c r="S225" s="1">
        <f t="shared" si="127"/>
        <v>0</v>
      </c>
      <c r="T225" s="1">
        <f t="shared" si="128"/>
        <v>0</v>
      </c>
      <c r="U225" s="1">
        <f t="shared" si="129"/>
        <v>0</v>
      </c>
      <c r="V225" s="1">
        <f t="shared" si="130"/>
        <v>0</v>
      </c>
      <c r="W225" s="1">
        <f t="shared" si="131"/>
        <v>0</v>
      </c>
      <c r="X225" s="1">
        <f t="shared" si="132"/>
        <v>0</v>
      </c>
      <c r="Y225" s="1">
        <f t="shared" si="133"/>
        <v>0</v>
      </c>
      <c r="Z225" s="1">
        <f t="shared" si="134"/>
        <v>0</v>
      </c>
      <c r="AA225" s="1">
        <f t="shared" si="135"/>
        <v>0</v>
      </c>
      <c r="AB225" s="1">
        <f t="shared" si="136"/>
        <v>0</v>
      </c>
      <c r="AD225" s="1">
        <f t="shared" si="137"/>
        <v>1</v>
      </c>
      <c r="AE225" s="1">
        <f t="shared" si="138"/>
        <v>0</v>
      </c>
      <c r="AF225" s="1">
        <f t="shared" si="123"/>
        <v>1</v>
      </c>
      <c r="AG225" s="1">
        <f t="shared" si="124"/>
        <v>0</v>
      </c>
      <c r="AH225" s="1">
        <f t="shared" si="125"/>
        <v>1</v>
      </c>
      <c r="AI225" s="1">
        <f t="shared" si="126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1425</v>
      </c>
      <c r="E226" s="32" t="s">
        <v>166</v>
      </c>
      <c r="F226" s="32" t="s">
        <v>1426</v>
      </c>
      <c r="G226" s="32" t="s">
        <v>178</v>
      </c>
      <c r="H226" s="32" t="s">
        <v>352</v>
      </c>
      <c r="I226" s="31" t="s">
        <v>1427</v>
      </c>
      <c r="J226" s="31">
        <v>99</v>
      </c>
      <c r="K226" s="33" t="s">
        <v>943</v>
      </c>
      <c r="L226" s="33" t="s">
        <v>692</v>
      </c>
      <c r="M226" s="34" t="s">
        <v>1428</v>
      </c>
      <c r="N226" s="34" t="s">
        <v>1719</v>
      </c>
      <c r="O226" s="35">
        <v>1</v>
      </c>
      <c r="P226" s="35"/>
      <c r="Q226" s="36"/>
      <c r="S226" s="1">
        <f t="shared" si="127"/>
        <v>0</v>
      </c>
      <c r="T226" s="1">
        <f t="shared" si="128"/>
        <v>0</v>
      </c>
      <c r="U226" s="1">
        <f t="shared" si="129"/>
        <v>0</v>
      </c>
      <c r="V226" s="1">
        <f t="shared" si="130"/>
        <v>0</v>
      </c>
      <c r="W226" s="1">
        <f t="shared" si="131"/>
        <v>0</v>
      </c>
      <c r="X226" s="1">
        <f t="shared" si="132"/>
        <v>0</v>
      </c>
      <c r="Y226" s="1">
        <f t="shared" si="133"/>
        <v>0</v>
      </c>
      <c r="Z226" s="1">
        <f t="shared" si="134"/>
        <v>0</v>
      </c>
      <c r="AA226" s="1">
        <f t="shared" si="135"/>
        <v>0</v>
      </c>
      <c r="AB226" s="1">
        <f t="shared" si="136"/>
        <v>0</v>
      </c>
      <c r="AD226" s="1">
        <f t="shared" si="137"/>
        <v>0</v>
      </c>
      <c r="AE226" s="1">
        <f t="shared" si="138"/>
        <v>1</v>
      </c>
      <c r="AF226" s="1">
        <f t="shared" si="123"/>
        <v>0</v>
      </c>
      <c r="AG226" s="1">
        <f t="shared" si="124"/>
        <v>1</v>
      </c>
      <c r="AH226" s="1">
        <f t="shared" si="125"/>
        <v>0</v>
      </c>
      <c r="AI226" s="1">
        <f t="shared" si="126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1167</v>
      </c>
      <c r="E227" s="32" t="s">
        <v>1170</v>
      </c>
      <c r="F227" s="32" t="s">
        <v>1168</v>
      </c>
      <c r="G227" s="32" t="s">
        <v>39</v>
      </c>
      <c r="H227" s="32" t="s">
        <v>352</v>
      </c>
      <c r="I227" s="31" t="s">
        <v>1169</v>
      </c>
      <c r="J227" s="31">
        <v>99</v>
      </c>
      <c r="K227" s="33" t="s">
        <v>949</v>
      </c>
      <c r="L227" s="33" t="s">
        <v>39</v>
      </c>
      <c r="M227" s="34" t="s">
        <v>39</v>
      </c>
      <c r="N227" s="34" t="s">
        <v>1706</v>
      </c>
      <c r="O227" s="35">
        <v>1</v>
      </c>
      <c r="P227" s="35">
        <v>1</v>
      </c>
      <c r="Q227" s="36" t="s">
        <v>1878</v>
      </c>
      <c r="S227" s="1">
        <f t="shared" si="127"/>
        <v>0</v>
      </c>
      <c r="T227" s="1">
        <f t="shared" si="128"/>
        <v>0</v>
      </c>
      <c r="U227" s="1">
        <f t="shared" si="129"/>
        <v>0</v>
      </c>
      <c r="V227" s="1">
        <f t="shared" si="130"/>
        <v>0</v>
      </c>
      <c r="W227" s="1">
        <f t="shared" si="131"/>
        <v>0</v>
      </c>
      <c r="X227" s="1">
        <f t="shared" si="132"/>
        <v>0</v>
      </c>
      <c r="Y227" s="1">
        <f t="shared" si="133"/>
        <v>0</v>
      </c>
      <c r="Z227" s="1">
        <f t="shared" si="134"/>
        <v>0</v>
      </c>
      <c r="AA227" s="1">
        <f t="shared" si="135"/>
        <v>0</v>
      </c>
      <c r="AB227" s="1">
        <f t="shared" si="136"/>
        <v>0</v>
      </c>
      <c r="AD227" s="1">
        <f t="shared" si="137"/>
        <v>1</v>
      </c>
      <c r="AE227" s="1">
        <f t="shared" si="138"/>
        <v>0</v>
      </c>
      <c r="AF227" s="1">
        <f t="shared" si="123"/>
        <v>1</v>
      </c>
      <c r="AG227" s="1">
        <f t="shared" si="124"/>
        <v>0</v>
      </c>
      <c r="AH227" s="1">
        <f t="shared" si="125"/>
        <v>1</v>
      </c>
      <c r="AI227" s="1">
        <f t="shared" si="126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1622</v>
      </c>
      <c r="E228" s="32" t="s">
        <v>1630</v>
      </c>
      <c r="F228" s="32" t="s">
        <v>1656</v>
      </c>
      <c r="G228" s="32" t="s">
        <v>1657</v>
      </c>
      <c r="H228" s="32" t="s">
        <v>352</v>
      </c>
      <c r="I228" s="31" t="s">
        <v>1669</v>
      </c>
      <c r="J228" s="31">
        <v>1</v>
      </c>
      <c r="K228" s="33" t="s">
        <v>945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7"/>
        <v>1</v>
      </c>
      <c r="T228" s="1">
        <f t="shared" si="128"/>
        <v>0</v>
      </c>
      <c r="U228" s="1">
        <f t="shared" si="129"/>
        <v>0</v>
      </c>
      <c r="V228" s="1">
        <f t="shared" si="130"/>
        <v>0</v>
      </c>
      <c r="W228" s="1">
        <f t="shared" si="131"/>
        <v>0</v>
      </c>
      <c r="X228" s="1">
        <f t="shared" si="132"/>
        <v>0</v>
      </c>
      <c r="Y228" s="1">
        <f t="shared" si="133"/>
        <v>0</v>
      </c>
      <c r="Z228" s="1">
        <f t="shared" si="134"/>
        <v>0</v>
      </c>
      <c r="AA228" s="1">
        <f t="shared" si="135"/>
        <v>0</v>
      </c>
      <c r="AB228" s="1">
        <f t="shared" si="136"/>
        <v>0</v>
      </c>
      <c r="AD228" s="1">
        <f t="shared" si="137"/>
        <v>1</v>
      </c>
      <c r="AE228" s="1">
        <f t="shared" si="138"/>
        <v>0</v>
      </c>
      <c r="AF228" s="1">
        <f t="shared" si="123"/>
        <v>1</v>
      </c>
      <c r="AG228" s="1">
        <f t="shared" si="124"/>
        <v>0</v>
      </c>
      <c r="AH228" s="1">
        <f t="shared" si="125"/>
        <v>1</v>
      </c>
      <c r="AI228" s="1">
        <f t="shared" si="126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89</v>
      </c>
      <c r="E229" s="32" t="s">
        <v>167</v>
      </c>
      <c r="F229" s="32" t="s">
        <v>282</v>
      </c>
      <c r="G229" s="32" t="s">
        <v>229</v>
      </c>
      <c r="H229" s="32" t="s">
        <v>352</v>
      </c>
      <c r="I229" s="31" t="s">
        <v>435</v>
      </c>
      <c r="J229" s="31">
        <v>7</v>
      </c>
      <c r="K229" s="33" t="s">
        <v>718</v>
      </c>
      <c r="L229" s="33">
        <v>40</v>
      </c>
      <c r="M229" s="34" t="s">
        <v>39</v>
      </c>
      <c r="N229" s="34" t="s">
        <v>1718</v>
      </c>
      <c r="O229" s="35">
        <v>1</v>
      </c>
      <c r="P229" s="35"/>
      <c r="Q229" s="32"/>
      <c r="S229" s="1">
        <f t="shared" si="127"/>
        <v>0</v>
      </c>
      <c r="T229" s="1">
        <f t="shared" si="128"/>
        <v>0</v>
      </c>
      <c r="U229" s="1">
        <f t="shared" si="129"/>
        <v>0</v>
      </c>
      <c r="V229" s="1">
        <f t="shared" si="130"/>
        <v>0</v>
      </c>
      <c r="W229" s="1">
        <f t="shared" si="131"/>
        <v>0</v>
      </c>
      <c r="X229" s="1">
        <f t="shared" si="132"/>
        <v>0</v>
      </c>
      <c r="Y229" s="1">
        <f t="shared" si="133"/>
        <v>1</v>
      </c>
      <c r="Z229" s="1">
        <f t="shared" si="134"/>
        <v>0</v>
      </c>
      <c r="AA229" s="1">
        <f t="shared" si="135"/>
        <v>0</v>
      </c>
      <c r="AB229" s="1">
        <f t="shared" si="136"/>
        <v>0</v>
      </c>
      <c r="AD229" s="1">
        <f t="shared" si="137"/>
        <v>0</v>
      </c>
      <c r="AE229" s="1">
        <f t="shared" si="138"/>
        <v>1</v>
      </c>
      <c r="AF229" s="1">
        <f t="shared" si="123"/>
        <v>0</v>
      </c>
      <c r="AG229" s="1">
        <f t="shared" si="124"/>
        <v>1</v>
      </c>
      <c r="AH229" s="1">
        <f t="shared" si="125"/>
        <v>0</v>
      </c>
      <c r="AI229" s="1">
        <f t="shared" si="126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90</v>
      </c>
      <c r="E230" s="32" t="s">
        <v>164</v>
      </c>
      <c r="F230" s="36" t="s">
        <v>1841</v>
      </c>
      <c r="G230" s="32" t="s">
        <v>239</v>
      </c>
      <c r="H230" s="32" t="s">
        <v>352</v>
      </c>
      <c r="I230" s="31" t="s">
        <v>436</v>
      </c>
      <c r="J230" s="31">
        <v>1</v>
      </c>
      <c r="K230" s="33" t="s">
        <v>951</v>
      </c>
      <c r="L230" s="33" t="s">
        <v>39</v>
      </c>
      <c r="M230" s="34" t="s">
        <v>39</v>
      </c>
      <c r="N230" s="34" t="s">
        <v>1700</v>
      </c>
      <c r="O230" s="35">
        <v>1</v>
      </c>
      <c r="P230" s="35">
        <v>1</v>
      </c>
      <c r="Q230" s="32"/>
      <c r="S230" s="1">
        <f t="shared" si="127"/>
        <v>1</v>
      </c>
      <c r="T230" s="1">
        <f t="shared" si="128"/>
        <v>0</v>
      </c>
      <c r="U230" s="1">
        <f t="shared" si="129"/>
        <v>0</v>
      </c>
      <c r="V230" s="1">
        <f t="shared" si="130"/>
        <v>0</v>
      </c>
      <c r="W230" s="1">
        <f t="shared" si="131"/>
        <v>0</v>
      </c>
      <c r="X230" s="1">
        <f t="shared" si="132"/>
        <v>0</v>
      </c>
      <c r="Y230" s="1">
        <f t="shared" si="133"/>
        <v>0</v>
      </c>
      <c r="Z230" s="1">
        <f t="shared" si="134"/>
        <v>0</v>
      </c>
      <c r="AA230" s="1">
        <f t="shared" si="135"/>
        <v>0</v>
      </c>
      <c r="AB230" s="1">
        <f t="shared" si="136"/>
        <v>0</v>
      </c>
      <c r="AD230" s="1">
        <f t="shared" si="137"/>
        <v>1</v>
      </c>
      <c r="AE230" s="1">
        <f t="shared" si="138"/>
        <v>0</v>
      </c>
      <c r="AF230" s="1">
        <f t="shared" si="123"/>
        <v>1</v>
      </c>
      <c r="AG230" s="1">
        <f t="shared" si="124"/>
        <v>0</v>
      </c>
      <c r="AH230" s="1">
        <f t="shared" si="125"/>
        <v>1</v>
      </c>
      <c r="AI230" s="1">
        <f t="shared" si="126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91</v>
      </c>
      <c r="E231" s="32" t="s">
        <v>166</v>
      </c>
      <c r="F231" s="32" t="s">
        <v>284</v>
      </c>
      <c r="G231" s="32" t="s">
        <v>199</v>
      </c>
      <c r="H231" s="32" t="s">
        <v>352</v>
      </c>
      <c r="I231" s="31" t="s">
        <v>437</v>
      </c>
      <c r="J231" s="31">
        <v>2</v>
      </c>
      <c r="K231" s="33" t="s">
        <v>949</v>
      </c>
      <c r="L231" s="33" t="s">
        <v>39</v>
      </c>
      <c r="M231" s="34" t="s">
        <v>39</v>
      </c>
      <c r="N231" s="34" t="s">
        <v>1700</v>
      </c>
      <c r="O231" s="35">
        <v>1</v>
      </c>
      <c r="P231" s="35">
        <v>1</v>
      </c>
      <c r="Q231" s="32"/>
      <c r="S231" s="1">
        <f t="shared" si="127"/>
        <v>0</v>
      </c>
      <c r="T231" s="1">
        <f t="shared" si="128"/>
        <v>1</v>
      </c>
      <c r="U231" s="1">
        <f t="shared" si="129"/>
        <v>0</v>
      </c>
      <c r="V231" s="1">
        <f t="shared" si="130"/>
        <v>0</v>
      </c>
      <c r="W231" s="1">
        <f t="shared" si="131"/>
        <v>0</v>
      </c>
      <c r="X231" s="1">
        <f t="shared" si="132"/>
        <v>0</v>
      </c>
      <c r="Y231" s="1">
        <f t="shared" si="133"/>
        <v>0</v>
      </c>
      <c r="Z231" s="1">
        <f t="shared" si="134"/>
        <v>0</v>
      </c>
      <c r="AA231" s="1">
        <f t="shared" si="135"/>
        <v>0</v>
      </c>
      <c r="AB231" s="1">
        <f t="shared" si="136"/>
        <v>0</v>
      </c>
      <c r="AD231" s="1">
        <f t="shared" si="137"/>
        <v>1</v>
      </c>
      <c r="AE231" s="1">
        <f t="shared" si="138"/>
        <v>0</v>
      </c>
      <c r="AF231" s="1">
        <f t="shared" si="123"/>
        <v>1</v>
      </c>
      <c r="AG231" s="1">
        <f t="shared" si="124"/>
        <v>0</v>
      </c>
      <c r="AH231" s="1">
        <f t="shared" si="125"/>
        <v>1</v>
      </c>
      <c r="AI231" s="1">
        <f t="shared" si="126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1256</v>
      </c>
      <c r="E232" s="32" t="s">
        <v>166</v>
      </c>
      <c r="F232" s="32" t="s">
        <v>1132</v>
      </c>
      <c r="G232" s="32" t="s">
        <v>1322</v>
      </c>
      <c r="H232" s="32" t="s">
        <v>352</v>
      </c>
      <c r="I232" s="31" t="s">
        <v>1133</v>
      </c>
      <c r="J232" s="31">
        <v>99</v>
      </c>
      <c r="K232" s="33" t="s">
        <v>698</v>
      </c>
      <c r="L232" s="33">
        <v>45</v>
      </c>
      <c r="M232" s="34" t="s">
        <v>39</v>
      </c>
      <c r="N232" s="34" t="s">
        <v>1714</v>
      </c>
      <c r="O232" s="35">
        <v>1</v>
      </c>
      <c r="P232" s="35"/>
      <c r="Q232" s="32"/>
      <c r="S232" s="1">
        <f t="shared" si="127"/>
        <v>0</v>
      </c>
      <c r="T232" s="1">
        <f t="shared" si="128"/>
        <v>0</v>
      </c>
      <c r="U232" s="1">
        <f t="shared" si="129"/>
        <v>0</v>
      </c>
      <c r="V232" s="1">
        <f t="shared" si="130"/>
        <v>0</v>
      </c>
      <c r="W232" s="1">
        <f t="shared" si="131"/>
        <v>0</v>
      </c>
      <c r="X232" s="1">
        <f t="shared" si="132"/>
        <v>0</v>
      </c>
      <c r="Y232" s="1">
        <f t="shared" si="133"/>
        <v>0</v>
      </c>
      <c r="Z232" s="1">
        <f t="shared" si="134"/>
        <v>0</v>
      </c>
      <c r="AA232" s="1">
        <f t="shared" si="135"/>
        <v>0</v>
      </c>
      <c r="AB232" s="1">
        <f t="shared" si="136"/>
        <v>0</v>
      </c>
      <c r="AD232" s="1">
        <f t="shared" si="137"/>
        <v>0</v>
      </c>
      <c r="AE232" s="1">
        <f t="shared" si="138"/>
        <v>1</v>
      </c>
      <c r="AF232" s="1">
        <f t="shared" si="123"/>
        <v>0</v>
      </c>
      <c r="AG232" s="1">
        <f t="shared" si="124"/>
        <v>1</v>
      </c>
      <c r="AH232" s="1">
        <f t="shared" si="125"/>
        <v>0</v>
      </c>
      <c r="AI232" s="1">
        <f t="shared" si="126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1761</v>
      </c>
      <c r="E233" s="32" t="s">
        <v>166</v>
      </c>
      <c r="F233" s="32" t="s">
        <v>1736</v>
      </c>
      <c r="G233" s="32"/>
      <c r="H233" s="32" t="s">
        <v>352</v>
      </c>
      <c r="I233" s="31" t="s">
        <v>1737</v>
      </c>
      <c r="J233" s="31"/>
      <c r="K233" s="33" t="s">
        <v>699</v>
      </c>
      <c r="L233" s="33"/>
      <c r="M233" s="34"/>
      <c r="N233" s="34" t="s">
        <v>1700</v>
      </c>
      <c r="O233" s="35">
        <v>1</v>
      </c>
      <c r="P233" s="35">
        <v>1</v>
      </c>
      <c r="Q233" s="32"/>
      <c r="S233" s="1">
        <f t="shared" si="127"/>
        <v>0</v>
      </c>
      <c r="T233" s="1">
        <f t="shared" si="128"/>
        <v>0</v>
      </c>
      <c r="U233" s="1">
        <f t="shared" si="129"/>
        <v>0</v>
      </c>
      <c r="V233" s="1">
        <f t="shared" si="130"/>
        <v>0</v>
      </c>
      <c r="W233" s="1">
        <f t="shared" si="131"/>
        <v>0</v>
      </c>
      <c r="X233" s="1">
        <f t="shared" si="132"/>
        <v>0</v>
      </c>
      <c r="Y233" s="1">
        <f t="shared" si="133"/>
        <v>0</v>
      </c>
      <c r="Z233" s="1">
        <f t="shared" si="134"/>
        <v>0</v>
      </c>
      <c r="AA233" s="1">
        <f t="shared" si="135"/>
        <v>0</v>
      </c>
      <c r="AB233" s="1">
        <f t="shared" si="136"/>
        <v>0</v>
      </c>
      <c r="AD233" s="1">
        <f t="shared" si="137"/>
        <v>1</v>
      </c>
      <c r="AE233" s="1">
        <f t="shared" si="138"/>
        <v>0</v>
      </c>
      <c r="AF233" s="1">
        <f t="shared" si="123"/>
        <v>1</v>
      </c>
      <c r="AG233" s="1">
        <f t="shared" si="124"/>
        <v>0</v>
      </c>
      <c r="AH233" s="1">
        <f t="shared" si="125"/>
        <v>1</v>
      </c>
      <c r="AI233" s="1">
        <f t="shared" si="126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1760</v>
      </c>
      <c r="E234" s="32" t="s">
        <v>166</v>
      </c>
      <c r="F234" s="32" t="s">
        <v>1738</v>
      </c>
      <c r="G234" s="32"/>
      <c r="H234" s="32" t="s">
        <v>352</v>
      </c>
      <c r="I234" s="31" t="s">
        <v>1739</v>
      </c>
      <c r="J234" s="31"/>
      <c r="K234" s="33" t="s">
        <v>699</v>
      </c>
      <c r="L234" s="33">
        <v>30</v>
      </c>
      <c r="M234" s="34" t="s">
        <v>1740</v>
      </c>
      <c r="N234" s="34" t="s">
        <v>1718</v>
      </c>
      <c r="O234" s="35">
        <v>1</v>
      </c>
      <c r="P234" s="35"/>
      <c r="Q234" s="32"/>
      <c r="S234" s="1">
        <f t="shared" si="127"/>
        <v>0</v>
      </c>
      <c r="T234" s="1">
        <f t="shared" si="128"/>
        <v>0</v>
      </c>
      <c r="U234" s="1">
        <f t="shared" si="129"/>
        <v>0</v>
      </c>
      <c r="V234" s="1">
        <f t="shared" si="130"/>
        <v>0</v>
      </c>
      <c r="W234" s="1">
        <f t="shared" si="131"/>
        <v>0</v>
      </c>
      <c r="X234" s="1">
        <f t="shared" si="132"/>
        <v>0</v>
      </c>
      <c r="Y234" s="1">
        <f t="shared" si="133"/>
        <v>0</v>
      </c>
      <c r="Z234" s="1">
        <f t="shared" si="134"/>
        <v>0</v>
      </c>
      <c r="AA234" s="1">
        <f t="shared" si="135"/>
        <v>0</v>
      </c>
      <c r="AB234" s="1">
        <f t="shared" si="136"/>
        <v>0</v>
      </c>
      <c r="AD234" s="1">
        <f t="shared" si="137"/>
        <v>0</v>
      </c>
      <c r="AE234" s="1">
        <f t="shared" si="138"/>
        <v>1</v>
      </c>
      <c r="AF234" s="1">
        <f t="shared" si="123"/>
        <v>0</v>
      </c>
      <c r="AG234" s="1">
        <f t="shared" si="124"/>
        <v>1</v>
      </c>
      <c r="AH234" s="1">
        <f t="shared" si="125"/>
        <v>0</v>
      </c>
      <c r="AI234" s="1">
        <f t="shared" si="126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1001</v>
      </c>
      <c r="E235" s="32" t="s">
        <v>166</v>
      </c>
      <c r="F235" s="32" t="s">
        <v>1002</v>
      </c>
      <c r="G235" s="32" t="s">
        <v>1090</v>
      </c>
      <c r="H235" s="32" t="s">
        <v>352</v>
      </c>
      <c r="I235" s="31" t="s">
        <v>1003</v>
      </c>
      <c r="J235" s="31">
        <v>99</v>
      </c>
      <c r="K235" s="33" t="s">
        <v>951</v>
      </c>
      <c r="L235" s="33" t="s">
        <v>39</v>
      </c>
      <c r="M235" s="34" t="s">
        <v>39</v>
      </c>
      <c r="N235" s="34" t="s">
        <v>1700</v>
      </c>
      <c r="O235" s="35">
        <v>1</v>
      </c>
      <c r="P235" s="35">
        <v>1</v>
      </c>
      <c r="Q235" s="32"/>
      <c r="S235" s="1">
        <f t="shared" si="127"/>
        <v>0</v>
      </c>
      <c r="T235" s="1">
        <f t="shared" si="128"/>
        <v>0</v>
      </c>
      <c r="U235" s="1">
        <f t="shared" si="129"/>
        <v>0</v>
      </c>
      <c r="V235" s="1">
        <f t="shared" si="130"/>
        <v>0</v>
      </c>
      <c r="W235" s="1">
        <f t="shared" si="131"/>
        <v>0</v>
      </c>
      <c r="X235" s="1">
        <f t="shared" si="132"/>
        <v>0</v>
      </c>
      <c r="Y235" s="1">
        <f t="shared" si="133"/>
        <v>0</v>
      </c>
      <c r="Z235" s="1">
        <f t="shared" si="134"/>
        <v>0</v>
      </c>
      <c r="AA235" s="1">
        <f t="shared" si="135"/>
        <v>0</v>
      </c>
      <c r="AB235" s="1">
        <f t="shared" si="136"/>
        <v>0</v>
      </c>
      <c r="AD235" s="1">
        <f t="shared" si="137"/>
        <v>1</v>
      </c>
      <c r="AE235" s="1">
        <f t="shared" si="138"/>
        <v>0</v>
      </c>
      <c r="AF235" s="1">
        <f t="shared" si="123"/>
        <v>1</v>
      </c>
      <c r="AG235" s="1">
        <f t="shared" si="124"/>
        <v>0</v>
      </c>
      <c r="AH235" s="1">
        <f t="shared" si="125"/>
        <v>1</v>
      </c>
      <c r="AI235" s="1">
        <f t="shared" si="126"/>
        <v>0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93</v>
      </c>
      <c r="E236" s="32" t="s">
        <v>168</v>
      </c>
      <c r="F236" s="32" t="s">
        <v>287</v>
      </c>
      <c r="G236" s="32" t="s">
        <v>193</v>
      </c>
      <c r="H236" s="32" t="s">
        <v>352</v>
      </c>
      <c r="I236" s="31" t="s">
        <v>439</v>
      </c>
      <c r="J236" s="31">
        <v>9</v>
      </c>
      <c r="K236" s="33" t="s">
        <v>698</v>
      </c>
      <c r="L236" s="33" t="s">
        <v>690</v>
      </c>
      <c r="M236" s="34" t="s">
        <v>702</v>
      </c>
      <c r="N236" s="34" t="s">
        <v>1718</v>
      </c>
      <c r="O236" s="35">
        <v>1</v>
      </c>
      <c r="P236" s="35"/>
      <c r="Q236" s="32"/>
      <c r="S236" s="1">
        <f t="shared" si="127"/>
        <v>0</v>
      </c>
      <c r="T236" s="1">
        <f t="shared" si="128"/>
        <v>0</v>
      </c>
      <c r="U236" s="1">
        <f t="shared" si="129"/>
        <v>0</v>
      </c>
      <c r="V236" s="1">
        <f t="shared" si="130"/>
        <v>0</v>
      </c>
      <c r="W236" s="1">
        <f t="shared" si="131"/>
        <v>0</v>
      </c>
      <c r="X236" s="1">
        <f t="shared" si="132"/>
        <v>0</v>
      </c>
      <c r="Y236" s="1">
        <f t="shared" si="133"/>
        <v>0</v>
      </c>
      <c r="Z236" s="1">
        <f t="shared" si="134"/>
        <v>0</v>
      </c>
      <c r="AA236" s="1">
        <f t="shared" si="135"/>
        <v>1</v>
      </c>
      <c r="AB236" s="1">
        <f t="shared" si="136"/>
        <v>0</v>
      </c>
      <c r="AD236" s="1">
        <f t="shared" si="137"/>
        <v>0</v>
      </c>
      <c r="AE236" s="1">
        <f t="shared" si="138"/>
        <v>1</v>
      </c>
      <c r="AF236" s="1">
        <f t="shared" si="123"/>
        <v>0</v>
      </c>
      <c r="AG236" s="1">
        <f t="shared" si="124"/>
        <v>1</v>
      </c>
      <c r="AH236" s="1">
        <f t="shared" si="125"/>
        <v>0</v>
      </c>
      <c r="AI236" s="1">
        <f t="shared" si="126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1583</v>
      </c>
      <c r="E237" s="32" t="s">
        <v>1584</v>
      </c>
      <c r="F237" s="32" t="s">
        <v>1585</v>
      </c>
      <c r="G237" s="32" t="s">
        <v>191</v>
      </c>
      <c r="H237" s="32" t="s">
        <v>352</v>
      </c>
      <c r="I237" s="31" t="s">
        <v>1586</v>
      </c>
      <c r="J237" s="31">
        <v>10</v>
      </c>
      <c r="K237" s="33" t="s">
        <v>943</v>
      </c>
      <c r="L237" s="33" t="s">
        <v>683</v>
      </c>
      <c r="M237" s="34" t="s">
        <v>1587</v>
      </c>
      <c r="N237" s="34" t="s">
        <v>1714</v>
      </c>
      <c r="O237" s="35">
        <v>1</v>
      </c>
      <c r="P237" s="35"/>
      <c r="Q237" s="32"/>
      <c r="S237" s="1">
        <f t="shared" si="127"/>
        <v>0</v>
      </c>
      <c r="T237" s="1">
        <f t="shared" si="128"/>
        <v>0</v>
      </c>
      <c r="U237" s="1">
        <f t="shared" si="129"/>
        <v>0</v>
      </c>
      <c r="V237" s="1">
        <f t="shared" si="130"/>
        <v>0</v>
      </c>
      <c r="W237" s="1">
        <f t="shared" si="131"/>
        <v>0</v>
      </c>
      <c r="X237" s="1">
        <f t="shared" si="132"/>
        <v>0</v>
      </c>
      <c r="Y237" s="1">
        <f t="shared" si="133"/>
        <v>0</v>
      </c>
      <c r="Z237" s="1">
        <f t="shared" si="134"/>
        <v>0</v>
      </c>
      <c r="AA237" s="1">
        <f t="shared" si="135"/>
        <v>0</v>
      </c>
      <c r="AB237" s="1">
        <f t="shared" si="136"/>
        <v>1</v>
      </c>
      <c r="AD237" s="1">
        <f t="shared" si="137"/>
        <v>0</v>
      </c>
      <c r="AE237" s="1">
        <f t="shared" si="138"/>
        <v>1</v>
      </c>
      <c r="AF237" s="1">
        <f t="shared" si="123"/>
        <v>0</v>
      </c>
      <c r="AG237" s="1">
        <f t="shared" si="124"/>
        <v>1</v>
      </c>
      <c r="AH237" s="1">
        <f t="shared" si="125"/>
        <v>0</v>
      </c>
      <c r="AI237" s="1">
        <f t="shared" si="126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94</v>
      </c>
      <c r="E238" s="32" t="s">
        <v>164</v>
      </c>
      <c r="F238" s="32" t="s">
        <v>288</v>
      </c>
      <c r="G238" s="32" t="s">
        <v>289</v>
      </c>
      <c r="H238" s="32" t="s">
        <v>352</v>
      </c>
      <c r="I238" s="31" t="s">
        <v>440</v>
      </c>
      <c r="J238" s="31">
        <v>7</v>
      </c>
      <c r="K238" s="33" t="s">
        <v>698</v>
      </c>
      <c r="L238" s="33" t="s">
        <v>690</v>
      </c>
      <c r="M238" s="34" t="s">
        <v>694</v>
      </c>
      <c r="N238" s="34" t="s">
        <v>1719</v>
      </c>
      <c r="O238" s="35">
        <v>1</v>
      </c>
      <c r="P238" s="35"/>
      <c r="Q238" s="32"/>
      <c r="S238" s="1">
        <f t="shared" si="127"/>
        <v>0</v>
      </c>
      <c r="T238" s="1">
        <f t="shared" si="128"/>
        <v>0</v>
      </c>
      <c r="U238" s="1">
        <f t="shared" si="129"/>
        <v>0</v>
      </c>
      <c r="V238" s="1">
        <f t="shared" si="130"/>
        <v>0</v>
      </c>
      <c r="W238" s="1">
        <f t="shared" si="131"/>
        <v>0</v>
      </c>
      <c r="X238" s="1">
        <f t="shared" si="132"/>
        <v>0</v>
      </c>
      <c r="Y238" s="1">
        <f t="shared" si="133"/>
        <v>1</v>
      </c>
      <c r="Z238" s="1">
        <f t="shared" si="134"/>
        <v>0</v>
      </c>
      <c r="AA238" s="1">
        <f t="shared" si="135"/>
        <v>0</v>
      </c>
      <c r="AB238" s="1">
        <f t="shared" si="136"/>
        <v>0</v>
      </c>
      <c r="AD238" s="1">
        <f t="shared" si="137"/>
        <v>0</v>
      </c>
      <c r="AE238" s="1">
        <f t="shared" si="138"/>
        <v>1</v>
      </c>
      <c r="AF238" s="1">
        <f t="shared" si="123"/>
        <v>0</v>
      </c>
      <c r="AG238" s="1">
        <f t="shared" si="124"/>
        <v>1</v>
      </c>
      <c r="AH238" s="1">
        <f t="shared" si="125"/>
        <v>0</v>
      </c>
      <c r="AI238" s="1">
        <f t="shared" si="126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1072</v>
      </c>
      <c r="E239" s="32" t="s">
        <v>166</v>
      </c>
      <c r="F239" s="32" t="s">
        <v>656</v>
      </c>
      <c r="G239" s="32" t="s">
        <v>178</v>
      </c>
      <c r="H239" s="32" t="s">
        <v>352</v>
      </c>
      <c r="I239" s="31" t="s">
        <v>379</v>
      </c>
      <c r="J239" s="31">
        <v>10</v>
      </c>
      <c r="K239" s="33" t="s">
        <v>718</v>
      </c>
      <c r="L239" s="33" t="s">
        <v>700</v>
      </c>
      <c r="M239" s="34" t="s">
        <v>703</v>
      </c>
      <c r="N239" s="34" t="s">
        <v>1720</v>
      </c>
      <c r="O239" s="35">
        <v>1</v>
      </c>
      <c r="P239" s="35"/>
      <c r="Q239" s="32"/>
      <c r="R239" s="15"/>
      <c r="S239" s="1">
        <f t="shared" si="127"/>
        <v>0</v>
      </c>
      <c r="T239" s="1">
        <f t="shared" si="128"/>
        <v>0</v>
      </c>
      <c r="U239" s="1">
        <f t="shared" si="129"/>
        <v>0</v>
      </c>
      <c r="V239" s="1">
        <f t="shared" si="130"/>
        <v>0</v>
      </c>
      <c r="W239" s="1">
        <f t="shared" si="131"/>
        <v>0</v>
      </c>
      <c r="X239" s="1">
        <f t="shared" si="132"/>
        <v>0</v>
      </c>
      <c r="Y239" s="1">
        <f t="shared" si="133"/>
        <v>0</v>
      </c>
      <c r="Z239" s="1">
        <f t="shared" si="134"/>
        <v>0</v>
      </c>
      <c r="AA239" s="1">
        <f t="shared" si="135"/>
        <v>0</v>
      </c>
      <c r="AB239" s="1">
        <f t="shared" si="136"/>
        <v>1</v>
      </c>
      <c r="AD239" s="1">
        <f t="shared" si="137"/>
        <v>0</v>
      </c>
      <c r="AE239" s="1">
        <f t="shared" si="138"/>
        <v>1</v>
      </c>
      <c r="AF239" s="1">
        <f t="shared" si="123"/>
        <v>0</v>
      </c>
      <c r="AG239" s="1">
        <f t="shared" si="124"/>
        <v>1</v>
      </c>
      <c r="AH239" s="1">
        <f t="shared" si="125"/>
        <v>0</v>
      </c>
      <c r="AI239" s="1">
        <f t="shared" si="126"/>
        <v>1</v>
      </c>
      <c r="AJ239" s="15"/>
      <c r="AK239" s="15"/>
      <c r="AL239" s="16"/>
      <c r="AM239" s="16"/>
      <c r="AN239" s="16"/>
      <c r="AO239" s="16"/>
      <c r="AP239" s="16"/>
      <c r="AQ239" s="15"/>
      <c r="AR239" s="15"/>
      <c r="AS239" s="10"/>
      <c r="AT239" s="10"/>
      <c r="AU239" s="19"/>
      <c r="AV239" s="19"/>
      <c r="AY239" s="16"/>
      <c r="AZ239" s="15"/>
      <c r="BA239" s="15"/>
      <c r="BB239" s="15"/>
      <c r="BC239" s="16"/>
      <c r="BD239" s="16"/>
      <c r="BE239" s="16"/>
      <c r="BF239" s="16"/>
      <c r="BG239" s="16"/>
      <c r="BH239" s="15"/>
      <c r="BI239" s="15"/>
      <c r="BJ239" s="10"/>
      <c r="BK239" s="10"/>
      <c r="BL239" s="19"/>
      <c r="BM239" s="19"/>
      <c r="BP239" s="16"/>
      <c r="BQ239" s="15"/>
      <c r="BR239" s="15"/>
      <c r="BS239" s="15"/>
      <c r="BT239" s="16"/>
      <c r="BU239" s="16"/>
      <c r="BV239" s="16"/>
      <c r="BW239" s="16"/>
      <c r="BX239" s="16"/>
      <c r="BY239" s="15"/>
      <c r="BZ239" s="15"/>
      <c r="CA239" s="10"/>
      <c r="CB239" s="10"/>
      <c r="CC239" s="19"/>
      <c r="CD239" s="19"/>
      <c r="CG239" s="16"/>
      <c r="CH239" s="15"/>
      <c r="CI239" s="15"/>
      <c r="CJ239" s="15"/>
      <c r="CK239" s="16"/>
      <c r="CL239" s="16"/>
      <c r="CM239" s="16"/>
      <c r="CN239" s="16"/>
      <c r="CO239" s="16"/>
      <c r="CP239" s="15"/>
      <c r="CQ239" s="15"/>
      <c r="CR239" s="10"/>
      <c r="CS239" s="10"/>
      <c r="CT239" s="19"/>
      <c r="CU239" s="19"/>
      <c r="CX239" s="16"/>
      <c r="CY239" s="15"/>
      <c r="CZ239" s="15"/>
      <c r="DA239" s="15"/>
      <c r="DB239" s="16"/>
      <c r="DC239" s="16"/>
      <c r="DD239" s="16"/>
      <c r="DE239" s="16"/>
      <c r="DF239" s="16"/>
      <c r="DG239" s="15"/>
      <c r="DH239" s="15"/>
      <c r="DI239" s="10"/>
      <c r="DJ239" s="10"/>
      <c r="DK239" s="19"/>
      <c r="DL239" s="19"/>
      <c r="DO239" s="16"/>
      <c r="DP239" s="15"/>
      <c r="DQ239" s="15"/>
      <c r="DR239" s="15"/>
      <c r="DS239" s="16"/>
      <c r="DT239" s="16"/>
      <c r="DU239" s="16"/>
      <c r="DV239" s="16"/>
      <c r="DW239" s="16"/>
      <c r="DX239" s="15"/>
      <c r="DY239" s="15"/>
      <c r="DZ239" s="10"/>
      <c r="EA239" s="10"/>
      <c r="EB239" s="19"/>
      <c r="EC239" s="19"/>
      <c r="EF239" s="16"/>
      <c r="EG239" s="15"/>
      <c r="EH239" s="15"/>
      <c r="EI239" s="15"/>
      <c r="EJ239" s="16"/>
      <c r="EK239" s="16"/>
      <c r="EL239" s="16"/>
      <c r="EM239" s="16"/>
      <c r="EN239" s="16"/>
      <c r="EO239" s="15"/>
      <c r="EP239" s="15"/>
      <c r="EQ239" s="10"/>
      <c r="ER239" s="10"/>
      <c r="ES239" s="19"/>
      <c r="ET239" s="19"/>
      <c r="EW239" s="16"/>
      <c r="EX239" s="15"/>
      <c r="EY239" s="15"/>
      <c r="EZ239" s="15"/>
      <c r="FA239" s="16"/>
      <c r="FB239" s="16"/>
      <c r="FC239" s="16"/>
      <c r="FD239" s="16"/>
      <c r="FE239" s="16"/>
      <c r="FF239" s="15"/>
      <c r="FG239" s="15"/>
      <c r="FH239" s="10"/>
      <c r="FI239" s="10"/>
      <c r="FJ239" s="19"/>
      <c r="FK239" s="19"/>
      <c r="FN239" s="16"/>
      <c r="FO239" s="15"/>
      <c r="FP239" s="15"/>
      <c r="FQ239" s="15"/>
      <c r="FR239" s="16"/>
      <c r="FS239" s="16"/>
      <c r="FT239" s="16"/>
      <c r="FU239" s="16"/>
      <c r="FV239" s="16"/>
      <c r="FW239" s="15"/>
      <c r="FX239" s="15"/>
      <c r="FY239" s="10"/>
      <c r="FZ239" s="10"/>
      <c r="GA239" s="19"/>
      <c r="GB239" s="19"/>
      <c r="GE239" s="16"/>
      <c r="GF239" s="15"/>
      <c r="GG239" s="15"/>
      <c r="GH239" s="15"/>
      <c r="GI239" s="16"/>
      <c r="GJ239" s="16"/>
      <c r="GK239" s="16"/>
      <c r="GL239" s="16"/>
      <c r="GM239" s="16"/>
      <c r="GN239" s="15"/>
      <c r="GO239" s="15"/>
      <c r="GP239" s="10"/>
      <c r="GQ239" s="10"/>
      <c r="GR239" s="19"/>
      <c r="GS239" s="19"/>
      <c r="GV239" s="16"/>
      <c r="GW239" s="15"/>
      <c r="GX239" s="15"/>
      <c r="GY239" s="15"/>
      <c r="GZ239" s="16"/>
      <c r="HA239" s="16"/>
      <c r="HB239" s="16"/>
      <c r="HC239" s="16"/>
      <c r="HD239" s="16"/>
      <c r="HE239" s="15"/>
      <c r="HF239" s="15"/>
      <c r="HG239" s="10"/>
      <c r="HH239" s="10"/>
      <c r="HI239" s="19"/>
      <c r="HJ239" s="19"/>
      <c r="HM239" s="16"/>
      <c r="HN239" s="15"/>
      <c r="HO239" s="15"/>
      <c r="HP239" s="15"/>
      <c r="HQ239" s="16"/>
      <c r="HR239" s="16"/>
      <c r="HS239" s="16"/>
      <c r="HT239" s="16"/>
      <c r="HU239" s="16"/>
      <c r="HV239" s="15"/>
      <c r="HW239" s="15"/>
      <c r="HX239" s="10"/>
      <c r="HY239" s="10"/>
      <c r="HZ239" s="19"/>
      <c r="IA239" s="19"/>
      <c r="ID239" s="16"/>
      <c r="IE239" s="15"/>
      <c r="IF239" s="15"/>
      <c r="IG239" s="15"/>
      <c r="IH239" s="16"/>
      <c r="II239" s="16"/>
      <c r="IJ239" s="16"/>
      <c r="IK239" s="16"/>
      <c r="IL239" s="16"/>
      <c r="IM239" s="15"/>
      <c r="IN239" s="15"/>
      <c r="IO239" s="10"/>
      <c r="IP239" s="10"/>
      <c r="IQ239" s="19"/>
      <c r="IR239" s="19"/>
      <c r="IU239" s="16"/>
      <c r="IV239" s="15"/>
      <c r="IW239" s="15"/>
      <c r="IX239" s="15"/>
      <c r="IY239" s="16"/>
      <c r="IZ239" s="16"/>
      <c r="JA239" s="16"/>
      <c r="JB239" s="16"/>
      <c r="JC239" s="16"/>
      <c r="JD239" s="15"/>
      <c r="JE239" s="15"/>
      <c r="JF239" s="10"/>
      <c r="JG239" s="10"/>
      <c r="JH239" s="19"/>
      <c r="JI239" s="19"/>
      <c r="JL239" s="16"/>
      <c r="JM239" s="15"/>
      <c r="JN239" s="15"/>
      <c r="JO239" s="15"/>
      <c r="JP239" s="16"/>
      <c r="JQ239" s="16"/>
      <c r="JR239" s="16"/>
      <c r="JS239" s="16"/>
      <c r="JT239" s="16"/>
      <c r="JU239" s="15"/>
      <c r="JV239" s="15"/>
      <c r="JW239" s="10"/>
      <c r="JX239" s="10"/>
      <c r="JY239" s="19"/>
      <c r="JZ239" s="19"/>
      <c r="KC239" s="16"/>
      <c r="KD239" s="15"/>
      <c r="KE239" s="15"/>
      <c r="KF239" s="15"/>
      <c r="KG239" s="16"/>
      <c r="KH239" s="16"/>
      <c r="KI239" s="16"/>
      <c r="KJ239" s="16"/>
      <c r="KK239" s="16"/>
      <c r="KL239" s="15"/>
      <c r="KM239" s="15"/>
      <c r="KN239" s="10"/>
      <c r="KO239" s="10"/>
      <c r="KP239" s="19"/>
      <c r="KQ239" s="19"/>
      <c r="KT239" s="16"/>
      <c r="KU239" s="15"/>
      <c r="KV239" s="15"/>
      <c r="KW239" s="15"/>
      <c r="KX239" s="16"/>
      <c r="KY239" s="16"/>
      <c r="KZ239" s="16"/>
      <c r="LA239" s="16"/>
      <c r="LB239" s="16"/>
      <c r="LC239" s="15"/>
      <c r="LD239" s="15"/>
      <c r="LE239" s="10"/>
      <c r="LF239" s="10"/>
      <c r="LG239" s="19"/>
      <c r="LH239" s="19"/>
      <c r="LK239" s="16"/>
      <c r="LL239" s="15"/>
      <c r="LM239" s="15"/>
      <c r="LN239" s="15"/>
      <c r="LO239" s="16"/>
      <c r="LP239" s="16"/>
      <c r="LQ239" s="16"/>
      <c r="LR239" s="16"/>
      <c r="LS239" s="16"/>
      <c r="LT239" s="15"/>
      <c r="LU239" s="15"/>
      <c r="LV239" s="10"/>
      <c r="LW239" s="10"/>
      <c r="LX239" s="19"/>
      <c r="LY239" s="19"/>
      <c r="MB239" s="16"/>
      <c r="MC239" s="15"/>
      <c r="MD239" s="15"/>
      <c r="ME239" s="15"/>
      <c r="MF239" s="16"/>
      <c r="MG239" s="16"/>
      <c r="MH239" s="16"/>
      <c r="MI239" s="16"/>
      <c r="MJ239" s="16"/>
      <c r="MK239" s="15"/>
      <c r="ML239" s="15"/>
      <c r="MM239" s="10"/>
      <c r="MN239" s="10"/>
      <c r="MO239" s="19"/>
      <c r="MP239" s="19"/>
      <c r="MS239" s="16"/>
      <c r="MT239" s="15"/>
      <c r="MU239" s="15"/>
      <c r="MV239" s="15"/>
      <c r="MW239" s="16"/>
      <c r="MX239" s="16"/>
      <c r="MY239" s="16"/>
      <c r="MZ239" s="16"/>
      <c r="NA239" s="16"/>
      <c r="NB239" s="15"/>
      <c r="NC239" s="15"/>
      <c r="ND239" s="10"/>
      <c r="NE239" s="10"/>
      <c r="NF239" s="19"/>
      <c r="NG239" s="19"/>
      <c r="NJ239" s="16"/>
      <c r="NK239" s="15"/>
      <c r="NL239" s="15"/>
      <c r="NM239" s="15"/>
      <c r="NN239" s="16"/>
      <c r="NO239" s="16"/>
      <c r="NP239" s="16"/>
      <c r="NQ239" s="16"/>
      <c r="NR239" s="16"/>
      <c r="NS239" s="15"/>
      <c r="NT239" s="15"/>
      <c r="NU239" s="10"/>
      <c r="NV239" s="10"/>
      <c r="NW239" s="19"/>
      <c r="NX239" s="19"/>
      <c r="OA239" s="16"/>
      <c r="OB239" s="15"/>
      <c r="OC239" s="15"/>
      <c r="OD239" s="15"/>
      <c r="OE239" s="16"/>
      <c r="OF239" s="16"/>
      <c r="OG239" s="16"/>
      <c r="OH239" s="16"/>
      <c r="OI239" s="16"/>
      <c r="OJ239" s="15"/>
      <c r="OK239" s="15"/>
      <c r="OL239" s="10"/>
      <c r="OM239" s="10"/>
      <c r="ON239" s="19"/>
      <c r="OO239" s="19"/>
      <c r="OR239" s="16"/>
      <c r="OS239" s="15"/>
      <c r="OT239" s="15"/>
      <c r="OU239" s="15"/>
      <c r="OV239" s="16"/>
      <c r="OW239" s="16"/>
      <c r="OX239" s="16"/>
      <c r="OY239" s="16"/>
      <c r="OZ239" s="16"/>
      <c r="PA239" s="15"/>
      <c r="PB239" s="15"/>
      <c r="PC239" s="10"/>
      <c r="PD239" s="10"/>
      <c r="PE239" s="19"/>
      <c r="PF239" s="19"/>
      <c r="PI239" s="16"/>
      <c r="PJ239" s="15"/>
      <c r="PK239" s="15"/>
      <c r="PL239" s="15"/>
      <c r="PM239" s="16"/>
      <c r="PN239" s="16"/>
      <c r="PO239" s="16"/>
      <c r="PP239" s="16"/>
      <c r="PQ239" s="16"/>
      <c r="PR239" s="15"/>
      <c r="PS239" s="15"/>
      <c r="PT239" s="10"/>
      <c r="PU239" s="10"/>
      <c r="PV239" s="19"/>
      <c r="PW239" s="19"/>
      <c r="PZ239" s="16"/>
      <c r="QA239" s="15"/>
      <c r="QB239" s="15"/>
      <c r="QC239" s="15"/>
      <c r="QD239" s="16"/>
      <c r="QE239" s="16"/>
      <c r="QF239" s="16"/>
      <c r="QG239" s="16"/>
      <c r="QH239" s="16"/>
      <c r="QI239" s="15"/>
      <c r="QJ239" s="15"/>
      <c r="QK239" s="10"/>
      <c r="QL239" s="10"/>
      <c r="QM239" s="19"/>
      <c r="QN239" s="19"/>
      <c r="QQ239" s="16"/>
      <c r="QR239" s="15"/>
      <c r="QS239" s="15"/>
      <c r="QT239" s="15"/>
      <c r="QU239" s="16"/>
      <c r="QV239" s="16"/>
      <c r="QW239" s="16"/>
      <c r="QX239" s="16"/>
      <c r="QY239" s="16"/>
      <c r="QZ239" s="15"/>
      <c r="RA239" s="15"/>
      <c r="RB239" s="10"/>
      <c r="RC239" s="10"/>
      <c r="RD239" s="19"/>
      <c r="RE239" s="19"/>
      <c r="RH239" s="16"/>
      <c r="RI239" s="15"/>
      <c r="RJ239" s="15"/>
      <c r="RK239" s="15"/>
      <c r="RL239" s="16"/>
      <c r="RM239" s="16"/>
      <c r="RN239" s="16"/>
      <c r="RO239" s="16"/>
      <c r="RP239" s="16"/>
      <c r="RQ239" s="15"/>
      <c r="RR239" s="15"/>
      <c r="RS239" s="10"/>
      <c r="RT239" s="10"/>
      <c r="RU239" s="19"/>
      <c r="RV239" s="19"/>
      <c r="RY239" s="16"/>
      <c r="RZ239" s="15"/>
      <c r="SA239" s="15"/>
      <c r="SB239" s="15"/>
      <c r="SC239" s="16"/>
      <c r="SD239" s="16"/>
      <c r="SE239" s="16"/>
      <c r="SF239" s="16"/>
      <c r="SG239" s="16"/>
      <c r="SH239" s="15"/>
      <c r="SI239" s="15"/>
      <c r="SJ239" s="10"/>
      <c r="SK239" s="10"/>
      <c r="SL239" s="19"/>
      <c r="SM239" s="19"/>
      <c r="SP239" s="16"/>
      <c r="SQ239" s="15"/>
      <c r="SR239" s="15"/>
      <c r="SS239" s="15"/>
      <c r="ST239" s="16"/>
      <c r="SU239" s="16"/>
      <c r="SV239" s="16"/>
      <c r="SW239" s="16"/>
      <c r="SX239" s="16"/>
      <c r="SY239" s="15"/>
      <c r="SZ239" s="15"/>
      <c r="TA239" s="10"/>
      <c r="TB239" s="10"/>
      <c r="TC239" s="19"/>
      <c r="TD239" s="19"/>
      <c r="TG239" s="16"/>
      <c r="TH239" s="15"/>
      <c r="TI239" s="15"/>
      <c r="TJ239" s="15"/>
      <c r="TK239" s="16"/>
      <c r="TL239" s="16"/>
      <c r="TM239" s="16"/>
      <c r="TN239" s="16"/>
      <c r="TO239" s="16"/>
      <c r="TP239" s="15"/>
      <c r="TQ239" s="15"/>
      <c r="TR239" s="10"/>
      <c r="TS239" s="10"/>
      <c r="TT239" s="19"/>
      <c r="TU239" s="19"/>
      <c r="TX239" s="16"/>
      <c r="TY239" s="15"/>
      <c r="TZ239" s="15"/>
      <c r="UA239" s="15"/>
      <c r="UB239" s="16"/>
      <c r="UC239" s="16"/>
      <c r="UD239" s="16"/>
      <c r="UE239" s="16"/>
      <c r="UF239" s="16"/>
      <c r="UG239" s="15"/>
      <c r="UH239" s="15"/>
      <c r="UI239" s="10"/>
      <c r="UJ239" s="10"/>
      <c r="UK239" s="19"/>
      <c r="UL239" s="19"/>
      <c r="UO239" s="16"/>
      <c r="UP239" s="15"/>
      <c r="UQ239" s="15"/>
      <c r="UR239" s="15"/>
      <c r="US239" s="16"/>
      <c r="UT239" s="16"/>
      <c r="UU239" s="16"/>
      <c r="UV239" s="16"/>
      <c r="UW239" s="16"/>
      <c r="UX239" s="15"/>
      <c r="UY239" s="15"/>
      <c r="UZ239" s="10"/>
      <c r="VA239" s="10"/>
      <c r="VB239" s="19"/>
      <c r="VC239" s="19"/>
      <c r="VF239" s="16"/>
      <c r="VG239" s="15"/>
      <c r="VH239" s="15"/>
      <c r="VI239" s="15"/>
      <c r="VJ239" s="16"/>
      <c r="VK239" s="16"/>
      <c r="VL239" s="16"/>
      <c r="VM239" s="16"/>
      <c r="VN239" s="16"/>
      <c r="VO239" s="15"/>
      <c r="VP239" s="15"/>
      <c r="VQ239" s="10"/>
      <c r="VR239" s="10"/>
      <c r="VS239" s="19"/>
      <c r="VT239" s="19"/>
      <c r="VW239" s="16"/>
      <c r="VX239" s="15"/>
      <c r="VY239" s="15"/>
      <c r="VZ239" s="15"/>
      <c r="WA239" s="16"/>
      <c r="WB239" s="16"/>
      <c r="WC239" s="16"/>
      <c r="WD239" s="16"/>
      <c r="WE239" s="16"/>
      <c r="WF239" s="15"/>
      <c r="WG239" s="15"/>
      <c r="WH239" s="10"/>
      <c r="WI239" s="10"/>
      <c r="WJ239" s="19"/>
      <c r="WK239" s="19"/>
      <c r="WN239" s="16"/>
      <c r="WO239" s="15"/>
      <c r="WP239" s="15"/>
      <c r="WQ239" s="15"/>
      <c r="WR239" s="16"/>
      <c r="WS239" s="16"/>
      <c r="WT239" s="16"/>
      <c r="WU239" s="16"/>
      <c r="WV239" s="16"/>
      <c r="WW239" s="15"/>
      <c r="WX239" s="15"/>
      <c r="WY239" s="10"/>
      <c r="WZ239" s="10"/>
      <c r="XA239" s="19"/>
      <c r="XB239" s="19"/>
      <c r="XE239" s="16"/>
      <c r="XF239" s="15"/>
      <c r="XG239" s="15"/>
      <c r="XH239" s="15"/>
      <c r="XI239" s="16"/>
      <c r="XJ239" s="16"/>
      <c r="XK239" s="16"/>
      <c r="XL239" s="16"/>
      <c r="XM239" s="16"/>
      <c r="XN239" s="15"/>
      <c r="XO239" s="15"/>
      <c r="XP239" s="10"/>
      <c r="XQ239" s="10"/>
      <c r="XR239" s="19"/>
      <c r="XS239" s="19"/>
      <c r="XV239" s="16"/>
      <c r="XW239" s="15"/>
      <c r="XX239" s="15"/>
      <c r="XY239" s="15"/>
      <c r="XZ239" s="16"/>
      <c r="YA239" s="16"/>
      <c r="YB239" s="16"/>
      <c r="YC239" s="16"/>
      <c r="YD239" s="16"/>
      <c r="YE239" s="15"/>
      <c r="YF239" s="15"/>
      <c r="YG239" s="10"/>
      <c r="YH239" s="10"/>
      <c r="YI239" s="19"/>
      <c r="YJ239" s="19"/>
      <c r="YM239" s="16"/>
      <c r="YN239" s="15"/>
      <c r="YO239" s="15"/>
      <c r="YP239" s="15"/>
      <c r="YQ239" s="16"/>
      <c r="YR239" s="16"/>
      <c r="YS239" s="16"/>
      <c r="YT239" s="16"/>
      <c r="YU239" s="16"/>
      <c r="YV239" s="15"/>
      <c r="YW239" s="15"/>
      <c r="YX239" s="10"/>
      <c r="YY239" s="10"/>
      <c r="YZ239" s="19"/>
      <c r="ZA239" s="19"/>
      <c r="ZD239" s="16"/>
      <c r="ZE239" s="15"/>
      <c r="ZF239" s="15"/>
      <c r="ZG239" s="15"/>
      <c r="ZH239" s="16"/>
      <c r="ZI239" s="16"/>
      <c r="ZJ239" s="16"/>
      <c r="ZK239" s="16"/>
      <c r="ZL239" s="16"/>
      <c r="ZM239" s="15"/>
      <c r="ZN239" s="15"/>
      <c r="ZO239" s="10"/>
      <c r="ZP239" s="10"/>
      <c r="ZQ239" s="19"/>
      <c r="ZR239" s="19"/>
      <c r="ZU239" s="16"/>
      <c r="ZV239" s="15"/>
      <c r="ZW239" s="15"/>
      <c r="ZX239" s="15"/>
      <c r="ZY239" s="16"/>
      <c r="ZZ239" s="16"/>
      <c r="AAA239" s="16"/>
      <c r="AAB239" s="16"/>
      <c r="AAC239" s="16"/>
      <c r="AAD239" s="15"/>
      <c r="AAE239" s="15"/>
      <c r="AAF239" s="10"/>
      <c r="AAG239" s="10"/>
      <c r="AAH239" s="19"/>
      <c r="AAI239" s="19"/>
      <c r="AAL239" s="16"/>
      <c r="AAM239" s="15"/>
      <c r="AAN239" s="15"/>
      <c r="AAO239" s="15"/>
      <c r="AAP239" s="16"/>
      <c r="AAQ239" s="16"/>
      <c r="AAR239" s="16"/>
      <c r="AAS239" s="16"/>
      <c r="AAT239" s="16"/>
      <c r="AAU239" s="15"/>
      <c r="AAV239" s="15"/>
      <c r="AAW239" s="10"/>
      <c r="AAX239" s="10"/>
      <c r="AAY239" s="19"/>
      <c r="AAZ239" s="19"/>
      <c r="ABC239" s="16"/>
      <c r="ABD239" s="15"/>
      <c r="ABE239" s="15"/>
      <c r="ABF239" s="15"/>
      <c r="ABG239" s="16"/>
      <c r="ABH239" s="16"/>
      <c r="ABI239" s="16"/>
      <c r="ABJ239" s="16"/>
      <c r="ABK239" s="16"/>
      <c r="ABL239" s="15"/>
      <c r="ABM239" s="15"/>
      <c r="ABN239" s="10"/>
      <c r="ABO239" s="10"/>
      <c r="ABP239" s="19"/>
      <c r="ABQ239" s="19"/>
      <c r="ABT239" s="16"/>
      <c r="ABU239" s="15"/>
      <c r="ABV239" s="15"/>
      <c r="ABW239" s="15"/>
      <c r="ABX239" s="16"/>
      <c r="ABY239" s="16"/>
      <c r="ABZ239" s="16"/>
      <c r="ACA239" s="16"/>
      <c r="ACB239" s="16"/>
      <c r="ACC239" s="15"/>
      <c r="ACD239" s="15"/>
      <c r="ACE239" s="10"/>
      <c r="ACF239" s="10"/>
      <c r="ACG239" s="19"/>
      <c r="ACH239" s="19"/>
      <c r="ACK239" s="16"/>
      <c r="ACL239" s="15"/>
      <c r="ACM239" s="15"/>
      <c r="ACN239" s="15"/>
      <c r="ACO239" s="16"/>
      <c r="ACP239" s="16"/>
      <c r="ACQ239" s="16"/>
      <c r="ACR239" s="16"/>
      <c r="ACS239" s="16"/>
      <c r="ACT239" s="15"/>
      <c r="ACU239" s="15"/>
      <c r="ACV239" s="10"/>
      <c r="ACW239" s="10"/>
      <c r="ACX239" s="19"/>
      <c r="ACY239" s="19"/>
      <c r="ADB239" s="16"/>
      <c r="ADC239" s="15"/>
      <c r="ADD239" s="15"/>
      <c r="ADE239" s="15"/>
      <c r="ADF239" s="16"/>
      <c r="ADG239" s="16"/>
      <c r="ADH239" s="16"/>
      <c r="ADI239" s="16"/>
      <c r="ADJ239" s="16"/>
      <c r="ADK239" s="15"/>
      <c r="ADL239" s="15"/>
      <c r="ADM239" s="10"/>
      <c r="ADN239" s="10"/>
      <c r="ADO239" s="19"/>
      <c r="ADP239" s="19"/>
      <c r="ADS239" s="16"/>
      <c r="ADT239" s="15"/>
      <c r="ADU239" s="15"/>
      <c r="ADV239" s="15"/>
      <c r="ADW239" s="16"/>
      <c r="ADX239" s="16"/>
      <c r="ADY239" s="16"/>
      <c r="ADZ239" s="16"/>
      <c r="AEA239" s="16"/>
      <c r="AEB239" s="15"/>
      <c r="AEC239" s="15"/>
      <c r="AED239" s="10"/>
      <c r="AEE239" s="10"/>
      <c r="AEF239" s="19"/>
      <c r="AEG239" s="19"/>
      <c r="AEJ239" s="16"/>
      <c r="AEK239" s="15"/>
      <c r="AEL239" s="15"/>
      <c r="AEM239" s="15"/>
      <c r="AEN239" s="16"/>
      <c r="AEO239" s="16"/>
      <c r="AEP239" s="16"/>
      <c r="AEQ239" s="16"/>
      <c r="AER239" s="16"/>
      <c r="AES239" s="15"/>
      <c r="AET239" s="15"/>
      <c r="AEU239" s="10"/>
      <c r="AEV239" s="10"/>
      <c r="AEW239" s="19"/>
      <c r="AEX239" s="19"/>
      <c r="AFA239" s="16"/>
      <c r="AFB239" s="15"/>
      <c r="AFC239" s="15"/>
      <c r="AFD239" s="15"/>
      <c r="AFE239" s="16"/>
      <c r="AFF239" s="16"/>
      <c r="AFG239" s="16"/>
      <c r="AFH239" s="16"/>
      <c r="AFI239" s="16"/>
      <c r="AFJ239" s="15"/>
      <c r="AFK239" s="15"/>
      <c r="AFL239" s="10"/>
      <c r="AFM239" s="10"/>
      <c r="AFN239" s="19"/>
      <c r="AFO239" s="19"/>
      <c r="AFR239" s="16"/>
      <c r="AFS239" s="15"/>
      <c r="AFT239" s="15"/>
      <c r="AFU239" s="15"/>
      <c r="AFV239" s="16"/>
      <c r="AFW239" s="16"/>
      <c r="AFX239" s="16"/>
      <c r="AFY239" s="16"/>
      <c r="AFZ239" s="16"/>
      <c r="AGA239" s="15"/>
      <c r="AGB239" s="15"/>
      <c r="AGC239" s="10"/>
      <c r="AGD239" s="10"/>
      <c r="AGE239" s="19"/>
      <c r="AGF239" s="19"/>
      <c r="AGI239" s="16"/>
      <c r="AGJ239" s="15"/>
      <c r="AGK239" s="15"/>
      <c r="AGL239" s="15"/>
      <c r="AGM239" s="16"/>
      <c r="AGN239" s="16"/>
      <c r="AGO239" s="16"/>
      <c r="AGP239" s="16"/>
      <c r="AGQ239" s="16"/>
      <c r="AGR239" s="15"/>
      <c r="AGS239" s="15"/>
      <c r="AGT239" s="10"/>
      <c r="AGU239" s="10"/>
      <c r="AGV239" s="19"/>
      <c r="AGW239" s="19"/>
      <c r="AGZ239" s="16"/>
      <c r="AHA239" s="15"/>
      <c r="AHB239" s="15"/>
      <c r="AHC239" s="15"/>
      <c r="AHD239" s="16"/>
      <c r="AHE239" s="16"/>
      <c r="AHF239" s="16"/>
      <c r="AHG239" s="16"/>
      <c r="AHH239" s="16"/>
      <c r="AHI239" s="15"/>
      <c r="AHJ239" s="15"/>
      <c r="AHK239" s="10"/>
      <c r="AHL239" s="10"/>
      <c r="AHM239" s="19"/>
      <c r="AHN239" s="19"/>
      <c r="AHQ239" s="16"/>
      <c r="AHR239" s="15"/>
      <c r="AHS239" s="15"/>
      <c r="AHT239" s="15"/>
      <c r="AHU239" s="16"/>
      <c r="AHV239" s="16"/>
      <c r="AHW239" s="16"/>
      <c r="AHX239" s="16"/>
      <c r="AHY239" s="16"/>
      <c r="AHZ239" s="15"/>
      <c r="AIA239" s="15"/>
      <c r="AIB239" s="10"/>
      <c r="AIC239" s="10"/>
      <c r="AID239" s="19"/>
      <c r="AIE239" s="19"/>
      <c r="AIH239" s="16"/>
      <c r="AII239" s="15"/>
      <c r="AIJ239" s="15"/>
      <c r="AIK239" s="15"/>
      <c r="AIL239" s="16"/>
      <c r="AIM239" s="16"/>
      <c r="AIN239" s="16"/>
      <c r="AIO239" s="16"/>
      <c r="AIP239" s="16"/>
      <c r="AIQ239" s="15"/>
      <c r="AIR239" s="15"/>
      <c r="AIS239" s="10"/>
      <c r="AIT239" s="10"/>
      <c r="AIU239" s="19"/>
      <c r="AIV239" s="19"/>
      <c r="AIY239" s="16"/>
      <c r="AIZ239" s="15"/>
      <c r="AJA239" s="15"/>
      <c r="AJB239" s="15"/>
      <c r="AJC239" s="16"/>
      <c r="AJD239" s="16"/>
      <c r="AJE239" s="16"/>
      <c r="AJF239" s="16"/>
      <c r="AJG239" s="16"/>
      <c r="AJH239" s="15"/>
      <c r="AJI239" s="15"/>
      <c r="AJJ239" s="10"/>
      <c r="AJK239" s="10"/>
      <c r="AJL239" s="19"/>
      <c r="AJM239" s="19"/>
      <c r="AJP239" s="16"/>
      <c r="AJQ239" s="15"/>
      <c r="AJR239" s="15"/>
      <c r="AJS239" s="15"/>
      <c r="AJT239" s="16"/>
      <c r="AJU239" s="16"/>
      <c r="AJV239" s="16"/>
      <c r="AJW239" s="16"/>
      <c r="AJX239" s="16"/>
      <c r="AJY239" s="15"/>
      <c r="AJZ239" s="15"/>
      <c r="AKA239" s="10"/>
      <c r="AKB239" s="10"/>
      <c r="AKC239" s="19"/>
      <c r="AKD239" s="19"/>
      <c r="AKG239" s="16"/>
      <c r="AKH239" s="15"/>
      <c r="AKI239" s="15"/>
      <c r="AKJ239" s="15"/>
      <c r="AKK239" s="16"/>
      <c r="AKL239" s="16"/>
      <c r="AKM239" s="16"/>
      <c r="AKN239" s="16"/>
      <c r="AKO239" s="16"/>
      <c r="AKP239" s="15"/>
      <c r="AKQ239" s="15"/>
      <c r="AKR239" s="10"/>
      <c r="AKS239" s="10"/>
      <c r="AKT239" s="19"/>
      <c r="AKU239" s="19"/>
      <c r="AKX239" s="16"/>
      <c r="AKY239" s="15"/>
      <c r="AKZ239" s="15"/>
      <c r="ALA239" s="15"/>
      <c r="ALB239" s="16"/>
      <c r="ALC239" s="16"/>
      <c r="ALD239" s="16"/>
      <c r="ALE239" s="16"/>
      <c r="ALF239" s="16"/>
      <c r="ALG239" s="15"/>
      <c r="ALH239" s="15"/>
      <c r="ALI239" s="10"/>
      <c r="ALJ239" s="10"/>
      <c r="ALK239" s="19"/>
      <c r="ALL239" s="19"/>
      <c r="ALO239" s="16"/>
      <c r="ALP239" s="15"/>
      <c r="ALQ239" s="15"/>
      <c r="ALR239" s="15"/>
      <c r="ALS239" s="16"/>
      <c r="ALT239" s="16"/>
      <c r="ALU239" s="16"/>
      <c r="ALV239" s="16"/>
      <c r="ALW239" s="16"/>
      <c r="ALX239" s="15"/>
      <c r="ALY239" s="15"/>
      <c r="ALZ239" s="10"/>
      <c r="AMA239" s="10"/>
      <c r="AMB239" s="19"/>
      <c r="AMC239" s="19"/>
      <c r="AMF239" s="16"/>
      <c r="AMG239" s="15"/>
      <c r="AMH239" s="15"/>
      <c r="AMI239" s="15"/>
      <c r="AMJ239" s="16"/>
      <c r="AMK239" s="16"/>
      <c r="AML239" s="16"/>
      <c r="AMM239" s="16"/>
      <c r="AMN239" s="16"/>
      <c r="AMO239" s="15"/>
      <c r="AMP239" s="15"/>
      <c r="AMQ239" s="10"/>
      <c r="AMR239" s="10"/>
      <c r="AMS239" s="19"/>
      <c r="AMT239" s="19"/>
      <c r="AMW239" s="16"/>
      <c r="AMX239" s="15"/>
      <c r="AMY239" s="15"/>
      <c r="AMZ239" s="15"/>
      <c r="ANA239" s="16"/>
      <c r="ANB239" s="16"/>
      <c r="ANC239" s="16"/>
      <c r="AND239" s="16"/>
      <c r="ANE239" s="16"/>
      <c r="ANF239" s="15"/>
      <c r="ANG239" s="15"/>
      <c r="ANH239" s="10"/>
      <c r="ANI239" s="10"/>
      <c r="ANJ239" s="19"/>
      <c r="ANK239" s="19"/>
      <c r="ANN239" s="16"/>
      <c r="ANO239" s="15"/>
      <c r="ANP239" s="15"/>
      <c r="ANQ239" s="15"/>
      <c r="ANR239" s="16"/>
      <c r="ANS239" s="16"/>
      <c r="ANT239" s="16"/>
      <c r="ANU239" s="16"/>
      <c r="ANV239" s="16"/>
      <c r="ANW239" s="15"/>
      <c r="ANX239" s="15"/>
      <c r="ANY239" s="10"/>
      <c r="ANZ239" s="10"/>
      <c r="AOA239" s="19"/>
      <c r="AOB239" s="19"/>
      <c r="AOE239" s="16"/>
      <c r="AOF239" s="15"/>
      <c r="AOG239" s="15"/>
      <c r="AOH239" s="15"/>
      <c r="AOI239" s="16"/>
      <c r="AOJ239" s="16"/>
      <c r="AOK239" s="16"/>
      <c r="AOL239" s="16"/>
      <c r="AOM239" s="16"/>
      <c r="AON239" s="15"/>
      <c r="AOO239" s="15"/>
      <c r="AOP239" s="10"/>
      <c r="AOQ239" s="10"/>
      <c r="AOR239" s="19"/>
      <c r="AOS239" s="19"/>
      <c r="AOV239" s="16"/>
      <c r="AOW239" s="15"/>
      <c r="AOX239" s="15"/>
      <c r="AOY239" s="15"/>
      <c r="AOZ239" s="16"/>
      <c r="APA239" s="16"/>
      <c r="APB239" s="16"/>
      <c r="APC239" s="16"/>
      <c r="APD239" s="16"/>
      <c r="APE239" s="15"/>
      <c r="APF239" s="15"/>
      <c r="APG239" s="10"/>
      <c r="APH239" s="10"/>
      <c r="API239" s="19"/>
      <c r="APJ239" s="19"/>
      <c r="APM239" s="16"/>
      <c r="APN239" s="15"/>
      <c r="APO239" s="15"/>
      <c r="APP239" s="15"/>
      <c r="APQ239" s="16"/>
      <c r="APR239" s="16"/>
      <c r="APS239" s="16"/>
      <c r="APT239" s="16"/>
      <c r="APU239" s="16"/>
      <c r="APV239" s="15"/>
      <c r="APW239" s="15"/>
      <c r="APX239" s="10"/>
      <c r="APY239" s="10"/>
      <c r="APZ239" s="19"/>
      <c r="AQA239" s="19"/>
      <c r="AQD239" s="16"/>
      <c r="AQE239" s="15"/>
      <c r="AQF239" s="15"/>
      <c r="AQG239" s="15"/>
      <c r="AQH239" s="16"/>
      <c r="AQI239" s="16"/>
      <c r="AQJ239" s="16"/>
      <c r="AQK239" s="16"/>
      <c r="AQL239" s="16"/>
      <c r="AQM239" s="15"/>
      <c r="AQN239" s="15"/>
      <c r="AQO239" s="10"/>
      <c r="AQP239" s="10"/>
      <c r="AQQ239" s="19"/>
      <c r="AQR239" s="19"/>
      <c r="AQU239" s="16"/>
      <c r="AQV239" s="15"/>
      <c r="AQW239" s="15"/>
      <c r="AQX239" s="15"/>
      <c r="AQY239" s="16"/>
      <c r="AQZ239" s="16"/>
      <c r="ARA239" s="16"/>
      <c r="ARB239" s="16"/>
      <c r="ARC239" s="16"/>
      <c r="ARD239" s="15"/>
      <c r="ARE239" s="15"/>
      <c r="ARF239" s="10"/>
      <c r="ARG239" s="10"/>
      <c r="ARH239" s="19"/>
      <c r="ARI239" s="19"/>
      <c r="ARL239" s="16"/>
      <c r="ARM239" s="15"/>
      <c r="ARN239" s="15"/>
      <c r="ARO239" s="15"/>
      <c r="ARP239" s="16"/>
      <c r="ARQ239" s="16"/>
      <c r="ARR239" s="16"/>
      <c r="ARS239" s="16"/>
      <c r="ART239" s="16"/>
      <c r="ARU239" s="15"/>
      <c r="ARV239" s="15"/>
      <c r="ARW239" s="10"/>
      <c r="ARX239" s="10"/>
      <c r="ARY239" s="19"/>
      <c r="ARZ239" s="19"/>
      <c r="ASC239" s="16"/>
      <c r="ASD239" s="15"/>
      <c r="ASE239" s="15"/>
      <c r="ASF239" s="15"/>
      <c r="ASG239" s="16"/>
      <c r="ASH239" s="16"/>
      <c r="ASI239" s="16"/>
      <c r="ASJ239" s="16"/>
      <c r="ASK239" s="16"/>
      <c r="ASL239" s="15"/>
      <c r="ASM239" s="15"/>
      <c r="ASN239" s="10"/>
      <c r="ASO239" s="10"/>
      <c r="ASP239" s="19"/>
      <c r="ASQ239" s="19"/>
      <c r="AST239" s="16"/>
      <c r="ASU239" s="15"/>
      <c r="ASV239" s="15"/>
      <c r="ASW239" s="15"/>
      <c r="ASX239" s="16"/>
      <c r="ASY239" s="16"/>
      <c r="ASZ239" s="16"/>
      <c r="ATA239" s="16"/>
      <c r="ATB239" s="16"/>
      <c r="ATC239" s="15"/>
      <c r="ATD239" s="15"/>
      <c r="ATE239" s="10"/>
      <c r="ATF239" s="10"/>
      <c r="ATG239" s="19"/>
      <c r="ATH239" s="19"/>
      <c r="ATK239" s="16"/>
      <c r="ATL239" s="15"/>
      <c r="ATM239" s="15"/>
      <c r="ATN239" s="15"/>
      <c r="ATO239" s="16"/>
      <c r="ATP239" s="16"/>
      <c r="ATQ239" s="16"/>
      <c r="ATR239" s="16"/>
      <c r="ATS239" s="16"/>
      <c r="ATT239" s="15"/>
      <c r="ATU239" s="15"/>
      <c r="ATV239" s="10"/>
      <c r="ATW239" s="10"/>
      <c r="ATX239" s="19"/>
      <c r="ATY239" s="19"/>
      <c r="AUB239" s="16"/>
      <c r="AUC239" s="15"/>
      <c r="AUD239" s="15"/>
      <c r="AUE239" s="15"/>
      <c r="AUF239" s="16"/>
      <c r="AUG239" s="16"/>
      <c r="AUH239" s="16"/>
      <c r="AUI239" s="16"/>
      <c r="AUJ239" s="16"/>
      <c r="AUK239" s="15"/>
      <c r="AUL239" s="15"/>
      <c r="AUM239" s="10"/>
      <c r="AUN239" s="10"/>
      <c r="AUO239" s="19"/>
      <c r="AUP239" s="19"/>
      <c r="AUS239" s="16"/>
      <c r="AUT239" s="15"/>
      <c r="AUU239" s="15"/>
      <c r="AUV239" s="15"/>
      <c r="AUW239" s="16"/>
      <c r="AUX239" s="16"/>
      <c r="AUY239" s="16"/>
      <c r="AUZ239" s="16"/>
      <c r="AVA239" s="16"/>
      <c r="AVB239" s="15"/>
      <c r="AVC239" s="15"/>
      <c r="AVD239" s="10"/>
      <c r="AVE239" s="10"/>
      <c r="AVF239" s="19"/>
      <c r="AVG239" s="19"/>
      <c r="AVJ239" s="16"/>
      <c r="AVK239" s="15"/>
      <c r="AVL239" s="15"/>
      <c r="AVM239" s="15"/>
      <c r="AVN239" s="16"/>
      <c r="AVO239" s="16"/>
      <c r="AVP239" s="16"/>
      <c r="AVQ239" s="16"/>
      <c r="AVR239" s="16"/>
      <c r="AVS239" s="15"/>
      <c r="AVT239" s="15"/>
      <c r="AVU239" s="10"/>
      <c r="AVV239" s="10"/>
      <c r="AVW239" s="19"/>
      <c r="AVX239" s="19"/>
      <c r="AWA239" s="16"/>
      <c r="AWB239" s="15"/>
      <c r="AWC239" s="15"/>
      <c r="AWD239" s="15"/>
      <c r="AWE239" s="16"/>
      <c r="AWF239" s="16"/>
      <c r="AWG239" s="16"/>
      <c r="AWH239" s="16"/>
      <c r="AWI239" s="16"/>
      <c r="AWJ239" s="15"/>
      <c r="AWK239" s="15"/>
      <c r="AWL239" s="10"/>
      <c r="AWM239" s="10"/>
      <c r="AWN239" s="19"/>
      <c r="AWO239" s="19"/>
      <c r="AWR239" s="16"/>
      <c r="AWS239" s="15"/>
      <c r="AWT239" s="15"/>
      <c r="AWU239" s="15"/>
      <c r="AWV239" s="16"/>
      <c r="AWW239" s="16"/>
      <c r="AWX239" s="16"/>
      <c r="AWY239" s="16"/>
      <c r="AWZ239" s="16"/>
      <c r="AXA239" s="15"/>
      <c r="AXB239" s="15"/>
      <c r="AXC239" s="10"/>
      <c r="AXD239" s="10"/>
      <c r="AXE239" s="19"/>
      <c r="AXF239" s="19"/>
      <c r="AXI239" s="16"/>
      <c r="AXJ239" s="15"/>
      <c r="AXK239" s="15"/>
      <c r="AXL239" s="15"/>
      <c r="AXM239" s="16"/>
      <c r="AXN239" s="16"/>
      <c r="AXO239" s="16"/>
      <c r="AXP239" s="16"/>
      <c r="AXQ239" s="16"/>
      <c r="AXR239" s="15"/>
      <c r="AXS239" s="15"/>
      <c r="AXT239" s="10"/>
      <c r="AXU239" s="10"/>
      <c r="AXV239" s="19"/>
      <c r="AXW239" s="19"/>
      <c r="AXZ239" s="16"/>
      <c r="AYA239" s="15"/>
      <c r="AYB239" s="15"/>
      <c r="AYC239" s="15"/>
      <c r="AYD239" s="16"/>
      <c r="AYE239" s="16"/>
      <c r="AYF239" s="16"/>
      <c r="AYG239" s="16"/>
      <c r="AYH239" s="16"/>
      <c r="AYI239" s="15"/>
      <c r="AYJ239" s="15"/>
      <c r="AYK239" s="10"/>
      <c r="AYL239" s="10"/>
      <c r="AYM239" s="19"/>
      <c r="AYN239" s="19"/>
      <c r="AYQ239" s="16"/>
      <c r="AYR239" s="15"/>
      <c r="AYS239" s="15"/>
      <c r="AYT239" s="15"/>
      <c r="AYU239" s="16"/>
      <c r="AYV239" s="16"/>
      <c r="AYW239" s="16"/>
      <c r="AYX239" s="16"/>
      <c r="AYY239" s="16"/>
      <c r="AYZ239" s="15"/>
      <c r="AZA239" s="15"/>
      <c r="AZB239" s="10"/>
      <c r="AZC239" s="10"/>
      <c r="AZD239" s="19"/>
      <c r="AZE239" s="19"/>
      <c r="AZH239" s="16"/>
      <c r="AZI239" s="15"/>
      <c r="AZJ239" s="15"/>
      <c r="AZK239" s="15"/>
      <c r="AZL239" s="16"/>
      <c r="AZM239" s="16"/>
      <c r="AZN239" s="16"/>
      <c r="AZO239" s="16"/>
      <c r="AZP239" s="16"/>
      <c r="AZQ239" s="15"/>
      <c r="AZR239" s="15"/>
      <c r="AZS239" s="10"/>
      <c r="AZT239" s="10"/>
      <c r="AZU239" s="19"/>
      <c r="AZV239" s="19"/>
      <c r="AZY239" s="16"/>
      <c r="AZZ239" s="15"/>
      <c r="BAA239" s="15"/>
      <c r="BAB239" s="15"/>
      <c r="BAC239" s="16"/>
      <c r="BAD239" s="16"/>
      <c r="BAE239" s="16"/>
      <c r="BAF239" s="16"/>
      <c r="BAG239" s="16"/>
      <c r="BAH239" s="15"/>
      <c r="BAI239" s="15"/>
      <c r="BAJ239" s="10"/>
      <c r="BAK239" s="10"/>
      <c r="BAL239" s="19"/>
      <c r="BAM239" s="19"/>
      <c r="BAP239" s="16"/>
      <c r="BAQ239" s="15"/>
      <c r="BAR239" s="15"/>
      <c r="BAS239" s="15"/>
      <c r="BAT239" s="16"/>
      <c r="BAU239" s="16"/>
      <c r="BAV239" s="16"/>
      <c r="BAW239" s="16"/>
      <c r="BAX239" s="16"/>
      <c r="BAY239" s="15"/>
      <c r="BAZ239" s="15"/>
      <c r="BBA239" s="10"/>
      <c r="BBB239" s="10"/>
      <c r="BBC239" s="19"/>
      <c r="BBD239" s="19"/>
      <c r="BBG239" s="16"/>
      <c r="BBH239" s="15"/>
      <c r="BBI239" s="15"/>
      <c r="BBJ239" s="15"/>
      <c r="BBK239" s="16"/>
      <c r="BBL239" s="16"/>
      <c r="BBM239" s="16"/>
      <c r="BBN239" s="16"/>
      <c r="BBO239" s="16"/>
      <c r="BBP239" s="15"/>
      <c r="BBQ239" s="15"/>
      <c r="BBR239" s="10"/>
      <c r="BBS239" s="10"/>
      <c r="BBT239" s="19"/>
      <c r="BBU239" s="19"/>
      <c r="BBX239" s="16"/>
      <c r="BBY239" s="15"/>
      <c r="BBZ239" s="15"/>
      <c r="BCA239" s="15"/>
      <c r="BCB239" s="16"/>
      <c r="BCC239" s="16"/>
      <c r="BCD239" s="16"/>
      <c r="BCE239" s="16"/>
      <c r="BCF239" s="16"/>
      <c r="BCG239" s="15"/>
      <c r="BCH239" s="15"/>
      <c r="BCI239" s="10"/>
      <c r="BCJ239" s="10"/>
      <c r="BCK239" s="19"/>
      <c r="BCL239" s="19"/>
      <c r="BCO239" s="16"/>
      <c r="BCP239" s="15"/>
      <c r="BCQ239" s="15"/>
      <c r="BCR239" s="15"/>
      <c r="BCS239" s="16"/>
      <c r="BCT239" s="16"/>
      <c r="BCU239" s="16"/>
      <c r="BCV239" s="16"/>
      <c r="BCW239" s="16"/>
      <c r="BCX239" s="15"/>
      <c r="BCY239" s="15"/>
      <c r="BCZ239" s="10"/>
      <c r="BDA239" s="10"/>
      <c r="BDB239" s="19"/>
      <c r="BDC239" s="19"/>
      <c r="BDF239" s="16"/>
      <c r="BDG239" s="15"/>
      <c r="BDH239" s="15"/>
      <c r="BDI239" s="15"/>
      <c r="BDJ239" s="16"/>
      <c r="BDK239" s="16"/>
      <c r="BDL239" s="16"/>
      <c r="BDM239" s="16"/>
      <c r="BDN239" s="16"/>
      <c r="BDO239" s="15"/>
      <c r="BDP239" s="15"/>
      <c r="BDQ239" s="10"/>
      <c r="BDR239" s="10"/>
      <c r="BDS239" s="19"/>
      <c r="BDT239" s="19"/>
      <c r="BDW239" s="16"/>
      <c r="BDX239" s="15"/>
      <c r="BDY239" s="15"/>
      <c r="BDZ239" s="15"/>
      <c r="BEA239" s="16"/>
      <c r="BEB239" s="16"/>
      <c r="BEC239" s="16"/>
      <c r="BED239" s="16"/>
      <c r="BEE239" s="16"/>
      <c r="BEF239" s="15"/>
      <c r="BEG239" s="15"/>
      <c r="BEH239" s="10"/>
      <c r="BEI239" s="10"/>
      <c r="BEJ239" s="19"/>
      <c r="BEK239" s="19"/>
      <c r="BEN239" s="16"/>
      <c r="BEO239" s="15"/>
      <c r="BEP239" s="15"/>
      <c r="BEQ239" s="15"/>
      <c r="BER239" s="16"/>
      <c r="BES239" s="16"/>
      <c r="BET239" s="16"/>
      <c r="BEU239" s="16"/>
      <c r="BEV239" s="16"/>
      <c r="BEW239" s="15"/>
      <c r="BEX239" s="15"/>
      <c r="BEY239" s="10"/>
      <c r="BEZ239" s="10"/>
      <c r="BFA239" s="19"/>
      <c r="BFB239" s="19"/>
      <c r="BFE239" s="16"/>
      <c r="BFF239" s="15"/>
      <c r="BFG239" s="15"/>
      <c r="BFH239" s="15"/>
      <c r="BFI239" s="16"/>
      <c r="BFJ239" s="16"/>
      <c r="BFK239" s="16"/>
      <c r="BFL239" s="16"/>
      <c r="BFM239" s="16"/>
      <c r="BFN239" s="15"/>
      <c r="BFO239" s="15"/>
      <c r="BFP239" s="10"/>
      <c r="BFQ239" s="10"/>
      <c r="BFR239" s="19"/>
      <c r="BFS239" s="19"/>
      <c r="BFV239" s="16"/>
      <c r="BFW239" s="15"/>
      <c r="BFX239" s="15"/>
      <c r="BFY239" s="15"/>
      <c r="BFZ239" s="16"/>
      <c r="BGA239" s="16"/>
      <c r="BGB239" s="16"/>
      <c r="BGC239" s="16"/>
      <c r="BGD239" s="16"/>
      <c r="BGE239" s="15"/>
      <c r="BGF239" s="15"/>
      <c r="BGG239" s="10"/>
      <c r="BGH239" s="10"/>
      <c r="BGI239" s="19"/>
      <c r="BGJ239" s="19"/>
      <c r="BGM239" s="16"/>
      <c r="BGN239" s="15"/>
      <c r="BGO239" s="15"/>
      <c r="BGP239" s="15"/>
      <c r="BGQ239" s="16"/>
      <c r="BGR239" s="16"/>
      <c r="BGS239" s="16"/>
      <c r="BGT239" s="16"/>
      <c r="BGU239" s="16"/>
      <c r="BGV239" s="15"/>
      <c r="BGW239" s="15"/>
      <c r="BGX239" s="10"/>
      <c r="BGY239" s="10"/>
      <c r="BGZ239" s="19"/>
      <c r="BHA239" s="19"/>
      <c r="BHD239" s="16"/>
      <c r="BHE239" s="15"/>
      <c r="BHF239" s="15"/>
      <c r="BHG239" s="15"/>
      <c r="BHH239" s="16"/>
      <c r="BHI239" s="16"/>
      <c r="BHJ239" s="16"/>
      <c r="BHK239" s="16"/>
      <c r="BHL239" s="16"/>
      <c r="BHM239" s="15"/>
      <c r="BHN239" s="15"/>
      <c r="BHO239" s="10"/>
      <c r="BHP239" s="10"/>
      <c r="BHQ239" s="19"/>
      <c r="BHR239" s="19"/>
      <c r="BHU239" s="16"/>
      <c r="BHV239" s="15"/>
      <c r="BHW239" s="15"/>
      <c r="BHX239" s="15"/>
      <c r="BHY239" s="16"/>
      <c r="BHZ239" s="16"/>
      <c r="BIA239" s="16"/>
      <c r="BIB239" s="16"/>
      <c r="BIC239" s="16"/>
      <c r="BID239" s="15"/>
      <c r="BIE239" s="15"/>
      <c r="BIF239" s="10"/>
      <c r="BIG239" s="10"/>
      <c r="BIH239" s="19"/>
      <c r="BII239" s="19"/>
      <c r="BIL239" s="16"/>
      <c r="BIM239" s="15"/>
      <c r="BIN239" s="15"/>
      <c r="BIO239" s="15"/>
      <c r="BIP239" s="16"/>
      <c r="BIQ239" s="16"/>
      <c r="BIR239" s="16"/>
      <c r="BIS239" s="16"/>
      <c r="BIT239" s="16"/>
      <c r="BIU239" s="15"/>
      <c r="BIV239" s="15"/>
      <c r="BIW239" s="10"/>
      <c r="BIX239" s="10"/>
      <c r="BIY239" s="19"/>
      <c r="BIZ239" s="19"/>
      <c r="BJC239" s="16"/>
      <c r="BJD239" s="15"/>
      <c r="BJE239" s="15"/>
      <c r="BJF239" s="15"/>
      <c r="BJG239" s="16"/>
      <c r="BJH239" s="16"/>
      <c r="BJI239" s="16"/>
      <c r="BJJ239" s="16"/>
      <c r="BJK239" s="16"/>
      <c r="BJL239" s="15"/>
      <c r="BJM239" s="15"/>
      <c r="BJN239" s="10"/>
      <c r="BJO239" s="10"/>
      <c r="BJP239" s="19"/>
      <c r="BJQ239" s="19"/>
      <c r="BJT239" s="16"/>
      <c r="BJU239" s="15"/>
      <c r="BJV239" s="15"/>
      <c r="BJW239" s="15"/>
      <c r="BJX239" s="16"/>
      <c r="BJY239" s="16"/>
      <c r="BJZ239" s="16"/>
      <c r="BKA239" s="16"/>
      <c r="BKB239" s="16"/>
      <c r="BKC239" s="15"/>
      <c r="BKD239" s="15"/>
      <c r="BKE239" s="10"/>
      <c r="BKF239" s="10"/>
      <c r="BKG239" s="19"/>
      <c r="BKH239" s="19"/>
      <c r="BKK239" s="16"/>
      <c r="BKL239" s="15"/>
      <c r="BKM239" s="15"/>
      <c r="BKN239" s="15"/>
      <c r="BKO239" s="16"/>
      <c r="BKP239" s="16"/>
      <c r="BKQ239" s="16"/>
      <c r="BKR239" s="16"/>
      <c r="BKS239" s="16"/>
      <c r="BKT239" s="15"/>
      <c r="BKU239" s="15"/>
      <c r="BKV239" s="10"/>
      <c r="BKW239" s="10"/>
      <c r="BKX239" s="19"/>
      <c r="BKY239" s="19"/>
      <c r="BLB239" s="16"/>
      <c r="BLC239" s="15"/>
      <c r="BLD239" s="15"/>
      <c r="BLE239" s="15"/>
      <c r="BLF239" s="16"/>
      <c r="BLG239" s="16"/>
      <c r="BLH239" s="16"/>
      <c r="BLI239" s="16"/>
      <c r="BLJ239" s="16"/>
      <c r="BLK239" s="15"/>
      <c r="BLL239" s="15"/>
      <c r="BLM239" s="10"/>
      <c r="BLN239" s="10"/>
      <c r="BLO239" s="19"/>
      <c r="BLP239" s="19"/>
      <c r="BLS239" s="16"/>
      <c r="BLT239" s="15"/>
      <c r="BLU239" s="15"/>
      <c r="BLV239" s="15"/>
      <c r="BLW239" s="16"/>
      <c r="BLX239" s="16"/>
      <c r="BLY239" s="16"/>
      <c r="BLZ239" s="16"/>
      <c r="BMA239" s="16"/>
      <c r="BMB239" s="15"/>
      <c r="BMC239" s="15"/>
      <c r="BMD239" s="10"/>
      <c r="BME239" s="10"/>
      <c r="BMF239" s="19"/>
      <c r="BMG239" s="19"/>
      <c r="BMJ239" s="16"/>
      <c r="BMK239" s="15"/>
      <c r="BML239" s="15"/>
      <c r="BMM239" s="15"/>
      <c r="BMN239" s="16"/>
      <c r="BMO239" s="16"/>
      <c r="BMP239" s="16"/>
      <c r="BMQ239" s="16"/>
      <c r="BMR239" s="16"/>
      <c r="BMS239" s="15"/>
      <c r="BMT239" s="15"/>
      <c r="BMU239" s="10"/>
      <c r="BMV239" s="10"/>
      <c r="BMW239" s="19"/>
      <c r="BMX239" s="19"/>
      <c r="BNA239" s="16"/>
      <c r="BNB239" s="15"/>
      <c r="BNC239" s="15"/>
      <c r="BND239" s="15"/>
      <c r="BNE239" s="16"/>
      <c r="BNF239" s="16"/>
      <c r="BNG239" s="16"/>
      <c r="BNH239" s="16"/>
      <c r="BNI239" s="16"/>
      <c r="BNJ239" s="15"/>
      <c r="BNK239" s="15"/>
      <c r="BNL239" s="10"/>
      <c r="BNM239" s="10"/>
      <c r="BNN239" s="19"/>
      <c r="BNO239" s="19"/>
      <c r="BNR239" s="16"/>
      <c r="BNS239" s="15"/>
      <c r="BNT239" s="15"/>
      <c r="BNU239" s="15"/>
      <c r="BNV239" s="16"/>
      <c r="BNW239" s="16"/>
      <c r="BNX239" s="16"/>
      <c r="BNY239" s="16"/>
      <c r="BNZ239" s="16"/>
      <c r="BOA239" s="15"/>
      <c r="BOB239" s="15"/>
      <c r="BOC239" s="10"/>
      <c r="BOD239" s="10"/>
      <c r="BOE239" s="19"/>
      <c r="BOF239" s="19"/>
      <c r="BOI239" s="16"/>
      <c r="BOJ239" s="15"/>
      <c r="BOK239" s="15"/>
      <c r="BOL239" s="15"/>
      <c r="BOM239" s="16"/>
      <c r="BON239" s="16"/>
      <c r="BOO239" s="16"/>
      <c r="BOP239" s="16"/>
      <c r="BOQ239" s="16"/>
      <c r="BOR239" s="15"/>
      <c r="BOS239" s="15"/>
      <c r="BOT239" s="10"/>
      <c r="BOU239" s="10"/>
      <c r="BOV239" s="19"/>
      <c r="BOW239" s="19"/>
      <c r="BOZ239" s="16"/>
      <c r="BPA239" s="15"/>
      <c r="BPB239" s="15"/>
      <c r="BPC239" s="15"/>
      <c r="BPD239" s="16"/>
      <c r="BPE239" s="16"/>
      <c r="BPF239" s="16"/>
      <c r="BPG239" s="16"/>
      <c r="BPH239" s="16"/>
      <c r="BPI239" s="15"/>
      <c r="BPJ239" s="15"/>
      <c r="BPK239" s="10"/>
      <c r="BPL239" s="10"/>
      <c r="BPM239" s="19"/>
      <c r="BPN239" s="19"/>
      <c r="BPQ239" s="16"/>
      <c r="BPR239" s="15"/>
      <c r="BPS239" s="15"/>
      <c r="BPT239" s="15"/>
      <c r="BPU239" s="16"/>
      <c r="BPV239" s="16"/>
      <c r="BPW239" s="16"/>
      <c r="BPX239" s="16"/>
      <c r="BPY239" s="16"/>
      <c r="BPZ239" s="15"/>
      <c r="BQA239" s="15"/>
      <c r="BQB239" s="10"/>
      <c r="BQC239" s="10"/>
      <c r="BQD239" s="19"/>
      <c r="BQE239" s="19"/>
      <c r="BQH239" s="16"/>
      <c r="BQI239" s="15"/>
      <c r="BQJ239" s="15"/>
      <c r="BQK239" s="15"/>
      <c r="BQL239" s="16"/>
      <c r="BQM239" s="16"/>
      <c r="BQN239" s="16"/>
      <c r="BQO239" s="16"/>
      <c r="BQP239" s="16"/>
      <c r="BQQ239" s="15"/>
      <c r="BQR239" s="15"/>
      <c r="BQS239" s="10"/>
      <c r="BQT239" s="10"/>
      <c r="BQU239" s="19"/>
      <c r="BQV239" s="19"/>
      <c r="BQY239" s="16"/>
      <c r="BQZ239" s="15"/>
      <c r="BRA239" s="15"/>
      <c r="BRB239" s="15"/>
      <c r="BRC239" s="16"/>
      <c r="BRD239" s="16"/>
      <c r="BRE239" s="16"/>
      <c r="BRF239" s="16"/>
      <c r="BRG239" s="16"/>
      <c r="BRH239" s="15"/>
      <c r="BRI239" s="15"/>
      <c r="BRJ239" s="10"/>
      <c r="BRK239" s="10"/>
      <c r="BRL239" s="19"/>
      <c r="BRM239" s="19"/>
      <c r="BRP239" s="16"/>
      <c r="BRQ239" s="15"/>
      <c r="BRR239" s="15"/>
      <c r="BRS239" s="15"/>
      <c r="BRT239" s="16"/>
      <c r="BRU239" s="16"/>
      <c r="BRV239" s="16"/>
      <c r="BRW239" s="16"/>
      <c r="BRX239" s="16"/>
      <c r="BRY239" s="15"/>
      <c r="BRZ239" s="15"/>
      <c r="BSA239" s="10"/>
      <c r="BSB239" s="10"/>
      <c r="BSC239" s="19"/>
      <c r="BSD239" s="19"/>
      <c r="BSG239" s="16"/>
      <c r="BSH239" s="15"/>
      <c r="BSI239" s="15"/>
      <c r="BSJ239" s="15"/>
      <c r="BSK239" s="16"/>
      <c r="BSL239" s="16"/>
      <c r="BSM239" s="16"/>
      <c r="BSN239" s="16"/>
      <c r="BSO239" s="16"/>
      <c r="BSP239" s="15"/>
      <c r="BSQ239" s="15"/>
      <c r="BSR239" s="10"/>
      <c r="BSS239" s="10"/>
      <c r="BST239" s="19"/>
      <c r="BSU239" s="19"/>
      <c r="BSX239" s="16"/>
      <c r="BSY239" s="15"/>
      <c r="BSZ239" s="15"/>
      <c r="BTA239" s="15"/>
      <c r="BTB239" s="16"/>
      <c r="BTC239" s="16"/>
      <c r="BTD239" s="16"/>
      <c r="BTE239" s="16"/>
      <c r="BTF239" s="16"/>
      <c r="BTG239" s="15"/>
      <c r="BTH239" s="15"/>
      <c r="BTI239" s="10"/>
      <c r="BTJ239" s="10"/>
      <c r="BTK239" s="19"/>
      <c r="BTL239" s="19"/>
      <c r="BTO239" s="16"/>
      <c r="BTP239" s="15"/>
      <c r="BTQ239" s="15"/>
      <c r="BTR239" s="15"/>
      <c r="BTS239" s="16"/>
      <c r="BTT239" s="16"/>
      <c r="BTU239" s="16"/>
      <c r="BTV239" s="16"/>
      <c r="BTW239" s="16"/>
      <c r="BTX239" s="15"/>
      <c r="BTY239" s="15"/>
      <c r="BTZ239" s="10"/>
      <c r="BUA239" s="10"/>
      <c r="BUB239" s="19"/>
      <c r="BUC239" s="19"/>
      <c r="BUF239" s="16"/>
      <c r="BUG239" s="15"/>
      <c r="BUH239" s="15"/>
      <c r="BUI239" s="15"/>
      <c r="BUJ239" s="16"/>
      <c r="BUK239" s="16"/>
      <c r="BUL239" s="16"/>
      <c r="BUM239" s="16"/>
      <c r="BUN239" s="16"/>
      <c r="BUO239" s="15"/>
      <c r="BUP239" s="15"/>
      <c r="BUQ239" s="10"/>
      <c r="BUR239" s="10"/>
      <c r="BUS239" s="19"/>
      <c r="BUT239" s="19"/>
      <c r="BUW239" s="16"/>
      <c r="BUX239" s="15"/>
      <c r="BUY239" s="15"/>
      <c r="BUZ239" s="15"/>
      <c r="BVA239" s="16"/>
      <c r="BVB239" s="16"/>
      <c r="BVC239" s="16"/>
      <c r="BVD239" s="16"/>
      <c r="BVE239" s="16"/>
      <c r="BVF239" s="15"/>
      <c r="BVG239" s="15"/>
      <c r="BVH239" s="10"/>
      <c r="BVI239" s="10"/>
      <c r="BVJ239" s="19"/>
      <c r="BVK239" s="19"/>
      <c r="BVN239" s="16"/>
      <c r="BVO239" s="15"/>
      <c r="BVP239" s="15"/>
      <c r="BVQ239" s="15"/>
      <c r="BVR239" s="16"/>
      <c r="BVS239" s="16"/>
      <c r="BVT239" s="16"/>
      <c r="BVU239" s="16"/>
      <c r="BVV239" s="16"/>
      <c r="BVW239" s="15"/>
      <c r="BVX239" s="15"/>
      <c r="BVY239" s="10"/>
      <c r="BVZ239" s="10"/>
      <c r="BWA239" s="19"/>
      <c r="BWB239" s="19"/>
      <c r="BWE239" s="16"/>
      <c r="BWF239" s="15"/>
      <c r="BWG239" s="15"/>
      <c r="BWH239" s="15"/>
      <c r="BWI239" s="16"/>
      <c r="BWJ239" s="16"/>
      <c r="BWK239" s="16"/>
      <c r="BWL239" s="16"/>
      <c r="BWM239" s="16"/>
      <c r="BWN239" s="15"/>
      <c r="BWO239" s="15"/>
      <c r="BWP239" s="10"/>
      <c r="BWQ239" s="10"/>
      <c r="BWR239" s="19"/>
      <c r="BWS239" s="19"/>
      <c r="BWV239" s="16"/>
      <c r="BWW239" s="15"/>
      <c r="BWX239" s="15"/>
      <c r="BWY239" s="15"/>
      <c r="BWZ239" s="16"/>
      <c r="BXA239" s="16"/>
      <c r="BXB239" s="16"/>
      <c r="BXC239" s="16"/>
      <c r="BXD239" s="16"/>
      <c r="BXE239" s="15"/>
      <c r="BXF239" s="15"/>
      <c r="BXG239" s="10"/>
      <c r="BXH239" s="10"/>
      <c r="BXI239" s="19"/>
      <c r="BXJ239" s="19"/>
      <c r="BXM239" s="16"/>
      <c r="BXN239" s="15"/>
      <c r="BXO239" s="15"/>
      <c r="BXP239" s="15"/>
      <c r="BXQ239" s="16"/>
      <c r="BXR239" s="16"/>
      <c r="BXS239" s="16"/>
      <c r="BXT239" s="16"/>
      <c r="BXU239" s="16"/>
      <c r="BXV239" s="15"/>
      <c r="BXW239" s="15"/>
      <c r="BXX239" s="10"/>
      <c r="BXY239" s="10"/>
      <c r="BXZ239" s="19"/>
      <c r="BYA239" s="19"/>
      <c r="BYD239" s="16"/>
      <c r="BYE239" s="15"/>
      <c r="BYF239" s="15"/>
      <c r="BYG239" s="15"/>
      <c r="BYH239" s="16"/>
      <c r="BYI239" s="16"/>
      <c r="BYJ239" s="16"/>
      <c r="BYK239" s="16"/>
      <c r="BYL239" s="16"/>
      <c r="BYM239" s="15"/>
      <c r="BYN239" s="15"/>
      <c r="BYO239" s="10"/>
      <c r="BYP239" s="10"/>
      <c r="BYQ239" s="19"/>
      <c r="BYR239" s="19"/>
      <c r="BYU239" s="16"/>
      <c r="BYV239" s="15"/>
      <c r="BYW239" s="15"/>
      <c r="BYX239" s="15"/>
      <c r="BYY239" s="16"/>
      <c r="BYZ239" s="16"/>
      <c r="BZA239" s="16"/>
      <c r="BZB239" s="16"/>
      <c r="BZC239" s="16"/>
      <c r="BZD239" s="15"/>
      <c r="BZE239" s="15"/>
      <c r="BZF239" s="10"/>
      <c r="BZG239" s="10"/>
      <c r="BZH239" s="19"/>
      <c r="BZI239" s="19"/>
      <c r="BZL239" s="16"/>
      <c r="BZM239" s="15"/>
      <c r="BZN239" s="15"/>
      <c r="BZO239" s="15"/>
      <c r="BZP239" s="16"/>
      <c r="BZQ239" s="16"/>
      <c r="BZR239" s="16"/>
      <c r="BZS239" s="16"/>
      <c r="BZT239" s="16"/>
      <c r="BZU239" s="15"/>
      <c r="BZV239" s="15"/>
      <c r="BZW239" s="10"/>
      <c r="BZX239" s="10"/>
      <c r="BZY239" s="19"/>
      <c r="BZZ239" s="19"/>
      <c r="CAC239" s="16"/>
      <c r="CAD239" s="15"/>
      <c r="CAE239" s="15"/>
      <c r="CAF239" s="15"/>
      <c r="CAG239" s="16"/>
      <c r="CAH239" s="16"/>
      <c r="CAI239" s="16"/>
      <c r="CAJ239" s="16"/>
      <c r="CAK239" s="16"/>
      <c r="CAL239" s="15"/>
      <c r="CAM239" s="15"/>
      <c r="CAN239" s="10"/>
      <c r="CAO239" s="10"/>
      <c r="CAP239" s="19"/>
      <c r="CAQ239" s="19"/>
      <c r="CAT239" s="16"/>
      <c r="CAU239" s="15"/>
      <c r="CAV239" s="15"/>
      <c r="CAW239" s="15"/>
      <c r="CAX239" s="16"/>
      <c r="CAY239" s="16"/>
      <c r="CAZ239" s="16"/>
      <c r="CBA239" s="16"/>
      <c r="CBB239" s="16"/>
      <c r="CBC239" s="15"/>
      <c r="CBD239" s="15"/>
      <c r="CBE239" s="10"/>
      <c r="CBF239" s="10"/>
      <c r="CBG239" s="19"/>
      <c r="CBH239" s="19"/>
      <c r="CBK239" s="16"/>
      <c r="CBL239" s="15"/>
      <c r="CBM239" s="15"/>
      <c r="CBN239" s="15"/>
      <c r="CBO239" s="16"/>
      <c r="CBP239" s="16"/>
      <c r="CBQ239" s="16"/>
      <c r="CBR239" s="16"/>
      <c r="CBS239" s="16"/>
      <c r="CBT239" s="15"/>
      <c r="CBU239" s="15"/>
      <c r="CBV239" s="10"/>
      <c r="CBW239" s="10"/>
      <c r="CBX239" s="19"/>
      <c r="CBY239" s="19"/>
      <c r="CCB239" s="16"/>
      <c r="CCC239" s="15"/>
      <c r="CCD239" s="15"/>
      <c r="CCE239" s="15"/>
      <c r="CCF239" s="16"/>
      <c r="CCG239" s="16"/>
      <c r="CCH239" s="16"/>
      <c r="CCI239" s="16"/>
      <c r="CCJ239" s="16"/>
      <c r="CCK239" s="15"/>
      <c r="CCL239" s="15"/>
      <c r="CCM239" s="10"/>
      <c r="CCN239" s="10"/>
      <c r="CCO239" s="19"/>
      <c r="CCP239" s="19"/>
      <c r="CCS239" s="16"/>
      <c r="CCT239" s="15"/>
      <c r="CCU239" s="15"/>
      <c r="CCV239" s="15"/>
      <c r="CCW239" s="16"/>
      <c r="CCX239" s="16"/>
      <c r="CCY239" s="16"/>
      <c r="CCZ239" s="16"/>
      <c r="CDA239" s="16"/>
      <c r="CDB239" s="15"/>
      <c r="CDC239" s="15"/>
      <c r="CDD239" s="10"/>
      <c r="CDE239" s="10"/>
      <c r="CDF239" s="19"/>
      <c r="CDG239" s="19"/>
      <c r="CDJ239" s="16"/>
      <c r="CDK239" s="15"/>
      <c r="CDL239" s="15"/>
      <c r="CDM239" s="15"/>
      <c r="CDN239" s="16"/>
      <c r="CDO239" s="16"/>
      <c r="CDP239" s="16"/>
      <c r="CDQ239" s="16"/>
      <c r="CDR239" s="16"/>
      <c r="CDS239" s="15"/>
      <c r="CDT239" s="15"/>
      <c r="CDU239" s="10"/>
      <c r="CDV239" s="10"/>
      <c r="CDW239" s="19"/>
      <c r="CDX239" s="19"/>
      <c r="CEA239" s="16"/>
      <c r="CEB239" s="15"/>
      <c r="CEC239" s="15"/>
      <c r="CED239" s="15"/>
      <c r="CEE239" s="16"/>
      <c r="CEF239" s="16"/>
      <c r="CEG239" s="16"/>
      <c r="CEH239" s="16"/>
      <c r="CEI239" s="16"/>
      <c r="CEJ239" s="15"/>
      <c r="CEK239" s="15"/>
      <c r="CEL239" s="10"/>
      <c r="CEM239" s="10"/>
      <c r="CEN239" s="19"/>
      <c r="CEO239" s="19"/>
      <c r="CER239" s="16"/>
      <c r="CES239" s="15"/>
      <c r="CET239" s="15"/>
      <c r="CEU239" s="15"/>
      <c r="CEV239" s="16"/>
      <c r="CEW239" s="16"/>
      <c r="CEX239" s="16"/>
      <c r="CEY239" s="16"/>
      <c r="CEZ239" s="16"/>
      <c r="CFA239" s="15"/>
      <c r="CFB239" s="15"/>
      <c r="CFC239" s="10"/>
      <c r="CFD239" s="10"/>
      <c r="CFE239" s="19"/>
      <c r="CFF239" s="19"/>
      <c r="CFI239" s="16"/>
      <c r="CFJ239" s="15"/>
      <c r="CFK239" s="15"/>
      <c r="CFL239" s="15"/>
      <c r="CFM239" s="16"/>
      <c r="CFN239" s="16"/>
      <c r="CFO239" s="16"/>
      <c r="CFP239" s="16"/>
      <c r="CFQ239" s="16"/>
      <c r="CFR239" s="15"/>
      <c r="CFS239" s="15"/>
      <c r="CFT239" s="10"/>
      <c r="CFU239" s="10"/>
      <c r="CFV239" s="19"/>
      <c r="CFW239" s="19"/>
      <c r="CFZ239" s="16"/>
      <c r="CGA239" s="15"/>
      <c r="CGB239" s="15"/>
      <c r="CGC239" s="15"/>
      <c r="CGD239" s="16"/>
      <c r="CGE239" s="16"/>
      <c r="CGF239" s="16"/>
      <c r="CGG239" s="16"/>
      <c r="CGH239" s="16"/>
      <c r="CGI239" s="15"/>
      <c r="CGJ239" s="15"/>
      <c r="CGK239" s="10"/>
      <c r="CGL239" s="10"/>
      <c r="CGM239" s="19"/>
      <c r="CGN239" s="19"/>
      <c r="CGQ239" s="16"/>
      <c r="CGR239" s="15"/>
      <c r="CGS239" s="15"/>
      <c r="CGT239" s="15"/>
      <c r="CGU239" s="16"/>
      <c r="CGV239" s="16"/>
      <c r="CGW239" s="16"/>
      <c r="CGX239" s="16"/>
      <c r="CGY239" s="16"/>
      <c r="CGZ239" s="15"/>
      <c r="CHA239" s="15"/>
      <c r="CHB239" s="10"/>
      <c r="CHC239" s="10"/>
      <c r="CHD239" s="19"/>
      <c r="CHE239" s="19"/>
      <c r="CHH239" s="16"/>
      <c r="CHI239" s="15"/>
      <c r="CHJ239" s="15"/>
      <c r="CHK239" s="15"/>
      <c r="CHL239" s="16"/>
      <c r="CHM239" s="16"/>
      <c r="CHN239" s="16"/>
      <c r="CHO239" s="16"/>
      <c r="CHP239" s="16"/>
      <c r="CHQ239" s="15"/>
      <c r="CHR239" s="15"/>
      <c r="CHS239" s="10"/>
      <c r="CHT239" s="10"/>
      <c r="CHU239" s="19"/>
      <c r="CHV239" s="19"/>
      <c r="CHY239" s="16"/>
      <c r="CHZ239" s="15"/>
      <c r="CIA239" s="15"/>
      <c r="CIB239" s="15"/>
      <c r="CIC239" s="16"/>
      <c r="CID239" s="16"/>
      <c r="CIE239" s="16"/>
      <c r="CIF239" s="16"/>
      <c r="CIG239" s="16"/>
      <c r="CIH239" s="15"/>
      <c r="CII239" s="15"/>
      <c r="CIJ239" s="10"/>
      <c r="CIK239" s="10"/>
      <c r="CIL239" s="19"/>
      <c r="CIM239" s="19"/>
      <c r="CIP239" s="16"/>
      <c r="CIQ239" s="15"/>
      <c r="CIR239" s="15"/>
      <c r="CIS239" s="15"/>
      <c r="CIT239" s="16"/>
      <c r="CIU239" s="16"/>
      <c r="CIV239" s="16"/>
      <c r="CIW239" s="16"/>
      <c r="CIX239" s="16"/>
      <c r="CIY239" s="15"/>
      <c r="CIZ239" s="15"/>
      <c r="CJA239" s="10"/>
      <c r="CJB239" s="10"/>
      <c r="CJC239" s="19"/>
      <c r="CJD239" s="19"/>
      <c r="CJG239" s="16"/>
      <c r="CJH239" s="15"/>
      <c r="CJI239" s="15"/>
      <c r="CJJ239" s="15"/>
      <c r="CJK239" s="16"/>
      <c r="CJL239" s="16"/>
      <c r="CJM239" s="16"/>
      <c r="CJN239" s="16"/>
      <c r="CJO239" s="16"/>
      <c r="CJP239" s="15"/>
      <c r="CJQ239" s="15"/>
      <c r="CJR239" s="10"/>
      <c r="CJS239" s="10"/>
      <c r="CJT239" s="19"/>
      <c r="CJU239" s="19"/>
      <c r="CJX239" s="16"/>
      <c r="CJY239" s="15"/>
      <c r="CJZ239" s="15"/>
      <c r="CKA239" s="15"/>
      <c r="CKB239" s="16"/>
      <c r="CKC239" s="16"/>
      <c r="CKD239" s="16"/>
      <c r="CKE239" s="16"/>
      <c r="CKF239" s="16"/>
      <c r="CKG239" s="15"/>
      <c r="CKH239" s="15"/>
      <c r="CKI239" s="10"/>
      <c r="CKJ239" s="10"/>
      <c r="CKK239" s="19"/>
      <c r="CKL239" s="19"/>
      <c r="CKO239" s="16"/>
      <c r="CKP239" s="15"/>
      <c r="CKQ239" s="15"/>
      <c r="CKR239" s="15"/>
      <c r="CKS239" s="16"/>
      <c r="CKT239" s="16"/>
      <c r="CKU239" s="16"/>
      <c r="CKV239" s="16"/>
      <c r="CKW239" s="16"/>
      <c r="CKX239" s="15"/>
      <c r="CKY239" s="15"/>
      <c r="CKZ239" s="10"/>
      <c r="CLA239" s="10"/>
      <c r="CLB239" s="19"/>
      <c r="CLC239" s="19"/>
      <c r="CLF239" s="16"/>
      <c r="CLG239" s="15"/>
      <c r="CLH239" s="15"/>
      <c r="CLI239" s="15"/>
      <c r="CLJ239" s="16"/>
      <c r="CLK239" s="16"/>
      <c r="CLL239" s="16"/>
      <c r="CLM239" s="16"/>
      <c r="CLN239" s="16"/>
      <c r="CLO239" s="15"/>
      <c r="CLP239" s="15"/>
      <c r="CLQ239" s="10"/>
      <c r="CLR239" s="10"/>
      <c r="CLS239" s="19"/>
      <c r="CLT239" s="19"/>
      <c r="CLW239" s="16"/>
      <c r="CLX239" s="15"/>
      <c r="CLY239" s="15"/>
      <c r="CLZ239" s="15"/>
      <c r="CMA239" s="16"/>
      <c r="CMB239" s="16"/>
      <c r="CMC239" s="16"/>
      <c r="CMD239" s="16"/>
      <c r="CME239" s="16"/>
      <c r="CMF239" s="15"/>
      <c r="CMG239" s="15"/>
      <c r="CMH239" s="10"/>
      <c r="CMI239" s="10"/>
      <c r="CMJ239" s="19"/>
      <c r="CMK239" s="19"/>
      <c r="CMN239" s="16"/>
      <c r="CMO239" s="15"/>
      <c r="CMP239" s="15"/>
      <c r="CMQ239" s="15"/>
      <c r="CMR239" s="16"/>
      <c r="CMS239" s="16"/>
      <c r="CMT239" s="16"/>
      <c r="CMU239" s="16"/>
      <c r="CMV239" s="16"/>
      <c r="CMW239" s="15"/>
      <c r="CMX239" s="15"/>
      <c r="CMY239" s="10"/>
      <c r="CMZ239" s="10"/>
      <c r="CNA239" s="19"/>
      <c r="CNB239" s="19"/>
      <c r="CNE239" s="16"/>
      <c r="CNF239" s="15"/>
      <c r="CNG239" s="15"/>
      <c r="CNH239" s="15"/>
      <c r="CNI239" s="16"/>
      <c r="CNJ239" s="16"/>
      <c r="CNK239" s="16"/>
      <c r="CNL239" s="16"/>
      <c r="CNM239" s="16"/>
      <c r="CNN239" s="15"/>
      <c r="CNO239" s="15"/>
      <c r="CNP239" s="10"/>
      <c r="CNQ239" s="10"/>
      <c r="CNR239" s="19"/>
      <c r="CNS239" s="19"/>
      <c r="CNV239" s="16"/>
      <c r="CNW239" s="15"/>
      <c r="CNX239" s="15"/>
      <c r="CNY239" s="15"/>
      <c r="CNZ239" s="16"/>
      <c r="COA239" s="16"/>
      <c r="COB239" s="16"/>
      <c r="COC239" s="16"/>
      <c r="COD239" s="16"/>
      <c r="COE239" s="15"/>
      <c r="COF239" s="15"/>
      <c r="COG239" s="10"/>
      <c r="COH239" s="10"/>
      <c r="COI239" s="19"/>
      <c r="COJ239" s="19"/>
      <c r="COM239" s="16"/>
      <c r="CON239" s="15"/>
      <c r="COO239" s="15"/>
      <c r="COP239" s="15"/>
      <c r="COQ239" s="16"/>
      <c r="COR239" s="16"/>
      <c r="COS239" s="16"/>
      <c r="COT239" s="16"/>
      <c r="COU239" s="16"/>
      <c r="COV239" s="15"/>
      <c r="COW239" s="15"/>
      <c r="COX239" s="10"/>
      <c r="COY239" s="10"/>
      <c r="COZ239" s="19"/>
      <c r="CPA239" s="19"/>
      <c r="CPD239" s="16"/>
      <c r="CPE239" s="15"/>
      <c r="CPF239" s="15"/>
      <c r="CPG239" s="15"/>
      <c r="CPH239" s="16"/>
      <c r="CPI239" s="16"/>
      <c r="CPJ239" s="16"/>
      <c r="CPK239" s="16"/>
      <c r="CPL239" s="16"/>
      <c r="CPM239" s="15"/>
      <c r="CPN239" s="15"/>
      <c r="CPO239" s="10"/>
      <c r="CPP239" s="10"/>
      <c r="CPQ239" s="19"/>
      <c r="CPR239" s="19"/>
      <c r="CPU239" s="16"/>
      <c r="CPV239" s="15"/>
      <c r="CPW239" s="15"/>
      <c r="CPX239" s="15"/>
      <c r="CPY239" s="16"/>
      <c r="CPZ239" s="16"/>
      <c r="CQA239" s="16"/>
      <c r="CQB239" s="16"/>
      <c r="CQC239" s="16"/>
      <c r="CQD239" s="15"/>
      <c r="CQE239" s="15"/>
      <c r="CQF239" s="10"/>
      <c r="CQG239" s="10"/>
      <c r="CQH239" s="19"/>
      <c r="CQI239" s="19"/>
      <c r="CQL239" s="16"/>
      <c r="CQM239" s="15"/>
      <c r="CQN239" s="15"/>
      <c r="CQO239" s="15"/>
      <c r="CQP239" s="16"/>
      <c r="CQQ239" s="16"/>
      <c r="CQR239" s="16"/>
      <c r="CQS239" s="16"/>
      <c r="CQT239" s="16"/>
      <c r="CQU239" s="15"/>
      <c r="CQV239" s="15"/>
      <c r="CQW239" s="10"/>
      <c r="CQX239" s="10"/>
      <c r="CQY239" s="19"/>
      <c r="CQZ239" s="19"/>
      <c r="CRC239" s="16"/>
      <c r="CRD239" s="15"/>
      <c r="CRE239" s="15"/>
      <c r="CRF239" s="15"/>
      <c r="CRG239" s="16"/>
      <c r="CRH239" s="16"/>
      <c r="CRI239" s="16"/>
      <c r="CRJ239" s="16"/>
      <c r="CRK239" s="16"/>
      <c r="CRL239" s="15"/>
      <c r="CRM239" s="15"/>
      <c r="CRN239" s="10"/>
      <c r="CRO239" s="10"/>
      <c r="CRP239" s="19"/>
      <c r="CRQ239" s="19"/>
      <c r="CRT239" s="16"/>
      <c r="CRU239" s="15"/>
      <c r="CRV239" s="15"/>
      <c r="CRW239" s="15"/>
      <c r="CRX239" s="16"/>
      <c r="CRY239" s="16"/>
      <c r="CRZ239" s="16"/>
      <c r="CSA239" s="16"/>
      <c r="CSB239" s="16"/>
      <c r="CSC239" s="15"/>
      <c r="CSD239" s="15"/>
      <c r="CSE239" s="10"/>
      <c r="CSF239" s="10"/>
      <c r="CSG239" s="19"/>
      <c r="CSH239" s="19"/>
      <c r="CSK239" s="16"/>
      <c r="CSL239" s="15"/>
      <c r="CSM239" s="15"/>
      <c r="CSN239" s="15"/>
      <c r="CSO239" s="16"/>
      <c r="CSP239" s="16"/>
      <c r="CSQ239" s="16"/>
      <c r="CSR239" s="16"/>
      <c r="CSS239" s="16"/>
      <c r="CST239" s="15"/>
      <c r="CSU239" s="15"/>
      <c r="CSV239" s="10"/>
      <c r="CSW239" s="10"/>
      <c r="CSX239" s="19"/>
      <c r="CSY239" s="19"/>
      <c r="CTB239" s="16"/>
      <c r="CTC239" s="15"/>
      <c r="CTD239" s="15"/>
      <c r="CTE239" s="15"/>
      <c r="CTF239" s="16"/>
      <c r="CTG239" s="16"/>
      <c r="CTH239" s="16"/>
      <c r="CTI239" s="16"/>
      <c r="CTJ239" s="16"/>
      <c r="CTK239" s="15"/>
      <c r="CTL239" s="15"/>
      <c r="CTM239" s="10"/>
      <c r="CTN239" s="10"/>
      <c r="CTO239" s="19"/>
      <c r="CTP239" s="19"/>
      <c r="CTS239" s="16"/>
      <c r="CTT239" s="15"/>
      <c r="CTU239" s="15"/>
      <c r="CTV239" s="15"/>
      <c r="CTW239" s="16"/>
      <c r="CTX239" s="16"/>
      <c r="CTY239" s="16"/>
      <c r="CTZ239" s="16"/>
      <c r="CUA239" s="16"/>
      <c r="CUB239" s="15"/>
      <c r="CUC239" s="15"/>
      <c r="CUD239" s="10"/>
      <c r="CUE239" s="10"/>
      <c r="CUF239" s="19"/>
      <c r="CUG239" s="19"/>
      <c r="CUJ239" s="16"/>
      <c r="CUK239" s="15"/>
      <c r="CUL239" s="15"/>
      <c r="CUM239" s="15"/>
      <c r="CUN239" s="16"/>
      <c r="CUO239" s="16"/>
      <c r="CUP239" s="16"/>
      <c r="CUQ239" s="16"/>
      <c r="CUR239" s="16"/>
      <c r="CUS239" s="15"/>
      <c r="CUT239" s="15"/>
      <c r="CUU239" s="10"/>
      <c r="CUV239" s="10"/>
      <c r="CUW239" s="19"/>
      <c r="CUX239" s="19"/>
      <c r="CVA239" s="16"/>
      <c r="CVB239" s="15"/>
      <c r="CVC239" s="15"/>
      <c r="CVD239" s="15"/>
      <c r="CVE239" s="16"/>
      <c r="CVF239" s="16"/>
      <c r="CVG239" s="16"/>
      <c r="CVH239" s="16"/>
      <c r="CVI239" s="16"/>
      <c r="CVJ239" s="15"/>
      <c r="CVK239" s="15"/>
      <c r="CVL239" s="10"/>
      <c r="CVM239" s="10"/>
      <c r="CVN239" s="19"/>
      <c r="CVO239" s="19"/>
      <c r="CVR239" s="16"/>
      <c r="CVS239" s="15"/>
      <c r="CVT239" s="15"/>
      <c r="CVU239" s="15"/>
      <c r="CVV239" s="16"/>
      <c r="CVW239" s="16"/>
      <c r="CVX239" s="16"/>
      <c r="CVY239" s="16"/>
      <c r="CVZ239" s="16"/>
      <c r="CWA239" s="15"/>
      <c r="CWB239" s="15"/>
      <c r="CWC239" s="10"/>
      <c r="CWD239" s="10"/>
      <c r="CWE239" s="19"/>
      <c r="CWF239" s="19"/>
      <c r="CWI239" s="16"/>
      <c r="CWJ239" s="15"/>
      <c r="CWK239" s="15"/>
      <c r="CWL239" s="15"/>
      <c r="CWM239" s="16"/>
      <c r="CWN239" s="16"/>
      <c r="CWO239" s="16"/>
      <c r="CWP239" s="16"/>
      <c r="CWQ239" s="16"/>
      <c r="CWR239" s="15"/>
      <c r="CWS239" s="15"/>
      <c r="CWT239" s="10"/>
      <c r="CWU239" s="10"/>
      <c r="CWV239" s="19"/>
      <c r="CWW239" s="19"/>
      <c r="CWZ239" s="16"/>
      <c r="CXA239" s="15"/>
      <c r="CXB239" s="15"/>
      <c r="CXC239" s="15"/>
      <c r="CXD239" s="16"/>
      <c r="CXE239" s="16"/>
      <c r="CXF239" s="16"/>
      <c r="CXG239" s="16"/>
      <c r="CXH239" s="16"/>
      <c r="CXI239" s="15"/>
      <c r="CXJ239" s="15"/>
      <c r="CXK239" s="10"/>
      <c r="CXL239" s="10"/>
      <c r="CXM239" s="19"/>
      <c r="CXN239" s="19"/>
      <c r="CXQ239" s="16"/>
      <c r="CXR239" s="15"/>
      <c r="CXS239" s="15"/>
      <c r="CXT239" s="15"/>
      <c r="CXU239" s="16"/>
      <c r="CXV239" s="16"/>
      <c r="CXW239" s="16"/>
      <c r="CXX239" s="16"/>
      <c r="CXY239" s="16"/>
      <c r="CXZ239" s="15"/>
      <c r="CYA239" s="15"/>
      <c r="CYB239" s="10"/>
      <c r="CYC239" s="10"/>
      <c r="CYD239" s="19"/>
      <c r="CYE239" s="19"/>
      <c r="CYH239" s="16"/>
      <c r="CYI239" s="15"/>
      <c r="CYJ239" s="15"/>
      <c r="CYK239" s="15"/>
      <c r="CYL239" s="16"/>
      <c r="CYM239" s="16"/>
      <c r="CYN239" s="16"/>
      <c r="CYO239" s="16"/>
      <c r="CYP239" s="16"/>
      <c r="CYQ239" s="15"/>
      <c r="CYR239" s="15"/>
      <c r="CYS239" s="10"/>
      <c r="CYT239" s="10"/>
      <c r="CYU239" s="19"/>
      <c r="CYV239" s="19"/>
      <c r="CYY239" s="16"/>
      <c r="CYZ239" s="15"/>
      <c r="CZA239" s="15"/>
      <c r="CZB239" s="15"/>
      <c r="CZC239" s="16"/>
      <c r="CZD239" s="16"/>
      <c r="CZE239" s="16"/>
      <c r="CZF239" s="16"/>
      <c r="CZG239" s="16"/>
      <c r="CZH239" s="15"/>
      <c r="CZI239" s="15"/>
      <c r="CZJ239" s="10"/>
      <c r="CZK239" s="10"/>
      <c r="CZL239" s="19"/>
      <c r="CZM239" s="19"/>
      <c r="CZP239" s="16"/>
      <c r="CZQ239" s="15"/>
      <c r="CZR239" s="15"/>
      <c r="CZS239" s="15"/>
      <c r="CZT239" s="16"/>
      <c r="CZU239" s="16"/>
      <c r="CZV239" s="16"/>
      <c r="CZW239" s="16"/>
      <c r="CZX239" s="16"/>
      <c r="CZY239" s="15"/>
      <c r="CZZ239" s="15"/>
      <c r="DAA239" s="10"/>
      <c r="DAB239" s="10"/>
      <c r="DAC239" s="19"/>
      <c r="DAD239" s="19"/>
      <c r="DAG239" s="16"/>
      <c r="DAH239" s="15"/>
      <c r="DAI239" s="15"/>
      <c r="DAJ239" s="15"/>
      <c r="DAK239" s="16"/>
      <c r="DAL239" s="16"/>
      <c r="DAM239" s="16"/>
      <c r="DAN239" s="16"/>
      <c r="DAO239" s="16"/>
      <c r="DAP239" s="15"/>
      <c r="DAQ239" s="15"/>
      <c r="DAR239" s="10"/>
      <c r="DAS239" s="10"/>
      <c r="DAT239" s="19"/>
      <c r="DAU239" s="19"/>
      <c r="DAX239" s="16"/>
      <c r="DAY239" s="15"/>
      <c r="DAZ239" s="15"/>
      <c r="DBA239" s="15"/>
      <c r="DBB239" s="16"/>
      <c r="DBC239" s="16"/>
      <c r="DBD239" s="16"/>
      <c r="DBE239" s="16"/>
      <c r="DBF239" s="16"/>
      <c r="DBG239" s="15"/>
      <c r="DBH239" s="15"/>
      <c r="DBI239" s="10"/>
      <c r="DBJ239" s="10"/>
      <c r="DBK239" s="19"/>
      <c r="DBL239" s="19"/>
      <c r="DBO239" s="16"/>
      <c r="DBP239" s="15"/>
      <c r="DBQ239" s="15"/>
      <c r="DBR239" s="15"/>
      <c r="DBS239" s="16"/>
      <c r="DBT239" s="16"/>
      <c r="DBU239" s="16"/>
      <c r="DBV239" s="16"/>
      <c r="DBW239" s="16"/>
      <c r="DBX239" s="15"/>
      <c r="DBY239" s="15"/>
      <c r="DBZ239" s="10"/>
      <c r="DCA239" s="10"/>
      <c r="DCB239" s="19"/>
      <c r="DCC239" s="19"/>
      <c r="DCF239" s="16"/>
      <c r="DCG239" s="15"/>
      <c r="DCH239" s="15"/>
      <c r="DCI239" s="15"/>
      <c r="DCJ239" s="16"/>
      <c r="DCK239" s="16"/>
      <c r="DCL239" s="16"/>
      <c r="DCM239" s="16"/>
      <c r="DCN239" s="16"/>
      <c r="DCO239" s="15"/>
      <c r="DCP239" s="15"/>
      <c r="DCQ239" s="10"/>
      <c r="DCR239" s="10"/>
      <c r="DCS239" s="19"/>
      <c r="DCT239" s="19"/>
      <c r="DCW239" s="16"/>
      <c r="DCX239" s="15"/>
      <c r="DCY239" s="15"/>
      <c r="DCZ239" s="15"/>
      <c r="DDA239" s="16"/>
      <c r="DDB239" s="16"/>
      <c r="DDC239" s="16"/>
      <c r="DDD239" s="16"/>
      <c r="DDE239" s="16"/>
      <c r="DDF239" s="15"/>
      <c r="DDG239" s="15"/>
      <c r="DDH239" s="10"/>
      <c r="DDI239" s="10"/>
      <c r="DDJ239" s="19"/>
      <c r="DDK239" s="19"/>
      <c r="DDN239" s="16"/>
      <c r="DDO239" s="15"/>
      <c r="DDP239" s="15"/>
      <c r="DDQ239" s="15"/>
      <c r="DDR239" s="16"/>
      <c r="DDS239" s="16"/>
      <c r="DDT239" s="16"/>
      <c r="DDU239" s="16"/>
      <c r="DDV239" s="16"/>
      <c r="DDW239" s="15"/>
      <c r="DDX239" s="15"/>
      <c r="DDY239" s="10"/>
      <c r="DDZ239" s="10"/>
      <c r="DEA239" s="19"/>
      <c r="DEB239" s="19"/>
      <c r="DEE239" s="16"/>
      <c r="DEF239" s="15"/>
      <c r="DEG239" s="15"/>
      <c r="DEH239" s="15"/>
      <c r="DEI239" s="16"/>
      <c r="DEJ239" s="16"/>
      <c r="DEK239" s="16"/>
      <c r="DEL239" s="16"/>
      <c r="DEM239" s="16"/>
      <c r="DEN239" s="15"/>
      <c r="DEO239" s="15"/>
      <c r="DEP239" s="10"/>
      <c r="DEQ239" s="10"/>
      <c r="DER239" s="19"/>
      <c r="DES239" s="19"/>
      <c r="DEV239" s="16"/>
      <c r="DEW239" s="15"/>
      <c r="DEX239" s="15"/>
      <c r="DEY239" s="15"/>
      <c r="DEZ239" s="16"/>
      <c r="DFA239" s="16"/>
      <c r="DFB239" s="16"/>
      <c r="DFC239" s="16"/>
      <c r="DFD239" s="16"/>
      <c r="DFE239" s="15"/>
      <c r="DFF239" s="15"/>
      <c r="DFG239" s="10"/>
      <c r="DFH239" s="10"/>
      <c r="DFI239" s="19"/>
      <c r="DFJ239" s="19"/>
      <c r="DFM239" s="16"/>
      <c r="DFN239" s="15"/>
      <c r="DFO239" s="15"/>
      <c r="DFP239" s="15"/>
      <c r="DFQ239" s="16"/>
      <c r="DFR239" s="16"/>
      <c r="DFS239" s="16"/>
      <c r="DFT239" s="16"/>
      <c r="DFU239" s="16"/>
      <c r="DFV239" s="15"/>
      <c r="DFW239" s="15"/>
      <c r="DFX239" s="10"/>
      <c r="DFY239" s="10"/>
      <c r="DFZ239" s="19"/>
      <c r="DGA239" s="19"/>
      <c r="DGD239" s="16"/>
      <c r="DGE239" s="15"/>
      <c r="DGF239" s="15"/>
      <c r="DGG239" s="15"/>
      <c r="DGH239" s="16"/>
      <c r="DGI239" s="16"/>
      <c r="DGJ239" s="16"/>
      <c r="DGK239" s="16"/>
      <c r="DGL239" s="16"/>
      <c r="DGM239" s="15"/>
      <c r="DGN239" s="15"/>
      <c r="DGO239" s="10"/>
      <c r="DGP239" s="10"/>
      <c r="DGQ239" s="19"/>
      <c r="DGR239" s="19"/>
      <c r="DGU239" s="16"/>
      <c r="DGV239" s="15"/>
      <c r="DGW239" s="15"/>
      <c r="DGX239" s="15"/>
      <c r="DGY239" s="16"/>
      <c r="DGZ239" s="16"/>
      <c r="DHA239" s="16"/>
      <c r="DHB239" s="16"/>
      <c r="DHC239" s="16"/>
      <c r="DHD239" s="15"/>
      <c r="DHE239" s="15"/>
      <c r="DHF239" s="10"/>
      <c r="DHG239" s="10"/>
      <c r="DHH239" s="19"/>
      <c r="DHI239" s="19"/>
      <c r="DHL239" s="16"/>
      <c r="DHM239" s="15"/>
      <c r="DHN239" s="15"/>
      <c r="DHO239" s="15"/>
      <c r="DHP239" s="16"/>
      <c r="DHQ239" s="16"/>
      <c r="DHR239" s="16"/>
      <c r="DHS239" s="16"/>
      <c r="DHT239" s="16"/>
      <c r="DHU239" s="15"/>
      <c r="DHV239" s="15"/>
      <c r="DHW239" s="10"/>
      <c r="DHX239" s="10"/>
      <c r="DHY239" s="19"/>
      <c r="DHZ239" s="19"/>
      <c r="DIC239" s="16"/>
      <c r="DID239" s="15"/>
      <c r="DIE239" s="15"/>
      <c r="DIF239" s="15"/>
      <c r="DIG239" s="16"/>
      <c r="DIH239" s="16"/>
      <c r="DII239" s="16"/>
      <c r="DIJ239" s="16"/>
      <c r="DIK239" s="16"/>
      <c r="DIL239" s="15"/>
      <c r="DIM239" s="15"/>
      <c r="DIN239" s="10"/>
      <c r="DIO239" s="10"/>
      <c r="DIP239" s="19"/>
      <c r="DIQ239" s="19"/>
      <c r="DIT239" s="16"/>
      <c r="DIU239" s="15"/>
      <c r="DIV239" s="15"/>
      <c r="DIW239" s="15"/>
      <c r="DIX239" s="16"/>
      <c r="DIY239" s="16"/>
      <c r="DIZ239" s="16"/>
      <c r="DJA239" s="16"/>
      <c r="DJB239" s="16"/>
      <c r="DJC239" s="15"/>
      <c r="DJD239" s="15"/>
      <c r="DJE239" s="10"/>
      <c r="DJF239" s="10"/>
      <c r="DJG239" s="19"/>
      <c r="DJH239" s="19"/>
      <c r="DJK239" s="16"/>
      <c r="DJL239" s="15"/>
      <c r="DJM239" s="15"/>
      <c r="DJN239" s="15"/>
      <c r="DJO239" s="16"/>
      <c r="DJP239" s="16"/>
      <c r="DJQ239" s="16"/>
      <c r="DJR239" s="16"/>
      <c r="DJS239" s="16"/>
      <c r="DJT239" s="15"/>
      <c r="DJU239" s="15"/>
      <c r="DJV239" s="10"/>
      <c r="DJW239" s="10"/>
      <c r="DJX239" s="19"/>
      <c r="DJY239" s="19"/>
      <c r="DKB239" s="16"/>
      <c r="DKC239" s="15"/>
      <c r="DKD239" s="15"/>
      <c r="DKE239" s="15"/>
      <c r="DKF239" s="16"/>
      <c r="DKG239" s="16"/>
      <c r="DKH239" s="16"/>
      <c r="DKI239" s="16"/>
      <c r="DKJ239" s="16"/>
      <c r="DKK239" s="15"/>
      <c r="DKL239" s="15"/>
      <c r="DKM239" s="10"/>
      <c r="DKN239" s="10"/>
      <c r="DKO239" s="19"/>
      <c r="DKP239" s="19"/>
      <c r="DKS239" s="16"/>
      <c r="DKT239" s="15"/>
      <c r="DKU239" s="15"/>
      <c r="DKV239" s="15"/>
      <c r="DKW239" s="16"/>
      <c r="DKX239" s="16"/>
      <c r="DKY239" s="16"/>
      <c r="DKZ239" s="16"/>
      <c r="DLA239" s="16"/>
      <c r="DLB239" s="15"/>
      <c r="DLC239" s="15"/>
      <c r="DLD239" s="10"/>
      <c r="DLE239" s="10"/>
      <c r="DLF239" s="19"/>
      <c r="DLG239" s="19"/>
      <c r="DLJ239" s="16"/>
      <c r="DLK239" s="15"/>
      <c r="DLL239" s="15"/>
      <c r="DLM239" s="15"/>
      <c r="DLN239" s="16"/>
      <c r="DLO239" s="16"/>
      <c r="DLP239" s="16"/>
      <c r="DLQ239" s="16"/>
      <c r="DLR239" s="16"/>
      <c r="DLS239" s="15"/>
      <c r="DLT239" s="15"/>
      <c r="DLU239" s="10"/>
      <c r="DLV239" s="10"/>
      <c r="DLW239" s="19"/>
      <c r="DLX239" s="19"/>
      <c r="DMA239" s="16"/>
      <c r="DMB239" s="15"/>
      <c r="DMC239" s="15"/>
      <c r="DMD239" s="15"/>
      <c r="DME239" s="16"/>
      <c r="DMF239" s="16"/>
      <c r="DMG239" s="16"/>
      <c r="DMH239" s="16"/>
      <c r="DMI239" s="16"/>
      <c r="DMJ239" s="15"/>
      <c r="DMK239" s="15"/>
      <c r="DML239" s="10"/>
      <c r="DMM239" s="10"/>
      <c r="DMN239" s="19"/>
      <c r="DMO239" s="19"/>
      <c r="DMR239" s="16"/>
      <c r="DMS239" s="15"/>
      <c r="DMT239" s="15"/>
      <c r="DMU239" s="15"/>
      <c r="DMV239" s="16"/>
      <c r="DMW239" s="16"/>
      <c r="DMX239" s="16"/>
      <c r="DMY239" s="16"/>
      <c r="DMZ239" s="16"/>
      <c r="DNA239" s="15"/>
      <c r="DNB239" s="15"/>
      <c r="DNC239" s="10"/>
      <c r="DND239" s="10"/>
      <c r="DNE239" s="19"/>
      <c r="DNF239" s="19"/>
      <c r="DNI239" s="16"/>
      <c r="DNJ239" s="15"/>
      <c r="DNK239" s="15"/>
      <c r="DNL239" s="15"/>
      <c r="DNM239" s="16"/>
      <c r="DNN239" s="16"/>
      <c r="DNO239" s="16"/>
      <c r="DNP239" s="16"/>
      <c r="DNQ239" s="16"/>
      <c r="DNR239" s="15"/>
      <c r="DNS239" s="15"/>
      <c r="DNT239" s="10"/>
      <c r="DNU239" s="10"/>
      <c r="DNV239" s="19"/>
      <c r="DNW239" s="19"/>
      <c r="DNZ239" s="16"/>
      <c r="DOA239" s="15"/>
      <c r="DOB239" s="15"/>
      <c r="DOC239" s="15"/>
      <c r="DOD239" s="16"/>
      <c r="DOE239" s="16"/>
      <c r="DOF239" s="16"/>
      <c r="DOG239" s="16"/>
      <c r="DOH239" s="16"/>
      <c r="DOI239" s="15"/>
      <c r="DOJ239" s="15"/>
      <c r="DOK239" s="10"/>
      <c r="DOL239" s="10"/>
      <c r="DOM239" s="19"/>
      <c r="DON239" s="19"/>
      <c r="DOQ239" s="16"/>
      <c r="DOR239" s="15"/>
      <c r="DOS239" s="15"/>
      <c r="DOT239" s="15"/>
      <c r="DOU239" s="16"/>
      <c r="DOV239" s="16"/>
      <c r="DOW239" s="16"/>
      <c r="DOX239" s="16"/>
      <c r="DOY239" s="16"/>
      <c r="DOZ239" s="15"/>
      <c r="DPA239" s="15"/>
      <c r="DPB239" s="10"/>
      <c r="DPC239" s="10"/>
      <c r="DPD239" s="19"/>
      <c r="DPE239" s="19"/>
      <c r="DPH239" s="16"/>
      <c r="DPI239" s="15"/>
      <c r="DPJ239" s="15"/>
      <c r="DPK239" s="15"/>
      <c r="DPL239" s="16"/>
      <c r="DPM239" s="16"/>
      <c r="DPN239" s="16"/>
      <c r="DPO239" s="16"/>
      <c r="DPP239" s="16"/>
      <c r="DPQ239" s="15"/>
      <c r="DPR239" s="15"/>
      <c r="DPS239" s="10"/>
      <c r="DPT239" s="10"/>
      <c r="DPU239" s="19"/>
      <c r="DPV239" s="19"/>
      <c r="DPY239" s="16"/>
      <c r="DPZ239" s="15"/>
      <c r="DQA239" s="15"/>
      <c r="DQB239" s="15"/>
      <c r="DQC239" s="16"/>
      <c r="DQD239" s="16"/>
      <c r="DQE239" s="16"/>
      <c r="DQF239" s="16"/>
      <c r="DQG239" s="16"/>
      <c r="DQH239" s="15"/>
      <c r="DQI239" s="15"/>
      <c r="DQJ239" s="10"/>
      <c r="DQK239" s="10"/>
      <c r="DQL239" s="19"/>
      <c r="DQM239" s="19"/>
      <c r="DQP239" s="16"/>
      <c r="DQQ239" s="15"/>
      <c r="DQR239" s="15"/>
      <c r="DQS239" s="15"/>
      <c r="DQT239" s="16"/>
      <c r="DQU239" s="16"/>
      <c r="DQV239" s="16"/>
      <c r="DQW239" s="16"/>
      <c r="DQX239" s="16"/>
      <c r="DQY239" s="15"/>
      <c r="DQZ239" s="15"/>
      <c r="DRA239" s="10"/>
      <c r="DRB239" s="10"/>
      <c r="DRC239" s="19"/>
      <c r="DRD239" s="19"/>
      <c r="DRG239" s="16"/>
      <c r="DRH239" s="15"/>
      <c r="DRI239" s="15"/>
      <c r="DRJ239" s="15"/>
      <c r="DRK239" s="16"/>
      <c r="DRL239" s="16"/>
      <c r="DRM239" s="16"/>
      <c r="DRN239" s="16"/>
      <c r="DRO239" s="16"/>
      <c r="DRP239" s="15"/>
      <c r="DRQ239" s="15"/>
      <c r="DRR239" s="10"/>
      <c r="DRS239" s="10"/>
      <c r="DRT239" s="19"/>
      <c r="DRU239" s="19"/>
      <c r="DRX239" s="16"/>
      <c r="DRY239" s="15"/>
      <c r="DRZ239" s="15"/>
      <c r="DSA239" s="15"/>
      <c r="DSB239" s="16"/>
      <c r="DSC239" s="16"/>
      <c r="DSD239" s="16"/>
      <c r="DSE239" s="16"/>
      <c r="DSF239" s="16"/>
      <c r="DSG239" s="15"/>
      <c r="DSH239" s="15"/>
      <c r="DSI239" s="10"/>
      <c r="DSJ239" s="10"/>
      <c r="DSK239" s="19"/>
      <c r="DSL239" s="19"/>
      <c r="DSO239" s="16"/>
      <c r="DSP239" s="15"/>
      <c r="DSQ239" s="15"/>
      <c r="DSR239" s="15"/>
      <c r="DSS239" s="16"/>
      <c r="DST239" s="16"/>
      <c r="DSU239" s="16"/>
      <c r="DSV239" s="16"/>
      <c r="DSW239" s="16"/>
      <c r="DSX239" s="15"/>
      <c r="DSY239" s="15"/>
      <c r="DSZ239" s="10"/>
      <c r="DTA239" s="10"/>
      <c r="DTB239" s="19"/>
      <c r="DTC239" s="19"/>
      <c r="DTF239" s="16"/>
      <c r="DTG239" s="15"/>
      <c r="DTH239" s="15"/>
      <c r="DTI239" s="15"/>
      <c r="DTJ239" s="16"/>
      <c r="DTK239" s="16"/>
      <c r="DTL239" s="16"/>
      <c r="DTM239" s="16"/>
      <c r="DTN239" s="16"/>
      <c r="DTO239" s="15"/>
      <c r="DTP239" s="15"/>
      <c r="DTQ239" s="10"/>
      <c r="DTR239" s="10"/>
      <c r="DTS239" s="19"/>
      <c r="DTT239" s="19"/>
      <c r="DTW239" s="16"/>
      <c r="DTX239" s="15"/>
      <c r="DTY239" s="15"/>
      <c r="DTZ239" s="15"/>
      <c r="DUA239" s="16"/>
      <c r="DUB239" s="16"/>
      <c r="DUC239" s="16"/>
      <c r="DUD239" s="16"/>
      <c r="DUE239" s="16"/>
      <c r="DUF239" s="15"/>
      <c r="DUG239" s="15"/>
      <c r="DUH239" s="10"/>
      <c r="DUI239" s="10"/>
      <c r="DUJ239" s="19"/>
      <c r="DUK239" s="19"/>
      <c r="DUN239" s="16"/>
      <c r="DUO239" s="15"/>
      <c r="DUP239" s="15"/>
      <c r="DUQ239" s="15"/>
      <c r="DUR239" s="16"/>
      <c r="DUS239" s="16"/>
      <c r="DUT239" s="16"/>
      <c r="DUU239" s="16"/>
      <c r="DUV239" s="16"/>
      <c r="DUW239" s="15"/>
      <c r="DUX239" s="15"/>
      <c r="DUY239" s="10"/>
      <c r="DUZ239" s="10"/>
      <c r="DVA239" s="19"/>
      <c r="DVB239" s="19"/>
      <c r="DVE239" s="16"/>
      <c r="DVF239" s="15"/>
      <c r="DVG239" s="15"/>
      <c r="DVH239" s="15"/>
      <c r="DVI239" s="16"/>
      <c r="DVJ239" s="16"/>
      <c r="DVK239" s="16"/>
      <c r="DVL239" s="16"/>
      <c r="DVM239" s="16"/>
      <c r="DVN239" s="15"/>
      <c r="DVO239" s="15"/>
      <c r="DVP239" s="10"/>
      <c r="DVQ239" s="10"/>
      <c r="DVR239" s="19"/>
      <c r="DVS239" s="19"/>
      <c r="DVV239" s="16"/>
      <c r="DVW239" s="15"/>
      <c r="DVX239" s="15"/>
      <c r="DVY239" s="15"/>
      <c r="DVZ239" s="16"/>
      <c r="DWA239" s="16"/>
      <c r="DWB239" s="16"/>
      <c r="DWC239" s="16"/>
      <c r="DWD239" s="16"/>
      <c r="DWE239" s="15"/>
      <c r="DWF239" s="15"/>
      <c r="DWG239" s="10"/>
      <c r="DWH239" s="10"/>
      <c r="DWI239" s="19"/>
      <c r="DWJ239" s="19"/>
      <c r="DWM239" s="16"/>
      <c r="DWN239" s="15"/>
      <c r="DWO239" s="15"/>
      <c r="DWP239" s="15"/>
      <c r="DWQ239" s="16"/>
      <c r="DWR239" s="16"/>
      <c r="DWS239" s="16"/>
      <c r="DWT239" s="16"/>
      <c r="DWU239" s="16"/>
      <c r="DWV239" s="15"/>
      <c r="DWW239" s="15"/>
      <c r="DWX239" s="10"/>
      <c r="DWY239" s="10"/>
      <c r="DWZ239" s="19"/>
      <c r="DXA239" s="19"/>
      <c r="DXD239" s="16"/>
      <c r="DXE239" s="15"/>
      <c r="DXF239" s="15"/>
      <c r="DXG239" s="15"/>
      <c r="DXH239" s="16"/>
      <c r="DXI239" s="16"/>
      <c r="DXJ239" s="16"/>
      <c r="DXK239" s="16"/>
      <c r="DXL239" s="16"/>
      <c r="DXM239" s="15"/>
      <c r="DXN239" s="15"/>
      <c r="DXO239" s="10"/>
      <c r="DXP239" s="10"/>
      <c r="DXQ239" s="19"/>
      <c r="DXR239" s="19"/>
      <c r="DXU239" s="16"/>
      <c r="DXV239" s="15"/>
      <c r="DXW239" s="15"/>
      <c r="DXX239" s="15"/>
      <c r="DXY239" s="16"/>
      <c r="DXZ239" s="16"/>
      <c r="DYA239" s="16"/>
      <c r="DYB239" s="16"/>
      <c r="DYC239" s="16"/>
      <c r="DYD239" s="15"/>
      <c r="DYE239" s="15"/>
      <c r="DYF239" s="10"/>
      <c r="DYG239" s="10"/>
      <c r="DYH239" s="19"/>
      <c r="DYI239" s="19"/>
      <c r="DYL239" s="16"/>
      <c r="DYM239" s="15"/>
      <c r="DYN239" s="15"/>
      <c r="DYO239" s="15"/>
      <c r="DYP239" s="16"/>
      <c r="DYQ239" s="16"/>
      <c r="DYR239" s="16"/>
      <c r="DYS239" s="16"/>
      <c r="DYT239" s="16"/>
      <c r="DYU239" s="15"/>
      <c r="DYV239" s="15"/>
      <c r="DYW239" s="10"/>
      <c r="DYX239" s="10"/>
      <c r="DYY239" s="19"/>
      <c r="DYZ239" s="19"/>
      <c r="DZC239" s="16"/>
      <c r="DZD239" s="15"/>
      <c r="DZE239" s="15"/>
      <c r="DZF239" s="15"/>
      <c r="DZG239" s="16"/>
      <c r="DZH239" s="16"/>
      <c r="DZI239" s="16"/>
      <c r="DZJ239" s="16"/>
      <c r="DZK239" s="16"/>
      <c r="DZL239" s="15"/>
      <c r="DZM239" s="15"/>
      <c r="DZN239" s="10"/>
      <c r="DZO239" s="10"/>
      <c r="DZP239" s="19"/>
      <c r="DZQ239" s="19"/>
      <c r="DZT239" s="16"/>
      <c r="DZU239" s="15"/>
      <c r="DZV239" s="15"/>
      <c r="DZW239" s="15"/>
      <c r="DZX239" s="16"/>
      <c r="DZY239" s="16"/>
      <c r="DZZ239" s="16"/>
      <c r="EAA239" s="16"/>
      <c r="EAB239" s="16"/>
      <c r="EAC239" s="15"/>
      <c r="EAD239" s="15"/>
      <c r="EAE239" s="10"/>
      <c r="EAF239" s="10"/>
      <c r="EAG239" s="19"/>
      <c r="EAH239" s="19"/>
      <c r="EAK239" s="16"/>
      <c r="EAL239" s="15"/>
      <c r="EAM239" s="15"/>
      <c r="EAN239" s="15"/>
      <c r="EAO239" s="16"/>
      <c r="EAP239" s="16"/>
      <c r="EAQ239" s="16"/>
      <c r="EAR239" s="16"/>
      <c r="EAS239" s="16"/>
      <c r="EAT239" s="15"/>
      <c r="EAU239" s="15"/>
      <c r="EAV239" s="10"/>
      <c r="EAW239" s="10"/>
      <c r="EAX239" s="19"/>
      <c r="EAY239" s="19"/>
      <c r="EBB239" s="16"/>
      <c r="EBC239" s="15"/>
      <c r="EBD239" s="15"/>
      <c r="EBE239" s="15"/>
      <c r="EBF239" s="16"/>
      <c r="EBG239" s="16"/>
      <c r="EBH239" s="16"/>
      <c r="EBI239" s="16"/>
      <c r="EBJ239" s="16"/>
      <c r="EBK239" s="15"/>
      <c r="EBL239" s="15"/>
      <c r="EBM239" s="10"/>
      <c r="EBN239" s="10"/>
      <c r="EBO239" s="19"/>
      <c r="EBP239" s="19"/>
      <c r="EBS239" s="16"/>
      <c r="EBT239" s="15"/>
      <c r="EBU239" s="15"/>
      <c r="EBV239" s="15"/>
      <c r="EBW239" s="16"/>
      <c r="EBX239" s="16"/>
      <c r="EBY239" s="16"/>
      <c r="EBZ239" s="16"/>
      <c r="ECA239" s="16"/>
      <c r="ECB239" s="15"/>
      <c r="ECC239" s="15"/>
      <c r="ECD239" s="10"/>
      <c r="ECE239" s="10"/>
      <c r="ECF239" s="19"/>
      <c r="ECG239" s="19"/>
      <c r="ECJ239" s="16"/>
      <c r="ECK239" s="15"/>
      <c r="ECL239" s="15"/>
      <c r="ECM239" s="15"/>
      <c r="ECN239" s="16"/>
      <c r="ECO239" s="16"/>
      <c r="ECP239" s="16"/>
      <c r="ECQ239" s="16"/>
      <c r="ECR239" s="16"/>
      <c r="ECS239" s="15"/>
      <c r="ECT239" s="15"/>
      <c r="ECU239" s="10"/>
      <c r="ECV239" s="10"/>
      <c r="ECW239" s="19"/>
      <c r="ECX239" s="19"/>
      <c r="EDA239" s="16"/>
      <c r="EDB239" s="15"/>
      <c r="EDC239" s="15"/>
      <c r="EDD239" s="15"/>
      <c r="EDE239" s="16"/>
      <c r="EDF239" s="16"/>
      <c r="EDG239" s="16"/>
      <c r="EDH239" s="16"/>
      <c r="EDI239" s="16"/>
      <c r="EDJ239" s="15"/>
      <c r="EDK239" s="15"/>
      <c r="EDL239" s="10"/>
      <c r="EDM239" s="10"/>
      <c r="EDN239" s="19"/>
      <c r="EDO239" s="19"/>
      <c r="EDR239" s="16"/>
      <c r="EDS239" s="15"/>
      <c r="EDT239" s="15"/>
      <c r="EDU239" s="15"/>
      <c r="EDV239" s="16"/>
      <c r="EDW239" s="16"/>
      <c r="EDX239" s="16"/>
      <c r="EDY239" s="16"/>
      <c r="EDZ239" s="16"/>
      <c r="EEA239" s="15"/>
      <c r="EEB239" s="15"/>
      <c r="EEC239" s="10"/>
      <c r="EED239" s="10"/>
      <c r="EEE239" s="19"/>
      <c r="EEF239" s="19"/>
      <c r="EEI239" s="16"/>
      <c r="EEJ239" s="15"/>
      <c r="EEK239" s="15"/>
      <c r="EEL239" s="15"/>
      <c r="EEM239" s="16"/>
      <c r="EEN239" s="16"/>
      <c r="EEO239" s="16"/>
      <c r="EEP239" s="16"/>
      <c r="EEQ239" s="16"/>
      <c r="EER239" s="15"/>
      <c r="EES239" s="15"/>
      <c r="EET239" s="10"/>
      <c r="EEU239" s="10"/>
      <c r="EEV239" s="19"/>
      <c r="EEW239" s="19"/>
      <c r="EEZ239" s="16"/>
      <c r="EFA239" s="15"/>
      <c r="EFB239" s="15"/>
      <c r="EFC239" s="15"/>
      <c r="EFD239" s="16"/>
      <c r="EFE239" s="16"/>
      <c r="EFF239" s="16"/>
      <c r="EFG239" s="16"/>
      <c r="EFH239" s="16"/>
      <c r="EFI239" s="15"/>
      <c r="EFJ239" s="15"/>
      <c r="EFK239" s="10"/>
      <c r="EFL239" s="10"/>
      <c r="EFM239" s="19"/>
      <c r="EFN239" s="19"/>
      <c r="EFQ239" s="16"/>
      <c r="EFR239" s="15"/>
      <c r="EFS239" s="15"/>
      <c r="EFT239" s="15"/>
      <c r="EFU239" s="16"/>
      <c r="EFV239" s="16"/>
      <c r="EFW239" s="16"/>
      <c r="EFX239" s="16"/>
      <c r="EFY239" s="16"/>
      <c r="EFZ239" s="15"/>
      <c r="EGA239" s="15"/>
      <c r="EGB239" s="10"/>
      <c r="EGC239" s="10"/>
      <c r="EGD239" s="19"/>
      <c r="EGE239" s="19"/>
      <c r="EGH239" s="16"/>
      <c r="EGI239" s="15"/>
      <c r="EGJ239" s="15"/>
      <c r="EGK239" s="15"/>
      <c r="EGL239" s="16"/>
      <c r="EGM239" s="16"/>
      <c r="EGN239" s="16"/>
      <c r="EGO239" s="16"/>
      <c r="EGP239" s="16"/>
      <c r="EGQ239" s="15"/>
      <c r="EGR239" s="15"/>
      <c r="EGS239" s="10"/>
      <c r="EGT239" s="10"/>
      <c r="EGU239" s="19"/>
      <c r="EGV239" s="19"/>
      <c r="EGY239" s="16"/>
      <c r="EGZ239" s="15"/>
      <c r="EHA239" s="15"/>
      <c r="EHB239" s="15"/>
      <c r="EHC239" s="16"/>
      <c r="EHD239" s="16"/>
      <c r="EHE239" s="16"/>
      <c r="EHF239" s="16"/>
      <c r="EHG239" s="16"/>
      <c r="EHH239" s="15"/>
      <c r="EHI239" s="15"/>
      <c r="EHJ239" s="10"/>
      <c r="EHK239" s="10"/>
      <c r="EHL239" s="19"/>
      <c r="EHM239" s="19"/>
      <c r="EHP239" s="16"/>
      <c r="EHQ239" s="15"/>
      <c r="EHR239" s="15"/>
      <c r="EHS239" s="15"/>
      <c r="EHT239" s="16"/>
      <c r="EHU239" s="16"/>
      <c r="EHV239" s="16"/>
      <c r="EHW239" s="16"/>
      <c r="EHX239" s="16"/>
      <c r="EHY239" s="15"/>
      <c r="EHZ239" s="15"/>
      <c r="EIA239" s="10"/>
      <c r="EIB239" s="10"/>
      <c r="EIC239" s="19"/>
      <c r="EID239" s="19"/>
      <c r="EIG239" s="16"/>
      <c r="EIH239" s="15"/>
      <c r="EII239" s="15"/>
      <c r="EIJ239" s="15"/>
      <c r="EIK239" s="16"/>
      <c r="EIL239" s="16"/>
      <c r="EIM239" s="16"/>
      <c r="EIN239" s="16"/>
      <c r="EIO239" s="16"/>
      <c r="EIP239" s="15"/>
      <c r="EIQ239" s="15"/>
      <c r="EIR239" s="10"/>
      <c r="EIS239" s="10"/>
      <c r="EIT239" s="19"/>
      <c r="EIU239" s="19"/>
      <c r="EIX239" s="16"/>
      <c r="EIY239" s="15"/>
      <c r="EIZ239" s="15"/>
      <c r="EJA239" s="15"/>
      <c r="EJB239" s="16"/>
      <c r="EJC239" s="16"/>
      <c r="EJD239" s="16"/>
      <c r="EJE239" s="16"/>
      <c r="EJF239" s="16"/>
      <c r="EJG239" s="15"/>
      <c r="EJH239" s="15"/>
      <c r="EJI239" s="10"/>
      <c r="EJJ239" s="10"/>
      <c r="EJK239" s="19"/>
      <c r="EJL239" s="19"/>
      <c r="EJO239" s="16"/>
      <c r="EJP239" s="15"/>
      <c r="EJQ239" s="15"/>
      <c r="EJR239" s="15"/>
      <c r="EJS239" s="16"/>
      <c r="EJT239" s="16"/>
      <c r="EJU239" s="16"/>
      <c r="EJV239" s="16"/>
      <c r="EJW239" s="16"/>
      <c r="EJX239" s="15"/>
      <c r="EJY239" s="15"/>
      <c r="EJZ239" s="10"/>
      <c r="EKA239" s="10"/>
      <c r="EKB239" s="19"/>
      <c r="EKC239" s="19"/>
      <c r="EKF239" s="16"/>
      <c r="EKG239" s="15"/>
      <c r="EKH239" s="15"/>
      <c r="EKI239" s="15"/>
      <c r="EKJ239" s="16"/>
      <c r="EKK239" s="16"/>
      <c r="EKL239" s="16"/>
      <c r="EKM239" s="16"/>
      <c r="EKN239" s="16"/>
      <c r="EKO239" s="15"/>
      <c r="EKP239" s="15"/>
      <c r="EKQ239" s="10"/>
      <c r="EKR239" s="10"/>
      <c r="EKS239" s="19"/>
      <c r="EKT239" s="19"/>
      <c r="EKW239" s="16"/>
      <c r="EKX239" s="15"/>
      <c r="EKY239" s="15"/>
      <c r="EKZ239" s="15"/>
      <c r="ELA239" s="16"/>
      <c r="ELB239" s="16"/>
      <c r="ELC239" s="16"/>
      <c r="ELD239" s="16"/>
      <c r="ELE239" s="16"/>
      <c r="ELF239" s="15"/>
      <c r="ELG239" s="15"/>
      <c r="ELH239" s="10"/>
      <c r="ELI239" s="10"/>
      <c r="ELJ239" s="19"/>
      <c r="ELK239" s="19"/>
      <c r="ELN239" s="16"/>
      <c r="ELO239" s="15"/>
      <c r="ELP239" s="15"/>
      <c r="ELQ239" s="15"/>
      <c r="ELR239" s="16"/>
      <c r="ELS239" s="16"/>
      <c r="ELT239" s="16"/>
      <c r="ELU239" s="16"/>
      <c r="ELV239" s="16"/>
      <c r="ELW239" s="15"/>
      <c r="ELX239" s="15"/>
      <c r="ELY239" s="10"/>
      <c r="ELZ239" s="10"/>
      <c r="EMA239" s="19"/>
      <c r="EMB239" s="19"/>
      <c r="EME239" s="16"/>
      <c r="EMF239" s="15"/>
      <c r="EMG239" s="15"/>
      <c r="EMH239" s="15"/>
      <c r="EMI239" s="16"/>
      <c r="EMJ239" s="16"/>
      <c r="EMK239" s="16"/>
      <c r="EML239" s="16"/>
      <c r="EMM239" s="16"/>
      <c r="EMN239" s="15"/>
      <c r="EMO239" s="15"/>
      <c r="EMP239" s="10"/>
      <c r="EMQ239" s="10"/>
      <c r="EMR239" s="19"/>
      <c r="EMS239" s="19"/>
      <c r="EMV239" s="16"/>
      <c r="EMW239" s="15"/>
      <c r="EMX239" s="15"/>
      <c r="EMY239" s="15"/>
      <c r="EMZ239" s="16"/>
      <c r="ENA239" s="16"/>
      <c r="ENB239" s="16"/>
      <c r="ENC239" s="16"/>
      <c r="END239" s="16"/>
      <c r="ENE239" s="15"/>
      <c r="ENF239" s="15"/>
      <c r="ENG239" s="10"/>
      <c r="ENH239" s="10"/>
      <c r="ENI239" s="19"/>
      <c r="ENJ239" s="19"/>
      <c r="ENM239" s="16"/>
      <c r="ENN239" s="15"/>
      <c r="ENO239" s="15"/>
      <c r="ENP239" s="15"/>
      <c r="ENQ239" s="16"/>
      <c r="ENR239" s="16"/>
      <c r="ENS239" s="16"/>
      <c r="ENT239" s="16"/>
      <c r="ENU239" s="16"/>
      <c r="ENV239" s="15"/>
      <c r="ENW239" s="15"/>
      <c r="ENX239" s="10"/>
      <c r="ENY239" s="10"/>
      <c r="ENZ239" s="19"/>
      <c r="EOA239" s="19"/>
      <c r="EOD239" s="16"/>
      <c r="EOE239" s="15"/>
      <c r="EOF239" s="15"/>
      <c r="EOG239" s="15"/>
      <c r="EOH239" s="16"/>
      <c r="EOI239" s="16"/>
      <c r="EOJ239" s="16"/>
      <c r="EOK239" s="16"/>
      <c r="EOL239" s="16"/>
      <c r="EOM239" s="15"/>
      <c r="EON239" s="15"/>
      <c r="EOO239" s="10"/>
      <c r="EOP239" s="10"/>
      <c r="EOQ239" s="19"/>
      <c r="EOR239" s="19"/>
      <c r="EOU239" s="16"/>
      <c r="EOV239" s="15"/>
      <c r="EOW239" s="15"/>
      <c r="EOX239" s="15"/>
      <c r="EOY239" s="16"/>
      <c r="EOZ239" s="16"/>
      <c r="EPA239" s="16"/>
      <c r="EPB239" s="16"/>
      <c r="EPC239" s="16"/>
      <c r="EPD239" s="15"/>
      <c r="EPE239" s="15"/>
      <c r="EPF239" s="10"/>
      <c r="EPG239" s="10"/>
      <c r="EPH239" s="19"/>
      <c r="EPI239" s="19"/>
      <c r="EPL239" s="16"/>
      <c r="EPM239" s="15"/>
      <c r="EPN239" s="15"/>
      <c r="EPO239" s="15"/>
      <c r="EPP239" s="16"/>
      <c r="EPQ239" s="16"/>
      <c r="EPR239" s="16"/>
      <c r="EPS239" s="16"/>
      <c r="EPT239" s="16"/>
      <c r="EPU239" s="15"/>
      <c r="EPV239" s="15"/>
      <c r="EPW239" s="10"/>
      <c r="EPX239" s="10"/>
      <c r="EPY239" s="19"/>
      <c r="EPZ239" s="19"/>
      <c r="EQC239" s="16"/>
      <c r="EQD239" s="15"/>
      <c r="EQE239" s="15"/>
      <c r="EQF239" s="15"/>
      <c r="EQG239" s="16"/>
      <c r="EQH239" s="16"/>
      <c r="EQI239" s="16"/>
      <c r="EQJ239" s="16"/>
      <c r="EQK239" s="16"/>
      <c r="EQL239" s="15"/>
      <c r="EQM239" s="15"/>
      <c r="EQN239" s="10"/>
      <c r="EQO239" s="10"/>
      <c r="EQP239" s="19"/>
      <c r="EQQ239" s="19"/>
      <c r="EQT239" s="16"/>
      <c r="EQU239" s="15"/>
      <c r="EQV239" s="15"/>
      <c r="EQW239" s="15"/>
      <c r="EQX239" s="16"/>
      <c r="EQY239" s="16"/>
      <c r="EQZ239" s="16"/>
      <c r="ERA239" s="16"/>
      <c r="ERB239" s="16"/>
      <c r="ERC239" s="15"/>
      <c r="ERD239" s="15"/>
      <c r="ERE239" s="10"/>
      <c r="ERF239" s="10"/>
      <c r="ERG239" s="19"/>
      <c r="ERH239" s="19"/>
      <c r="ERK239" s="16"/>
      <c r="ERL239" s="15"/>
      <c r="ERM239" s="15"/>
      <c r="ERN239" s="15"/>
      <c r="ERO239" s="16"/>
      <c r="ERP239" s="16"/>
      <c r="ERQ239" s="16"/>
      <c r="ERR239" s="16"/>
      <c r="ERS239" s="16"/>
      <c r="ERT239" s="15"/>
      <c r="ERU239" s="15"/>
      <c r="ERV239" s="10"/>
      <c r="ERW239" s="10"/>
      <c r="ERX239" s="19"/>
      <c r="ERY239" s="19"/>
      <c r="ESB239" s="16"/>
      <c r="ESC239" s="15"/>
      <c r="ESD239" s="15"/>
      <c r="ESE239" s="15"/>
      <c r="ESF239" s="16"/>
      <c r="ESG239" s="16"/>
      <c r="ESH239" s="16"/>
      <c r="ESI239" s="16"/>
      <c r="ESJ239" s="16"/>
      <c r="ESK239" s="15"/>
      <c r="ESL239" s="15"/>
      <c r="ESM239" s="10"/>
      <c r="ESN239" s="10"/>
      <c r="ESO239" s="19"/>
      <c r="ESP239" s="19"/>
      <c r="ESS239" s="16"/>
      <c r="EST239" s="15"/>
      <c r="ESU239" s="15"/>
      <c r="ESV239" s="15"/>
      <c r="ESW239" s="16"/>
      <c r="ESX239" s="16"/>
      <c r="ESY239" s="16"/>
      <c r="ESZ239" s="16"/>
      <c r="ETA239" s="16"/>
      <c r="ETB239" s="15"/>
      <c r="ETC239" s="15"/>
      <c r="ETD239" s="10"/>
      <c r="ETE239" s="10"/>
      <c r="ETF239" s="19"/>
      <c r="ETG239" s="19"/>
      <c r="ETJ239" s="16"/>
      <c r="ETK239" s="15"/>
      <c r="ETL239" s="15"/>
      <c r="ETM239" s="15"/>
      <c r="ETN239" s="16"/>
      <c r="ETO239" s="16"/>
      <c r="ETP239" s="16"/>
      <c r="ETQ239" s="16"/>
      <c r="ETR239" s="16"/>
      <c r="ETS239" s="15"/>
      <c r="ETT239" s="15"/>
      <c r="ETU239" s="10"/>
      <c r="ETV239" s="10"/>
      <c r="ETW239" s="19"/>
      <c r="ETX239" s="19"/>
      <c r="EUA239" s="16"/>
      <c r="EUB239" s="15"/>
      <c r="EUC239" s="15"/>
      <c r="EUD239" s="15"/>
      <c r="EUE239" s="16"/>
      <c r="EUF239" s="16"/>
      <c r="EUG239" s="16"/>
      <c r="EUH239" s="16"/>
      <c r="EUI239" s="16"/>
      <c r="EUJ239" s="15"/>
      <c r="EUK239" s="15"/>
      <c r="EUL239" s="10"/>
      <c r="EUM239" s="10"/>
      <c r="EUN239" s="19"/>
      <c r="EUO239" s="19"/>
      <c r="EUR239" s="16"/>
      <c r="EUS239" s="15"/>
      <c r="EUT239" s="15"/>
      <c r="EUU239" s="15"/>
      <c r="EUV239" s="16"/>
      <c r="EUW239" s="16"/>
      <c r="EUX239" s="16"/>
      <c r="EUY239" s="16"/>
      <c r="EUZ239" s="16"/>
      <c r="EVA239" s="15"/>
      <c r="EVB239" s="15"/>
      <c r="EVC239" s="10"/>
      <c r="EVD239" s="10"/>
      <c r="EVE239" s="19"/>
      <c r="EVF239" s="19"/>
      <c r="EVI239" s="16"/>
      <c r="EVJ239" s="15"/>
      <c r="EVK239" s="15"/>
      <c r="EVL239" s="15"/>
      <c r="EVM239" s="16"/>
      <c r="EVN239" s="16"/>
      <c r="EVO239" s="16"/>
      <c r="EVP239" s="16"/>
      <c r="EVQ239" s="16"/>
      <c r="EVR239" s="15"/>
      <c r="EVS239" s="15"/>
      <c r="EVT239" s="10"/>
      <c r="EVU239" s="10"/>
      <c r="EVV239" s="19"/>
      <c r="EVW239" s="19"/>
      <c r="EVZ239" s="16"/>
      <c r="EWA239" s="15"/>
      <c r="EWB239" s="15"/>
      <c r="EWC239" s="15"/>
      <c r="EWD239" s="16"/>
      <c r="EWE239" s="16"/>
      <c r="EWF239" s="16"/>
      <c r="EWG239" s="16"/>
      <c r="EWH239" s="16"/>
      <c r="EWI239" s="15"/>
      <c r="EWJ239" s="15"/>
      <c r="EWK239" s="10"/>
      <c r="EWL239" s="10"/>
      <c r="EWM239" s="19"/>
      <c r="EWN239" s="19"/>
      <c r="EWQ239" s="16"/>
      <c r="EWR239" s="15"/>
      <c r="EWS239" s="15"/>
      <c r="EWT239" s="15"/>
      <c r="EWU239" s="16"/>
      <c r="EWV239" s="16"/>
      <c r="EWW239" s="16"/>
      <c r="EWX239" s="16"/>
      <c r="EWY239" s="16"/>
      <c r="EWZ239" s="15"/>
      <c r="EXA239" s="15"/>
      <c r="EXB239" s="10"/>
      <c r="EXC239" s="10"/>
      <c r="EXD239" s="19"/>
      <c r="EXE239" s="19"/>
      <c r="EXH239" s="16"/>
      <c r="EXI239" s="15"/>
      <c r="EXJ239" s="15"/>
      <c r="EXK239" s="15"/>
      <c r="EXL239" s="16"/>
      <c r="EXM239" s="16"/>
      <c r="EXN239" s="16"/>
      <c r="EXO239" s="16"/>
      <c r="EXP239" s="16"/>
      <c r="EXQ239" s="15"/>
      <c r="EXR239" s="15"/>
      <c r="EXS239" s="10"/>
      <c r="EXT239" s="10"/>
      <c r="EXU239" s="19"/>
      <c r="EXV239" s="19"/>
      <c r="EXY239" s="16"/>
      <c r="EXZ239" s="15"/>
      <c r="EYA239" s="15"/>
      <c r="EYB239" s="15"/>
      <c r="EYC239" s="16"/>
      <c r="EYD239" s="16"/>
      <c r="EYE239" s="16"/>
      <c r="EYF239" s="16"/>
      <c r="EYG239" s="16"/>
      <c r="EYH239" s="15"/>
      <c r="EYI239" s="15"/>
      <c r="EYJ239" s="10"/>
      <c r="EYK239" s="10"/>
      <c r="EYL239" s="19"/>
      <c r="EYM239" s="19"/>
      <c r="EYP239" s="16"/>
      <c r="EYQ239" s="15"/>
      <c r="EYR239" s="15"/>
      <c r="EYS239" s="15"/>
      <c r="EYT239" s="16"/>
      <c r="EYU239" s="16"/>
      <c r="EYV239" s="16"/>
      <c r="EYW239" s="16"/>
      <c r="EYX239" s="16"/>
      <c r="EYY239" s="15"/>
      <c r="EYZ239" s="15"/>
      <c r="EZA239" s="10"/>
      <c r="EZB239" s="10"/>
      <c r="EZC239" s="19"/>
      <c r="EZD239" s="19"/>
      <c r="EZG239" s="16"/>
      <c r="EZH239" s="15"/>
      <c r="EZI239" s="15"/>
      <c r="EZJ239" s="15"/>
      <c r="EZK239" s="16"/>
      <c r="EZL239" s="16"/>
      <c r="EZM239" s="16"/>
      <c r="EZN239" s="16"/>
      <c r="EZO239" s="16"/>
      <c r="EZP239" s="15"/>
      <c r="EZQ239" s="15"/>
      <c r="EZR239" s="10"/>
      <c r="EZS239" s="10"/>
      <c r="EZT239" s="19"/>
      <c r="EZU239" s="19"/>
      <c r="EZX239" s="16"/>
      <c r="EZY239" s="15"/>
      <c r="EZZ239" s="15"/>
      <c r="FAA239" s="15"/>
      <c r="FAB239" s="16"/>
      <c r="FAC239" s="16"/>
      <c r="FAD239" s="16"/>
      <c r="FAE239" s="16"/>
      <c r="FAF239" s="16"/>
      <c r="FAG239" s="15"/>
      <c r="FAH239" s="15"/>
      <c r="FAI239" s="10"/>
      <c r="FAJ239" s="10"/>
      <c r="FAK239" s="19"/>
      <c r="FAL239" s="19"/>
      <c r="FAO239" s="16"/>
      <c r="FAP239" s="15"/>
      <c r="FAQ239" s="15"/>
      <c r="FAR239" s="15"/>
      <c r="FAS239" s="16"/>
      <c r="FAT239" s="16"/>
      <c r="FAU239" s="16"/>
      <c r="FAV239" s="16"/>
      <c r="FAW239" s="16"/>
      <c r="FAX239" s="15"/>
      <c r="FAY239" s="15"/>
      <c r="FAZ239" s="10"/>
      <c r="FBA239" s="10"/>
      <c r="FBB239" s="19"/>
      <c r="FBC239" s="19"/>
      <c r="FBF239" s="16"/>
      <c r="FBG239" s="15"/>
      <c r="FBH239" s="15"/>
      <c r="FBI239" s="15"/>
      <c r="FBJ239" s="16"/>
      <c r="FBK239" s="16"/>
      <c r="FBL239" s="16"/>
      <c r="FBM239" s="16"/>
      <c r="FBN239" s="16"/>
      <c r="FBO239" s="15"/>
      <c r="FBP239" s="15"/>
      <c r="FBQ239" s="10"/>
      <c r="FBR239" s="10"/>
      <c r="FBS239" s="19"/>
      <c r="FBT239" s="19"/>
      <c r="FBW239" s="16"/>
      <c r="FBX239" s="15"/>
      <c r="FBY239" s="15"/>
      <c r="FBZ239" s="15"/>
      <c r="FCA239" s="16"/>
      <c r="FCB239" s="16"/>
      <c r="FCC239" s="16"/>
      <c r="FCD239" s="16"/>
      <c r="FCE239" s="16"/>
      <c r="FCF239" s="15"/>
      <c r="FCG239" s="15"/>
      <c r="FCH239" s="10"/>
      <c r="FCI239" s="10"/>
      <c r="FCJ239" s="19"/>
      <c r="FCK239" s="19"/>
      <c r="FCN239" s="16"/>
      <c r="FCO239" s="15"/>
      <c r="FCP239" s="15"/>
      <c r="FCQ239" s="15"/>
      <c r="FCR239" s="16"/>
      <c r="FCS239" s="16"/>
      <c r="FCT239" s="16"/>
      <c r="FCU239" s="16"/>
      <c r="FCV239" s="16"/>
      <c r="FCW239" s="15"/>
      <c r="FCX239" s="15"/>
      <c r="FCY239" s="10"/>
      <c r="FCZ239" s="10"/>
      <c r="FDA239" s="19"/>
      <c r="FDB239" s="19"/>
      <c r="FDE239" s="16"/>
      <c r="FDF239" s="15"/>
      <c r="FDG239" s="15"/>
      <c r="FDH239" s="15"/>
      <c r="FDI239" s="16"/>
      <c r="FDJ239" s="16"/>
      <c r="FDK239" s="16"/>
      <c r="FDL239" s="16"/>
      <c r="FDM239" s="16"/>
      <c r="FDN239" s="15"/>
      <c r="FDO239" s="15"/>
      <c r="FDP239" s="10"/>
      <c r="FDQ239" s="10"/>
      <c r="FDR239" s="19"/>
      <c r="FDS239" s="19"/>
      <c r="FDV239" s="16"/>
      <c r="FDW239" s="15"/>
      <c r="FDX239" s="15"/>
      <c r="FDY239" s="15"/>
      <c r="FDZ239" s="16"/>
      <c r="FEA239" s="16"/>
      <c r="FEB239" s="16"/>
      <c r="FEC239" s="16"/>
      <c r="FED239" s="16"/>
      <c r="FEE239" s="15"/>
      <c r="FEF239" s="15"/>
      <c r="FEG239" s="10"/>
      <c r="FEH239" s="10"/>
      <c r="FEI239" s="19"/>
      <c r="FEJ239" s="19"/>
      <c r="FEM239" s="16"/>
      <c r="FEN239" s="15"/>
      <c r="FEO239" s="15"/>
      <c r="FEP239" s="15"/>
      <c r="FEQ239" s="16"/>
      <c r="FER239" s="16"/>
      <c r="FES239" s="16"/>
      <c r="FET239" s="16"/>
      <c r="FEU239" s="16"/>
      <c r="FEV239" s="15"/>
      <c r="FEW239" s="15"/>
      <c r="FEX239" s="10"/>
      <c r="FEY239" s="10"/>
      <c r="FEZ239" s="19"/>
      <c r="FFA239" s="19"/>
      <c r="FFD239" s="16"/>
      <c r="FFE239" s="15"/>
      <c r="FFF239" s="15"/>
      <c r="FFG239" s="15"/>
      <c r="FFH239" s="16"/>
      <c r="FFI239" s="16"/>
      <c r="FFJ239" s="16"/>
      <c r="FFK239" s="16"/>
      <c r="FFL239" s="16"/>
      <c r="FFM239" s="15"/>
      <c r="FFN239" s="15"/>
      <c r="FFO239" s="10"/>
      <c r="FFP239" s="10"/>
      <c r="FFQ239" s="19"/>
      <c r="FFR239" s="19"/>
      <c r="FFU239" s="16"/>
      <c r="FFV239" s="15"/>
      <c r="FFW239" s="15"/>
      <c r="FFX239" s="15"/>
      <c r="FFY239" s="16"/>
      <c r="FFZ239" s="16"/>
      <c r="FGA239" s="16"/>
      <c r="FGB239" s="16"/>
      <c r="FGC239" s="16"/>
      <c r="FGD239" s="15"/>
      <c r="FGE239" s="15"/>
      <c r="FGF239" s="10"/>
      <c r="FGG239" s="10"/>
      <c r="FGH239" s="19"/>
      <c r="FGI239" s="19"/>
      <c r="FGL239" s="16"/>
      <c r="FGM239" s="15"/>
      <c r="FGN239" s="15"/>
      <c r="FGO239" s="15"/>
      <c r="FGP239" s="16"/>
      <c r="FGQ239" s="16"/>
      <c r="FGR239" s="16"/>
      <c r="FGS239" s="16"/>
      <c r="FGT239" s="16"/>
      <c r="FGU239" s="15"/>
      <c r="FGV239" s="15"/>
      <c r="FGW239" s="10"/>
      <c r="FGX239" s="10"/>
      <c r="FGY239" s="19"/>
      <c r="FGZ239" s="19"/>
      <c r="FHC239" s="16"/>
      <c r="FHD239" s="15"/>
      <c r="FHE239" s="15"/>
      <c r="FHF239" s="15"/>
      <c r="FHG239" s="16"/>
      <c r="FHH239" s="16"/>
      <c r="FHI239" s="16"/>
      <c r="FHJ239" s="16"/>
      <c r="FHK239" s="16"/>
      <c r="FHL239" s="15"/>
      <c r="FHM239" s="15"/>
      <c r="FHN239" s="10"/>
      <c r="FHO239" s="10"/>
      <c r="FHP239" s="19"/>
      <c r="FHQ239" s="19"/>
      <c r="FHT239" s="16"/>
      <c r="FHU239" s="15"/>
      <c r="FHV239" s="15"/>
      <c r="FHW239" s="15"/>
      <c r="FHX239" s="16"/>
      <c r="FHY239" s="16"/>
      <c r="FHZ239" s="16"/>
      <c r="FIA239" s="16"/>
      <c r="FIB239" s="16"/>
      <c r="FIC239" s="15"/>
      <c r="FID239" s="15"/>
      <c r="FIE239" s="10"/>
      <c r="FIF239" s="10"/>
      <c r="FIG239" s="19"/>
      <c r="FIH239" s="19"/>
      <c r="FIK239" s="16"/>
      <c r="FIL239" s="15"/>
      <c r="FIM239" s="15"/>
      <c r="FIN239" s="15"/>
      <c r="FIO239" s="16"/>
      <c r="FIP239" s="16"/>
      <c r="FIQ239" s="16"/>
      <c r="FIR239" s="16"/>
      <c r="FIS239" s="16"/>
      <c r="FIT239" s="15"/>
      <c r="FIU239" s="15"/>
      <c r="FIV239" s="10"/>
      <c r="FIW239" s="10"/>
      <c r="FIX239" s="19"/>
      <c r="FIY239" s="19"/>
      <c r="FJB239" s="16"/>
      <c r="FJC239" s="15"/>
      <c r="FJD239" s="15"/>
      <c r="FJE239" s="15"/>
      <c r="FJF239" s="16"/>
      <c r="FJG239" s="16"/>
      <c r="FJH239" s="16"/>
      <c r="FJI239" s="16"/>
      <c r="FJJ239" s="16"/>
      <c r="FJK239" s="15"/>
      <c r="FJL239" s="15"/>
      <c r="FJM239" s="10"/>
      <c r="FJN239" s="10"/>
      <c r="FJO239" s="19"/>
      <c r="FJP239" s="19"/>
      <c r="FJS239" s="16"/>
      <c r="FJT239" s="15"/>
      <c r="FJU239" s="15"/>
      <c r="FJV239" s="15"/>
      <c r="FJW239" s="16"/>
      <c r="FJX239" s="16"/>
      <c r="FJY239" s="16"/>
      <c r="FJZ239" s="16"/>
      <c r="FKA239" s="16"/>
      <c r="FKB239" s="15"/>
      <c r="FKC239" s="15"/>
      <c r="FKD239" s="10"/>
      <c r="FKE239" s="10"/>
      <c r="FKF239" s="19"/>
      <c r="FKG239" s="19"/>
      <c r="FKJ239" s="16"/>
      <c r="FKK239" s="15"/>
      <c r="FKL239" s="15"/>
      <c r="FKM239" s="15"/>
      <c r="FKN239" s="16"/>
      <c r="FKO239" s="16"/>
      <c r="FKP239" s="16"/>
      <c r="FKQ239" s="16"/>
      <c r="FKR239" s="16"/>
      <c r="FKS239" s="15"/>
      <c r="FKT239" s="15"/>
      <c r="FKU239" s="10"/>
      <c r="FKV239" s="10"/>
      <c r="FKW239" s="19"/>
      <c r="FKX239" s="19"/>
      <c r="FLA239" s="16"/>
      <c r="FLB239" s="15"/>
      <c r="FLC239" s="15"/>
      <c r="FLD239" s="15"/>
      <c r="FLE239" s="16"/>
      <c r="FLF239" s="16"/>
      <c r="FLG239" s="16"/>
      <c r="FLH239" s="16"/>
      <c r="FLI239" s="16"/>
      <c r="FLJ239" s="15"/>
      <c r="FLK239" s="15"/>
      <c r="FLL239" s="10"/>
      <c r="FLM239" s="10"/>
      <c r="FLN239" s="19"/>
      <c r="FLO239" s="19"/>
      <c r="FLR239" s="16"/>
      <c r="FLS239" s="15"/>
      <c r="FLT239" s="15"/>
      <c r="FLU239" s="15"/>
      <c r="FLV239" s="16"/>
      <c r="FLW239" s="16"/>
      <c r="FLX239" s="16"/>
      <c r="FLY239" s="16"/>
      <c r="FLZ239" s="16"/>
      <c r="FMA239" s="15"/>
      <c r="FMB239" s="15"/>
      <c r="FMC239" s="10"/>
      <c r="FMD239" s="10"/>
      <c r="FME239" s="19"/>
      <c r="FMF239" s="19"/>
      <c r="FMI239" s="16"/>
      <c r="FMJ239" s="15"/>
      <c r="FMK239" s="15"/>
      <c r="FML239" s="15"/>
      <c r="FMM239" s="16"/>
      <c r="FMN239" s="16"/>
      <c r="FMO239" s="16"/>
      <c r="FMP239" s="16"/>
      <c r="FMQ239" s="16"/>
      <c r="FMR239" s="15"/>
      <c r="FMS239" s="15"/>
      <c r="FMT239" s="10"/>
      <c r="FMU239" s="10"/>
      <c r="FMV239" s="19"/>
      <c r="FMW239" s="19"/>
      <c r="FMZ239" s="16"/>
      <c r="FNA239" s="15"/>
      <c r="FNB239" s="15"/>
      <c r="FNC239" s="15"/>
      <c r="FND239" s="16"/>
      <c r="FNE239" s="16"/>
      <c r="FNF239" s="16"/>
      <c r="FNG239" s="16"/>
      <c r="FNH239" s="16"/>
      <c r="FNI239" s="15"/>
      <c r="FNJ239" s="15"/>
      <c r="FNK239" s="10"/>
      <c r="FNL239" s="10"/>
      <c r="FNM239" s="19"/>
      <c r="FNN239" s="19"/>
      <c r="FNQ239" s="16"/>
      <c r="FNR239" s="15"/>
      <c r="FNS239" s="15"/>
      <c r="FNT239" s="15"/>
      <c r="FNU239" s="16"/>
      <c r="FNV239" s="16"/>
      <c r="FNW239" s="16"/>
      <c r="FNX239" s="16"/>
      <c r="FNY239" s="16"/>
      <c r="FNZ239" s="15"/>
      <c r="FOA239" s="15"/>
      <c r="FOB239" s="10"/>
      <c r="FOC239" s="10"/>
      <c r="FOD239" s="19"/>
      <c r="FOE239" s="19"/>
      <c r="FOH239" s="16"/>
      <c r="FOI239" s="15"/>
      <c r="FOJ239" s="15"/>
      <c r="FOK239" s="15"/>
      <c r="FOL239" s="16"/>
      <c r="FOM239" s="16"/>
      <c r="FON239" s="16"/>
      <c r="FOO239" s="16"/>
      <c r="FOP239" s="16"/>
      <c r="FOQ239" s="15"/>
      <c r="FOR239" s="15"/>
      <c r="FOS239" s="10"/>
      <c r="FOT239" s="10"/>
      <c r="FOU239" s="19"/>
      <c r="FOV239" s="19"/>
      <c r="FOY239" s="16"/>
      <c r="FOZ239" s="15"/>
      <c r="FPA239" s="15"/>
      <c r="FPB239" s="15"/>
      <c r="FPC239" s="16"/>
      <c r="FPD239" s="16"/>
      <c r="FPE239" s="16"/>
      <c r="FPF239" s="16"/>
      <c r="FPG239" s="16"/>
      <c r="FPH239" s="15"/>
      <c r="FPI239" s="15"/>
      <c r="FPJ239" s="10"/>
      <c r="FPK239" s="10"/>
      <c r="FPL239" s="19"/>
      <c r="FPM239" s="19"/>
      <c r="FPP239" s="16"/>
      <c r="FPQ239" s="15"/>
      <c r="FPR239" s="15"/>
      <c r="FPS239" s="15"/>
      <c r="FPT239" s="16"/>
      <c r="FPU239" s="16"/>
      <c r="FPV239" s="16"/>
      <c r="FPW239" s="16"/>
      <c r="FPX239" s="16"/>
      <c r="FPY239" s="15"/>
      <c r="FPZ239" s="15"/>
      <c r="FQA239" s="10"/>
      <c r="FQB239" s="10"/>
      <c r="FQC239" s="19"/>
      <c r="FQD239" s="19"/>
      <c r="FQG239" s="16"/>
      <c r="FQH239" s="15"/>
      <c r="FQI239" s="15"/>
      <c r="FQJ239" s="15"/>
      <c r="FQK239" s="16"/>
      <c r="FQL239" s="16"/>
      <c r="FQM239" s="16"/>
      <c r="FQN239" s="16"/>
      <c r="FQO239" s="16"/>
      <c r="FQP239" s="15"/>
      <c r="FQQ239" s="15"/>
      <c r="FQR239" s="10"/>
      <c r="FQS239" s="10"/>
      <c r="FQT239" s="19"/>
      <c r="FQU239" s="19"/>
      <c r="FQX239" s="16"/>
      <c r="FQY239" s="15"/>
      <c r="FQZ239" s="15"/>
      <c r="FRA239" s="15"/>
      <c r="FRB239" s="16"/>
      <c r="FRC239" s="16"/>
      <c r="FRD239" s="16"/>
      <c r="FRE239" s="16"/>
      <c r="FRF239" s="16"/>
      <c r="FRG239" s="15"/>
      <c r="FRH239" s="15"/>
      <c r="FRI239" s="10"/>
      <c r="FRJ239" s="10"/>
      <c r="FRK239" s="19"/>
      <c r="FRL239" s="19"/>
      <c r="FRO239" s="16"/>
      <c r="FRP239" s="15"/>
      <c r="FRQ239" s="15"/>
      <c r="FRR239" s="15"/>
      <c r="FRS239" s="16"/>
      <c r="FRT239" s="16"/>
      <c r="FRU239" s="16"/>
      <c r="FRV239" s="16"/>
      <c r="FRW239" s="16"/>
      <c r="FRX239" s="15"/>
      <c r="FRY239" s="15"/>
      <c r="FRZ239" s="10"/>
      <c r="FSA239" s="10"/>
      <c r="FSB239" s="19"/>
      <c r="FSC239" s="19"/>
      <c r="FSF239" s="16"/>
      <c r="FSG239" s="15"/>
      <c r="FSH239" s="15"/>
      <c r="FSI239" s="15"/>
      <c r="FSJ239" s="16"/>
      <c r="FSK239" s="16"/>
      <c r="FSL239" s="16"/>
      <c r="FSM239" s="16"/>
      <c r="FSN239" s="16"/>
      <c r="FSO239" s="15"/>
      <c r="FSP239" s="15"/>
      <c r="FSQ239" s="10"/>
      <c r="FSR239" s="10"/>
      <c r="FSS239" s="19"/>
      <c r="FST239" s="19"/>
      <c r="FSW239" s="16"/>
      <c r="FSX239" s="15"/>
      <c r="FSY239" s="15"/>
      <c r="FSZ239" s="15"/>
      <c r="FTA239" s="16"/>
      <c r="FTB239" s="16"/>
      <c r="FTC239" s="16"/>
      <c r="FTD239" s="16"/>
      <c r="FTE239" s="16"/>
      <c r="FTF239" s="15"/>
      <c r="FTG239" s="15"/>
      <c r="FTH239" s="10"/>
      <c r="FTI239" s="10"/>
      <c r="FTJ239" s="19"/>
      <c r="FTK239" s="19"/>
      <c r="FTN239" s="16"/>
      <c r="FTO239" s="15"/>
      <c r="FTP239" s="15"/>
      <c r="FTQ239" s="15"/>
      <c r="FTR239" s="16"/>
      <c r="FTS239" s="16"/>
      <c r="FTT239" s="16"/>
      <c r="FTU239" s="16"/>
      <c r="FTV239" s="16"/>
      <c r="FTW239" s="15"/>
      <c r="FTX239" s="15"/>
      <c r="FTY239" s="10"/>
      <c r="FTZ239" s="10"/>
      <c r="FUA239" s="19"/>
      <c r="FUB239" s="19"/>
      <c r="FUE239" s="16"/>
      <c r="FUF239" s="15"/>
      <c r="FUG239" s="15"/>
      <c r="FUH239" s="15"/>
      <c r="FUI239" s="16"/>
      <c r="FUJ239" s="16"/>
      <c r="FUK239" s="16"/>
      <c r="FUL239" s="16"/>
      <c r="FUM239" s="16"/>
      <c r="FUN239" s="15"/>
      <c r="FUO239" s="15"/>
      <c r="FUP239" s="10"/>
      <c r="FUQ239" s="10"/>
      <c r="FUR239" s="19"/>
      <c r="FUS239" s="19"/>
      <c r="FUV239" s="16"/>
      <c r="FUW239" s="15"/>
      <c r="FUX239" s="15"/>
      <c r="FUY239" s="15"/>
      <c r="FUZ239" s="16"/>
      <c r="FVA239" s="16"/>
      <c r="FVB239" s="16"/>
      <c r="FVC239" s="16"/>
      <c r="FVD239" s="16"/>
      <c r="FVE239" s="15"/>
      <c r="FVF239" s="15"/>
      <c r="FVG239" s="10"/>
      <c r="FVH239" s="10"/>
      <c r="FVI239" s="19"/>
      <c r="FVJ239" s="19"/>
      <c r="FVM239" s="16"/>
      <c r="FVN239" s="15"/>
      <c r="FVO239" s="15"/>
      <c r="FVP239" s="15"/>
      <c r="FVQ239" s="16"/>
      <c r="FVR239" s="16"/>
      <c r="FVS239" s="16"/>
      <c r="FVT239" s="16"/>
      <c r="FVU239" s="16"/>
      <c r="FVV239" s="15"/>
      <c r="FVW239" s="15"/>
      <c r="FVX239" s="10"/>
      <c r="FVY239" s="10"/>
      <c r="FVZ239" s="19"/>
      <c r="FWA239" s="19"/>
      <c r="FWD239" s="16"/>
      <c r="FWE239" s="15"/>
      <c r="FWF239" s="15"/>
      <c r="FWG239" s="15"/>
      <c r="FWH239" s="16"/>
      <c r="FWI239" s="16"/>
      <c r="FWJ239" s="16"/>
      <c r="FWK239" s="16"/>
      <c r="FWL239" s="16"/>
      <c r="FWM239" s="15"/>
      <c r="FWN239" s="15"/>
      <c r="FWO239" s="10"/>
      <c r="FWP239" s="10"/>
      <c r="FWQ239" s="19"/>
      <c r="FWR239" s="19"/>
      <c r="FWU239" s="16"/>
      <c r="FWV239" s="15"/>
      <c r="FWW239" s="15"/>
      <c r="FWX239" s="15"/>
      <c r="FWY239" s="16"/>
      <c r="FWZ239" s="16"/>
      <c r="FXA239" s="16"/>
      <c r="FXB239" s="16"/>
      <c r="FXC239" s="16"/>
      <c r="FXD239" s="15"/>
      <c r="FXE239" s="15"/>
      <c r="FXF239" s="10"/>
      <c r="FXG239" s="10"/>
      <c r="FXH239" s="19"/>
      <c r="FXI239" s="19"/>
      <c r="FXL239" s="16"/>
      <c r="FXM239" s="15"/>
      <c r="FXN239" s="15"/>
      <c r="FXO239" s="15"/>
      <c r="FXP239" s="16"/>
      <c r="FXQ239" s="16"/>
      <c r="FXR239" s="16"/>
      <c r="FXS239" s="16"/>
      <c r="FXT239" s="16"/>
      <c r="FXU239" s="15"/>
      <c r="FXV239" s="15"/>
      <c r="FXW239" s="10"/>
      <c r="FXX239" s="10"/>
      <c r="FXY239" s="19"/>
      <c r="FXZ239" s="19"/>
      <c r="FYC239" s="16"/>
      <c r="FYD239" s="15"/>
      <c r="FYE239" s="15"/>
      <c r="FYF239" s="15"/>
      <c r="FYG239" s="16"/>
      <c r="FYH239" s="16"/>
      <c r="FYI239" s="16"/>
      <c r="FYJ239" s="16"/>
      <c r="FYK239" s="16"/>
      <c r="FYL239" s="15"/>
      <c r="FYM239" s="15"/>
      <c r="FYN239" s="10"/>
      <c r="FYO239" s="10"/>
      <c r="FYP239" s="19"/>
      <c r="FYQ239" s="19"/>
      <c r="FYT239" s="16"/>
      <c r="FYU239" s="15"/>
      <c r="FYV239" s="15"/>
      <c r="FYW239" s="15"/>
      <c r="FYX239" s="16"/>
      <c r="FYY239" s="16"/>
      <c r="FYZ239" s="16"/>
      <c r="FZA239" s="16"/>
      <c r="FZB239" s="16"/>
      <c r="FZC239" s="15"/>
      <c r="FZD239" s="15"/>
      <c r="FZE239" s="10"/>
      <c r="FZF239" s="10"/>
      <c r="FZG239" s="19"/>
      <c r="FZH239" s="19"/>
      <c r="FZK239" s="16"/>
      <c r="FZL239" s="15"/>
      <c r="FZM239" s="15"/>
      <c r="FZN239" s="15"/>
      <c r="FZO239" s="16"/>
      <c r="FZP239" s="16"/>
      <c r="FZQ239" s="16"/>
      <c r="FZR239" s="16"/>
      <c r="FZS239" s="16"/>
      <c r="FZT239" s="15"/>
      <c r="FZU239" s="15"/>
      <c r="FZV239" s="10"/>
      <c r="FZW239" s="10"/>
      <c r="FZX239" s="19"/>
      <c r="FZY239" s="19"/>
      <c r="GAB239" s="16"/>
      <c r="GAC239" s="15"/>
      <c r="GAD239" s="15"/>
      <c r="GAE239" s="15"/>
      <c r="GAF239" s="16"/>
      <c r="GAG239" s="16"/>
      <c r="GAH239" s="16"/>
      <c r="GAI239" s="16"/>
      <c r="GAJ239" s="16"/>
      <c r="GAK239" s="15"/>
      <c r="GAL239" s="15"/>
      <c r="GAM239" s="10"/>
      <c r="GAN239" s="10"/>
      <c r="GAO239" s="19"/>
      <c r="GAP239" s="19"/>
      <c r="GAS239" s="16"/>
      <c r="GAT239" s="15"/>
      <c r="GAU239" s="15"/>
      <c r="GAV239" s="15"/>
      <c r="GAW239" s="16"/>
      <c r="GAX239" s="16"/>
      <c r="GAY239" s="16"/>
      <c r="GAZ239" s="16"/>
      <c r="GBA239" s="16"/>
      <c r="GBB239" s="15"/>
      <c r="GBC239" s="15"/>
      <c r="GBD239" s="10"/>
      <c r="GBE239" s="10"/>
      <c r="GBF239" s="19"/>
      <c r="GBG239" s="19"/>
      <c r="GBJ239" s="16"/>
      <c r="GBK239" s="15"/>
      <c r="GBL239" s="15"/>
      <c r="GBM239" s="15"/>
      <c r="GBN239" s="16"/>
      <c r="GBO239" s="16"/>
      <c r="GBP239" s="16"/>
      <c r="GBQ239" s="16"/>
      <c r="GBR239" s="16"/>
      <c r="GBS239" s="15"/>
      <c r="GBT239" s="15"/>
      <c r="GBU239" s="10"/>
      <c r="GBV239" s="10"/>
      <c r="GBW239" s="19"/>
      <c r="GBX239" s="19"/>
      <c r="GCA239" s="16"/>
      <c r="GCB239" s="15"/>
      <c r="GCC239" s="15"/>
      <c r="GCD239" s="15"/>
      <c r="GCE239" s="16"/>
      <c r="GCF239" s="16"/>
      <c r="GCG239" s="16"/>
      <c r="GCH239" s="16"/>
      <c r="GCI239" s="16"/>
      <c r="GCJ239" s="15"/>
      <c r="GCK239" s="15"/>
      <c r="GCL239" s="10"/>
      <c r="GCM239" s="10"/>
      <c r="GCN239" s="19"/>
      <c r="GCO239" s="19"/>
      <c r="GCR239" s="16"/>
      <c r="GCS239" s="15"/>
      <c r="GCT239" s="15"/>
      <c r="GCU239" s="15"/>
      <c r="GCV239" s="16"/>
      <c r="GCW239" s="16"/>
      <c r="GCX239" s="16"/>
      <c r="GCY239" s="16"/>
      <c r="GCZ239" s="16"/>
      <c r="GDA239" s="15"/>
      <c r="GDB239" s="15"/>
      <c r="GDC239" s="10"/>
      <c r="GDD239" s="10"/>
      <c r="GDE239" s="19"/>
      <c r="GDF239" s="19"/>
      <c r="GDI239" s="16"/>
      <c r="GDJ239" s="15"/>
      <c r="GDK239" s="15"/>
      <c r="GDL239" s="15"/>
      <c r="GDM239" s="16"/>
      <c r="GDN239" s="16"/>
      <c r="GDO239" s="16"/>
      <c r="GDP239" s="16"/>
      <c r="GDQ239" s="16"/>
      <c r="GDR239" s="15"/>
      <c r="GDS239" s="15"/>
      <c r="GDT239" s="10"/>
      <c r="GDU239" s="10"/>
      <c r="GDV239" s="19"/>
      <c r="GDW239" s="19"/>
      <c r="GDZ239" s="16"/>
      <c r="GEA239" s="15"/>
      <c r="GEB239" s="15"/>
      <c r="GEC239" s="15"/>
      <c r="GED239" s="16"/>
      <c r="GEE239" s="16"/>
      <c r="GEF239" s="16"/>
      <c r="GEG239" s="16"/>
      <c r="GEH239" s="16"/>
      <c r="GEI239" s="15"/>
      <c r="GEJ239" s="15"/>
      <c r="GEK239" s="10"/>
      <c r="GEL239" s="10"/>
      <c r="GEM239" s="19"/>
      <c r="GEN239" s="19"/>
      <c r="GEQ239" s="16"/>
      <c r="GER239" s="15"/>
      <c r="GES239" s="15"/>
      <c r="GET239" s="15"/>
      <c r="GEU239" s="16"/>
      <c r="GEV239" s="16"/>
      <c r="GEW239" s="16"/>
      <c r="GEX239" s="16"/>
      <c r="GEY239" s="16"/>
      <c r="GEZ239" s="15"/>
      <c r="GFA239" s="15"/>
      <c r="GFB239" s="10"/>
      <c r="GFC239" s="10"/>
      <c r="GFD239" s="19"/>
      <c r="GFE239" s="19"/>
      <c r="GFH239" s="16"/>
      <c r="GFI239" s="15"/>
      <c r="GFJ239" s="15"/>
      <c r="GFK239" s="15"/>
      <c r="GFL239" s="16"/>
      <c r="GFM239" s="16"/>
      <c r="GFN239" s="16"/>
      <c r="GFO239" s="16"/>
      <c r="GFP239" s="16"/>
      <c r="GFQ239" s="15"/>
      <c r="GFR239" s="15"/>
      <c r="GFS239" s="10"/>
      <c r="GFT239" s="10"/>
      <c r="GFU239" s="19"/>
      <c r="GFV239" s="19"/>
      <c r="GFY239" s="16"/>
      <c r="GFZ239" s="15"/>
      <c r="GGA239" s="15"/>
      <c r="GGB239" s="15"/>
      <c r="GGC239" s="16"/>
      <c r="GGD239" s="16"/>
      <c r="GGE239" s="16"/>
      <c r="GGF239" s="16"/>
      <c r="GGG239" s="16"/>
      <c r="GGH239" s="15"/>
      <c r="GGI239" s="15"/>
      <c r="GGJ239" s="10"/>
      <c r="GGK239" s="10"/>
      <c r="GGL239" s="19"/>
      <c r="GGM239" s="19"/>
      <c r="GGP239" s="16"/>
      <c r="GGQ239" s="15"/>
      <c r="GGR239" s="15"/>
      <c r="GGS239" s="15"/>
      <c r="GGT239" s="16"/>
      <c r="GGU239" s="16"/>
      <c r="GGV239" s="16"/>
      <c r="GGW239" s="16"/>
      <c r="GGX239" s="16"/>
      <c r="GGY239" s="15"/>
      <c r="GGZ239" s="15"/>
      <c r="GHA239" s="10"/>
      <c r="GHB239" s="10"/>
      <c r="GHC239" s="19"/>
      <c r="GHD239" s="19"/>
      <c r="GHG239" s="16"/>
      <c r="GHH239" s="15"/>
      <c r="GHI239" s="15"/>
      <c r="GHJ239" s="15"/>
      <c r="GHK239" s="16"/>
      <c r="GHL239" s="16"/>
      <c r="GHM239" s="16"/>
      <c r="GHN239" s="16"/>
      <c r="GHO239" s="16"/>
      <c r="GHP239" s="15"/>
      <c r="GHQ239" s="15"/>
      <c r="GHR239" s="10"/>
      <c r="GHS239" s="10"/>
      <c r="GHT239" s="19"/>
      <c r="GHU239" s="19"/>
      <c r="GHX239" s="16"/>
      <c r="GHY239" s="15"/>
      <c r="GHZ239" s="15"/>
      <c r="GIA239" s="15"/>
      <c r="GIB239" s="16"/>
      <c r="GIC239" s="16"/>
      <c r="GID239" s="16"/>
      <c r="GIE239" s="16"/>
      <c r="GIF239" s="16"/>
      <c r="GIG239" s="15"/>
      <c r="GIH239" s="15"/>
      <c r="GII239" s="10"/>
      <c r="GIJ239" s="10"/>
      <c r="GIK239" s="19"/>
      <c r="GIL239" s="19"/>
      <c r="GIO239" s="16"/>
      <c r="GIP239" s="15"/>
      <c r="GIQ239" s="15"/>
      <c r="GIR239" s="15"/>
      <c r="GIS239" s="16"/>
      <c r="GIT239" s="16"/>
      <c r="GIU239" s="16"/>
      <c r="GIV239" s="16"/>
      <c r="GIW239" s="16"/>
      <c r="GIX239" s="15"/>
      <c r="GIY239" s="15"/>
      <c r="GIZ239" s="10"/>
      <c r="GJA239" s="10"/>
      <c r="GJB239" s="19"/>
      <c r="GJC239" s="19"/>
      <c r="GJF239" s="16"/>
      <c r="GJG239" s="15"/>
      <c r="GJH239" s="15"/>
      <c r="GJI239" s="15"/>
      <c r="GJJ239" s="16"/>
      <c r="GJK239" s="16"/>
      <c r="GJL239" s="16"/>
      <c r="GJM239" s="16"/>
      <c r="GJN239" s="16"/>
      <c r="GJO239" s="15"/>
      <c r="GJP239" s="15"/>
      <c r="GJQ239" s="10"/>
      <c r="GJR239" s="10"/>
      <c r="GJS239" s="19"/>
      <c r="GJT239" s="19"/>
      <c r="GJW239" s="16"/>
      <c r="GJX239" s="15"/>
      <c r="GJY239" s="15"/>
      <c r="GJZ239" s="15"/>
      <c r="GKA239" s="16"/>
      <c r="GKB239" s="16"/>
      <c r="GKC239" s="16"/>
      <c r="GKD239" s="16"/>
      <c r="GKE239" s="16"/>
      <c r="GKF239" s="15"/>
      <c r="GKG239" s="15"/>
      <c r="GKH239" s="10"/>
      <c r="GKI239" s="10"/>
      <c r="GKJ239" s="19"/>
      <c r="GKK239" s="19"/>
      <c r="GKN239" s="16"/>
      <c r="GKO239" s="15"/>
      <c r="GKP239" s="15"/>
      <c r="GKQ239" s="15"/>
      <c r="GKR239" s="16"/>
      <c r="GKS239" s="16"/>
      <c r="GKT239" s="16"/>
      <c r="GKU239" s="16"/>
      <c r="GKV239" s="16"/>
      <c r="GKW239" s="15"/>
      <c r="GKX239" s="15"/>
      <c r="GKY239" s="10"/>
      <c r="GKZ239" s="10"/>
      <c r="GLA239" s="19"/>
      <c r="GLB239" s="19"/>
      <c r="GLE239" s="16"/>
      <c r="GLF239" s="15"/>
      <c r="GLG239" s="15"/>
      <c r="GLH239" s="15"/>
      <c r="GLI239" s="16"/>
      <c r="GLJ239" s="16"/>
      <c r="GLK239" s="16"/>
      <c r="GLL239" s="16"/>
      <c r="GLM239" s="16"/>
      <c r="GLN239" s="15"/>
      <c r="GLO239" s="15"/>
      <c r="GLP239" s="10"/>
      <c r="GLQ239" s="10"/>
      <c r="GLR239" s="19"/>
      <c r="GLS239" s="19"/>
      <c r="GLV239" s="16"/>
      <c r="GLW239" s="15"/>
      <c r="GLX239" s="15"/>
      <c r="GLY239" s="15"/>
      <c r="GLZ239" s="16"/>
      <c r="GMA239" s="16"/>
      <c r="GMB239" s="16"/>
      <c r="GMC239" s="16"/>
      <c r="GMD239" s="16"/>
      <c r="GME239" s="15"/>
      <c r="GMF239" s="15"/>
      <c r="GMG239" s="10"/>
      <c r="GMH239" s="10"/>
      <c r="GMI239" s="19"/>
      <c r="GMJ239" s="19"/>
      <c r="GMM239" s="16"/>
      <c r="GMN239" s="15"/>
      <c r="GMO239" s="15"/>
      <c r="GMP239" s="15"/>
      <c r="GMQ239" s="16"/>
      <c r="GMR239" s="16"/>
      <c r="GMS239" s="16"/>
      <c r="GMT239" s="16"/>
      <c r="GMU239" s="16"/>
      <c r="GMV239" s="15"/>
      <c r="GMW239" s="15"/>
      <c r="GMX239" s="10"/>
      <c r="GMY239" s="10"/>
      <c r="GMZ239" s="19"/>
      <c r="GNA239" s="19"/>
      <c r="GND239" s="16"/>
      <c r="GNE239" s="15"/>
      <c r="GNF239" s="15"/>
      <c r="GNG239" s="15"/>
      <c r="GNH239" s="16"/>
      <c r="GNI239" s="16"/>
      <c r="GNJ239" s="16"/>
      <c r="GNK239" s="16"/>
      <c r="GNL239" s="16"/>
      <c r="GNM239" s="15"/>
      <c r="GNN239" s="15"/>
      <c r="GNO239" s="10"/>
      <c r="GNP239" s="10"/>
      <c r="GNQ239" s="19"/>
      <c r="GNR239" s="19"/>
      <c r="GNU239" s="16"/>
      <c r="GNV239" s="15"/>
      <c r="GNW239" s="15"/>
      <c r="GNX239" s="15"/>
      <c r="GNY239" s="16"/>
      <c r="GNZ239" s="16"/>
      <c r="GOA239" s="16"/>
      <c r="GOB239" s="16"/>
      <c r="GOC239" s="16"/>
      <c r="GOD239" s="15"/>
      <c r="GOE239" s="15"/>
      <c r="GOF239" s="10"/>
      <c r="GOG239" s="10"/>
      <c r="GOH239" s="19"/>
      <c r="GOI239" s="19"/>
      <c r="GOL239" s="16"/>
      <c r="GOM239" s="15"/>
      <c r="GON239" s="15"/>
      <c r="GOO239" s="15"/>
      <c r="GOP239" s="16"/>
      <c r="GOQ239" s="16"/>
      <c r="GOR239" s="16"/>
      <c r="GOS239" s="16"/>
      <c r="GOT239" s="16"/>
      <c r="GOU239" s="15"/>
      <c r="GOV239" s="15"/>
      <c r="GOW239" s="10"/>
      <c r="GOX239" s="10"/>
      <c r="GOY239" s="19"/>
      <c r="GOZ239" s="19"/>
      <c r="GPC239" s="16"/>
      <c r="GPD239" s="15"/>
      <c r="GPE239" s="15"/>
      <c r="GPF239" s="15"/>
      <c r="GPG239" s="16"/>
      <c r="GPH239" s="16"/>
      <c r="GPI239" s="16"/>
      <c r="GPJ239" s="16"/>
      <c r="GPK239" s="16"/>
      <c r="GPL239" s="15"/>
      <c r="GPM239" s="15"/>
      <c r="GPN239" s="10"/>
      <c r="GPO239" s="10"/>
      <c r="GPP239" s="19"/>
      <c r="GPQ239" s="19"/>
      <c r="GPT239" s="16"/>
      <c r="GPU239" s="15"/>
      <c r="GPV239" s="15"/>
      <c r="GPW239" s="15"/>
      <c r="GPX239" s="16"/>
      <c r="GPY239" s="16"/>
      <c r="GPZ239" s="16"/>
      <c r="GQA239" s="16"/>
      <c r="GQB239" s="16"/>
      <c r="GQC239" s="15"/>
      <c r="GQD239" s="15"/>
      <c r="GQE239" s="10"/>
      <c r="GQF239" s="10"/>
      <c r="GQG239" s="19"/>
      <c r="GQH239" s="19"/>
      <c r="GQK239" s="16"/>
      <c r="GQL239" s="15"/>
      <c r="GQM239" s="15"/>
      <c r="GQN239" s="15"/>
      <c r="GQO239" s="16"/>
      <c r="GQP239" s="16"/>
      <c r="GQQ239" s="16"/>
      <c r="GQR239" s="16"/>
      <c r="GQS239" s="16"/>
      <c r="GQT239" s="15"/>
      <c r="GQU239" s="15"/>
      <c r="GQV239" s="10"/>
      <c r="GQW239" s="10"/>
      <c r="GQX239" s="19"/>
      <c r="GQY239" s="19"/>
      <c r="GRB239" s="16"/>
      <c r="GRC239" s="15"/>
      <c r="GRD239" s="15"/>
      <c r="GRE239" s="15"/>
      <c r="GRF239" s="16"/>
      <c r="GRG239" s="16"/>
      <c r="GRH239" s="16"/>
      <c r="GRI239" s="16"/>
      <c r="GRJ239" s="16"/>
      <c r="GRK239" s="15"/>
      <c r="GRL239" s="15"/>
      <c r="GRM239" s="10"/>
      <c r="GRN239" s="10"/>
      <c r="GRO239" s="19"/>
      <c r="GRP239" s="19"/>
      <c r="GRS239" s="16"/>
      <c r="GRT239" s="15"/>
      <c r="GRU239" s="15"/>
      <c r="GRV239" s="15"/>
      <c r="GRW239" s="16"/>
      <c r="GRX239" s="16"/>
      <c r="GRY239" s="16"/>
      <c r="GRZ239" s="16"/>
      <c r="GSA239" s="16"/>
      <c r="GSB239" s="15"/>
      <c r="GSC239" s="15"/>
      <c r="GSD239" s="10"/>
      <c r="GSE239" s="10"/>
      <c r="GSF239" s="19"/>
      <c r="GSG239" s="19"/>
      <c r="GSJ239" s="16"/>
      <c r="GSK239" s="15"/>
      <c r="GSL239" s="15"/>
      <c r="GSM239" s="15"/>
      <c r="GSN239" s="16"/>
      <c r="GSO239" s="16"/>
      <c r="GSP239" s="16"/>
      <c r="GSQ239" s="16"/>
      <c r="GSR239" s="16"/>
      <c r="GSS239" s="15"/>
      <c r="GST239" s="15"/>
      <c r="GSU239" s="10"/>
      <c r="GSV239" s="10"/>
      <c r="GSW239" s="19"/>
      <c r="GSX239" s="19"/>
      <c r="GTA239" s="16"/>
      <c r="GTB239" s="15"/>
      <c r="GTC239" s="15"/>
      <c r="GTD239" s="15"/>
      <c r="GTE239" s="16"/>
      <c r="GTF239" s="16"/>
      <c r="GTG239" s="16"/>
      <c r="GTH239" s="16"/>
      <c r="GTI239" s="16"/>
      <c r="GTJ239" s="15"/>
      <c r="GTK239" s="15"/>
      <c r="GTL239" s="10"/>
      <c r="GTM239" s="10"/>
      <c r="GTN239" s="19"/>
      <c r="GTO239" s="19"/>
      <c r="GTR239" s="16"/>
      <c r="GTS239" s="15"/>
      <c r="GTT239" s="15"/>
      <c r="GTU239" s="15"/>
      <c r="GTV239" s="16"/>
      <c r="GTW239" s="16"/>
      <c r="GTX239" s="16"/>
      <c r="GTY239" s="16"/>
      <c r="GTZ239" s="16"/>
      <c r="GUA239" s="15"/>
      <c r="GUB239" s="15"/>
      <c r="GUC239" s="10"/>
      <c r="GUD239" s="10"/>
      <c r="GUE239" s="19"/>
      <c r="GUF239" s="19"/>
      <c r="GUI239" s="16"/>
      <c r="GUJ239" s="15"/>
      <c r="GUK239" s="15"/>
      <c r="GUL239" s="15"/>
      <c r="GUM239" s="16"/>
      <c r="GUN239" s="16"/>
      <c r="GUO239" s="16"/>
      <c r="GUP239" s="16"/>
      <c r="GUQ239" s="16"/>
      <c r="GUR239" s="15"/>
      <c r="GUS239" s="15"/>
      <c r="GUT239" s="10"/>
      <c r="GUU239" s="10"/>
      <c r="GUV239" s="19"/>
      <c r="GUW239" s="19"/>
      <c r="GUZ239" s="16"/>
      <c r="GVA239" s="15"/>
      <c r="GVB239" s="15"/>
      <c r="GVC239" s="15"/>
      <c r="GVD239" s="16"/>
      <c r="GVE239" s="16"/>
      <c r="GVF239" s="16"/>
      <c r="GVG239" s="16"/>
      <c r="GVH239" s="16"/>
      <c r="GVI239" s="15"/>
      <c r="GVJ239" s="15"/>
      <c r="GVK239" s="10"/>
      <c r="GVL239" s="10"/>
      <c r="GVM239" s="19"/>
      <c r="GVN239" s="19"/>
      <c r="GVQ239" s="16"/>
      <c r="GVR239" s="15"/>
      <c r="GVS239" s="15"/>
      <c r="GVT239" s="15"/>
      <c r="GVU239" s="16"/>
      <c r="GVV239" s="16"/>
      <c r="GVW239" s="16"/>
      <c r="GVX239" s="16"/>
      <c r="GVY239" s="16"/>
      <c r="GVZ239" s="15"/>
      <c r="GWA239" s="15"/>
      <c r="GWB239" s="10"/>
      <c r="GWC239" s="10"/>
      <c r="GWD239" s="19"/>
      <c r="GWE239" s="19"/>
      <c r="GWH239" s="16"/>
      <c r="GWI239" s="15"/>
      <c r="GWJ239" s="15"/>
      <c r="GWK239" s="15"/>
      <c r="GWL239" s="16"/>
      <c r="GWM239" s="16"/>
      <c r="GWN239" s="16"/>
      <c r="GWO239" s="16"/>
      <c r="GWP239" s="16"/>
      <c r="GWQ239" s="15"/>
      <c r="GWR239" s="15"/>
      <c r="GWS239" s="10"/>
      <c r="GWT239" s="10"/>
      <c r="GWU239" s="19"/>
      <c r="GWV239" s="19"/>
      <c r="GWY239" s="16"/>
      <c r="GWZ239" s="15"/>
      <c r="GXA239" s="15"/>
      <c r="GXB239" s="15"/>
      <c r="GXC239" s="16"/>
      <c r="GXD239" s="16"/>
      <c r="GXE239" s="16"/>
      <c r="GXF239" s="16"/>
      <c r="GXG239" s="16"/>
      <c r="GXH239" s="15"/>
      <c r="GXI239" s="15"/>
      <c r="GXJ239" s="10"/>
      <c r="GXK239" s="10"/>
      <c r="GXL239" s="19"/>
      <c r="GXM239" s="19"/>
      <c r="GXP239" s="16"/>
      <c r="GXQ239" s="15"/>
      <c r="GXR239" s="15"/>
      <c r="GXS239" s="15"/>
      <c r="GXT239" s="16"/>
      <c r="GXU239" s="16"/>
      <c r="GXV239" s="16"/>
      <c r="GXW239" s="16"/>
      <c r="GXX239" s="16"/>
      <c r="GXY239" s="15"/>
      <c r="GXZ239" s="15"/>
      <c r="GYA239" s="10"/>
      <c r="GYB239" s="10"/>
      <c r="GYC239" s="19"/>
      <c r="GYD239" s="19"/>
      <c r="GYG239" s="16"/>
      <c r="GYH239" s="15"/>
      <c r="GYI239" s="15"/>
      <c r="GYJ239" s="15"/>
      <c r="GYK239" s="16"/>
      <c r="GYL239" s="16"/>
      <c r="GYM239" s="16"/>
      <c r="GYN239" s="16"/>
      <c r="GYO239" s="16"/>
      <c r="GYP239" s="15"/>
      <c r="GYQ239" s="15"/>
      <c r="GYR239" s="10"/>
      <c r="GYS239" s="10"/>
      <c r="GYT239" s="19"/>
      <c r="GYU239" s="19"/>
      <c r="GYX239" s="16"/>
      <c r="GYY239" s="15"/>
      <c r="GYZ239" s="15"/>
      <c r="GZA239" s="15"/>
      <c r="GZB239" s="16"/>
      <c r="GZC239" s="16"/>
      <c r="GZD239" s="16"/>
      <c r="GZE239" s="16"/>
      <c r="GZF239" s="16"/>
      <c r="GZG239" s="15"/>
      <c r="GZH239" s="15"/>
      <c r="GZI239" s="10"/>
      <c r="GZJ239" s="10"/>
      <c r="GZK239" s="19"/>
      <c r="GZL239" s="19"/>
      <c r="GZO239" s="16"/>
      <c r="GZP239" s="15"/>
      <c r="GZQ239" s="15"/>
      <c r="GZR239" s="15"/>
      <c r="GZS239" s="16"/>
      <c r="GZT239" s="16"/>
      <c r="GZU239" s="16"/>
      <c r="GZV239" s="16"/>
      <c r="GZW239" s="16"/>
      <c r="GZX239" s="15"/>
      <c r="GZY239" s="15"/>
      <c r="GZZ239" s="10"/>
      <c r="HAA239" s="10"/>
      <c r="HAB239" s="19"/>
      <c r="HAC239" s="19"/>
      <c r="HAF239" s="16"/>
      <c r="HAG239" s="15"/>
      <c r="HAH239" s="15"/>
      <c r="HAI239" s="15"/>
      <c r="HAJ239" s="16"/>
      <c r="HAK239" s="16"/>
      <c r="HAL239" s="16"/>
      <c r="HAM239" s="16"/>
      <c r="HAN239" s="16"/>
      <c r="HAO239" s="15"/>
      <c r="HAP239" s="15"/>
      <c r="HAQ239" s="10"/>
      <c r="HAR239" s="10"/>
      <c r="HAS239" s="19"/>
      <c r="HAT239" s="19"/>
      <c r="HAW239" s="16"/>
      <c r="HAX239" s="15"/>
      <c r="HAY239" s="15"/>
      <c r="HAZ239" s="15"/>
      <c r="HBA239" s="16"/>
      <c r="HBB239" s="16"/>
      <c r="HBC239" s="16"/>
      <c r="HBD239" s="16"/>
      <c r="HBE239" s="16"/>
      <c r="HBF239" s="15"/>
      <c r="HBG239" s="15"/>
      <c r="HBH239" s="10"/>
      <c r="HBI239" s="10"/>
      <c r="HBJ239" s="19"/>
      <c r="HBK239" s="19"/>
      <c r="HBN239" s="16"/>
      <c r="HBO239" s="15"/>
      <c r="HBP239" s="15"/>
      <c r="HBQ239" s="15"/>
      <c r="HBR239" s="16"/>
      <c r="HBS239" s="16"/>
      <c r="HBT239" s="16"/>
      <c r="HBU239" s="16"/>
      <c r="HBV239" s="16"/>
      <c r="HBW239" s="15"/>
      <c r="HBX239" s="15"/>
      <c r="HBY239" s="10"/>
      <c r="HBZ239" s="10"/>
      <c r="HCA239" s="19"/>
      <c r="HCB239" s="19"/>
      <c r="HCE239" s="16"/>
      <c r="HCF239" s="15"/>
      <c r="HCG239" s="15"/>
      <c r="HCH239" s="15"/>
      <c r="HCI239" s="16"/>
      <c r="HCJ239" s="16"/>
      <c r="HCK239" s="16"/>
      <c r="HCL239" s="16"/>
      <c r="HCM239" s="16"/>
      <c r="HCN239" s="15"/>
      <c r="HCO239" s="15"/>
      <c r="HCP239" s="10"/>
      <c r="HCQ239" s="10"/>
      <c r="HCR239" s="19"/>
      <c r="HCS239" s="19"/>
      <c r="HCV239" s="16"/>
      <c r="HCW239" s="15"/>
      <c r="HCX239" s="15"/>
      <c r="HCY239" s="15"/>
      <c r="HCZ239" s="16"/>
      <c r="HDA239" s="16"/>
      <c r="HDB239" s="16"/>
      <c r="HDC239" s="16"/>
      <c r="HDD239" s="16"/>
      <c r="HDE239" s="15"/>
      <c r="HDF239" s="15"/>
      <c r="HDG239" s="10"/>
      <c r="HDH239" s="10"/>
      <c r="HDI239" s="19"/>
      <c r="HDJ239" s="19"/>
      <c r="HDM239" s="16"/>
      <c r="HDN239" s="15"/>
      <c r="HDO239" s="15"/>
      <c r="HDP239" s="15"/>
      <c r="HDQ239" s="16"/>
      <c r="HDR239" s="16"/>
      <c r="HDS239" s="16"/>
      <c r="HDT239" s="16"/>
      <c r="HDU239" s="16"/>
      <c r="HDV239" s="15"/>
      <c r="HDW239" s="15"/>
      <c r="HDX239" s="10"/>
      <c r="HDY239" s="10"/>
      <c r="HDZ239" s="19"/>
      <c r="HEA239" s="19"/>
      <c r="HED239" s="16"/>
      <c r="HEE239" s="15"/>
      <c r="HEF239" s="15"/>
      <c r="HEG239" s="15"/>
      <c r="HEH239" s="16"/>
      <c r="HEI239" s="16"/>
      <c r="HEJ239" s="16"/>
      <c r="HEK239" s="16"/>
      <c r="HEL239" s="16"/>
      <c r="HEM239" s="15"/>
      <c r="HEN239" s="15"/>
      <c r="HEO239" s="10"/>
      <c r="HEP239" s="10"/>
      <c r="HEQ239" s="19"/>
      <c r="HER239" s="19"/>
      <c r="HEU239" s="16"/>
      <c r="HEV239" s="15"/>
      <c r="HEW239" s="15"/>
      <c r="HEX239" s="15"/>
      <c r="HEY239" s="16"/>
      <c r="HEZ239" s="16"/>
      <c r="HFA239" s="16"/>
      <c r="HFB239" s="16"/>
      <c r="HFC239" s="16"/>
      <c r="HFD239" s="15"/>
      <c r="HFE239" s="15"/>
      <c r="HFF239" s="10"/>
      <c r="HFG239" s="10"/>
      <c r="HFH239" s="19"/>
      <c r="HFI239" s="19"/>
      <c r="HFL239" s="16"/>
      <c r="HFM239" s="15"/>
      <c r="HFN239" s="15"/>
      <c r="HFO239" s="15"/>
      <c r="HFP239" s="16"/>
      <c r="HFQ239" s="16"/>
      <c r="HFR239" s="16"/>
      <c r="HFS239" s="16"/>
      <c r="HFT239" s="16"/>
      <c r="HFU239" s="15"/>
      <c r="HFV239" s="15"/>
      <c r="HFW239" s="10"/>
      <c r="HFX239" s="10"/>
      <c r="HFY239" s="19"/>
      <c r="HFZ239" s="19"/>
      <c r="HGC239" s="16"/>
      <c r="HGD239" s="15"/>
      <c r="HGE239" s="15"/>
      <c r="HGF239" s="15"/>
      <c r="HGG239" s="16"/>
      <c r="HGH239" s="16"/>
      <c r="HGI239" s="16"/>
      <c r="HGJ239" s="16"/>
      <c r="HGK239" s="16"/>
      <c r="HGL239" s="15"/>
      <c r="HGM239" s="15"/>
      <c r="HGN239" s="10"/>
      <c r="HGO239" s="10"/>
      <c r="HGP239" s="19"/>
      <c r="HGQ239" s="19"/>
      <c r="HGT239" s="16"/>
      <c r="HGU239" s="15"/>
      <c r="HGV239" s="15"/>
      <c r="HGW239" s="15"/>
      <c r="HGX239" s="16"/>
      <c r="HGY239" s="16"/>
      <c r="HGZ239" s="16"/>
      <c r="HHA239" s="16"/>
      <c r="HHB239" s="16"/>
      <c r="HHC239" s="15"/>
      <c r="HHD239" s="15"/>
      <c r="HHE239" s="10"/>
      <c r="HHF239" s="10"/>
      <c r="HHG239" s="19"/>
      <c r="HHH239" s="19"/>
      <c r="HHK239" s="16"/>
      <c r="HHL239" s="15"/>
      <c r="HHM239" s="15"/>
      <c r="HHN239" s="15"/>
      <c r="HHO239" s="16"/>
      <c r="HHP239" s="16"/>
      <c r="HHQ239" s="16"/>
      <c r="HHR239" s="16"/>
      <c r="HHS239" s="16"/>
      <c r="HHT239" s="15"/>
      <c r="HHU239" s="15"/>
      <c r="HHV239" s="10"/>
      <c r="HHW239" s="10"/>
      <c r="HHX239" s="19"/>
      <c r="HHY239" s="19"/>
      <c r="HIB239" s="16"/>
      <c r="HIC239" s="15"/>
      <c r="HID239" s="15"/>
      <c r="HIE239" s="15"/>
      <c r="HIF239" s="16"/>
      <c r="HIG239" s="16"/>
      <c r="HIH239" s="16"/>
      <c r="HII239" s="16"/>
      <c r="HIJ239" s="16"/>
      <c r="HIK239" s="15"/>
      <c r="HIL239" s="15"/>
      <c r="HIM239" s="10"/>
      <c r="HIN239" s="10"/>
      <c r="HIO239" s="19"/>
      <c r="HIP239" s="19"/>
      <c r="HIS239" s="16"/>
      <c r="HIT239" s="15"/>
      <c r="HIU239" s="15"/>
      <c r="HIV239" s="15"/>
      <c r="HIW239" s="16"/>
      <c r="HIX239" s="16"/>
      <c r="HIY239" s="16"/>
      <c r="HIZ239" s="16"/>
      <c r="HJA239" s="16"/>
      <c r="HJB239" s="15"/>
      <c r="HJC239" s="15"/>
      <c r="HJD239" s="10"/>
      <c r="HJE239" s="10"/>
      <c r="HJF239" s="19"/>
      <c r="HJG239" s="19"/>
      <c r="HJJ239" s="16"/>
      <c r="HJK239" s="15"/>
      <c r="HJL239" s="15"/>
      <c r="HJM239" s="15"/>
      <c r="HJN239" s="16"/>
      <c r="HJO239" s="16"/>
      <c r="HJP239" s="16"/>
      <c r="HJQ239" s="16"/>
      <c r="HJR239" s="16"/>
      <c r="HJS239" s="15"/>
      <c r="HJT239" s="15"/>
      <c r="HJU239" s="10"/>
      <c r="HJV239" s="10"/>
      <c r="HJW239" s="19"/>
      <c r="HJX239" s="19"/>
      <c r="HKA239" s="16"/>
      <c r="HKB239" s="15"/>
      <c r="HKC239" s="15"/>
      <c r="HKD239" s="15"/>
      <c r="HKE239" s="16"/>
      <c r="HKF239" s="16"/>
      <c r="HKG239" s="16"/>
      <c r="HKH239" s="16"/>
      <c r="HKI239" s="16"/>
      <c r="HKJ239" s="15"/>
      <c r="HKK239" s="15"/>
      <c r="HKL239" s="10"/>
      <c r="HKM239" s="10"/>
      <c r="HKN239" s="19"/>
      <c r="HKO239" s="19"/>
      <c r="HKR239" s="16"/>
      <c r="HKS239" s="15"/>
      <c r="HKT239" s="15"/>
      <c r="HKU239" s="15"/>
      <c r="HKV239" s="16"/>
      <c r="HKW239" s="16"/>
      <c r="HKX239" s="16"/>
      <c r="HKY239" s="16"/>
      <c r="HKZ239" s="16"/>
      <c r="HLA239" s="15"/>
      <c r="HLB239" s="15"/>
      <c r="HLC239" s="10"/>
      <c r="HLD239" s="10"/>
      <c r="HLE239" s="19"/>
      <c r="HLF239" s="19"/>
      <c r="HLI239" s="16"/>
      <c r="HLJ239" s="15"/>
      <c r="HLK239" s="15"/>
      <c r="HLL239" s="15"/>
      <c r="HLM239" s="16"/>
      <c r="HLN239" s="16"/>
      <c r="HLO239" s="16"/>
      <c r="HLP239" s="16"/>
      <c r="HLQ239" s="16"/>
      <c r="HLR239" s="15"/>
      <c r="HLS239" s="15"/>
      <c r="HLT239" s="10"/>
      <c r="HLU239" s="10"/>
      <c r="HLV239" s="19"/>
      <c r="HLW239" s="19"/>
      <c r="HLZ239" s="16"/>
      <c r="HMA239" s="15"/>
      <c r="HMB239" s="15"/>
      <c r="HMC239" s="15"/>
      <c r="HMD239" s="16"/>
      <c r="HME239" s="16"/>
      <c r="HMF239" s="16"/>
      <c r="HMG239" s="16"/>
      <c r="HMH239" s="16"/>
      <c r="HMI239" s="15"/>
      <c r="HMJ239" s="15"/>
      <c r="HMK239" s="10"/>
      <c r="HML239" s="10"/>
      <c r="HMM239" s="19"/>
      <c r="HMN239" s="19"/>
      <c r="HMQ239" s="16"/>
      <c r="HMR239" s="15"/>
      <c r="HMS239" s="15"/>
      <c r="HMT239" s="15"/>
      <c r="HMU239" s="16"/>
      <c r="HMV239" s="16"/>
      <c r="HMW239" s="16"/>
      <c r="HMX239" s="16"/>
      <c r="HMY239" s="16"/>
      <c r="HMZ239" s="15"/>
      <c r="HNA239" s="15"/>
      <c r="HNB239" s="10"/>
      <c r="HNC239" s="10"/>
      <c r="HND239" s="19"/>
      <c r="HNE239" s="19"/>
      <c r="HNH239" s="16"/>
      <c r="HNI239" s="15"/>
      <c r="HNJ239" s="15"/>
      <c r="HNK239" s="15"/>
      <c r="HNL239" s="16"/>
      <c r="HNM239" s="16"/>
      <c r="HNN239" s="16"/>
      <c r="HNO239" s="16"/>
      <c r="HNP239" s="16"/>
      <c r="HNQ239" s="15"/>
      <c r="HNR239" s="15"/>
      <c r="HNS239" s="10"/>
      <c r="HNT239" s="10"/>
      <c r="HNU239" s="19"/>
      <c r="HNV239" s="19"/>
      <c r="HNY239" s="16"/>
      <c r="HNZ239" s="15"/>
      <c r="HOA239" s="15"/>
      <c r="HOB239" s="15"/>
      <c r="HOC239" s="16"/>
      <c r="HOD239" s="16"/>
      <c r="HOE239" s="16"/>
      <c r="HOF239" s="16"/>
      <c r="HOG239" s="16"/>
      <c r="HOH239" s="15"/>
      <c r="HOI239" s="15"/>
      <c r="HOJ239" s="10"/>
      <c r="HOK239" s="10"/>
      <c r="HOL239" s="19"/>
      <c r="HOM239" s="19"/>
      <c r="HOP239" s="16"/>
      <c r="HOQ239" s="15"/>
      <c r="HOR239" s="15"/>
      <c r="HOS239" s="15"/>
      <c r="HOT239" s="16"/>
      <c r="HOU239" s="16"/>
      <c r="HOV239" s="16"/>
      <c r="HOW239" s="16"/>
      <c r="HOX239" s="16"/>
      <c r="HOY239" s="15"/>
      <c r="HOZ239" s="15"/>
      <c r="HPA239" s="10"/>
      <c r="HPB239" s="10"/>
      <c r="HPC239" s="19"/>
      <c r="HPD239" s="19"/>
      <c r="HPG239" s="16"/>
      <c r="HPH239" s="15"/>
      <c r="HPI239" s="15"/>
      <c r="HPJ239" s="15"/>
      <c r="HPK239" s="16"/>
      <c r="HPL239" s="16"/>
      <c r="HPM239" s="16"/>
      <c r="HPN239" s="16"/>
      <c r="HPO239" s="16"/>
      <c r="HPP239" s="15"/>
      <c r="HPQ239" s="15"/>
      <c r="HPR239" s="10"/>
      <c r="HPS239" s="10"/>
      <c r="HPT239" s="19"/>
      <c r="HPU239" s="19"/>
      <c r="HPX239" s="16"/>
      <c r="HPY239" s="15"/>
      <c r="HPZ239" s="15"/>
      <c r="HQA239" s="15"/>
      <c r="HQB239" s="16"/>
      <c r="HQC239" s="16"/>
      <c r="HQD239" s="16"/>
      <c r="HQE239" s="16"/>
      <c r="HQF239" s="16"/>
      <c r="HQG239" s="15"/>
      <c r="HQH239" s="15"/>
      <c r="HQI239" s="10"/>
      <c r="HQJ239" s="10"/>
      <c r="HQK239" s="19"/>
      <c r="HQL239" s="19"/>
      <c r="HQO239" s="16"/>
      <c r="HQP239" s="15"/>
      <c r="HQQ239" s="15"/>
      <c r="HQR239" s="15"/>
      <c r="HQS239" s="16"/>
      <c r="HQT239" s="16"/>
      <c r="HQU239" s="16"/>
      <c r="HQV239" s="16"/>
      <c r="HQW239" s="16"/>
      <c r="HQX239" s="15"/>
      <c r="HQY239" s="15"/>
      <c r="HQZ239" s="10"/>
      <c r="HRA239" s="10"/>
      <c r="HRB239" s="19"/>
      <c r="HRC239" s="19"/>
      <c r="HRF239" s="16"/>
      <c r="HRG239" s="15"/>
      <c r="HRH239" s="15"/>
      <c r="HRI239" s="15"/>
      <c r="HRJ239" s="16"/>
      <c r="HRK239" s="16"/>
      <c r="HRL239" s="16"/>
      <c r="HRM239" s="16"/>
      <c r="HRN239" s="16"/>
      <c r="HRO239" s="15"/>
      <c r="HRP239" s="15"/>
      <c r="HRQ239" s="10"/>
      <c r="HRR239" s="10"/>
      <c r="HRS239" s="19"/>
      <c r="HRT239" s="19"/>
      <c r="HRW239" s="16"/>
      <c r="HRX239" s="15"/>
      <c r="HRY239" s="15"/>
      <c r="HRZ239" s="15"/>
      <c r="HSA239" s="16"/>
      <c r="HSB239" s="16"/>
      <c r="HSC239" s="16"/>
      <c r="HSD239" s="16"/>
      <c r="HSE239" s="16"/>
      <c r="HSF239" s="15"/>
      <c r="HSG239" s="15"/>
      <c r="HSH239" s="10"/>
      <c r="HSI239" s="10"/>
      <c r="HSJ239" s="19"/>
      <c r="HSK239" s="19"/>
      <c r="HSN239" s="16"/>
      <c r="HSO239" s="15"/>
      <c r="HSP239" s="15"/>
      <c r="HSQ239" s="15"/>
      <c r="HSR239" s="16"/>
      <c r="HSS239" s="16"/>
      <c r="HST239" s="16"/>
      <c r="HSU239" s="16"/>
      <c r="HSV239" s="16"/>
      <c r="HSW239" s="15"/>
      <c r="HSX239" s="15"/>
      <c r="HSY239" s="10"/>
      <c r="HSZ239" s="10"/>
      <c r="HTA239" s="19"/>
      <c r="HTB239" s="19"/>
      <c r="HTE239" s="16"/>
      <c r="HTF239" s="15"/>
      <c r="HTG239" s="15"/>
      <c r="HTH239" s="15"/>
      <c r="HTI239" s="16"/>
      <c r="HTJ239" s="16"/>
      <c r="HTK239" s="16"/>
      <c r="HTL239" s="16"/>
      <c r="HTM239" s="16"/>
      <c r="HTN239" s="15"/>
      <c r="HTO239" s="15"/>
      <c r="HTP239" s="10"/>
      <c r="HTQ239" s="10"/>
      <c r="HTR239" s="19"/>
      <c r="HTS239" s="19"/>
      <c r="HTV239" s="16"/>
      <c r="HTW239" s="15"/>
      <c r="HTX239" s="15"/>
      <c r="HTY239" s="15"/>
      <c r="HTZ239" s="16"/>
      <c r="HUA239" s="16"/>
      <c r="HUB239" s="16"/>
      <c r="HUC239" s="16"/>
      <c r="HUD239" s="16"/>
      <c r="HUE239" s="15"/>
      <c r="HUF239" s="15"/>
      <c r="HUG239" s="10"/>
      <c r="HUH239" s="10"/>
      <c r="HUI239" s="19"/>
      <c r="HUJ239" s="19"/>
      <c r="HUM239" s="16"/>
      <c r="HUN239" s="15"/>
      <c r="HUO239" s="15"/>
      <c r="HUP239" s="15"/>
      <c r="HUQ239" s="16"/>
      <c r="HUR239" s="16"/>
      <c r="HUS239" s="16"/>
      <c r="HUT239" s="16"/>
      <c r="HUU239" s="16"/>
      <c r="HUV239" s="15"/>
      <c r="HUW239" s="15"/>
      <c r="HUX239" s="10"/>
      <c r="HUY239" s="10"/>
      <c r="HUZ239" s="19"/>
      <c r="HVA239" s="19"/>
      <c r="HVD239" s="16"/>
      <c r="HVE239" s="15"/>
      <c r="HVF239" s="15"/>
      <c r="HVG239" s="15"/>
      <c r="HVH239" s="16"/>
      <c r="HVI239" s="16"/>
      <c r="HVJ239" s="16"/>
      <c r="HVK239" s="16"/>
      <c r="HVL239" s="16"/>
      <c r="HVM239" s="15"/>
      <c r="HVN239" s="15"/>
      <c r="HVO239" s="10"/>
      <c r="HVP239" s="10"/>
      <c r="HVQ239" s="19"/>
      <c r="HVR239" s="19"/>
      <c r="HVU239" s="16"/>
      <c r="HVV239" s="15"/>
      <c r="HVW239" s="15"/>
      <c r="HVX239" s="15"/>
      <c r="HVY239" s="16"/>
      <c r="HVZ239" s="16"/>
      <c r="HWA239" s="16"/>
      <c r="HWB239" s="16"/>
      <c r="HWC239" s="16"/>
      <c r="HWD239" s="15"/>
      <c r="HWE239" s="15"/>
      <c r="HWF239" s="10"/>
      <c r="HWG239" s="10"/>
      <c r="HWH239" s="19"/>
      <c r="HWI239" s="19"/>
      <c r="HWL239" s="16"/>
      <c r="HWM239" s="15"/>
      <c r="HWN239" s="15"/>
      <c r="HWO239" s="15"/>
      <c r="HWP239" s="16"/>
      <c r="HWQ239" s="16"/>
      <c r="HWR239" s="16"/>
      <c r="HWS239" s="16"/>
      <c r="HWT239" s="16"/>
      <c r="HWU239" s="15"/>
      <c r="HWV239" s="15"/>
      <c r="HWW239" s="10"/>
      <c r="HWX239" s="10"/>
      <c r="HWY239" s="19"/>
      <c r="HWZ239" s="19"/>
      <c r="HXC239" s="16"/>
      <c r="HXD239" s="15"/>
      <c r="HXE239" s="15"/>
      <c r="HXF239" s="15"/>
      <c r="HXG239" s="16"/>
      <c r="HXH239" s="16"/>
      <c r="HXI239" s="16"/>
      <c r="HXJ239" s="16"/>
      <c r="HXK239" s="16"/>
      <c r="HXL239" s="15"/>
      <c r="HXM239" s="15"/>
      <c r="HXN239" s="10"/>
      <c r="HXO239" s="10"/>
      <c r="HXP239" s="19"/>
      <c r="HXQ239" s="19"/>
      <c r="HXT239" s="16"/>
      <c r="HXU239" s="15"/>
      <c r="HXV239" s="15"/>
      <c r="HXW239" s="15"/>
      <c r="HXX239" s="16"/>
      <c r="HXY239" s="16"/>
      <c r="HXZ239" s="16"/>
      <c r="HYA239" s="16"/>
      <c r="HYB239" s="16"/>
      <c r="HYC239" s="15"/>
      <c r="HYD239" s="15"/>
      <c r="HYE239" s="10"/>
      <c r="HYF239" s="10"/>
      <c r="HYG239" s="19"/>
      <c r="HYH239" s="19"/>
      <c r="HYK239" s="16"/>
      <c r="HYL239" s="15"/>
      <c r="HYM239" s="15"/>
      <c r="HYN239" s="15"/>
      <c r="HYO239" s="16"/>
      <c r="HYP239" s="16"/>
      <c r="HYQ239" s="16"/>
      <c r="HYR239" s="16"/>
      <c r="HYS239" s="16"/>
      <c r="HYT239" s="15"/>
      <c r="HYU239" s="15"/>
      <c r="HYV239" s="10"/>
      <c r="HYW239" s="10"/>
      <c r="HYX239" s="19"/>
      <c r="HYY239" s="19"/>
      <c r="HZB239" s="16"/>
      <c r="HZC239" s="15"/>
      <c r="HZD239" s="15"/>
      <c r="HZE239" s="15"/>
      <c r="HZF239" s="16"/>
      <c r="HZG239" s="16"/>
      <c r="HZH239" s="16"/>
      <c r="HZI239" s="16"/>
      <c r="HZJ239" s="16"/>
      <c r="HZK239" s="15"/>
      <c r="HZL239" s="15"/>
      <c r="HZM239" s="10"/>
      <c r="HZN239" s="10"/>
      <c r="HZO239" s="19"/>
      <c r="HZP239" s="19"/>
      <c r="HZS239" s="16"/>
      <c r="HZT239" s="15"/>
      <c r="HZU239" s="15"/>
      <c r="HZV239" s="15"/>
      <c r="HZW239" s="16"/>
      <c r="HZX239" s="16"/>
      <c r="HZY239" s="16"/>
      <c r="HZZ239" s="16"/>
      <c r="IAA239" s="16"/>
      <c r="IAB239" s="15"/>
      <c r="IAC239" s="15"/>
      <c r="IAD239" s="10"/>
      <c r="IAE239" s="10"/>
      <c r="IAF239" s="19"/>
      <c r="IAG239" s="19"/>
      <c r="IAJ239" s="16"/>
      <c r="IAK239" s="15"/>
      <c r="IAL239" s="15"/>
      <c r="IAM239" s="15"/>
      <c r="IAN239" s="16"/>
      <c r="IAO239" s="16"/>
      <c r="IAP239" s="16"/>
      <c r="IAQ239" s="16"/>
      <c r="IAR239" s="16"/>
      <c r="IAS239" s="15"/>
      <c r="IAT239" s="15"/>
      <c r="IAU239" s="10"/>
      <c r="IAV239" s="10"/>
      <c r="IAW239" s="19"/>
      <c r="IAX239" s="19"/>
      <c r="IBA239" s="16"/>
      <c r="IBB239" s="15"/>
      <c r="IBC239" s="15"/>
      <c r="IBD239" s="15"/>
      <c r="IBE239" s="16"/>
      <c r="IBF239" s="16"/>
      <c r="IBG239" s="16"/>
      <c r="IBH239" s="16"/>
      <c r="IBI239" s="16"/>
      <c r="IBJ239" s="15"/>
      <c r="IBK239" s="15"/>
      <c r="IBL239" s="10"/>
      <c r="IBM239" s="10"/>
      <c r="IBN239" s="19"/>
      <c r="IBO239" s="19"/>
      <c r="IBR239" s="16"/>
      <c r="IBS239" s="15"/>
      <c r="IBT239" s="15"/>
      <c r="IBU239" s="15"/>
      <c r="IBV239" s="16"/>
      <c r="IBW239" s="16"/>
      <c r="IBX239" s="16"/>
      <c r="IBY239" s="16"/>
      <c r="IBZ239" s="16"/>
      <c r="ICA239" s="15"/>
      <c r="ICB239" s="15"/>
      <c r="ICC239" s="10"/>
      <c r="ICD239" s="10"/>
      <c r="ICE239" s="19"/>
      <c r="ICF239" s="19"/>
      <c r="ICI239" s="16"/>
      <c r="ICJ239" s="15"/>
      <c r="ICK239" s="15"/>
      <c r="ICL239" s="15"/>
      <c r="ICM239" s="16"/>
      <c r="ICN239" s="16"/>
      <c r="ICO239" s="16"/>
      <c r="ICP239" s="16"/>
      <c r="ICQ239" s="16"/>
      <c r="ICR239" s="15"/>
      <c r="ICS239" s="15"/>
      <c r="ICT239" s="10"/>
      <c r="ICU239" s="10"/>
      <c r="ICV239" s="19"/>
      <c r="ICW239" s="19"/>
      <c r="ICZ239" s="16"/>
      <c r="IDA239" s="15"/>
      <c r="IDB239" s="15"/>
      <c r="IDC239" s="15"/>
      <c r="IDD239" s="16"/>
      <c r="IDE239" s="16"/>
      <c r="IDF239" s="16"/>
      <c r="IDG239" s="16"/>
      <c r="IDH239" s="16"/>
      <c r="IDI239" s="15"/>
      <c r="IDJ239" s="15"/>
      <c r="IDK239" s="10"/>
      <c r="IDL239" s="10"/>
      <c r="IDM239" s="19"/>
      <c r="IDN239" s="19"/>
      <c r="IDQ239" s="16"/>
      <c r="IDR239" s="15"/>
      <c r="IDS239" s="15"/>
      <c r="IDT239" s="15"/>
      <c r="IDU239" s="16"/>
      <c r="IDV239" s="16"/>
      <c r="IDW239" s="16"/>
      <c r="IDX239" s="16"/>
      <c r="IDY239" s="16"/>
      <c r="IDZ239" s="15"/>
      <c r="IEA239" s="15"/>
      <c r="IEB239" s="10"/>
      <c r="IEC239" s="10"/>
      <c r="IED239" s="19"/>
      <c r="IEE239" s="19"/>
      <c r="IEH239" s="16"/>
      <c r="IEI239" s="15"/>
      <c r="IEJ239" s="15"/>
      <c r="IEK239" s="15"/>
      <c r="IEL239" s="16"/>
      <c r="IEM239" s="16"/>
      <c r="IEN239" s="16"/>
      <c r="IEO239" s="16"/>
      <c r="IEP239" s="16"/>
      <c r="IEQ239" s="15"/>
      <c r="IER239" s="15"/>
      <c r="IES239" s="10"/>
      <c r="IET239" s="10"/>
      <c r="IEU239" s="19"/>
      <c r="IEV239" s="19"/>
      <c r="IEY239" s="16"/>
      <c r="IEZ239" s="15"/>
      <c r="IFA239" s="15"/>
      <c r="IFB239" s="15"/>
      <c r="IFC239" s="16"/>
      <c r="IFD239" s="16"/>
      <c r="IFE239" s="16"/>
      <c r="IFF239" s="16"/>
      <c r="IFG239" s="16"/>
      <c r="IFH239" s="15"/>
      <c r="IFI239" s="15"/>
      <c r="IFJ239" s="10"/>
      <c r="IFK239" s="10"/>
      <c r="IFL239" s="19"/>
      <c r="IFM239" s="19"/>
      <c r="IFP239" s="16"/>
      <c r="IFQ239" s="15"/>
      <c r="IFR239" s="15"/>
      <c r="IFS239" s="15"/>
      <c r="IFT239" s="16"/>
      <c r="IFU239" s="16"/>
      <c r="IFV239" s="16"/>
      <c r="IFW239" s="16"/>
      <c r="IFX239" s="16"/>
      <c r="IFY239" s="15"/>
      <c r="IFZ239" s="15"/>
      <c r="IGA239" s="10"/>
      <c r="IGB239" s="10"/>
      <c r="IGC239" s="19"/>
      <c r="IGD239" s="19"/>
      <c r="IGG239" s="16"/>
      <c r="IGH239" s="15"/>
      <c r="IGI239" s="15"/>
      <c r="IGJ239" s="15"/>
      <c r="IGK239" s="16"/>
      <c r="IGL239" s="16"/>
      <c r="IGM239" s="16"/>
      <c r="IGN239" s="16"/>
      <c r="IGO239" s="16"/>
      <c r="IGP239" s="15"/>
      <c r="IGQ239" s="15"/>
      <c r="IGR239" s="10"/>
      <c r="IGS239" s="10"/>
      <c r="IGT239" s="19"/>
      <c r="IGU239" s="19"/>
      <c r="IGX239" s="16"/>
      <c r="IGY239" s="15"/>
      <c r="IGZ239" s="15"/>
      <c r="IHA239" s="15"/>
      <c r="IHB239" s="16"/>
      <c r="IHC239" s="16"/>
      <c r="IHD239" s="16"/>
      <c r="IHE239" s="16"/>
      <c r="IHF239" s="16"/>
      <c r="IHG239" s="15"/>
      <c r="IHH239" s="15"/>
      <c r="IHI239" s="10"/>
      <c r="IHJ239" s="10"/>
      <c r="IHK239" s="19"/>
      <c r="IHL239" s="19"/>
      <c r="IHO239" s="16"/>
      <c r="IHP239" s="15"/>
      <c r="IHQ239" s="15"/>
      <c r="IHR239" s="15"/>
      <c r="IHS239" s="16"/>
      <c r="IHT239" s="16"/>
      <c r="IHU239" s="16"/>
      <c r="IHV239" s="16"/>
      <c r="IHW239" s="16"/>
      <c r="IHX239" s="15"/>
      <c r="IHY239" s="15"/>
      <c r="IHZ239" s="10"/>
      <c r="IIA239" s="10"/>
      <c r="IIB239" s="19"/>
      <c r="IIC239" s="19"/>
      <c r="IIF239" s="16"/>
      <c r="IIG239" s="15"/>
      <c r="IIH239" s="15"/>
      <c r="III239" s="15"/>
      <c r="IIJ239" s="16"/>
      <c r="IIK239" s="16"/>
      <c r="IIL239" s="16"/>
      <c r="IIM239" s="16"/>
      <c r="IIN239" s="16"/>
      <c r="IIO239" s="15"/>
      <c r="IIP239" s="15"/>
      <c r="IIQ239" s="10"/>
      <c r="IIR239" s="10"/>
      <c r="IIS239" s="19"/>
      <c r="IIT239" s="19"/>
      <c r="IIW239" s="16"/>
      <c r="IIX239" s="15"/>
      <c r="IIY239" s="15"/>
      <c r="IIZ239" s="15"/>
      <c r="IJA239" s="16"/>
      <c r="IJB239" s="16"/>
      <c r="IJC239" s="16"/>
      <c r="IJD239" s="16"/>
      <c r="IJE239" s="16"/>
      <c r="IJF239" s="15"/>
      <c r="IJG239" s="15"/>
      <c r="IJH239" s="10"/>
      <c r="IJI239" s="10"/>
      <c r="IJJ239" s="19"/>
      <c r="IJK239" s="19"/>
      <c r="IJN239" s="16"/>
      <c r="IJO239" s="15"/>
      <c r="IJP239" s="15"/>
      <c r="IJQ239" s="15"/>
      <c r="IJR239" s="16"/>
      <c r="IJS239" s="16"/>
      <c r="IJT239" s="16"/>
      <c r="IJU239" s="16"/>
      <c r="IJV239" s="16"/>
      <c r="IJW239" s="15"/>
      <c r="IJX239" s="15"/>
      <c r="IJY239" s="10"/>
      <c r="IJZ239" s="10"/>
      <c r="IKA239" s="19"/>
      <c r="IKB239" s="19"/>
      <c r="IKE239" s="16"/>
      <c r="IKF239" s="15"/>
      <c r="IKG239" s="15"/>
      <c r="IKH239" s="15"/>
      <c r="IKI239" s="16"/>
      <c r="IKJ239" s="16"/>
      <c r="IKK239" s="16"/>
      <c r="IKL239" s="16"/>
      <c r="IKM239" s="16"/>
      <c r="IKN239" s="15"/>
      <c r="IKO239" s="15"/>
      <c r="IKP239" s="10"/>
      <c r="IKQ239" s="10"/>
      <c r="IKR239" s="19"/>
      <c r="IKS239" s="19"/>
      <c r="IKV239" s="16"/>
      <c r="IKW239" s="15"/>
      <c r="IKX239" s="15"/>
      <c r="IKY239" s="15"/>
      <c r="IKZ239" s="16"/>
      <c r="ILA239" s="16"/>
      <c r="ILB239" s="16"/>
      <c r="ILC239" s="16"/>
      <c r="ILD239" s="16"/>
      <c r="ILE239" s="15"/>
      <c r="ILF239" s="15"/>
      <c r="ILG239" s="10"/>
      <c r="ILH239" s="10"/>
      <c r="ILI239" s="19"/>
      <c r="ILJ239" s="19"/>
      <c r="ILM239" s="16"/>
      <c r="ILN239" s="15"/>
      <c r="ILO239" s="15"/>
      <c r="ILP239" s="15"/>
      <c r="ILQ239" s="16"/>
      <c r="ILR239" s="16"/>
      <c r="ILS239" s="16"/>
      <c r="ILT239" s="16"/>
      <c r="ILU239" s="16"/>
      <c r="ILV239" s="15"/>
      <c r="ILW239" s="15"/>
      <c r="ILX239" s="10"/>
      <c r="ILY239" s="10"/>
      <c r="ILZ239" s="19"/>
      <c r="IMA239" s="19"/>
      <c r="IMD239" s="16"/>
      <c r="IME239" s="15"/>
      <c r="IMF239" s="15"/>
      <c r="IMG239" s="15"/>
      <c r="IMH239" s="16"/>
      <c r="IMI239" s="16"/>
      <c r="IMJ239" s="16"/>
      <c r="IMK239" s="16"/>
      <c r="IML239" s="16"/>
      <c r="IMM239" s="15"/>
      <c r="IMN239" s="15"/>
      <c r="IMO239" s="10"/>
      <c r="IMP239" s="10"/>
      <c r="IMQ239" s="19"/>
      <c r="IMR239" s="19"/>
      <c r="IMU239" s="16"/>
      <c r="IMV239" s="15"/>
      <c r="IMW239" s="15"/>
      <c r="IMX239" s="15"/>
      <c r="IMY239" s="16"/>
      <c r="IMZ239" s="16"/>
      <c r="INA239" s="16"/>
      <c r="INB239" s="16"/>
      <c r="INC239" s="16"/>
      <c r="IND239" s="15"/>
      <c r="INE239" s="15"/>
      <c r="INF239" s="10"/>
      <c r="ING239" s="10"/>
      <c r="INH239" s="19"/>
      <c r="INI239" s="19"/>
      <c r="INL239" s="16"/>
      <c r="INM239" s="15"/>
      <c r="INN239" s="15"/>
      <c r="INO239" s="15"/>
      <c r="INP239" s="16"/>
      <c r="INQ239" s="16"/>
      <c r="INR239" s="16"/>
      <c r="INS239" s="16"/>
      <c r="INT239" s="16"/>
      <c r="INU239" s="15"/>
      <c r="INV239" s="15"/>
      <c r="INW239" s="10"/>
      <c r="INX239" s="10"/>
      <c r="INY239" s="19"/>
      <c r="INZ239" s="19"/>
      <c r="IOC239" s="16"/>
      <c r="IOD239" s="15"/>
      <c r="IOE239" s="15"/>
      <c r="IOF239" s="15"/>
      <c r="IOG239" s="16"/>
      <c r="IOH239" s="16"/>
      <c r="IOI239" s="16"/>
      <c r="IOJ239" s="16"/>
      <c r="IOK239" s="16"/>
      <c r="IOL239" s="15"/>
      <c r="IOM239" s="15"/>
      <c r="ION239" s="10"/>
      <c r="IOO239" s="10"/>
      <c r="IOP239" s="19"/>
      <c r="IOQ239" s="19"/>
      <c r="IOT239" s="16"/>
      <c r="IOU239" s="15"/>
      <c r="IOV239" s="15"/>
      <c r="IOW239" s="15"/>
      <c r="IOX239" s="16"/>
      <c r="IOY239" s="16"/>
      <c r="IOZ239" s="16"/>
      <c r="IPA239" s="16"/>
      <c r="IPB239" s="16"/>
      <c r="IPC239" s="15"/>
      <c r="IPD239" s="15"/>
      <c r="IPE239" s="10"/>
      <c r="IPF239" s="10"/>
      <c r="IPG239" s="19"/>
      <c r="IPH239" s="19"/>
      <c r="IPK239" s="16"/>
      <c r="IPL239" s="15"/>
      <c r="IPM239" s="15"/>
      <c r="IPN239" s="15"/>
      <c r="IPO239" s="16"/>
      <c r="IPP239" s="16"/>
      <c r="IPQ239" s="16"/>
      <c r="IPR239" s="16"/>
      <c r="IPS239" s="16"/>
      <c r="IPT239" s="15"/>
      <c r="IPU239" s="15"/>
      <c r="IPV239" s="10"/>
      <c r="IPW239" s="10"/>
      <c r="IPX239" s="19"/>
      <c r="IPY239" s="19"/>
      <c r="IQB239" s="16"/>
      <c r="IQC239" s="15"/>
      <c r="IQD239" s="15"/>
      <c r="IQE239" s="15"/>
      <c r="IQF239" s="16"/>
      <c r="IQG239" s="16"/>
      <c r="IQH239" s="16"/>
      <c r="IQI239" s="16"/>
      <c r="IQJ239" s="16"/>
      <c r="IQK239" s="15"/>
      <c r="IQL239" s="15"/>
      <c r="IQM239" s="10"/>
      <c r="IQN239" s="10"/>
      <c r="IQO239" s="19"/>
      <c r="IQP239" s="19"/>
      <c r="IQS239" s="16"/>
      <c r="IQT239" s="15"/>
      <c r="IQU239" s="15"/>
      <c r="IQV239" s="15"/>
      <c r="IQW239" s="16"/>
      <c r="IQX239" s="16"/>
      <c r="IQY239" s="16"/>
      <c r="IQZ239" s="16"/>
      <c r="IRA239" s="16"/>
      <c r="IRB239" s="15"/>
      <c r="IRC239" s="15"/>
      <c r="IRD239" s="10"/>
      <c r="IRE239" s="10"/>
      <c r="IRF239" s="19"/>
      <c r="IRG239" s="19"/>
      <c r="IRJ239" s="16"/>
      <c r="IRK239" s="15"/>
      <c r="IRL239" s="15"/>
      <c r="IRM239" s="15"/>
      <c r="IRN239" s="16"/>
      <c r="IRO239" s="16"/>
      <c r="IRP239" s="16"/>
      <c r="IRQ239" s="16"/>
      <c r="IRR239" s="16"/>
      <c r="IRS239" s="15"/>
      <c r="IRT239" s="15"/>
      <c r="IRU239" s="10"/>
      <c r="IRV239" s="10"/>
      <c r="IRW239" s="19"/>
      <c r="IRX239" s="19"/>
      <c r="ISA239" s="16"/>
      <c r="ISB239" s="15"/>
      <c r="ISC239" s="15"/>
      <c r="ISD239" s="15"/>
      <c r="ISE239" s="16"/>
      <c r="ISF239" s="16"/>
      <c r="ISG239" s="16"/>
      <c r="ISH239" s="16"/>
      <c r="ISI239" s="16"/>
      <c r="ISJ239" s="15"/>
      <c r="ISK239" s="15"/>
      <c r="ISL239" s="10"/>
      <c r="ISM239" s="10"/>
      <c r="ISN239" s="19"/>
      <c r="ISO239" s="19"/>
      <c r="ISR239" s="16"/>
      <c r="ISS239" s="15"/>
      <c r="IST239" s="15"/>
      <c r="ISU239" s="15"/>
      <c r="ISV239" s="16"/>
      <c r="ISW239" s="16"/>
      <c r="ISX239" s="16"/>
      <c r="ISY239" s="16"/>
      <c r="ISZ239" s="16"/>
      <c r="ITA239" s="15"/>
      <c r="ITB239" s="15"/>
      <c r="ITC239" s="10"/>
      <c r="ITD239" s="10"/>
      <c r="ITE239" s="19"/>
      <c r="ITF239" s="19"/>
      <c r="ITI239" s="16"/>
      <c r="ITJ239" s="15"/>
      <c r="ITK239" s="15"/>
      <c r="ITL239" s="15"/>
      <c r="ITM239" s="16"/>
      <c r="ITN239" s="16"/>
      <c r="ITO239" s="16"/>
      <c r="ITP239" s="16"/>
      <c r="ITQ239" s="16"/>
      <c r="ITR239" s="15"/>
      <c r="ITS239" s="15"/>
      <c r="ITT239" s="10"/>
      <c r="ITU239" s="10"/>
      <c r="ITV239" s="19"/>
      <c r="ITW239" s="19"/>
      <c r="ITZ239" s="16"/>
      <c r="IUA239" s="15"/>
      <c r="IUB239" s="15"/>
      <c r="IUC239" s="15"/>
      <c r="IUD239" s="16"/>
      <c r="IUE239" s="16"/>
      <c r="IUF239" s="16"/>
      <c r="IUG239" s="16"/>
      <c r="IUH239" s="16"/>
      <c r="IUI239" s="15"/>
      <c r="IUJ239" s="15"/>
      <c r="IUK239" s="10"/>
      <c r="IUL239" s="10"/>
      <c r="IUM239" s="19"/>
      <c r="IUN239" s="19"/>
      <c r="IUQ239" s="16"/>
      <c r="IUR239" s="15"/>
      <c r="IUS239" s="15"/>
      <c r="IUT239" s="15"/>
      <c r="IUU239" s="16"/>
      <c r="IUV239" s="16"/>
      <c r="IUW239" s="16"/>
      <c r="IUX239" s="16"/>
      <c r="IUY239" s="16"/>
      <c r="IUZ239" s="15"/>
      <c r="IVA239" s="15"/>
      <c r="IVB239" s="10"/>
      <c r="IVC239" s="10"/>
      <c r="IVD239" s="19"/>
      <c r="IVE239" s="19"/>
      <c r="IVH239" s="16"/>
      <c r="IVI239" s="15"/>
      <c r="IVJ239" s="15"/>
      <c r="IVK239" s="15"/>
      <c r="IVL239" s="16"/>
      <c r="IVM239" s="16"/>
      <c r="IVN239" s="16"/>
      <c r="IVO239" s="16"/>
      <c r="IVP239" s="16"/>
      <c r="IVQ239" s="15"/>
      <c r="IVR239" s="15"/>
      <c r="IVS239" s="10"/>
      <c r="IVT239" s="10"/>
      <c r="IVU239" s="19"/>
      <c r="IVV239" s="19"/>
      <c r="IVY239" s="16"/>
      <c r="IVZ239" s="15"/>
      <c r="IWA239" s="15"/>
      <c r="IWB239" s="15"/>
      <c r="IWC239" s="16"/>
      <c r="IWD239" s="16"/>
      <c r="IWE239" s="16"/>
      <c r="IWF239" s="16"/>
      <c r="IWG239" s="16"/>
      <c r="IWH239" s="15"/>
      <c r="IWI239" s="15"/>
      <c r="IWJ239" s="10"/>
      <c r="IWK239" s="10"/>
      <c r="IWL239" s="19"/>
      <c r="IWM239" s="19"/>
      <c r="IWP239" s="16"/>
      <c r="IWQ239" s="15"/>
      <c r="IWR239" s="15"/>
      <c r="IWS239" s="15"/>
      <c r="IWT239" s="16"/>
      <c r="IWU239" s="16"/>
      <c r="IWV239" s="16"/>
      <c r="IWW239" s="16"/>
      <c r="IWX239" s="16"/>
      <c r="IWY239" s="15"/>
      <c r="IWZ239" s="15"/>
      <c r="IXA239" s="10"/>
      <c r="IXB239" s="10"/>
      <c r="IXC239" s="19"/>
      <c r="IXD239" s="19"/>
      <c r="IXG239" s="16"/>
      <c r="IXH239" s="15"/>
      <c r="IXI239" s="15"/>
      <c r="IXJ239" s="15"/>
      <c r="IXK239" s="16"/>
      <c r="IXL239" s="16"/>
      <c r="IXM239" s="16"/>
      <c r="IXN239" s="16"/>
      <c r="IXO239" s="16"/>
      <c r="IXP239" s="15"/>
      <c r="IXQ239" s="15"/>
      <c r="IXR239" s="10"/>
      <c r="IXS239" s="10"/>
      <c r="IXT239" s="19"/>
      <c r="IXU239" s="19"/>
      <c r="IXX239" s="16"/>
      <c r="IXY239" s="15"/>
      <c r="IXZ239" s="15"/>
      <c r="IYA239" s="15"/>
      <c r="IYB239" s="16"/>
      <c r="IYC239" s="16"/>
      <c r="IYD239" s="16"/>
      <c r="IYE239" s="16"/>
      <c r="IYF239" s="16"/>
      <c r="IYG239" s="15"/>
      <c r="IYH239" s="15"/>
      <c r="IYI239" s="10"/>
      <c r="IYJ239" s="10"/>
      <c r="IYK239" s="19"/>
      <c r="IYL239" s="19"/>
      <c r="IYO239" s="16"/>
      <c r="IYP239" s="15"/>
      <c r="IYQ239" s="15"/>
      <c r="IYR239" s="15"/>
      <c r="IYS239" s="16"/>
      <c r="IYT239" s="16"/>
      <c r="IYU239" s="16"/>
      <c r="IYV239" s="16"/>
      <c r="IYW239" s="16"/>
      <c r="IYX239" s="15"/>
      <c r="IYY239" s="15"/>
      <c r="IYZ239" s="10"/>
      <c r="IZA239" s="10"/>
      <c r="IZB239" s="19"/>
      <c r="IZC239" s="19"/>
      <c r="IZF239" s="16"/>
      <c r="IZG239" s="15"/>
      <c r="IZH239" s="15"/>
      <c r="IZI239" s="15"/>
      <c r="IZJ239" s="16"/>
      <c r="IZK239" s="16"/>
      <c r="IZL239" s="16"/>
      <c r="IZM239" s="16"/>
      <c r="IZN239" s="16"/>
      <c r="IZO239" s="15"/>
      <c r="IZP239" s="15"/>
      <c r="IZQ239" s="10"/>
      <c r="IZR239" s="10"/>
      <c r="IZS239" s="19"/>
      <c r="IZT239" s="19"/>
      <c r="IZW239" s="16"/>
      <c r="IZX239" s="15"/>
      <c r="IZY239" s="15"/>
      <c r="IZZ239" s="15"/>
      <c r="JAA239" s="16"/>
      <c r="JAB239" s="16"/>
      <c r="JAC239" s="16"/>
      <c r="JAD239" s="16"/>
      <c r="JAE239" s="16"/>
      <c r="JAF239" s="15"/>
      <c r="JAG239" s="15"/>
      <c r="JAH239" s="10"/>
      <c r="JAI239" s="10"/>
      <c r="JAJ239" s="19"/>
      <c r="JAK239" s="19"/>
      <c r="JAN239" s="16"/>
      <c r="JAO239" s="15"/>
      <c r="JAP239" s="15"/>
      <c r="JAQ239" s="15"/>
      <c r="JAR239" s="16"/>
      <c r="JAS239" s="16"/>
      <c r="JAT239" s="16"/>
      <c r="JAU239" s="16"/>
      <c r="JAV239" s="16"/>
      <c r="JAW239" s="15"/>
      <c r="JAX239" s="15"/>
      <c r="JAY239" s="10"/>
      <c r="JAZ239" s="10"/>
      <c r="JBA239" s="19"/>
      <c r="JBB239" s="19"/>
      <c r="JBE239" s="16"/>
      <c r="JBF239" s="15"/>
      <c r="JBG239" s="15"/>
      <c r="JBH239" s="15"/>
      <c r="JBI239" s="16"/>
      <c r="JBJ239" s="16"/>
      <c r="JBK239" s="16"/>
      <c r="JBL239" s="16"/>
      <c r="JBM239" s="16"/>
      <c r="JBN239" s="15"/>
      <c r="JBO239" s="15"/>
      <c r="JBP239" s="10"/>
      <c r="JBQ239" s="10"/>
      <c r="JBR239" s="19"/>
      <c r="JBS239" s="19"/>
      <c r="JBV239" s="16"/>
      <c r="JBW239" s="15"/>
      <c r="JBX239" s="15"/>
      <c r="JBY239" s="15"/>
      <c r="JBZ239" s="16"/>
      <c r="JCA239" s="16"/>
      <c r="JCB239" s="16"/>
      <c r="JCC239" s="16"/>
      <c r="JCD239" s="16"/>
      <c r="JCE239" s="15"/>
      <c r="JCF239" s="15"/>
      <c r="JCG239" s="10"/>
      <c r="JCH239" s="10"/>
      <c r="JCI239" s="19"/>
      <c r="JCJ239" s="19"/>
      <c r="JCM239" s="16"/>
      <c r="JCN239" s="15"/>
      <c r="JCO239" s="15"/>
      <c r="JCP239" s="15"/>
      <c r="JCQ239" s="16"/>
      <c r="JCR239" s="16"/>
      <c r="JCS239" s="16"/>
      <c r="JCT239" s="16"/>
      <c r="JCU239" s="16"/>
      <c r="JCV239" s="15"/>
      <c r="JCW239" s="15"/>
      <c r="JCX239" s="10"/>
      <c r="JCY239" s="10"/>
      <c r="JCZ239" s="19"/>
      <c r="JDA239" s="19"/>
      <c r="JDD239" s="16"/>
      <c r="JDE239" s="15"/>
      <c r="JDF239" s="15"/>
      <c r="JDG239" s="15"/>
      <c r="JDH239" s="16"/>
      <c r="JDI239" s="16"/>
      <c r="JDJ239" s="16"/>
      <c r="JDK239" s="16"/>
      <c r="JDL239" s="16"/>
      <c r="JDM239" s="15"/>
      <c r="JDN239" s="15"/>
      <c r="JDO239" s="10"/>
      <c r="JDP239" s="10"/>
      <c r="JDQ239" s="19"/>
      <c r="JDR239" s="19"/>
      <c r="JDU239" s="16"/>
      <c r="JDV239" s="15"/>
      <c r="JDW239" s="15"/>
      <c r="JDX239" s="15"/>
      <c r="JDY239" s="16"/>
      <c r="JDZ239" s="16"/>
      <c r="JEA239" s="16"/>
      <c r="JEB239" s="16"/>
      <c r="JEC239" s="16"/>
      <c r="JED239" s="15"/>
      <c r="JEE239" s="15"/>
      <c r="JEF239" s="10"/>
      <c r="JEG239" s="10"/>
      <c r="JEH239" s="19"/>
      <c r="JEI239" s="19"/>
      <c r="JEL239" s="16"/>
      <c r="JEM239" s="15"/>
      <c r="JEN239" s="15"/>
      <c r="JEO239" s="15"/>
      <c r="JEP239" s="16"/>
      <c r="JEQ239" s="16"/>
      <c r="JER239" s="16"/>
      <c r="JES239" s="16"/>
      <c r="JET239" s="16"/>
      <c r="JEU239" s="15"/>
      <c r="JEV239" s="15"/>
      <c r="JEW239" s="10"/>
      <c r="JEX239" s="10"/>
      <c r="JEY239" s="19"/>
      <c r="JEZ239" s="19"/>
      <c r="JFC239" s="16"/>
      <c r="JFD239" s="15"/>
      <c r="JFE239" s="15"/>
      <c r="JFF239" s="15"/>
      <c r="JFG239" s="16"/>
      <c r="JFH239" s="16"/>
      <c r="JFI239" s="16"/>
      <c r="JFJ239" s="16"/>
      <c r="JFK239" s="16"/>
      <c r="JFL239" s="15"/>
      <c r="JFM239" s="15"/>
      <c r="JFN239" s="10"/>
      <c r="JFO239" s="10"/>
      <c r="JFP239" s="19"/>
      <c r="JFQ239" s="19"/>
      <c r="JFT239" s="16"/>
      <c r="JFU239" s="15"/>
      <c r="JFV239" s="15"/>
      <c r="JFW239" s="15"/>
      <c r="JFX239" s="16"/>
      <c r="JFY239" s="16"/>
      <c r="JFZ239" s="16"/>
      <c r="JGA239" s="16"/>
      <c r="JGB239" s="16"/>
      <c r="JGC239" s="15"/>
      <c r="JGD239" s="15"/>
      <c r="JGE239" s="10"/>
      <c r="JGF239" s="10"/>
      <c r="JGG239" s="19"/>
      <c r="JGH239" s="19"/>
      <c r="JGK239" s="16"/>
      <c r="JGL239" s="15"/>
      <c r="JGM239" s="15"/>
      <c r="JGN239" s="15"/>
      <c r="JGO239" s="16"/>
      <c r="JGP239" s="16"/>
      <c r="JGQ239" s="16"/>
      <c r="JGR239" s="16"/>
      <c r="JGS239" s="16"/>
      <c r="JGT239" s="15"/>
      <c r="JGU239" s="15"/>
      <c r="JGV239" s="10"/>
      <c r="JGW239" s="10"/>
      <c r="JGX239" s="19"/>
      <c r="JGY239" s="19"/>
      <c r="JHB239" s="16"/>
      <c r="JHC239" s="15"/>
      <c r="JHD239" s="15"/>
      <c r="JHE239" s="15"/>
      <c r="JHF239" s="16"/>
      <c r="JHG239" s="16"/>
      <c r="JHH239" s="16"/>
      <c r="JHI239" s="16"/>
      <c r="JHJ239" s="16"/>
      <c r="JHK239" s="15"/>
      <c r="JHL239" s="15"/>
      <c r="JHM239" s="10"/>
      <c r="JHN239" s="10"/>
      <c r="JHO239" s="19"/>
      <c r="JHP239" s="19"/>
      <c r="JHS239" s="16"/>
      <c r="JHT239" s="15"/>
      <c r="JHU239" s="15"/>
      <c r="JHV239" s="15"/>
      <c r="JHW239" s="16"/>
      <c r="JHX239" s="16"/>
      <c r="JHY239" s="16"/>
      <c r="JHZ239" s="16"/>
      <c r="JIA239" s="16"/>
      <c r="JIB239" s="15"/>
      <c r="JIC239" s="15"/>
      <c r="JID239" s="10"/>
      <c r="JIE239" s="10"/>
      <c r="JIF239" s="19"/>
      <c r="JIG239" s="19"/>
      <c r="JIJ239" s="16"/>
      <c r="JIK239" s="15"/>
      <c r="JIL239" s="15"/>
      <c r="JIM239" s="15"/>
      <c r="JIN239" s="16"/>
      <c r="JIO239" s="16"/>
      <c r="JIP239" s="16"/>
      <c r="JIQ239" s="16"/>
      <c r="JIR239" s="16"/>
      <c r="JIS239" s="15"/>
      <c r="JIT239" s="15"/>
      <c r="JIU239" s="10"/>
      <c r="JIV239" s="10"/>
      <c r="JIW239" s="19"/>
      <c r="JIX239" s="19"/>
      <c r="JJA239" s="16"/>
      <c r="JJB239" s="15"/>
      <c r="JJC239" s="15"/>
      <c r="JJD239" s="15"/>
      <c r="JJE239" s="16"/>
      <c r="JJF239" s="16"/>
      <c r="JJG239" s="16"/>
      <c r="JJH239" s="16"/>
      <c r="JJI239" s="16"/>
      <c r="JJJ239" s="15"/>
      <c r="JJK239" s="15"/>
      <c r="JJL239" s="10"/>
      <c r="JJM239" s="10"/>
      <c r="JJN239" s="19"/>
      <c r="JJO239" s="19"/>
      <c r="JJR239" s="16"/>
      <c r="JJS239" s="15"/>
      <c r="JJT239" s="15"/>
      <c r="JJU239" s="15"/>
      <c r="JJV239" s="16"/>
      <c r="JJW239" s="16"/>
      <c r="JJX239" s="16"/>
      <c r="JJY239" s="16"/>
      <c r="JJZ239" s="16"/>
      <c r="JKA239" s="15"/>
      <c r="JKB239" s="15"/>
      <c r="JKC239" s="10"/>
      <c r="JKD239" s="10"/>
      <c r="JKE239" s="19"/>
      <c r="JKF239" s="19"/>
      <c r="JKI239" s="16"/>
      <c r="JKJ239" s="15"/>
      <c r="JKK239" s="15"/>
      <c r="JKL239" s="15"/>
      <c r="JKM239" s="16"/>
      <c r="JKN239" s="16"/>
      <c r="JKO239" s="16"/>
      <c r="JKP239" s="16"/>
      <c r="JKQ239" s="16"/>
      <c r="JKR239" s="15"/>
      <c r="JKS239" s="15"/>
      <c r="JKT239" s="10"/>
      <c r="JKU239" s="10"/>
      <c r="JKV239" s="19"/>
      <c r="JKW239" s="19"/>
      <c r="JKZ239" s="16"/>
      <c r="JLA239" s="15"/>
      <c r="JLB239" s="15"/>
      <c r="JLC239" s="15"/>
      <c r="JLD239" s="16"/>
      <c r="JLE239" s="16"/>
      <c r="JLF239" s="16"/>
      <c r="JLG239" s="16"/>
      <c r="JLH239" s="16"/>
      <c r="JLI239" s="15"/>
      <c r="JLJ239" s="15"/>
      <c r="JLK239" s="10"/>
      <c r="JLL239" s="10"/>
      <c r="JLM239" s="19"/>
      <c r="JLN239" s="19"/>
      <c r="JLQ239" s="16"/>
      <c r="JLR239" s="15"/>
      <c r="JLS239" s="15"/>
      <c r="JLT239" s="15"/>
      <c r="JLU239" s="16"/>
      <c r="JLV239" s="16"/>
      <c r="JLW239" s="16"/>
      <c r="JLX239" s="16"/>
      <c r="JLY239" s="16"/>
      <c r="JLZ239" s="15"/>
      <c r="JMA239" s="15"/>
      <c r="JMB239" s="10"/>
      <c r="JMC239" s="10"/>
      <c r="JMD239" s="19"/>
      <c r="JME239" s="19"/>
      <c r="JMH239" s="16"/>
      <c r="JMI239" s="15"/>
      <c r="JMJ239" s="15"/>
      <c r="JMK239" s="15"/>
      <c r="JML239" s="16"/>
      <c r="JMM239" s="16"/>
      <c r="JMN239" s="16"/>
      <c r="JMO239" s="16"/>
      <c r="JMP239" s="16"/>
      <c r="JMQ239" s="15"/>
      <c r="JMR239" s="15"/>
      <c r="JMS239" s="10"/>
      <c r="JMT239" s="10"/>
      <c r="JMU239" s="19"/>
      <c r="JMV239" s="19"/>
      <c r="JMY239" s="16"/>
      <c r="JMZ239" s="15"/>
      <c r="JNA239" s="15"/>
      <c r="JNB239" s="15"/>
      <c r="JNC239" s="16"/>
      <c r="JND239" s="16"/>
      <c r="JNE239" s="16"/>
      <c r="JNF239" s="16"/>
      <c r="JNG239" s="16"/>
      <c r="JNH239" s="15"/>
      <c r="JNI239" s="15"/>
      <c r="JNJ239" s="10"/>
      <c r="JNK239" s="10"/>
      <c r="JNL239" s="19"/>
      <c r="JNM239" s="19"/>
      <c r="JNP239" s="16"/>
      <c r="JNQ239" s="15"/>
      <c r="JNR239" s="15"/>
      <c r="JNS239" s="15"/>
      <c r="JNT239" s="16"/>
      <c r="JNU239" s="16"/>
      <c r="JNV239" s="16"/>
      <c r="JNW239" s="16"/>
      <c r="JNX239" s="16"/>
      <c r="JNY239" s="15"/>
      <c r="JNZ239" s="15"/>
      <c r="JOA239" s="10"/>
      <c r="JOB239" s="10"/>
      <c r="JOC239" s="19"/>
      <c r="JOD239" s="19"/>
      <c r="JOG239" s="16"/>
      <c r="JOH239" s="15"/>
      <c r="JOI239" s="15"/>
      <c r="JOJ239" s="15"/>
      <c r="JOK239" s="16"/>
      <c r="JOL239" s="16"/>
      <c r="JOM239" s="16"/>
      <c r="JON239" s="16"/>
      <c r="JOO239" s="16"/>
      <c r="JOP239" s="15"/>
      <c r="JOQ239" s="15"/>
      <c r="JOR239" s="10"/>
      <c r="JOS239" s="10"/>
      <c r="JOT239" s="19"/>
      <c r="JOU239" s="19"/>
      <c r="JOX239" s="16"/>
      <c r="JOY239" s="15"/>
      <c r="JOZ239" s="15"/>
      <c r="JPA239" s="15"/>
      <c r="JPB239" s="16"/>
      <c r="JPC239" s="16"/>
      <c r="JPD239" s="16"/>
      <c r="JPE239" s="16"/>
      <c r="JPF239" s="16"/>
      <c r="JPG239" s="15"/>
      <c r="JPH239" s="15"/>
      <c r="JPI239" s="10"/>
      <c r="JPJ239" s="10"/>
      <c r="JPK239" s="19"/>
      <c r="JPL239" s="19"/>
      <c r="JPO239" s="16"/>
      <c r="JPP239" s="15"/>
      <c r="JPQ239" s="15"/>
      <c r="JPR239" s="15"/>
      <c r="JPS239" s="16"/>
      <c r="JPT239" s="16"/>
      <c r="JPU239" s="16"/>
      <c r="JPV239" s="16"/>
      <c r="JPW239" s="16"/>
      <c r="JPX239" s="15"/>
      <c r="JPY239" s="15"/>
      <c r="JPZ239" s="10"/>
      <c r="JQA239" s="10"/>
      <c r="JQB239" s="19"/>
      <c r="JQC239" s="19"/>
      <c r="JQF239" s="16"/>
      <c r="JQG239" s="15"/>
      <c r="JQH239" s="15"/>
      <c r="JQI239" s="15"/>
      <c r="JQJ239" s="16"/>
      <c r="JQK239" s="16"/>
      <c r="JQL239" s="16"/>
      <c r="JQM239" s="16"/>
      <c r="JQN239" s="16"/>
      <c r="JQO239" s="15"/>
      <c r="JQP239" s="15"/>
      <c r="JQQ239" s="10"/>
      <c r="JQR239" s="10"/>
      <c r="JQS239" s="19"/>
      <c r="JQT239" s="19"/>
      <c r="JQW239" s="16"/>
      <c r="JQX239" s="15"/>
      <c r="JQY239" s="15"/>
      <c r="JQZ239" s="15"/>
      <c r="JRA239" s="16"/>
      <c r="JRB239" s="16"/>
      <c r="JRC239" s="16"/>
      <c r="JRD239" s="16"/>
      <c r="JRE239" s="16"/>
      <c r="JRF239" s="15"/>
      <c r="JRG239" s="15"/>
      <c r="JRH239" s="10"/>
      <c r="JRI239" s="10"/>
      <c r="JRJ239" s="19"/>
      <c r="JRK239" s="19"/>
      <c r="JRN239" s="16"/>
      <c r="JRO239" s="15"/>
      <c r="JRP239" s="15"/>
      <c r="JRQ239" s="15"/>
      <c r="JRR239" s="16"/>
      <c r="JRS239" s="16"/>
      <c r="JRT239" s="16"/>
      <c r="JRU239" s="16"/>
      <c r="JRV239" s="16"/>
      <c r="JRW239" s="15"/>
      <c r="JRX239" s="15"/>
      <c r="JRY239" s="10"/>
      <c r="JRZ239" s="10"/>
      <c r="JSA239" s="19"/>
      <c r="JSB239" s="19"/>
      <c r="JSE239" s="16"/>
      <c r="JSF239" s="15"/>
      <c r="JSG239" s="15"/>
      <c r="JSH239" s="15"/>
      <c r="JSI239" s="16"/>
      <c r="JSJ239" s="16"/>
      <c r="JSK239" s="16"/>
      <c r="JSL239" s="16"/>
      <c r="JSM239" s="16"/>
      <c r="JSN239" s="15"/>
      <c r="JSO239" s="15"/>
      <c r="JSP239" s="10"/>
      <c r="JSQ239" s="10"/>
      <c r="JSR239" s="19"/>
      <c r="JSS239" s="19"/>
      <c r="JSV239" s="16"/>
      <c r="JSW239" s="15"/>
      <c r="JSX239" s="15"/>
      <c r="JSY239" s="15"/>
      <c r="JSZ239" s="16"/>
      <c r="JTA239" s="16"/>
      <c r="JTB239" s="16"/>
      <c r="JTC239" s="16"/>
      <c r="JTD239" s="16"/>
      <c r="JTE239" s="15"/>
      <c r="JTF239" s="15"/>
      <c r="JTG239" s="10"/>
      <c r="JTH239" s="10"/>
      <c r="JTI239" s="19"/>
      <c r="JTJ239" s="19"/>
      <c r="JTM239" s="16"/>
      <c r="JTN239" s="15"/>
      <c r="JTO239" s="15"/>
      <c r="JTP239" s="15"/>
      <c r="JTQ239" s="16"/>
      <c r="JTR239" s="16"/>
      <c r="JTS239" s="16"/>
      <c r="JTT239" s="16"/>
      <c r="JTU239" s="16"/>
      <c r="JTV239" s="15"/>
      <c r="JTW239" s="15"/>
      <c r="JTX239" s="10"/>
      <c r="JTY239" s="10"/>
      <c r="JTZ239" s="19"/>
      <c r="JUA239" s="19"/>
      <c r="JUD239" s="16"/>
      <c r="JUE239" s="15"/>
      <c r="JUF239" s="15"/>
      <c r="JUG239" s="15"/>
      <c r="JUH239" s="16"/>
      <c r="JUI239" s="16"/>
      <c r="JUJ239" s="16"/>
      <c r="JUK239" s="16"/>
      <c r="JUL239" s="16"/>
      <c r="JUM239" s="15"/>
      <c r="JUN239" s="15"/>
      <c r="JUO239" s="10"/>
      <c r="JUP239" s="10"/>
      <c r="JUQ239" s="19"/>
      <c r="JUR239" s="19"/>
      <c r="JUU239" s="16"/>
      <c r="JUV239" s="15"/>
      <c r="JUW239" s="15"/>
      <c r="JUX239" s="15"/>
      <c r="JUY239" s="16"/>
      <c r="JUZ239" s="16"/>
      <c r="JVA239" s="16"/>
      <c r="JVB239" s="16"/>
      <c r="JVC239" s="16"/>
      <c r="JVD239" s="15"/>
      <c r="JVE239" s="15"/>
      <c r="JVF239" s="10"/>
      <c r="JVG239" s="10"/>
      <c r="JVH239" s="19"/>
      <c r="JVI239" s="19"/>
      <c r="JVL239" s="16"/>
      <c r="JVM239" s="15"/>
      <c r="JVN239" s="15"/>
      <c r="JVO239" s="15"/>
      <c r="JVP239" s="16"/>
      <c r="JVQ239" s="16"/>
      <c r="JVR239" s="16"/>
      <c r="JVS239" s="16"/>
      <c r="JVT239" s="16"/>
      <c r="JVU239" s="15"/>
      <c r="JVV239" s="15"/>
      <c r="JVW239" s="10"/>
      <c r="JVX239" s="10"/>
      <c r="JVY239" s="19"/>
      <c r="JVZ239" s="19"/>
      <c r="JWC239" s="16"/>
      <c r="JWD239" s="15"/>
      <c r="JWE239" s="15"/>
      <c r="JWF239" s="15"/>
      <c r="JWG239" s="16"/>
      <c r="JWH239" s="16"/>
      <c r="JWI239" s="16"/>
      <c r="JWJ239" s="16"/>
      <c r="JWK239" s="16"/>
      <c r="JWL239" s="15"/>
      <c r="JWM239" s="15"/>
      <c r="JWN239" s="10"/>
      <c r="JWO239" s="10"/>
      <c r="JWP239" s="19"/>
      <c r="JWQ239" s="19"/>
      <c r="JWT239" s="16"/>
      <c r="JWU239" s="15"/>
      <c r="JWV239" s="15"/>
      <c r="JWW239" s="15"/>
      <c r="JWX239" s="16"/>
      <c r="JWY239" s="16"/>
      <c r="JWZ239" s="16"/>
      <c r="JXA239" s="16"/>
      <c r="JXB239" s="16"/>
      <c r="JXC239" s="15"/>
      <c r="JXD239" s="15"/>
      <c r="JXE239" s="10"/>
      <c r="JXF239" s="10"/>
      <c r="JXG239" s="19"/>
      <c r="JXH239" s="19"/>
      <c r="JXK239" s="16"/>
      <c r="JXL239" s="15"/>
      <c r="JXM239" s="15"/>
      <c r="JXN239" s="15"/>
      <c r="JXO239" s="16"/>
      <c r="JXP239" s="16"/>
      <c r="JXQ239" s="16"/>
      <c r="JXR239" s="16"/>
      <c r="JXS239" s="16"/>
      <c r="JXT239" s="15"/>
      <c r="JXU239" s="15"/>
      <c r="JXV239" s="10"/>
      <c r="JXW239" s="10"/>
      <c r="JXX239" s="19"/>
      <c r="JXY239" s="19"/>
      <c r="JYB239" s="16"/>
      <c r="JYC239" s="15"/>
      <c r="JYD239" s="15"/>
      <c r="JYE239" s="15"/>
      <c r="JYF239" s="16"/>
      <c r="JYG239" s="16"/>
      <c r="JYH239" s="16"/>
      <c r="JYI239" s="16"/>
      <c r="JYJ239" s="16"/>
      <c r="JYK239" s="15"/>
      <c r="JYL239" s="15"/>
      <c r="JYM239" s="10"/>
      <c r="JYN239" s="10"/>
      <c r="JYO239" s="19"/>
      <c r="JYP239" s="19"/>
      <c r="JYS239" s="16"/>
      <c r="JYT239" s="15"/>
      <c r="JYU239" s="15"/>
      <c r="JYV239" s="15"/>
      <c r="JYW239" s="16"/>
      <c r="JYX239" s="16"/>
      <c r="JYY239" s="16"/>
      <c r="JYZ239" s="16"/>
      <c r="JZA239" s="16"/>
      <c r="JZB239" s="15"/>
      <c r="JZC239" s="15"/>
      <c r="JZD239" s="10"/>
      <c r="JZE239" s="10"/>
      <c r="JZF239" s="19"/>
      <c r="JZG239" s="19"/>
      <c r="JZJ239" s="16"/>
      <c r="JZK239" s="15"/>
      <c r="JZL239" s="15"/>
      <c r="JZM239" s="15"/>
      <c r="JZN239" s="16"/>
      <c r="JZO239" s="16"/>
      <c r="JZP239" s="16"/>
      <c r="JZQ239" s="16"/>
      <c r="JZR239" s="16"/>
      <c r="JZS239" s="15"/>
      <c r="JZT239" s="15"/>
      <c r="JZU239" s="10"/>
      <c r="JZV239" s="10"/>
      <c r="JZW239" s="19"/>
      <c r="JZX239" s="19"/>
      <c r="KAA239" s="16"/>
      <c r="KAB239" s="15"/>
      <c r="KAC239" s="15"/>
      <c r="KAD239" s="15"/>
      <c r="KAE239" s="16"/>
      <c r="KAF239" s="16"/>
      <c r="KAG239" s="16"/>
      <c r="KAH239" s="16"/>
      <c r="KAI239" s="16"/>
      <c r="KAJ239" s="15"/>
      <c r="KAK239" s="15"/>
      <c r="KAL239" s="10"/>
      <c r="KAM239" s="10"/>
      <c r="KAN239" s="19"/>
      <c r="KAO239" s="19"/>
      <c r="KAR239" s="16"/>
      <c r="KAS239" s="15"/>
      <c r="KAT239" s="15"/>
      <c r="KAU239" s="15"/>
      <c r="KAV239" s="16"/>
      <c r="KAW239" s="16"/>
      <c r="KAX239" s="16"/>
      <c r="KAY239" s="16"/>
      <c r="KAZ239" s="16"/>
      <c r="KBA239" s="15"/>
      <c r="KBB239" s="15"/>
      <c r="KBC239" s="10"/>
      <c r="KBD239" s="10"/>
      <c r="KBE239" s="19"/>
      <c r="KBF239" s="19"/>
      <c r="KBI239" s="16"/>
      <c r="KBJ239" s="15"/>
      <c r="KBK239" s="15"/>
      <c r="KBL239" s="15"/>
      <c r="KBM239" s="16"/>
      <c r="KBN239" s="16"/>
      <c r="KBO239" s="16"/>
      <c r="KBP239" s="16"/>
      <c r="KBQ239" s="16"/>
      <c r="KBR239" s="15"/>
      <c r="KBS239" s="15"/>
      <c r="KBT239" s="10"/>
      <c r="KBU239" s="10"/>
      <c r="KBV239" s="19"/>
      <c r="KBW239" s="19"/>
      <c r="KBZ239" s="16"/>
      <c r="KCA239" s="15"/>
      <c r="KCB239" s="15"/>
      <c r="KCC239" s="15"/>
      <c r="KCD239" s="16"/>
      <c r="KCE239" s="16"/>
      <c r="KCF239" s="16"/>
      <c r="KCG239" s="16"/>
      <c r="KCH239" s="16"/>
      <c r="KCI239" s="15"/>
      <c r="KCJ239" s="15"/>
      <c r="KCK239" s="10"/>
      <c r="KCL239" s="10"/>
      <c r="KCM239" s="19"/>
      <c r="KCN239" s="19"/>
      <c r="KCQ239" s="16"/>
      <c r="KCR239" s="15"/>
      <c r="KCS239" s="15"/>
      <c r="KCT239" s="15"/>
      <c r="KCU239" s="16"/>
      <c r="KCV239" s="16"/>
      <c r="KCW239" s="16"/>
      <c r="KCX239" s="16"/>
      <c r="KCY239" s="16"/>
      <c r="KCZ239" s="15"/>
      <c r="KDA239" s="15"/>
      <c r="KDB239" s="10"/>
      <c r="KDC239" s="10"/>
      <c r="KDD239" s="19"/>
      <c r="KDE239" s="19"/>
      <c r="KDH239" s="16"/>
      <c r="KDI239" s="15"/>
      <c r="KDJ239" s="15"/>
      <c r="KDK239" s="15"/>
      <c r="KDL239" s="16"/>
      <c r="KDM239" s="16"/>
      <c r="KDN239" s="16"/>
      <c r="KDO239" s="16"/>
      <c r="KDP239" s="16"/>
      <c r="KDQ239" s="15"/>
      <c r="KDR239" s="15"/>
      <c r="KDS239" s="10"/>
      <c r="KDT239" s="10"/>
      <c r="KDU239" s="19"/>
      <c r="KDV239" s="19"/>
      <c r="KDY239" s="16"/>
      <c r="KDZ239" s="15"/>
      <c r="KEA239" s="15"/>
      <c r="KEB239" s="15"/>
      <c r="KEC239" s="16"/>
      <c r="KED239" s="16"/>
      <c r="KEE239" s="16"/>
      <c r="KEF239" s="16"/>
      <c r="KEG239" s="16"/>
      <c r="KEH239" s="15"/>
      <c r="KEI239" s="15"/>
      <c r="KEJ239" s="10"/>
      <c r="KEK239" s="10"/>
      <c r="KEL239" s="19"/>
      <c r="KEM239" s="19"/>
      <c r="KEP239" s="16"/>
      <c r="KEQ239" s="15"/>
      <c r="KER239" s="15"/>
      <c r="KES239" s="15"/>
      <c r="KET239" s="16"/>
      <c r="KEU239" s="16"/>
      <c r="KEV239" s="16"/>
      <c r="KEW239" s="16"/>
      <c r="KEX239" s="16"/>
      <c r="KEY239" s="15"/>
      <c r="KEZ239" s="15"/>
      <c r="KFA239" s="10"/>
      <c r="KFB239" s="10"/>
      <c r="KFC239" s="19"/>
      <c r="KFD239" s="19"/>
      <c r="KFG239" s="16"/>
      <c r="KFH239" s="15"/>
      <c r="KFI239" s="15"/>
      <c r="KFJ239" s="15"/>
      <c r="KFK239" s="16"/>
      <c r="KFL239" s="16"/>
      <c r="KFM239" s="16"/>
      <c r="KFN239" s="16"/>
      <c r="KFO239" s="16"/>
      <c r="KFP239" s="15"/>
      <c r="KFQ239" s="15"/>
      <c r="KFR239" s="10"/>
      <c r="KFS239" s="10"/>
      <c r="KFT239" s="19"/>
      <c r="KFU239" s="19"/>
      <c r="KFX239" s="16"/>
      <c r="KFY239" s="15"/>
      <c r="KFZ239" s="15"/>
      <c r="KGA239" s="15"/>
      <c r="KGB239" s="16"/>
      <c r="KGC239" s="16"/>
      <c r="KGD239" s="16"/>
      <c r="KGE239" s="16"/>
      <c r="KGF239" s="16"/>
      <c r="KGG239" s="15"/>
      <c r="KGH239" s="15"/>
      <c r="KGI239" s="10"/>
      <c r="KGJ239" s="10"/>
      <c r="KGK239" s="19"/>
      <c r="KGL239" s="19"/>
      <c r="KGO239" s="16"/>
      <c r="KGP239" s="15"/>
      <c r="KGQ239" s="15"/>
      <c r="KGR239" s="15"/>
      <c r="KGS239" s="16"/>
      <c r="KGT239" s="16"/>
      <c r="KGU239" s="16"/>
      <c r="KGV239" s="16"/>
      <c r="KGW239" s="16"/>
      <c r="KGX239" s="15"/>
      <c r="KGY239" s="15"/>
      <c r="KGZ239" s="10"/>
      <c r="KHA239" s="10"/>
      <c r="KHB239" s="19"/>
      <c r="KHC239" s="19"/>
      <c r="KHF239" s="16"/>
      <c r="KHG239" s="15"/>
      <c r="KHH239" s="15"/>
      <c r="KHI239" s="15"/>
      <c r="KHJ239" s="16"/>
      <c r="KHK239" s="16"/>
      <c r="KHL239" s="16"/>
      <c r="KHM239" s="16"/>
      <c r="KHN239" s="16"/>
      <c r="KHO239" s="15"/>
      <c r="KHP239" s="15"/>
      <c r="KHQ239" s="10"/>
      <c r="KHR239" s="10"/>
      <c r="KHS239" s="19"/>
      <c r="KHT239" s="19"/>
      <c r="KHW239" s="16"/>
      <c r="KHX239" s="15"/>
      <c r="KHY239" s="15"/>
      <c r="KHZ239" s="15"/>
      <c r="KIA239" s="16"/>
      <c r="KIB239" s="16"/>
      <c r="KIC239" s="16"/>
      <c r="KID239" s="16"/>
      <c r="KIE239" s="16"/>
      <c r="KIF239" s="15"/>
      <c r="KIG239" s="15"/>
      <c r="KIH239" s="10"/>
      <c r="KII239" s="10"/>
      <c r="KIJ239" s="19"/>
      <c r="KIK239" s="19"/>
      <c r="KIN239" s="16"/>
      <c r="KIO239" s="15"/>
      <c r="KIP239" s="15"/>
      <c r="KIQ239" s="15"/>
      <c r="KIR239" s="16"/>
      <c r="KIS239" s="16"/>
      <c r="KIT239" s="16"/>
      <c r="KIU239" s="16"/>
      <c r="KIV239" s="16"/>
      <c r="KIW239" s="15"/>
      <c r="KIX239" s="15"/>
      <c r="KIY239" s="10"/>
      <c r="KIZ239" s="10"/>
      <c r="KJA239" s="19"/>
      <c r="KJB239" s="19"/>
      <c r="KJE239" s="16"/>
      <c r="KJF239" s="15"/>
      <c r="KJG239" s="15"/>
      <c r="KJH239" s="15"/>
      <c r="KJI239" s="16"/>
      <c r="KJJ239" s="16"/>
      <c r="KJK239" s="16"/>
      <c r="KJL239" s="16"/>
      <c r="KJM239" s="16"/>
      <c r="KJN239" s="15"/>
      <c r="KJO239" s="15"/>
      <c r="KJP239" s="10"/>
      <c r="KJQ239" s="10"/>
      <c r="KJR239" s="19"/>
      <c r="KJS239" s="19"/>
      <c r="KJV239" s="16"/>
      <c r="KJW239" s="15"/>
      <c r="KJX239" s="15"/>
      <c r="KJY239" s="15"/>
      <c r="KJZ239" s="16"/>
      <c r="KKA239" s="16"/>
      <c r="KKB239" s="16"/>
      <c r="KKC239" s="16"/>
      <c r="KKD239" s="16"/>
      <c r="KKE239" s="15"/>
      <c r="KKF239" s="15"/>
      <c r="KKG239" s="10"/>
      <c r="KKH239" s="10"/>
      <c r="KKI239" s="19"/>
      <c r="KKJ239" s="19"/>
      <c r="KKM239" s="16"/>
      <c r="KKN239" s="15"/>
      <c r="KKO239" s="15"/>
      <c r="KKP239" s="15"/>
      <c r="KKQ239" s="16"/>
      <c r="KKR239" s="16"/>
      <c r="KKS239" s="16"/>
      <c r="KKT239" s="16"/>
      <c r="KKU239" s="16"/>
      <c r="KKV239" s="15"/>
      <c r="KKW239" s="15"/>
      <c r="KKX239" s="10"/>
      <c r="KKY239" s="10"/>
      <c r="KKZ239" s="19"/>
      <c r="KLA239" s="19"/>
      <c r="KLD239" s="16"/>
      <c r="KLE239" s="15"/>
      <c r="KLF239" s="15"/>
      <c r="KLG239" s="15"/>
      <c r="KLH239" s="16"/>
      <c r="KLI239" s="16"/>
      <c r="KLJ239" s="16"/>
      <c r="KLK239" s="16"/>
      <c r="KLL239" s="16"/>
      <c r="KLM239" s="15"/>
      <c r="KLN239" s="15"/>
      <c r="KLO239" s="10"/>
      <c r="KLP239" s="10"/>
      <c r="KLQ239" s="19"/>
      <c r="KLR239" s="19"/>
      <c r="KLU239" s="16"/>
      <c r="KLV239" s="15"/>
      <c r="KLW239" s="15"/>
      <c r="KLX239" s="15"/>
      <c r="KLY239" s="16"/>
      <c r="KLZ239" s="16"/>
      <c r="KMA239" s="16"/>
      <c r="KMB239" s="16"/>
      <c r="KMC239" s="16"/>
      <c r="KMD239" s="15"/>
      <c r="KME239" s="15"/>
      <c r="KMF239" s="10"/>
      <c r="KMG239" s="10"/>
      <c r="KMH239" s="19"/>
      <c r="KMI239" s="19"/>
      <c r="KML239" s="16"/>
      <c r="KMM239" s="15"/>
      <c r="KMN239" s="15"/>
      <c r="KMO239" s="15"/>
      <c r="KMP239" s="16"/>
      <c r="KMQ239" s="16"/>
      <c r="KMR239" s="16"/>
      <c r="KMS239" s="16"/>
      <c r="KMT239" s="16"/>
      <c r="KMU239" s="15"/>
      <c r="KMV239" s="15"/>
      <c r="KMW239" s="10"/>
      <c r="KMX239" s="10"/>
      <c r="KMY239" s="19"/>
      <c r="KMZ239" s="19"/>
      <c r="KNC239" s="16"/>
      <c r="KND239" s="15"/>
      <c r="KNE239" s="15"/>
      <c r="KNF239" s="15"/>
      <c r="KNG239" s="16"/>
      <c r="KNH239" s="16"/>
      <c r="KNI239" s="16"/>
      <c r="KNJ239" s="16"/>
      <c r="KNK239" s="16"/>
      <c r="KNL239" s="15"/>
      <c r="KNM239" s="15"/>
      <c r="KNN239" s="10"/>
      <c r="KNO239" s="10"/>
      <c r="KNP239" s="19"/>
      <c r="KNQ239" s="19"/>
      <c r="KNT239" s="16"/>
      <c r="KNU239" s="15"/>
      <c r="KNV239" s="15"/>
      <c r="KNW239" s="15"/>
      <c r="KNX239" s="16"/>
      <c r="KNY239" s="16"/>
      <c r="KNZ239" s="16"/>
      <c r="KOA239" s="16"/>
      <c r="KOB239" s="16"/>
      <c r="KOC239" s="15"/>
      <c r="KOD239" s="15"/>
      <c r="KOE239" s="10"/>
      <c r="KOF239" s="10"/>
      <c r="KOG239" s="19"/>
      <c r="KOH239" s="19"/>
      <c r="KOK239" s="16"/>
      <c r="KOL239" s="15"/>
      <c r="KOM239" s="15"/>
      <c r="KON239" s="15"/>
      <c r="KOO239" s="16"/>
      <c r="KOP239" s="16"/>
      <c r="KOQ239" s="16"/>
      <c r="KOR239" s="16"/>
      <c r="KOS239" s="16"/>
      <c r="KOT239" s="15"/>
      <c r="KOU239" s="15"/>
      <c r="KOV239" s="10"/>
      <c r="KOW239" s="10"/>
      <c r="KOX239" s="19"/>
      <c r="KOY239" s="19"/>
      <c r="KPB239" s="16"/>
      <c r="KPC239" s="15"/>
      <c r="KPD239" s="15"/>
      <c r="KPE239" s="15"/>
      <c r="KPF239" s="16"/>
      <c r="KPG239" s="16"/>
      <c r="KPH239" s="16"/>
      <c r="KPI239" s="16"/>
      <c r="KPJ239" s="16"/>
      <c r="KPK239" s="15"/>
      <c r="KPL239" s="15"/>
      <c r="KPM239" s="10"/>
      <c r="KPN239" s="10"/>
      <c r="KPO239" s="19"/>
      <c r="KPP239" s="19"/>
      <c r="KPS239" s="16"/>
      <c r="KPT239" s="15"/>
      <c r="KPU239" s="15"/>
      <c r="KPV239" s="15"/>
      <c r="KPW239" s="16"/>
      <c r="KPX239" s="16"/>
      <c r="KPY239" s="16"/>
      <c r="KPZ239" s="16"/>
      <c r="KQA239" s="16"/>
      <c r="KQB239" s="15"/>
      <c r="KQC239" s="15"/>
      <c r="KQD239" s="10"/>
      <c r="KQE239" s="10"/>
      <c r="KQF239" s="19"/>
      <c r="KQG239" s="19"/>
      <c r="KQJ239" s="16"/>
      <c r="KQK239" s="15"/>
      <c r="KQL239" s="15"/>
      <c r="KQM239" s="15"/>
      <c r="KQN239" s="16"/>
      <c r="KQO239" s="16"/>
      <c r="KQP239" s="16"/>
      <c r="KQQ239" s="16"/>
      <c r="KQR239" s="16"/>
      <c r="KQS239" s="15"/>
      <c r="KQT239" s="15"/>
      <c r="KQU239" s="10"/>
      <c r="KQV239" s="10"/>
      <c r="KQW239" s="19"/>
      <c r="KQX239" s="19"/>
      <c r="KRA239" s="16"/>
      <c r="KRB239" s="15"/>
      <c r="KRC239" s="15"/>
      <c r="KRD239" s="15"/>
      <c r="KRE239" s="16"/>
      <c r="KRF239" s="16"/>
      <c r="KRG239" s="16"/>
      <c r="KRH239" s="16"/>
      <c r="KRI239" s="16"/>
      <c r="KRJ239" s="15"/>
      <c r="KRK239" s="15"/>
      <c r="KRL239" s="10"/>
      <c r="KRM239" s="10"/>
      <c r="KRN239" s="19"/>
      <c r="KRO239" s="19"/>
      <c r="KRR239" s="16"/>
      <c r="KRS239" s="15"/>
      <c r="KRT239" s="15"/>
      <c r="KRU239" s="15"/>
      <c r="KRV239" s="16"/>
      <c r="KRW239" s="16"/>
      <c r="KRX239" s="16"/>
      <c r="KRY239" s="16"/>
      <c r="KRZ239" s="16"/>
      <c r="KSA239" s="15"/>
      <c r="KSB239" s="15"/>
      <c r="KSC239" s="10"/>
      <c r="KSD239" s="10"/>
      <c r="KSE239" s="19"/>
      <c r="KSF239" s="19"/>
      <c r="KSI239" s="16"/>
      <c r="KSJ239" s="15"/>
      <c r="KSK239" s="15"/>
      <c r="KSL239" s="15"/>
      <c r="KSM239" s="16"/>
      <c r="KSN239" s="16"/>
      <c r="KSO239" s="16"/>
      <c r="KSP239" s="16"/>
      <c r="KSQ239" s="16"/>
      <c r="KSR239" s="15"/>
      <c r="KSS239" s="15"/>
      <c r="KST239" s="10"/>
      <c r="KSU239" s="10"/>
      <c r="KSV239" s="19"/>
      <c r="KSW239" s="19"/>
      <c r="KSZ239" s="16"/>
      <c r="KTA239" s="15"/>
      <c r="KTB239" s="15"/>
      <c r="KTC239" s="15"/>
      <c r="KTD239" s="16"/>
      <c r="KTE239" s="16"/>
      <c r="KTF239" s="16"/>
      <c r="KTG239" s="16"/>
      <c r="KTH239" s="16"/>
      <c r="KTI239" s="15"/>
      <c r="KTJ239" s="15"/>
      <c r="KTK239" s="10"/>
      <c r="KTL239" s="10"/>
      <c r="KTM239" s="19"/>
      <c r="KTN239" s="19"/>
      <c r="KTQ239" s="16"/>
      <c r="KTR239" s="15"/>
      <c r="KTS239" s="15"/>
      <c r="KTT239" s="15"/>
      <c r="KTU239" s="16"/>
      <c r="KTV239" s="16"/>
      <c r="KTW239" s="16"/>
      <c r="KTX239" s="16"/>
      <c r="KTY239" s="16"/>
      <c r="KTZ239" s="15"/>
      <c r="KUA239" s="15"/>
      <c r="KUB239" s="10"/>
      <c r="KUC239" s="10"/>
      <c r="KUD239" s="19"/>
      <c r="KUE239" s="19"/>
      <c r="KUH239" s="16"/>
      <c r="KUI239" s="15"/>
      <c r="KUJ239" s="15"/>
      <c r="KUK239" s="15"/>
      <c r="KUL239" s="16"/>
      <c r="KUM239" s="16"/>
      <c r="KUN239" s="16"/>
      <c r="KUO239" s="16"/>
      <c r="KUP239" s="16"/>
      <c r="KUQ239" s="15"/>
      <c r="KUR239" s="15"/>
      <c r="KUS239" s="10"/>
      <c r="KUT239" s="10"/>
      <c r="KUU239" s="19"/>
      <c r="KUV239" s="19"/>
      <c r="KUY239" s="16"/>
      <c r="KUZ239" s="15"/>
      <c r="KVA239" s="15"/>
      <c r="KVB239" s="15"/>
      <c r="KVC239" s="16"/>
      <c r="KVD239" s="16"/>
      <c r="KVE239" s="16"/>
      <c r="KVF239" s="16"/>
      <c r="KVG239" s="16"/>
      <c r="KVH239" s="15"/>
      <c r="KVI239" s="15"/>
      <c r="KVJ239" s="10"/>
      <c r="KVK239" s="10"/>
      <c r="KVL239" s="19"/>
      <c r="KVM239" s="19"/>
      <c r="KVP239" s="16"/>
      <c r="KVQ239" s="15"/>
      <c r="KVR239" s="15"/>
      <c r="KVS239" s="15"/>
      <c r="KVT239" s="16"/>
      <c r="KVU239" s="16"/>
      <c r="KVV239" s="16"/>
      <c r="KVW239" s="16"/>
      <c r="KVX239" s="16"/>
      <c r="KVY239" s="15"/>
      <c r="KVZ239" s="15"/>
      <c r="KWA239" s="10"/>
      <c r="KWB239" s="10"/>
      <c r="KWC239" s="19"/>
      <c r="KWD239" s="19"/>
      <c r="KWG239" s="16"/>
      <c r="KWH239" s="15"/>
      <c r="KWI239" s="15"/>
      <c r="KWJ239" s="15"/>
      <c r="KWK239" s="16"/>
      <c r="KWL239" s="16"/>
      <c r="KWM239" s="16"/>
      <c r="KWN239" s="16"/>
      <c r="KWO239" s="16"/>
      <c r="KWP239" s="15"/>
      <c r="KWQ239" s="15"/>
      <c r="KWR239" s="10"/>
      <c r="KWS239" s="10"/>
      <c r="KWT239" s="19"/>
      <c r="KWU239" s="19"/>
      <c r="KWX239" s="16"/>
      <c r="KWY239" s="15"/>
      <c r="KWZ239" s="15"/>
      <c r="KXA239" s="15"/>
      <c r="KXB239" s="16"/>
      <c r="KXC239" s="16"/>
      <c r="KXD239" s="16"/>
      <c r="KXE239" s="16"/>
      <c r="KXF239" s="16"/>
      <c r="KXG239" s="15"/>
      <c r="KXH239" s="15"/>
      <c r="KXI239" s="10"/>
      <c r="KXJ239" s="10"/>
      <c r="KXK239" s="19"/>
      <c r="KXL239" s="19"/>
      <c r="KXO239" s="16"/>
      <c r="KXP239" s="15"/>
      <c r="KXQ239" s="15"/>
      <c r="KXR239" s="15"/>
      <c r="KXS239" s="16"/>
      <c r="KXT239" s="16"/>
      <c r="KXU239" s="16"/>
      <c r="KXV239" s="16"/>
      <c r="KXW239" s="16"/>
      <c r="KXX239" s="15"/>
      <c r="KXY239" s="15"/>
      <c r="KXZ239" s="10"/>
      <c r="KYA239" s="10"/>
      <c r="KYB239" s="19"/>
      <c r="KYC239" s="19"/>
      <c r="KYF239" s="16"/>
      <c r="KYG239" s="15"/>
      <c r="KYH239" s="15"/>
      <c r="KYI239" s="15"/>
      <c r="KYJ239" s="16"/>
      <c r="KYK239" s="16"/>
      <c r="KYL239" s="16"/>
      <c r="KYM239" s="16"/>
      <c r="KYN239" s="16"/>
      <c r="KYO239" s="15"/>
      <c r="KYP239" s="15"/>
      <c r="KYQ239" s="10"/>
      <c r="KYR239" s="10"/>
      <c r="KYS239" s="19"/>
      <c r="KYT239" s="19"/>
      <c r="KYW239" s="16"/>
      <c r="KYX239" s="15"/>
      <c r="KYY239" s="15"/>
      <c r="KYZ239" s="15"/>
      <c r="KZA239" s="16"/>
      <c r="KZB239" s="16"/>
      <c r="KZC239" s="16"/>
      <c r="KZD239" s="16"/>
      <c r="KZE239" s="16"/>
      <c r="KZF239" s="15"/>
      <c r="KZG239" s="15"/>
      <c r="KZH239" s="10"/>
      <c r="KZI239" s="10"/>
      <c r="KZJ239" s="19"/>
      <c r="KZK239" s="19"/>
      <c r="KZN239" s="16"/>
      <c r="KZO239" s="15"/>
      <c r="KZP239" s="15"/>
      <c r="KZQ239" s="15"/>
      <c r="KZR239" s="16"/>
      <c r="KZS239" s="16"/>
      <c r="KZT239" s="16"/>
      <c r="KZU239" s="16"/>
      <c r="KZV239" s="16"/>
      <c r="KZW239" s="15"/>
      <c r="KZX239" s="15"/>
      <c r="KZY239" s="10"/>
      <c r="KZZ239" s="10"/>
      <c r="LAA239" s="19"/>
      <c r="LAB239" s="19"/>
      <c r="LAE239" s="16"/>
      <c r="LAF239" s="15"/>
      <c r="LAG239" s="15"/>
      <c r="LAH239" s="15"/>
      <c r="LAI239" s="16"/>
      <c r="LAJ239" s="16"/>
      <c r="LAK239" s="16"/>
      <c r="LAL239" s="16"/>
      <c r="LAM239" s="16"/>
      <c r="LAN239" s="15"/>
      <c r="LAO239" s="15"/>
      <c r="LAP239" s="10"/>
      <c r="LAQ239" s="10"/>
      <c r="LAR239" s="19"/>
      <c r="LAS239" s="19"/>
      <c r="LAV239" s="16"/>
      <c r="LAW239" s="15"/>
      <c r="LAX239" s="15"/>
      <c r="LAY239" s="15"/>
      <c r="LAZ239" s="16"/>
      <c r="LBA239" s="16"/>
      <c r="LBB239" s="16"/>
      <c r="LBC239" s="16"/>
      <c r="LBD239" s="16"/>
      <c r="LBE239" s="15"/>
      <c r="LBF239" s="15"/>
      <c r="LBG239" s="10"/>
      <c r="LBH239" s="10"/>
      <c r="LBI239" s="19"/>
      <c r="LBJ239" s="19"/>
      <c r="LBM239" s="16"/>
      <c r="LBN239" s="15"/>
      <c r="LBO239" s="15"/>
      <c r="LBP239" s="15"/>
      <c r="LBQ239" s="16"/>
      <c r="LBR239" s="16"/>
      <c r="LBS239" s="16"/>
      <c r="LBT239" s="16"/>
      <c r="LBU239" s="16"/>
      <c r="LBV239" s="15"/>
      <c r="LBW239" s="15"/>
      <c r="LBX239" s="10"/>
      <c r="LBY239" s="10"/>
      <c r="LBZ239" s="19"/>
      <c r="LCA239" s="19"/>
      <c r="LCD239" s="16"/>
      <c r="LCE239" s="15"/>
      <c r="LCF239" s="15"/>
      <c r="LCG239" s="15"/>
      <c r="LCH239" s="16"/>
      <c r="LCI239" s="16"/>
      <c r="LCJ239" s="16"/>
      <c r="LCK239" s="16"/>
      <c r="LCL239" s="16"/>
      <c r="LCM239" s="15"/>
      <c r="LCN239" s="15"/>
      <c r="LCO239" s="10"/>
      <c r="LCP239" s="10"/>
      <c r="LCQ239" s="19"/>
      <c r="LCR239" s="19"/>
      <c r="LCU239" s="16"/>
      <c r="LCV239" s="15"/>
      <c r="LCW239" s="15"/>
      <c r="LCX239" s="15"/>
      <c r="LCY239" s="16"/>
      <c r="LCZ239" s="16"/>
      <c r="LDA239" s="16"/>
      <c r="LDB239" s="16"/>
      <c r="LDC239" s="16"/>
      <c r="LDD239" s="15"/>
      <c r="LDE239" s="15"/>
      <c r="LDF239" s="10"/>
      <c r="LDG239" s="10"/>
      <c r="LDH239" s="19"/>
      <c r="LDI239" s="19"/>
      <c r="LDL239" s="16"/>
      <c r="LDM239" s="15"/>
      <c r="LDN239" s="15"/>
      <c r="LDO239" s="15"/>
      <c r="LDP239" s="16"/>
      <c r="LDQ239" s="16"/>
      <c r="LDR239" s="16"/>
      <c r="LDS239" s="16"/>
      <c r="LDT239" s="16"/>
      <c r="LDU239" s="15"/>
      <c r="LDV239" s="15"/>
      <c r="LDW239" s="10"/>
      <c r="LDX239" s="10"/>
      <c r="LDY239" s="19"/>
      <c r="LDZ239" s="19"/>
      <c r="LEC239" s="16"/>
      <c r="LED239" s="15"/>
      <c r="LEE239" s="15"/>
      <c r="LEF239" s="15"/>
      <c r="LEG239" s="16"/>
      <c r="LEH239" s="16"/>
      <c r="LEI239" s="16"/>
      <c r="LEJ239" s="16"/>
      <c r="LEK239" s="16"/>
      <c r="LEL239" s="15"/>
      <c r="LEM239" s="15"/>
      <c r="LEN239" s="10"/>
      <c r="LEO239" s="10"/>
      <c r="LEP239" s="19"/>
      <c r="LEQ239" s="19"/>
      <c r="LET239" s="16"/>
      <c r="LEU239" s="15"/>
      <c r="LEV239" s="15"/>
      <c r="LEW239" s="15"/>
      <c r="LEX239" s="16"/>
      <c r="LEY239" s="16"/>
      <c r="LEZ239" s="16"/>
      <c r="LFA239" s="16"/>
      <c r="LFB239" s="16"/>
      <c r="LFC239" s="15"/>
      <c r="LFD239" s="15"/>
      <c r="LFE239" s="10"/>
      <c r="LFF239" s="10"/>
      <c r="LFG239" s="19"/>
      <c r="LFH239" s="19"/>
      <c r="LFK239" s="16"/>
      <c r="LFL239" s="15"/>
      <c r="LFM239" s="15"/>
      <c r="LFN239" s="15"/>
      <c r="LFO239" s="16"/>
      <c r="LFP239" s="16"/>
      <c r="LFQ239" s="16"/>
      <c r="LFR239" s="16"/>
      <c r="LFS239" s="16"/>
      <c r="LFT239" s="15"/>
      <c r="LFU239" s="15"/>
      <c r="LFV239" s="10"/>
      <c r="LFW239" s="10"/>
      <c r="LFX239" s="19"/>
      <c r="LFY239" s="19"/>
      <c r="LGB239" s="16"/>
      <c r="LGC239" s="15"/>
      <c r="LGD239" s="15"/>
      <c r="LGE239" s="15"/>
      <c r="LGF239" s="16"/>
      <c r="LGG239" s="16"/>
      <c r="LGH239" s="16"/>
      <c r="LGI239" s="16"/>
      <c r="LGJ239" s="16"/>
      <c r="LGK239" s="15"/>
      <c r="LGL239" s="15"/>
      <c r="LGM239" s="10"/>
      <c r="LGN239" s="10"/>
      <c r="LGO239" s="19"/>
      <c r="LGP239" s="19"/>
      <c r="LGS239" s="16"/>
      <c r="LGT239" s="15"/>
      <c r="LGU239" s="15"/>
      <c r="LGV239" s="15"/>
      <c r="LGW239" s="16"/>
      <c r="LGX239" s="16"/>
      <c r="LGY239" s="16"/>
      <c r="LGZ239" s="16"/>
      <c r="LHA239" s="16"/>
      <c r="LHB239" s="15"/>
      <c r="LHC239" s="15"/>
      <c r="LHD239" s="10"/>
      <c r="LHE239" s="10"/>
      <c r="LHF239" s="19"/>
      <c r="LHG239" s="19"/>
      <c r="LHJ239" s="16"/>
      <c r="LHK239" s="15"/>
      <c r="LHL239" s="15"/>
      <c r="LHM239" s="15"/>
      <c r="LHN239" s="16"/>
      <c r="LHO239" s="16"/>
      <c r="LHP239" s="16"/>
      <c r="LHQ239" s="16"/>
      <c r="LHR239" s="16"/>
      <c r="LHS239" s="15"/>
      <c r="LHT239" s="15"/>
      <c r="LHU239" s="10"/>
      <c r="LHV239" s="10"/>
      <c r="LHW239" s="19"/>
      <c r="LHX239" s="19"/>
      <c r="LIA239" s="16"/>
      <c r="LIB239" s="15"/>
      <c r="LIC239" s="15"/>
      <c r="LID239" s="15"/>
      <c r="LIE239" s="16"/>
      <c r="LIF239" s="16"/>
      <c r="LIG239" s="16"/>
      <c r="LIH239" s="16"/>
      <c r="LII239" s="16"/>
      <c r="LIJ239" s="15"/>
      <c r="LIK239" s="15"/>
      <c r="LIL239" s="10"/>
      <c r="LIM239" s="10"/>
      <c r="LIN239" s="19"/>
      <c r="LIO239" s="19"/>
      <c r="LIR239" s="16"/>
      <c r="LIS239" s="15"/>
      <c r="LIT239" s="15"/>
      <c r="LIU239" s="15"/>
      <c r="LIV239" s="16"/>
      <c r="LIW239" s="16"/>
      <c r="LIX239" s="16"/>
      <c r="LIY239" s="16"/>
      <c r="LIZ239" s="16"/>
      <c r="LJA239" s="15"/>
      <c r="LJB239" s="15"/>
      <c r="LJC239" s="10"/>
      <c r="LJD239" s="10"/>
      <c r="LJE239" s="19"/>
      <c r="LJF239" s="19"/>
      <c r="LJI239" s="16"/>
      <c r="LJJ239" s="15"/>
      <c r="LJK239" s="15"/>
      <c r="LJL239" s="15"/>
      <c r="LJM239" s="16"/>
      <c r="LJN239" s="16"/>
      <c r="LJO239" s="16"/>
      <c r="LJP239" s="16"/>
      <c r="LJQ239" s="16"/>
      <c r="LJR239" s="15"/>
      <c r="LJS239" s="15"/>
      <c r="LJT239" s="10"/>
      <c r="LJU239" s="10"/>
      <c r="LJV239" s="19"/>
      <c r="LJW239" s="19"/>
      <c r="LJZ239" s="16"/>
      <c r="LKA239" s="15"/>
      <c r="LKB239" s="15"/>
      <c r="LKC239" s="15"/>
      <c r="LKD239" s="16"/>
      <c r="LKE239" s="16"/>
      <c r="LKF239" s="16"/>
      <c r="LKG239" s="16"/>
      <c r="LKH239" s="16"/>
      <c r="LKI239" s="15"/>
      <c r="LKJ239" s="15"/>
      <c r="LKK239" s="10"/>
      <c r="LKL239" s="10"/>
      <c r="LKM239" s="19"/>
      <c r="LKN239" s="19"/>
      <c r="LKQ239" s="16"/>
      <c r="LKR239" s="15"/>
      <c r="LKS239" s="15"/>
      <c r="LKT239" s="15"/>
      <c r="LKU239" s="16"/>
      <c r="LKV239" s="16"/>
      <c r="LKW239" s="16"/>
      <c r="LKX239" s="16"/>
      <c r="LKY239" s="16"/>
      <c r="LKZ239" s="15"/>
      <c r="LLA239" s="15"/>
      <c r="LLB239" s="10"/>
      <c r="LLC239" s="10"/>
      <c r="LLD239" s="19"/>
      <c r="LLE239" s="19"/>
      <c r="LLH239" s="16"/>
      <c r="LLI239" s="15"/>
      <c r="LLJ239" s="15"/>
      <c r="LLK239" s="15"/>
      <c r="LLL239" s="16"/>
      <c r="LLM239" s="16"/>
      <c r="LLN239" s="16"/>
      <c r="LLO239" s="16"/>
      <c r="LLP239" s="16"/>
      <c r="LLQ239" s="15"/>
      <c r="LLR239" s="15"/>
      <c r="LLS239" s="10"/>
      <c r="LLT239" s="10"/>
      <c r="LLU239" s="19"/>
      <c r="LLV239" s="19"/>
      <c r="LLY239" s="16"/>
      <c r="LLZ239" s="15"/>
      <c r="LMA239" s="15"/>
      <c r="LMB239" s="15"/>
      <c r="LMC239" s="16"/>
      <c r="LMD239" s="16"/>
      <c r="LME239" s="16"/>
      <c r="LMF239" s="16"/>
      <c r="LMG239" s="16"/>
      <c r="LMH239" s="15"/>
      <c r="LMI239" s="15"/>
      <c r="LMJ239" s="10"/>
      <c r="LMK239" s="10"/>
      <c r="LML239" s="19"/>
      <c r="LMM239" s="19"/>
      <c r="LMP239" s="16"/>
      <c r="LMQ239" s="15"/>
      <c r="LMR239" s="15"/>
      <c r="LMS239" s="15"/>
      <c r="LMT239" s="16"/>
      <c r="LMU239" s="16"/>
      <c r="LMV239" s="16"/>
      <c r="LMW239" s="16"/>
      <c r="LMX239" s="16"/>
      <c r="LMY239" s="15"/>
      <c r="LMZ239" s="15"/>
      <c r="LNA239" s="10"/>
      <c r="LNB239" s="10"/>
      <c r="LNC239" s="19"/>
      <c r="LND239" s="19"/>
      <c r="LNG239" s="16"/>
      <c r="LNH239" s="15"/>
      <c r="LNI239" s="15"/>
      <c r="LNJ239" s="15"/>
      <c r="LNK239" s="16"/>
      <c r="LNL239" s="16"/>
      <c r="LNM239" s="16"/>
      <c r="LNN239" s="16"/>
      <c r="LNO239" s="16"/>
      <c r="LNP239" s="15"/>
      <c r="LNQ239" s="15"/>
      <c r="LNR239" s="10"/>
      <c r="LNS239" s="10"/>
      <c r="LNT239" s="19"/>
      <c r="LNU239" s="19"/>
      <c r="LNX239" s="16"/>
      <c r="LNY239" s="15"/>
      <c r="LNZ239" s="15"/>
      <c r="LOA239" s="15"/>
      <c r="LOB239" s="16"/>
      <c r="LOC239" s="16"/>
      <c r="LOD239" s="16"/>
      <c r="LOE239" s="16"/>
      <c r="LOF239" s="16"/>
      <c r="LOG239" s="15"/>
      <c r="LOH239" s="15"/>
      <c r="LOI239" s="10"/>
      <c r="LOJ239" s="10"/>
      <c r="LOK239" s="19"/>
      <c r="LOL239" s="19"/>
      <c r="LOO239" s="16"/>
      <c r="LOP239" s="15"/>
      <c r="LOQ239" s="15"/>
      <c r="LOR239" s="15"/>
      <c r="LOS239" s="16"/>
      <c r="LOT239" s="16"/>
      <c r="LOU239" s="16"/>
      <c r="LOV239" s="16"/>
      <c r="LOW239" s="16"/>
      <c r="LOX239" s="15"/>
      <c r="LOY239" s="15"/>
      <c r="LOZ239" s="10"/>
      <c r="LPA239" s="10"/>
      <c r="LPB239" s="19"/>
      <c r="LPC239" s="19"/>
      <c r="LPF239" s="16"/>
      <c r="LPG239" s="15"/>
      <c r="LPH239" s="15"/>
      <c r="LPI239" s="15"/>
      <c r="LPJ239" s="16"/>
      <c r="LPK239" s="16"/>
      <c r="LPL239" s="16"/>
      <c r="LPM239" s="16"/>
      <c r="LPN239" s="16"/>
      <c r="LPO239" s="15"/>
      <c r="LPP239" s="15"/>
      <c r="LPQ239" s="10"/>
      <c r="LPR239" s="10"/>
      <c r="LPS239" s="19"/>
      <c r="LPT239" s="19"/>
      <c r="LPW239" s="16"/>
      <c r="LPX239" s="15"/>
      <c r="LPY239" s="15"/>
      <c r="LPZ239" s="15"/>
      <c r="LQA239" s="16"/>
      <c r="LQB239" s="16"/>
      <c r="LQC239" s="16"/>
      <c r="LQD239" s="16"/>
      <c r="LQE239" s="16"/>
      <c r="LQF239" s="15"/>
      <c r="LQG239" s="15"/>
      <c r="LQH239" s="10"/>
      <c r="LQI239" s="10"/>
      <c r="LQJ239" s="19"/>
      <c r="LQK239" s="19"/>
      <c r="LQN239" s="16"/>
      <c r="LQO239" s="15"/>
      <c r="LQP239" s="15"/>
      <c r="LQQ239" s="15"/>
      <c r="LQR239" s="16"/>
      <c r="LQS239" s="16"/>
      <c r="LQT239" s="16"/>
      <c r="LQU239" s="16"/>
      <c r="LQV239" s="16"/>
      <c r="LQW239" s="15"/>
      <c r="LQX239" s="15"/>
      <c r="LQY239" s="10"/>
      <c r="LQZ239" s="10"/>
      <c r="LRA239" s="19"/>
      <c r="LRB239" s="19"/>
      <c r="LRE239" s="16"/>
      <c r="LRF239" s="15"/>
      <c r="LRG239" s="15"/>
      <c r="LRH239" s="15"/>
      <c r="LRI239" s="16"/>
      <c r="LRJ239" s="16"/>
      <c r="LRK239" s="16"/>
      <c r="LRL239" s="16"/>
      <c r="LRM239" s="16"/>
      <c r="LRN239" s="15"/>
      <c r="LRO239" s="15"/>
      <c r="LRP239" s="10"/>
      <c r="LRQ239" s="10"/>
      <c r="LRR239" s="19"/>
      <c r="LRS239" s="19"/>
      <c r="LRV239" s="16"/>
      <c r="LRW239" s="15"/>
      <c r="LRX239" s="15"/>
      <c r="LRY239" s="15"/>
      <c r="LRZ239" s="16"/>
      <c r="LSA239" s="16"/>
      <c r="LSB239" s="16"/>
      <c r="LSC239" s="16"/>
      <c r="LSD239" s="16"/>
      <c r="LSE239" s="15"/>
      <c r="LSF239" s="15"/>
      <c r="LSG239" s="10"/>
      <c r="LSH239" s="10"/>
      <c r="LSI239" s="19"/>
      <c r="LSJ239" s="19"/>
      <c r="LSM239" s="16"/>
      <c r="LSN239" s="15"/>
      <c r="LSO239" s="15"/>
      <c r="LSP239" s="15"/>
      <c r="LSQ239" s="16"/>
      <c r="LSR239" s="16"/>
      <c r="LSS239" s="16"/>
      <c r="LST239" s="16"/>
      <c r="LSU239" s="16"/>
      <c r="LSV239" s="15"/>
      <c r="LSW239" s="15"/>
      <c r="LSX239" s="10"/>
      <c r="LSY239" s="10"/>
      <c r="LSZ239" s="19"/>
      <c r="LTA239" s="19"/>
      <c r="LTD239" s="16"/>
      <c r="LTE239" s="15"/>
      <c r="LTF239" s="15"/>
      <c r="LTG239" s="15"/>
      <c r="LTH239" s="16"/>
      <c r="LTI239" s="16"/>
      <c r="LTJ239" s="16"/>
      <c r="LTK239" s="16"/>
      <c r="LTL239" s="16"/>
      <c r="LTM239" s="15"/>
      <c r="LTN239" s="15"/>
      <c r="LTO239" s="10"/>
      <c r="LTP239" s="10"/>
      <c r="LTQ239" s="19"/>
      <c r="LTR239" s="19"/>
      <c r="LTU239" s="16"/>
      <c r="LTV239" s="15"/>
      <c r="LTW239" s="15"/>
      <c r="LTX239" s="15"/>
      <c r="LTY239" s="16"/>
      <c r="LTZ239" s="16"/>
      <c r="LUA239" s="16"/>
      <c r="LUB239" s="16"/>
      <c r="LUC239" s="16"/>
      <c r="LUD239" s="15"/>
      <c r="LUE239" s="15"/>
      <c r="LUF239" s="10"/>
      <c r="LUG239" s="10"/>
      <c r="LUH239" s="19"/>
      <c r="LUI239" s="19"/>
      <c r="LUL239" s="16"/>
      <c r="LUM239" s="15"/>
      <c r="LUN239" s="15"/>
      <c r="LUO239" s="15"/>
      <c r="LUP239" s="16"/>
      <c r="LUQ239" s="16"/>
      <c r="LUR239" s="16"/>
      <c r="LUS239" s="16"/>
      <c r="LUT239" s="16"/>
      <c r="LUU239" s="15"/>
      <c r="LUV239" s="15"/>
      <c r="LUW239" s="10"/>
      <c r="LUX239" s="10"/>
      <c r="LUY239" s="19"/>
      <c r="LUZ239" s="19"/>
      <c r="LVC239" s="16"/>
      <c r="LVD239" s="15"/>
      <c r="LVE239" s="15"/>
      <c r="LVF239" s="15"/>
      <c r="LVG239" s="16"/>
      <c r="LVH239" s="16"/>
      <c r="LVI239" s="16"/>
      <c r="LVJ239" s="16"/>
      <c r="LVK239" s="16"/>
      <c r="LVL239" s="15"/>
      <c r="LVM239" s="15"/>
      <c r="LVN239" s="10"/>
      <c r="LVO239" s="10"/>
      <c r="LVP239" s="19"/>
      <c r="LVQ239" s="19"/>
      <c r="LVT239" s="16"/>
      <c r="LVU239" s="15"/>
      <c r="LVV239" s="15"/>
      <c r="LVW239" s="15"/>
      <c r="LVX239" s="16"/>
      <c r="LVY239" s="16"/>
      <c r="LVZ239" s="16"/>
      <c r="LWA239" s="16"/>
      <c r="LWB239" s="16"/>
      <c r="LWC239" s="15"/>
      <c r="LWD239" s="15"/>
      <c r="LWE239" s="10"/>
      <c r="LWF239" s="10"/>
      <c r="LWG239" s="19"/>
      <c r="LWH239" s="19"/>
      <c r="LWK239" s="16"/>
      <c r="LWL239" s="15"/>
      <c r="LWM239" s="15"/>
      <c r="LWN239" s="15"/>
      <c r="LWO239" s="16"/>
      <c r="LWP239" s="16"/>
      <c r="LWQ239" s="16"/>
      <c r="LWR239" s="16"/>
      <c r="LWS239" s="16"/>
      <c r="LWT239" s="15"/>
      <c r="LWU239" s="15"/>
      <c r="LWV239" s="10"/>
      <c r="LWW239" s="10"/>
      <c r="LWX239" s="19"/>
      <c r="LWY239" s="19"/>
      <c r="LXB239" s="16"/>
      <c r="LXC239" s="15"/>
      <c r="LXD239" s="15"/>
      <c r="LXE239" s="15"/>
      <c r="LXF239" s="16"/>
      <c r="LXG239" s="16"/>
      <c r="LXH239" s="16"/>
      <c r="LXI239" s="16"/>
      <c r="LXJ239" s="16"/>
      <c r="LXK239" s="15"/>
      <c r="LXL239" s="15"/>
      <c r="LXM239" s="10"/>
      <c r="LXN239" s="10"/>
      <c r="LXO239" s="19"/>
      <c r="LXP239" s="19"/>
      <c r="LXS239" s="16"/>
      <c r="LXT239" s="15"/>
      <c r="LXU239" s="15"/>
      <c r="LXV239" s="15"/>
      <c r="LXW239" s="16"/>
      <c r="LXX239" s="16"/>
      <c r="LXY239" s="16"/>
      <c r="LXZ239" s="16"/>
      <c r="LYA239" s="16"/>
      <c r="LYB239" s="15"/>
      <c r="LYC239" s="15"/>
      <c r="LYD239" s="10"/>
      <c r="LYE239" s="10"/>
      <c r="LYF239" s="19"/>
      <c r="LYG239" s="19"/>
      <c r="LYJ239" s="16"/>
      <c r="LYK239" s="15"/>
      <c r="LYL239" s="15"/>
      <c r="LYM239" s="15"/>
      <c r="LYN239" s="16"/>
      <c r="LYO239" s="16"/>
      <c r="LYP239" s="16"/>
      <c r="LYQ239" s="16"/>
      <c r="LYR239" s="16"/>
      <c r="LYS239" s="15"/>
      <c r="LYT239" s="15"/>
      <c r="LYU239" s="10"/>
      <c r="LYV239" s="10"/>
      <c r="LYW239" s="19"/>
      <c r="LYX239" s="19"/>
      <c r="LZA239" s="16"/>
      <c r="LZB239" s="15"/>
      <c r="LZC239" s="15"/>
      <c r="LZD239" s="15"/>
      <c r="LZE239" s="16"/>
      <c r="LZF239" s="16"/>
      <c r="LZG239" s="16"/>
      <c r="LZH239" s="16"/>
      <c r="LZI239" s="16"/>
      <c r="LZJ239" s="15"/>
      <c r="LZK239" s="15"/>
      <c r="LZL239" s="10"/>
      <c r="LZM239" s="10"/>
      <c r="LZN239" s="19"/>
      <c r="LZO239" s="19"/>
      <c r="LZR239" s="16"/>
      <c r="LZS239" s="15"/>
      <c r="LZT239" s="15"/>
      <c r="LZU239" s="15"/>
      <c r="LZV239" s="16"/>
      <c r="LZW239" s="16"/>
      <c r="LZX239" s="16"/>
      <c r="LZY239" s="16"/>
      <c r="LZZ239" s="16"/>
      <c r="MAA239" s="15"/>
      <c r="MAB239" s="15"/>
      <c r="MAC239" s="10"/>
      <c r="MAD239" s="10"/>
      <c r="MAE239" s="19"/>
      <c r="MAF239" s="19"/>
      <c r="MAI239" s="16"/>
      <c r="MAJ239" s="15"/>
      <c r="MAK239" s="15"/>
      <c r="MAL239" s="15"/>
      <c r="MAM239" s="16"/>
      <c r="MAN239" s="16"/>
      <c r="MAO239" s="16"/>
      <c r="MAP239" s="16"/>
      <c r="MAQ239" s="16"/>
      <c r="MAR239" s="15"/>
      <c r="MAS239" s="15"/>
      <c r="MAT239" s="10"/>
      <c r="MAU239" s="10"/>
      <c r="MAV239" s="19"/>
      <c r="MAW239" s="19"/>
      <c r="MAZ239" s="16"/>
      <c r="MBA239" s="15"/>
      <c r="MBB239" s="15"/>
      <c r="MBC239" s="15"/>
      <c r="MBD239" s="16"/>
      <c r="MBE239" s="16"/>
      <c r="MBF239" s="16"/>
      <c r="MBG239" s="16"/>
      <c r="MBH239" s="16"/>
      <c r="MBI239" s="15"/>
      <c r="MBJ239" s="15"/>
      <c r="MBK239" s="10"/>
      <c r="MBL239" s="10"/>
      <c r="MBM239" s="19"/>
      <c r="MBN239" s="19"/>
      <c r="MBQ239" s="16"/>
      <c r="MBR239" s="15"/>
      <c r="MBS239" s="15"/>
      <c r="MBT239" s="15"/>
      <c r="MBU239" s="16"/>
      <c r="MBV239" s="16"/>
      <c r="MBW239" s="16"/>
      <c r="MBX239" s="16"/>
      <c r="MBY239" s="16"/>
      <c r="MBZ239" s="15"/>
      <c r="MCA239" s="15"/>
      <c r="MCB239" s="10"/>
      <c r="MCC239" s="10"/>
      <c r="MCD239" s="19"/>
      <c r="MCE239" s="19"/>
      <c r="MCH239" s="16"/>
      <c r="MCI239" s="15"/>
      <c r="MCJ239" s="15"/>
      <c r="MCK239" s="15"/>
      <c r="MCL239" s="16"/>
      <c r="MCM239" s="16"/>
      <c r="MCN239" s="16"/>
      <c r="MCO239" s="16"/>
      <c r="MCP239" s="16"/>
      <c r="MCQ239" s="15"/>
      <c r="MCR239" s="15"/>
      <c r="MCS239" s="10"/>
      <c r="MCT239" s="10"/>
      <c r="MCU239" s="19"/>
      <c r="MCV239" s="19"/>
      <c r="MCY239" s="16"/>
      <c r="MCZ239" s="15"/>
      <c r="MDA239" s="15"/>
      <c r="MDB239" s="15"/>
      <c r="MDC239" s="16"/>
      <c r="MDD239" s="16"/>
      <c r="MDE239" s="16"/>
      <c r="MDF239" s="16"/>
      <c r="MDG239" s="16"/>
      <c r="MDH239" s="15"/>
      <c r="MDI239" s="15"/>
      <c r="MDJ239" s="10"/>
      <c r="MDK239" s="10"/>
      <c r="MDL239" s="19"/>
      <c r="MDM239" s="19"/>
      <c r="MDP239" s="16"/>
      <c r="MDQ239" s="15"/>
      <c r="MDR239" s="15"/>
      <c r="MDS239" s="15"/>
      <c r="MDT239" s="16"/>
      <c r="MDU239" s="16"/>
      <c r="MDV239" s="16"/>
      <c r="MDW239" s="16"/>
      <c r="MDX239" s="16"/>
      <c r="MDY239" s="15"/>
      <c r="MDZ239" s="15"/>
      <c r="MEA239" s="10"/>
      <c r="MEB239" s="10"/>
      <c r="MEC239" s="19"/>
      <c r="MED239" s="19"/>
      <c r="MEG239" s="16"/>
      <c r="MEH239" s="15"/>
      <c r="MEI239" s="15"/>
      <c r="MEJ239" s="15"/>
      <c r="MEK239" s="16"/>
      <c r="MEL239" s="16"/>
      <c r="MEM239" s="16"/>
      <c r="MEN239" s="16"/>
      <c r="MEO239" s="16"/>
      <c r="MEP239" s="15"/>
      <c r="MEQ239" s="15"/>
      <c r="MER239" s="10"/>
      <c r="MES239" s="10"/>
      <c r="MET239" s="19"/>
      <c r="MEU239" s="19"/>
      <c r="MEX239" s="16"/>
      <c r="MEY239" s="15"/>
      <c r="MEZ239" s="15"/>
      <c r="MFA239" s="15"/>
      <c r="MFB239" s="16"/>
      <c r="MFC239" s="16"/>
      <c r="MFD239" s="16"/>
      <c r="MFE239" s="16"/>
      <c r="MFF239" s="16"/>
      <c r="MFG239" s="15"/>
      <c r="MFH239" s="15"/>
      <c r="MFI239" s="10"/>
      <c r="MFJ239" s="10"/>
      <c r="MFK239" s="19"/>
      <c r="MFL239" s="19"/>
      <c r="MFO239" s="16"/>
      <c r="MFP239" s="15"/>
      <c r="MFQ239" s="15"/>
      <c r="MFR239" s="15"/>
      <c r="MFS239" s="16"/>
      <c r="MFT239" s="16"/>
      <c r="MFU239" s="16"/>
      <c r="MFV239" s="16"/>
      <c r="MFW239" s="16"/>
      <c r="MFX239" s="15"/>
      <c r="MFY239" s="15"/>
      <c r="MFZ239" s="10"/>
      <c r="MGA239" s="10"/>
      <c r="MGB239" s="19"/>
      <c r="MGC239" s="19"/>
      <c r="MGF239" s="16"/>
      <c r="MGG239" s="15"/>
      <c r="MGH239" s="15"/>
      <c r="MGI239" s="15"/>
      <c r="MGJ239" s="16"/>
      <c r="MGK239" s="16"/>
      <c r="MGL239" s="16"/>
      <c r="MGM239" s="16"/>
      <c r="MGN239" s="16"/>
      <c r="MGO239" s="15"/>
      <c r="MGP239" s="15"/>
      <c r="MGQ239" s="10"/>
      <c r="MGR239" s="10"/>
      <c r="MGS239" s="19"/>
      <c r="MGT239" s="19"/>
      <c r="MGW239" s="16"/>
      <c r="MGX239" s="15"/>
      <c r="MGY239" s="15"/>
      <c r="MGZ239" s="15"/>
      <c r="MHA239" s="16"/>
      <c r="MHB239" s="16"/>
      <c r="MHC239" s="16"/>
      <c r="MHD239" s="16"/>
      <c r="MHE239" s="16"/>
      <c r="MHF239" s="15"/>
      <c r="MHG239" s="15"/>
      <c r="MHH239" s="10"/>
      <c r="MHI239" s="10"/>
      <c r="MHJ239" s="19"/>
      <c r="MHK239" s="19"/>
      <c r="MHN239" s="16"/>
      <c r="MHO239" s="15"/>
      <c r="MHP239" s="15"/>
      <c r="MHQ239" s="15"/>
      <c r="MHR239" s="16"/>
      <c r="MHS239" s="16"/>
      <c r="MHT239" s="16"/>
      <c r="MHU239" s="16"/>
      <c r="MHV239" s="16"/>
      <c r="MHW239" s="15"/>
      <c r="MHX239" s="15"/>
      <c r="MHY239" s="10"/>
      <c r="MHZ239" s="10"/>
      <c r="MIA239" s="19"/>
      <c r="MIB239" s="19"/>
      <c r="MIE239" s="16"/>
      <c r="MIF239" s="15"/>
      <c r="MIG239" s="15"/>
      <c r="MIH239" s="15"/>
      <c r="MII239" s="16"/>
      <c r="MIJ239" s="16"/>
      <c r="MIK239" s="16"/>
      <c r="MIL239" s="16"/>
      <c r="MIM239" s="16"/>
      <c r="MIN239" s="15"/>
      <c r="MIO239" s="15"/>
      <c r="MIP239" s="10"/>
      <c r="MIQ239" s="10"/>
      <c r="MIR239" s="19"/>
      <c r="MIS239" s="19"/>
      <c r="MIV239" s="16"/>
      <c r="MIW239" s="15"/>
      <c r="MIX239" s="15"/>
      <c r="MIY239" s="15"/>
      <c r="MIZ239" s="16"/>
      <c r="MJA239" s="16"/>
      <c r="MJB239" s="16"/>
      <c r="MJC239" s="16"/>
      <c r="MJD239" s="16"/>
      <c r="MJE239" s="15"/>
      <c r="MJF239" s="15"/>
      <c r="MJG239" s="10"/>
      <c r="MJH239" s="10"/>
      <c r="MJI239" s="19"/>
      <c r="MJJ239" s="19"/>
      <c r="MJM239" s="16"/>
      <c r="MJN239" s="15"/>
      <c r="MJO239" s="15"/>
      <c r="MJP239" s="15"/>
      <c r="MJQ239" s="16"/>
      <c r="MJR239" s="16"/>
      <c r="MJS239" s="16"/>
      <c r="MJT239" s="16"/>
      <c r="MJU239" s="16"/>
      <c r="MJV239" s="15"/>
      <c r="MJW239" s="15"/>
      <c r="MJX239" s="10"/>
      <c r="MJY239" s="10"/>
      <c r="MJZ239" s="19"/>
      <c r="MKA239" s="19"/>
      <c r="MKD239" s="16"/>
      <c r="MKE239" s="15"/>
      <c r="MKF239" s="15"/>
      <c r="MKG239" s="15"/>
      <c r="MKH239" s="16"/>
      <c r="MKI239" s="16"/>
      <c r="MKJ239" s="16"/>
      <c r="MKK239" s="16"/>
      <c r="MKL239" s="16"/>
      <c r="MKM239" s="15"/>
      <c r="MKN239" s="15"/>
      <c r="MKO239" s="10"/>
      <c r="MKP239" s="10"/>
      <c r="MKQ239" s="19"/>
      <c r="MKR239" s="19"/>
      <c r="MKU239" s="16"/>
      <c r="MKV239" s="15"/>
      <c r="MKW239" s="15"/>
      <c r="MKX239" s="15"/>
      <c r="MKY239" s="16"/>
      <c r="MKZ239" s="16"/>
      <c r="MLA239" s="16"/>
      <c r="MLB239" s="16"/>
      <c r="MLC239" s="16"/>
      <c r="MLD239" s="15"/>
      <c r="MLE239" s="15"/>
      <c r="MLF239" s="10"/>
      <c r="MLG239" s="10"/>
      <c r="MLH239" s="19"/>
      <c r="MLI239" s="19"/>
      <c r="MLL239" s="16"/>
      <c r="MLM239" s="15"/>
      <c r="MLN239" s="15"/>
      <c r="MLO239" s="15"/>
      <c r="MLP239" s="16"/>
      <c r="MLQ239" s="16"/>
      <c r="MLR239" s="16"/>
      <c r="MLS239" s="16"/>
      <c r="MLT239" s="16"/>
      <c r="MLU239" s="15"/>
      <c r="MLV239" s="15"/>
      <c r="MLW239" s="10"/>
      <c r="MLX239" s="10"/>
      <c r="MLY239" s="19"/>
      <c r="MLZ239" s="19"/>
      <c r="MMC239" s="16"/>
      <c r="MMD239" s="15"/>
      <c r="MME239" s="15"/>
      <c r="MMF239" s="15"/>
      <c r="MMG239" s="16"/>
      <c r="MMH239" s="16"/>
      <c r="MMI239" s="16"/>
      <c r="MMJ239" s="16"/>
      <c r="MMK239" s="16"/>
      <c r="MML239" s="15"/>
      <c r="MMM239" s="15"/>
      <c r="MMN239" s="10"/>
      <c r="MMO239" s="10"/>
      <c r="MMP239" s="19"/>
      <c r="MMQ239" s="19"/>
      <c r="MMT239" s="16"/>
      <c r="MMU239" s="15"/>
      <c r="MMV239" s="15"/>
      <c r="MMW239" s="15"/>
      <c r="MMX239" s="16"/>
      <c r="MMY239" s="16"/>
      <c r="MMZ239" s="16"/>
      <c r="MNA239" s="16"/>
      <c r="MNB239" s="16"/>
      <c r="MNC239" s="15"/>
      <c r="MND239" s="15"/>
      <c r="MNE239" s="10"/>
      <c r="MNF239" s="10"/>
      <c r="MNG239" s="19"/>
      <c r="MNH239" s="19"/>
      <c r="MNK239" s="16"/>
      <c r="MNL239" s="15"/>
      <c r="MNM239" s="15"/>
      <c r="MNN239" s="15"/>
      <c r="MNO239" s="16"/>
      <c r="MNP239" s="16"/>
      <c r="MNQ239" s="16"/>
      <c r="MNR239" s="16"/>
      <c r="MNS239" s="16"/>
      <c r="MNT239" s="15"/>
      <c r="MNU239" s="15"/>
      <c r="MNV239" s="10"/>
      <c r="MNW239" s="10"/>
      <c r="MNX239" s="19"/>
      <c r="MNY239" s="19"/>
      <c r="MOB239" s="16"/>
      <c r="MOC239" s="15"/>
      <c r="MOD239" s="15"/>
      <c r="MOE239" s="15"/>
      <c r="MOF239" s="16"/>
      <c r="MOG239" s="16"/>
      <c r="MOH239" s="16"/>
      <c r="MOI239" s="16"/>
      <c r="MOJ239" s="16"/>
      <c r="MOK239" s="15"/>
      <c r="MOL239" s="15"/>
      <c r="MOM239" s="10"/>
      <c r="MON239" s="10"/>
      <c r="MOO239" s="19"/>
      <c r="MOP239" s="19"/>
      <c r="MOS239" s="16"/>
      <c r="MOT239" s="15"/>
      <c r="MOU239" s="15"/>
      <c r="MOV239" s="15"/>
      <c r="MOW239" s="16"/>
      <c r="MOX239" s="16"/>
      <c r="MOY239" s="16"/>
      <c r="MOZ239" s="16"/>
      <c r="MPA239" s="16"/>
      <c r="MPB239" s="15"/>
      <c r="MPC239" s="15"/>
      <c r="MPD239" s="10"/>
      <c r="MPE239" s="10"/>
      <c r="MPF239" s="19"/>
      <c r="MPG239" s="19"/>
      <c r="MPJ239" s="16"/>
      <c r="MPK239" s="15"/>
      <c r="MPL239" s="15"/>
      <c r="MPM239" s="15"/>
      <c r="MPN239" s="16"/>
      <c r="MPO239" s="16"/>
      <c r="MPP239" s="16"/>
      <c r="MPQ239" s="16"/>
      <c r="MPR239" s="16"/>
      <c r="MPS239" s="15"/>
      <c r="MPT239" s="15"/>
      <c r="MPU239" s="10"/>
      <c r="MPV239" s="10"/>
      <c r="MPW239" s="19"/>
      <c r="MPX239" s="19"/>
      <c r="MQA239" s="16"/>
      <c r="MQB239" s="15"/>
      <c r="MQC239" s="15"/>
      <c r="MQD239" s="15"/>
      <c r="MQE239" s="16"/>
      <c r="MQF239" s="16"/>
      <c r="MQG239" s="16"/>
      <c r="MQH239" s="16"/>
      <c r="MQI239" s="16"/>
      <c r="MQJ239" s="15"/>
      <c r="MQK239" s="15"/>
      <c r="MQL239" s="10"/>
      <c r="MQM239" s="10"/>
      <c r="MQN239" s="19"/>
      <c r="MQO239" s="19"/>
      <c r="MQR239" s="16"/>
      <c r="MQS239" s="15"/>
      <c r="MQT239" s="15"/>
      <c r="MQU239" s="15"/>
      <c r="MQV239" s="16"/>
      <c r="MQW239" s="16"/>
      <c r="MQX239" s="16"/>
      <c r="MQY239" s="16"/>
      <c r="MQZ239" s="16"/>
      <c r="MRA239" s="15"/>
      <c r="MRB239" s="15"/>
      <c r="MRC239" s="10"/>
      <c r="MRD239" s="10"/>
      <c r="MRE239" s="19"/>
      <c r="MRF239" s="19"/>
      <c r="MRI239" s="16"/>
      <c r="MRJ239" s="15"/>
      <c r="MRK239" s="15"/>
      <c r="MRL239" s="15"/>
      <c r="MRM239" s="16"/>
      <c r="MRN239" s="16"/>
      <c r="MRO239" s="16"/>
      <c r="MRP239" s="16"/>
      <c r="MRQ239" s="16"/>
      <c r="MRR239" s="15"/>
      <c r="MRS239" s="15"/>
      <c r="MRT239" s="10"/>
      <c r="MRU239" s="10"/>
      <c r="MRV239" s="19"/>
      <c r="MRW239" s="19"/>
      <c r="MRZ239" s="16"/>
      <c r="MSA239" s="15"/>
      <c r="MSB239" s="15"/>
      <c r="MSC239" s="15"/>
      <c r="MSD239" s="16"/>
      <c r="MSE239" s="16"/>
      <c r="MSF239" s="16"/>
      <c r="MSG239" s="16"/>
      <c r="MSH239" s="16"/>
      <c r="MSI239" s="15"/>
      <c r="MSJ239" s="15"/>
      <c r="MSK239" s="10"/>
      <c r="MSL239" s="10"/>
      <c r="MSM239" s="19"/>
      <c r="MSN239" s="19"/>
      <c r="MSQ239" s="16"/>
      <c r="MSR239" s="15"/>
      <c r="MSS239" s="15"/>
      <c r="MST239" s="15"/>
      <c r="MSU239" s="16"/>
      <c r="MSV239" s="16"/>
      <c r="MSW239" s="16"/>
      <c r="MSX239" s="16"/>
      <c r="MSY239" s="16"/>
      <c r="MSZ239" s="15"/>
      <c r="MTA239" s="15"/>
      <c r="MTB239" s="10"/>
      <c r="MTC239" s="10"/>
      <c r="MTD239" s="19"/>
      <c r="MTE239" s="19"/>
      <c r="MTH239" s="16"/>
      <c r="MTI239" s="15"/>
      <c r="MTJ239" s="15"/>
      <c r="MTK239" s="15"/>
      <c r="MTL239" s="16"/>
      <c r="MTM239" s="16"/>
      <c r="MTN239" s="16"/>
      <c r="MTO239" s="16"/>
      <c r="MTP239" s="16"/>
      <c r="MTQ239" s="15"/>
      <c r="MTR239" s="15"/>
      <c r="MTS239" s="10"/>
      <c r="MTT239" s="10"/>
      <c r="MTU239" s="19"/>
      <c r="MTV239" s="19"/>
      <c r="MTY239" s="16"/>
      <c r="MTZ239" s="15"/>
      <c r="MUA239" s="15"/>
      <c r="MUB239" s="15"/>
      <c r="MUC239" s="16"/>
      <c r="MUD239" s="16"/>
      <c r="MUE239" s="16"/>
      <c r="MUF239" s="16"/>
      <c r="MUG239" s="16"/>
      <c r="MUH239" s="15"/>
      <c r="MUI239" s="15"/>
      <c r="MUJ239" s="10"/>
      <c r="MUK239" s="10"/>
      <c r="MUL239" s="19"/>
      <c r="MUM239" s="19"/>
      <c r="MUP239" s="16"/>
      <c r="MUQ239" s="15"/>
      <c r="MUR239" s="15"/>
      <c r="MUS239" s="15"/>
      <c r="MUT239" s="16"/>
      <c r="MUU239" s="16"/>
      <c r="MUV239" s="16"/>
      <c r="MUW239" s="16"/>
      <c r="MUX239" s="16"/>
      <c r="MUY239" s="15"/>
      <c r="MUZ239" s="15"/>
      <c r="MVA239" s="10"/>
      <c r="MVB239" s="10"/>
      <c r="MVC239" s="19"/>
      <c r="MVD239" s="19"/>
      <c r="MVG239" s="16"/>
      <c r="MVH239" s="15"/>
      <c r="MVI239" s="15"/>
      <c r="MVJ239" s="15"/>
      <c r="MVK239" s="16"/>
      <c r="MVL239" s="16"/>
      <c r="MVM239" s="16"/>
      <c r="MVN239" s="16"/>
      <c r="MVO239" s="16"/>
      <c r="MVP239" s="15"/>
      <c r="MVQ239" s="15"/>
      <c r="MVR239" s="10"/>
      <c r="MVS239" s="10"/>
      <c r="MVT239" s="19"/>
      <c r="MVU239" s="19"/>
      <c r="MVX239" s="16"/>
      <c r="MVY239" s="15"/>
      <c r="MVZ239" s="15"/>
      <c r="MWA239" s="15"/>
      <c r="MWB239" s="16"/>
      <c r="MWC239" s="16"/>
      <c r="MWD239" s="16"/>
      <c r="MWE239" s="16"/>
      <c r="MWF239" s="16"/>
      <c r="MWG239" s="15"/>
      <c r="MWH239" s="15"/>
      <c r="MWI239" s="10"/>
      <c r="MWJ239" s="10"/>
      <c r="MWK239" s="19"/>
      <c r="MWL239" s="19"/>
      <c r="MWO239" s="16"/>
      <c r="MWP239" s="15"/>
      <c r="MWQ239" s="15"/>
      <c r="MWR239" s="15"/>
      <c r="MWS239" s="16"/>
      <c r="MWT239" s="16"/>
      <c r="MWU239" s="16"/>
      <c r="MWV239" s="16"/>
      <c r="MWW239" s="16"/>
      <c r="MWX239" s="15"/>
      <c r="MWY239" s="15"/>
      <c r="MWZ239" s="10"/>
      <c r="MXA239" s="10"/>
      <c r="MXB239" s="19"/>
      <c r="MXC239" s="19"/>
      <c r="MXF239" s="16"/>
      <c r="MXG239" s="15"/>
      <c r="MXH239" s="15"/>
      <c r="MXI239" s="15"/>
      <c r="MXJ239" s="16"/>
      <c r="MXK239" s="16"/>
      <c r="MXL239" s="16"/>
      <c r="MXM239" s="16"/>
      <c r="MXN239" s="16"/>
      <c r="MXO239" s="15"/>
      <c r="MXP239" s="15"/>
      <c r="MXQ239" s="10"/>
      <c r="MXR239" s="10"/>
      <c r="MXS239" s="19"/>
      <c r="MXT239" s="19"/>
      <c r="MXW239" s="16"/>
      <c r="MXX239" s="15"/>
      <c r="MXY239" s="15"/>
      <c r="MXZ239" s="15"/>
      <c r="MYA239" s="16"/>
      <c r="MYB239" s="16"/>
      <c r="MYC239" s="16"/>
      <c r="MYD239" s="16"/>
      <c r="MYE239" s="16"/>
      <c r="MYF239" s="15"/>
      <c r="MYG239" s="15"/>
      <c r="MYH239" s="10"/>
      <c r="MYI239" s="10"/>
      <c r="MYJ239" s="19"/>
      <c r="MYK239" s="19"/>
      <c r="MYN239" s="16"/>
      <c r="MYO239" s="15"/>
      <c r="MYP239" s="15"/>
      <c r="MYQ239" s="15"/>
      <c r="MYR239" s="16"/>
      <c r="MYS239" s="16"/>
      <c r="MYT239" s="16"/>
      <c r="MYU239" s="16"/>
      <c r="MYV239" s="16"/>
      <c r="MYW239" s="15"/>
      <c r="MYX239" s="15"/>
      <c r="MYY239" s="10"/>
      <c r="MYZ239" s="10"/>
      <c r="MZA239" s="19"/>
      <c r="MZB239" s="19"/>
      <c r="MZE239" s="16"/>
      <c r="MZF239" s="15"/>
      <c r="MZG239" s="15"/>
      <c r="MZH239" s="15"/>
      <c r="MZI239" s="16"/>
      <c r="MZJ239" s="16"/>
      <c r="MZK239" s="16"/>
      <c r="MZL239" s="16"/>
      <c r="MZM239" s="16"/>
      <c r="MZN239" s="15"/>
      <c r="MZO239" s="15"/>
      <c r="MZP239" s="10"/>
      <c r="MZQ239" s="10"/>
      <c r="MZR239" s="19"/>
      <c r="MZS239" s="19"/>
      <c r="MZV239" s="16"/>
      <c r="MZW239" s="15"/>
      <c r="MZX239" s="15"/>
      <c r="MZY239" s="15"/>
      <c r="MZZ239" s="16"/>
      <c r="NAA239" s="16"/>
      <c r="NAB239" s="16"/>
      <c r="NAC239" s="16"/>
      <c r="NAD239" s="16"/>
      <c r="NAE239" s="15"/>
      <c r="NAF239" s="15"/>
      <c r="NAG239" s="10"/>
      <c r="NAH239" s="10"/>
      <c r="NAI239" s="19"/>
      <c r="NAJ239" s="19"/>
      <c r="NAM239" s="16"/>
      <c r="NAN239" s="15"/>
      <c r="NAO239" s="15"/>
      <c r="NAP239" s="15"/>
      <c r="NAQ239" s="16"/>
      <c r="NAR239" s="16"/>
      <c r="NAS239" s="16"/>
      <c r="NAT239" s="16"/>
      <c r="NAU239" s="16"/>
      <c r="NAV239" s="15"/>
      <c r="NAW239" s="15"/>
      <c r="NAX239" s="10"/>
      <c r="NAY239" s="10"/>
      <c r="NAZ239" s="19"/>
      <c r="NBA239" s="19"/>
      <c r="NBD239" s="16"/>
      <c r="NBE239" s="15"/>
      <c r="NBF239" s="15"/>
      <c r="NBG239" s="15"/>
      <c r="NBH239" s="16"/>
      <c r="NBI239" s="16"/>
      <c r="NBJ239" s="16"/>
      <c r="NBK239" s="16"/>
      <c r="NBL239" s="16"/>
      <c r="NBM239" s="15"/>
      <c r="NBN239" s="15"/>
      <c r="NBO239" s="10"/>
      <c r="NBP239" s="10"/>
      <c r="NBQ239" s="19"/>
      <c r="NBR239" s="19"/>
      <c r="NBU239" s="16"/>
      <c r="NBV239" s="15"/>
      <c r="NBW239" s="15"/>
      <c r="NBX239" s="15"/>
      <c r="NBY239" s="16"/>
      <c r="NBZ239" s="16"/>
      <c r="NCA239" s="16"/>
      <c r="NCB239" s="16"/>
      <c r="NCC239" s="16"/>
      <c r="NCD239" s="15"/>
      <c r="NCE239" s="15"/>
      <c r="NCF239" s="10"/>
      <c r="NCG239" s="10"/>
      <c r="NCH239" s="19"/>
      <c r="NCI239" s="19"/>
      <c r="NCL239" s="16"/>
      <c r="NCM239" s="15"/>
      <c r="NCN239" s="15"/>
      <c r="NCO239" s="15"/>
      <c r="NCP239" s="16"/>
      <c r="NCQ239" s="16"/>
      <c r="NCR239" s="16"/>
      <c r="NCS239" s="16"/>
      <c r="NCT239" s="16"/>
      <c r="NCU239" s="15"/>
      <c r="NCV239" s="15"/>
      <c r="NCW239" s="10"/>
      <c r="NCX239" s="10"/>
      <c r="NCY239" s="19"/>
      <c r="NCZ239" s="19"/>
      <c r="NDC239" s="16"/>
      <c r="NDD239" s="15"/>
      <c r="NDE239" s="15"/>
      <c r="NDF239" s="15"/>
      <c r="NDG239" s="16"/>
      <c r="NDH239" s="16"/>
      <c r="NDI239" s="16"/>
      <c r="NDJ239" s="16"/>
      <c r="NDK239" s="16"/>
      <c r="NDL239" s="15"/>
      <c r="NDM239" s="15"/>
      <c r="NDN239" s="10"/>
      <c r="NDO239" s="10"/>
      <c r="NDP239" s="19"/>
      <c r="NDQ239" s="19"/>
      <c r="NDT239" s="16"/>
      <c r="NDU239" s="15"/>
      <c r="NDV239" s="15"/>
      <c r="NDW239" s="15"/>
      <c r="NDX239" s="16"/>
      <c r="NDY239" s="16"/>
      <c r="NDZ239" s="16"/>
      <c r="NEA239" s="16"/>
      <c r="NEB239" s="16"/>
      <c r="NEC239" s="15"/>
      <c r="NED239" s="15"/>
      <c r="NEE239" s="10"/>
      <c r="NEF239" s="10"/>
      <c r="NEG239" s="19"/>
      <c r="NEH239" s="19"/>
      <c r="NEK239" s="16"/>
      <c r="NEL239" s="15"/>
      <c r="NEM239" s="15"/>
      <c r="NEN239" s="15"/>
      <c r="NEO239" s="16"/>
      <c r="NEP239" s="16"/>
      <c r="NEQ239" s="16"/>
      <c r="NER239" s="16"/>
      <c r="NES239" s="16"/>
      <c r="NET239" s="15"/>
      <c r="NEU239" s="15"/>
      <c r="NEV239" s="10"/>
      <c r="NEW239" s="10"/>
      <c r="NEX239" s="19"/>
      <c r="NEY239" s="19"/>
      <c r="NFB239" s="16"/>
      <c r="NFC239" s="15"/>
      <c r="NFD239" s="15"/>
      <c r="NFE239" s="15"/>
      <c r="NFF239" s="16"/>
      <c r="NFG239" s="16"/>
      <c r="NFH239" s="16"/>
      <c r="NFI239" s="16"/>
      <c r="NFJ239" s="16"/>
      <c r="NFK239" s="15"/>
      <c r="NFL239" s="15"/>
      <c r="NFM239" s="10"/>
      <c r="NFN239" s="10"/>
      <c r="NFO239" s="19"/>
      <c r="NFP239" s="19"/>
      <c r="NFS239" s="16"/>
      <c r="NFT239" s="15"/>
      <c r="NFU239" s="15"/>
      <c r="NFV239" s="15"/>
      <c r="NFW239" s="16"/>
      <c r="NFX239" s="16"/>
      <c r="NFY239" s="16"/>
      <c r="NFZ239" s="16"/>
      <c r="NGA239" s="16"/>
      <c r="NGB239" s="15"/>
      <c r="NGC239" s="15"/>
      <c r="NGD239" s="10"/>
      <c r="NGE239" s="10"/>
      <c r="NGF239" s="19"/>
      <c r="NGG239" s="19"/>
      <c r="NGJ239" s="16"/>
      <c r="NGK239" s="15"/>
      <c r="NGL239" s="15"/>
      <c r="NGM239" s="15"/>
      <c r="NGN239" s="16"/>
      <c r="NGO239" s="16"/>
      <c r="NGP239" s="16"/>
      <c r="NGQ239" s="16"/>
      <c r="NGR239" s="16"/>
      <c r="NGS239" s="15"/>
      <c r="NGT239" s="15"/>
      <c r="NGU239" s="10"/>
      <c r="NGV239" s="10"/>
      <c r="NGW239" s="19"/>
      <c r="NGX239" s="19"/>
      <c r="NHA239" s="16"/>
      <c r="NHB239" s="15"/>
      <c r="NHC239" s="15"/>
      <c r="NHD239" s="15"/>
      <c r="NHE239" s="16"/>
      <c r="NHF239" s="16"/>
      <c r="NHG239" s="16"/>
      <c r="NHH239" s="16"/>
      <c r="NHI239" s="16"/>
      <c r="NHJ239" s="15"/>
      <c r="NHK239" s="15"/>
      <c r="NHL239" s="10"/>
      <c r="NHM239" s="10"/>
      <c r="NHN239" s="19"/>
      <c r="NHO239" s="19"/>
      <c r="NHR239" s="16"/>
      <c r="NHS239" s="15"/>
      <c r="NHT239" s="15"/>
      <c r="NHU239" s="15"/>
      <c r="NHV239" s="16"/>
      <c r="NHW239" s="16"/>
      <c r="NHX239" s="16"/>
      <c r="NHY239" s="16"/>
      <c r="NHZ239" s="16"/>
      <c r="NIA239" s="15"/>
      <c r="NIB239" s="15"/>
      <c r="NIC239" s="10"/>
      <c r="NID239" s="10"/>
      <c r="NIE239" s="19"/>
      <c r="NIF239" s="19"/>
      <c r="NII239" s="16"/>
      <c r="NIJ239" s="15"/>
      <c r="NIK239" s="15"/>
      <c r="NIL239" s="15"/>
      <c r="NIM239" s="16"/>
      <c r="NIN239" s="16"/>
      <c r="NIO239" s="16"/>
      <c r="NIP239" s="16"/>
      <c r="NIQ239" s="16"/>
      <c r="NIR239" s="15"/>
      <c r="NIS239" s="15"/>
      <c r="NIT239" s="10"/>
      <c r="NIU239" s="10"/>
      <c r="NIV239" s="19"/>
      <c r="NIW239" s="19"/>
      <c r="NIZ239" s="16"/>
      <c r="NJA239" s="15"/>
      <c r="NJB239" s="15"/>
      <c r="NJC239" s="15"/>
      <c r="NJD239" s="16"/>
      <c r="NJE239" s="16"/>
      <c r="NJF239" s="16"/>
      <c r="NJG239" s="16"/>
      <c r="NJH239" s="16"/>
      <c r="NJI239" s="15"/>
      <c r="NJJ239" s="15"/>
      <c r="NJK239" s="10"/>
      <c r="NJL239" s="10"/>
      <c r="NJM239" s="19"/>
      <c r="NJN239" s="19"/>
      <c r="NJQ239" s="16"/>
      <c r="NJR239" s="15"/>
      <c r="NJS239" s="15"/>
      <c r="NJT239" s="15"/>
      <c r="NJU239" s="16"/>
      <c r="NJV239" s="16"/>
      <c r="NJW239" s="16"/>
      <c r="NJX239" s="16"/>
      <c r="NJY239" s="16"/>
      <c r="NJZ239" s="15"/>
      <c r="NKA239" s="15"/>
      <c r="NKB239" s="10"/>
      <c r="NKC239" s="10"/>
      <c r="NKD239" s="19"/>
      <c r="NKE239" s="19"/>
      <c r="NKH239" s="16"/>
      <c r="NKI239" s="15"/>
      <c r="NKJ239" s="15"/>
      <c r="NKK239" s="15"/>
      <c r="NKL239" s="16"/>
      <c r="NKM239" s="16"/>
      <c r="NKN239" s="16"/>
      <c r="NKO239" s="16"/>
      <c r="NKP239" s="16"/>
      <c r="NKQ239" s="15"/>
      <c r="NKR239" s="15"/>
      <c r="NKS239" s="10"/>
      <c r="NKT239" s="10"/>
      <c r="NKU239" s="19"/>
      <c r="NKV239" s="19"/>
      <c r="NKY239" s="16"/>
      <c r="NKZ239" s="15"/>
      <c r="NLA239" s="15"/>
      <c r="NLB239" s="15"/>
      <c r="NLC239" s="16"/>
      <c r="NLD239" s="16"/>
      <c r="NLE239" s="16"/>
      <c r="NLF239" s="16"/>
      <c r="NLG239" s="16"/>
      <c r="NLH239" s="15"/>
      <c r="NLI239" s="15"/>
      <c r="NLJ239" s="10"/>
      <c r="NLK239" s="10"/>
      <c r="NLL239" s="19"/>
      <c r="NLM239" s="19"/>
      <c r="NLP239" s="16"/>
      <c r="NLQ239" s="15"/>
      <c r="NLR239" s="15"/>
      <c r="NLS239" s="15"/>
      <c r="NLT239" s="16"/>
      <c r="NLU239" s="16"/>
      <c r="NLV239" s="16"/>
      <c r="NLW239" s="16"/>
      <c r="NLX239" s="16"/>
      <c r="NLY239" s="15"/>
      <c r="NLZ239" s="15"/>
      <c r="NMA239" s="10"/>
      <c r="NMB239" s="10"/>
      <c r="NMC239" s="19"/>
      <c r="NMD239" s="19"/>
      <c r="NMG239" s="16"/>
      <c r="NMH239" s="15"/>
      <c r="NMI239" s="15"/>
      <c r="NMJ239" s="15"/>
      <c r="NMK239" s="16"/>
      <c r="NML239" s="16"/>
      <c r="NMM239" s="16"/>
      <c r="NMN239" s="16"/>
      <c r="NMO239" s="16"/>
      <c r="NMP239" s="15"/>
      <c r="NMQ239" s="15"/>
      <c r="NMR239" s="10"/>
      <c r="NMS239" s="10"/>
      <c r="NMT239" s="19"/>
      <c r="NMU239" s="19"/>
      <c r="NMX239" s="16"/>
      <c r="NMY239" s="15"/>
      <c r="NMZ239" s="15"/>
      <c r="NNA239" s="15"/>
      <c r="NNB239" s="16"/>
      <c r="NNC239" s="16"/>
      <c r="NND239" s="16"/>
      <c r="NNE239" s="16"/>
      <c r="NNF239" s="16"/>
      <c r="NNG239" s="15"/>
      <c r="NNH239" s="15"/>
      <c r="NNI239" s="10"/>
      <c r="NNJ239" s="10"/>
      <c r="NNK239" s="19"/>
      <c r="NNL239" s="19"/>
      <c r="NNO239" s="16"/>
      <c r="NNP239" s="15"/>
      <c r="NNQ239" s="15"/>
      <c r="NNR239" s="15"/>
      <c r="NNS239" s="16"/>
      <c r="NNT239" s="16"/>
      <c r="NNU239" s="16"/>
      <c r="NNV239" s="16"/>
      <c r="NNW239" s="16"/>
      <c r="NNX239" s="15"/>
      <c r="NNY239" s="15"/>
      <c r="NNZ239" s="10"/>
      <c r="NOA239" s="10"/>
      <c r="NOB239" s="19"/>
      <c r="NOC239" s="19"/>
      <c r="NOF239" s="16"/>
      <c r="NOG239" s="15"/>
      <c r="NOH239" s="15"/>
      <c r="NOI239" s="15"/>
      <c r="NOJ239" s="16"/>
      <c r="NOK239" s="16"/>
      <c r="NOL239" s="16"/>
      <c r="NOM239" s="16"/>
      <c r="NON239" s="16"/>
      <c r="NOO239" s="15"/>
      <c r="NOP239" s="15"/>
      <c r="NOQ239" s="10"/>
      <c r="NOR239" s="10"/>
      <c r="NOS239" s="19"/>
      <c r="NOT239" s="19"/>
      <c r="NOW239" s="16"/>
      <c r="NOX239" s="15"/>
      <c r="NOY239" s="15"/>
      <c r="NOZ239" s="15"/>
      <c r="NPA239" s="16"/>
      <c r="NPB239" s="16"/>
      <c r="NPC239" s="16"/>
      <c r="NPD239" s="16"/>
      <c r="NPE239" s="16"/>
      <c r="NPF239" s="15"/>
      <c r="NPG239" s="15"/>
      <c r="NPH239" s="10"/>
      <c r="NPI239" s="10"/>
      <c r="NPJ239" s="19"/>
      <c r="NPK239" s="19"/>
      <c r="NPN239" s="16"/>
      <c r="NPO239" s="15"/>
      <c r="NPP239" s="15"/>
      <c r="NPQ239" s="15"/>
      <c r="NPR239" s="16"/>
      <c r="NPS239" s="16"/>
      <c r="NPT239" s="16"/>
      <c r="NPU239" s="16"/>
      <c r="NPV239" s="16"/>
      <c r="NPW239" s="15"/>
      <c r="NPX239" s="15"/>
      <c r="NPY239" s="10"/>
      <c r="NPZ239" s="10"/>
      <c r="NQA239" s="19"/>
      <c r="NQB239" s="19"/>
      <c r="NQE239" s="16"/>
      <c r="NQF239" s="15"/>
      <c r="NQG239" s="15"/>
      <c r="NQH239" s="15"/>
      <c r="NQI239" s="16"/>
      <c r="NQJ239" s="16"/>
      <c r="NQK239" s="16"/>
      <c r="NQL239" s="16"/>
      <c r="NQM239" s="16"/>
      <c r="NQN239" s="15"/>
      <c r="NQO239" s="15"/>
      <c r="NQP239" s="10"/>
      <c r="NQQ239" s="10"/>
      <c r="NQR239" s="19"/>
      <c r="NQS239" s="19"/>
      <c r="NQV239" s="16"/>
      <c r="NQW239" s="15"/>
      <c r="NQX239" s="15"/>
      <c r="NQY239" s="15"/>
      <c r="NQZ239" s="16"/>
      <c r="NRA239" s="16"/>
      <c r="NRB239" s="16"/>
      <c r="NRC239" s="16"/>
      <c r="NRD239" s="16"/>
      <c r="NRE239" s="15"/>
      <c r="NRF239" s="15"/>
      <c r="NRG239" s="10"/>
      <c r="NRH239" s="10"/>
      <c r="NRI239" s="19"/>
      <c r="NRJ239" s="19"/>
      <c r="NRM239" s="16"/>
      <c r="NRN239" s="15"/>
      <c r="NRO239" s="15"/>
      <c r="NRP239" s="15"/>
      <c r="NRQ239" s="16"/>
      <c r="NRR239" s="16"/>
      <c r="NRS239" s="16"/>
      <c r="NRT239" s="16"/>
      <c r="NRU239" s="16"/>
      <c r="NRV239" s="15"/>
      <c r="NRW239" s="15"/>
      <c r="NRX239" s="10"/>
      <c r="NRY239" s="10"/>
      <c r="NRZ239" s="19"/>
      <c r="NSA239" s="19"/>
      <c r="NSD239" s="16"/>
      <c r="NSE239" s="15"/>
      <c r="NSF239" s="15"/>
      <c r="NSG239" s="15"/>
      <c r="NSH239" s="16"/>
      <c r="NSI239" s="16"/>
      <c r="NSJ239" s="16"/>
      <c r="NSK239" s="16"/>
      <c r="NSL239" s="16"/>
      <c r="NSM239" s="15"/>
      <c r="NSN239" s="15"/>
      <c r="NSO239" s="10"/>
      <c r="NSP239" s="10"/>
      <c r="NSQ239" s="19"/>
      <c r="NSR239" s="19"/>
      <c r="NSU239" s="16"/>
      <c r="NSV239" s="15"/>
      <c r="NSW239" s="15"/>
      <c r="NSX239" s="15"/>
      <c r="NSY239" s="16"/>
      <c r="NSZ239" s="16"/>
      <c r="NTA239" s="16"/>
      <c r="NTB239" s="16"/>
      <c r="NTC239" s="16"/>
      <c r="NTD239" s="15"/>
      <c r="NTE239" s="15"/>
      <c r="NTF239" s="10"/>
      <c r="NTG239" s="10"/>
      <c r="NTH239" s="19"/>
      <c r="NTI239" s="19"/>
      <c r="NTL239" s="16"/>
      <c r="NTM239" s="15"/>
      <c r="NTN239" s="15"/>
      <c r="NTO239" s="15"/>
      <c r="NTP239" s="16"/>
      <c r="NTQ239" s="16"/>
      <c r="NTR239" s="16"/>
      <c r="NTS239" s="16"/>
      <c r="NTT239" s="16"/>
      <c r="NTU239" s="15"/>
      <c r="NTV239" s="15"/>
      <c r="NTW239" s="10"/>
      <c r="NTX239" s="10"/>
      <c r="NTY239" s="19"/>
      <c r="NTZ239" s="19"/>
      <c r="NUC239" s="16"/>
      <c r="NUD239" s="15"/>
      <c r="NUE239" s="15"/>
      <c r="NUF239" s="15"/>
      <c r="NUG239" s="16"/>
      <c r="NUH239" s="16"/>
      <c r="NUI239" s="16"/>
      <c r="NUJ239" s="16"/>
      <c r="NUK239" s="16"/>
      <c r="NUL239" s="15"/>
      <c r="NUM239" s="15"/>
      <c r="NUN239" s="10"/>
      <c r="NUO239" s="10"/>
      <c r="NUP239" s="19"/>
      <c r="NUQ239" s="19"/>
      <c r="NUT239" s="16"/>
      <c r="NUU239" s="15"/>
      <c r="NUV239" s="15"/>
      <c r="NUW239" s="15"/>
      <c r="NUX239" s="16"/>
      <c r="NUY239" s="16"/>
      <c r="NUZ239" s="16"/>
      <c r="NVA239" s="16"/>
      <c r="NVB239" s="16"/>
      <c r="NVC239" s="15"/>
      <c r="NVD239" s="15"/>
      <c r="NVE239" s="10"/>
      <c r="NVF239" s="10"/>
      <c r="NVG239" s="19"/>
      <c r="NVH239" s="19"/>
      <c r="NVK239" s="16"/>
      <c r="NVL239" s="15"/>
      <c r="NVM239" s="15"/>
      <c r="NVN239" s="15"/>
      <c r="NVO239" s="16"/>
      <c r="NVP239" s="16"/>
      <c r="NVQ239" s="16"/>
      <c r="NVR239" s="16"/>
      <c r="NVS239" s="16"/>
      <c r="NVT239" s="15"/>
      <c r="NVU239" s="15"/>
      <c r="NVV239" s="10"/>
      <c r="NVW239" s="10"/>
      <c r="NVX239" s="19"/>
      <c r="NVY239" s="19"/>
      <c r="NWB239" s="16"/>
      <c r="NWC239" s="15"/>
      <c r="NWD239" s="15"/>
      <c r="NWE239" s="15"/>
      <c r="NWF239" s="16"/>
      <c r="NWG239" s="16"/>
      <c r="NWH239" s="16"/>
      <c r="NWI239" s="16"/>
      <c r="NWJ239" s="16"/>
      <c r="NWK239" s="15"/>
      <c r="NWL239" s="15"/>
      <c r="NWM239" s="10"/>
      <c r="NWN239" s="10"/>
      <c r="NWO239" s="19"/>
      <c r="NWP239" s="19"/>
      <c r="NWS239" s="16"/>
      <c r="NWT239" s="15"/>
      <c r="NWU239" s="15"/>
      <c r="NWV239" s="15"/>
      <c r="NWW239" s="16"/>
      <c r="NWX239" s="16"/>
      <c r="NWY239" s="16"/>
      <c r="NWZ239" s="16"/>
      <c r="NXA239" s="16"/>
      <c r="NXB239" s="15"/>
      <c r="NXC239" s="15"/>
      <c r="NXD239" s="10"/>
      <c r="NXE239" s="10"/>
      <c r="NXF239" s="19"/>
      <c r="NXG239" s="19"/>
      <c r="NXJ239" s="16"/>
      <c r="NXK239" s="15"/>
      <c r="NXL239" s="15"/>
      <c r="NXM239" s="15"/>
      <c r="NXN239" s="16"/>
      <c r="NXO239" s="16"/>
      <c r="NXP239" s="16"/>
      <c r="NXQ239" s="16"/>
      <c r="NXR239" s="16"/>
      <c r="NXS239" s="15"/>
      <c r="NXT239" s="15"/>
      <c r="NXU239" s="10"/>
      <c r="NXV239" s="10"/>
      <c r="NXW239" s="19"/>
      <c r="NXX239" s="19"/>
      <c r="NYA239" s="16"/>
      <c r="NYB239" s="15"/>
      <c r="NYC239" s="15"/>
      <c r="NYD239" s="15"/>
      <c r="NYE239" s="16"/>
      <c r="NYF239" s="16"/>
      <c r="NYG239" s="16"/>
      <c r="NYH239" s="16"/>
      <c r="NYI239" s="16"/>
      <c r="NYJ239" s="15"/>
      <c r="NYK239" s="15"/>
      <c r="NYL239" s="10"/>
      <c r="NYM239" s="10"/>
      <c r="NYN239" s="19"/>
      <c r="NYO239" s="19"/>
      <c r="NYR239" s="16"/>
      <c r="NYS239" s="15"/>
      <c r="NYT239" s="15"/>
      <c r="NYU239" s="15"/>
      <c r="NYV239" s="16"/>
      <c r="NYW239" s="16"/>
      <c r="NYX239" s="16"/>
      <c r="NYY239" s="16"/>
      <c r="NYZ239" s="16"/>
      <c r="NZA239" s="15"/>
      <c r="NZB239" s="15"/>
      <c r="NZC239" s="10"/>
      <c r="NZD239" s="10"/>
      <c r="NZE239" s="19"/>
      <c r="NZF239" s="19"/>
      <c r="NZI239" s="16"/>
      <c r="NZJ239" s="15"/>
      <c r="NZK239" s="15"/>
      <c r="NZL239" s="15"/>
      <c r="NZM239" s="16"/>
      <c r="NZN239" s="16"/>
      <c r="NZO239" s="16"/>
      <c r="NZP239" s="16"/>
      <c r="NZQ239" s="16"/>
      <c r="NZR239" s="15"/>
      <c r="NZS239" s="15"/>
      <c r="NZT239" s="10"/>
      <c r="NZU239" s="10"/>
      <c r="NZV239" s="19"/>
      <c r="NZW239" s="19"/>
      <c r="NZZ239" s="16"/>
      <c r="OAA239" s="15"/>
      <c r="OAB239" s="15"/>
      <c r="OAC239" s="15"/>
      <c r="OAD239" s="16"/>
      <c r="OAE239" s="16"/>
      <c r="OAF239" s="16"/>
      <c r="OAG239" s="16"/>
      <c r="OAH239" s="16"/>
      <c r="OAI239" s="15"/>
      <c r="OAJ239" s="15"/>
      <c r="OAK239" s="10"/>
      <c r="OAL239" s="10"/>
      <c r="OAM239" s="19"/>
      <c r="OAN239" s="19"/>
      <c r="OAQ239" s="16"/>
      <c r="OAR239" s="15"/>
      <c r="OAS239" s="15"/>
      <c r="OAT239" s="15"/>
      <c r="OAU239" s="16"/>
      <c r="OAV239" s="16"/>
      <c r="OAW239" s="16"/>
      <c r="OAX239" s="16"/>
      <c r="OAY239" s="16"/>
      <c r="OAZ239" s="15"/>
      <c r="OBA239" s="15"/>
      <c r="OBB239" s="10"/>
      <c r="OBC239" s="10"/>
      <c r="OBD239" s="19"/>
      <c r="OBE239" s="19"/>
      <c r="OBH239" s="16"/>
      <c r="OBI239" s="15"/>
      <c r="OBJ239" s="15"/>
      <c r="OBK239" s="15"/>
      <c r="OBL239" s="16"/>
      <c r="OBM239" s="16"/>
      <c r="OBN239" s="16"/>
      <c r="OBO239" s="16"/>
      <c r="OBP239" s="16"/>
      <c r="OBQ239" s="15"/>
      <c r="OBR239" s="15"/>
      <c r="OBS239" s="10"/>
      <c r="OBT239" s="10"/>
      <c r="OBU239" s="19"/>
      <c r="OBV239" s="19"/>
      <c r="OBY239" s="16"/>
      <c r="OBZ239" s="15"/>
      <c r="OCA239" s="15"/>
      <c r="OCB239" s="15"/>
      <c r="OCC239" s="16"/>
      <c r="OCD239" s="16"/>
      <c r="OCE239" s="16"/>
      <c r="OCF239" s="16"/>
      <c r="OCG239" s="16"/>
      <c r="OCH239" s="15"/>
      <c r="OCI239" s="15"/>
      <c r="OCJ239" s="10"/>
      <c r="OCK239" s="10"/>
      <c r="OCL239" s="19"/>
      <c r="OCM239" s="19"/>
      <c r="OCP239" s="16"/>
      <c r="OCQ239" s="15"/>
      <c r="OCR239" s="15"/>
      <c r="OCS239" s="15"/>
      <c r="OCT239" s="16"/>
      <c r="OCU239" s="16"/>
      <c r="OCV239" s="16"/>
      <c r="OCW239" s="16"/>
      <c r="OCX239" s="16"/>
      <c r="OCY239" s="15"/>
      <c r="OCZ239" s="15"/>
      <c r="ODA239" s="10"/>
      <c r="ODB239" s="10"/>
      <c r="ODC239" s="19"/>
      <c r="ODD239" s="19"/>
      <c r="ODG239" s="16"/>
      <c r="ODH239" s="15"/>
      <c r="ODI239" s="15"/>
      <c r="ODJ239" s="15"/>
      <c r="ODK239" s="16"/>
      <c r="ODL239" s="16"/>
      <c r="ODM239" s="16"/>
      <c r="ODN239" s="16"/>
      <c r="ODO239" s="16"/>
      <c r="ODP239" s="15"/>
      <c r="ODQ239" s="15"/>
      <c r="ODR239" s="10"/>
      <c r="ODS239" s="10"/>
      <c r="ODT239" s="19"/>
      <c r="ODU239" s="19"/>
      <c r="ODX239" s="16"/>
      <c r="ODY239" s="15"/>
      <c r="ODZ239" s="15"/>
      <c r="OEA239" s="15"/>
      <c r="OEB239" s="16"/>
      <c r="OEC239" s="16"/>
      <c r="OED239" s="16"/>
      <c r="OEE239" s="16"/>
      <c r="OEF239" s="16"/>
      <c r="OEG239" s="15"/>
      <c r="OEH239" s="15"/>
      <c r="OEI239" s="10"/>
      <c r="OEJ239" s="10"/>
      <c r="OEK239" s="19"/>
      <c r="OEL239" s="19"/>
      <c r="OEO239" s="16"/>
      <c r="OEP239" s="15"/>
      <c r="OEQ239" s="15"/>
      <c r="OER239" s="15"/>
      <c r="OES239" s="16"/>
      <c r="OET239" s="16"/>
      <c r="OEU239" s="16"/>
      <c r="OEV239" s="16"/>
      <c r="OEW239" s="16"/>
      <c r="OEX239" s="15"/>
      <c r="OEY239" s="15"/>
      <c r="OEZ239" s="10"/>
      <c r="OFA239" s="10"/>
      <c r="OFB239" s="19"/>
      <c r="OFC239" s="19"/>
      <c r="OFF239" s="16"/>
      <c r="OFG239" s="15"/>
      <c r="OFH239" s="15"/>
      <c r="OFI239" s="15"/>
      <c r="OFJ239" s="16"/>
      <c r="OFK239" s="16"/>
      <c r="OFL239" s="16"/>
      <c r="OFM239" s="16"/>
      <c r="OFN239" s="16"/>
      <c r="OFO239" s="15"/>
      <c r="OFP239" s="15"/>
      <c r="OFQ239" s="10"/>
      <c r="OFR239" s="10"/>
      <c r="OFS239" s="19"/>
      <c r="OFT239" s="19"/>
      <c r="OFW239" s="16"/>
      <c r="OFX239" s="15"/>
      <c r="OFY239" s="15"/>
      <c r="OFZ239" s="15"/>
      <c r="OGA239" s="16"/>
      <c r="OGB239" s="16"/>
      <c r="OGC239" s="16"/>
      <c r="OGD239" s="16"/>
      <c r="OGE239" s="16"/>
      <c r="OGF239" s="15"/>
      <c r="OGG239" s="15"/>
      <c r="OGH239" s="10"/>
      <c r="OGI239" s="10"/>
      <c r="OGJ239" s="19"/>
      <c r="OGK239" s="19"/>
      <c r="OGN239" s="16"/>
      <c r="OGO239" s="15"/>
      <c r="OGP239" s="15"/>
      <c r="OGQ239" s="15"/>
      <c r="OGR239" s="16"/>
      <c r="OGS239" s="16"/>
      <c r="OGT239" s="16"/>
      <c r="OGU239" s="16"/>
      <c r="OGV239" s="16"/>
      <c r="OGW239" s="15"/>
      <c r="OGX239" s="15"/>
      <c r="OGY239" s="10"/>
      <c r="OGZ239" s="10"/>
      <c r="OHA239" s="19"/>
      <c r="OHB239" s="19"/>
      <c r="OHE239" s="16"/>
      <c r="OHF239" s="15"/>
      <c r="OHG239" s="15"/>
      <c r="OHH239" s="15"/>
      <c r="OHI239" s="16"/>
      <c r="OHJ239" s="16"/>
      <c r="OHK239" s="16"/>
      <c r="OHL239" s="16"/>
      <c r="OHM239" s="16"/>
      <c r="OHN239" s="15"/>
      <c r="OHO239" s="15"/>
      <c r="OHP239" s="10"/>
      <c r="OHQ239" s="10"/>
      <c r="OHR239" s="19"/>
      <c r="OHS239" s="19"/>
      <c r="OHV239" s="16"/>
      <c r="OHW239" s="15"/>
      <c r="OHX239" s="15"/>
      <c r="OHY239" s="15"/>
      <c r="OHZ239" s="16"/>
      <c r="OIA239" s="16"/>
      <c r="OIB239" s="16"/>
      <c r="OIC239" s="16"/>
      <c r="OID239" s="16"/>
      <c r="OIE239" s="15"/>
      <c r="OIF239" s="15"/>
      <c r="OIG239" s="10"/>
      <c r="OIH239" s="10"/>
      <c r="OII239" s="19"/>
      <c r="OIJ239" s="19"/>
      <c r="OIM239" s="16"/>
      <c r="OIN239" s="15"/>
      <c r="OIO239" s="15"/>
      <c r="OIP239" s="15"/>
      <c r="OIQ239" s="16"/>
      <c r="OIR239" s="16"/>
      <c r="OIS239" s="16"/>
      <c r="OIT239" s="16"/>
      <c r="OIU239" s="16"/>
      <c r="OIV239" s="15"/>
      <c r="OIW239" s="15"/>
      <c r="OIX239" s="10"/>
      <c r="OIY239" s="10"/>
      <c r="OIZ239" s="19"/>
      <c r="OJA239" s="19"/>
      <c r="OJD239" s="16"/>
      <c r="OJE239" s="15"/>
      <c r="OJF239" s="15"/>
      <c r="OJG239" s="15"/>
      <c r="OJH239" s="16"/>
      <c r="OJI239" s="16"/>
      <c r="OJJ239" s="16"/>
      <c r="OJK239" s="16"/>
      <c r="OJL239" s="16"/>
      <c r="OJM239" s="15"/>
      <c r="OJN239" s="15"/>
      <c r="OJO239" s="10"/>
      <c r="OJP239" s="10"/>
      <c r="OJQ239" s="19"/>
      <c r="OJR239" s="19"/>
      <c r="OJU239" s="16"/>
      <c r="OJV239" s="15"/>
      <c r="OJW239" s="15"/>
      <c r="OJX239" s="15"/>
      <c r="OJY239" s="16"/>
      <c r="OJZ239" s="16"/>
      <c r="OKA239" s="16"/>
      <c r="OKB239" s="16"/>
      <c r="OKC239" s="16"/>
      <c r="OKD239" s="15"/>
      <c r="OKE239" s="15"/>
      <c r="OKF239" s="10"/>
      <c r="OKG239" s="10"/>
      <c r="OKH239" s="19"/>
      <c r="OKI239" s="19"/>
      <c r="OKL239" s="16"/>
      <c r="OKM239" s="15"/>
      <c r="OKN239" s="15"/>
      <c r="OKO239" s="15"/>
      <c r="OKP239" s="16"/>
      <c r="OKQ239" s="16"/>
      <c r="OKR239" s="16"/>
      <c r="OKS239" s="16"/>
      <c r="OKT239" s="16"/>
      <c r="OKU239" s="15"/>
      <c r="OKV239" s="15"/>
      <c r="OKW239" s="10"/>
      <c r="OKX239" s="10"/>
      <c r="OKY239" s="19"/>
      <c r="OKZ239" s="19"/>
      <c r="OLC239" s="16"/>
      <c r="OLD239" s="15"/>
      <c r="OLE239" s="15"/>
      <c r="OLF239" s="15"/>
      <c r="OLG239" s="16"/>
      <c r="OLH239" s="16"/>
      <c r="OLI239" s="16"/>
      <c r="OLJ239" s="16"/>
      <c r="OLK239" s="16"/>
      <c r="OLL239" s="15"/>
      <c r="OLM239" s="15"/>
      <c r="OLN239" s="10"/>
      <c r="OLO239" s="10"/>
      <c r="OLP239" s="19"/>
      <c r="OLQ239" s="19"/>
      <c r="OLT239" s="16"/>
      <c r="OLU239" s="15"/>
      <c r="OLV239" s="15"/>
      <c r="OLW239" s="15"/>
      <c r="OLX239" s="16"/>
      <c r="OLY239" s="16"/>
      <c r="OLZ239" s="16"/>
      <c r="OMA239" s="16"/>
      <c r="OMB239" s="16"/>
      <c r="OMC239" s="15"/>
      <c r="OMD239" s="15"/>
      <c r="OME239" s="10"/>
      <c r="OMF239" s="10"/>
      <c r="OMG239" s="19"/>
      <c r="OMH239" s="19"/>
      <c r="OMK239" s="16"/>
      <c r="OML239" s="15"/>
      <c r="OMM239" s="15"/>
      <c r="OMN239" s="15"/>
      <c r="OMO239" s="16"/>
      <c r="OMP239" s="16"/>
      <c r="OMQ239" s="16"/>
      <c r="OMR239" s="16"/>
      <c r="OMS239" s="16"/>
      <c r="OMT239" s="15"/>
      <c r="OMU239" s="15"/>
      <c r="OMV239" s="10"/>
      <c r="OMW239" s="10"/>
      <c r="OMX239" s="19"/>
      <c r="OMY239" s="19"/>
      <c r="ONB239" s="16"/>
      <c r="ONC239" s="15"/>
      <c r="OND239" s="15"/>
      <c r="ONE239" s="15"/>
      <c r="ONF239" s="16"/>
      <c r="ONG239" s="16"/>
      <c r="ONH239" s="16"/>
      <c r="ONI239" s="16"/>
      <c r="ONJ239" s="16"/>
      <c r="ONK239" s="15"/>
      <c r="ONL239" s="15"/>
      <c r="ONM239" s="10"/>
      <c r="ONN239" s="10"/>
      <c r="ONO239" s="19"/>
      <c r="ONP239" s="19"/>
      <c r="ONS239" s="16"/>
      <c r="ONT239" s="15"/>
      <c r="ONU239" s="15"/>
      <c r="ONV239" s="15"/>
      <c r="ONW239" s="16"/>
      <c r="ONX239" s="16"/>
      <c r="ONY239" s="16"/>
      <c r="ONZ239" s="16"/>
      <c r="OOA239" s="16"/>
      <c r="OOB239" s="15"/>
      <c r="OOC239" s="15"/>
      <c r="OOD239" s="10"/>
      <c r="OOE239" s="10"/>
      <c r="OOF239" s="19"/>
      <c r="OOG239" s="19"/>
      <c r="OOJ239" s="16"/>
      <c r="OOK239" s="15"/>
      <c r="OOL239" s="15"/>
      <c r="OOM239" s="15"/>
      <c r="OON239" s="16"/>
      <c r="OOO239" s="16"/>
      <c r="OOP239" s="16"/>
      <c r="OOQ239" s="16"/>
      <c r="OOR239" s="16"/>
      <c r="OOS239" s="15"/>
      <c r="OOT239" s="15"/>
      <c r="OOU239" s="10"/>
      <c r="OOV239" s="10"/>
      <c r="OOW239" s="19"/>
      <c r="OOX239" s="19"/>
      <c r="OPA239" s="16"/>
      <c r="OPB239" s="15"/>
      <c r="OPC239" s="15"/>
      <c r="OPD239" s="15"/>
      <c r="OPE239" s="16"/>
      <c r="OPF239" s="16"/>
      <c r="OPG239" s="16"/>
      <c r="OPH239" s="16"/>
      <c r="OPI239" s="16"/>
      <c r="OPJ239" s="15"/>
      <c r="OPK239" s="15"/>
      <c r="OPL239" s="10"/>
      <c r="OPM239" s="10"/>
      <c r="OPN239" s="19"/>
      <c r="OPO239" s="19"/>
      <c r="OPR239" s="16"/>
      <c r="OPS239" s="15"/>
      <c r="OPT239" s="15"/>
      <c r="OPU239" s="15"/>
      <c r="OPV239" s="16"/>
      <c r="OPW239" s="16"/>
      <c r="OPX239" s="16"/>
      <c r="OPY239" s="16"/>
      <c r="OPZ239" s="16"/>
      <c r="OQA239" s="15"/>
      <c r="OQB239" s="15"/>
      <c r="OQC239" s="10"/>
      <c r="OQD239" s="10"/>
      <c r="OQE239" s="19"/>
      <c r="OQF239" s="19"/>
      <c r="OQI239" s="16"/>
      <c r="OQJ239" s="15"/>
      <c r="OQK239" s="15"/>
      <c r="OQL239" s="15"/>
      <c r="OQM239" s="16"/>
      <c r="OQN239" s="16"/>
      <c r="OQO239" s="16"/>
      <c r="OQP239" s="16"/>
      <c r="OQQ239" s="16"/>
      <c r="OQR239" s="15"/>
      <c r="OQS239" s="15"/>
      <c r="OQT239" s="10"/>
      <c r="OQU239" s="10"/>
      <c r="OQV239" s="19"/>
      <c r="OQW239" s="19"/>
      <c r="OQZ239" s="16"/>
      <c r="ORA239" s="15"/>
      <c r="ORB239" s="15"/>
      <c r="ORC239" s="15"/>
      <c r="ORD239" s="16"/>
      <c r="ORE239" s="16"/>
      <c r="ORF239" s="16"/>
      <c r="ORG239" s="16"/>
      <c r="ORH239" s="16"/>
      <c r="ORI239" s="15"/>
      <c r="ORJ239" s="15"/>
      <c r="ORK239" s="10"/>
      <c r="ORL239" s="10"/>
      <c r="ORM239" s="19"/>
      <c r="ORN239" s="19"/>
      <c r="ORQ239" s="16"/>
      <c r="ORR239" s="15"/>
      <c r="ORS239" s="15"/>
      <c r="ORT239" s="15"/>
      <c r="ORU239" s="16"/>
      <c r="ORV239" s="16"/>
      <c r="ORW239" s="16"/>
      <c r="ORX239" s="16"/>
      <c r="ORY239" s="16"/>
      <c r="ORZ239" s="15"/>
      <c r="OSA239" s="15"/>
      <c r="OSB239" s="10"/>
      <c r="OSC239" s="10"/>
      <c r="OSD239" s="19"/>
      <c r="OSE239" s="19"/>
      <c r="OSH239" s="16"/>
      <c r="OSI239" s="15"/>
      <c r="OSJ239" s="15"/>
      <c r="OSK239" s="15"/>
      <c r="OSL239" s="16"/>
      <c r="OSM239" s="16"/>
      <c r="OSN239" s="16"/>
      <c r="OSO239" s="16"/>
      <c r="OSP239" s="16"/>
      <c r="OSQ239" s="15"/>
      <c r="OSR239" s="15"/>
      <c r="OSS239" s="10"/>
      <c r="OST239" s="10"/>
      <c r="OSU239" s="19"/>
      <c r="OSV239" s="19"/>
      <c r="OSY239" s="16"/>
      <c r="OSZ239" s="15"/>
      <c r="OTA239" s="15"/>
      <c r="OTB239" s="15"/>
      <c r="OTC239" s="16"/>
      <c r="OTD239" s="16"/>
      <c r="OTE239" s="16"/>
      <c r="OTF239" s="16"/>
      <c r="OTG239" s="16"/>
      <c r="OTH239" s="15"/>
      <c r="OTI239" s="15"/>
      <c r="OTJ239" s="10"/>
      <c r="OTK239" s="10"/>
      <c r="OTL239" s="19"/>
      <c r="OTM239" s="19"/>
      <c r="OTP239" s="16"/>
      <c r="OTQ239" s="15"/>
      <c r="OTR239" s="15"/>
      <c r="OTS239" s="15"/>
      <c r="OTT239" s="16"/>
      <c r="OTU239" s="16"/>
      <c r="OTV239" s="16"/>
      <c r="OTW239" s="16"/>
      <c r="OTX239" s="16"/>
      <c r="OTY239" s="15"/>
      <c r="OTZ239" s="15"/>
      <c r="OUA239" s="10"/>
      <c r="OUB239" s="10"/>
      <c r="OUC239" s="19"/>
      <c r="OUD239" s="19"/>
      <c r="OUG239" s="16"/>
      <c r="OUH239" s="15"/>
      <c r="OUI239" s="15"/>
      <c r="OUJ239" s="15"/>
      <c r="OUK239" s="16"/>
      <c r="OUL239" s="16"/>
      <c r="OUM239" s="16"/>
      <c r="OUN239" s="16"/>
      <c r="OUO239" s="16"/>
      <c r="OUP239" s="15"/>
      <c r="OUQ239" s="15"/>
      <c r="OUR239" s="10"/>
      <c r="OUS239" s="10"/>
      <c r="OUT239" s="19"/>
      <c r="OUU239" s="19"/>
      <c r="OUX239" s="16"/>
      <c r="OUY239" s="15"/>
      <c r="OUZ239" s="15"/>
      <c r="OVA239" s="15"/>
      <c r="OVB239" s="16"/>
      <c r="OVC239" s="16"/>
      <c r="OVD239" s="16"/>
      <c r="OVE239" s="16"/>
      <c r="OVF239" s="16"/>
      <c r="OVG239" s="15"/>
      <c r="OVH239" s="15"/>
      <c r="OVI239" s="10"/>
      <c r="OVJ239" s="10"/>
      <c r="OVK239" s="19"/>
      <c r="OVL239" s="19"/>
      <c r="OVO239" s="16"/>
      <c r="OVP239" s="15"/>
      <c r="OVQ239" s="15"/>
      <c r="OVR239" s="15"/>
      <c r="OVS239" s="16"/>
      <c r="OVT239" s="16"/>
      <c r="OVU239" s="16"/>
      <c r="OVV239" s="16"/>
      <c r="OVW239" s="16"/>
      <c r="OVX239" s="15"/>
      <c r="OVY239" s="15"/>
      <c r="OVZ239" s="10"/>
      <c r="OWA239" s="10"/>
      <c r="OWB239" s="19"/>
      <c r="OWC239" s="19"/>
      <c r="OWF239" s="16"/>
      <c r="OWG239" s="15"/>
      <c r="OWH239" s="15"/>
      <c r="OWI239" s="15"/>
      <c r="OWJ239" s="16"/>
      <c r="OWK239" s="16"/>
      <c r="OWL239" s="16"/>
      <c r="OWM239" s="16"/>
      <c r="OWN239" s="16"/>
      <c r="OWO239" s="15"/>
      <c r="OWP239" s="15"/>
      <c r="OWQ239" s="10"/>
      <c r="OWR239" s="10"/>
      <c r="OWS239" s="19"/>
      <c r="OWT239" s="19"/>
      <c r="OWW239" s="16"/>
      <c r="OWX239" s="15"/>
      <c r="OWY239" s="15"/>
      <c r="OWZ239" s="15"/>
      <c r="OXA239" s="16"/>
      <c r="OXB239" s="16"/>
      <c r="OXC239" s="16"/>
      <c r="OXD239" s="16"/>
      <c r="OXE239" s="16"/>
      <c r="OXF239" s="15"/>
      <c r="OXG239" s="15"/>
      <c r="OXH239" s="10"/>
      <c r="OXI239" s="10"/>
      <c r="OXJ239" s="19"/>
      <c r="OXK239" s="19"/>
      <c r="OXN239" s="16"/>
      <c r="OXO239" s="15"/>
      <c r="OXP239" s="15"/>
      <c r="OXQ239" s="15"/>
      <c r="OXR239" s="16"/>
      <c r="OXS239" s="16"/>
      <c r="OXT239" s="16"/>
      <c r="OXU239" s="16"/>
      <c r="OXV239" s="16"/>
      <c r="OXW239" s="15"/>
      <c r="OXX239" s="15"/>
      <c r="OXY239" s="10"/>
      <c r="OXZ239" s="10"/>
      <c r="OYA239" s="19"/>
      <c r="OYB239" s="19"/>
      <c r="OYE239" s="16"/>
      <c r="OYF239" s="15"/>
      <c r="OYG239" s="15"/>
      <c r="OYH239" s="15"/>
      <c r="OYI239" s="16"/>
      <c r="OYJ239" s="16"/>
      <c r="OYK239" s="16"/>
      <c r="OYL239" s="16"/>
      <c r="OYM239" s="16"/>
      <c r="OYN239" s="15"/>
      <c r="OYO239" s="15"/>
      <c r="OYP239" s="10"/>
      <c r="OYQ239" s="10"/>
      <c r="OYR239" s="19"/>
      <c r="OYS239" s="19"/>
      <c r="OYV239" s="16"/>
      <c r="OYW239" s="15"/>
      <c r="OYX239" s="15"/>
      <c r="OYY239" s="15"/>
      <c r="OYZ239" s="16"/>
      <c r="OZA239" s="16"/>
      <c r="OZB239" s="16"/>
      <c r="OZC239" s="16"/>
      <c r="OZD239" s="16"/>
      <c r="OZE239" s="15"/>
      <c r="OZF239" s="15"/>
      <c r="OZG239" s="10"/>
      <c r="OZH239" s="10"/>
      <c r="OZI239" s="19"/>
      <c r="OZJ239" s="19"/>
      <c r="OZM239" s="16"/>
      <c r="OZN239" s="15"/>
      <c r="OZO239" s="15"/>
      <c r="OZP239" s="15"/>
      <c r="OZQ239" s="16"/>
      <c r="OZR239" s="16"/>
      <c r="OZS239" s="16"/>
      <c r="OZT239" s="16"/>
      <c r="OZU239" s="16"/>
      <c r="OZV239" s="15"/>
      <c r="OZW239" s="15"/>
      <c r="OZX239" s="10"/>
      <c r="OZY239" s="10"/>
      <c r="OZZ239" s="19"/>
      <c r="PAA239" s="19"/>
      <c r="PAD239" s="16"/>
      <c r="PAE239" s="15"/>
      <c r="PAF239" s="15"/>
      <c r="PAG239" s="15"/>
      <c r="PAH239" s="16"/>
      <c r="PAI239" s="16"/>
      <c r="PAJ239" s="16"/>
      <c r="PAK239" s="16"/>
      <c r="PAL239" s="16"/>
      <c r="PAM239" s="15"/>
      <c r="PAN239" s="15"/>
      <c r="PAO239" s="10"/>
      <c r="PAP239" s="10"/>
      <c r="PAQ239" s="19"/>
      <c r="PAR239" s="19"/>
      <c r="PAU239" s="16"/>
      <c r="PAV239" s="15"/>
      <c r="PAW239" s="15"/>
      <c r="PAX239" s="15"/>
      <c r="PAY239" s="16"/>
      <c r="PAZ239" s="16"/>
      <c r="PBA239" s="16"/>
      <c r="PBB239" s="16"/>
      <c r="PBC239" s="16"/>
      <c r="PBD239" s="15"/>
      <c r="PBE239" s="15"/>
      <c r="PBF239" s="10"/>
      <c r="PBG239" s="10"/>
      <c r="PBH239" s="19"/>
      <c r="PBI239" s="19"/>
      <c r="PBL239" s="16"/>
      <c r="PBM239" s="15"/>
      <c r="PBN239" s="15"/>
      <c r="PBO239" s="15"/>
      <c r="PBP239" s="16"/>
      <c r="PBQ239" s="16"/>
      <c r="PBR239" s="16"/>
      <c r="PBS239" s="16"/>
      <c r="PBT239" s="16"/>
      <c r="PBU239" s="15"/>
      <c r="PBV239" s="15"/>
      <c r="PBW239" s="10"/>
      <c r="PBX239" s="10"/>
      <c r="PBY239" s="19"/>
      <c r="PBZ239" s="19"/>
      <c r="PCC239" s="16"/>
      <c r="PCD239" s="15"/>
      <c r="PCE239" s="15"/>
      <c r="PCF239" s="15"/>
      <c r="PCG239" s="16"/>
      <c r="PCH239" s="16"/>
      <c r="PCI239" s="16"/>
      <c r="PCJ239" s="16"/>
      <c r="PCK239" s="16"/>
      <c r="PCL239" s="15"/>
      <c r="PCM239" s="15"/>
      <c r="PCN239" s="10"/>
      <c r="PCO239" s="10"/>
      <c r="PCP239" s="19"/>
      <c r="PCQ239" s="19"/>
      <c r="PCT239" s="16"/>
      <c r="PCU239" s="15"/>
      <c r="PCV239" s="15"/>
      <c r="PCW239" s="15"/>
      <c r="PCX239" s="16"/>
      <c r="PCY239" s="16"/>
      <c r="PCZ239" s="16"/>
      <c r="PDA239" s="16"/>
      <c r="PDB239" s="16"/>
      <c r="PDC239" s="15"/>
      <c r="PDD239" s="15"/>
      <c r="PDE239" s="10"/>
      <c r="PDF239" s="10"/>
      <c r="PDG239" s="19"/>
      <c r="PDH239" s="19"/>
      <c r="PDK239" s="16"/>
      <c r="PDL239" s="15"/>
      <c r="PDM239" s="15"/>
      <c r="PDN239" s="15"/>
      <c r="PDO239" s="16"/>
      <c r="PDP239" s="16"/>
      <c r="PDQ239" s="16"/>
      <c r="PDR239" s="16"/>
      <c r="PDS239" s="16"/>
      <c r="PDT239" s="15"/>
      <c r="PDU239" s="15"/>
      <c r="PDV239" s="10"/>
      <c r="PDW239" s="10"/>
      <c r="PDX239" s="19"/>
      <c r="PDY239" s="19"/>
      <c r="PEB239" s="16"/>
      <c r="PEC239" s="15"/>
      <c r="PED239" s="15"/>
      <c r="PEE239" s="15"/>
      <c r="PEF239" s="16"/>
      <c r="PEG239" s="16"/>
      <c r="PEH239" s="16"/>
      <c r="PEI239" s="16"/>
      <c r="PEJ239" s="16"/>
      <c r="PEK239" s="15"/>
      <c r="PEL239" s="15"/>
      <c r="PEM239" s="10"/>
      <c r="PEN239" s="10"/>
      <c r="PEO239" s="19"/>
      <c r="PEP239" s="19"/>
      <c r="PES239" s="16"/>
      <c r="PET239" s="15"/>
      <c r="PEU239" s="15"/>
      <c r="PEV239" s="15"/>
      <c r="PEW239" s="16"/>
      <c r="PEX239" s="16"/>
      <c r="PEY239" s="16"/>
      <c r="PEZ239" s="16"/>
      <c r="PFA239" s="16"/>
      <c r="PFB239" s="15"/>
      <c r="PFC239" s="15"/>
      <c r="PFD239" s="10"/>
      <c r="PFE239" s="10"/>
      <c r="PFF239" s="19"/>
      <c r="PFG239" s="19"/>
      <c r="PFJ239" s="16"/>
      <c r="PFK239" s="15"/>
      <c r="PFL239" s="15"/>
      <c r="PFM239" s="15"/>
      <c r="PFN239" s="16"/>
      <c r="PFO239" s="16"/>
      <c r="PFP239" s="16"/>
      <c r="PFQ239" s="16"/>
      <c r="PFR239" s="16"/>
      <c r="PFS239" s="15"/>
      <c r="PFT239" s="15"/>
      <c r="PFU239" s="10"/>
      <c r="PFV239" s="10"/>
      <c r="PFW239" s="19"/>
      <c r="PFX239" s="19"/>
      <c r="PGA239" s="16"/>
      <c r="PGB239" s="15"/>
      <c r="PGC239" s="15"/>
      <c r="PGD239" s="15"/>
      <c r="PGE239" s="16"/>
      <c r="PGF239" s="16"/>
      <c r="PGG239" s="16"/>
      <c r="PGH239" s="16"/>
      <c r="PGI239" s="16"/>
      <c r="PGJ239" s="15"/>
      <c r="PGK239" s="15"/>
      <c r="PGL239" s="10"/>
      <c r="PGM239" s="10"/>
      <c r="PGN239" s="19"/>
      <c r="PGO239" s="19"/>
      <c r="PGR239" s="16"/>
      <c r="PGS239" s="15"/>
      <c r="PGT239" s="15"/>
      <c r="PGU239" s="15"/>
      <c r="PGV239" s="16"/>
      <c r="PGW239" s="16"/>
      <c r="PGX239" s="16"/>
      <c r="PGY239" s="16"/>
      <c r="PGZ239" s="16"/>
      <c r="PHA239" s="15"/>
      <c r="PHB239" s="15"/>
      <c r="PHC239" s="10"/>
      <c r="PHD239" s="10"/>
      <c r="PHE239" s="19"/>
      <c r="PHF239" s="19"/>
      <c r="PHI239" s="16"/>
      <c r="PHJ239" s="15"/>
      <c r="PHK239" s="15"/>
      <c r="PHL239" s="15"/>
      <c r="PHM239" s="16"/>
      <c r="PHN239" s="16"/>
      <c r="PHO239" s="16"/>
      <c r="PHP239" s="16"/>
      <c r="PHQ239" s="16"/>
      <c r="PHR239" s="15"/>
      <c r="PHS239" s="15"/>
      <c r="PHT239" s="10"/>
      <c r="PHU239" s="10"/>
      <c r="PHV239" s="19"/>
      <c r="PHW239" s="19"/>
      <c r="PHZ239" s="16"/>
      <c r="PIA239" s="15"/>
      <c r="PIB239" s="15"/>
      <c r="PIC239" s="15"/>
      <c r="PID239" s="16"/>
      <c r="PIE239" s="16"/>
      <c r="PIF239" s="16"/>
      <c r="PIG239" s="16"/>
      <c r="PIH239" s="16"/>
      <c r="PII239" s="15"/>
      <c r="PIJ239" s="15"/>
      <c r="PIK239" s="10"/>
      <c r="PIL239" s="10"/>
      <c r="PIM239" s="19"/>
      <c r="PIN239" s="19"/>
      <c r="PIQ239" s="16"/>
      <c r="PIR239" s="15"/>
      <c r="PIS239" s="15"/>
      <c r="PIT239" s="15"/>
      <c r="PIU239" s="16"/>
      <c r="PIV239" s="16"/>
      <c r="PIW239" s="16"/>
      <c r="PIX239" s="16"/>
      <c r="PIY239" s="16"/>
      <c r="PIZ239" s="15"/>
      <c r="PJA239" s="15"/>
      <c r="PJB239" s="10"/>
      <c r="PJC239" s="10"/>
      <c r="PJD239" s="19"/>
      <c r="PJE239" s="19"/>
      <c r="PJH239" s="16"/>
      <c r="PJI239" s="15"/>
      <c r="PJJ239" s="15"/>
      <c r="PJK239" s="15"/>
      <c r="PJL239" s="16"/>
      <c r="PJM239" s="16"/>
      <c r="PJN239" s="16"/>
      <c r="PJO239" s="16"/>
      <c r="PJP239" s="16"/>
      <c r="PJQ239" s="15"/>
      <c r="PJR239" s="15"/>
      <c r="PJS239" s="10"/>
      <c r="PJT239" s="10"/>
      <c r="PJU239" s="19"/>
      <c r="PJV239" s="19"/>
      <c r="PJY239" s="16"/>
      <c r="PJZ239" s="15"/>
      <c r="PKA239" s="15"/>
      <c r="PKB239" s="15"/>
      <c r="PKC239" s="16"/>
      <c r="PKD239" s="16"/>
      <c r="PKE239" s="16"/>
      <c r="PKF239" s="16"/>
      <c r="PKG239" s="16"/>
      <c r="PKH239" s="15"/>
      <c r="PKI239" s="15"/>
      <c r="PKJ239" s="10"/>
      <c r="PKK239" s="10"/>
      <c r="PKL239" s="19"/>
      <c r="PKM239" s="19"/>
      <c r="PKP239" s="16"/>
      <c r="PKQ239" s="15"/>
      <c r="PKR239" s="15"/>
      <c r="PKS239" s="15"/>
      <c r="PKT239" s="16"/>
      <c r="PKU239" s="16"/>
      <c r="PKV239" s="16"/>
      <c r="PKW239" s="16"/>
      <c r="PKX239" s="16"/>
      <c r="PKY239" s="15"/>
      <c r="PKZ239" s="15"/>
      <c r="PLA239" s="10"/>
      <c r="PLB239" s="10"/>
      <c r="PLC239" s="19"/>
      <c r="PLD239" s="19"/>
      <c r="PLG239" s="16"/>
      <c r="PLH239" s="15"/>
      <c r="PLI239" s="15"/>
      <c r="PLJ239" s="15"/>
      <c r="PLK239" s="16"/>
      <c r="PLL239" s="16"/>
      <c r="PLM239" s="16"/>
      <c r="PLN239" s="16"/>
      <c r="PLO239" s="16"/>
      <c r="PLP239" s="15"/>
      <c r="PLQ239" s="15"/>
      <c r="PLR239" s="10"/>
      <c r="PLS239" s="10"/>
      <c r="PLT239" s="19"/>
      <c r="PLU239" s="19"/>
      <c r="PLX239" s="16"/>
      <c r="PLY239" s="15"/>
      <c r="PLZ239" s="15"/>
      <c r="PMA239" s="15"/>
      <c r="PMB239" s="16"/>
      <c r="PMC239" s="16"/>
      <c r="PMD239" s="16"/>
      <c r="PME239" s="16"/>
      <c r="PMF239" s="16"/>
      <c r="PMG239" s="15"/>
      <c r="PMH239" s="15"/>
      <c r="PMI239" s="10"/>
      <c r="PMJ239" s="10"/>
      <c r="PMK239" s="19"/>
      <c r="PML239" s="19"/>
      <c r="PMO239" s="16"/>
      <c r="PMP239" s="15"/>
      <c r="PMQ239" s="15"/>
      <c r="PMR239" s="15"/>
      <c r="PMS239" s="16"/>
      <c r="PMT239" s="16"/>
      <c r="PMU239" s="16"/>
      <c r="PMV239" s="16"/>
      <c r="PMW239" s="16"/>
      <c r="PMX239" s="15"/>
      <c r="PMY239" s="15"/>
      <c r="PMZ239" s="10"/>
      <c r="PNA239" s="10"/>
      <c r="PNB239" s="19"/>
      <c r="PNC239" s="19"/>
      <c r="PNF239" s="16"/>
      <c r="PNG239" s="15"/>
      <c r="PNH239" s="15"/>
      <c r="PNI239" s="15"/>
      <c r="PNJ239" s="16"/>
      <c r="PNK239" s="16"/>
      <c r="PNL239" s="16"/>
      <c r="PNM239" s="16"/>
      <c r="PNN239" s="16"/>
      <c r="PNO239" s="15"/>
      <c r="PNP239" s="15"/>
      <c r="PNQ239" s="10"/>
      <c r="PNR239" s="10"/>
      <c r="PNS239" s="19"/>
      <c r="PNT239" s="19"/>
      <c r="PNW239" s="16"/>
      <c r="PNX239" s="15"/>
      <c r="PNY239" s="15"/>
      <c r="PNZ239" s="15"/>
      <c r="POA239" s="16"/>
      <c r="POB239" s="16"/>
      <c r="POC239" s="16"/>
      <c r="POD239" s="16"/>
      <c r="POE239" s="16"/>
      <c r="POF239" s="15"/>
      <c r="POG239" s="15"/>
      <c r="POH239" s="10"/>
      <c r="POI239" s="10"/>
      <c r="POJ239" s="19"/>
      <c r="POK239" s="19"/>
      <c r="PON239" s="16"/>
      <c r="POO239" s="15"/>
      <c r="POP239" s="15"/>
      <c r="POQ239" s="15"/>
      <c r="POR239" s="16"/>
      <c r="POS239" s="16"/>
      <c r="POT239" s="16"/>
      <c r="POU239" s="16"/>
      <c r="POV239" s="16"/>
      <c r="POW239" s="15"/>
      <c r="POX239" s="15"/>
      <c r="POY239" s="10"/>
      <c r="POZ239" s="10"/>
      <c r="PPA239" s="19"/>
      <c r="PPB239" s="19"/>
      <c r="PPE239" s="16"/>
      <c r="PPF239" s="15"/>
      <c r="PPG239" s="15"/>
      <c r="PPH239" s="15"/>
      <c r="PPI239" s="16"/>
      <c r="PPJ239" s="16"/>
      <c r="PPK239" s="16"/>
      <c r="PPL239" s="16"/>
      <c r="PPM239" s="16"/>
      <c r="PPN239" s="15"/>
      <c r="PPO239" s="15"/>
      <c r="PPP239" s="10"/>
      <c r="PPQ239" s="10"/>
      <c r="PPR239" s="19"/>
      <c r="PPS239" s="19"/>
      <c r="PPV239" s="16"/>
      <c r="PPW239" s="15"/>
      <c r="PPX239" s="15"/>
      <c r="PPY239" s="15"/>
      <c r="PPZ239" s="16"/>
      <c r="PQA239" s="16"/>
      <c r="PQB239" s="16"/>
      <c r="PQC239" s="16"/>
      <c r="PQD239" s="16"/>
      <c r="PQE239" s="15"/>
      <c r="PQF239" s="15"/>
      <c r="PQG239" s="10"/>
      <c r="PQH239" s="10"/>
      <c r="PQI239" s="19"/>
      <c r="PQJ239" s="19"/>
      <c r="PQM239" s="16"/>
      <c r="PQN239" s="15"/>
      <c r="PQO239" s="15"/>
      <c r="PQP239" s="15"/>
      <c r="PQQ239" s="16"/>
      <c r="PQR239" s="16"/>
      <c r="PQS239" s="16"/>
      <c r="PQT239" s="16"/>
      <c r="PQU239" s="16"/>
      <c r="PQV239" s="15"/>
      <c r="PQW239" s="15"/>
      <c r="PQX239" s="10"/>
      <c r="PQY239" s="10"/>
      <c r="PQZ239" s="19"/>
      <c r="PRA239" s="19"/>
      <c r="PRD239" s="16"/>
      <c r="PRE239" s="15"/>
      <c r="PRF239" s="15"/>
      <c r="PRG239" s="15"/>
      <c r="PRH239" s="16"/>
      <c r="PRI239" s="16"/>
      <c r="PRJ239" s="16"/>
      <c r="PRK239" s="16"/>
      <c r="PRL239" s="16"/>
      <c r="PRM239" s="15"/>
      <c r="PRN239" s="15"/>
      <c r="PRO239" s="10"/>
      <c r="PRP239" s="10"/>
      <c r="PRQ239" s="19"/>
      <c r="PRR239" s="19"/>
      <c r="PRU239" s="16"/>
      <c r="PRV239" s="15"/>
      <c r="PRW239" s="15"/>
      <c r="PRX239" s="15"/>
      <c r="PRY239" s="16"/>
      <c r="PRZ239" s="16"/>
      <c r="PSA239" s="16"/>
      <c r="PSB239" s="16"/>
      <c r="PSC239" s="16"/>
      <c r="PSD239" s="15"/>
      <c r="PSE239" s="15"/>
      <c r="PSF239" s="10"/>
      <c r="PSG239" s="10"/>
      <c r="PSH239" s="19"/>
      <c r="PSI239" s="19"/>
      <c r="PSL239" s="16"/>
      <c r="PSM239" s="15"/>
      <c r="PSN239" s="15"/>
      <c r="PSO239" s="15"/>
      <c r="PSP239" s="16"/>
      <c r="PSQ239" s="16"/>
      <c r="PSR239" s="16"/>
      <c r="PSS239" s="16"/>
      <c r="PST239" s="16"/>
      <c r="PSU239" s="15"/>
      <c r="PSV239" s="15"/>
      <c r="PSW239" s="10"/>
      <c r="PSX239" s="10"/>
      <c r="PSY239" s="19"/>
      <c r="PSZ239" s="19"/>
      <c r="PTC239" s="16"/>
      <c r="PTD239" s="15"/>
      <c r="PTE239" s="15"/>
      <c r="PTF239" s="15"/>
      <c r="PTG239" s="16"/>
      <c r="PTH239" s="16"/>
      <c r="PTI239" s="16"/>
      <c r="PTJ239" s="16"/>
      <c r="PTK239" s="16"/>
      <c r="PTL239" s="15"/>
      <c r="PTM239" s="15"/>
      <c r="PTN239" s="10"/>
      <c r="PTO239" s="10"/>
      <c r="PTP239" s="19"/>
      <c r="PTQ239" s="19"/>
      <c r="PTT239" s="16"/>
      <c r="PTU239" s="15"/>
      <c r="PTV239" s="15"/>
      <c r="PTW239" s="15"/>
      <c r="PTX239" s="16"/>
      <c r="PTY239" s="16"/>
      <c r="PTZ239" s="16"/>
      <c r="PUA239" s="16"/>
      <c r="PUB239" s="16"/>
      <c r="PUC239" s="15"/>
      <c r="PUD239" s="15"/>
      <c r="PUE239" s="10"/>
      <c r="PUF239" s="10"/>
      <c r="PUG239" s="19"/>
      <c r="PUH239" s="19"/>
      <c r="PUK239" s="16"/>
      <c r="PUL239" s="15"/>
      <c r="PUM239" s="15"/>
      <c r="PUN239" s="15"/>
      <c r="PUO239" s="16"/>
      <c r="PUP239" s="16"/>
      <c r="PUQ239" s="16"/>
      <c r="PUR239" s="16"/>
      <c r="PUS239" s="16"/>
      <c r="PUT239" s="15"/>
      <c r="PUU239" s="15"/>
      <c r="PUV239" s="10"/>
      <c r="PUW239" s="10"/>
      <c r="PUX239" s="19"/>
      <c r="PUY239" s="19"/>
      <c r="PVB239" s="16"/>
      <c r="PVC239" s="15"/>
      <c r="PVD239" s="15"/>
      <c r="PVE239" s="15"/>
      <c r="PVF239" s="16"/>
      <c r="PVG239" s="16"/>
      <c r="PVH239" s="16"/>
      <c r="PVI239" s="16"/>
      <c r="PVJ239" s="16"/>
      <c r="PVK239" s="15"/>
      <c r="PVL239" s="15"/>
      <c r="PVM239" s="10"/>
      <c r="PVN239" s="10"/>
      <c r="PVO239" s="19"/>
      <c r="PVP239" s="19"/>
      <c r="PVS239" s="16"/>
      <c r="PVT239" s="15"/>
      <c r="PVU239" s="15"/>
      <c r="PVV239" s="15"/>
      <c r="PVW239" s="16"/>
      <c r="PVX239" s="16"/>
      <c r="PVY239" s="16"/>
      <c r="PVZ239" s="16"/>
      <c r="PWA239" s="16"/>
      <c r="PWB239" s="15"/>
      <c r="PWC239" s="15"/>
      <c r="PWD239" s="10"/>
      <c r="PWE239" s="10"/>
      <c r="PWF239" s="19"/>
      <c r="PWG239" s="19"/>
      <c r="PWJ239" s="16"/>
      <c r="PWK239" s="15"/>
      <c r="PWL239" s="15"/>
      <c r="PWM239" s="15"/>
      <c r="PWN239" s="16"/>
      <c r="PWO239" s="16"/>
      <c r="PWP239" s="16"/>
      <c r="PWQ239" s="16"/>
      <c r="PWR239" s="16"/>
      <c r="PWS239" s="15"/>
      <c r="PWT239" s="15"/>
      <c r="PWU239" s="10"/>
      <c r="PWV239" s="10"/>
      <c r="PWW239" s="19"/>
      <c r="PWX239" s="19"/>
      <c r="PXA239" s="16"/>
      <c r="PXB239" s="15"/>
      <c r="PXC239" s="15"/>
      <c r="PXD239" s="15"/>
      <c r="PXE239" s="16"/>
      <c r="PXF239" s="16"/>
      <c r="PXG239" s="16"/>
      <c r="PXH239" s="16"/>
      <c r="PXI239" s="16"/>
      <c r="PXJ239" s="15"/>
      <c r="PXK239" s="15"/>
      <c r="PXL239" s="10"/>
      <c r="PXM239" s="10"/>
      <c r="PXN239" s="19"/>
      <c r="PXO239" s="19"/>
      <c r="PXR239" s="16"/>
      <c r="PXS239" s="15"/>
      <c r="PXT239" s="15"/>
      <c r="PXU239" s="15"/>
      <c r="PXV239" s="16"/>
      <c r="PXW239" s="16"/>
      <c r="PXX239" s="16"/>
      <c r="PXY239" s="16"/>
      <c r="PXZ239" s="16"/>
      <c r="PYA239" s="15"/>
      <c r="PYB239" s="15"/>
      <c r="PYC239" s="10"/>
      <c r="PYD239" s="10"/>
      <c r="PYE239" s="19"/>
      <c r="PYF239" s="19"/>
      <c r="PYI239" s="16"/>
      <c r="PYJ239" s="15"/>
      <c r="PYK239" s="15"/>
      <c r="PYL239" s="15"/>
      <c r="PYM239" s="16"/>
      <c r="PYN239" s="16"/>
      <c r="PYO239" s="16"/>
      <c r="PYP239" s="16"/>
      <c r="PYQ239" s="16"/>
      <c r="PYR239" s="15"/>
      <c r="PYS239" s="15"/>
      <c r="PYT239" s="10"/>
      <c r="PYU239" s="10"/>
      <c r="PYV239" s="19"/>
      <c r="PYW239" s="19"/>
      <c r="PYZ239" s="16"/>
      <c r="PZA239" s="15"/>
      <c r="PZB239" s="15"/>
      <c r="PZC239" s="15"/>
      <c r="PZD239" s="16"/>
      <c r="PZE239" s="16"/>
      <c r="PZF239" s="16"/>
      <c r="PZG239" s="16"/>
      <c r="PZH239" s="16"/>
      <c r="PZI239" s="15"/>
      <c r="PZJ239" s="15"/>
      <c r="PZK239" s="10"/>
      <c r="PZL239" s="10"/>
      <c r="PZM239" s="19"/>
      <c r="PZN239" s="19"/>
      <c r="PZQ239" s="16"/>
      <c r="PZR239" s="15"/>
      <c r="PZS239" s="15"/>
      <c r="PZT239" s="15"/>
      <c r="PZU239" s="16"/>
      <c r="PZV239" s="16"/>
      <c r="PZW239" s="16"/>
      <c r="PZX239" s="16"/>
      <c r="PZY239" s="16"/>
      <c r="PZZ239" s="15"/>
      <c r="QAA239" s="15"/>
      <c r="QAB239" s="10"/>
      <c r="QAC239" s="10"/>
      <c r="QAD239" s="19"/>
      <c r="QAE239" s="19"/>
      <c r="QAH239" s="16"/>
      <c r="QAI239" s="15"/>
      <c r="QAJ239" s="15"/>
      <c r="QAK239" s="15"/>
      <c r="QAL239" s="16"/>
      <c r="QAM239" s="16"/>
      <c r="QAN239" s="16"/>
      <c r="QAO239" s="16"/>
      <c r="QAP239" s="16"/>
      <c r="QAQ239" s="15"/>
      <c r="QAR239" s="15"/>
      <c r="QAS239" s="10"/>
      <c r="QAT239" s="10"/>
      <c r="QAU239" s="19"/>
      <c r="QAV239" s="19"/>
      <c r="QAY239" s="16"/>
      <c r="QAZ239" s="15"/>
      <c r="QBA239" s="15"/>
      <c r="QBB239" s="15"/>
      <c r="QBC239" s="16"/>
      <c r="QBD239" s="16"/>
      <c r="QBE239" s="16"/>
      <c r="QBF239" s="16"/>
      <c r="QBG239" s="16"/>
      <c r="QBH239" s="15"/>
      <c r="QBI239" s="15"/>
      <c r="QBJ239" s="10"/>
      <c r="QBK239" s="10"/>
      <c r="QBL239" s="19"/>
      <c r="QBM239" s="19"/>
      <c r="QBP239" s="16"/>
      <c r="QBQ239" s="15"/>
      <c r="QBR239" s="15"/>
      <c r="QBS239" s="15"/>
      <c r="QBT239" s="16"/>
      <c r="QBU239" s="16"/>
      <c r="QBV239" s="16"/>
      <c r="QBW239" s="16"/>
      <c r="QBX239" s="16"/>
      <c r="QBY239" s="15"/>
      <c r="QBZ239" s="15"/>
      <c r="QCA239" s="10"/>
      <c r="QCB239" s="10"/>
      <c r="QCC239" s="19"/>
      <c r="QCD239" s="19"/>
      <c r="QCG239" s="16"/>
      <c r="QCH239" s="15"/>
      <c r="QCI239" s="15"/>
      <c r="QCJ239" s="15"/>
      <c r="QCK239" s="16"/>
      <c r="QCL239" s="16"/>
      <c r="QCM239" s="16"/>
      <c r="QCN239" s="16"/>
      <c r="QCO239" s="16"/>
      <c r="QCP239" s="15"/>
      <c r="QCQ239" s="15"/>
      <c r="QCR239" s="10"/>
      <c r="QCS239" s="10"/>
      <c r="QCT239" s="19"/>
      <c r="QCU239" s="19"/>
      <c r="QCX239" s="16"/>
      <c r="QCY239" s="15"/>
      <c r="QCZ239" s="15"/>
      <c r="QDA239" s="15"/>
      <c r="QDB239" s="16"/>
      <c r="QDC239" s="16"/>
      <c r="QDD239" s="16"/>
      <c r="QDE239" s="16"/>
      <c r="QDF239" s="16"/>
      <c r="QDG239" s="15"/>
      <c r="QDH239" s="15"/>
      <c r="QDI239" s="10"/>
      <c r="QDJ239" s="10"/>
      <c r="QDK239" s="19"/>
      <c r="QDL239" s="19"/>
      <c r="QDO239" s="16"/>
      <c r="QDP239" s="15"/>
      <c r="QDQ239" s="15"/>
      <c r="QDR239" s="15"/>
      <c r="QDS239" s="16"/>
      <c r="QDT239" s="16"/>
      <c r="QDU239" s="16"/>
      <c r="QDV239" s="16"/>
      <c r="QDW239" s="16"/>
      <c r="QDX239" s="15"/>
      <c r="QDY239" s="15"/>
      <c r="QDZ239" s="10"/>
      <c r="QEA239" s="10"/>
      <c r="QEB239" s="19"/>
      <c r="QEC239" s="19"/>
      <c r="QEF239" s="16"/>
      <c r="QEG239" s="15"/>
      <c r="QEH239" s="15"/>
      <c r="QEI239" s="15"/>
      <c r="QEJ239" s="16"/>
      <c r="QEK239" s="16"/>
      <c r="QEL239" s="16"/>
      <c r="QEM239" s="16"/>
      <c r="QEN239" s="16"/>
      <c r="QEO239" s="15"/>
      <c r="QEP239" s="15"/>
      <c r="QEQ239" s="10"/>
      <c r="QER239" s="10"/>
      <c r="QES239" s="19"/>
      <c r="QET239" s="19"/>
      <c r="QEW239" s="16"/>
      <c r="QEX239" s="15"/>
      <c r="QEY239" s="15"/>
      <c r="QEZ239" s="15"/>
      <c r="QFA239" s="16"/>
      <c r="QFB239" s="16"/>
      <c r="QFC239" s="16"/>
      <c r="QFD239" s="16"/>
      <c r="QFE239" s="16"/>
      <c r="QFF239" s="15"/>
      <c r="QFG239" s="15"/>
      <c r="QFH239" s="10"/>
      <c r="QFI239" s="10"/>
      <c r="QFJ239" s="19"/>
      <c r="QFK239" s="19"/>
      <c r="QFN239" s="16"/>
      <c r="QFO239" s="15"/>
      <c r="QFP239" s="15"/>
      <c r="QFQ239" s="15"/>
      <c r="QFR239" s="16"/>
      <c r="QFS239" s="16"/>
      <c r="QFT239" s="16"/>
      <c r="QFU239" s="16"/>
      <c r="QFV239" s="16"/>
      <c r="QFW239" s="15"/>
      <c r="QFX239" s="15"/>
      <c r="QFY239" s="10"/>
      <c r="QFZ239" s="10"/>
      <c r="QGA239" s="19"/>
      <c r="QGB239" s="19"/>
      <c r="QGE239" s="16"/>
      <c r="QGF239" s="15"/>
      <c r="QGG239" s="15"/>
      <c r="QGH239" s="15"/>
      <c r="QGI239" s="16"/>
      <c r="QGJ239" s="16"/>
      <c r="QGK239" s="16"/>
      <c r="QGL239" s="16"/>
      <c r="QGM239" s="16"/>
      <c r="QGN239" s="15"/>
      <c r="QGO239" s="15"/>
      <c r="QGP239" s="10"/>
      <c r="QGQ239" s="10"/>
      <c r="QGR239" s="19"/>
      <c r="QGS239" s="19"/>
      <c r="QGV239" s="16"/>
      <c r="QGW239" s="15"/>
      <c r="QGX239" s="15"/>
      <c r="QGY239" s="15"/>
      <c r="QGZ239" s="16"/>
      <c r="QHA239" s="16"/>
      <c r="QHB239" s="16"/>
      <c r="QHC239" s="16"/>
      <c r="QHD239" s="16"/>
      <c r="QHE239" s="15"/>
      <c r="QHF239" s="15"/>
      <c r="QHG239" s="10"/>
      <c r="QHH239" s="10"/>
      <c r="QHI239" s="19"/>
      <c r="QHJ239" s="19"/>
      <c r="QHM239" s="16"/>
      <c r="QHN239" s="15"/>
      <c r="QHO239" s="15"/>
      <c r="QHP239" s="15"/>
      <c r="QHQ239" s="16"/>
      <c r="QHR239" s="16"/>
      <c r="QHS239" s="16"/>
      <c r="QHT239" s="16"/>
      <c r="QHU239" s="16"/>
      <c r="QHV239" s="15"/>
      <c r="QHW239" s="15"/>
      <c r="QHX239" s="10"/>
      <c r="QHY239" s="10"/>
      <c r="QHZ239" s="19"/>
      <c r="QIA239" s="19"/>
      <c r="QID239" s="16"/>
      <c r="QIE239" s="15"/>
      <c r="QIF239" s="15"/>
      <c r="QIG239" s="15"/>
      <c r="QIH239" s="16"/>
      <c r="QII239" s="16"/>
      <c r="QIJ239" s="16"/>
      <c r="QIK239" s="16"/>
      <c r="QIL239" s="16"/>
      <c r="QIM239" s="15"/>
      <c r="QIN239" s="15"/>
      <c r="QIO239" s="10"/>
      <c r="QIP239" s="10"/>
      <c r="QIQ239" s="19"/>
      <c r="QIR239" s="19"/>
      <c r="QIU239" s="16"/>
      <c r="QIV239" s="15"/>
      <c r="QIW239" s="15"/>
      <c r="QIX239" s="15"/>
      <c r="QIY239" s="16"/>
      <c r="QIZ239" s="16"/>
      <c r="QJA239" s="16"/>
      <c r="QJB239" s="16"/>
      <c r="QJC239" s="16"/>
      <c r="QJD239" s="15"/>
      <c r="QJE239" s="15"/>
      <c r="QJF239" s="10"/>
      <c r="QJG239" s="10"/>
      <c r="QJH239" s="19"/>
      <c r="QJI239" s="19"/>
      <c r="QJL239" s="16"/>
      <c r="QJM239" s="15"/>
      <c r="QJN239" s="15"/>
      <c r="QJO239" s="15"/>
      <c r="QJP239" s="16"/>
      <c r="QJQ239" s="16"/>
      <c r="QJR239" s="16"/>
      <c r="QJS239" s="16"/>
      <c r="QJT239" s="16"/>
      <c r="QJU239" s="15"/>
      <c r="QJV239" s="15"/>
      <c r="QJW239" s="10"/>
      <c r="QJX239" s="10"/>
      <c r="QJY239" s="19"/>
      <c r="QJZ239" s="19"/>
      <c r="QKC239" s="16"/>
      <c r="QKD239" s="15"/>
      <c r="QKE239" s="15"/>
      <c r="QKF239" s="15"/>
      <c r="QKG239" s="16"/>
      <c r="QKH239" s="16"/>
      <c r="QKI239" s="16"/>
      <c r="QKJ239" s="16"/>
      <c r="QKK239" s="16"/>
      <c r="QKL239" s="15"/>
      <c r="QKM239" s="15"/>
      <c r="QKN239" s="10"/>
      <c r="QKO239" s="10"/>
      <c r="QKP239" s="19"/>
      <c r="QKQ239" s="19"/>
      <c r="QKT239" s="16"/>
      <c r="QKU239" s="15"/>
      <c r="QKV239" s="15"/>
      <c r="QKW239" s="15"/>
      <c r="QKX239" s="16"/>
      <c r="QKY239" s="16"/>
      <c r="QKZ239" s="16"/>
      <c r="QLA239" s="16"/>
      <c r="QLB239" s="16"/>
      <c r="QLC239" s="15"/>
      <c r="QLD239" s="15"/>
      <c r="QLE239" s="10"/>
      <c r="QLF239" s="10"/>
      <c r="QLG239" s="19"/>
      <c r="QLH239" s="19"/>
      <c r="QLK239" s="16"/>
      <c r="QLL239" s="15"/>
      <c r="QLM239" s="15"/>
      <c r="QLN239" s="15"/>
      <c r="QLO239" s="16"/>
      <c r="QLP239" s="16"/>
      <c r="QLQ239" s="16"/>
      <c r="QLR239" s="16"/>
      <c r="QLS239" s="16"/>
      <c r="QLT239" s="15"/>
      <c r="QLU239" s="15"/>
      <c r="QLV239" s="10"/>
      <c r="QLW239" s="10"/>
      <c r="QLX239" s="19"/>
      <c r="QLY239" s="19"/>
      <c r="QMB239" s="16"/>
      <c r="QMC239" s="15"/>
      <c r="QMD239" s="15"/>
      <c r="QME239" s="15"/>
      <c r="QMF239" s="16"/>
      <c r="QMG239" s="16"/>
      <c r="QMH239" s="16"/>
      <c r="QMI239" s="16"/>
      <c r="QMJ239" s="16"/>
      <c r="QMK239" s="15"/>
      <c r="QML239" s="15"/>
      <c r="QMM239" s="10"/>
      <c r="QMN239" s="10"/>
      <c r="QMO239" s="19"/>
      <c r="QMP239" s="19"/>
      <c r="QMS239" s="16"/>
      <c r="QMT239" s="15"/>
      <c r="QMU239" s="15"/>
      <c r="QMV239" s="15"/>
      <c r="QMW239" s="16"/>
      <c r="QMX239" s="16"/>
      <c r="QMY239" s="16"/>
      <c r="QMZ239" s="16"/>
      <c r="QNA239" s="16"/>
      <c r="QNB239" s="15"/>
      <c r="QNC239" s="15"/>
      <c r="QND239" s="10"/>
      <c r="QNE239" s="10"/>
      <c r="QNF239" s="19"/>
      <c r="QNG239" s="19"/>
      <c r="QNJ239" s="16"/>
      <c r="QNK239" s="15"/>
      <c r="QNL239" s="15"/>
      <c r="QNM239" s="15"/>
      <c r="QNN239" s="16"/>
      <c r="QNO239" s="16"/>
      <c r="QNP239" s="16"/>
      <c r="QNQ239" s="16"/>
      <c r="QNR239" s="16"/>
      <c r="QNS239" s="15"/>
      <c r="QNT239" s="15"/>
      <c r="QNU239" s="10"/>
      <c r="QNV239" s="10"/>
      <c r="QNW239" s="19"/>
      <c r="QNX239" s="19"/>
      <c r="QOA239" s="16"/>
      <c r="QOB239" s="15"/>
      <c r="QOC239" s="15"/>
      <c r="QOD239" s="15"/>
      <c r="QOE239" s="16"/>
      <c r="QOF239" s="16"/>
      <c r="QOG239" s="16"/>
      <c r="QOH239" s="16"/>
      <c r="QOI239" s="16"/>
      <c r="QOJ239" s="15"/>
      <c r="QOK239" s="15"/>
      <c r="QOL239" s="10"/>
      <c r="QOM239" s="10"/>
      <c r="QON239" s="19"/>
      <c r="QOO239" s="19"/>
      <c r="QOR239" s="16"/>
      <c r="QOS239" s="15"/>
      <c r="QOT239" s="15"/>
      <c r="QOU239" s="15"/>
      <c r="QOV239" s="16"/>
      <c r="QOW239" s="16"/>
      <c r="QOX239" s="16"/>
      <c r="QOY239" s="16"/>
      <c r="QOZ239" s="16"/>
      <c r="QPA239" s="15"/>
      <c r="QPB239" s="15"/>
      <c r="QPC239" s="10"/>
      <c r="QPD239" s="10"/>
      <c r="QPE239" s="19"/>
      <c r="QPF239" s="19"/>
      <c r="QPI239" s="16"/>
      <c r="QPJ239" s="15"/>
      <c r="QPK239" s="15"/>
      <c r="QPL239" s="15"/>
      <c r="QPM239" s="16"/>
      <c r="QPN239" s="16"/>
      <c r="QPO239" s="16"/>
      <c r="QPP239" s="16"/>
      <c r="QPQ239" s="16"/>
      <c r="QPR239" s="15"/>
      <c r="QPS239" s="15"/>
      <c r="QPT239" s="10"/>
      <c r="QPU239" s="10"/>
      <c r="QPV239" s="19"/>
      <c r="QPW239" s="19"/>
      <c r="QPZ239" s="16"/>
      <c r="QQA239" s="15"/>
      <c r="QQB239" s="15"/>
      <c r="QQC239" s="15"/>
      <c r="QQD239" s="16"/>
      <c r="QQE239" s="16"/>
      <c r="QQF239" s="16"/>
      <c r="QQG239" s="16"/>
      <c r="QQH239" s="16"/>
      <c r="QQI239" s="15"/>
      <c r="QQJ239" s="15"/>
      <c r="QQK239" s="10"/>
      <c r="QQL239" s="10"/>
      <c r="QQM239" s="19"/>
      <c r="QQN239" s="19"/>
      <c r="QQQ239" s="16"/>
      <c r="QQR239" s="15"/>
      <c r="QQS239" s="15"/>
      <c r="QQT239" s="15"/>
      <c r="QQU239" s="16"/>
      <c r="QQV239" s="16"/>
      <c r="QQW239" s="16"/>
      <c r="QQX239" s="16"/>
      <c r="QQY239" s="16"/>
      <c r="QQZ239" s="15"/>
      <c r="QRA239" s="15"/>
      <c r="QRB239" s="10"/>
      <c r="QRC239" s="10"/>
      <c r="QRD239" s="19"/>
      <c r="QRE239" s="19"/>
      <c r="QRH239" s="16"/>
      <c r="QRI239" s="15"/>
      <c r="QRJ239" s="15"/>
      <c r="QRK239" s="15"/>
      <c r="QRL239" s="16"/>
      <c r="QRM239" s="16"/>
      <c r="QRN239" s="16"/>
      <c r="QRO239" s="16"/>
      <c r="QRP239" s="16"/>
      <c r="QRQ239" s="15"/>
      <c r="QRR239" s="15"/>
      <c r="QRS239" s="10"/>
      <c r="QRT239" s="10"/>
      <c r="QRU239" s="19"/>
      <c r="QRV239" s="19"/>
      <c r="QRY239" s="16"/>
      <c r="QRZ239" s="15"/>
      <c r="QSA239" s="15"/>
      <c r="QSB239" s="15"/>
      <c r="QSC239" s="16"/>
      <c r="QSD239" s="16"/>
      <c r="QSE239" s="16"/>
      <c r="QSF239" s="16"/>
      <c r="QSG239" s="16"/>
      <c r="QSH239" s="15"/>
      <c r="QSI239" s="15"/>
      <c r="QSJ239" s="10"/>
      <c r="QSK239" s="10"/>
      <c r="QSL239" s="19"/>
      <c r="QSM239" s="19"/>
      <c r="QSP239" s="16"/>
      <c r="QSQ239" s="15"/>
      <c r="QSR239" s="15"/>
      <c r="QSS239" s="15"/>
      <c r="QST239" s="16"/>
      <c r="QSU239" s="16"/>
      <c r="QSV239" s="16"/>
      <c r="QSW239" s="16"/>
      <c r="QSX239" s="16"/>
      <c r="QSY239" s="15"/>
      <c r="QSZ239" s="15"/>
      <c r="QTA239" s="10"/>
      <c r="QTB239" s="10"/>
      <c r="QTC239" s="19"/>
      <c r="QTD239" s="19"/>
      <c r="QTG239" s="16"/>
      <c r="QTH239" s="15"/>
      <c r="QTI239" s="15"/>
      <c r="QTJ239" s="15"/>
      <c r="QTK239" s="16"/>
      <c r="QTL239" s="16"/>
      <c r="QTM239" s="16"/>
      <c r="QTN239" s="16"/>
      <c r="QTO239" s="16"/>
      <c r="QTP239" s="15"/>
      <c r="QTQ239" s="15"/>
      <c r="QTR239" s="10"/>
      <c r="QTS239" s="10"/>
      <c r="QTT239" s="19"/>
      <c r="QTU239" s="19"/>
      <c r="QTX239" s="16"/>
      <c r="QTY239" s="15"/>
      <c r="QTZ239" s="15"/>
      <c r="QUA239" s="15"/>
      <c r="QUB239" s="16"/>
      <c r="QUC239" s="16"/>
      <c r="QUD239" s="16"/>
      <c r="QUE239" s="16"/>
      <c r="QUF239" s="16"/>
      <c r="QUG239" s="15"/>
      <c r="QUH239" s="15"/>
      <c r="QUI239" s="10"/>
      <c r="QUJ239" s="10"/>
      <c r="QUK239" s="19"/>
      <c r="QUL239" s="19"/>
      <c r="QUO239" s="16"/>
      <c r="QUP239" s="15"/>
      <c r="QUQ239" s="15"/>
      <c r="QUR239" s="15"/>
      <c r="QUS239" s="16"/>
      <c r="QUT239" s="16"/>
      <c r="QUU239" s="16"/>
      <c r="QUV239" s="16"/>
      <c r="QUW239" s="16"/>
      <c r="QUX239" s="15"/>
      <c r="QUY239" s="15"/>
      <c r="QUZ239" s="10"/>
      <c r="QVA239" s="10"/>
      <c r="QVB239" s="19"/>
      <c r="QVC239" s="19"/>
      <c r="QVF239" s="16"/>
      <c r="QVG239" s="15"/>
      <c r="QVH239" s="15"/>
      <c r="QVI239" s="15"/>
      <c r="QVJ239" s="16"/>
      <c r="QVK239" s="16"/>
      <c r="QVL239" s="16"/>
      <c r="QVM239" s="16"/>
      <c r="QVN239" s="16"/>
      <c r="QVO239" s="15"/>
      <c r="QVP239" s="15"/>
      <c r="QVQ239" s="10"/>
      <c r="QVR239" s="10"/>
      <c r="QVS239" s="19"/>
      <c r="QVT239" s="19"/>
      <c r="QVW239" s="16"/>
      <c r="QVX239" s="15"/>
      <c r="QVY239" s="15"/>
      <c r="QVZ239" s="15"/>
      <c r="QWA239" s="16"/>
      <c r="QWB239" s="16"/>
      <c r="QWC239" s="16"/>
      <c r="QWD239" s="16"/>
      <c r="QWE239" s="16"/>
      <c r="QWF239" s="15"/>
      <c r="QWG239" s="15"/>
      <c r="QWH239" s="10"/>
      <c r="QWI239" s="10"/>
      <c r="QWJ239" s="19"/>
      <c r="QWK239" s="19"/>
      <c r="QWN239" s="16"/>
      <c r="QWO239" s="15"/>
      <c r="QWP239" s="15"/>
      <c r="QWQ239" s="15"/>
      <c r="QWR239" s="16"/>
      <c r="QWS239" s="16"/>
      <c r="QWT239" s="16"/>
      <c r="QWU239" s="16"/>
      <c r="QWV239" s="16"/>
      <c r="QWW239" s="15"/>
      <c r="QWX239" s="15"/>
      <c r="QWY239" s="10"/>
      <c r="QWZ239" s="10"/>
      <c r="QXA239" s="19"/>
      <c r="QXB239" s="19"/>
      <c r="QXE239" s="16"/>
      <c r="QXF239" s="15"/>
      <c r="QXG239" s="15"/>
      <c r="QXH239" s="15"/>
      <c r="QXI239" s="16"/>
      <c r="QXJ239" s="16"/>
      <c r="QXK239" s="16"/>
      <c r="QXL239" s="16"/>
      <c r="QXM239" s="16"/>
      <c r="QXN239" s="15"/>
      <c r="QXO239" s="15"/>
      <c r="QXP239" s="10"/>
      <c r="QXQ239" s="10"/>
      <c r="QXR239" s="19"/>
      <c r="QXS239" s="19"/>
      <c r="QXV239" s="16"/>
      <c r="QXW239" s="15"/>
      <c r="QXX239" s="15"/>
      <c r="QXY239" s="15"/>
      <c r="QXZ239" s="16"/>
      <c r="QYA239" s="16"/>
      <c r="QYB239" s="16"/>
      <c r="QYC239" s="16"/>
      <c r="QYD239" s="16"/>
      <c r="QYE239" s="15"/>
      <c r="QYF239" s="15"/>
      <c r="QYG239" s="10"/>
      <c r="QYH239" s="10"/>
      <c r="QYI239" s="19"/>
      <c r="QYJ239" s="19"/>
      <c r="QYM239" s="16"/>
      <c r="QYN239" s="15"/>
      <c r="QYO239" s="15"/>
      <c r="QYP239" s="15"/>
      <c r="QYQ239" s="16"/>
      <c r="QYR239" s="16"/>
      <c r="QYS239" s="16"/>
      <c r="QYT239" s="16"/>
      <c r="QYU239" s="16"/>
      <c r="QYV239" s="15"/>
      <c r="QYW239" s="15"/>
      <c r="QYX239" s="10"/>
      <c r="QYY239" s="10"/>
      <c r="QYZ239" s="19"/>
      <c r="QZA239" s="19"/>
      <c r="QZD239" s="16"/>
      <c r="QZE239" s="15"/>
      <c r="QZF239" s="15"/>
      <c r="QZG239" s="15"/>
      <c r="QZH239" s="16"/>
      <c r="QZI239" s="16"/>
      <c r="QZJ239" s="16"/>
      <c r="QZK239" s="16"/>
      <c r="QZL239" s="16"/>
      <c r="QZM239" s="15"/>
      <c r="QZN239" s="15"/>
      <c r="QZO239" s="10"/>
      <c r="QZP239" s="10"/>
      <c r="QZQ239" s="19"/>
      <c r="QZR239" s="19"/>
      <c r="QZU239" s="16"/>
      <c r="QZV239" s="15"/>
      <c r="QZW239" s="15"/>
      <c r="QZX239" s="15"/>
      <c r="QZY239" s="16"/>
      <c r="QZZ239" s="16"/>
      <c r="RAA239" s="16"/>
      <c r="RAB239" s="16"/>
      <c r="RAC239" s="16"/>
      <c r="RAD239" s="15"/>
      <c r="RAE239" s="15"/>
      <c r="RAF239" s="10"/>
      <c r="RAG239" s="10"/>
      <c r="RAH239" s="19"/>
      <c r="RAI239" s="19"/>
      <c r="RAL239" s="16"/>
      <c r="RAM239" s="15"/>
      <c r="RAN239" s="15"/>
      <c r="RAO239" s="15"/>
      <c r="RAP239" s="16"/>
      <c r="RAQ239" s="16"/>
      <c r="RAR239" s="16"/>
      <c r="RAS239" s="16"/>
      <c r="RAT239" s="16"/>
      <c r="RAU239" s="15"/>
      <c r="RAV239" s="15"/>
      <c r="RAW239" s="10"/>
      <c r="RAX239" s="10"/>
      <c r="RAY239" s="19"/>
      <c r="RAZ239" s="19"/>
      <c r="RBC239" s="16"/>
      <c r="RBD239" s="15"/>
      <c r="RBE239" s="15"/>
      <c r="RBF239" s="15"/>
      <c r="RBG239" s="16"/>
      <c r="RBH239" s="16"/>
      <c r="RBI239" s="16"/>
      <c r="RBJ239" s="16"/>
      <c r="RBK239" s="16"/>
      <c r="RBL239" s="15"/>
      <c r="RBM239" s="15"/>
      <c r="RBN239" s="10"/>
      <c r="RBO239" s="10"/>
      <c r="RBP239" s="19"/>
      <c r="RBQ239" s="19"/>
      <c r="RBT239" s="16"/>
      <c r="RBU239" s="15"/>
      <c r="RBV239" s="15"/>
      <c r="RBW239" s="15"/>
      <c r="RBX239" s="16"/>
      <c r="RBY239" s="16"/>
      <c r="RBZ239" s="16"/>
      <c r="RCA239" s="16"/>
      <c r="RCB239" s="16"/>
      <c r="RCC239" s="15"/>
      <c r="RCD239" s="15"/>
      <c r="RCE239" s="10"/>
      <c r="RCF239" s="10"/>
      <c r="RCG239" s="19"/>
      <c r="RCH239" s="19"/>
      <c r="RCK239" s="16"/>
      <c r="RCL239" s="15"/>
      <c r="RCM239" s="15"/>
      <c r="RCN239" s="15"/>
      <c r="RCO239" s="16"/>
      <c r="RCP239" s="16"/>
      <c r="RCQ239" s="16"/>
      <c r="RCR239" s="16"/>
      <c r="RCS239" s="16"/>
      <c r="RCT239" s="15"/>
      <c r="RCU239" s="15"/>
      <c r="RCV239" s="10"/>
      <c r="RCW239" s="10"/>
      <c r="RCX239" s="19"/>
      <c r="RCY239" s="19"/>
      <c r="RDB239" s="16"/>
      <c r="RDC239" s="15"/>
      <c r="RDD239" s="15"/>
      <c r="RDE239" s="15"/>
      <c r="RDF239" s="16"/>
      <c r="RDG239" s="16"/>
      <c r="RDH239" s="16"/>
      <c r="RDI239" s="16"/>
      <c r="RDJ239" s="16"/>
      <c r="RDK239" s="15"/>
      <c r="RDL239" s="15"/>
      <c r="RDM239" s="10"/>
      <c r="RDN239" s="10"/>
      <c r="RDO239" s="19"/>
      <c r="RDP239" s="19"/>
      <c r="RDS239" s="16"/>
      <c r="RDT239" s="15"/>
      <c r="RDU239" s="15"/>
      <c r="RDV239" s="15"/>
      <c r="RDW239" s="16"/>
      <c r="RDX239" s="16"/>
      <c r="RDY239" s="16"/>
      <c r="RDZ239" s="16"/>
      <c r="REA239" s="16"/>
      <c r="REB239" s="15"/>
      <c r="REC239" s="15"/>
      <c r="RED239" s="10"/>
      <c r="REE239" s="10"/>
      <c r="REF239" s="19"/>
      <c r="REG239" s="19"/>
      <c r="REJ239" s="16"/>
      <c r="REK239" s="15"/>
      <c r="REL239" s="15"/>
      <c r="REM239" s="15"/>
      <c r="REN239" s="16"/>
      <c r="REO239" s="16"/>
      <c r="REP239" s="16"/>
      <c r="REQ239" s="16"/>
      <c r="RER239" s="16"/>
      <c r="RES239" s="15"/>
      <c r="RET239" s="15"/>
      <c r="REU239" s="10"/>
      <c r="REV239" s="10"/>
      <c r="REW239" s="19"/>
      <c r="REX239" s="19"/>
      <c r="RFA239" s="16"/>
      <c r="RFB239" s="15"/>
      <c r="RFC239" s="15"/>
      <c r="RFD239" s="15"/>
      <c r="RFE239" s="16"/>
      <c r="RFF239" s="16"/>
      <c r="RFG239" s="16"/>
      <c r="RFH239" s="16"/>
      <c r="RFI239" s="16"/>
      <c r="RFJ239" s="15"/>
      <c r="RFK239" s="15"/>
      <c r="RFL239" s="10"/>
      <c r="RFM239" s="10"/>
      <c r="RFN239" s="19"/>
      <c r="RFO239" s="19"/>
      <c r="RFR239" s="16"/>
      <c r="RFS239" s="15"/>
      <c r="RFT239" s="15"/>
      <c r="RFU239" s="15"/>
      <c r="RFV239" s="16"/>
      <c r="RFW239" s="16"/>
      <c r="RFX239" s="16"/>
      <c r="RFY239" s="16"/>
      <c r="RFZ239" s="16"/>
      <c r="RGA239" s="15"/>
      <c r="RGB239" s="15"/>
      <c r="RGC239" s="10"/>
      <c r="RGD239" s="10"/>
      <c r="RGE239" s="19"/>
      <c r="RGF239" s="19"/>
      <c r="RGI239" s="16"/>
      <c r="RGJ239" s="15"/>
      <c r="RGK239" s="15"/>
      <c r="RGL239" s="15"/>
      <c r="RGM239" s="16"/>
      <c r="RGN239" s="16"/>
      <c r="RGO239" s="16"/>
      <c r="RGP239" s="16"/>
      <c r="RGQ239" s="16"/>
      <c r="RGR239" s="15"/>
      <c r="RGS239" s="15"/>
      <c r="RGT239" s="10"/>
      <c r="RGU239" s="10"/>
      <c r="RGV239" s="19"/>
      <c r="RGW239" s="19"/>
      <c r="RGZ239" s="16"/>
      <c r="RHA239" s="15"/>
      <c r="RHB239" s="15"/>
      <c r="RHC239" s="15"/>
      <c r="RHD239" s="16"/>
      <c r="RHE239" s="16"/>
      <c r="RHF239" s="16"/>
      <c r="RHG239" s="16"/>
      <c r="RHH239" s="16"/>
      <c r="RHI239" s="15"/>
      <c r="RHJ239" s="15"/>
      <c r="RHK239" s="10"/>
      <c r="RHL239" s="10"/>
      <c r="RHM239" s="19"/>
      <c r="RHN239" s="19"/>
      <c r="RHQ239" s="16"/>
      <c r="RHR239" s="15"/>
      <c r="RHS239" s="15"/>
      <c r="RHT239" s="15"/>
      <c r="RHU239" s="16"/>
      <c r="RHV239" s="16"/>
      <c r="RHW239" s="16"/>
      <c r="RHX239" s="16"/>
      <c r="RHY239" s="16"/>
      <c r="RHZ239" s="15"/>
      <c r="RIA239" s="15"/>
      <c r="RIB239" s="10"/>
      <c r="RIC239" s="10"/>
      <c r="RID239" s="19"/>
      <c r="RIE239" s="19"/>
      <c r="RIH239" s="16"/>
      <c r="RII239" s="15"/>
      <c r="RIJ239" s="15"/>
      <c r="RIK239" s="15"/>
      <c r="RIL239" s="16"/>
      <c r="RIM239" s="16"/>
      <c r="RIN239" s="16"/>
      <c r="RIO239" s="16"/>
      <c r="RIP239" s="16"/>
      <c r="RIQ239" s="15"/>
      <c r="RIR239" s="15"/>
      <c r="RIS239" s="10"/>
      <c r="RIT239" s="10"/>
      <c r="RIU239" s="19"/>
      <c r="RIV239" s="19"/>
      <c r="RIY239" s="16"/>
      <c r="RIZ239" s="15"/>
      <c r="RJA239" s="15"/>
      <c r="RJB239" s="15"/>
      <c r="RJC239" s="16"/>
      <c r="RJD239" s="16"/>
      <c r="RJE239" s="16"/>
      <c r="RJF239" s="16"/>
      <c r="RJG239" s="16"/>
      <c r="RJH239" s="15"/>
      <c r="RJI239" s="15"/>
      <c r="RJJ239" s="10"/>
      <c r="RJK239" s="10"/>
      <c r="RJL239" s="19"/>
      <c r="RJM239" s="19"/>
      <c r="RJP239" s="16"/>
      <c r="RJQ239" s="15"/>
      <c r="RJR239" s="15"/>
      <c r="RJS239" s="15"/>
      <c r="RJT239" s="16"/>
      <c r="RJU239" s="16"/>
      <c r="RJV239" s="16"/>
      <c r="RJW239" s="16"/>
      <c r="RJX239" s="16"/>
      <c r="RJY239" s="15"/>
      <c r="RJZ239" s="15"/>
      <c r="RKA239" s="10"/>
      <c r="RKB239" s="10"/>
      <c r="RKC239" s="19"/>
      <c r="RKD239" s="19"/>
      <c r="RKG239" s="16"/>
      <c r="RKH239" s="15"/>
      <c r="RKI239" s="15"/>
      <c r="RKJ239" s="15"/>
      <c r="RKK239" s="16"/>
      <c r="RKL239" s="16"/>
      <c r="RKM239" s="16"/>
      <c r="RKN239" s="16"/>
      <c r="RKO239" s="16"/>
      <c r="RKP239" s="15"/>
      <c r="RKQ239" s="15"/>
      <c r="RKR239" s="10"/>
      <c r="RKS239" s="10"/>
      <c r="RKT239" s="19"/>
      <c r="RKU239" s="19"/>
      <c r="RKX239" s="16"/>
      <c r="RKY239" s="15"/>
      <c r="RKZ239" s="15"/>
      <c r="RLA239" s="15"/>
      <c r="RLB239" s="16"/>
      <c r="RLC239" s="16"/>
      <c r="RLD239" s="16"/>
      <c r="RLE239" s="16"/>
      <c r="RLF239" s="16"/>
      <c r="RLG239" s="15"/>
      <c r="RLH239" s="15"/>
      <c r="RLI239" s="10"/>
      <c r="RLJ239" s="10"/>
      <c r="RLK239" s="19"/>
      <c r="RLL239" s="19"/>
      <c r="RLO239" s="16"/>
      <c r="RLP239" s="15"/>
      <c r="RLQ239" s="15"/>
      <c r="RLR239" s="15"/>
      <c r="RLS239" s="16"/>
      <c r="RLT239" s="16"/>
      <c r="RLU239" s="16"/>
      <c r="RLV239" s="16"/>
      <c r="RLW239" s="16"/>
      <c r="RLX239" s="15"/>
      <c r="RLY239" s="15"/>
      <c r="RLZ239" s="10"/>
      <c r="RMA239" s="10"/>
      <c r="RMB239" s="19"/>
      <c r="RMC239" s="19"/>
      <c r="RMF239" s="16"/>
      <c r="RMG239" s="15"/>
      <c r="RMH239" s="15"/>
      <c r="RMI239" s="15"/>
      <c r="RMJ239" s="16"/>
      <c r="RMK239" s="16"/>
      <c r="RML239" s="16"/>
      <c r="RMM239" s="16"/>
      <c r="RMN239" s="16"/>
      <c r="RMO239" s="15"/>
      <c r="RMP239" s="15"/>
      <c r="RMQ239" s="10"/>
      <c r="RMR239" s="10"/>
      <c r="RMS239" s="19"/>
      <c r="RMT239" s="19"/>
      <c r="RMW239" s="16"/>
      <c r="RMX239" s="15"/>
      <c r="RMY239" s="15"/>
      <c r="RMZ239" s="15"/>
      <c r="RNA239" s="16"/>
      <c r="RNB239" s="16"/>
      <c r="RNC239" s="16"/>
      <c r="RND239" s="16"/>
      <c r="RNE239" s="16"/>
      <c r="RNF239" s="15"/>
      <c r="RNG239" s="15"/>
      <c r="RNH239" s="10"/>
      <c r="RNI239" s="10"/>
      <c r="RNJ239" s="19"/>
      <c r="RNK239" s="19"/>
      <c r="RNN239" s="16"/>
      <c r="RNO239" s="15"/>
      <c r="RNP239" s="15"/>
      <c r="RNQ239" s="15"/>
      <c r="RNR239" s="16"/>
      <c r="RNS239" s="16"/>
      <c r="RNT239" s="16"/>
      <c r="RNU239" s="16"/>
      <c r="RNV239" s="16"/>
      <c r="RNW239" s="15"/>
      <c r="RNX239" s="15"/>
      <c r="RNY239" s="10"/>
      <c r="RNZ239" s="10"/>
      <c r="ROA239" s="19"/>
      <c r="ROB239" s="19"/>
      <c r="ROE239" s="16"/>
      <c r="ROF239" s="15"/>
      <c r="ROG239" s="15"/>
      <c r="ROH239" s="15"/>
      <c r="ROI239" s="16"/>
      <c r="ROJ239" s="16"/>
      <c r="ROK239" s="16"/>
      <c r="ROL239" s="16"/>
      <c r="ROM239" s="16"/>
      <c r="RON239" s="15"/>
      <c r="ROO239" s="15"/>
      <c r="ROP239" s="10"/>
      <c r="ROQ239" s="10"/>
      <c r="ROR239" s="19"/>
      <c r="ROS239" s="19"/>
      <c r="ROV239" s="16"/>
      <c r="ROW239" s="15"/>
      <c r="ROX239" s="15"/>
      <c r="ROY239" s="15"/>
      <c r="ROZ239" s="16"/>
      <c r="RPA239" s="16"/>
      <c r="RPB239" s="16"/>
      <c r="RPC239" s="16"/>
      <c r="RPD239" s="16"/>
      <c r="RPE239" s="15"/>
      <c r="RPF239" s="15"/>
      <c r="RPG239" s="10"/>
      <c r="RPH239" s="10"/>
      <c r="RPI239" s="19"/>
      <c r="RPJ239" s="19"/>
      <c r="RPM239" s="16"/>
      <c r="RPN239" s="15"/>
      <c r="RPO239" s="15"/>
      <c r="RPP239" s="15"/>
      <c r="RPQ239" s="16"/>
      <c r="RPR239" s="16"/>
      <c r="RPS239" s="16"/>
      <c r="RPT239" s="16"/>
      <c r="RPU239" s="16"/>
      <c r="RPV239" s="15"/>
      <c r="RPW239" s="15"/>
      <c r="RPX239" s="10"/>
      <c r="RPY239" s="10"/>
      <c r="RPZ239" s="19"/>
      <c r="RQA239" s="19"/>
      <c r="RQD239" s="16"/>
      <c r="RQE239" s="15"/>
      <c r="RQF239" s="15"/>
      <c r="RQG239" s="15"/>
      <c r="RQH239" s="16"/>
      <c r="RQI239" s="16"/>
      <c r="RQJ239" s="16"/>
      <c r="RQK239" s="16"/>
      <c r="RQL239" s="16"/>
      <c r="RQM239" s="15"/>
      <c r="RQN239" s="15"/>
      <c r="RQO239" s="10"/>
      <c r="RQP239" s="10"/>
      <c r="RQQ239" s="19"/>
      <c r="RQR239" s="19"/>
      <c r="RQU239" s="16"/>
      <c r="RQV239" s="15"/>
      <c r="RQW239" s="15"/>
      <c r="RQX239" s="15"/>
      <c r="RQY239" s="16"/>
      <c r="RQZ239" s="16"/>
      <c r="RRA239" s="16"/>
      <c r="RRB239" s="16"/>
      <c r="RRC239" s="16"/>
      <c r="RRD239" s="15"/>
      <c r="RRE239" s="15"/>
      <c r="RRF239" s="10"/>
      <c r="RRG239" s="10"/>
      <c r="RRH239" s="19"/>
      <c r="RRI239" s="19"/>
      <c r="RRL239" s="16"/>
      <c r="RRM239" s="15"/>
      <c r="RRN239" s="15"/>
      <c r="RRO239" s="15"/>
      <c r="RRP239" s="16"/>
      <c r="RRQ239" s="16"/>
      <c r="RRR239" s="16"/>
      <c r="RRS239" s="16"/>
      <c r="RRT239" s="16"/>
      <c r="RRU239" s="15"/>
      <c r="RRV239" s="15"/>
      <c r="RRW239" s="10"/>
      <c r="RRX239" s="10"/>
      <c r="RRY239" s="19"/>
      <c r="RRZ239" s="19"/>
      <c r="RSC239" s="16"/>
      <c r="RSD239" s="15"/>
      <c r="RSE239" s="15"/>
      <c r="RSF239" s="15"/>
      <c r="RSG239" s="16"/>
      <c r="RSH239" s="16"/>
      <c r="RSI239" s="16"/>
      <c r="RSJ239" s="16"/>
      <c r="RSK239" s="16"/>
      <c r="RSL239" s="15"/>
      <c r="RSM239" s="15"/>
      <c r="RSN239" s="10"/>
      <c r="RSO239" s="10"/>
      <c r="RSP239" s="19"/>
      <c r="RSQ239" s="19"/>
      <c r="RST239" s="16"/>
      <c r="RSU239" s="15"/>
      <c r="RSV239" s="15"/>
      <c r="RSW239" s="15"/>
      <c r="RSX239" s="16"/>
      <c r="RSY239" s="16"/>
      <c r="RSZ239" s="16"/>
      <c r="RTA239" s="16"/>
      <c r="RTB239" s="16"/>
      <c r="RTC239" s="15"/>
      <c r="RTD239" s="15"/>
      <c r="RTE239" s="10"/>
      <c r="RTF239" s="10"/>
      <c r="RTG239" s="19"/>
      <c r="RTH239" s="19"/>
      <c r="RTK239" s="16"/>
      <c r="RTL239" s="15"/>
      <c r="RTM239" s="15"/>
      <c r="RTN239" s="15"/>
      <c r="RTO239" s="16"/>
      <c r="RTP239" s="16"/>
      <c r="RTQ239" s="16"/>
      <c r="RTR239" s="16"/>
      <c r="RTS239" s="16"/>
      <c r="RTT239" s="15"/>
      <c r="RTU239" s="15"/>
      <c r="RTV239" s="10"/>
      <c r="RTW239" s="10"/>
      <c r="RTX239" s="19"/>
      <c r="RTY239" s="19"/>
      <c r="RUB239" s="16"/>
      <c r="RUC239" s="15"/>
      <c r="RUD239" s="15"/>
      <c r="RUE239" s="15"/>
      <c r="RUF239" s="16"/>
      <c r="RUG239" s="16"/>
      <c r="RUH239" s="16"/>
      <c r="RUI239" s="16"/>
      <c r="RUJ239" s="16"/>
      <c r="RUK239" s="15"/>
      <c r="RUL239" s="15"/>
      <c r="RUM239" s="10"/>
      <c r="RUN239" s="10"/>
      <c r="RUO239" s="19"/>
      <c r="RUP239" s="19"/>
      <c r="RUS239" s="16"/>
      <c r="RUT239" s="15"/>
      <c r="RUU239" s="15"/>
      <c r="RUV239" s="15"/>
      <c r="RUW239" s="16"/>
      <c r="RUX239" s="16"/>
      <c r="RUY239" s="16"/>
      <c r="RUZ239" s="16"/>
      <c r="RVA239" s="16"/>
      <c r="RVB239" s="15"/>
      <c r="RVC239" s="15"/>
      <c r="RVD239" s="10"/>
      <c r="RVE239" s="10"/>
      <c r="RVF239" s="19"/>
      <c r="RVG239" s="19"/>
      <c r="RVJ239" s="16"/>
      <c r="RVK239" s="15"/>
      <c r="RVL239" s="15"/>
      <c r="RVM239" s="15"/>
      <c r="RVN239" s="16"/>
      <c r="RVO239" s="16"/>
      <c r="RVP239" s="16"/>
      <c r="RVQ239" s="16"/>
      <c r="RVR239" s="16"/>
      <c r="RVS239" s="15"/>
      <c r="RVT239" s="15"/>
      <c r="RVU239" s="10"/>
      <c r="RVV239" s="10"/>
      <c r="RVW239" s="19"/>
      <c r="RVX239" s="19"/>
      <c r="RWA239" s="16"/>
      <c r="RWB239" s="15"/>
      <c r="RWC239" s="15"/>
      <c r="RWD239" s="15"/>
      <c r="RWE239" s="16"/>
      <c r="RWF239" s="16"/>
      <c r="RWG239" s="16"/>
      <c r="RWH239" s="16"/>
      <c r="RWI239" s="16"/>
      <c r="RWJ239" s="15"/>
      <c r="RWK239" s="15"/>
      <c r="RWL239" s="10"/>
      <c r="RWM239" s="10"/>
      <c r="RWN239" s="19"/>
      <c r="RWO239" s="19"/>
      <c r="RWR239" s="16"/>
      <c r="RWS239" s="15"/>
      <c r="RWT239" s="15"/>
      <c r="RWU239" s="15"/>
      <c r="RWV239" s="16"/>
      <c r="RWW239" s="16"/>
      <c r="RWX239" s="16"/>
      <c r="RWY239" s="16"/>
      <c r="RWZ239" s="16"/>
      <c r="RXA239" s="15"/>
      <c r="RXB239" s="15"/>
      <c r="RXC239" s="10"/>
      <c r="RXD239" s="10"/>
      <c r="RXE239" s="19"/>
      <c r="RXF239" s="19"/>
      <c r="RXI239" s="16"/>
      <c r="RXJ239" s="15"/>
      <c r="RXK239" s="15"/>
      <c r="RXL239" s="15"/>
      <c r="RXM239" s="16"/>
      <c r="RXN239" s="16"/>
      <c r="RXO239" s="16"/>
      <c r="RXP239" s="16"/>
      <c r="RXQ239" s="16"/>
      <c r="RXR239" s="15"/>
      <c r="RXS239" s="15"/>
      <c r="RXT239" s="10"/>
      <c r="RXU239" s="10"/>
      <c r="RXV239" s="19"/>
      <c r="RXW239" s="19"/>
      <c r="RXZ239" s="16"/>
      <c r="RYA239" s="15"/>
      <c r="RYB239" s="15"/>
      <c r="RYC239" s="15"/>
      <c r="RYD239" s="16"/>
      <c r="RYE239" s="16"/>
      <c r="RYF239" s="16"/>
      <c r="RYG239" s="16"/>
      <c r="RYH239" s="16"/>
      <c r="RYI239" s="15"/>
      <c r="RYJ239" s="15"/>
      <c r="RYK239" s="10"/>
      <c r="RYL239" s="10"/>
      <c r="RYM239" s="19"/>
      <c r="RYN239" s="19"/>
      <c r="RYQ239" s="16"/>
      <c r="RYR239" s="15"/>
      <c r="RYS239" s="15"/>
      <c r="RYT239" s="15"/>
      <c r="RYU239" s="16"/>
      <c r="RYV239" s="16"/>
      <c r="RYW239" s="16"/>
      <c r="RYX239" s="16"/>
      <c r="RYY239" s="16"/>
      <c r="RYZ239" s="15"/>
      <c r="RZA239" s="15"/>
      <c r="RZB239" s="10"/>
      <c r="RZC239" s="10"/>
      <c r="RZD239" s="19"/>
      <c r="RZE239" s="19"/>
      <c r="RZH239" s="16"/>
      <c r="RZI239" s="15"/>
      <c r="RZJ239" s="15"/>
      <c r="RZK239" s="15"/>
      <c r="RZL239" s="16"/>
      <c r="RZM239" s="16"/>
      <c r="RZN239" s="16"/>
      <c r="RZO239" s="16"/>
      <c r="RZP239" s="16"/>
      <c r="RZQ239" s="15"/>
      <c r="RZR239" s="15"/>
      <c r="RZS239" s="10"/>
      <c r="RZT239" s="10"/>
      <c r="RZU239" s="19"/>
      <c r="RZV239" s="19"/>
      <c r="RZY239" s="16"/>
      <c r="RZZ239" s="15"/>
      <c r="SAA239" s="15"/>
      <c r="SAB239" s="15"/>
      <c r="SAC239" s="16"/>
      <c r="SAD239" s="16"/>
      <c r="SAE239" s="16"/>
      <c r="SAF239" s="16"/>
      <c r="SAG239" s="16"/>
      <c r="SAH239" s="15"/>
      <c r="SAI239" s="15"/>
      <c r="SAJ239" s="10"/>
      <c r="SAK239" s="10"/>
      <c r="SAL239" s="19"/>
      <c r="SAM239" s="19"/>
      <c r="SAP239" s="16"/>
      <c r="SAQ239" s="15"/>
      <c r="SAR239" s="15"/>
      <c r="SAS239" s="15"/>
      <c r="SAT239" s="16"/>
      <c r="SAU239" s="16"/>
      <c r="SAV239" s="16"/>
      <c r="SAW239" s="16"/>
      <c r="SAX239" s="16"/>
      <c r="SAY239" s="15"/>
      <c r="SAZ239" s="15"/>
      <c r="SBA239" s="10"/>
      <c r="SBB239" s="10"/>
      <c r="SBC239" s="19"/>
      <c r="SBD239" s="19"/>
      <c r="SBG239" s="16"/>
      <c r="SBH239" s="15"/>
      <c r="SBI239" s="15"/>
      <c r="SBJ239" s="15"/>
      <c r="SBK239" s="16"/>
      <c r="SBL239" s="16"/>
      <c r="SBM239" s="16"/>
      <c r="SBN239" s="16"/>
      <c r="SBO239" s="16"/>
      <c r="SBP239" s="15"/>
      <c r="SBQ239" s="15"/>
      <c r="SBR239" s="10"/>
      <c r="SBS239" s="10"/>
      <c r="SBT239" s="19"/>
      <c r="SBU239" s="19"/>
      <c r="SBX239" s="16"/>
      <c r="SBY239" s="15"/>
      <c r="SBZ239" s="15"/>
      <c r="SCA239" s="15"/>
      <c r="SCB239" s="16"/>
      <c r="SCC239" s="16"/>
      <c r="SCD239" s="16"/>
      <c r="SCE239" s="16"/>
      <c r="SCF239" s="16"/>
      <c r="SCG239" s="15"/>
      <c r="SCH239" s="15"/>
      <c r="SCI239" s="10"/>
      <c r="SCJ239" s="10"/>
      <c r="SCK239" s="19"/>
      <c r="SCL239" s="19"/>
      <c r="SCO239" s="16"/>
      <c r="SCP239" s="15"/>
      <c r="SCQ239" s="15"/>
      <c r="SCR239" s="15"/>
      <c r="SCS239" s="16"/>
      <c r="SCT239" s="16"/>
      <c r="SCU239" s="16"/>
      <c r="SCV239" s="16"/>
      <c r="SCW239" s="16"/>
      <c r="SCX239" s="15"/>
      <c r="SCY239" s="15"/>
      <c r="SCZ239" s="10"/>
      <c r="SDA239" s="10"/>
      <c r="SDB239" s="19"/>
      <c r="SDC239" s="19"/>
      <c r="SDF239" s="16"/>
      <c r="SDG239" s="15"/>
      <c r="SDH239" s="15"/>
      <c r="SDI239" s="15"/>
      <c r="SDJ239" s="16"/>
      <c r="SDK239" s="16"/>
      <c r="SDL239" s="16"/>
      <c r="SDM239" s="16"/>
      <c r="SDN239" s="16"/>
      <c r="SDO239" s="15"/>
      <c r="SDP239" s="15"/>
      <c r="SDQ239" s="10"/>
      <c r="SDR239" s="10"/>
      <c r="SDS239" s="19"/>
      <c r="SDT239" s="19"/>
      <c r="SDW239" s="16"/>
      <c r="SDX239" s="15"/>
      <c r="SDY239" s="15"/>
      <c r="SDZ239" s="15"/>
      <c r="SEA239" s="16"/>
      <c r="SEB239" s="16"/>
      <c r="SEC239" s="16"/>
      <c r="SED239" s="16"/>
      <c r="SEE239" s="16"/>
      <c r="SEF239" s="15"/>
      <c r="SEG239" s="15"/>
      <c r="SEH239" s="10"/>
      <c r="SEI239" s="10"/>
      <c r="SEJ239" s="19"/>
      <c r="SEK239" s="19"/>
      <c r="SEN239" s="16"/>
      <c r="SEO239" s="15"/>
      <c r="SEP239" s="15"/>
      <c r="SEQ239" s="15"/>
      <c r="SER239" s="16"/>
      <c r="SES239" s="16"/>
      <c r="SET239" s="16"/>
      <c r="SEU239" s="16"/>
      <c r="SEV239" s="16"/>
      <c r="SEW239" s="15"/>
      <c r="SEX239" s="15"/>
      <c r="SEY239" s="10"/>
      <c r="SEZ239" s="10"/>
      <c r="SFA239" s="19"/>
      <c r="SFB239" s="19"/>
      <c r="SFE239" s="16"/>
      <c r="SFF239" s="15"/>
      <c r="SFG239" s="15"/>
      <c r="SFH239" s="15"/>
      <c r="SFI239" s="16"/>
      <c r="SFJ239" s="16"/>
      <c r="SFK239" s="16"/>
      <c r="SFL239" s="16"/>
      <c r="SFM239" s="16"/>
      <c r="SFN239" s="15"/>
      <c r="SFO239" s="15"/>
      <c r="SFP239" s="10"/>
      <c r="SFQ239" s="10"/>
      <c r="SFR239" s="19"/>
      <c r="SFS239" s="19"/>
      <c r="SFV239" s="16"/>
      <c r="SFW239" s="15"/>
      <c r="SFX239" s="15"/>
      <c r="SFY239" s="15"/>
      <c r="SFZ239" s="16"/>
      <c r="SGA239" s="16"/>
      <c r="SGB239" s="16"/>
      <c r="SGC239" s="16"/>
      <c r="SGD239" s="16"/>
      <c r="SGE239" s="15"/>
      <c r="SGF239" s="15"/>
      <c r="SGG239" s="10"/>
      <c r="SGH239" s="10"/>
      <c r="SGI239" s="19"/>
      <c r="SGJ239" s="19"/>
      <c r="SGM239" s="16"/>
      <c r="SGN239" s="15"/>
      <c r="SGO239" s="15"/>
      <c r="SGP239" s="15"/>
      <c r="SGQ239" s="16"/>
      <c r="SGR239" s="16"/>
      <c r="SGS239" s="16"/>
      <c r="SGT239" s="16"/>
      <c r="SGU239" s="16"/>
      <c r="SGV239" s="15"/>
      <c r="SGW239" s="15"/>
      <c r="SGX239" s="10"/>
      <c r="SGY239" s="10"/>
      <c r="SGZ239" s="19"/>
      <c r="SHA239" s="19"/>
      <c r="SHD239" s="16"/>
      <c r="SHE239" s="15"/>
      <c r="SHF239" s="15"/>
      <c r="SHG239" s="15"/>
      <c r="SHH239" s="16"/>
      <c r="SHI239" s="16"/>
      <c r="SHJ239" s="16"/>
      <c r="SHK239" s="16"/>
      <c r="SHL239" s="16"/>
      <c r="SHM239" s="15"/>
      <c r="SHN239" s="15"/>
      <c r="SHO239" s="10"/>
      <c r="SHP239" s="10"/>
      <c r="SHQ239" s="19"/>
      <c r="SHR239" s="19"/>
      <c r="SHU239" s="16"/>
      <c r="SHV239" s="15"/>
      <c r="SHW239" s="15"/>
      <c r="SHX239" s="15"/>
      <c r="SHY239" s="16"/>
      <c r="SHZ239" s="16"/>
      <c r="SIA239" s="16"/>
      <c r="SIB239" s="16"/>
      <c r="SIC239" s="16"/>
      <c r="SID239" s="15"/>
      <c r="SIE239" s="15"/>
      <c r="SIF239" s="10"/>
      <c r="SIG239" s="10"/>
      <c r="SIH239" s="19"/>
      <c r="SII239" s="19"/>
      <c r="SIL239" s="16"/>
      <c r="SIM239" s="15"/>
      <c r="SIN239" s="15"/>
      <c r="SIO239" s="15"/>
      <c r="SIP239" s="16"/>
      <c r="SIQ239" s="16"/>
      <c r="SIR239" s="16"/>
      <c r="SIS239" s="16"/>
      <c r="SIT239" s="16"/>
      <c r="SIU239" s="15"/>
      <c r="SIV239" s="15"/>
      <c r="SIW239" s="10"/>
      <c r="SIX239" s="10"/>
      <c r="SIY239" s="19"/>
      <c r="SIZ239" s="19"/>
      <c r="SJC239" s="16"/>
      <c r="SJD239" s="15"/>
      <c r="SJE239" s="15"/>
      <c r="SJF239" s="15"/>
      <c r="SJG239" s="16"/>
      <c r="SJH239" s="16"/>
      <c r="SJI239" s="16"/>
      <c r="SJJ239" s="16"/>
      <c r="SJK239" s="16"/>
      <c r="SJL239" s="15"/>
      <c r="SJM239" s="15"/>
      <c r="SJN239" s="10"/>
      <c r="SJO239" s="10"/>
      <c r="SJP239" s="19"/>
      <c r="SJQ239" s="19"/>
      <c r="SJT239" s="16"/>
      <c r="SJU239" s="15"/>
      <c r="SJV239" s="15"/>
      <c r="SJW239" s="15"/>
      <c r="SJX239" s="16"/>
      <c r="SJY239" s="16"/>
      <c r="SJZ239" s="16"/>
      <c r="SKA239" s="16"/>
      <c r="SKB239" s="16"/>
      <c r="SKC239" s="15"/>
      <c r="SKD239" s="15"/>
      <c r="SKE239" s="10"/>
      <c r="SKF239" s="10"/>
      <c r="SKG239" s="19"/>
      <c r="SKH239" s="19"/>
      <c r="SKK239" s="16"/>
      <c r="SKL239" s="15"/>
      <c r="SKM239" s="15"/>
      <c r="SKN239" s="15"/>
      <c r="SKO239" s="16"/>
      <c r="SKP239" s="16"/>
      <c r="SKQ239" s="16"/>
      <c r="SKR239" s="16"/>
      <c r="SKS239" s="16"/>
      <c r="SKT239" s="15"/>
      <c r="SKU239" s="15"/>
      <c r="SKV239" s="10"/>
      <c r="SKW239" s="10"/>
      <c r="SKX239" s="19"/>
      <c r="SKY239" s="19"/>
      <c r="SLB239" s="16"/>
      <c r="SLC239" s="15"/>
      <c r="SLD239" s="15"/>
      <c r="SLE239" s="15"/>
      <c r="SLF239" s="16"/>
      <c r="SLG239" s="16"/>
      <c r="SLH239" s="16"/>
      <c r="SLI239" s="16"/>
      <c r="SLJ239" s="16"/>
      <c r="SLK239" s="15"/>
      <c r="SLL239" s="15"/>
      <c r="SLM239" s="10"/>
      <c r="SLN239" s="10"/>
      <c r="SLO239" s="19"/>
      <c r="SLP239" s="19"/>
      <c r="SLS239" s="16"/>
      <c r="SLT239" s="15"/>
      <c r="SLU239" s="15"/>
      <c r="SLV239" s="15"/>
      <c r="SLW239" s="16"/>
      <c r="SLX239" s="16"/>
      <c r="SLY239" s="16"/>
      <c r="SLZ239" s="16"/>
      <c r="SMA239" s="16"/>
      <c r="SMB239" s="15"/>
      <c r="SMC239" s="15"/>
      <c r="SMD239" s="10"/>
      <c r="SME239" s="10"/>
      <c r="SMF239" s="19"/>
      <c r="SMG239" s="19"/>
      <c r="SMJ239" s="16"/>
      <c r="SMK239" s="15"/>
      <c r="SML239" s="15"/>
      <c r="SMM239" s="15"/>
      <c r="SMN239" s="16"/>
      <c r="SMO239" s="16"/>
      <c r="SMP239" s="16"/>
      <c r="SMQ239" s="16"/>
      <c r="SMR239" s="16"/>
      <c r="SMS239" s="15"/>
      <c r="SMT239" s="15"/>
      <c r="SMU239" s="10"/>
      <c r="SMV239" s="10"/>
      <c r="SMW239" s="19"/>
      <c r="SMX239" s="19"/>
      <c r="SNA239" s="16"/>
      <c r="SNB239" s="15"/>
      <c r="SNC239" s="15"/>
      <c r="SND239" s="15"/>
      <c r="SNE239" s="16"/>
      <c r="SNF239" s="16"/>
      <c r="SNG239" s="16"/>
      <c r="SNH239" s="16"/>
      <c r="SNI239" s="16"/>
      <c r="SNJ239" s="15"/>
      <c r="SNK239" s="15"/>
      <c r="SNL239" s="10"/>
      <c r="SNM239" s="10"/>
      <c r="SNN239" s="19"/>
      <c r="SNO239" s="19"/>
      <c r="SNR239" s="16"/>
      <c r="SNS239" s="15"/>
      <c r="SNT239" s="15"/>
      <c r="SNU239" s="15"/>
      <c r="SNV239" s="16"/>
      <c r="SNW239" s="16"/>
      <c r="SNX239" s="16"/>
      <c r="SNY239" s="16"/>
      <c r="SNZ239" s="16"/>
      <c r="SOA239" s="15"/>
      <c r="SOB239" s="15"/>
      <c r="SOC239" s="10"/>
      <c r="SOD239" s="10"/>
      <c r="SOE239" s="19"/>
      <c r="SOF239" s="19"/>
      <c r="SOI239" s="16"/>
      <c r="SOJ239" s="15"/>
      <c r="SOK239" s="15"/>
      <c r="SOL239" s="15"/>
      <c r="SOM239" s="16"/>
      <c r="SON239" s="16"/>
      <c r="SOO239" s="16"/>
      <c r="SOP239" s="16"/>
      <c r="SOQ239" s="16"/>
      <c r="SOR239" s="15"/>
      <c r="SOS239" s="15"/>
      <c r="SOT239" s="10"/>
      <c r="SOU239" s="10"/>
      <c r="SOV239" s="19"/>
      <c r="SOW239" s="19"/>
      <c r="SOZ239" s="16"/>
      <c r="SPA239" s="15"/>
      <c r="SPB239" s="15"/>
      <c r="SPC239" s="15"/>
      <c r="SPD239" s="16"/>
      <c r="SPE239" s="16"/>
      <c r="SPF239" s="16"/>
      <c r="SPG239" s="16"/>
      <c r="SPH239" s="16"/>
      <c r="SPI239" s="15"/>
      <c r="SPJ239" s="15"/>
      <c r="SPK239" s="10"/>
      <c r="SPL239" s="10"/>
      <c r="SPM239" s="19"/>
      <c r="SPN239" s="19"/>
      <c r="SPQ239" s="16"/>
      <c r="SPR239" s="15"/>
      <c r="SPS239" s="15"/>
      <c r="SPT239" s="15"/>
      <c r="SPU239" s="16"/>
      <c r="SPV239" s="16"/>
      <c r="SPW239" s="16"/>
      <c r="SPX239" s="16"/>
      <c r="SPY239" s="16"/>
      <c r="SPZ239" s="15"/>
      <c r="SQA239" s="15"/>
      <c r="SQB239" s="10"/>
      <c r="SQC239" s="10"/>
      <c r="SQD239" s="19"/>
      <c r="SQE239" s="19"/>
      <c r="SQH239" s="16"/>
      <c r="SQI239" s="15"/>
      <c r="SQJ239" s="15"/>
      <c r="SQK239" s="15"/>
      <c r="SQL239" s="16"/>
      <c r="SQM239" s="16"/>
      <c r="SQN239" s="16"/>
      <c r="SQO239" s="16"/>
      <c r="SQP239" s="16"/>
      <c r="SQQ239" s="15"/>
      <c r="SQR239" s="15"/>
      <c r="SQS239" s="10"/>
      <c r="SQT239" s="10"/>
      <c r="SQU239" s="19"/>
      <c r="SQV239" s="19"/>
      <c r="SQY239" s="16"/>
      <c r="SQZ239" s="15"/>
      <c r="SRA239" s="15"/>
      <c r="SRB239" s="15"/>
      <c r="SRC239" s="16"/>
      <c r="SRD239" s="16"/>
      <c r="SRE239" s="16"/>
      <c r="SRF239" s="16"/>
      <c r="SRG239" s="16"/>
      <c r="SRH239" s="15"/>
      <c r="SRI239" s="15"/>
      <c r="SRJ239" s="10"/>
      <c r="SRK239" s="10"/>
      <c r="SRL239" s="19"/>
      <c r="SRM239" s="19"/>
      <c r="SRP239" s="16"/>
      <c r="SRQ239" s="15"/>
      <c r="SRR239" s="15"/>
      <c r="SRS239" s="15"/>
      <c r="SRT239" s="16"/>
      <c r="SRU239" s="16"/>
      <c r="SRV239" s="16"/>
      <c r="SRW239" s="16"/>
      <c r="SRX239" s="16"/>
      <c r="SRY239" s="15"/>
      <c r="SRZ239" s="15"/>
      <c r="SSA239" s="10"/>
      <c r="SSB239" s="10"/>
      <c r="SSC239" s="19"/>
      <c r="SSD239" s="19"/>
      <c r="SSG239" s="16"/>
      <c r="SSH239" s="15"/>
      <c r="SSI239" s="15"/>
      <c r="SSJ239" s="15"/>
      <c r="SSK239" s="16"/>
      <c r="SSL239" s="16"/>
      <c r="SSM239" s="16"/>
      <c r="SSN239" s="16"/>
      <c r="SSO239" s="16"/>
      <c r="SSP239" s="15"/>
      <c r="SSQ239" s="15"/>
      <c r="SSR239" s="10"/>
      <c r="SSS239" s="10"/>
      <c r="SST239" s="19"/>
      <c r="SSU239" s="19"/>
      <c r="SSX239" s="16"/>
      <c r="SSY239" s="15"/>
      <c r="SSZ239" s="15"/>
      <c r="STA239" s="15"/>
      <c r="STB239" s="16"/>
      <c r="STC239" s="16"/>
      <c r="STD239" s="16"/>
      <c r="STE239" s="16"/>
      <c r="STF239" s="16"/>
      <c r="STG239" s="15"/>
      <c r="STH239" s="15"/>
      <c r="STI239" s="10"/>
      <c r="STJ239" s="10"/>
      <c r="STK239" s="19"/>
      <c r="STL239" s="19"/>
      <c r="STO239" s="16"/>
      <c r="STP239" s="15"/>
      <c r="STQ239" s="15"/>
      <c r="STR239" s="15"/>
      <c r="STS239" s="16"/>
      <c r="STT239" s="16"/>
      <c r="STU239" s="16"/>
      <c r="STV239" s="16"/>
      <c r="STW239" s="16"/>
      <c r="STX239" s="15"/>
      <c r="STY239" s="15"/>
      <c r="STZ239" s="10"/>
      <c r="SUA239" s="10"/>
      <c r="SUB239" s="19"/>
      <c r="SUC239" s="19"/>
      <c r="SUF239" s="16"/>
      <c r="SUG239" s="15"/>
      <c r="SUH239" s="15"/>
      <c r="SUI239" s="15"/>
      <c r="SUJ239" s="16"/>
      <c r="SUK239" s="16"/>
      <c r="SUL239" s="16"/>
      <c r="SUM239" s="16"/>
      <c r="SUN239" s="16"/>
      <c r="SUO239" s="15"/>
      <c r="SUP239" s="15"/>
      <c r="SUQ239" s="10"/>
      <c r="SUR239" s="10"/>
      <c r="SUS239" s="19"/>
      <c r="SUT239" s="19"/>
      <c r="SUW239" s="16"/>
      <c r="SUX239" s="15"/>
      <c r="SUY239" s="15"/>
      <c r="SUZ239" s="15"/>
      <c r="SVA239" s="16"/>
      <c r="SVB239" s="16"/>
      <c r="SVC239" s="16"/>
      <c r="SVD239" s="16"/>
      <c r="SVE239" s="16"/>
      <c r="SVF239" s="15"/>
      <c r="SVG239" s="15"/>
      <c r="SVH239" s="10"/>
      <c r="SVI239" s="10"/>
      <c r="SVJ239" s="19"/>
      <c r="SVK239" s="19"/>
      <c r="SVN239" s="16"/>
      <c r="SVO239" s="15"/>
      <c r="SVP239" s="15"/>
      <c r="SVQ239" s="15"/>
      <c r="SVR239" s="16"/>
      <c r="SVS239" s="16"/>
      <c r="SVT239" s="16"/>
      <c r="SVU239" s="16"/>
      <c r="SVV239" s="16"/>
      <c r="SVW239" s="15"/>
      <c r="SVX239" s="15"/>
      <c r="SVY239" s="10"/>
      <c r="SVZ239" s="10"/>
      <c r="SWA239" s="19"/>
      <c r="SWB239" s="19"/>
      <c r="SWE239" s="16"/>
      <c r="SWF239" s="15"/>
      <c r="SWG239" s="15"/>
      <c r="SWH239" s="15"/>
      <c r="SWI239" s="16"/>
      <c r="SWJ239" s="16"/>
      <c r="SWK239" s="16"/>
      <c r="SWL239" s="16"/>
      <c r="SWM239" s="16"/>
      <c r="SWN239" s="15"/>
      <c r="SWO239" s="15"/>
      <c r="SWP239" s="10"/>
      <c r="SWQ239" s="10"/>
      <c r="SWR239" s="19"/>
      <c r="SWS239" s="19"/>
      <c r="SWV239" s="16"/>
      <c r="SWW239" s="15"/>
      <c r="SWX239" s="15"/>
      <c r="SWY239" s="15"/>
      <c r="SWZ239" s="16"/>
      <c r="SXA239" s="16"/>
      <c r="SXB239" s="16"/>
      <c r="SXC239" s="16"/>
      <c r="SXD239" s="16"/>
      <c r="SXE239" s="15"/>
      <c r="SXF239" s="15"/>
      <c r="SXG239" s="10"/>
      <c r="SXH239" s="10"/>
      <c r="SXI239" s="19"/>
      <c r="SXJ239" s="19"/>
      <c r="SXM239" s="16"/>
      <c r="SXN239" s="15"/>
      <c r="SXO239" s="15"/>
      <c r="SXP239" s="15"/>
      <c r="SXQ239" s="16"/>
      <c r="SXR239" s="16"/>
      <c r="SXS239" s="16"/>
      <c r="SXT239" s="16"/>
      <c r="SXU239" s="16"/>
      <c r="SXV239" s="15"/>
      <c r="SXW239" s="15"/>
      <c r="SXX239" s="10"/>
      <c r="SXY239" s="10"/>
      <c r="SXZ239" s="19"/>
      <c r="SYA239" s="19"/>
      <c r="SYD239" s="16"/>
      <c r="SYE239" s="15"/>
      <c r="SYF239" s="15"/>
      <c r="SYG239" s="15"/>
      <c r="SYH239" s="16"/>
      <c r="SYI239" s="16"/>
      <c r="SYJ239" s="16"/>
      <c r="SYK239" s="16"/>
      <c r="SYL239" s="16"/>
      <c r="SYM239" s="15"/>
      <c r="SYN239" s="15"/>
      <c r="SYO239" s="10"/>
      <c r="SYP239" s="10"/>
      <c r="SYQ239" s="19"/>
      <c r="SYR239" s="19"/>
      <c r="SYU239" s="16"/>
      <c r="SYV239" s="15"/>
      <c r="SYW239" s="15"/>
      <c r="SYX239" s="15"/>
      <c r="SYY239" s="16"/>
      <c r="SYZ239" s="16"/>
      <c r="SZA239" s="16"/>
      <c r="SZB239" s="16"/>
      <c r="SZC239" s="16"/>
      <c r="SZD239" s="15"/>
      <c r="SZE239" s="15"/>
      <c r="SZF239" s="10"/>
      <c r="SZG239" s="10"/>
      <c r="SZH239" s="19"/>
      <c r="SZI239" s="19"/>
      <c r="SZL239" s="16"/>
      <c r="SZM239" s="15"/>
      <c r="SZN239" s="15"/>
      <c r="SZO239" s="15"/>
      <c r="SZP239" s="16"/>
      <c r="SZQ239" s="16"/>
      <c r="SZR239" s="16"/>
      <c r="SZS239" s="16"/>
      <c r="SZT239" s="16"/>
      <c r="SZU239" s="15"/>
      <c r="SZV239" s="15"/>
      <c r="SZW239" s="10"/>
      <c r="SZX239" s="10"/>
      <c r="SZY239" s="19"/>
      <c r="SZZ239" s="19"/>
      <c r="TAC239" s="16"/>
      <c r="TAD239" s="15"/>
      <c r="TAE239" s="15"/>
      <c r="TAF239" s="15"/>
      <c r="TAG239" s="16"/>
      <c r="TAH239" s="16"/>
      <c r="TAI239" s="16"/>
      <c r="TAJ239" s="16"/>
      <c r="TAK239" s="16"/>
      <c r="TAL239" s="15"/>
      <c r="TAM239" s="15"/>
      <c r="TAN239" s="10"/>
      <c r="TAO239" s="10"/>
      <c r="TAP239" s="19"/>
      <c r="TAQ239" s="19"/>
      <c r="TAT239" s="16"/>
      <c r="TAU239" s="15"/>
      <c r="TAV239" s="15"/>
      <c r="TAW239" s="15"/>
      <c r="TAX239" s="16"/>
      <c r="TAY239" s="16"/>
      <c r="TAZ239" s="16"/>
      <c r="TBA239" s="16"/>
      <c r="TBB239" s="16"/>
      <c r="TBC239" s="15"/>
      <c r="TBD239" s="15"/>
      <c r="TBE239" s="10"/>
      <c r="TBF239" s="10"/>
      <c r="TBG239" s="19"/>
      <c r="TBH239" s="19"/>
      <c r="TBK239" s="16"/>
      <c r="TBL239" s="15"/>
      <c r="TBM239" s="15"/>
      <c r="TBN239" s="15"/>
      <c r="TBO239" s="16"/>
      <c r="TBP239" s="16"/>
      <c r="TBQ239" s="16"/>
      <c r="TBR239" s="16"/>
      <c r="TBS239" s="16"/>
      <c r="TBT239" s="15"/>
      <c r="TBU239" s="15"/>
      <c r="TBV239" s="10"/>
      <c r="TBW239" s="10"/>
      <c r="TBX239" s="19"/>
      <c r="TBY239" s="19"/>
      <c r="TCB239" s="16"/>
      <c r="TCC239" s="15"/>
      <c r="TCD239" s="15"/>
      <c r="TCE239" s="15"/>
      <c r="TCF239" s="16"/>
      <c r="TCG239" s="16"/>
      <c r="TCH239" s="16"/>
      <c r="TCI239" s="16"/>
      <c r="TCJ239" s="16"/>
      <c r="TCK239" s="15"/>
      <c r="TCL239" s="15"/>
      <c r="TCM239" s="10"/>
      <c r="TCN239" s="10"/>
      <c r="TCO239" s="19"/>
      <c r="TCP239" s="19"/>
      <c r="TCS239" s="16"/>
      <c r="TCT239" s="15"/>
      <c r="TCU239" s="15"/>
      <c r="TCV239" s="15"/>
      <c r="TCW239" s="16"/>
      <c r="TCX239" s="16"/>
      <c r="TCY239" s="16"/>
      <c r="TCZ239" s="16"/>
      <c r="TDA239" s="16"/>
      <c r="TDB239" s="15"/>
      <c r="TDC239" s="15"/>
      <c r="TDD239" s="10"/>
      <c r="TDE239" s="10"/>
      <c r="TDF239" s="19"/>
      <c r="TDG239" s="19"/>
      <c r="TDJ239" s="16"/>
      <c r="TDK239" s="15"/>
      <c r="TDL239" s="15"/>
      <c r="TDM239" s="15"/>
      <c r="TDN239" s="16"/>
      <c r="TDO239" s="16"/>
      <c r="TDP239" s="16"/>
      <c r="TDQ239" s="16"/>
      <c r="TDR239" s="16"/>
      <c r="TDS239" s="15"/>
      <c r="TDT239" s="15"/>
      <c r="TDU239" s="10"/>
      <c r="TDV239" s="10"/>
      <c r="TDW239" s="19"/>
      <c r="TDX239" s="19"/>
      <c r="TEA239" s="16"/>
      <c r="TEB239" s="15"/>
      <c r="TEC239" s="15"/>
      <c r="TED239" s="15"/>
      <c r="TEE239" s="16"/>
      <c r="TEF239" s="16"/>
      <c r="TEG239" s="16"/>
      <c r="TEH239" s="16"/>
      <c r="TEI239" s="16"/>
      <c r="TEJ239" s="15"/>
      <c r="TEK239" s="15"/>
      <c r="TEL239" s="10"/>
      <c r="TEM239" s="10"/>
      <c r="TEN239" s="19"/>
      <c r="TEO239" s="19"/>
      <c r="TER239" s="16"/>
      <c r="TES239" s="15"/>
      <c r="TET239" s="15"/>
      <c r="TEU239" s="15"/>
      <c r="TEV239" s="16"/>
      <c r="TEW239" s="16"/>
      <c r="TEX239" s="16"/>
      <c r="TEY239" s="16"/>
      <c r="TEZ239" s="16"/>
      <c r="TFA239" s="15"/>
      <c r="TFB239" s="15"/>
      <c r="TFC239" s="10"/>
      <c r="TFD239" s="10"/>
      <c r="TFE239" s="19"/>
      <c r="TFF239" s="19"/>
      <c r="TFI239" s="16"/>
      <c r="TFJ239" s="15"/>
      <c r="TFK239" s="15"/>
      <c r="TFL239" s="15"/>
      <c r="TFM239" s="16"/>
      <c r="TFN239" s="16"/>
      <c r="TFO239" s="16"/>
      <c r="TFP239" s="16"/>
      <c r="TFQ239" s="16"/>
      <c r="TFR239" s="15"/>
      <c r="TFS239" s="15"/>
      <c r="TFT239" s="10"/>
      <c r="TFU239" s="10"/>
      <c r="TFV239" s="19"/>
      <c r="TFW239" s="19"/>
      <c r="TFZ239" s="16"/>
      <c r="TGA239" s="15"/>
      <c r="TGB239" s="15"/>
      <c r="TGC239" s="15"/>
      <c r="TGD239" s="16"/>
      <c r="TGE239" s="16"/>
      <c r="TGF239" s="16"/>
      <c r="TGG239" s="16"/>
      <c r="TGH239" s="16"/>
      <c r="TGI239" s="15"/>
      <c r="TGJ239" s="15"/>
      <c r="TGK239" s="10"/>
      <c r="TGL239" s="10"/>
      <c r="TGM239" s="19"/>
      <c r="TGN239" s="19"/>
      <c r="TGQ239" s="16"/>
      <c r="TGR239" s="15"/>
      <c r="TGS239" s="15"/>
      <c r="TGT239" s="15"/>
      <c r="TGU239" s="16"/>
      <c r="TGV239" s="16"/>
      <c r="TGW239" s="16"/>
      <c r="TGX239" s="16"/>
      <c r="TGY239" s="16"/>
      <c r="TGZ239" s="15"/>
      <c r="THA239" s="15"/>
      <c r="THB239" s="10"/>
      <c r="THC239" s="10"/>
      <c r="THD239" s="19"/>
      <c r="THE239" s="19"/>
      <c r="THH239" s="16"/>
      <c r="THI239" s="15"/>
      <c r="THJ239" s="15"/>
      <c r="THK239" s="15"/>
      <c r="THL239" s="16"/>
      <c r="THM239" s="16"/>
      <c r="THN239" s="16"/>
      <c r="THO239" s="16"/>
      <c r="THP239" s="16"/>
      <c r="THQ239" s="15"/>
      <c r="THR239" s="15"/>
      <c r="THS239" s="10"/>
      <c r="THT239" s="10"/>
      <c r="THU239" s="19"/>
      <c r="THV239" s="19"/>
      <c r="THY239" s="16"/>
      <c r="THZ239" s="15"/>
      <c r="TIA239" s="15"/>
      <c r="TIB239" s="15"/>
      <c r="TIC239" s="16"/>
      <c r="TID239" s="16"/>
      <c r="TIE239" s="16"/>
      <c r="TIF239" s="16"/>
      <c r="TIG239" s="16"/>
      <c r="TIH239" s="15"/>
      <c r="TII239" s="15"/>
      <c r="TIJ239" s="10"/>
      <c r="TIK239" s="10"/>
      <c r="TIL239" s="19"/>
      <c r="TIM239" s="19"/>
      <c r="TIP239" s="16"/>
      <c r="TIQ239" s="15"/>
      <c r="TIR239" s="15"/>
      <c r="TIS239" s="15"/>
      <c r="TIT239" s="16"/>
      <c r="TIU239" s="16"/>
      <c r="TIV239" s="16"/>
      <c r="TIW239" s="16"/>
      <c r="TIX239" s="16"/>
      <c r="TIY239" s="15"/>
      <c r="TIZ239" s="15"/>
      <c r="TJA239" s="10"/>
      <c r="TJB239" s="10"/>
      <c r="TJC239" s="19"/>
      <c r="TJD239" s="19"/>
      <c r="TJG239" s="16"/>
      <c r="TJH239" s="15"/>
      <c r="TJI239" s="15"/>
      <c r="TJJ239" s="15"/>
      <c r="TJK239" s="16"/>
      <c r="TJL239" s="16"/>
      <c r="TJM239" s="16"/>
      <c r="TJN239" s="16"/>
      <c r="TJO239" s="16"/>
      <c r="TJP239" s="15"/>
      <c r="TJQ239" s="15"/>
      <c r="TJR239" s="10"/>
      <c r="TJS239" s="10"/>
      <c r="TJT239" s="19"/>
      <c r="TJU239" s="19"/>
      <c r="TJX239" s="16"/>
      <c r="TJY239" s="15"/>
      <c r="TJZ239" s="15"/>
      <c r="TKA239" s="15"/>
      <c r="TKB239" s="16"/>
      <c r="TKC239" s="16"/>
      <c r="TKD239" s="16"/>
      <c r="TKE239" s="16"/>
      <c r="TKF239" s="16"/>
      <c r="TKG239" s="15"/>
      <c r="TKH239" s="15"/>
      <c r="TKI239" s="10"/>
      <c r="TKJ239" s="10"/>
      <c r="TKK239" s="19"/>
      <c r="TKL239" s="19"/>
      <c r="TKO239" s="16"/>
      <c r="TKP239" s="15"/>
      <c r="TKQ239" s="15"/>
      <c r="TKR239" s="15"/>
      <c r="TKS239" s="16"/>
      <c r="TKT239" s="16"/>
      <c r="TKU239" s="16"/>
      <c r="TKV239" s="16"/>
      <c r="TKW239" s="16"/>
      <c r="TKX239" s="15"/>
      <c r="TKY239" s="15"/>
      <c r="TKZ239" s="10"/>
      <c r="TLA239" s="10"/>
      <c r="TLB239" s="19"/>
      <c r="TLC239" s="19"/>
      <c r="TLF239" s="16"/>
      <c r="TLG239" s="15"/>
      <c r="TLH239" s="15"/>
      <c r="TLI239" s="15"/>
      <c r="TLJ239" s="16"/>
      <c r="TLK239" s="16"/>
      <c r="TLL239" s="16"/>
      <c r="TLM239" s="16"/>
      <c r="TLN239" s="16"/>
      <c r="TLO239" s="15"/>
      <c r="TLP239" s="15"/>
      <c r="TLQ239" s="10"/>
      <c r="TLR239" s="10"/>
      <c r="TLS239" s="19"/>
      <c r="TLT239" s="19"/>
      <c r="TLW239" s="16"/>
      <c r="TLX239" s="15"/>
      <c r="TLY239" s="15"/>
      <c r="TLZ239" s="15"/>
      <c r="TMA239" s="16"/>
      <c r="TMB239" s="16"/>
      <c r="TMC239" s="16"/>
      <c r="TMD239" s="16"/>
      <c r="TME239" s="16"/>
      <c r="TMF239" s="15"/>
      <c r="TMG239" s="15"/>
      <c r="TMH239" s="10"/>
      <c r="TMI239" s="10"/>
      <c r="TMJ239" s="19"/>
      <c r="TMK239" s="19"/>
      <c r="TMN239" s="16"/>
      <c r="TMO239" s="15"/>
      <c r="TMP239" s="15"/>
      <c r="TMQ239" s="15"/>
      <c r="TMR239" s="16"/>
      <c r="TMS239" s="16"/>
      <c r="TMT239" s="16"/>
      <c r="TMU239" s="16"/>
      <c r="TMV239" s="16"/>
      <c r="TMW239" s="15"/>
      <c r="TMX239" s="15"/>
      <c r="TMY239" s="10"/>
      <c r="TMZ239" s="10"/>
      <c r="TNA239" s="19"/>
      <c r="TNB239" s="19"/>
      <c r="TNE239" s="16"/>
      <c r="TNF239" s="15"/>
      <c r="TNG239" s="15"/>
      <c r="TNH239" s="15"/>
      <c r="TNI239" s="16"/>
      <c r="TNJ239" s="16"/>
      <c r="TNK239" s="16"/>
      <c r="TNL239" s="16"/>
      <c r="TNM239" s="16"/>
      <c r="TNN239" s="15"/>
      <c r="TNO239" s="15"/>
      <c r="TNP239" s="10"/>
      <c r="TNQ239" s="10"/>
      <c r="TNR239" s="19"/>
      <c r="TNS239" s="19"/>
      <c r="TNV239" s="16"/>
      <c r="TNW239" s="15"/>
      <c r="TNX239" s="15"/>
      <c r="TNY239" s="15"/>
      <c r="TNZ239" s="16"/>
      <c r="TOA239" s="16"/>
      <c r="TOB239" s="16"/>
      <c r="TOC239" s="16"/>
      <c r="TOD239" s="16"/>
      <c r="TOE239" s="15"/>
      <c r="TOF239" s="15"/>
      <c r="TOG239" s="10"/>
      <c r="TOH239" s="10"/>
      <c r="TOI239" s="19"/>
      <c r="TOJ239" s="19"/>
      <c r="TOM239" s="16"/>
      <c r="TON239" s="15"/>
      <c r="TOO239" s="15"/>
      <c r="TOP239" s="15"/>
      <c r="TOQ239" s="16"/>
      <c r="TOR239" s="16"/>
      <c r="TOS239" s="16"/>
      <c r="TOT239" s="16"/>
      <c r="TOU239" s="16"/>
      <c r="TOV239" s="15"/>
      <c r="TOW239" s="15"/>
      <c r="TOX239" s="10"/>
      <c r="TOY239" s="10"/>
      <c r="TOZ239" s="19"/>
      <c r="TPA239" s="19"/>
      <c r="TPD239" s="16"/>
      <c r="TPE239" s="15"/>
      <c r="TPF239" s="15"/>
      <c r="TPG239" s="15"/>
      <c r="TPH239" s="16"/>
      <c r="TPI239" s="16"/>
      <c r="TPJ239" s="16"/>
      <c r="TPK239" s="16"/>
      <c r="TPL239" s="16"/>
      <c r="TPM239" s="15"/>
      <c r="TPN239" s="15"/>
      <c r="TPO239" s="10"/>
      <c r="TPP239" s="10"/>
      <c r="TPQ239" s="19"/>
      <c r="TPR239" s="19"/>
      <c r="TPU239" s="16"/>
      <c r="TPV239" s="15"/>
      <c r="TPW239" s="15"/>
      <c r="TPX239" s="15"/>
      <c r="TPY239" s="16"/>
      <c r="TPZ239" s="16"/>
      <c r="TQA239" s="16"/>
      <c r="TQB239" s="16"/>
      <c r="TQC239" s="16"/>
      <c r="TQD239" s="15"/>
      <c r="TQE239" s="15"/>
      <c r="TQF239" s="10"/>
      <c r="TQG239" s="10"/>
      <c r="TQH239" s="19"/>
      <c r="TQI239" s="19"/>
      <c r="TQL239" s="16"/>
      <c r="TQM239" s="15"/>
      <c r="TQN239" s="15"/>
      <c r="TQO239" s="15"/>
      <c r="TQP239" s="16"/>
      <c r="TQQ239" s="16"/>
      <c r="TQR239" s="16"/>
      <c r="TQS239" s="16"/>
      <c r="TQT239" s="16"/>
      <c r="TQU239" s="15"/>
      <c r="TQV239" s="15"/>
      <c r="TQW239" s="10"/>
      <c r="TQX239" s="10"/>
      <c r="TQY239" s="19"/>
      <c r="TQZ239" s="19"/>
      <c r="TRC239" s="16"/>
      <c r="TRD239" s="15"/>
      <c r="TRE239" s="15"/>
      <c r="TRF239" s="15"/>
      <c r="TRG239" s="16"/>
      <c r="TRH239" s="16"/>
      <c r="TRI239" s="16"/>
      <c r="TRJ239" s="16"/>
      <c r="TRK239" s="16"/>
      <c r="TRL239" s="15"/>
      <c r="TRM239" s="15"/>
      <c r="TRN239" s="10"/>
      <c r="TRO239" s="10"/>
      <c r="TRP239" s="19"/>
      <c r="TRQ239" s="19"/>
      <c r="TRT239" s="16"/>
      <c r="TRU239" s="15"/>
      <c r="TRV239" s="15"/>
      <c r="TRW239" s="15"/>
      <c r="TRX239" s="16"/>
      <c r="TRY239" s="16"/>
      <c r="TRZ239" s="16"/>
      <c r="TSA239" s="16"/>
      <c r="TSB239" s="16"/>
      <c r="TSC239" s="15"/>
      <c r="TSD239" s="15"/>
      <c r="TSE239" s="10"/>
      <c r="TSF239" s="10"/>
      <c r="TSG239" s="19"/>
      <c r="TSH239" s="19"/>
      <c r="TSK239" s="16"/>
      <c r="TSL239" s="15"/>
      <c r="TSM239" s="15"/>
      <c r="TSN239" s="15"/>
      <c r="TSO239" s="16"/>
      <c r="TSP239" s="16"/>
      <c r="TSQ239" s="16"/>
      <c r="TSR239" s="16"/>
      <c r="TSS239" s="16"/>
      <c r="TST239" s="15"/>
      <c r="TSU239" s="15"/>
      <c r="TSV239" s="10"/>
      <c r="TSW239" s="10"/>
      <c r="TSX239" s="19"/>
      <c r="TSY239" s="19"/>
      <c r="TTB239" s="16"/>
      <c r="TTC239" s="15"/>
      <c r="TTD239" s="15"/>
      <c r="TTE239" s="15"/>
      <c r="TTF239" s="16"/>
      <c r="TTG239" s="16"/>
      <c r="TTH239" s="16"/>
      <c r="TTI239" s="16"/>
      <c r="TTJ239" s="16"/>
      <c r="TTK239" s="15"/>
      <c r="TTL239" s="15"/>
      <c r="TTM239" s="10"/>
      <c r="TTN239" s="10"/>
      <c r="TTO239" s="19"/>
      <c r="TTP239" s="19"/>
      <c r="TTS239" s="16"/>
      <c r="TTT239" s="15"/>
      <c r="TTU239" s="15"/>
      <c r="TTV239" s="15"/>
      <c r="TTW239" s="16"/>
      <c r="TTX239" s="16"/>
      <c r="TTY239" s="16"/>
      <c r="TTZ239" s="16"/>
      <c r="TUA239" s="16"/>
      <c r="TUB239" s="15"/>
      <c r="TUC239" s="15"/>
      <c r="TUD239" s="10"/>
      <c r="TUE239" s="10"/>
      <c r="TUF239" s="19"/>
      <c r="TUG239" s="19"/>
      <c r="TUJ239" s="16"/>
      <c r="TUK239" s="15"/>
      <c r="TUL239" s="15"/>
      <c r="TUM239" s="15"/>
      <c r="TUN239" s="16"/>
      <c r="TUO239" s="16"/>
      <c r="TUP239" s="16"/>
      <c r="TUQ239" s="16"/>
      <c r="TUR239" s="16"/>
      <c r="TUS239" s="15"/>
      <c r="TUT239" s="15"/>
      <c r="TUU239" s="10"/>
      <c r="TUV239" s="10"/>
      <c r="TUW239" s="19"/>
      <c r="TUX239" s="19"/>
      <c r="TVA239" s="16"/>
      <c r="TVB239" s="15"/>
      <c r="TVC239" s="15"/>
      <c r="TVD239" s="15"/>
      <c r="TVE239" s="16"/>
      <c r="TVF239" s="16"/>
      <c r="TVG239" s="16"/>
      <c r="TVH239" s="16"/>
      <c r="TVI239" s="16"/>
      <c r="TVJ239" s="15"/>
      <c r="TVK239" s="15"/>
      <c r="TVL239" s="10"/>
      <c r="TVM239" s="10"/>
      <c r="TVN239" s="19"/>
      <c r="TVO239" s="19"/>
      <c r="TVR239" s="16"/>
      <c r="TVS239" s="15"/>
      <c r="TVT239" s="15"/>
      <c r="TVU239" s="15"/>
      <c r="TVV239" s="16"/>
      <c r="TVW239" s="16"/>
      <c r="TVX239" s="16"/>
      <c r="TVY239" s="16"/>
      <c r="TVZ239" s="16"/>
      <c r="TWA239" s="15"/>
      <c r="TWB239" s="15"/>
      <c r="TWC239" s="10"/>
      <c r="TWD239" s="10"/>
      <c r="TWE239" s="19"/>
      <c r="TWF239" s="19"/>
      <c r="TWI239" s="16"/>
      <c r="TWJ239" s="15"/>
      <c r="TWK239" s="15"/>
      <c r="TWL239" s="15"/>
      <c r="TWM239" s="16"/>
      <c r="TWN239" s="16"/>
      <c r="TWO239" s="16"/>
      <c r="TWP239" s="16"/>
      <c r="TWQ239" s="16"/>
      <c r="TWR239" s="15"/>
      <c r="TWS239" s="15"/>
      <c r="TWT239" s="10"/>
      <c r="TWU239" s="10"/>
      <c r="TWV239" s="19"/>
      <c r="TWW239" s="19"/>
      <c r="TWZ239" s="16"/>
      <c r="TXA239" s="15"/>
      <c r="TXB239" s="15"/>
      <c r="TXC239" s="15"/>
      <c r="TXD239" s="16"/>
      <c r="TXE239" s="16"/>
      <c r="TXF239" s="16"/>
      <c r="TXG239" s="16"/>
      <c r="TXH239" s="16"/>
      <c r="TXI239" s="15"/>
      <c r="TXJ239" s="15"/>
      <c r="TXK239" s="10"/>
      <c r="TXL239" s="10"/>
      <c r="TXM239" s="19"/>
      <c r="TXN239" s="19"/>
      <c r="TXQ239" s="16"/>
      <c r="TXR239" s="15"/>
      <c r="TXS239" s="15"/>
      <c r="TXT239" s="15"/>
      <c r="TXU239" s="16"/>
      <c r="TXV239" s="16"/>
      <c r="TXW239" s="16"/>
      <c r="TXX239" s="16"/>
      <c r="TXY239" s="16"/>
      <c r="TXZ239" s="15"/>
      <c r="TYA239" s="15"/>
      <c r="TYB239" s="10"/>
      <c r="TYC239" s="10"/>
      <c r="TYD239" s="19"/>
      <c r="TYE239" s="19"/>
      <c r="TYH239" s="16"/>
      <c r="TYI239" s="15"/>
      <c r="TYJ239" s="15"/>
      <c r="TYK239" s="15"/>
      <c r="TYL239" s="16"/>
      <c r="TYM239" s="16"/>
      <c r="TYN239" s="16"/>
      <c r="TYO239" s="16"/>
      <c r="TYP239" s="16"/>
      <c r="TYQ239" s="15"/>
      <c r="TYR239" s="15"/>
      <c r="TYS239" s="10"/>
      <c r="TYT239" s="10"/>
      <c r="TYU239" s="19"/>
      <c r="TYV239" s="19"/>
      <c r="TYY239" s="16"/>
      <c r="TYZ239" s="15"/>
      <c r="TZA239" s="15"/>
      <c r="TZB239" s="15"/>
      <c r="TZC239" s="16"/>
      <c r="TZD239" s="16"/>
      <c r="TZE239" s="16"/>
      <c r="TZF239" s="16"/>
      <c r="TZG239" s="16"/>
      <c r="TZH239" s="15"/>
      <c r="TZI239" s="15"/>
      <c r="TZJ239" s="10"/>
      <c r="TZK239" s="10"/>
      <c r="TZL239" s="19"/>
      <c r="TZM239" s="19"/>
      <c r="TZP239" s="16"/>
      <c r="TZQ239" s="15"/>
      <c r="TZR239" s="15"/>
      <c r="TZS239" s="15"/>
      <c r="TZT239" s="16"/>
      <c r="TZU239" s="16"/>
      <c r="TZV239" s="16"/>
      <c r="TZW239" s="16"/>
      <c r="TZX239" s="16"/>
      <c r="TZY239" s="15"/>
      <c r="TZZ239" s="15"/>
      <c r="UAA239" s="10"/>
      <c r="UAB239" s="10"/>
      <c r="UAC239" s="19"/>
      <c r="UAD239" s="19"/>
      <c r="UAG239" s="16"/>
      <c r="UAH239" s="15"/>
      <c r="UAI239" s="15"/>
      <c r="UAJ239" s="15"/>
      <c r="UAK239" s="16"/>
      <c r="UAL239" s="16"/>
      <c r="UAM239" s="16"/>
      <c r="UAN239" s="16"/>
      <c r="UAO239" s="16"/>
      <c r="UAP239" s="15"/>
      <c r="UAQ239" s="15"/>
      <c r="UAR239" s="10"/>
      <c r="UAS239" s="10"/>
      <c r="UAT239" s="19"/>
      <c r="UAU239" s="19"/>
      <c r="UAX239" s="16"/>
      <c r="UAY239" s="15"/>
      <c r="UAZ239" s="15"/>
      <c r="UBA239" s="15"/>
      <c r="UBB239" s="16"/>
      <c r="UBC239" s="16"/>
      <c r="UBD239" s="16"/>
      <c r="UBE239" s="16"/>
      <c r="UBF239" s="16"/>
      <c r="UBG239" s="15"/>
      <c r="UBH239" s="15"/>
      <c r="UBI239" s="10"/>
      <c r="UBJ239" s="10"/>
      <c r="UBK239" s="19"/>
      <c r="UBL239" s="19"/>
      <c r="UBO239" s="16"/>
      <c r="UBP239" s="15"/>
      <c r="UBQ239" s="15"/>
      <c r="UBR239" s="15"/>
      <c r="UBS239" s="16"/>
      <c r="UBT239" s="16"/>
      <c r="UBU239" s="16"/>
      <c r="UBV239" s="16"/>
      <c r="UBW239" s="16"/>
      <c r="UBX239" s="15"/>
      <c r="UBY239" s="15"/>
      <c r="UBZ239" s="10"/>
      <c r="UCA239" s="10"/>
      <c r="UCB239" s="19"/>
      <c r="UCC239" s="19"/>
      <c r="UCF239" s="16"/>
      <c r="UCG239" s="15"/>
      <c r="UCH239" s="15"/>
      <c r="UCI239" s="15"/>
      <c r="UCJ239" s="16"/>
      <c r="UCK239" s="16"/>
      <c r="UCL239" s="16"/>
      <c r="UCM239" s="16"/>
      <c r="UCN239" s="16"/>
      <c r="UCO239" s="15"/>
      <c r="UCP239" s="15"/>
      <c r="UCQ239" s="10"/>
      <c r="UCR239" s="10"/>
      <c r="UCS239" s="19"/>
      <c r="UCT239" s="19"/>
      <c r="UCW239" s="16"/>
      <c r="UCX239" s="15"/>
      <c r="UCY239" s="15"/>
      <c r="UCZ239" s="15"/>
      <c r="UDA239" s="16"/>
      <c r="UDB239" s="16"/>
      <c r="UDC239" s="16"/>
      <c r="UDD239" s="16"/>
      <c r="UDE239" s="16"/>
      <c r="UDF239" s="15"/>
      <c r="UDG239" s="15"/>
      <c r="UDH239" s="10"/>
      <c r="UDI239" s="10"/>
      <c r="UDJ239" s="19"/>
      <c r="UDK239" s="19"/>
      <c r="UDN239" s="16"/>
      <c r="UDO239" s="15"/>
      <c r="UDP239" s="15"/>
      <c r="UDQ239" s="15"/>
      <c r="UDR239" s="16"/>
      <c r="UDS239" s="16"/>
      <c r="UDT239" s="16"/>
      <c r="UDU239" s="16"/>
      <c r="UDV239" s="16"/>
      <c r="UDW239" s="15"/>
      <c r="UDX239" s="15"/>
      <c r="UDY239" s="10"/>
      <c r="UDZ239" s="10"/>
      <c r="UEA239" s="19"/>
      <c r="UEB239" s="19"/>
      <c r="UEE239" s="16"/>
      <c r="UEF239" s="15"/>
      <c r="UEG239" s="15"/>
      <c r="UEH239" s="15"/>
      <c r="UEI239" s="16"/>
      <c r="UEJ239" s="16"/>
      <c r="UEK239" s="16"/>
      <c r="UEL239" s="16"/>
      <c r="UEM239" s="16"/>
      <c r="UEN239" s="15"/>
      <c r="UEO239" s="15"/>
      <c r="UEP239" s="10"/>
      <c r="UEQ239" s="10"/>
      <c r="UER239" s="19"/>
      <c r="UES239" s="19"/>
      <c r="UEV239" s="16"/>
      <c r="UEW239" s="15"/>
      <c r="UEX239" s="15"/>
      <c r="UEY239" s="15"/>
      <c r="UEZ239" s="16"/>
      <c r="UFA239" s="16"/>
      <c r="UFB239" s="16"/>
      <c r="UFC239" s="16"/>
      <c r="UFD239" s="16"/>
      <c r="UFE239" s="15"/>
      <c r="UFF239" s="15"/>
      <c r="UFG239" s="10"/>
      <c r="UFH239" s="10"/>
      <c r="UFI239" s="19"/>
      <c r="UFJ239" s="19"/>
      <c r="UFM239" s="16"/>
      <c r="UFN239" s="15"/>
      <c r="UFO239" s="15"/>
      <c r="UFP239" s="15"/>
      <c r="UFQ239" s="16"/>
      <c r="UFR239" s="16"/>
      <c r="UFS239" s="16"/>
      <c r="UFT239" s="16"/>
      <c r="UFU239" s="16"/>
      <c r="UFV239" s="15"/>
      <c r="UFW239" s="15"/>
      <c r="UFX239" s="10"/>
      <c r="UFY239" s="10"/>
      <c r="UFZ239" s="19"/>
      <c r="UGA239" s="19"/>
      <c r="UGD239" s="16"/>
      <c r="UGE239" s="15"/>
      <c r="UGF239" s="15"/>
      <c r="UGG239" s="15"/>
      <c r="UGH239" s="16"/>
      <c r="UGI239" s="16"/>
      <c r="UGJ239" s="16"/>
      <c r="UGK239" s="16"/>
      <c r="UGL239" s="16"/>
      <c r="UGM239" s="15"/>
      <c r="UGN239" s="15"/>
      <c r="UGO239" s="10"/>
      <c r="UGP239" s="10"/>
      <c r="UGQ239" s="19"/>
      <c r="UGR239" s="19"/>
      <c r="UGU239" s="16"/>
      <c r="UGV239" s="15"/>
      <c r="UGW239" s="15"/>
      <c r="UGX239" s="15"/>
      <c r="UGY239" s="16"/>
      <c r="UGZ239" s="16"/>
      <c r="UHA239" s="16"/>
      <c r="UHB239" s="16"/>
      <c r="UHC239" s="16"/>
      <c r="UHD239" s="15"/>
      <c r="UHE239" s="15"/>
      <c r="UHF239" s="10"/>
      <c r="UHG239" s="10"/>
      <c r="UHH239" s="19"/>
      <c r="UHI239" s="19"/>
      <c r="UHL239" s="16"/>
      <c r="UHM239" s="15"/>
      <c r="UHN239" s="15"/>
      <c r="UHO239" s="15"/>
      <c r="UHP239" s="16"/>
      <c r="UHQ239" s="16"/>
      <c r="UHR239" s="16"/>
      <c r="UHS239" s="16"/>
      <c r="UHT239" s="16"/>
      <c r="UHU239" s="15"/>
      <c r="UHV239" s="15"/>
      <c r="UHW239" s="10"/>
      <c r="UHX239" s="10"/>
      <c r="UHY239" s="19"/>
      <c r="UHZ239" s="19"/>
      <c r="UIC239" s="16"/>
      <c r="UID239" s="15"/>
      <c r="UIE239" s="15"/>
      <c r="UIF239" s="15"/>
      <c r="UIG239" s="16"/>
      <c r="UIH239" s="16"/>
      <c r="UII239" s="16"/>
      <c r="UIJ239" s="16"/>
      <c r="UIK239" s="16"/>
      <c r="UIL239" s="15"/>
      <c r="UIM239" s="15"/>
      <c r="UIN239" s="10"/>
      <c r="UIO239" s="10"/>
      <c r="UIP239" s="19"/>
      <c r="UIQ239" s="19"/>
      <c r="UIT239" s="16"/>
      <c r="UIU239" s="15"/>
      <c r="UIV239" s="15"/>
      <c r="UIW239" s="15"/>
      <c r="UIX239" s="16"/>
      <c r="UIY239" s="16"/>
      <c r="UIZ239" s="16"/>
      <c r="UJA239" s="16"/>
      <c r="UJB239" s="16"/>
      <c r="UJC239" s="15"/>
      <c r="UJD239" s="15"/>
      <c r="UJE239" s="10"/>
      <c r="UJF239" s="10"/>
      <c r="UJG239" s="19"/>
      <c r="UJH239" s="19"/>
      <c r="UJK239" s="16"/>
      <c r="UJL239" s="15"/>
      <c r="UJM239" s="15"/>
      <c r="UJN239" s="15"/>
      <c r="UJO239" s="16"/>
      <c r="UJP239" s="16"/>
      <c r="UJQ239" s="16"/>
      <c r="UJR239" s="16"/>
      <c r="UJS239" s="16"/>
      <c r="UJT239" s="15"/>
      <c r="UJU239" s="15"/>
      <c r="UJV239" s="10"/>
      <c r="UJW239" s="10"/>
      <c r="UJX239" s="19"/>
      <c r="UJY239" s="19"/>
      <c r="UKB239" s="16"/>
      <c r="UKC239" s="15"/>
      <c r="UKD239" s="15"/>
      <c r="UKE239" s="15"/>
      <c r="UKF239" s="16"/>
      <c r="UKG239" s="16"/>
      <c r="UKH239" s="16"/>
      <c r="UKI239" s="16"/>
      <c r="UKJ239" s="16"/>
      <c r="UKK239" s="15"/>
      <c r="UKL239" s="15"/>
      <c r="UKM239" s="10"/>
      <c r="UKN239" s="10"/>
      <c r="UKO239" s="19"/>
      <c r="UKP239" s="19"/>
      <c r="UKS239" s="16"/>
      <c r="UKT239" s="15"/>
      <c r="UKU239" s="15"/>
      <c r="UKV239" s="15"/>
      <c r="UKW239" s="16"/>
      <c r="UKX239" s="16"/>
      <c r="UKY239" s="16"/>
      <c r="UKZ239" s="16"/>
      <c r="ULA239" s="16"/>
      <c r="ULB239" s="15"/>
      <c r="ULC239" s="15"/>
      <c r="ULD239" s="10"/>
      <c r="ULE239" s="10"/>
      <c r="ULF239" s="19"/>
      <c r="ULG239" s="19"/>
      <c r="ULJ239" s="16"/>
      <c r="ULK239" s="15"/>
      <c r="ULL239" s="15"/>
      <c r="ULM239" s="15"/>
      <c r="ULN239" s="16"/>
      <c r="ULO239" s="16"/>
      <c r="ULP239" s="16"/>
      <c r="ULQ239" s="16"/>
      <c r="ULR239" s="16"/>
      <c r="ULS239" s="15"/>
      <c r="ULT239" s="15"/>
      <c r="ULU239" s="10"/>
      <c r="ULV239" s="10"/>
      <c r="ULW239" s="19"/>
      <c r="ULX239" s="19"/>
      <c r="UMA239" s="16"/>
      <c r="UMB239" s="15"/>
      <c r="UMC239" s="15"/>
      <c r="UMD239" s="15"/>
      <c r="UME239" s="16"/>
      <c r="UMF239" s="16"/>
      <c r="UMG239" s="16"/>
      <c r="UMH239" s="16"/>
      <c r="UMI239" s="16"/>
      <c r="UMJ239" s="15"/>
      <c r="UMK239" s="15"/>
      <c r="UML239" s="10"/>
      <c r="UMM239" s="10"/>
      <c r="UMN239" s="19"/>
      <c r="UMO239" s="19"/>
      <c r="UMR239" s="16"/>
      <c r="UMS239" s="15"/>
      <c r="UMT239" s="15"/>
      <c r="UMU239" s="15"/>
      <c r="UMV239" s="16"/>
      <c r="UMW239" s="16"/>
      <c r="UMX239" s="16"/>
      <c r="UMY239" s="16"/>
      <c r="UMZ239" s="16"/>
      <c r="UNA239" s="15"/>
      <c r="UNB239" s="15"/>
      <c r="UNC239" s="10"/>
      <c r="UND239" s="10"/>
      <c r="UNE239" s="19"/>
      <c r="UNF239" s="19"/>
      <c r="UNI239" s="16"/>
      <c r="UNJ239" s="15"/>
      <c r="UNK239" s="15"/>
      <c r="UNL239" s="15"/>
      <c r="UNM239" s="16"/>
      <c r="UNN239" s="16"/>
      <c r="UNO239" s="16"/>
      <c r="UNP239" s="16"/>
      <c r="UNQ239" s="16"/>
      <c r="UNR239" s="15"/>
      <c r="UNS239" s="15"/>
      <c r="UNT239" s="10"/>
      <c r="UNU239" s="10"/>
      <c r="UNV239" s="19"/>
      <c r="UNW239" s="19"/>
      <c r="UNZ239" s="16"/>
      <c r="UOA239" s="15"/>
      <c r="UOB239" s="15"/>
      <c r="UOC239" s="15"/>
      <c r="UOD239" s="16"/>
      <c r="UOE239" s="16"/>
      <c r="UOF239" s="16"/>
      <c r="UOG239" s="16"/>
      <c r="UOH239" s="16"/>
      <c r="UOI239" s="15"/>
      <c r="UOJ239" s="15"/>
      <c r="UOK239" s="10"/>
      <c r="UOL239" s="10"/>
      <c r="UOM239" s="19"/>
      <c r="UON239" s="19"/>
      <c r="UOQ239" s="16"/>
      <c r="UOR239" s="15"/>
      <c r="UOS239" s="15"/>
      <c r="UOT239" s="15"/>
      <c r="UOU239" s="16"/>
      <c r="UOV239" s="16"/>
      <c r="UOW239" s="16"/>
      <c r="UOX239" s="16"/>
      <c r="UOY239" s="16"/>
      <c r="UOZ239" s="15"/>
      <c r="UPA239" s="15"/>
      <c r="UPB239" s="10"/>
      <c r="UPC239" s="10"/>
      <c r="UPD239" s="19"/>
      <c r="UPE239" s="19"/>
      <c r="UPH239" s="16"/>
      <c r="UPI239" s="15"/>
      <c r="UPJ239" s="15"/>
      <c r="UPK239" s="15"/>
      <c r="UPL239" s="16"/>
      <c r="UPM239" s="16"/>
      <c r="UPN239" s="16"/>
      <c r="UPO239" s="16"/>
      <c r="UPP239" s="16"/>
      <c r="UPQ239" s="15"/>
      <c r="UPR239" s="15"/>
      <c r="UPS239" s="10"/>
      <c r="UPT239" s="10"/>
      <c r="UPU239" s="19"/>
      <c r="UPV239" s="19"/>
      <c r="UPY239" s="16"/>
      <c r="UPZ239" s="15"/>
      <c r="UQA239" s="15"/>
      <c r="UQB239" s="15"/>
      <c r="UQC239" s="16"/>
      <c r="UQD239" s="16"/>
      <c r="UQE239" s="16"/>
      <c r="UQF239" s="16"/>
      <c r="UQG239" s="16"/>
      <c r="UQH239" s="15"/>
      <c r="UQI239" s="15"/>
      <c r="UQJ239" s="10"/>
      <c r="UQK239" s="10"/>
      <c r="UQL239" s="19"/>
      <c r="UQM239" s="19"/>
      <c r="UQP239" s="16"/>
      <c r="UQQ239" s="15"/>
      <c r="UQR239" s="15"/>
      <c r="UQS239" s="15"/>
      <c r="UQT239" s="16"/>
      <c r="UQU239" s="16"/>
      <c r="UQV239" s="16"/>
      <c r="UQW239" s="16"/>
      <c r="UQX239" s="16"/>
      <c r="UQY239" s="15"/>
      <c r="UQZ239" s="15"/>
      <c r="URA239" s="10"/>
      <c r="URB239" s="10"/>
      <c r="URC239" s="19"/>
      <c r="URD239" s="19"/>
      <c r="URG239" s="16"/>
      <c r="URH239" s="15"/>
      <c r="URI239" s="15"/>
      <c r="URJ239" s="15"/>
      <c r="URK239" s="16"/>
      <c r="URL239" s="16"/>
      <c r="URM239" s="16"/>
      <c r="URN239" s="16"/>
      <c r="URO239" s="16"/>
      <c r="URP239" s="15"/>
      <c r="URQ239" s="15"/>
      <c r="URR239" s="10"/>
      <c r="URS239" s="10"/>
      <c r="URT239" s="19"/>
      <c r="URU239" s="19"/>
      <c r="URX239" s="16"/>
      <c r="URY239" s="15"/>
      <c r="URZ239" s="15"/>
      <c r="USA239" s="15"/>
      <c r="USB239" s="16"/>
      <c r="USC239" s="16"/>
      <c r="USD239" s="16"/>
      <c r="USE239" s="16"/>
      <c r="USF239" s="16"/>
      <c r="USG239" s="15"/>
      <c r="USH239" s="15"/>
      <c r="USI239" s="10"/>
      <c r="USJ239" s="10"/>
      <c r="USK239" s="19"/>
      <c r="USL239" s="19"/>
      <c r="USO239" s="16"/>
      <c r="USP239" s="15"/>
      <c r="USQ239" s="15"/>
      <c r="USR239" s="15"/>
      <c r="USS239" s="16"/>
      <c r="UST239" s="16"/>
      <c r="USU239" s="16"/>
      <c r="USV239" s="16"/>
      <c r="USW239" s="16"/>
      <c r="USX239" s="15"/>
      <c r="USY239" s="15"/>
      <c r="USZ239" s="10"/>
      <c r="UTA239" s="10"/>
      <c r="UTB239" s="19"/>
      <c r="UTC239" s="19"/>
      <c r="UTF239" s="16"/>
      <c r="UTG239" s="15"/>
      <c r="UTH239" s="15"/>
      <c r="UTI239" s="15"/>
      <c r="UTJ239" s="16"/>
      <c r="UTK239" s="16"/>
      <c r="UTL239" s="16"/>
      <c r="UTM239" s="16"/>
      <c r="UTN239" s="16"/>
      <c r="UTO239" s="15"/>
      <c r="UTP239" s="15"/>
      <c r="UTQ239" s="10"/>
      <c r="UTR239" s="10"/>
      <c r="UTS239" s="19"/>
      <c r="UTT239" s="19"/>
      <c r="UTW239" s="16"/>
      <c r="UTX239" s="15"/>
      <c r="UTY239" s="15"/>
      <c r="UTZ239" s="15"/>
      <c r="UUA239" s="16"/>
      <c r="UUB239" s="16"/>
      <c r="UUC239" s="16"/>
      <c r="UUD239" s="16"/>
      <c r="UUE239" s="16"/>
      <c r="UUF239" s="15"/>
      <c r="UUG239" s="15"/>
      <c r="UUH239" s="10"/>
      <c r="UUI239" s="10"/>
      <c r="UUJ239" s="19"/>
      <c r="UUK239" s="19"/>
      <c r="UUN239" s="16"/>
      <c r="UUO239" s="15"/>
      <c r="UUP239" s="15"/>
      <c r="UUQ239" s="15"/>
      <c r="UUR239" s="16"/>
      <c r="UUS239" s="16"/>
      <c r="UUT239" s="16"/>
      <c r="UUU239" s="16"/>
      <c r="UUV239" s="16"/>
      <c r="UUW239" s="15"/>
      <c r="UUX239" s="15"/>
      <c r="UUY239" s="10"/>
      <c r="UUZ239" s="10"/>
      <c r="UVA239" s="19"/>
      <c r="UVB239" s="19"/>
      <c r="UVE239" s="16"/>
      <c r="UVF239" s="15"/>
      <c r="UVG239" s="15"/>
      <c r="UVH239" s="15"/>
      <c r="UVI239" s="16"/>
      <c r="UVJ239" s="16"/>
      <c r="UVK239" s="16"/>
      <c r="UVL239" s="16"/>
      <c r="UVM239" s="16"/>
      <c r="UVN239" s="15"/>
      <c r="UVO239" s="15"/>
      <c r="UVP239" s="10"/>
      <c r="UVQ239" s="10"/>
      <c r="UVR239" s="19"/>
      <c r="UVS239" s="19"/>
      <c r="UVV239" s="16"/>
      <c r="UVW239" s="15"/>
      <c r="UVX239" s="15"/>
      <c r="UVY239" s="15"/>
      <c r="UVZ239" s="16"/>
      <c r="UWA239" s="16"/>
      <c r="UWB239" s="16"/>
      <c r="UWC239" s="16"/>
      <c r="UWD239" s="16"/>
      <c r="UWE239" s="15"/>
      <c r="UWF239" s="15"/>
      <c r="UWG239" s="10"/>
      <c r="UWH239" s="10"/>
      <c r="UWI239" s="19"/>
      <c r="UWJ239" s="19"/>
      <c r="UWM239" s="16"/>
      <c r="UWN239" s="15"/>
      <c r="UWO239" s="15"/>
      <c r="UWP239" s="15"/>
      <c r="UWQ239" s="16"/>
      <c r="UWR239" s="16"/>
      <c r="UWS239" s="16"/>
      <c r="UWT239" s="16"/>
      <c r="UWU239" s="16"/>
      <c r="UWV239" s="15"/>
      <c r="UWW239" s="15"/>
      <c r="UWX239" s="10"/>
      <c r="UWY239" s="10"/>
      <c r="UWZ239" s="19"/>
      <c r="UXA239" s="19"/>
      <c r="UXD239" s="16"/>
      <c r="UXE239" s="15"/>
      <c r="UXF239" s="15"/>
      <c r="UXG239" s="15"/>
      <c r="UXH239" s="16"/>
      <c r="UXI239" s="16"/>
      <c r="UXJ239" s="16"/>
      <c r="UXK239" s="16"/>
      <c r="UXL239" s="16"/>
      <c r="UXM239" s="15"/>
      <c r="UXN239" s="15"/>
      <c r="UXO239" s="10"/>
      <c r="UXP239" s="10"/>
      <c r="UXQ239" s="19"/>
      <c r="UXR239" s="19"/>
      <c r="UXU239" s="16"/>
      <c r="UXV239" s="15"/>
      <c r="UXW239" s="15"/>
      <c r="UXX239" s="15"/>
      <c r="UXY239" s="16"/>
      <c r="UXZ239" s="16"/>
      <c r="UYA239" s="16"/>
      <c r="UYB239" s="16"/>
      <c r="UYC239" s="16"/>
      <c r="UYD239" s="15"/>
      <c r="UYE239" s="15"/>
      <c r="UYF239" s="10"/>
      <c r="UYG239" s="10"/>
      <c r="UYH239" s="19"/>
      <c r="UYI239" s="19"/>
      <c r="UYL239" s="16"/>
      <c r="UYM239" s="15"/>
      <c r="UYN239" s="15"/>
      <c r="UYO239" s="15"/>
      <c r="UYP239" s="16"/>
      <c r="UYQ239" s="16"/>
      <c r="UYR239" s="16"/>
      <c r="UYS239" s="16"/>
      <c r="UYT239" s="16"/>
      <c r="UYU239" s="15"/>
      <c r="UYV239" s="15"/>
      <c r="UYW239" s="10"/>
      <c r="UYX239" s="10"/>
      <c r="UYY239" s="19"/>
      <c r="UYZ239" s="19"/>
      <c r="UZC239" s="16"/>
      <c r="UZD239" s="15"/>
      <c r="UZE239" s="15"/>
      <c r="UZF239" s="15"/>
      <c r="UZG239" s="16"/>
      <c r="UZH239" s="16"/>
      <c r="UZI239" s="16"/>
      <c r="UZJ239" s="16"/>
      <c r="UZK239" s="16"/>
      <c r="UZL239" s="15"/>
      <c r="UZM239" s="15"/>
      <c r="UZN239" s="10"/>
      <c r="UZO239" s="10"/>
      <c r="UZP239" s="19"/>
      <c r="UZQ239" s="19"/>
      <c r="UZT239" s="16"/>
      <c r="UZU239" s="15"/>
      <c r="UZV239" s="15"/>
      <c r="UZW239" s="15"/>
      <c r="UZX239" s="16"/>
      <c r="UZY239" s="16"/>
      <c r="UZZ239" s="16"/>
      <c r="VAA239" s="16"/>
      <c r="VAB239" s="16"/>
      <c r="VAC239" s="15"/>
      <c r="VAD239" s="15"/>
      <c r="VAE239" s="10"/>
      <c r="VAF239" s="10"/>
      <c r="VAG239" s="19"/>
      <c r="VAH239" s="19"/>
      <c r="VAK239" s="16"/>
      <c r="VAL239" s="15"/>
      <c r="VAM239" s="15"/>
      <c r="VAN239" s="15"/>
      <c r="VAO239" s="16"/>
      <c r="VAP239" s="16"/>
      <c r="VAQ239" s="16"/>
      <c r="VAR239" s="16"/>
      <c r="VAS239" s="16"/>
      <c r="VAT239" s="15"/>
      <c r="VAU239" s="15"/>
      <c r="VAV239" s="10"/>
      <c r="VAW239" s="10"/>
      <c r="VAX239" s="19"/>
      <c r="VAY239" s="19"/>
      <c r="VBB239" s="16"/>
      <c r="VBC239" s="15"/>
      <c r="VBD239" s="15"/>
      <c r="VBE239" s="15"/>
      <c r="VBF239" s="16"/>
      <c r="VBG239" s="16"/>
      <c r="VBH239" s="16"/>
      <c r="VBI239" s="16"/>
      <c r="VBJ239" s="16"/>
      <c r="VBK239" s="15"/>
      <c r="VBL239" s="15"/>
      <c r="VBM239" s="10"/>
      <c r="VBN239" s="10"/>
      <c r="VBO239" s="19"/>
      <c r="VBP239" s="19"/>
      <c r="VBS239" s="16"/>
      <c r="VBT239" s="15"/>
      <c r="VBU239" s="15"/>
      <c r="VBV239" s="15"/>
      <c r="VBW239" s="16"/>
      <c r="VBX239" s="16"/>
      <c r="VBY239" s="16"/>
      <c r="VBZ239" s="16"/>
      <c r="VCA239" s="16"/>
      <c r="VCB239" s="15"/>
      <c r="VCC239" s="15"/>
      <c r="VCD239" s="10"/>
      <c r="VCE239" s="10"/>
      <c r="VCF239" s="19"/>
      <c r="VCG239" s="19"/>
      <c r="VCJ239" s="16"/>
      <c r="VCK239" s="15"/>
      <c r="VCL239" s="15"/>
      <c r="VCM239" s="15"/>
      <c r="VCN239" s="16"/>
      <c r="VCO239" s="16"/>
      <c r="VCP239" s="16"/>
      <c r="VCQ239" s="16"/>
      <c r="VCR239" s="16"/>
      <c r="VCS239" s="15"/>
      <c r="VCT239" s="15"/>
      <c r="VCU239" s="10"/>
      <c r="VCV239" s="10"/>
      <c r="VCW239" s="19"/>
      <c r="VCX239" s="19"/>
      <c r="VDA239" s="16"/>
      <c r="VDB239" s="15"/>
      <c r="VDC239" s="15"/>
      <c r="VDD239" s="15"/>
      <c r="VDE239" s="16"/>
      <c r="VDF239" s="16"/>
      <c r="VDG239" s="16"/>
      <c r="VDH239" s="16"/>
      <c r="VDI239" s="16"/>
      <c r="VDJ239" s="15"/>
      <c r="VDK239" s="15"/>
      <c r="VDL239" s="10"/>
      <c r="VDM239" s="10"/>
      <c r="VDN239" s="19"/>
      <c r="VDO239" s="19"/>
      <c r="VDR239" s="16"/>
      <c r="VDS239" s="15"/>
      <c r="VDT239" s="15"/>
      <c r="VDU239" s="15"/>
      <c r="VDV239" s="16"/>
      <c r="VDW239" s="16"/>
      <c r="VDX239" s="16"/>
      <c r="VDY239" s="16"/>
      <c r="VDZ239" s="16"/>
      <c r="VEA239" s="15"/>
      <c r="VEB239" s="15"/>
      <c r="VEC239" s="10"/>
      <c r="VED239" s="10"/>
      <c r="VEE239" s="19"/>
      <c r="VEF239" s="19"/>
      <c r="VEI239" s="16"/>
      <c r="VEJ239" s="15"/>
      <c r="VEK239" s="15"/>
      <c r="VEL239" s="15"/>
      <c r="VEM239" s="16"/>
      <c r="VEN239" s="16"/>
      <c r="VEO239" s="16"/>
      <c r="VEP239" s="16"/>
      <c r="VEQ239" s="16"/>
      <c r="VER239" s="15"/>
      <c r="VES239" s="15"/>
      <c r="VET239" s="10"/>
      <c r="VEU239" s="10"/>
      <c r="VEV239" s="19"/>
      <c r="VEW239" s="19"/>
      <c r="VEZ239" s="16"/>
      <c r="VFA239" s="15"/>
      <c r="VFB239" s="15"/>
      <c r="VFC239" s="15"/>
      <c r="VFD239" s="16"/>
      <c r="VFE239" s="16"/>
      <c r="VFF239" s="16"/>
      <c r="VFG239" s="16"/>
      <c r="VFH239" s="16"/>
      <c r="VFI239" s="15"/>
      <c r="VFJ239" s="15"/>
      <c r="VFK239" s="10"/>
      <c r="VFL239" s="10"/>
      <c r="VFM239" s="19"/>
      <c r="VFN239" s="19"/>
      <c r="VFQ239" s="16"/>
      <c r="VFR239" s="15"/>
      <c r="VFS239" s="15"/>
      <c r="VFT239" s="15"/>
      <c r="VFU239" s="16"/>
      <c r="VFV239" s="16"/>
      <c r="VFW239" s="16"/>
      <c r="VFX239" s="16"/>
      <c r="VFY239" s="16"/>
      <c r="VFZ239" s="15"/>
      <c r="VGA239" s="15"/>
      <c r="VGB239" s="10"/>
      <c r="VGC239" s="10"/>
      <c r="VGD239" s="19"/>
      <c r="VGE239" s="19"/>
      <c r="VGH239" s="16"/>
      <c r="VGI239" s="15"/>
      <c r="VGJ239" s="15"/>
      <c r="VGK239" s="15"/>
      <c r="VGL239" s="16"/>
      <c r="VGM239" s="16"/>
      <c r="VGN239" s="16"/>
      <c r="VGO239" s="16"/>
      <c r="VGP239" s="16"/>
      <c r="VGQ239" s="15"/>
      <c r="VGR239" s="15"/>
      <c r="VGS239" s="10"/>
      <c r="VGT239" s="10"/>
      <c r="VGU239" s="19"/>
      <c r="VGV239" s="19"/>
      <c r="VGY239" s="16"/>
      <c r="VGZ239" s="15"/>
      <c r="VHA239" s="15"/>
      <c r="VHB239" s="15"/>
      <c r="VHC239" s="16"/>
      <c r="VHD239" s="16"/>
      <c r="VHE239" s="16"/>
      <c r="VHF239" s="16"/>
      <c r="VHG239" s="16"/>
      <c r="VHH239" s="15"/>
      <c r="VHI239" s="15"/>
      <c r="VHJ239" s="10"/>
      <c r="VHK239" s="10"/>
      <c r="VHL239" s="19"/>
      <c r="VHM239" s="19"/>
      <c r="VHP239" s="16"/>
      <c r="VHQ239" s="15"/>
      <c r="VHR239" s="15"/>
      <c r="VHS239" s="15"/>
      <c r="VHT239" s="16"/>
      <c r="VHU239" s="16"/>
      <c r="VHV239" s="16"/>
      <c r="VHW239" s="16"/>
      <c r="VHX239" s="16"/>
      <c r="VHY239" s="15"/>
      <c r="VHZ239" s="15"/>
      <c r="VIA239" s="10"/>
      <c r="VIB239" s="10"/>
      <c r="VIC239" s="19"/>
      <c r="VID239" s="19"/>
      <c r="VIG239" s="16"/>
      <c r="VIH239" s="15"/>
      <c r="VII239" s="15"/>
      <c r="VIJ239" s="15"/>
      <c r="VIK239" s="16"/>
      <c r="VIL239" s="16"/>
      <c r="VIM239" s="16"/>
      <c r="VIN239" s="16"/>
      <c r="VIO239" s="16"/>
      <c r="VIP239" s="15"/>
      <c r="VIQ239" s="15"/>
      <c r="VIR239" s="10"/>
      <c r="VIS239" s="10"/>
      <c r="VIT239" s="19"/>
      <c r="VIU239" s="19"/>
      <c r="VIX239" s="16"/>
      <c r="VIY239" s="15"/>
      <c r="VIZ239" s="15"/>
      <c r="VJA239" s="15"/>
      <c r="VJB239" s="16"/>
      <c r="VJC239" s="16"/>
      <c r="VJD239" s="16"/>
      <c r="VJE239" s="16"/>
      <c r="VJF239" s="16"/>
      <c r="VJG239" s="15"/>
      <c r="VJH239" s="15"/>
      <c r="VJI239" s="10"/>
      <c r="VJJ239" s="10"/>
      <c r="VJK239" s="19"/>
      <c r="VJL239" s="19"/>
      <c r="VJO239" s="16"/>
      <c r="VJP239" s="15"/>
      <c r="VJQ239" s="15"/>
      <c r="VJR239" s="15"/>
      <c r="VJS239" s="16"/>
      <c r="VJT239" s="16"/>
      <c r="VJU239" s="16"/>
      <c r="VJV239" s="16"/>
      <c r="VJW239" s="16"/>
      <c r="VJX239" s="15"/>
      <c r="VJY239" s="15"/>
      <c r="VJZ239" s="10"/>
      <c r="VKA239" s="10"/>
      <c r="VKB239" s="19"/>
      <c r="VKC239" s="19"/>
      <c r="VKF239" s="16"/>
      <c r="VKG239" s="15"/>
      <c r="VKH239" s="15"/>
      <c r="VKI239" s="15"/>
      <c r="VKJ239" s="16"/>
      <c r="VKK239" s="16"/>
      <c r="VKL239" s="16"/>
      <c r="VKM239" s="16"/>
      <c r="VKN239" s="16"/>
      <c r="VKO239" s="15"/>
      <c r="VKP239" s="15"/>
      <c r="VKQ239" s="10"/>
      <c r="VKR239" s="10"/>
      <c r="VKS239" s="19"/>
      <c r="VKT239" s="19"/>
      <c r="VKW239" s="16"/>
      <c r="VKX239" s="15"/>
      <c r="VKY239" s="15"/>
      <c r="VKZ239" s="15"/>
      <c r="VLA239" s="16"/>
      <c r="VLB239" s="16"/>
      <c r="VLC239" s="16"/>
      <c r="VLD239" s="16"/>
      <c r="VLE239" s="16"/>
      <c r="VLF239" s="15"/>
      <c r="VLG239" s="15"/>
      <c r="VLH239" s="10"/>
      <c r="VLI239" s="10"/>
      <c r="VLJ239" s="19"/>
      <c r="VLK239" s="19"/>
      <c r="VLN239" s="16"/>
      <c r="VLO239" s="15"/>
      <c r="VLP239" s="15"/>
      <c r="VLQ239" s="15"/>
      <c r="VLR239" s="16"/>
      <c r="VLS239" s="16"/>
      <c r="VLT239" s="16"/>
      <c r="VLU239" s="16"/>
      <c r="VLV239" s="16"/>
      <c r="VLW239" s="15"/>
      <c r="VLX239" s="15"/>
      <c r="VLY239" s="10"/>
      <c r="VLZ239" s="10"/>
      <c r="VMA239" s="19"/>
      <c r="VMB239" s="19"/>
      <c r="VME239" s="16"/>
      <c r="VMF239" s="15"/>
      <c r="VMG239" s="15"/>
      <c r="VMH239" s="15"/>
      <c r="VMI239" s="16"/>
      <c r="VMJ239" s="16"/>
      <c r="VMK239" s="16"/>
      <c r="VML239" s="16"/>
      <c r="VMM239" s="16"/>
      <c r="VMN239" s="15"/>
      <c r="VMO239" s="15"/>
      <c r="VMP239" s="10"/>
      <c r="VMQ239" s="10"/>
      <c r="VMR239" s="19"/>
      <c r="VMS239" s="19"/>
      <c r="VMV239" s="16"/>
      <c r="VMW239" s="15"/>
      <c r="VMX239" s="15"/>
      <c r="VMY239" s="15"/>
      <c r="VMZ239" s="16"/>
      <c r="VNA239" s="16"/>
      <c r="VNB239" s="16"/>
      <c r="VNC239" s="16"/>
      <c r="VND239" s="16"/>
      <c r="VNE239" s="15"/>
      <c r="VNF239" s="15"/>
      <c r="VNG239" s="10"/>
      <c r="VNH239" s="10"/>
      <c r="VNI239" s="19"/>
      <c r="VNJ239" s="19"/>
      <c r="VNM239" s="16"/>
      <c r="VNN239" s="15"/>
      <c r="VNO239" s="15"/>
      <c r="VNP239" s="15"/>
      <c r="VNQ239" s="16"/>
      <c r="VNR239" s="16"/>
      <c r="VNS239" s="16"/>
      <c r="VNT239" s="16"/>
      <c r="VNU239" s="16"/>
      <c r="VNV239" s="15"/>
      <c r="VNW239" s="15"/>
      <c r="VNX239" s="10"/>
      <c r="VNY239" s="10"/>
      <c r="VNZ239" s="19"/>
      <c r="VOA239" s="19"/>
      <c r="VOD239" s="16"/>
      <c r="VOE239" s="15"/>
      <c r="VOF239" s="15"/>
      <c r="VOG239" s="15"/>
      <c r="VOH239" s="16"/>
      <c r="VOI239" s="16"/>
      <c r="VOJ239" s="16"/>
      <c r="VOK239" s="16"/>
      <c r="VOL239" s="16"/>
      <c r="VOM239" s="15"/>
      <c r="VON239" s="15"/>
      <c r="VOO239" s="10"/>
      <c r="VOP239" s="10"/>
      <c r="VOQ239" s="19"/>
      <c r="VOR239" s="19"/>
      <c r="VOU239" s="16"/>
      <c r="VOV239" s="15"/>
      <c r="VOW239" s="15"/>
      <c r="VOX239" s="15"/>
      <c r="VOY239" s="16"/>
      <c r="VOZ239" s="16"/>
      <c r="VPA239" s="16"/>
      <c r="VPB239" s="16"/>
      <c r="VPC239" s="16"/>
      <c r="VPD239" s="15"/>
      <c r="VPE239" s="15"/>
      <c r="VPF239" s="10"/>
      <c r="VPG239" s="10"/>
      <c r="VPH239" s="19"/>
      <c r="VPI239" s="19"/>
      <c r="VPL239" s="16"/>
      <c r="VPM239" s="15"/>
      <c r="VPN239" s="15"/>
      <c r="VPO239" s="15"/>
      <c r="VPP239" s="16"/>
      <c r="VPQ239" s="16"/>
      <c r="VPR239" s="16"/>
      <c r="VPS239" s="16"/>
      <c r="VPT239" s="16"/>
      <c r="VPU239" s="15"/>
      <c r="VPV239" s="15"/>
      <c r="VPW239" s="10"/>
      <c r="VPX239" s="10"/>
      <c r="VPY239" s="19"/>
      <c r="VPZ239" s="19"/>
      <c r="VQC239" s="16"/>
      <c r="VQD239" s="15"/>
      <c r="VQE239" s="15"/>
      <c r="VQF239" s="15"/>
      <c r="VQG239" s="16"/>
      <c r="VQH239" s="16"/>
      <c r="VQI239" s="16"/>
      <c r="VQJ239" s="16"/>
      <c r="VQK239" s="16"/>
      <c r="VQL239" s="15"/>
      <c r="VQM239" s="15"/>
      <c r="VQN239" s="10"/>
      <c r="VQO239" s="10"/>
      <c r="VQP239" s="19"/>
      <c r="VQQ239" s="19"/>
      <c r="VQT239" s="16"/>
      <c r="VQU239" s="15"/>
      <c r="VQV239" s="15"/>
      <c r="VQW239" s="15"/>
      <c r="VQX239" s="16"/>
      <c r="VQY239" s="16"/>
      <c r="VQZ239" s="16"/>
      <c r="VRA239" s="16"/>
      <c r="VRB239" s="16"/>
      <c r="VRC239" s="15"/>
      <c r="VRD239" s="15"/>
      <c r="VRE239" s="10"/>
      <c r="VRF239" s="10"/>
      <c r="VRG239" s="19"/>
      <c r="VRH239" s="19"/>
      <c r="VRK239" s="16"/>
      <c r="VRL239" s="15"/>
      <c r="VRM239" s="15"/>
      <c r="VRN239" s="15"/>
      <c r="VRO239" s="16"/>
      <c r="VRP239" s="16"/>
      <c r="VRQ239" s="16"/>
      <c r="VRR239" s="16"/>
      <c r="VRS239" s="16"/>
      <c r="VRT239" s="15"/>
      <c r="VRU239" s="15"/>
      <c r="VRV239" s="10"/>
      <c r="VRW239" s="10"/>
      <c r="VRX239" s="19"/>
      <c r="VRY239" s="19"/>
      <c r="VSB239" s="16"/>
      <c r="VSC239" s="15"/>
      <c r="VSD239" s="15"/>
      <c r="VSE239" s="15"/>
      <c r="VSF239" s="16"/>
      <c r="VSG239" s="16"/>
      <c r="VSH239" s="16"/>
      <c r="VSI239" s="16"/>
      <c r="VSJ239" s="16"/>
      <c r="VSK239" s="15"/>
      <c r="VSL239" s="15"/>
      <c r="VSM239" s="10"/>
      <c r="VSN239" s="10"/>
      <c r="VSO239" s="19"/>
      <c r="VSP239" s="19"/>
      <c r="VSS239" s="16"/>
      <c r="VST239" s="15"/>
      <c r="VSU239" s="15"/>
      <c r="VSV239" s="15"/>
      <c r="VSW239" s="16"/>
      <c r="VSX239" s="16"/>
      <c r="VSY239" s="16"/>
      <c r="VSZ239" s="16"/>
      <c r="VTA239" s="16"/>
      <c r="VTB239" s="15"/>
      <c r="VTC239" s="15"/>
      <c r="VTD239" s="10"/>
      <c r="VTE239" s="10"/>
      <c r="VTF239" s="19"/>
      <c r="VTG239" s="19"/>
      <c r="VTJ239" s="16"/>
      <c r="VTK239" s="15"/>
      <c r="VTL239" s="15"/>
      <c r="VTM239" s="15"/>
      <c r="VTN239" s="16"/>
      <c r="VTO239" s="16"/>
      <c r="VTP239" s="16"/>
      <c r="VTQ239" s="16"/>
      <c r="VTR239" s="16"/>
      <c r="VTS239" s="15"/>
      <c r="VTT239" s="15"/>
      <c r="VTU239" s="10"/>
      <c r="VTV239" s="10"/>
      <c r="VTW239" s="19"/>
      <c r="VTX239" s="19"/>
      <c r="VUA239" s="16"/>
      <c r="VUB239" s="15"/>
      <c r="VUC239" s="15"/>
      <c r="VUD239" s="15"/>
      <c r="VUE239" s="16"/>
      <c r="VUF239" s="16"/>
      <c r="VUG239" s="16"/>
      <c r="VUH239" s="16"/>
      <c r="VUI239" s="16"/>
      <c r="VUJ239" s="15"/>
      <c r="VUK239" s="15"/>
      <c r="VUL239" s="10"/>
      <c r="VUM239" s="10"/>
      <c r="VUN239" s="19"/>
      <c r="VUO239" s="19"/>
      <c r="VUR239" s="16"/>
      <c r="VUS239" s="15"/>
      <c r="VUT239" s="15"/>
      <c r="VUU239" s="15"/>
      <c r="VUV239" s="16"/>
      <c r="VUW239" s="16"/>
      <c r="VUX239" s="16"/>
      <c r="VUY239" s="16"/>
      <c r="VUZ239" s="16"/>
      <c r="VVA239" s="15"/>
      <c r="VVB239" s="15"/>
      <c r="VVC239" s="10"/>
      <c r="VVD239" s="10"/>
      <c r="VVE239" s="19"/>
      <c r="VVF239" s="19"/>
      <c r="VVI239" s="16"/>
      <c r="VVJ239" s="15"/>
      <c r="VVK239" s="15"/>
      <c r="VVL239" s="15"/>
      <c r="VVM239" s="16"/>
      <c r="VVN239" s="16"/>
      <c r="VVO239" s="16"/>
      <c r="VVP239" s="16"/>
      <c r="VVQ239" s="16"/>
      <c r="VVR239" s="15"/>
      <c r="VVS239" s="15"/>
      <c r="VVT239" s="10"/>
      <c r="VVU239" s="10"/>
      <c r="VVV239" s="19"/>
      <c r="VVW239" s="19"/>
      <c r="VVZ239" s="16"/>
      <c r="VWA239" s="15"/>
      <c r="VWB239" s="15"/>
      <c r="VWC239" s="15"/>
      <c r="VWD239" s="16"/>
      <c r="VWE239" s="16"/>
      <c r="VWF239" s="16"/>
      <c r="VWG239" s="16"/>
      <c r="VWH239" s="16"/>
      <c r="VWI239" s="15"/>
      <c r="VWJ239" s="15"/>
      <c r="VWK239" s="10"/>
      <c r="VWL239" s="10"/>
      <c r="VWM239" s="19"/>
      <c r="VWN239" s="19"/>
      <c r="VWQ239" s="16"/>
      <c r="VWR239" s="15"/>
      <c r="VWS239" s="15"/>
      <c r="VWT239" s="15"/>
      <c r="VWU239" s="16"/>
      <c r="VWV239" s="16"/>
      <c r="VWW239" s="16"/>
      <c r="VWX239" s="16"/>
      <c r="VWY239" s="16"/>
      <c r="VWZ239" s="15"/>
      <c r="VXA239" s="15"/>
      <c r="VXB239" s="10"/>
      <c r="VXC239" s="10"/>
      <c r="VXD239" s="19"/>
      <c r="VXE239" s="19"/>
      <c r="VXH239" s="16"/>
      <c r="VXI239" s="15"/>
      <c r="VXJ239" s="15"/>
      <c r="VXK239" s="15"/>
      <c r="VXL239" s="16"/>
      <c r="VXM239" s="16"/>
      <c r="VXN239" s="16"/>
      <c r="VXO239" s="16"/>
      <c r="VXP239" s="16"/>
      <c r="VXQ239" s="15"/>
      <c r="VXR239" s="15"/>
      <c r="VXS239" s="10"/>
      <c r="VXT239" s="10"/>
      <c r="VXU239" s="19"/>
      <c r="VXV239" s="19"/>
      <c r="VXY239" s="16"/>
      <c r="VXZ239" s="15"/>
      <c r="VYA239" s="15"/>
      <c r="VYB239" s="15"/>
      <c r="VYC239" s="16"/>
      <c r="VYD239" s="16"/>
      <c r="VYE239" s="16"/>
      <c r="VYF239" s="16"/>
      <c r="VYG239" s="16"/>
      <c r="VYH239" s="15"/>
      <c r="VYI239" s="15"/>
      <c r="VYJ239" s="10"/>
      <c r="VYK239" s="10"/>
      <c r="VYL239" s="19"/>
      <c r="VYM239" s="19"/>
      <c r="VYP239" s="16"/>
      <c r="VYQ239" s="15"/>
      <c r="VYR239" s="15"/>
      <c r="VYS239" s="15"/>
      <c r="VYT239" s="16"/>
      <c r="VYU239" s="16"/>
      <c r="VYV239" s="16"/>
      <c r="VYW239" s="16"/>
      <c r="VYX239" s="16"/>
      <c r="VYY239" s="15"/>
      <c r="VYZ239" s="15"/>
      <c r="VZA239" s="10"/>
      <c r="VZB239" s="10"/>
      <c r="VZC239" s="19"/>
      <c r="VZD239" s="19"/>
      <c r="VZG239" s="16"/>
      <c r="VZH239" s="15"/>
      <c r="VZI239" s="15"/>
      <c r="VZJ239" s="15"/>
      <c r="VZK239" s="16"/>
      <c r="VZL239" s="16"/>
      <c r="VZM239" s="16"/>
      <c r="VZN239" s="16"/>
      <c r="VZO239" s="16"/>
      <c r="VZP239" s="15"/>
      <c r="VZQ239" s="15"/>
      <c r="VZR239" s="10"/>
      <c r="VZS239" s="10"/>
      <c r="VZT239" s="19"/>
      <c r="VZU239" s="19"/>
      <c r="VZX239" s="16"/>
      <c r="VZY239" s="15"/>
      <c r="VZZ239" s="15"/>
      <c r="WAA239" s="15"/>
      <c r="WAB239" s="16"/>
      <c r="WAC239" s="16"/>
      <c r="WAD239" s="16"/>
      <c r="WAE239" s="16"/>
      <c r="WAF239" s="16"/>
      <c r="WAG239" s="15"/>
      <c r="WAH239" s="15"/>
      <c r="WAI239" s="10"/>
      <c r="WAJ239" s="10"/>
      <c r="WAK239" s="19"/>
      <c r="WAL239" s="19"/>
      <c r="WAO239" s="16"/>
      <c r="WAP239" s="15"/>
      <c r="WAQ239" s="15"/>
      <c r="WAR239" s="15"/>
      <c r="WAS239" s="16"/>
      <c r="WAT239" s="16"/>
      <c r="WAU239" s="16"/>
      <c r="WAV239" s="16"/>
      <c r="WAW239" s="16"/>
      <c r="WAX239" s="15"/>
      <c r="WAY239" s="15"/>
      <c r="WAZ239" s="10"/>
      <c r="WBA239" s="10"/>
      <c r="WBB239" s="19"/>
      <c r="WBC239" s="19"/>
      <c r="WBF239" s="16"/>
      <c r="WBG239" s="15"/>
      <c r="WBH239" s="15"/>
      <c r="WBI239" s="15"/>
      <c r="WBJ239" s="16"/>
      <c r="WBK239" s="16"/>
      <c r="WBL239" s="16"/>
      <c r="WBM239" s="16"/>
      <c r="WBN239" s="16"/>
      <c r="WBO239" s="15"/>
      <c r="WBP239" s="15"/>
      <c r="WBQ239" s="10"/>
      <c r="WBR239" s="10"/>
      <c r="WBS239" s="19"/>
      <c r="WBT239" s="19"/>
      <c r="WBW239" s="16"/>
      <c r="WBX239" s="15"/>
      <c r="WBY239" s="15"/>
      <c r="WBZ239" s="15"/>
      <c r="WCA239" s="16"/>
      <c r="WCB239" s="16"/>
      <c r="WCC239" s="16"/>
      <c r="WCD239" s="16"/>
      <c r="WCE239" s="16"/>
      <c r="WCF239" s="15"/>
      <c r="WCG239" s="15"/>
      <c r="WCH239" s="10"/>
      <c r="WCI239" s="10"/>
      <c r="WCJ239" s="19"/>
      <c r="WCK239" s="19"/>
      <c r="WCN239" s="16"/>
      <c r="WCO239" s="15"/>
      <c r="WCP239" s="15"/>
      <c r="WCQ239" s="15"/>
      <c r="WCR239" s="16"/>
      <c r="WCS239" s="16"/>
      <c r="WCT239" s="16"/>
      <c r="WCU239" s="16"/>
      <c r="WCV239" s="16"/>
      <c r="WCW239" s="15"/>
      <c r="WCX239" s="15"/>
      <c r="WCY239" s="10"/>
      <c r="WCZ239" s="10"/>
      <c r="WDA239" s="19"/>
      <c r="WDB239" s="19"/>
      <c r="WDE239" s="16"/>
      <c r="WDF239" s="15"/>
      <c r="WDG239" s="15"/>
      <c r="WDH239" s="15"/>
      <c r="WDI239" s="16"/>
      <c r="WDJ239" s="16"/>
      <c r="WDK239" s="16"/>
      <c r="WDL239" s="16"/>
      <c r="WDM239" s="16"/>
      <c r="WDN239" s="15"/>
      <c r="WDO239" s="15"/>
      <c r="WDP239" s="10"/>
      <c r="WDQ239" s="10"/>
      <c r="WDR239" s="19"/>
      <c r="WDS239" s="19"/>
      <c r="WDV239" s="16"/>
      <c r="WDW239" s="15"/>
      <c r="WDX239" s="15"/>
      <c r="WDY239" s="15"/>
      <c r="WDZ239" s="16"/>
      <c r="WEA239" s="16"/>
      <c r="WEB239" s="16"/>
      <c r="WEC239" s="16"/>
      <c r="WED239" s="16"/>
      <c r="WEE239" s="15"/>
      <c r="WEF239" s="15"/>
      <c r="WEG239" s="10"/>
      <c r="WEH239" s="10"/>
      <c r="WEI239" s="19"/>
      <c r="WEJ239" s="19"/>
      <c r="WEM239" s="16"/>
      <c r="WEN239" s="15"/>
      <c r="WEO239" s="15"/>
      <c r="WEP239" s="15"/>
      <c r="WEQ239" s="16"/>
      <c r="WER239" s="16"/>
      <c r="WES239" s="16"/>
      <c r="WET239" s="16"/>
      <c r="WEU239" s="16"/>
      <c r="WEV239" s="15"/>
      <c r="WEW239" s="15"/>
      <c r="WEX239" s="10"/>
      <c r="WEY239" s="10"/>
      <c r="WEZ239" s="19"/>
      <c r="WFA239" s="19"/>
      <c r="WFD239" s="16"/>
      <c r="WFE239" s="15"/>
      <c r="WFF239" s="15"/>
      <c r="WFG239" s="15"/>
      <c r="WFH239" s="16"/>
      <c r="WFI239" s="16"/>
      <c r="WFJ239" s="16"/>
      <c r="WFK239" s="16"/>
      <c r="WFL239" s="16"/>
      <c r="WFM239" s="15"/>
      <c r="WFN239" s="15"/>
      <c r="WFO239" s="10"/>
      <c r="WFP239" s="10"/>
      <c r="WFQ239" s="19"/>
      <c r="WFR239" s="19"/>
      <c r="WFU239" s="16"/>
      <c r="WFV239" s="15"/>
      <c r="WFW239" s="15"/>
      <c r="WFX239" s="15"/>
      <c r="WFY239" s="16"/>
      <c r="WFZ239" s="16"/>
      <c r="WGA239" s="16"/>
      <c r="WGB239" s="16"/>
      <c r="WGC239" s="16"/>
      <c r="WGD239" s="15"/>
      <c r="WGE239" s="15"/>
      <c r="WGF239" s="10"/>
      <c r="WGG239" s="10"/>
      <c r="WGH239" s="19"/>
      <c r="WGI239" s="19"/>
      <c r="WGL239" s="16"/>
      <c r="WGM239" s="15"/>
      <c r="WGN239" s="15"/>
      <c r="WGO239" s="15"/>
      <c r="WGP239" s="16"/>
      <c r="WGQ239" s="16"/>
      <c r="WGR239" s="16"/>
      <c r="WGS239" s="16"/>
      <c r="WGT239" s="16"/>
      <c r="WGU239" s="15"/>
      <c r="WGV239" s="15"/>
      <c r="WGW239" s="10"/>
      <c r="WGX239" s="10"/>
      <c r="WGY239" s="19"/>
      <c r="WGZ239" s="19"/>
      <c r="WHC239" s="16"/>
      <c r="WHD239" s="15"/>
      <c r="WHE239" s="15"/>
      <c r="WHF239" s="15"/>
      <c r="WHG239" s="16"/>
      <c r="WHH239" s="16"/>
      <c r="WHI239" s="16"/>
      <c r="WHJ239" s="16"/>
      <c r="WHK239" s="16"/>
      <c r="WHL239" s="15"/>
      <c r="WHM239" s="15"/>
      <c r="WHN239" s="10"/>
      <c r="WHO239" s="10"/>
      <c r="WHP239" s="19"/>
      <c r="WHQ239" s="19"/>
      <c r="WHT239" s="16"/>
      <c r="WHU239" s="15"/>
      <c r="WHV239" s="15"/>
      <c r="WHW239" s="15"/>
      <c r="WHX239" s="16"/>
      <c r="WHY239" s="16"/>
      <c r="WHZ239" s="16"/>
      <c r="WIA239" s="16"/>
      <c r="WIB239" s="16"/>
      <c r="WIC239" s="15"/>
      <c r="WID239" s="15"/>
      <c r="WIE239" s="10"/>
      <c r="WIF239" s="10"/>
      <c r="WIG239" s="19"/>
      <c r="WIH239" s="19"/>
      <c r="WIK239" s="16"/>
      <c r="WIL239" s="15"/>
      <c r="WIM239" s="15"/>
      <c r="WIN239" s="15"/>
      <c r="WIO239" s="16"/>
      <c r="WIP239" s="16"/>
      <c r="WIQ239" s="16"/>
      <c r="WIR239" s="16"/>
      <c r="WIS239" s="16"/>
      <c r="WIT239" s="15"/>
      <c r="WIU239" s="15"/>
      <c r="WIV239" s="10"/>
      <c r="WIW239" s="10"/>
      <c r="WIX239" s="19"/>
      <c r="WIY239" s="19"/>
      <c r="WJB239" s="16"/>
      <c r="WJC239" s="15"/>
      <c r="WJD239" s="15"/>
      <c r="WJE239" s="15"/>
      <c r="WJF239" s="16"/>
      <c r="WJG239" s="16"/>
      <c r="WJH239" s="16"/>
      <c r="WJI239" s="16"/>
      <c r="WJJ239" s="16"/>
      <c r="WJK239" s="15"/>
      <c r="WJL239" s="15"/>
      <c r="WJM239" s="10"/>
      <c r="WJN239" s="10"/>
      <c r="WJO239" s="19"/>
      <c r="WJP239" s="19"/>
      <c r="WJS239" s="16"/>
      <c r="WJT239" s="15"/>
      <c r="WJU239" s="15"/>
      <c r="WJV239" s="15"/>
      <c r="WJW239" s="16"/>
      <c r="WJX239" s="16"/>
      <c r="WJY239" s="16"/>
      <c r="WJZ239" s="16"/>
      <c r="WKA239" s="16"/>
      <c r="WKB239" s="15"/>
      <c r="WKC239" s="15"/>
      <c r="WKD239" s="10"/>
      <c r="WKE239" s="10"/>
      <c r="WKF239" s="19"/>
      <c r="WKG239" s="19"/>
      <c r="WKJ239" s="16"/>
      <c r="WKK239" s="15"/>
      <c r="WKL239" s="15"/>
      <c r="WKM239" s="15"/>
      <c r="WKN239" s="16"/>
      <c r="WKO239" s="16"/>
      <c r="WKP239" s="16"/>
      <c r="WKQ239" s="16"/>
      <c r="WKR239" s="16"/>
      <c r="WKS239" s="15"/>
      <c r="WKT239" s="15"/>
      <c r="WKU239" s="10"/>
      <c r="WKV239" s="10"/>
      <c r="WKW239" s="19"/>
      <c r="WKX239" s="19"/>
      <c r="WLA239" s="16"/>
      <c r="WLB239" s="15"/>
      <c r="WLC239" s="15"/>
      <c r="WLD239" s="15"/>
      <c r="WLE239" s="16"/>
      <c r="WLF239" s="16"/>
      <c r="WLG239" s="16"/>
      <c r="WLH239" s="16"/>
      <c r="WLI239" s="16"/>
      <c r="WLJ239" s="15"/>
      <c r="WLK239" s="15"/>
      <c r="WLL239" s="10"/>
      <c r="WLM239" s="10"/>
      <c r="WLN239" s="19"/>
      <c r="WLO239" s="19"/>
      <c r="WLR239" s="16"/>
      <c r="WLS239" s="15"/>
      <c r="WLT239" s="15"/>
      <c r="WLU239" s="15"/>
      <c r="WLV239" s="16"/>
      <c r="WLW239" s="16"/>
      <c r="WLX239" s="16"/>
      <c r="WLY239" s="16"/>
      <c r="WLZ239" s="16"/>
      <c r="WMA239" s="15"/>
      <c r="WMB239" s="15"/>
      <c r="WMC239" s="10"/>
      <c r="WMD239" s="10"/>
      <c r="WME239" s="19"/>
      <c r="WMF239" s="19"/>
      <c r="WMI239" s="16"/>
      <c r="WMJ239" s="15"/>
      <c r="WMK239" s="15"/>
      <c r="WML239" s="15"/>
      <c r="WMM239" s="16"/>
      <c r="WMN239" s="16"/>
      <c r="WMO239" s="16"/>
      <c r="WMP239" s="16"/>
      <c r="WMQ239" s="16"/>
      <c r="WMR239" s="15"/>
      <c r="WMS239" s="15"/>
      <c r="WMT239" s="10"/>
      <c r="WMU239" s="10"/>
      <c r="WMV239" s="19"/>
      <c r="WMW239" s="19"/>
      <c r="WMZ239" s="16"/>
      <c r="WNA239" s="15"/>
      <c r="WNB239" s="15"/>
      <c r="WNC239" s="15"/>
      <c r="WND239" s="16"/>
      <c r="WNE239" s="16"/>
      <c r="WNF239" s="16"/>
      <c r="WNG239" s="16"/>
      <c r="WNH239" s="16"/>
      <c r="WNI239" s="15"/>
      <c r="WNJ239" s="15"/>
      <c r="WNK239" s="10"/>
      <c r="WNL239" s="10"/>
      <c r="WNM239" s="19"/>
      <c r="WNN239" s="19"/>
      <c r="WNQ239" s="16"/>
      <c r="WNR239" s="15"/>
      <c r="WNS239" s="15"/>
      <c r="WNT239" s="15"/>
      <c r="WNU239" s="16"/>
      <c r="WNV239" s="16"/>
      <c r="WNW239" s="16"/>
      <c r="WNX239" s="16"/>
      <c r="WNY239" s="16"/>
      <c r="WNZ239" s="15"/>
      <c r="WOA239" s="15"/>
      <c r="WOB239" s="10"/>
      <c r="WOC239" s="10"/>
      <c r="WOD239" s="19"/>
      <c r="WOE239" s="19"/>
      <c r="WOH239" s="16"/>
      <c r="WOI239" s="15"/>
      <c r="WOJ239" s="15"/>
      <c r="WOK239" s="15"/>
      <c r="WOL239" s="16"/>
      <c r="WOM239" s="16"/>
      <c r="WON239" s="16"/>
      <c r="WOO239" s="16"/>
      <c r="WOP239" s="16"/>
      <c r="WOQ239" s="15"/>
      <c r="WOR239" s="15"/>
      <c r="WOS239" s="10"/>
      <c r="WOT239" s="10"/>
      <c r="WOU239" s="19"/>
      <c r="WOV239" s="19"/>
      <c r="WOY239" s="16"/>
      <c r="WOZ239" s="15"/>
      <c r="WPA239" s="15"/>
      <c r="WPB239" s="15"/>
      <c r="WPC239" s="16"/>
      <c r="WPD239" s="16"/>
      <c r="WPE239" s="16"/>
      <c r="WPF239" s="16"/>
      <c r="WPG239" s="16"/>
      <c r="WPH239" s="15"/>
      <c r="WPI239" s="15"/>
      <c r="WPJ239" s="10"/>
      <c r="WPK239" s="10"/>
      <c r="WPL239" s="19"/>
      <c r="WPM239" s="19"/>
      <c r="WPP239" s="16"/>
      <c r="WPQ239" s="15"/>
      <c r="WPR239" s="15"/>
      <c r="WPS239" s="15"/>
      <c r="WPT239" s="16"/>
      <c r="WPU239" s="16"/>
      <c r="WPV239" s="16"/>
      <c r="WPW239" s="16"/>
      <c r="WPX239" s="16"/>
      <c r="WPY239" s="15"/>
      <c r="WPZ239" s="15"/>
      <c r="WQA239" s="10"/>
      <c r="WQB239" s="10"/>
      <c r="WQC239" s="19"/>
      <c r="WQD239" s="19"/>
      <c r="WQG239" s="16"/>
      <c r="WQH239" s="15"/>
      <c r="WQI239" s="15"/>
      <c r="WQJ239" s="15"/>
      <c r="WQK239" s="16"/>
      <c r="WQL239" s="16"/>
      <c r="WQM239" s="16"/>
      <c r="WQN239" s="16"/>
      <c r="WQO239" s="16"/>
      <c r="WQP239" s="15"/>
      <c r="WQQ239" s="15"/>
      <c r="WQR239" s="10"/>
      <c r="WQS239" s="10"/>
      <c r="WQT239" s="19"/>
      <c r="WQU239" s="19"/>
      <c r="WQX239" s="16"/>
      <c r="WQY239" s="15"/>
      <c r="WQZ239" s="15"/>
      <c r="WRA239" s="15"/>
      <c r="WRB239" s="16"/>
      <c r="WRC239" s="16"/>
      <c r="WRD239" s="16"/>
      <c r="WRE239" s="16"/>
      <c r="WRF239" s="16"/>
      <c r="WRG239" s="15"/>
      <c r="WRH239" s="15"/>
      <c r="WRI239" s="10"/>
      <c r="WRJ239" s="10"/>
      <c r="WRK239" s="19"/>
      <c r="WRL239" s="19"/>
      <c r="WRO239" s="16"/>
      <c r="WRP239" s="15"/>
      <c r="WRQ239" s="15"/>
      <c r="WRR239" s="15"/>
      <c r="WRS239" s="16"/>
      <c r="WRT239" s="16"/>
      <c r="WRU239" s="16"/>
      <c r="WRV239" s="16"/>
      <c r="WRW239" s="16"/>
      <c r="WRX239" s="15"/>
      <c r="WRY239" s="15"/>
      <c r="WRZ239" s="10"/>
      <c r="WSA239" s="10"/>
      <c r="WSB239" s="19"/>
      <c r="WSC239" s="19"/>
      <c r="WSF239" s="16"/>
      <c r="WSG239" s="15"/>
      <c r="WSH239" s="15"/>
      <c r="WSI239" s="15"/>
      <c r="WSJ239" s="16"/>
      <c r="WSK239" s="16"/>
      <c r="WSL239" s="16"/>
      <c r="WSM239" s="16"/>
      <c r="WSN239" s="16"/>
      <c r="WSO239" s="15"/>
      <c r="WSP239" s="15"/>
      <c r="WSQ239" s="10"/>
      <c r="WSR239" s="10"/>
      <c r="WSS239" s="19"/>
      <c r="WST239" s="19"/>
      <c r="WSW239" s="16"/>
      <c r="WSX239" s="15"/>
      <c r="WSY239" s="15"/>
      <c r="WSZ239" s="15"/>
      <c r="WTA239" s="16"/>
      <c r="WTB239" s="16"/>
      <c r="WTC239" s="16"/>
      <c r="WTD239" s="16"/>
      <c r="WTE239" s="16"/>
      <c r="WTF239" s="15"/>
      <c r="WTG239" s="15"/>
      <c r="WTH239" s="10"/>
      <c r="WTI239" s="10"/>
      <c r="WTJ239" s="19"/>
      <c r="WTK239" s="19"/>
      <c r="WTN239" s="16"/>
      <c r="WTO239" s="15"/>
      <c r="WTP239" s="15"/>
      <c r="WTQ239" s="15"/>
      <c r="WTR239" s="16"/>
      <c r="WTS239" s="16"/>
      <c r="WTT239" s="16"/>
      <c r="WTU239" s="16"/>
      <c r="WTV239" s="16"/>
      <c r="WTW239" s="15"/>
      <c r="WTX239" s="15"/>
      <c r="WTY239" s="10"/>
      <c r="WTZ239" s="10"/>
      <c r="WUA239" s="19"/>
      <c r="WUB239" s="19"/>
      <c r="WUE239" s="16"/>
      <c r="WUF239" s="15"/>
      <c r="WUG239" s="15"/>
      <c r="WUH239" s="15"/>
      <c r="WUI239" s="16"/>
      <c r="WUJ239" s="16"/>
      <c r="WUK239" s="16"/>
      <c r="WUL239" s="16"/>
      <c r="WUM239" s="16"/>
      <c r="WUN239" s="15"/>
      <c r="WUO239" s="15"/>
      <c r="WUP239" s="10"/>
      <c r="WUQ239" s="10"/>
      <c r="WUR239" s="19"/>
      <c r="WUS239" s="19"/>
      <c r="WUV239" s="16"/>
      <c r="WUW239" s="15"/>
      <c r="WUX239" s="15"/>
      <c r="WUY239" s="15"/>
      <c r="WUZ239" s="16"/>
      <c r="WVA239" s="16"/>
      <c r="WVB239" s="16"/>
      <c r="WVC239" s="16"/>
      <c r="WVD239" s="16"/>
      <c r="WVE239" s="15"/>
      <c r="WVF239" s="15"/>
      <c r="WVG239" s="10"/>
      <c r="WVH239" s="10"/>
      <c r="WVI239" s="19"/>
      <c r="WVJ239" s="19"/>
      <c r="WVM239" s="16"/>
      <c r="WVN239" s="15"/>
      <c r="WVO239" s="15"/>
      <c r="WVP239" s="15"/>
      <c r="WVQ239" s="16"/>
      <c r="WVR239" s="16"/>
      <c r="WVS239" s="16"/>
      <c r="WVT239" s="16"/>
      <c r="WVU239" s="16"/>
      <c r="WVV239" s="15"/>
      <c r="WVW239" s="15"/>
      <c r="WVX239" s="10"/>
      <c r="WVY239" s="10"/>
      <c r="WVZ239" s="19"/>
      <c r="WWA239" s="19"/>
      <c r="WWD239" s="16"/>
      <c r="WWE239" s="15"/>
      <c r="WWF239" s="15"/>
      <c r="WWG239" s="15"/>
      <c r="WWH239" s="16"/>
      <c r="WWI239" s="16"/>
      <c r="WWJ239" s="16"/>
      <c r="WWK239" s="16"/>
      <c r="WWL239" s="16"/>
      <c r="WWM239" s="15"/>
      <c r="WWN239" s="15"/>
      <c r="WWO239" s="10"/>
      <c r="WWP239" s="10"/>
      <c r="WWQ239" s="19"/>
      <c r="WWR239" s="19"/>
      <c r="WWU239" s="16"/>
      <c r="WWV239" s="15"/>
      <c r="WWW239" s="15"/>
      <c r="WWX239" s="15"/>
      <c r="WWY239" s="16"/>
      <c r="WWZ239" s="16"/>
      <c r="WXA239" s="16"/>
      <c r="WXB239" s="16"/>
      <c r="WXC239" s="16"/>
      <c r="WXD239" s="15"/>
      <c r="WXE239" s="15"/>
      <c r="WXF239" s="10"/>
      <c r="WXG239" s="10"/>
      <c r="WXH239" s="19"/>
      <c r="WXI239" s="19"/>
      <c r="WXL239" s="16"/>
      <c r="WXM239" s="15"/>
      <c r="WXN239" s="15"/>
      <c r="WXO239" s="15"/>
      <c r="WXP239" s="16"/>
      <c r="WXQ239" s="16"/>
      <c r="WXR239" s="16"/>
      <c r="WXS239" s="16"/>
      <c r="WXT239" s="16"/>
      <c r="WXU239" s="15"/>
      <c r="WXV239" s="15"/>
      <c r="WXW239" s="10"/>
      <c r="WXX239" s="10"/>
      <c r="WXY239" s="19"/>
      <c r="WXZ239" s="19"/>
      <c r="WYC239" s="16"/>
      <c r="WYD239" s="15"/>
      <c r="WYE239" s="15"/>
      <c r="WYF239" s="15"/>
      <c r="WYG239" s="16"/>
      <c r="WYH239" s="16"/>
      <c r="WYI239" s="16"/>
      <c r="WYJ239" s="16"/>
      <c r="WYK239" s="16"/>
      <c r="WYL239" s="15"/>
      <c r="WYM239" s="15"/>
      <c r="WYN239" s="10"/>
      <c r="WYO239" s="10"/>
      <c r="WYP239" s="19"/>
      <c r="WYQ239" s="19"/>
      <c r="WYT239" s="16"/>
      <c r="WYU239" s="15"/>
      <c r="WYV239" s="15"/>
      <c r="WYW239" s="15"/>
      <c r="WYX239" s="16"/>
      <c r="WYY239" s="16"/>
      <c r="WYZ239" s="16"/>
      <c r="WZA239" s="16"/>
      <c r="WZB239" s="16"/>
      <c r="WZC239" s="15"/>
      <c r="WZD239" s="15"/>
      <c r="WZE239" s="10"/>
      <c r="WZF239" s="10"/>
      <c r="WZG239" s="19"/>
      <c r="WZH239" s="19"/>
      <c r="WZK239" s="16"/>
      <c r="WZL239" s="15"/>
      <c r="WZM239" s="15"/>
      <c r="WZN239" s="15"/>
      <c r="WZO239" s="16"/>
      <c r="WZP239" s="16"/>
      <c r="WZQ239" s="16"/>
      <c r="WZR239" s="16"/>
      <c r="WZS239" s="16"/>
      <c r="WZT239" s="15"/>
      <c r="WZU239" s="15"/>
      <c r="WZV239" s="10"/>
      <c r="WZW239" s="10"/>
      <c r="WZX239" s="19"/>
      <c r="WZY239" s="19"/>
      <c r="XAB239" s="16"/>
      <c r="XAC239" s="15"/>
      <c r="XAD239" s="15"/>
      <c r="XAE239" s="15"/>
      <c r="XAF239" s="16"/>
      <c r="XAG239" s="16"/>
      <c r="XAH239" s="16"/>
      <c r="XAI239" s="16"/>
      <c r="XAJ239" s="16"/>
      <c r="XAK239" s="15"/>
      <c r="XAL239" s="15"/>
      <c r="XAM239" s="10"/>
      <c r="XAN239" s="10"/>
      <c r="XAO239" s="19"/>
      <c r="XAP239" s="19"/>
      <c r="XAS239" s="16"/>
      <c r="XAT239" s="15"/>
      <c r="XAU239" s="15"/>
      <c r="XAV239" s="15"/>
      <c r="XAW239" s="16"/>
      <c r="XAX239" s="16"/>
      <c r="XAY239" s="16"/>
      <c r="XAZ239" s="16"/>
      <c r="XBA239" s="16"/>
      <c r="XBB239" s="15"/>
      <c r="XBC239" s="15"/>
      <c r="XBD239" s="10"/>
      <c r="XBE239" s="10"/>
      <c r="XBF239" s="19"/>
      <c r="XBG239" s="19"/>
      <c r="XBJ239" s="16"/>
      <c r="XBK239" s="15"/>
      <c r="XBL239" s="15"/>
      <c r="XBM239" s="15"/>
      <c r="XBN239" s="16"/>
      <c r="XBO239" s="16"/>
      <c r="XBP239" s="16"/>
      <c r="XBQ239" s="16"/>
      <c r="XBR239" s="16"/>
      <c r="XBS239" s="15"/>
      <c r="XBT239" s="15"/>
      <c r="XBU239" s="10"/>
      <c r="XBV239" s="10"/>
      <c r="XBW239" s="19"/>
      <c r="XBX239" s="19"/>
      <c r="XCA239" s="16"/>
      <c r="XCB239" s="15"/>
      <c r="XCC239" s="15"/>
      <c r="XCD239" s="15"/>
      <c r="XCE239" s="16"/>
      <c r="XCF239" s="16"/>
      <c r="XCG239" s="16"/>
      <c r="XCH239" s="16"/>
      <c r="XCI239" s="16"/>
      <c r="XCJ239" s="15"/>
      <c r="XCK239" s="15"/>
      <c r="XCL239" s="10"/>
      <c r="XCM239" s="10"/>
      <c r="XCN239" s="19"/>
      <c r="XCO239" s="19"/>
      <c r="XCR239" s="16"/>
      <c r="XCS239" s="15"/>
      <c r="XCT239" s="15"/>
      <c r="XCU239" s="15"/>
      <c r="XCV239" s="16"/>
      <c r="XCW239" s="16"/>
      <c r="XCX239" s="16"/>
      <c r="XCY239" s="16"/>
      <c r="XCZ239" s="16"/>
      <c r="XDA239" s="15"/>
      <c r="XDB239" s="15"/>
      <c r="XDC239" s="10"/>
      <c r="XDD239" s="10"/>
      <c r="XDE239" s="19"/>
      <c r="XDF239" s="19"/>
      <c r="XDI239" s="16"/>
      <c r="XDJ239" s="15"/>
      <c r="XDK239" s="15"/>
      <c r="XDL239" s="15"/>
      <c r="XDM239" s="16"/>
      <c r="XDN239" s="16"/>
      <c r="XDO239" s="16"/>
      <c r="XDP239" s="16"/>
      <c r="XDQ239" s="16"/>
      <c r="XDR239" s="15"/>
      <c r="XDS239" s="15"/>
      <c r="XDT239" s="10"/>
      <c r="XDU239" s="10"/>
      <c r="XDV239" s="19"/>
      <c r="XDW239" s="19"/>
      <c r="XDZ239" s="16"/>
      <c r="XEA239" s="15"/>
      <c r="XEB239" s="15"/>
      <c r="XEC239" s="15"/>
      <c r="XED239" s="16"/>
      <c r="XEE239" s="16"/>
      <c r="XEF239" s="16"/>
      <c r="XEG239" s="16"/>
      <c r="XEH239" s="16"/>
      <c r="XEI239" s="15"/>
      <c r="XEJ239" s="15"/>
      <c r="XEK239" s="10"/>
      <c r="XEL239" s="10"/>
      <c r="XEM239" s="19"/>
      <c r="XEN239" s="19"/>
      <c r="XEQ239" s="16"/>
      <c r="XER239" s="15"/>
      <c r="XES239" s="15"/>
      <c r="XET239" s="15"/>
      <c r="XEU239" s="16"/>
      <c r="XEV239" s="16"/>
      <c r="XEW239" s="16"/>
      <c r="XEX239" s="16"/>
      <c r="XEY239" s="16"/>
      <c r="XEZ239" s="15"/>
      <c r="XFA239" s="15"/>
      <c r="XFB239" s="10"/>
      <c r="XFC239" s="10"/>
      <c r="XFD239" s="19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1210</v>
      </c>
      <c r="E240" s="32" t="s">
        <v>164</v>
      </c>
      <c r="F240" s="32" t="s">
        <v>1211</v>
      </c>
      <c r="G240" s="32" t="s">
        <v>1213</v>
      </c>
      <c r="H240" s="32" t="s">
        <v>352</v>
      </c>
      <c r="I240" s="31" t="s">
        <v>1212</v>
      </c>
      <c r="J240" s="31">
        <v>99</v>
      </c>
      <c r="K240" s="33" t="s">
        <v>718</v>
      </c>
      <c r="L240" s="33" t="s">
        <v>689</v>
      </c>
      <c r="M240" s="34" t="s">
        <v>1378</v>
      </c>
      <c r="N240" s="34" t="s">
        <v>1714</v>
      </c>
      <c r="O240" s="35">
        <v>1</v>
      </c>
      <c r="P240" s="35"/>
      <c r="Q240" s="32"/>
      <c r="S240" s="1">
        <f t="shared" si="127"/>
        <v>0</v>
      </c>
      <c r="T240" s="1">
        <f t="shared" si="128"/>
        <v>0</v>
      </c>
      <c r="U240" s="1">
        <f t="shared" si="129"/>
        <v>0</v>
      </c>
      <c r="V240" s="1">
        <f t="shared" si="130"/>
        <v>0</v>
      </c>
      <c r="W240" s="1">
        <f t="shared" si="131"/>
        <v>0</v>
      </c>
      <c r="X240" s="1">
        <f t="shared" si="132"/>
        <v>0</v>
      </c>
      <c r="Y240" s="1">
        <f t="shared" si="133"/>
        <v>0</v>
      </c>
      <c r="Z240" s="1">
        <f t="shared" si="134"/>
        <v>0</v>
      </c>
      <c r="AA240" s="1">
        <f t="shared" si="135"/>
        <v>0</v>
      </c>
      <c r="AB240" s="1">
        <f t="shared" si="136"/>
        <v>0</v>
      </c>
      <c r="AD240" s="1">
        <f t="shared" si="137"/>
        <v>0</v>
      </c>
      <c r="AE240" s="1">
        <f t="shared" si="138"/>
        <v>1</v>
      </c>
      <c r="AF240" s="1">
        <f t="shared" si="123"/>
        <v>0</v>
      </c>
      <c r="AG240" s="1">
        <f t="shared" si="124"/>
        <v>1</v>
      </c>
      <c r="AH240" s="1">
        <f t="shared" si="125"/>
        <v>0</v>
      </c>
      <c r="AI240" s="1">
        <f t="shared" si="12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965</v>
      </c>
      <c r="E241" s="32" t="s">
        <v>164</v>
      </c>
      <c r="F241" s="32" t="s">
        <v>963</v>
      </c>
      <c r="G241" s="32" t="s">
        <v>1092</v>
      </c>
      <c r="H241" s="32" t="s">
        <v>352</v>
      </c>
      <c r="I241" s="31" t="s">
        <v>964</v>
      </c>
      <c r="J241" s="31">
        <v>1</v>
      </c>
      <c r="K241" s="33" t="s">
        <v>943</v>
      </c>
      <c r="L241" s="33" t="s">
        <v>685</v>
      </c>
      <c r="M241" s="34" t="s">
        <v>1379</v>
      </c>
      <c r="N241" s="34" t="s">
        <v>1718</v>
      </c>
      <c r="O241" s="35">
        <v>1</v>
      </c>
      <c r="P241" s="35"/>
      <c r="Q241" s="32"/>
      <c r="R241" s="15"/>
      <c r="S241" s="1">
        <f t="shared" si="127"/>
        <v>1</v>
      </c>
      <c r="T241" s="1">
        <f t="shared" si="128"/>
        <v>0</v>
      </c>
      <c r="U241" s="1">
        <f t="shared" si="129"/>
        <v>0</v>
      </c>
      <c r="V241" s="1">
        <f t="shared" si="130"/>
        <v>0</v>
      </c>
      <c r="W241" s="1">
        <f t="shared" si="131"/>
        <v>0</v>
      </c>
      <c r="X241" s="1">
        <f t="shared" si="132"/>
        <v>0</v>
      </c>
      <c r="Y241" s="1">
        <f t="shared" si="133"/>
        <v>0</v>
      </c>
      <c r="Z241" s="1">
        <f t="shared" si="134"/>
        <v>0</v>
      </c>
      <c r="AA241" s="1">
        <f t="shared" si="135"/>
        <v>0</v>
      </c>
      <c r="AB241" s="1">
        <f t="shared" si="136"/>
        <v>0</v>
      </c>
      <c r="AD241" s="1">
        <f t="shared" si="137"/>
        <v>0</v>
      </c>
      <c r="AE241" s="1">
        <f t="shared" si="138"/>
        <v>1</v>
      </c>
      <c r="AF241" s="1">
        <f t="shared" si="123"/>
        <v>0</v>
      </c>
      <c r="AG241" s="1">
        <f t="shared" si="124"/>
        <v>1</v>
      </c>
      <c r="AH241" s="1">
        <f t="shared" si="125"/>
        <v>0</v>
      </c>
      <c r="AI241" s="1">
        <f t="shared" si="126"/>
        <v>1</v>
      </c>
      <c r="AJ241" s="15"/>
      <c r="AK241" s="15"/>
      <c r="AL241" s="15"/>
      <c r="AM241" s="15"/>
      <c r="AN241" s="15"/>
      <c r="AO241" s="15"/>
      <c r="AP241" s="15"/>
      <c r="AQ241" s="15"/>
      <c r="AR241" s="15"/>
      <c r="AS241" s="10"/>
      <c r="AT241" s="10"/>
      <c r="AU241" s="21"/>
      <c r="AV241" s="21"/>
      <c r="AY241" s="21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0"/>
      <c r="BK241" s="10"/>
      <c r="BL241" s="21"/>
      <c r="BM241" s="21"/>
      <c r="BP241" s="21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0"/>
      <c r="CB241" s="10"/>
      <c r="CC241" s="21"/>
      <c r="CD241" s="21"/>
      <c r="CG241" s="21"/>
      <c r="CH241" s="15"/>
      <c r="CI241" s="15"/>
      <c r="CJ241" s="15"/>
      <c r="CK241" s="15"/>
      <c r="CL241" s="15"/>
      <c r="CM241" s="15"/>
      <c r="CN241" s="15"/>
      <c r="CO241" s="15"/>
      <c r="CP241" s="15"/>
      <c r="CQ241" s="15"/>
      <c r="CR241" s="10"/>
      <c r="CS241" s="10"/>
      <c r="CT241" s="21"/>
      <c r="CU241" s="21"/>
      <c r="CX241" s="21"/>
      <c r="CY241" s="15"/>
      <c r="CZ241" s="15"/>
      <c r="DA241" s="15"/>
      <c r="DB241" s="15"/>
      <c r="DC241" s="15"/>
      <c r="DD241" s="15"/>
      <c r="DE241" s="15"/>
      <c r="DF241" s="15"/>
      <c r="DG241" s="15"/>
      <c r="DH241" s="15"/>
      <c r="DI241" s="10"/>
      <c r="DJ241" s="10"/>
      <c r="DK241" s="21"/>
      <c r="DL241" s="21"/>
      <c r="DO241" s="21"/>
      <c r="DP241" s="15"/>
      <c r="DQ241" s="15"/>
      <c r="DR241" s="15"/>
      <c r="DS241" s="15"/>
      <c r="DT241" s="15"/>
      <c r="DU241" s="15"/>
      <c r="DV241" s="15"/>
      <c r="DW241" s="15"/>
      <c r="DX241" s="15"/>
      <c r="DY241" s="15"/>
      <c r="DZ241" s="10"/>
      <c r="EA241" s="10"/>
      <c r="EB241" s="21"/>
      <c r="EC241" s="21"/>
      <c r="EF241" s="21"/>
      <c r="EG241" s="15"/>
      <c r="EH241" s="15"/>
      <c r="EI241" s="15"/>
      <c r="EJ241" s="15"/>
      <c r="EK241" s="15"/>
      <c r="EL241" s="15"/>
      <c r="EM241" s="15"/>
      <c r="EN241" s="15"/>
      <c r="EO241" s="15"/>
      <c r="EP241" s="15"/>
      <c r="EQ241" s="10"/>
      <c r="ER241" s="10"/>
      <c r="ES241" s="21"/>
      <c r="ET241" s="21"/>
      <c r="EW241" s="21"/>
      <c r="EX241" s="15"/>
      <c r="EY241" s="15"/>
      <c r="EZ241" s="15"/>
      <c r="FA241" s="15"/>
      <c r="FB241" s="15"/>
      <c r="FC241" s="15"/>
      <c r="FD241" s="15"/>
      <c r="FE241" s="15"/>
      <c r="FF241" s="15"/>
      <c r="FG241" s="15"/>
      <c r="FH241" s="10"/>
      <c r="FI241" s="10"/>
      <c r="FJ241" s="21"/>
      <c r="FK241" s="21"/>
      <c r="FN241" s="21"/>
      <c r="FO241" s="15"/>
      <c r="FP241" s="15"/>
      <c r="FQ241" s="15"/>
      <c r="FR241" s="15"/>
      <c r="FS241" s="15"/>
      <c r="FT241" s="15"/>
      <c r="FU241" s="15"/>
      <c r="FV241" s="15"/>
      <c r="FW241" s="15"/>
      <c r="FX241" s="15"/>
      <c r="FY241" s="10"/>
      <c r="FZ241" s="10"/>
      <c r="GA241" s="21"/>
      <c r="GB241" s="21"/>
      <c r="GE241" s="21"/>
      <c r="GF241" s="15"/>
      <c r="GG241" s="15"/>
      <c r="GH241" s="15"/>
      <c r="GI241" s="15"/>
      <c r="GJ241" s="15"/>
      <c r="GK241" s="15"/>
      <c r="GL241" s="15"/>
      <c r="GM241" s="15"/>
      <c r="GN241" s="15"/>
      <c r="GO241" s="15"/>
      <c r="GP241" s="10"/>
      <c r="GQ241" s="10"/>
      <c r="GR241" s="21"/>
      <c r="GS241" s="21"/>
      <c r="GV241" s="21"/>
      <c r="GW241" s="15"/>
      <c r="GX241" s="15"/>
      <c r="GY241" s="15"/>
      <c r="GZ241" s="15"/>
      <c r="HA241" s="15"/>
      <c r="HB241" s="15"/>
      <c r="HC241" s="15"/>
      <c r="HD241" s="15"/>
      <c r="HE241" s="15"/>
      <c r="HF241" s="15"/>
      <c r="HG241" s="10"/>
      <c r="HH241" s="10"/>
      <c r="HI241" s="21"/>
      <c r="HJ241" s="21"/>
      <c r="HM241" s="21"/>
      <c r="HN241" s="15"/>
      <c r="HO241" s="15"/>
      <c r="HP241" s="15"/>
      <c r="HQ241" s="15"/>
      <c r="HR241" s="15"/>
      <c r="HS241" s="15"/>
      <c r="HT241" s="15"/>
      <c r="HU241" s="15"/>
      <c r="HV241" s="15"/>
      <c r="HW241" s="15"/>
      <c r="HX241" s="10"/>
      <c r="HY241" s="10"/>
      <c r="HZ241" s="21"/>
      <c r="IA241" s="21"/>
      <c r="ID241" s="21"/>
      <c r="IE241" s="15"/>
      <c r="IF241" s="15"/>
      <c r="IG241" s="15"/>
      <c r="IH241" s="15"/>
      <c r="II241" s="15"/>
      <c r="IJ241" s="15"/>
      <c r="IK241" s="15"/>
      <c r="IL241" s="15"/>
      <c r="IM241" s="15"/>
      <c r="IN241" s="15"/>
      <c r="IO241" s="10"/>
      <c r="IP241" s="10"/>
      <c r="IQ241" s="21"/>
      <c r="IR241" s="21"/>
      <c r="IU241" s="21"/>
      <c r="IV241" s="15"/>
      <c r="IW241" s="15"/>
      <c r="IX241" s="15"/>
      <c r="IY241" s="15"/>
      <c r="IZ241" s="15"/>
      <c r="JA241" s="15"/>
      <c r="JB241" s="15"/>
      <c r="JC241" s="15"/>
      <c r="JD241" s="15"/>
      <c r="JE241" s="15"/>
      <c r="JF241" s="10"/>
      <c r="JG241" s="10"/>
      <c r="JH241" s="21"/>
      <c r="JI241" s="21"/>
      <c r="JL241" s="21"/>
      <c r="JM241" s="15"/>
      <c r="JN241" s="15"/>
      <c r="JO241" s="15"/>
      <c r="JP241" s="15"/>
      <c r="JQ241" s="15"/>
      <c r="JR241" s="15"/>
      <c r="JS241" s="15"/>
      <c r="JT241" s="15"/>
      <c r="JU241" s="15"/>
      <c r="JV241" s="15"/>
      <c r="JW241" s="10"/>
      <c r="JX241" s="10"/>
      <c r="JY241" s="21"/>
      <c r="JZ241" s="21"/>
      <c r="KC241" s="21"/>
      <c r="KD241" s="15"/>
      <c r="KE241" s="15"/>
      <c r="KF241" s="15"/>
      <c r="KG241" s="15"/>
      <c r="KH241" s="15"/>
      <c r="KI241" s="15"/>
      <c r="KJ241" s="15"/>
      <c r="KK241" s="15"/>
      <c r="KL241" s="15"/>
      <c r="KM241" s="15"/>
      <c r="KN241" s="10"/>
      <c r="KO241" s="10"/>
      <c r="KP241" s="21"/>
      <c r="KQ241" s="21"/>
      <c r="KT241" s="21"/>
      <c r="KU241" s="15"/>
      <c r="KV241" s="15"/>
      <c r="KW241" s="15"/>
      <c r="KX241" s="15"/>
      <c r="KY241" s="15"/>
      <c r="KZ241" s="15"/>
      <c r="LA241" s="15"/>
      <c r="LB241" s="15"/>
      <c r="LC241" s="15"/>
      <c r="LD241" s="15"/>
      <c r="LE241" s="10"/>
      <c r="LF241" s="10"/>
      <c r="LG241" s="21"/>
      <c r="LH241" s="21"/>
      <c r="LK241" s="21"/>
      <c r="LL241" s="15"/>
      <c r="LM241" s="15"/>
      <c r="LN241" s="15"/>
      <c r="LO241" s="15"/>
      <c r="LP241" s="15"/>
      <c r="LQ241" s="15"/>
      <c r="LR241" s="15"/>
      <c r="LS241" s="15"/>
      <c r="LT241" s="15"/>
      <c r="LU241" s="15"/>
      <c r="LV241" s="10"/>
      <c r="LW241" s="10"/>
      <c r="LX241" s="21"/>
      <c r="LY241" s="21"/>
      <c r="MB241" s="21"/>
      <c r="MC241" s="15"/>
      <c r="MD241" s="15"/>
      <c r="ME241" s="15"/>
      <c r="MF241" s="15"/>
      <c r="MG241" s="15"/>
      <c r="MH241" s="15"/>
      <c r="MI241" s="15"/>
      <c r="MJ241" s="15"/>
      <c r="MK241" s="15"/>
      <c r="ML241" s="15"/>
      <c r="MM241" s="10"/>
      <c r="MN241" s="10"/>
      <c r="MO241" s="21"/>
      <c r="MP241" s="21"/>
      <c r="MS241" s="21"/>
      <c r="MT241" s="15"/>
      <c r="MU241" s="15"/>
      <c r="MV241" s="15"/>
      <c r="MW241" s="15"/>
      <c r="MX241" s="15"/>
      <c r="MY241" s="15"/>
      <c r="MZ241" s="15"/>
      <c r="NA241" s="15"/>
      <c r="NB241" s="15"/>
      <c r="NC241" s="15"/>
      <c r="ND241" s="10"/>
      <c r="NE241" s="10"/>
      <c r="NF241" s="21"/>
      <c r="NG241" s="21"/>
      <c r="NJ241" s="21"/>
      <c r="NK241" s="15"/>
      <c r="NL241" s="15"/>
      <c r="NM241" s="15"/>
      <c r="NN241" s="15"/>
      <c r="NO241" s="15"/>
      <c r="NP241" s="15"/>
      <c r="NQ241" s="15"/>
      <c r="NR241" s="15"/>
      <c r="NS241" s="15"/>
      <c r="NT241" s="15"/>
      <c r="NU241" s="10"/>
      <c r="NV241" s="10"/>
      <c r="NW241" s="21"/>
      <c r="NX241" s="21"/>
      <c r="OA241" s="21"/>
      <c r="OB241" s="15"/>
      <c r="OC241" s="15"/>
      <c r="OD241" s="15"/>
      <c r="OE241" s="15"/>
      <c r="OF241" s="15"/>
      <c r="OG241" s="15"/>
      <c r="OH241" s="15"/>
      <c r="OI241" s="15"/>
      <c r="OJ241" s="15"/>
      <c r="OK241" s="15"/>
      <c r="OL241" s="10"/>
      <c r="OM241" s="10"/>
      <c r="ON241" s="21"/>
      <c r="OO241" s="21"/>
      <c r="OR241" s="21"/>
      <c r="OS241" s="15"/>
      <c r="OT241" s="15"/>
      <c r="OU241" s="15"/>
      <c r="OV241" s="15"/>
      <c r="OW241" s="15"/>
      <c r="OX241" s="15"/>
      <c r="OY241" s="15"/>
      <c r="OZ241" s="15"/>
      <c r="PA241" s="15"/>
      <c r="PB241" s="15"/>
      <c r="PC241" s="10"/>
      <c r="PD241" s="10"/>
      <c r="PE241" s="21"/>
      <c r="PF241" s="21"/>
      <c r="PI241" s="21"/>
      <c r="PJ241" s="15"/>
      <c r="PK241" s="15"/>
      <c r="PL241" s="15"/>
      <c r="PM241" s="15"/>
      <c r="PN241" s="15"/>
      <c r="PO241" s="15"/>
      <c r="PP241" s="15"/>
      <c r="PQ241" s="15"/>
      <c r="PR241" s="15"/>
      <c r="PS241" s="15"/>
      <c r="PT241" s="10"/>
      <c r="PU241" s="10"/>
      <c r="PV241" s="21"/>
      <c r="PW241" s="21"/>
      <c r="PZ241" s="21"/>
      <c r="QA241" s="15"/>
      <c r="QB241" s="15"/>
      <c r="QC241" s="15"/>
      <c r="QD241" s="15"/>
      <c r="QE241" s="15"/>
      <c r="QF241" s="15"/>
      <c r="QG241" s="15"/>
      <c r="QH241" s="15"/>
      <c r="QI241" s="15"/>
      <c r="QJ241" s="15"/>
      <c r="QK241" s="10"/>
      <c r="QL241" s="10"/>
      <c r="QM241" s="21"/>
      <c r="QN241" s="21"/>
      <c r="QQ241" s="21"/>
      <c r="QR241" s="15"/>
      <c r="QS241" s="15"/>
      <c r="QT241" s="15"/>
      <c r="QU241" s="15"/>
      <c r="QV241" s="15"/>
      <c r="QW241" s="15"/>
      <c r="QX241" s="15"/>
      <c r="QY241" s="15"/>
      <c r="QZ241" s="15"/>
      <c r="RA241" s="15"/>
      <c r="RB241" s="10"/>
      <c r="RC241" s="10"/>
      <c r="RD241" s="21"/>
      <c r="RE241" s="21"/>
      <c r="RH241" s="21"/>
      <c r="RI241" s="15"/>
      <c r="RJ241" s="15"/>
      <c r="RK241" s="15"/>
      <c r="RL241" s="15"/>
      <c r="RM241" s="15"/>
      <c r="RN241" s="15"/>
      <c r="RO241" s="15"/>
      <c r="RP241" s="15"/>
      <c r="RQ241" s="15"/>
      <c r="RR241" s="15"/>
      <c r="RS241" s="10"/>
      <c r="RT241" s="10"/>
      <c r="RU241" s="21"/>
      <c r="RV241" s="21"/>
      <c r="RY241" s="21"/>
      <c r="RZ241" s="15"/>
      <c r="SA241" s="15"/>
      <c r="SB241" s="15"/>
      <c r="SC241" s="15"/>
      <c r="SD241" s="15"/>
      <c r="SE241" s="15"/>
      <c r="SF241" s="15"/>
      <c r="SG241" s="15"/>
      <c r="SH241" s="15"/>
      <c r="SI241" s="15"/>
      <c r="SJ241" s="10"/>
      <c r="SK241" s="10"/>
      <c r="SL241" s="21"/>
      <c r="SM241" s="21"/>
      <c r="SP241" s="21"/>
      <c r="SQ241" s="15"/>
      <c r="SR241" s="15"/>
      <c r="SS241" s="15"/>
      <c r="ST241" s="15"/>
      <c r="SU241" s="15"/>
      <c r="SV241" s="15"/>
      <c r="SW241" s="15"/>
      <c r="SX241" s="15"/>
      <c r="SY241" s="15"/>
      <c r="SZ241" s="15"/>
      <c r="TA241" s="10"/>
      <c r="TB241" s="10"/>
      <c r="TC241" s="21"/>
      <c r="TD241" s="21"/>
      <c r="TG241" s="21"/>
      <c r="TH241" s="15"/>
      <c r="TI241" s="15"/>
      <c r="TJ241" s="15"/>
      <c r="TK241" s="15"/>
      <c r="TL241" s="15"/>
      <c r="TM241" s="15"/>
      <c r="TN241" s="15"/>
      <c r="TO241" s="15"/>
      <c r="TP241" s="15"/>
      <c r="TQ241" s="15"/>
      <c r="TR241" s="10"/>
      <c r="TS241" s="10"/>
      <c r="TT241" s="21"/>
      <c r="TU241" s="21"/>
      <c r="TX241" s="21"/>
      <c r="TY241" s="15"/>
      <c r="TZ241" s="15"/>
      <c r="UA241" s="15"/>
      <c r="UB241" s="15"/>
      <c r="UC241" s="15"/>
      <c r="UD241" s="15"/>
      <c r="UE241" s="15"/>
      <c r="UF241" s="15"/>
      <c r="UG241" s="15"/>
      <c r="UH241" s="15"/>
      <c r="UI241" s="10"/>
      <c r="UJ241" s="10"/>
      <c r="UK241" s="21"/>
      <c r="UL241" s="21"/>
      <c r="UO241" s="21"/>
      <c r="UP241" s="15"/>
      <c r="UQ241" s="15"/>
      <c r="UR241" s="15"/>
      <c r="US241" s="15"/>
      <c r="UT241" s="15"/>
      <c r="UU241" s="15"/>
      <c r="UV241" s="15"/>
      <c r="UW241" s="15"/>
      <c r="UX241" s="15"/>
      <c r="UY241" s="15"/>
      <c r="UZ241" s="10"/>
      <c r="VA241" s="10"/>
      <c r="VB241" s="21"/>
      <c r="VC241" s="21"/>
      <c r="VF241" s="21"/>
      <c r="VG241" s="15"/>
      <c r="VH241" s="15"/>
      <c r="VI241" s="15"/>
      <c r="VJ241" s="15"/>
      <c r="VK241" s="15"/>
      <c r="VL241" s="15"/>
      <c r="VM241" s="15"/>
      <c r="VN241" s="15"/>
      <c r="VO241" s="15"/>
      <c r="VP241" s="15"/>
      <c r="VQ241" s="10"/>
      <c r="VR241" s="10"/>
      <c r="VS241" s="21"/>
      <c r="VT241" s="21"/>
      <c r="VW241" s="21"/>
      <c r="VX241" s="15"/>
      <c r="VY241" s="15"/>
      <c r="VZ241" s="15"/>
      <c r="WA241" s="15"/>
      <c r="WB241" s="15"/>
      <c r="WC241" s="15"/>
      <c r="WD241" s="15"/>
      <c r="WE241" s="15"/>
      <c r="WF241" s="15"/>
      <c r="WG241" s="15"/>
      <c r="WH241" s="10"/>
      <c r="WI241" s="10"/>
      <c r="WJ241" s="21"/>
      <c r="WK241" s="21"/>
      <c r="WN241" s="21"/>
      <c r="WO241" s="15"/>
      <c r="WP241" s="15"/>
      <c r="WQ241" s="15"/>
      <c r="WR241" s="15"/>
      <c r="WS241" s="15"/>
      <c r="WT241" s="15"/>
      <c r="WU241" s="15"/>
      <c r="WV241" s="15"/>
      <c r="WW241" s="15"/>
      <c r="WX241" s="15"/>
      <c r="WY241" s="10"/>
      <c r="WZ241" s="10"/>
      <c r="XA241" s="21"/>
      <c r="XB241" s="21"/>
      <c r="XE241" s="21"/>
      <c r="XF241" s="15"/>
      <c r="XG241" s="15"/>
      <c r="XH241" s="15"/>
      <c r="XI241" s="15"/>
      <c r="XJ241" s="15"/>
      <c r="XK241" s="15"/>
      <c r="XL241" s="15"/>
      <c r="XM241" s="15"/>
      <c r="XN241" s="15"/>
      <c r="XO241" s="15"/>
      <c r="XP241" s="10"/>
      <c r="XQ241" s="10"/>
      <c r="XR241" s="21"/>
      <c r="XS241" s="21"/>
      <c r="XV241" s="21"/>
      <c r="XW241" s="15"/>
      <c r="XX241" s="15"/>
      <c r="XY241" s="15"/>
      <c r="XZ241" s="15"/>
      <c r="YA241" s="15"/>
      <c r="YB241" s="15"/>
      <c r="YC241" s="15"/>
      <c r="YD241" s="15"/>
      <c r="YE241" s="15"/>
      <c r="YF241" s="15"/>
      <c r="YG241" s="10"/>
      <c r="YH241" s="10"/>
      <c r="YI241" s="21"/>
      <c r="YJ241" s="21"/>
      <c r="YM241" s="21"/>
      <c r="YN241" s="15"/>
      <c r="YO241" s="15"/>
      <c r="YP241" s="15"/>
      <c r="YQ241" s="15"/>
      <c r="YR241" s="15"/>
      <c r="YS241" s="15"/>
      <c r="YT241" s="15"/>
      <c r="YU241" s="15"/>
      <c r="YV241" s="15"/>
      <c r="YW241" s="15"/>
      <c r="YX241" s="10"/>
      <c r="YY241" s="10"/>
      <c r="YZ241" s="21"/>
      <c r="ZA241" s="21"/>
      <c r="ZD241" s="21"/>
      <c r="ZE241" s="15"/>
      <c r="ZF241" s="15"/>
      <c r="ZG241" s="15"/>
      <c r="ZH241" s="15"/>
      <c r="ZI241" s="15"/>
      <c r="ZJ241" s="15"/>
      <c r="ZK241" s="15"/>
      <c r="ZL241" s="15"/>
      <c r="ZM241" s="15"/>
      <c r="ZN241" s="15"/>
      <c r="ZO241" s="10"/>
      <c r="ZP241" s="10"/>
      <c r="ZQ241" s="21"/>
      <c r="ZR241" s="21"/>
      <c r="ZU241" s="21"/>
      <c r="ZV241" s="15"/>
      <c r="ZW241" s="15"/>
      <c r="ZX241" s="15"/>
      <c r="ZY241" s="15"/>
      <c r="ZZ241" s="15"/>
      <c r="AAA241" s="15"/>
      <c r="AAB241" s="15"/>
      <c r="AAC241" s="15"/>
      <c r="AAD241" s="15"/>
      <c r="AAE241" s="15"/>
      <c r="AAF241" s="10"/>
      <c r="AAG241" s="10"/>
      <c r="AAH241" s="21"/>
      <c r="AAI241" s="21"/>
      <c r="AAL241" s="21"/>
      <c r="AAM241" s="15"/>
      <c r="AAN241" s="15"/>
      <c r="AAO241" s="15"/>
      <c r="AAP241" s="15"/>
      <c r="AAQ241" s="15"/>
      <c r="AAR241" s="15"/>
      <c r="AAS241" s="15"/>
      <c r="AAT241" s="15"/>
      <c r="AAU241" s="15"/>
      <c r="AAV241" s="15"/>
      <c r="AAW241" s="10"/>
      <c r="AAX241" s="10"/>
      <c r="AAY241" s="21"/>
      <c r="AAZ241" s="21"/>
      <c r="ABC241" s="21"/>
      <c r="ABD241" s="15"/>
      <c r="ABE241" s="15"/>
      <c r="ABF241" s="15"/>
      <c r="ABG241" s="15"/>
      <c r="ABH241" s="15"/>
      <c r="ABI241" s="15"/>
      <c r="ABJ241" s="15"/>
      <c r="ABK241" s="15"/>
      <c r="ABL241" s="15"/>
      <c r="ABM241" s="15"/>
      <c r="ABN241" s="10"/>
      <c r="ABO241" s="10"/>
      <c r="ABP241" s="21"/>
      <c r="ABQ241" s="21"/>
      <c r="ABT241" s="21"/>
      <c r="ABU241" s="15"/>
      <c r="ABV241" s="15"/>
      <c r="ABW241" s="15"/>
      <c r="ABX241" s="15"/>
      <c r="ABY241" s="15"/>
      <c r="ABZ241" s="15"/>
      <c r="ACA241" s="15"/>
      <c r="ACB241" s="15"/>
      <c r="ACC241" s="15"/>
      <c r="ACD241" s="15"/>
      <c r="ACE241" s="10"/>
      <c r="ACF241" s="10"/>
      <c r="ACG241" s="21"/>
      <c r="ACH241" s="21"/>
      <c r="ACK241" s="21"/>
      <c r="ACL241" s="15"/>
      <c r="ACM241" s="15"/>
      <c r="ACN241" s="15"/>
      <c r="ACO241" s="15"/>
      <c r="ACP241" s="15"/>
      <c r="ACQ241" s="15"/>
      <c r="ACR241" s="15"/>
      <c r="ACS241" s="15"/>
      <c r="ACT241" s="15"/>
      <c r="ACU241" s="15"/>
      <c r="ACV241" s="10"/>
      <c r="ACW241" s="10"/>
      <c r="ACX241" s="21"/>
      <c r="ACY241" s="21"/>
      <c r="ADB241" s="21"/>
      <c r="ADC241" s="15"/>
      <c r="ADD241" s="15"/>
      <c r="ADE241" s="15"/>
      <c r="ADF241" s="15"/>
      <c r="ADG241" s="15"/>
      <c r="ADH241" s="15"/>
      <c r="ADI241" s="15"/>
      <c r="ADJ241" s="15"/>
      <c r="ADK241" s="15"/>
      <c r="ADL241" s="15"/>
      <c r="ADM241" s="10"/>
      <c r="ADN241" s="10"/>
      <c r="ADO241" s="21"/>
      <c r="ADP241" s="21"/>
      <c r="ADS241" s="21"/>
      <c r="ADT241" s="15"/>
      <c r="ADU241" s="15"/>
      <c r="ADV241" s="15"/>
      <c r="ADW241" s="15"/>
      <c r="ADX241" s="15"/>
      <c r="ADY241" s="15"/>
      <c r="ADZ241" s="15"/>
      <c r="AEA241" s="15"/>
      <c r="AEB241" s="15"/>
      <c r="AEC241" s="15"/>
      <c r="AED241" s="10"/>
      <c r="AEE241" s="10"/>
      <c r="AEF241" s="21"/>
      <c r="AEG241" s="21"/>
      <c r="AEJ241" s="21"/>
      <c r="AEK241" s="15"/>
      <c r="AEL241" s="15"/>
      <c r="AEM241" s="15"/>
      <c r="AEN241" s="15"/>
      <c r="AEO241" s="15"/>
      <c r="AEP241" s="15"/>
      <c r="AEQ241" s="15"/>
      <c r="AER241" s="15"/>
      <c r="AES241" s="15"/>
      <c r="AET241" s="15"/>
      <c r="AEU241" s="10"/>
      <c r="AEV241" s="10"/>
      <c r="AEW241" s="21"/>
      <c r="AEX241" s="21"/>
      <c r="AFA241" s="21"/>
      <c r="AFB241" s="15"/>
      <c r="AFC241" s="15"/>
      <c r="AFD241" s="15"/>
      <c r="AFE241" s="15"/>
      <c r="AFF241" s="15"/>
      <c r="AFG241" s="15"/>
      <c r="AFH241" s="15"/>
      <c r="AFI241" s="15"/>
      <c r="AFJ241" s="15"/>
      <c r="AFK241" s="15"/>
      <c r="AFL241" s="10"/>
      <c r="AFM241" s="10"/>
      <c r="AFN241" s="21"/>
      <c r="AFO241" s="21"/>
      <c r="AFR241" s="21"/>
      <c r="AFS241" s="15"/>
      <c r="AFT241" s="15"/>
      <c r="AFU241" s="15"/>
      <c r="AFV241" s="15"/>
      <c r="AFW241" s="15"/>
      <c r="AFX241" s="15"/>
      <c r="AFY241" s="15"/>
      <c r="AFZ241" s="15"/>
      <c r="AGA241" s="15"/>
      <c r="AGB241" s="15"/>
      <c r="AGC241" s="10"/>
      <c r="AGD241" s="10"/>
      <c r="AGE241" s="21"/>
      <c r="AGF241" s="21"/>
      <c r="AGI241" s="21"/>
      <c r="AGJ241" s="15"/>
      <c r="AGK241" s="15"/>
      <c r="AGL241" s="15"/>
      <c r="AGM241" s="15"/>
      <c r="AGN241" s="15"/>
      <c r="AGO241" s="15"/>
      <c r="AGP241" s="15"/>
      <c r="AGQ241" s="15"/>
      <c r="AGR241" s="15"/>
      <c r="AGS241" s="15"/>
      <c r="AGT241" s="10"/>
      <c r="AGU241" s="10"/>
      <c r="AGV241" s="21"/>
      <c r="AGW241" s="21"/>
      <c r="AGZ241" s="21"/>
      <c r="AHA241" s="15"/>
      <c r="AHB241" s="15"/>
      <c r="AHC241" s="15"/>
      <c r="AHD241" s="15"/>
      <c r="AHE241" s="15"/>
      <c r="AHF241" s="15"/>
      <c r="AHG241" s="15"/>
      <c r="AHH241" s="15"/>
      <c r="AHI241" s="15"/>
      <c r="AHJ241" s="15"/>
      <c r="AHK241" s="10"/>
      <c r="AHL241" s="10"/>
      <c r="AHM241" s="21"/>
      <c r="AHN241" s="21"/>
      <c r="AHQ241" s="21"/>
      <c r="AHR241" s="15"/>
      <c r="AHS241" s="15"/>
      <c r="AHT241" s="15"/>
      <c r="AHU241" s="15"/>
      <c r="AHV241" s="15"/>
      <c r="AHW241" s="15"/>
      <c r="AHX241" s="15"/>
      <c r="AHY241" s="15"/>
      <c r="AHZ241" s="15"/>
      <c r="AIA241" s="15"/>
      <c r="AIB241" s="10"/>
      <c r="AIC241" s="10"/>
      <c r="AID241" s="21"/>
      <c r="AIE241" s="21"/>
      <c r="AIH241" s="21"/>
      <c r="AII241" s="15"/>
      <c r="AIJ241" s="15"/>
      <c r="AIK241" s="15"/>
      <c r="AIL241" s="15"/>
      <c r="AIM241" s="15"/>
      <c r="AIN241" s="15"/>
      <c r="AIO241" s="15"/>
      <c r="AIP241" s="15"/>
      <c r="AIQ241" s="15"/>
      <c r="AIR241" s="15"/>
      <c r="AIS241" s="10"/>
      <c r="AIT241" s="10"/>
      <c r="AIU241" s="21"/>
      <c r="AIV241" s="21"/>
      <c r="AIY241" s="21"/>
      <c r="AIZ241" s="15"/>
      <c r="AJA241" s="15"/>
      <c r="AJB241" s="15"/>
      <c r="AJC241" s="15"/>
      <c r="AJD241" s="15"/>
      <c r="AJE241" s="15"/>
      <c r="AJF241" s="15"/>
      <c r="AJG241" s="15"/>
      <c r="AJH241" s="15"/>
      <c r="AJI241" s="15"/>
      <c r="AJJ241" s="10"/>
      <c r="AJK241" s="10"/>
      <c r="AJL241" s="21"/>
      <c r="AJM241" s="21"/>
      <c r="AJP241" s="21"/>
      <c r="AJQ241" s="15"/>
      <c r="AJR241" s="15"/>
      <c r="AJS241" s="15"/>
      <c r="AJT241" s="15"/>
      <c r="AJU241" s="15"/>
      <c r="AJV241" s="15"/>
      <c r="AJW241" s="15"/>
      <c r="AJX241" s="15"/>
      <c r="AJY241" s="15"/>
      <c r="AJZ241" s="15"/>
      <c r="AKA241" s="10"/>
      <c r="AKB241" s="10"/>
      <c r="AKC241" s="21"/>
      <c r="AKD241" s="21"/>
      <c r="AKG241" s="21"/>
      <c r="AKH241" s="15"/>
      <c r="AKI241" s="15"/>
      <c r="AKJ241" s="15"/>
      <c r="AKK241" s="15"/>
      <c r="AKL241" s="15"/>
      <c r="AKM241" s="15"/>
      <c r="AKN241" s="15"/>
      <c r="AKO241" s="15"/>
      <c r="AKP241" s="15"/>
      <c r="AKQ241" s="15"/>
      <c r="AKR241" s="10"/>
      <c r="AKS241" s="10"/>
      <c r="AKT241" s="21"/>
      <c r="AKU241" s="21"/>
      <c r="AKX241" s="21"/>
      <c r="AKY241" s="15"/>
      <c r="AKZ241" s="15"/>
      <c r="ALA241" s="15"/>
      <c r="ALB241" s="15"/>
      <c r="ALC241" s="15"/>
      <c r="ALD241" s="15"/>
      <c r="ALE241" s="15"/>
      <c r="ALF241" s="15"/>
      <c r="ALG241" s="15"/>
      <c r="ALH241" s="15"/>
      <c r="ALI241" s="10"/>
      <c r="ALJ241" s="10"/>
      <c r="ALK241" s="21"/>
      <c r="ALL241" s="21"/>
      <c r="ALO241" s="21"/>
      <c r="ALP241" s="15"/>
      <c r="ALQ241" s="15"/>
      <c r="ALR241" s="15"/>
      <c r="ALS241" s="15"/>
      <c r="ALT241" s="15"/>
      <c r="ALU241" s="15"/>
      <c r="ALV241" s="15"/>
      <c r="ALW241" s="15"/>
      <c r="ALX241" s="15"/>
      <c r="ALY241" s="15"/>
      <c r="ALZ241" s="10"/>
      <c r="AMA241" s="10"/>
      <c r="AMB241" s="21"/>
      <c r="AMC241" s="21"/>
      <c r="AMF241" s="21"/>
      <c r="AMG241" s="15"/>
      <c r="AMH241" s="15"/>
      <c r="AMI241" s="15"/>
      <c r="AMJ241" s="15"/>
      <c r="AMK241" s="15"/>
      <c r="AML241" s="15"/>
      <c r="AMM241" s="15"/>
      <c r="AMN241" s="15"/>
      <c r="AMO241" s="15"/>
      <c r="AMP241" s="15"/>
      <c r="AMQ241" s="10"/>
      <c r="AMR241" s="10"/>
      <c r="AMS241" s="21"/>
      <c r="AMT241" s="21"/>
      <c r="AMW241" s="21"/>
      <c r="AMX241" s="15"/>
      <c r="AMY241" s="15"/>
      <c r="AMZ241" s="15"/>
      <c r="ANA241" s="15"/>
      <c r="ANB241" s="15"/>
      <c r="ANC241" s="15"/>
      <c r="AND241" s="15"/>
      <c r="ANE241" s="15"/>
      <c r="ANF241" s="15"/>
      <c r="ANG241" s="15"/>
      <c r="ANH241" s="10"/>
      <c r="ANI241" s="10"/>
      <c r="ANJ241" s="21"/>
      <c r="ANK241" s="21"/>
      <c r="ANN241" s="21"/>
      <c r="ANO241" s="15"/>
      <c r="ANP241" s="15"/>
      <c r="ANQ241" s="15"/>
      <c r="ANR241" s="15"/>
      <c r="ANS241" s="15"/>
      <c r="ANT241" s="15"/>
      <c r="ANU241" s="15"/>
      <c r="ANV241" s="15"/>
      <c r="ANW241" s="15"/>
      <c r="ANX241" s="15"/>
      <c r="ANY241" s="10"/>
      <c r="ANZ241" s="10"/>
      <c r="AOA241" s="21"/>
      <c r="AOB241" s="21"/>
      <c r="AOE241" s="21"/>
      <c r="AOF241" s="15"/>
      <c r="AOG241" s="15"/>
      <c r="AOH241" s="15"/>
      <c r="AOI241" s="15"/>
      <c r="AOJ241" s="15"/>
      <c r="AOK241" s="15"/>
      <c r="AOL241" s="15"/>
      <c r="AOM241" s="15"/>
      <c r="AON241" s="15"/>
      <c r="AOO241" s="15"/>
      <c r="AOP241" s="10"/>
      <c r="AOQ241" s="10"/>
      <c r="AOR241" s="21"/>
      <c r="AOS241" s="21"/>
      <c r="AOV241" s="21"/>
      <c r="AOW241" s="15"/>
      <c r="AOX241" s="15"/>
      <c r="AOY241" s="15"/>
      <c r="AOZ241" s="15"/>
      <c r="APA241" s="15"/>
      <c r="APB241" s="15"/>
      <c r="APC241" s="15"/>
      <c r="APD241" s="15"/>
      <c r="APE241" s="15"/>
      <c r="APF241" s="15"/>
      <c r="APG241" s="10"/>
      <c r="APH241" s="10"/>
      <c r="API241" s="21"/>
      <c r="APJ241" s="21"/>
      <c r="APM241" s="21"/>
      <c r="APN241" s="15"/>
      <c r="APO241" s="15"/>
      <c r="APP241" s="15"/>
      <c r="APQ241" s="15"/>
      <c r="APR241" s="15"/>
      <c r="APS241" s="15"/>
      <c r="APT241" s="15"/>
      <c r="APU241" s="15"/>
      <c r="APV241" s="15"/>
      <c r="APW241" s="15"/>
      <c r="APX241" s="10"/>
      <c r="APY241" s="10"/>
      <c r="APZ241" s="21"/>
      <c r="AQA241" s="21"/>
      <c r="AQD241" s="21"/>
      <c r="AQE241" s="15"/>
      <c r="AQF241" s="15"/>
      <c r="AQG241" s="15"/>
      <c r="AQH241" s="15"/>
      <c r="AQI241" s="15"/>
      <c r="AQJ241" s="15"/>
      <c r="AQK241" s="15"/>
      <c r="AQL241" s="15"/>
      <c r="AQM241" s="15"/>
      <c r="AQN241" s="15"/>
      <c r="AQO241" s="10"/>
      <c r="AQP241" s="10"/>
      <c r="AQQ241" s="21"/>
      <c r="AQR241" s="21"/>
      <c r="AQU241" s="21"/>
      <c r="AQV241" s="15"/>
      <c r="AQW241" s="15"/>
      <c r="AQX241" s="15"/>
      <c r="AQY241" s="15"/>
      <c r="AQZ241" s="15"/>
      <c r="ARA241" s="15"/>
      <c r="ARB241" s="15"/>
      <c r="ARC241" s="15"/>
      <c r="ARD241" s="15"/>
      <c r="ARE241" s="15"/>
      <c r="ARF241" s="10"/>
      <c r="ARG241" s="10"/>
      <c r="ARH241" s="21"/>
      <c r="ARI241" s="21"/>
      <c r="ARL241" s="21"/>
      <c r="ARM241" s="15"/>
      <c r="ARN241" s="15"/>
      <c r="ARO241" s="15"/>
      <c r="ARP241" s="15"/>
      <c r="ARQ241" s="15"/>
      <c r="ARR241" s="15"/>
      <c r="ARS241" s="15"/>
      <c r="ART241" s="15"/>
      <c r="ARU241" s="15"/>
      <c r="ARV241" s="15"/>
      <c r="ARW241" s="10"/>
      <c r="ARX241" s="10"/>
      <c r="ARY241" s="21"/>
      <c r="ARZ241" s="21"/>
      <c r="ASC241" s="21"/>
      <c r="ASD241" s="15"/>
      <c r="ASE241" s="15"/>
      <c r="ASF241" s="15"/>
      <c r="ASG241" s="15"/>
      <c r="ASH241" s="15"/>
      <c r="ASI241" s="15"/>
      <c r="ASJ241" s="15"/>
      <c r="ASK241" s="15"/>
      <c r="ASL241" s="15"/>
      <c r="ASM241" s="15"/>
      <c r="ASN241" s="10"/>
      <c r="ASO241" s="10"/>
      <c r="ASP241" s="21"/>
      <c r="ASQ241" s="21"/>
      <c r="AST241" s="21"/>
      <c r="ASU241" s="15"/>
      <c r="ASV241" s="15"/>
      <c r="ASW241" s="15"/>
      <c r="ASX241" s="15"/>
      <c r="ASY241" s="15"/>
      <c r="ASZ241" s="15"/>
      <c r="ATA241" s="15"/>
      <c r="ATB241" s="15"/>
      <c r="ATC241" s="15"/>
      <c r="ATD241" s="15"/>
      <c r="ATE241" s="10"/>
      <c r="ATF241" s="10"/>
      <c r="ATG241" s="21"/>
      <c r="ATH241" s="21"/>
      <c r="ATK241" s="21"/>
      <c r="ATL241" s="15"/>
      <c r="ATM241" s="15"/>
      <c r="ATN241" s="15"/>
      <c r="ATO241" s="15"/>
      <c r="ATP241" s="15"/>
      <c r="ATQ241" s="15"/>
      <c r="ATR241" s="15"/>
      <c r="ATS241" s="15"/>
      <c r="ATT241" s="15"/>
      <c r="ATU241" s="15"/>
      <c r="ATV241" s="10"/>
      <c r="ATW241" s="10"/>
      <c r="ATX241" s="21"/>
      <c r="ATY241" s="21"/>
      <c r="AUB241" s="21"/>
      <c r="AUC241" s="15"/>
      <c r="AUD241" s="15"/>
      <c r="AUE241" s="15"/>
      <c r="AUF241" s="15"/>
      <c r="AUG241" s="15"/>
      <c r="AUH241" s="15"/>
      <c r="AUI241" s="15"/>
      <c r="AUJ241" s="15"/>
      <c r="AUK241" s="15"/>
      <c r="AUL241" s="15"/>
      <c r="AUM241" s="10"/>
      <c r="AUN241" s="10"/>
      <c r="AUO241" s="21"/>
      <c r="AUP241" s="21"/>
      <c r="AUS241" s="21"/>
      <c r="AUT241" s="15"/>
      <c r="AUU241" s="15"/>
      <c r="AUV241" s="15"/>
      <c r="AUW241" s="15"/>
      <c r="AUX241" s="15"/>
      <c r="AUY241" s="15"/>
      <c r="AUZ241" s="15"/>
      <c r="AVA241" s="15"/>
      <c r="AVB241" s="15"/>
      <c r="AVC241" s="15"/>
      <c r="AVD241" s="10"/>
      <c r="AVE241" s="10"/>
      <c r="AVF241" s="21"/>
      <c r="AVG241" s="21"/>
      <c r="AVJ241" s="21"/>
      <c r="AVK241" s="15"/>
      <c r="AVL241" s="15"/>
      <c r="AVM241" s="15"/>
      <c r="AVN241" s="15"/>
      <c r="AVO241" s="15"/>
      <c r="AVP241" s="15"/>
      <c r="AVQ241" s="15"/>
      <c r="AVR241" s="15"/>
      <c r="AVS241" s="15"/>
      <c r="AVT241" s="15"/>
      <c r="AVU241" s="10"/>
      <c r="AVV241" s="10"/>
      <c r="AVW241" s="21"/>
      <c r="AVX241" s="21"/>
      <c r="AWA241" s="21"/>
      <c r="AWB241" s="15"/>
      <c r="AWC241" s="15"/>
      <c r="AWD241" s="15"/>
      <c r="AWE241" s="15"/>
      <c r="AWF241" s="15"/>
      <c r="AWG241" s="15"/>
      <c r="AWH241" s="15"/>
      <c r="AWI241" s="15"/>
      <c r="AWJ241" s="15"/>
      <c r="AWK241" s="15"/>
      <c r="AWL241" s="10"/>
      <c r="AWM241" s="10"/>
      <c r="AWN241" s="21"/>
      <c r="AWO241" s="21"/>
      <c r="AWR241" s="21"/>
      <c r="AWS241" s="15"/>
      <c r="AWT241" s="15"/>
      <c r="AWU241" s="15"/>
      <c r="AWV241" s="15"/>
      <c r="AWW241" s="15"/>
      <c r="AWX241" s="15"/>
      <c r="AWY241" s="15"/>
      <c r="AWZ241" s="15"/>
      <c r="AXA241" s="15"/>
      <c r="AXB241" s="15"/>
      <c r="AXC241" s="10"/>
      <c r="AXD241" s="10"/>
      <c r="AXE241" s="21"/>
      <c r="AXF241" s="21"/>
      <c r="AXI241" s="21"/>
      <c r="AXJ241" s="15"/>
      <c r="AXK241" s="15"/>
      <c r="AXL241" s="15"/>
      <c r="AXM241" s="15"/>
      <c r="AXN241" s="15"/>
      <c r="AXO241" s="15"/>
      <c r="AXP241" s="15"/>
      <c r="AXQ241" s="15"/>
      <c r="AXR241" s="15"/>
      <c r="AXS241" s="15"/>
      <c r="AXT241" s="10"/>
      <c r="AXU241" s="10"/>
      <c r="AXV241" s="21"/>
      <c r="AXW241" s="21"/>
      <c r="AXZ241" s="21"/>
      <c r="AYA241" s="15"/>
      <c r="AYB241" s="15"/>
      <c r="AYC241" s="15"/>
      <c r="AYD241" s="15"/>
      <c r="AYE241" s="15"/>
      <c r="AYF241" s="15"/>
      <c r="AYG241" s="15"/>
      <c r="AYH241" s="15"/>
      <c r="AYI241" s="15"/>
      <c r="AYJ241" s="15"/>
      <c r="AYK241" s="10"/>
      <c r="AYL241" s="10"/>
      <c r="AYM241" s="21"/>
      <c r="AYN241" s="21"/>
      <c r="AYQ241" s="21"/>
      <c r="AYR241" s="15"/>
      <c r="AYS241" s="15"/>
      <c r="AYT241" s="15"/>
      <c r="AYU241" s="15"/>
      <c r="AYV241" s="15"/>
      <c r="AYW241" s="15"/>
      <c r="AYX241" s="15"/>
      <c r="AYY241" s="15"/>
      <c r="AYZ241" s="15"/>
      <c r="AZA241" s="15"/>
      <c r="AZB241" s="10"/>
      <c r="AZC241" s="10"/>
      <c r="AZD241" s="21"/>
      <c r="AZE241" s="21"/>
      <c r="AZH241" s="21"/>
      <c r="AZI241" s="15"/>
      <c r="AZJ241" s="15"/>
      <c r="AZK241" s="15"/>
      <c r="AZL241" s="15"/>
      <c r="AZM241" s="15"/>
      <c r="AZN241" s="15"/>
      <c r="AZO241" s="15"/>
      <c r="AZP241" s="15"/>
      <c r="AZQ241" s="15"/>
      <c r="AZR241" s="15"/>
      <c r="AZS241" s="10"/>
      <c r="AZT241" s="10"/>
      <c r="AZU241" s="21"/>
      <c r="AZV241" s="21"/>
      <c r="AZY241" s="21"/>
      <c r="AZZ241" s="15"/>
      <c r="BAA241" s="15"/>
      <c r="BAB241" s="15"/>
      <c r="BAC241" s="15"/>
      <c r="BAD241" s="15"/>
      <c r="BAE241" s="15"/>
      <c r="BAF241" s="15"/>
      <c r="BAG241" s="15"/>
      <c r="BAH241" s="15"/>
      <c r="BAI241" s="15"/>
      <c r="BAJ241" s="10"/>
      <c r="BAK241" s="10"/>
      <c r="BAL241" s="21"/>
      <c r="BAM241" s="21"/>
      <c r="BAP241" s="21"/>
      <c r="BAQ241" s="15"/>
      <c r="BAR241" s="15"/>
      <c r="BAS241" s="15"/>
      <c r="BAT241" s="15"/>
      <c r="BAU241" s="15"/>
      <c r="BAV241" s="15"/>
      <c r="BAW241" s="15"/>
      <c r="BAX241" s="15"/>
      <c r="BAY241" s="15"/>
      <c r="BAZ241" s="15"/>
      <c r="BBA241" s="10"/>
      <c r="BBB241" s="10"/>
      <c r="BBC241" s="21"/>
      <c r="BBD241" s="21"/>
      <c r="BBG241" s="21"/>
      <c r="BBH241" s="15"/>
      <c r="BBI241" s="15"/>
      <c r="BBJ241" s="15"/>
      <c r="BBK241" s="15"/>
      <c r="BBL241" s="15"/>
      <c r="BBM241" s="15"/>
      <c r="BBN241" s="15"/>
      <c r="BBO241" s="15"/>
      <c r="BBP241" s="15"/>
      <c r="BBQ241" s="15"/>
      <c r="BBR241" s="10"/>
      <c r="BBS241" s="10"/>
      <c r="BBT241" s="21"/>
      <c r="BBU241" s="21"/>
      <c r="BBX241" s="21"/>
      <c r="BBY241" s="15"/>
      <c r="BBZ241" s="15"/>
      <c r="BCA241" s="15"/>
      <c r="BCB241" s="15"/>
      <c r="BCC241" s="15"/>
      <c r="BCD241" s="15"/>
      <c r="BCE241" s="15"/>
      <c r="BCF241" s="15"/>
      <c r="BCG241" s="15"/>
      <c r="BCH241" s="15"/>
      <c r="BCI241" s="10"/>
      <c r="BCJ241" s="10"/>
      <c r="BCK241" s="21"/>
      <c r="BCL241" s="21"/>
      <c r="BCO241" s="21"/>
      <c r="BCP241" s="15"/>
      <c r="BCQ241" s="15"/>
      <c r="BCR241" s="15"/>
      <c r="BCS241" s="15"/>
      <c r="BCT241" s="15"/>
      <c r="BCU241" s="15"/>
      <c r="BCV241" s="15"/>
      <c r="BCW241" s="15"/>
      <c r="BCX241" s="15"/>
      <c r="BCY241" s="15"/>
      <c r="BCZ241" s="10"/>
      <c r="BDA241" s="10"/>
      <c r="BDB241" s="21"/>
      <c r="BDC241" s="21"/>
      <c r="BDF241" s="21"/>
      <c r="BDG241" s="15"/>
      <c r="BDH241" s="15"/>
      <c r="BDI241" s="15"/>
      <c r="BDJ241" s="15"/>
      <c r="BDK241" s="15"/>
      <c r="BDL241" s="15"/>
      <c r="BDM241" s="15"/>
      <c r="BDN241" s="15"/>
      <c r="BDO241" s="15"/>
      <c r="BDP241" s="15"/>
      <c r="BDQ241" s="10"/>
      <c r="BDR241" s="10"/>
      <c r="BDS241" s="21"/>
      <c r="BDT241" s="21"/>
      <c r="BDW241" s="21"/>
      <c r="BDX241" s="15"/>
      <c r="BDY241" s="15"/>
      <c r="BDZ241" s="15"/>
      <c r="BEA241" s="15"/>
      <c r="BEB241" s="15"/>
      <c r="BEC241" s="15"/>
      <c r="BED241" s="15"/>
      <c r="BEE241" s="15"/>
      <c r="BEF241" s="15"/>
      <c r="BEG241" s="15"/>
      <c r="BEH241" s="10"/>
      <c r="BEI241" s="10"/>
      <c r="BEJ241" s="21"/>
      <c r="BEK241" s="21"/>
      <c r="BEN241" s="21"/>
      <c r="BEO241" s="15"/>
      <c r="BEP241" s="15"/>
      <c r="BEQ241" s="15"/>
      <c r="BER241" s="15"/>
      <c r="BES241" s="15"/>
      <c r="BET241" s="15"/>
      <c r="BEU241" s="15"/>
      <c r="BEV241" s="15"/>
      <c r="BEW241" s="15"/>
      <c r="BEX241" s="15"/>
      <c r="BEY241" s="10"/>
      <c r="BEZ241" s="10"/>
      <c r="BFA241" s="21"/>
      <c r="BFB241" s="21"/>
      <c r="BFE241" s="21"/>
      <c r="BFF241" s="15"/>
      <c r="BFG241" s="15"/>
      <c r="BFH241" s="15"/>
      <c r="BFI241" s="15"/>
      <c r="BFJ241" s="15"/>
      <c r="BFK241" s="15"/>
      <c r="BFL241" s="15"/>
      <c r="BFM241" s="15"/>
      <c r="BFN241" s="15"/>
      <c r="BFO241" s="15"/>
      <c r="BFP241" s="10"/>
      <c r="BFQ241" s="10"/>
      <c r="BFR241" s="21"/>
      <c r="BFS241" s="21"/>
      <c r="BFV241" s="21"/>
      <c r="BFW241" s="15"/>
      <c r="BFX241" s="15"/>
      <c r="BFY241" s="15"/>
      <c r="BFZ241" s="15"/>
      <c r="BGA241" s="15"/>
      <c r="BGB241" s="15"/>
      <c r="BGC241" s="15"/>
      <c r="BGD241" s="15"/>
      <c r="BGE241" s="15"/>
      <c r="BGF241" s="15"/>
      <c r="BGG241" s="10"/>
      <c r="BGH241" s="10"/>
      <c r="BGI241" s="21"/>
      <c r="BGJ241" s="21"/>
      <c r="BGM241" s="21"/>
      <c r="BGN241" s="15"/>
      <c r="BGO241" s="15"/>
      <c r="BGP241" s="15"/>
      <c r="BGQ241" s="15"/>
      <c r="BGR241" s="15"/>
      <c r="BGS241" s="15"/>
      <c r="BGT241" s="15"/>
      <c r="BGU241" s="15"/>
      <c r="BGV241" s="15"/>
      <c r="BGW241" s="15"/>
      <c r="BGX241" s="10"/>
      <c r="BGY241" s="10"/>
      <c r="BGZ241" s="21"/>
      <c r="BHA241" s="21"/>
      <c r="BHD241" s="21"/>
      <c r="BHE241" s="15"/>
      <c r="BHF241" s="15"/>
      <c r="BHG241" s="15"/>
      <c r="BHH241" s="15"/>
      <c r="BHI241" s="15"/>
      <c r="BHJ241" s="15"/>
      <c r="BHK241" s="15"/>
      <c r="BHL241" s="15"/>
      <c r="BHM241" s="15"/>
      <c r="BHN241" s="15"/>
      <c r="BHO241" s="10"/>
      <c r="BHP241" s="10"/>
      <c r="BHQ241" s="21"/>
      <c r="BHR241" s="21"/>
      <c r="BHU241" s="21"/>
      <c r="BHV241" s="15"/>
      <c r="BHW241" s="15"/>
      <c r="BHX241" s="15"/>
      <c r="BHY241" s="15"/>
      <c r="BHZ241" s="15"/>
      <c r="BIA241" s="15"/>
      <c r="BIB241" s="15"/>
      <c r="BIC241" s="15"/>
      <c r="BID241" s="15"/>
      <c r="BIE241" s="15"/>
      <c r="BIF241" s="10"/>
      <c r="BIG241" s="10"/>
      <c r="BIH241" s="21"/>
      <c r="BII241" s="21"/>
      <c r="BIL241" s="21"/>
      <c r="BIM241" s="15"/>
      <c r="BIN241" s="15"/>
      <c r="BIO241" s="15"/>
      <c r="BIP241" s="15"/>
      <c r="BIQ241" s="15"/>
      <c r="BIR241" s="15"/>
      <c r="BIS241" s="15"/>
      <c r="BIT241" s="15"/>
      <c r="BIU241" s="15"/>
      <c r="BIV241" s="15"/>
      <c r="BIW241" s="10"/>
      <c r="BIX241" s="10"/>
      <c r="BIY241" s="21"/>
      <c r="BIZ241" s="21"/>
      <c r="BJC241" s="21"/>
      <c r="BJD241" s="15"/>
      <c r="BJE241" s="15"/>
      <c r="BJF241" s="15"/>
      <c r="BJG241" s="15"/>
      <c r="BJH241" s="15"/>
      <c r="BJI241" s="15"/>
      <c r="BJJ241" s="15"/>
      <c r="BJK241" s="15"/>
      <c r="BJL241" s="15"/>
      <c r="BJM241" s="15"/>
      <c r="BJN241" s="10"/>
      <c r="BJO241" s="10"/>
      <c r="BJP241" s="21"/>
      <c r="BJQ241" s="21"/>
      <c r="BJT241" s="21"/>
      <c r="BJU241" s="15"/>
      <c r="BJV241" s="15"/>
      <c r="BJW241" s="15"/>
      <c r="BJX241" s="15"/>
      <c r="BJY241" s="15"/>
      <c r="BJZ241" s="15"/>
      <c r="BKA241" s="15"/>
      <c r="BKB241" s="15"/>
      <c r="BKC241" s="15"/>
      <c r="BKD241" s="15"/>
      <c r="BKE241" s="10"/>
      <c r="BKF241" s="10"/>
      <c r="BKG241" s="21"/>
      <c r="BKH241" s="21"/>
      <c r="BKK241" s="21"/>
      <c r="BKL241" s="15"/>
      <c r="BKM241" s="15"/>
      <c r="BKN241" s="15"/>
      <c r="BKO241" s="15"/>
      <c r="BKP241" s="15"/>
      <c r="BKQ241" s="15"/>
      <c r="BKR241" s="15"/>
      <c r="BKS241" s="15"/>
      <c r="BKT241" s="15"/>
      <c r="BKU241" s="15"/>
      <c r="BKV241" s="10"/>
      <c r="BKW241" s="10"/>
      <c r="BKX241" s="21"/>
      <c r="BKY241" s="21"/>
      <c r="BLB241" s="21"/>
      <c r="BLC241" s="15"/>
      <c r="BLD241" s="15"/>
      <c r="BLE241" s="15"/>
      <c r="BLF241" s="15"/>
      <c r="BLG241" s="15"/>
      <c r="BLH241" s="15"/>
      <c r="BLI241" s="15"/>
      <c r="BLJ241" s="15"/>
      <c r="BLK241" s="15"/>
      <c r="BLL241" s="15"/>
      <c r="BLM241" s="10"/>
      <c r="BLN241" s="10"/>
      <c r="BLO241" s="21"/>
      <c r="BLP241" s="21"/>
      <c r="BLS241" s="21"/>
      <c r="BLT241" s="15"/>
      <c r="BLU241" s="15"/>
      <c r="BLV241" s="15"/>
      <c r="BLW241" s="15"/>
      <c r="BLX241" s="15"/>
      <c r="BLY241" s="15"/>
      <c r="BLZ241" s="15"/>
      <c r="BMA241" s="15"/>
      <c r="BMB241" s="15"/>
      <c r="BMC241" s="15"/>
      <c r="BMD241" s="10"/>
      <c r="BME241" s="10"/>
      <c r="BMF241" s="21"/>
      <c r="BMG241" s="21"/>
      <c r="BMJ241" s="21"/>
      <c r="BMK241" s="15"/>
      <c r="BML241" s="15"/>
      <c r="BMM241" s="15"/>
      <c r="BMN241" s="15"/>
      <c r="BMO241" s="15"/>
      <c r="BMP241" s="15"/>
      <c r="BMQ241" s="15"/>
      <c r="BMR241" s="15"/>
      <c r="BMS241" s="15"/>
      <c r="BMT241" s="15"/>
      <c r="BMU241" s="10"/>
      <c r="BMV241" s="10"/>
      <c r="BMW241" s="21"/>
      <c r="BMX241" s="21"/>
      <c r="BNA241" s="21"/>
      <c r="BNB241" s="15"/>
      <c r="BNC241" s="15"/>
      <c r="BND241" s="15"/>
      <c r="BNE241" s="15"/>
      <c r="BNF241" s="15"/>
      <c r="BNG241" s="15"/>
      <c r="BNH241" s="15"/>
      <c r="BNI241" s="15"/>
      <c r="BNJ241" s="15"/>
      <c r="BNK241" s="15"/>
      <c r="BNL241" s="10"/>
      <c r="BNM241" s="10"/>
      <c r="BNN241" s="21"/>
      <c r="BNO241" s="21"/>
      <c r="BNR241" s="21"/>
      <c r="BNS241" s="15"/>
      <c r="BNT241" s="15"/>
      <c r="BNU241" s="15"/>
      <c r="BNV241" s="15"/>
      <c r="BNW241" s="15"/>
      <c r="BNX241" s="15"/>
      <c r="BNY241" s="15"/>
      <c r="BNZ241" s="15"/>
      <c r="BOA241" s="15"/>
      <c r="BOB241" s="15"/>
      <c r="BOC241" s="10"/>
      <c r="BOD241" s="10"/>
      <c r="BOE241" s="21"/>
      <c r="BOF241" s="21"/>
      <c r="BOI241" s="21"/>
      <c r="BOJ241" s="15"/>
      <c r="BOK241" s="15"/>
      <c r="BOL241" s="15"/>
      <c r="BOM241" s="15"/>
      <c r="BON241" s="15"/>
      <c r="BOO241" s="15"/>
      <c r="BOP241" s="15"/>
      <c r="BOQ241" s="15"/>
      <c r="BOR241" s="15"/>
      <c r="BOS241" s="15"/>
      <c r="BOT241" s="10"/>
      <c r="BOU241" s="10"/>
      <c r="BOV241" s="21"/>
      <c r="BOW241" s="21"/>
      <c r="BOZ241" s="21"/>
      <c r="BPA241" s="15"/>
      <c r="BPB241" s="15"/>
      <c r="BPC241" s="15"/>
      <c r="BPD241" s="15"/>
      <c r="BPE241" s="15"/>
      <c r="BPF241" s="15"/>
      <c r="BPG241" s="15"/>
      <c r="BPH241" s="15"/>
      <c r="BPI241" s="15"/>
      <c r="BPJ241" s="15"/>
      <c r="BPK241" s="10"/>
      <c r="BPL241" s="10"/>
      <c r="BPM241" s="21"/>
      <c r="BPN241" s="21"/>
      <c r="BPQ241" s="21"/>
      <c r="BPR241" s="15"/>
      <c r="BPS241" s="15"/>
      <c r="BPT241" s="15"/>
      <c r="BPU241" s="15"/>
      <c r="BPV241" s="15"/>
      <c r="BPW241" s="15"/>
      <c r="BPX241" s="15"/>
      <c r="BPY241" s="15"/>
      <c r="BPZ241" s="15"/>
      <c r="BQA241" s="15"/>
      <c r="BQB241" s="10"/>
      <c r="BQC241" s="10"/>
      <c r="BQD241" s="21"/>
      <c r="BQE241" s="21"/>
      <c r="BQH241" s="21"/>
      <c r="BQI241" s="15"/>
      <c r="BQJ241" s="15"/>
      <c r="BQK241" s="15"/>
      <c r="BQL241" s="15"/>
      <c r="BQM241" s="15"/>
      <c r="BQN241" s="15"/>
      <c r="BQO241" s="15"/>
      <c r="BQP241" s="15"/>
      <c r="BQQ241" s="15"/>
      <c r="BQR241" s="15"/>
      <c r="BQS241" s="10"/>
      <c r="BQT241" s="10"/>
      <c r="BQU241" s="21"/>
      <c r="BQV241" s="21"/>
      <c r="BQY241" s="21"/>
      <c r="BQZ241" s="15"/>
      <c r="BRA241" s="15"/>
      <c r="BRB241" s="15"/>
      <c r="BRC241" s="15"/>
      <c r="BRD241" s="15"/>
      <c r="BRE241" s="15"/>
      <c r="BRF241" s="15"/>
      <c r="BRG241" s="15"/>
      <c r="BRH241" s="15"/>
      <c r="BRI241" s="15"/>
      <c r="BRJ241" s="10"/>
      <c r="BRK241" s="10"/>
      <c r="BRL241" s="21"/>
      <c r="BRM241" s="21"/>
      <c r="BRP241" s="21"/>
      <c r="BRQ241" s="15"/>
      <c r="BRR241" s="15"/>
      <c r="BRS241" s="15"/>
      <c r="BRT241" s="15"/>
      <c r="BRU241" s="15"/>
      <c r="BRV241" s="15"/>
      <c r="BRW241" s="15"/>
      <c r="BRX241" s="15"/>
      <c r="BRY241" s="15"/>
      <c r="BRZ241" s="15"/>
      <c r="BSA241" s="10"/>
      <c r="BSB241" s="10"/>
      <c r="BSC241" s="21"/>
      <c r="BSD241" s="21"/>
      <c r="BSG241" s="21"/>
      <c r="BSH241" s="15"/>
      <c r="BSI241" s="15"/>
      <c r="BSJ241" s="15"/>
      <c r="BSK241" s="15"/>
      <c r="BSL241" s="15"/>
      <c r="BSM241" s="15"/>
      <c r="BSN241" s="15"/>
      <c r="BSO241" s="15"/>
      <c r="BSP241" s="15"/>
      <c r="BSQ241" s="15"/>
      <c r="BSR241" s="10"/>
      <c r="BSS241" s="10"/>
      <c r="BST241" s="21"/>
      <c r="BSU241" s="21"/>
      <c r="BSX241" s="21"/>
      <c r="BSY241" s="15"/>
      <c r="BSZ241" s="15"/>
      <c r="BTA241" s="15"/>
      <c r="BTB241" s="15"/>
      <c r="BTC241" s="15"/>
      <c r="BTD241" s="15"/>
      <c r="BTE241" s="15"/>
      <c r="BTF241" s="15"/>
      <c r="BTG241" s="15"/>
      <c r="BTH241" s="15"/>
      <c r="BTI241" s="10"/>
      <c r="BTJ241" s="10"/>
      <c r="BTK241" s="21"/>
      <c r="BTL241" s="21"/>
      <c r="BTO241" s="21"/>
      <c r="BTP241" s="15"/>
      <c r="BTQ241" s="15"/>
      <c r="BTR241" s="15"/>
      <c r="BTS241" s="15"/>
      <c r="BTT241" s="15"/>
      <c r="BTU241" s="15"/>
      <c r="BTV241" s="15"/>
      <c r="BTW241" s="15"/>
      <c r="BTX241" s="15"/>
      <c r="BTY241" s="15"/>
      <c r="BTZ241" s="10"/>
      <c r="BUA241" s="10"/>
      <c r="BUB241" s="21"/>
      <c r="BUC241" s="21"/>
      <c r="BUF241" s="21"/>
      <c r="BUG241" s="15"/>
      <c r="BUH241" s="15"/>
      <c r="BUI241" s="15"/>
      <c r="BUJ241" s="15"/>
      <c r="BUK241" s="15"/>
      <c r="BUL241" s="15"/>
      <c r="BUM241" s="15"/>
      <c r="BUN241" s="15"/>
      <c r="BUO241" s="15"/>
      <c r="BUP241" s="15"/>
      <c r="BUQ241" s="10"/>
      <c r="BUR241" s="10"/>
      <c r="BUS241" s="21"/>
      <c r="BUT241" s="21"/>
      <c r="BUW241" s="21"/>
      <c r="BUX241" s="15"/>
      <c r="BUY241" s="15"/>
      <c r="BUZ241" s="15"/>
      <c r="BVA241" s="15"/>
      <c r="BVB241" s="15"/>
      <c r="BVC241" s="15"/>
      <c r="BVD241" s="15"/>
      <c r="BVE241" s="15"/>
      <c r="BVF241" s="15"/>
      <c r="BVG241" s="15"/>
      <c r="BVH241" s="10"/>
      <c r="BVI241" s="10"/>
      <c r="BVJ241" s="21"/>
      <c r="BVK241" s="21"/>
      <c r="BVN241" s="21"/>
      <c r="BVO241" s="15"/>
      <c r="BVP241" s="15"/>
      <c r="BVQ241" s="15"/>
      <c r="BVR241" s="15"/>
      <c r="BVS241" s="15"/>
      <c r="BVT241" s="15"/>
      <c r="BVU241" s="15"/>
      <c r="BVV241" s="15"/>
      <c r="BVW241" s="15"/>
      <c r="BVX241" s="15"/>
      <c r="BVY241" s="10"/>
      <c r="BVZ241" s="10"/>
      <c r="BWA241" s="21"/>
      <c r="BWB241" s="21"/>
      <c r="BWE241" s="21"/>
      <c r="BWF241" s="15"/>
      <c r="BWG241" s="15"/>
      <c r="BWH241" s="15"/>
      <c r="BWI241" s="15"/>
      <c r="BWJ241" s="15"/>
      <c r="BWK241" s="15"/>
      <c r="BWL241" s="15"/>
      <c r="BWM241" s="15"/>
      <c r="BWN241" s="15"/>
      <c r="BWO241" s="15"/>
      <c r="BWP241" s="10"/>
      <c r="BWQ241" s="10"/>
      <c r="BWR241" s="21"/>
      <c r="BWS241" s="21"/>
      <c r="BWV241" s="21"/>
      <c r="BWW241" s="15"/>
      <c r="BWX241" s="15"/>
      <c r="BWY241" s="15"/>
      <c r="BWZ241" s="15"/>
      <c r="BXA241" s="15"/>
      <c r="BXB241" s="15"/>
      <c r="BXC241" s="15"/>
      <c r="BXD241" s="15"/>
      <c r="BXE241" s="15"/>
      <c r="BXF241" s="15"/>
      <c r="BXG241" s="10"/>
      <c r="BXH241" s="10"/>
      <c r="BXI241" s="21"/>
      <c r="BXJ241" s="21"/>
      <c r="BXM241" s="21"/>
      <c r="BXN241" s="15"/>
      <c r="BXO241" s="15"/>
      <c r="BXP241" s="15"/>
      <c r="BXQ241" s="15"/>
      <c r="BXR241" s="15"/>
      <c r="BXS241" s="15"/>
      <c r="BXT241" s="15"/>
      <c r="BXU241" s="15"/>
      <c r="BXV241" s="15"/>
      <c r="BXW241" s="15"/>
      <c r="BXX241" s="10"/>
      <c r="BXY241" s="10"/>
      <c r="BXZ241" s="21"/>
      <c r="BYA241" s="21"/>
      <c r="BYD241" s="21"/>
      <c r="BYE241" s="15"/>
      <c r="BYF241" s="15"/>
      <c r="BYG241" s="15"/>
      <c r="BYH241" s="15"/>
      <c r="BYI241" s="15"/>
      <c r="BYJ241" s="15"/>
      <c r="BYK241" s="15"/>
      <c r="BYL241" s="15"/>
      <c r="BYM241" s="15"/>
      <c r="BYN241" s="15"/>
      <c r="BYO241" s="10"/>
      <c r="BYP241" s="10"/>
      <c r="BYQ241" s="21"/>
      <c r="BYR241" s="21"/>
      <c r="BYU241" s="21"/>
      <c r="BYV241" s="15"/>
      <c r="BYW241" s="15"/>
      <c r="BYX241" s="15"/>
      <c r="BYY241" s="15"/>
      <c r="BYZ241" s="15"/>
      <c r="BZA241" s="15"/>
      <c r="BZB241" s="15"/>
      <c r="BZC241" s="15"/>
      <c r="BZD241" s="15"/>
      <c r="BZE241" s="15"/>
      <c r="BZF241" s="10"/>
      <c r="BZG241" s="10"/>
      <c r="BZH241" s="21"/>
      <c r="BZI241" s="21"/>
      <c r="BZL241" s="21"/>
      <c r="BZM241" s="15"/>
      <c r="BZN241" s="15"/>
      <c r="BZO241" s="15"/>
      <c r="BZP241" s="15"/>
      <c r="BZQ241" s="15"/>
      <c r="BZR241" s="15"/>
      <c r="BZS241" s="15"/>
      <c r="BZT241" s="15"/>
      <c r="BZU241" s="15"/>
      <c r="BZV241" s="15"/>
      <c r="BZW241" s="10"/>
      <c r="BZX241" s="10"/>
      <c r="BZY241" s="21"/>
      <c r="BZZ241" s="21"/>
      <c r="CAC241" s="21"/>
      <c r="CAD241" s="15"/>
      <c r="CAE241" s="15"/>
      <c r="CAF241" s="15"/>
      <c r="CAG241" s="15"/>
      <c r="CAH241" s="15"/>
      <c r="CAI241" s="15"/>
      <c r="CAJ241" s="15"/>
      <c r="CAK241" s="15"/>
      <c r="CAL241" s="15"/>
      <c r="CAM241" s="15"/>
      <c r="CAN241" s="10"/>
      <c r="CAO241" s="10"/>
      <c r="CAP241" s="21"/>
      <c r="CAQ241" s="21"/>
      <c r="CAT241" s="21"/>
      <c r="CAU241" s="15"/>
      <c r="CAV241" s="15"/>
      <c r="CAW241" s="15"/>
      <c r="CAX241" s="15"/>
      <c r="CAY241" s="15"/>
      <c r="CAZ241" s="15"/>
      <c r="CBA241" s="15"/>
      <c r="CBB241" s="15"/>
      <c r="CBC241" s="15"/>
      <c r="CBD241" s="15"/>
      <c r="CBE241" s="10"/>
      <c r="CBF241" s="10"/>
      <c r="CBG241" s="21"/>
      <c r="CBH241" s="21"/>
      <c r="CBK241" s="21"/>
      <c r="CBL241" s="15"/>
      <c r="CBM241" s="15"/>
      <c r="CBN241" s="15"/>
      <c r="CBO241" s="15"/>
      <c r="CBP241" s="15"/>
      <c r="CBQ241" s="15"/>
      <c r="CBR241" s="15"/>
      <c r="CBS241" s="15"/>
      <c r="CBT241" s="15"/>
      <c r="CBU241" s="15"/>
      <c r="CBV241" s="10"/>
      <c r="CBW241" s="10"/>
      <c r="CBX241" s="21"/>
      <c r="CBY241" s="21"/>
      <c r="CCB241" s="21"/>
      <c r="CCC241" s="15"/>
      <c r="CCD241" s="15"/>
      <c r="CCE241" s="15"/>
      <c r="CCF241" s="15"/>
      <c r="CCG241" s="15"/>
      <c r="CCH241" s="15"/>
      <c r="CCI241" s="15"/>
      <c r="CCJ241" s="15"/>
      <c r="CCK241" s="15"/>
      <c r="CCL241" s="15"/>
      <c r="CCM241" s="10"/>
      <c r="CCN241" s="10"/>
      <c r="CCO241" s="21"/>
      <c r="CCP241" s="21"/>
      <c r="CCS241" s="21"/>
      <c r="CCT241" s="15"/>
      <c r="CCU241" s="15"/>
      <c r="CCV241" s="15"/>
      <c r="CCW241" s="15"/>
      <c r="CCX241" s="15"/>
      <c r="CCY241" s="15"/>
      <c r="CCZ241" s="15"/>
      <c r="CDA241" s="15"/>
      <c r="CDB241" s="15"/>
      <c r="CDC241" s="15"/>
      <c r="CDD241" s="10"/>
      <c r="CDE241" s="10"/>
      <c r="CDF241" s="21"/>
      <c r="CDG241" s="21"/>
      <c r="CDJ241" s="21"/>
      <c r="CDK241" s="15"/>
      <c r="CDL241" s="15"/>
      <c r="CDM241" s="15"/>
      <c r="CDN241" s="15"/>
      <c r="CDO241" s="15"/>
      <c r="CDP241" s="15"/>
      <c r="CDQ241" s="15"/>
      <c r="CDR241" s="15"/>
      <c r="CDS241" s="15"/>
      <c r="CDT241" s="15"/>
      <c r="CDU241" s="10"/>
      <c r="CDV241" s="10"/>
      <c r="CDW241" s="21"/>
      <c r="CDX241" s="21"/>
      <c r="CEA241" s="21"/>
      <c r="CEB241" s="15"/>
      <c r="CEC241" s="15"/>
      <c r="CED241" s="15"/>
      <c r="CEE241" s="15"/>
      <c r="CEF241" s="15"/>
      <c r="CEG241" s="15"/>
      <c r="CEH241" s="15"/>
      <c r="CEI241" s="15"/>
      <c r="CEJ241" s="15"/>
      <c r="CEK241" s="15"/>
      <c r="CEL241" s="10"/>
      <c r="CEM241" s="10"/>
      <c r="CEN241" s="21"/>
      <c r="CEO241" s="21"/>
      <c r="CER241" s="21"/>
      <c r="CES241" s="15"/>
      <c r="CET241" s="15"/>
      <c r="CEU241" s="15"/>
      <c r="CEV241" s="15"/>
      <c r="CEW241" s="15"/>
      <c r="CEX241" s="15"/>
      <c r="CEY241" s="15"/>
      <c r="CEZ241" s="15"/>
      <c r="CFA241" s="15"/>
      <c r="CFB241" s="15"/>
      <c r="CFC241" s="10"/>
      <c r="CFD241" s="10"/>
      <c r="CFE241" s="21"/>
      <c r="CFF241" s="21"/>
      <c r="CFI241" s="21"/>
      <c r="CFJ241" s="15"/>
      <c r="CFK241" s="15"/>
      <c r="CFL241" s="15"/>
      <c r="CFM241" s="15"/>
      <c r="CFN241" s="15"/>
      <c r="CFO241" s="15"/>
      <c r="CFP241" s="15"/>
      <c r="CFQ241" s="15"/>
      <c r="CFR241" s="15"/>
      <c r="CFS241" s="15"/>
      <c r="CFT241" s="10"/>
      <c r="CFU241" s="10"/>
      <c r="CFV241" s="21"/>
      <c r="CFW241" s="21"/>
      <c r="CFZ241" s="21"/>
      <c r="CGA241" s="15"/>
      <c r="CGB241" s="15"/>
      <c r="CGC241" s="15"/>
      <c r="CGD241" s="15"/>
      <c r="CGE241" s="15"/>
      <c r="CGF241" s="15"/>
      <c r="CGG241" s="15"/>
      <c r="CGH241" s="15"/>
      <c r="CGI241" s="15"/>
      <c r="CGJ241" s="15"/>
      <c r="CGK241" s="10"/>
      <c r="CGL241" s="10"/>
      <c r="CGM241" s="21"/>
      <c r="CGN241" s="21"/>
      <c r="CGQ241" s="21"/>
      <c r="CGR241" s="15"/>
      <c r="CGS241" s="15"/>
      <c r="CGT241" s="15"/>
      <c r="CGU241" s="15"/>
      <c r="CGV241" s="15"/>
      <c r="CGW241" s="15"/>
      <c r="CGX241" s="15"/>
      <c r="CGY241" s="15"/>
      <c r="CGZ241" s="15"/>
      <c r="CHA241" s="15"/>
      <c r="CHB241" s="10"/>
      <c r="CHC241" s="10"/>
      <c r="CHD241" s="21"/>
      <c r="CHE241" s="21"/>
      <c r="CHH241" s="21"/>
      <c r="CHI241" s="15"/>
      <c r="CHJ241" s="15"/>
      <c r="CHK241" s="15"/>
      <c r="CHL241" s="15"/>
      <c r="CHM241" s="15"/>
      <c r="CHN241" s="15"/>
      <c r="CHO241" s="15"/>
      <c r="CHP241" s="15"/>
      <c r="CHQ241" s="15"/>
      <c r="CHR241" s="15"/>
      <c r="CHS241" s="10"/>
      <c r="CHT241" s="10"/>
      <c r="CHU241" s="21"/>
      <c r="CHV241" s="21"/>
      <c r="CHY241" s="21"/>
      <c r="CHZ241" s="15"/>
      <c r="CIA241" s="15"/>
      <c r="CIB241" s="15"/>
      <c r="CIC241" s="15"/>
      <c r="CID241" s="15"/>
      <c r="CIE241" s="15"/>
      <c r="CIF241" s="15"/>
      <c r="CIG241" s="15"/>
      <c r="CIH241" s="15"/>
      <c r="CII241" s="15"/>
      <c r="CIJ241" s="10"/>
      <c r="CIK241" s="10"/>
      <c r="CIL241" s="21"/>
      <c r="CIM241" s="21"/>
      <c r="CIP241" s="21"/>
      <c r="CIQ241" s="15"/>
      <c r="CIR241" s="15"/>
      <c r="CIS241" s="15"/>
      <c r="CIT241" s="15"/>
      <c r="CIU241" s="15"/>
      <c r="CIV241" s="15"/>
      <c r="CIW241" s="15"/>
      <c r="CIX241" s="15"/>
      <c r="CIY241" s="15"/>
      <c r="CIZ241" s="15"/>
      <c r="CJA241" s="10"/>
      <c r="CJB241" s="10"/>
      <c r="CJC241" s="21"/>
      <c r="CJD241" s="21"/>
      <c r="CJG241" s="21"/>
      <c r="CJH241" s="15"/>
      <c r="CJI241" s="15"/>
      <c r="CJJ241" s="15"/>
      <c r="CJK241" s="15"/>
      <c r="CJL241" s="15"/>
      <c r="CJM241" s="15"/>
      <c r="CJN241" s="15"/>
      <c r="CJO241" s="15"/>
      <c r="CJP241" s="15"/>
      <c r="CJQ241" s="15"/>
      <c r="CJR241" s="10"/>
      <c r="CJS241" s="10"/>
      <c r="CJT241" s="21"/>
      <c r="CJU241" s="21"/>
      <c r="CJX241" s="21"/>
      <c r="CJY241" s="15"/>
      <c r="CJZ241" s="15"/>
      <c r="CKA241" s="15"/>
      <c r="CKB241" s="15"/>
      <c r="CKC241" s="15"/>
      <c r="CKD241" s="15"/>
      <c r="CKE241" s="15"/>
      <c r="CKF241" s="15"/>
      <c r="CKG241" s="15"/>
      <c r="CKH241" s="15"/>
      <c r="CKI241" s="10"/>
      <c r="CKJ241" s="10"/>
      <c r="CKK241" s="21"/>
      <c r="CKL241" s="21"/>
      <c r="CKO241" s="21"/>
      <c r="CKP241" s="15"/>
      <c r="CKQ241" s="15"/>
      <c r="CKR241" s="15"/>
      <c r="CKS241" s="15"/>
      <c r="CKT241" s="15"/>
      <c r="CKU241" s="15"/>
      <c r="CKV241" s="15"/>
      <c r="CKW241" s="15"/>
      <c r="CKX241" s="15"/>
      <c r="CKY241" s="15"/>
      <c r="CKZ241" s="10"/>
      <c r="CLA241" s="10"/>
      <c r="CLB241" s="21"/>
      <c r="CLC241" s="21"/>
      <c r="CLF241" s="21"/>
      <c r="CLG241" s="15"/>
      <c r="CLH241" s="15"/>
      <c r="CLI241" s="15"/>
      <c r="CLJ241" s="15"/>
      <c r="CLK241" s="15"/>
      <c r="CLL241" s="15"/>
      <c r="CLM241" s="15"/>
      <c r="CLN241" s="15"/>
      <c r="CLO241" s="15"/>
      <c r="CLP241" s="15"/>
      <c r="CLQ241" s="10"/>
      <c r="CLR241" s="10"/>
      <c r="CLS241" s="21"/>
      <c r="CLT241" s="21"/>
      <c r="CLW241" s="21"/>
      <c r="CLX241" s="15"/>
      <c r="CLY241" s="15"/>
      <c r="CLZ241" s="15"/>
      <c r="CMA241" s="15"/>
      <c r="CMB241" s="15"/>
      <c r="CMC241" s="15"/>
      <c r="CMD241" s="15"/>
      <c r="CME241" s="15"/>
      <c r="CMF241" s="15"/>
      <c r="CMG241" s="15"/>
      <c r="CMH241" s="10"/>
      <c r="CMI241" s="10"/>
      <c r="CMJ241" s="21"/>
      <c r="CMK241" s="21"/>
      <c r="CMN241" s="21"/>
      <c r="CMO241" s="15"/>
      <c r="CMP241" s="15"/>
      <c r="CMQ241" s="15"/>
      <c r="CMR241" s="15"/>
      <c r="CMS241" s="15"/>
      <c r="CMT241" s="15"/>
      <c r="CMU241" s="15"/>
      <c r="CMV241" s="15"/>
      <c r="CMW241" s="15"/>
      <c r="CMX241" s="15"/>
      <c r="CMY241" s="10"/>
      <c r="CMZ241" s="10"/>
      <c r="CNA241" s="21"/>
      <c r="CNB241" s="21"/>
      <c r="CNE241" s="21"/>
      <c r="CNF241" s="15"/>
      <c r="CNG241" s="15"/>
      <c r="CNH241" s="15"/>
      <c r="CNI241" s="15"/>
      <c r="CNJ241" s="15"/>
      <c r="CNK241" s="15"/>
      <c r="CNL241" s="15"/>
      <c r="CNM241" s="15"/>
      <c r="CNN241" s="15"/>
      <c r="CNO241" s="15"/>
      <c r="CNP241" s="10"/>
      <c r="CNQ241" s="10"/>
      <c r="CNR241" s="21"/>
      <c r="CNS241" s="21"/>
      <c r="CNV241" s="21"/>
      <c r="CNW241" s="15"/>
      <c r="CNX241" s="15"/>
      <c r="CNY241" s="15"/>
      <c r="CNZ241" s="15"/>
      <c r="COA241" s="15"/>
      <c r="COB241" s="15"/>
      <c r="COC241" s="15"/>
      <c r="COD241" s="15"/>
      <c r="COE241" s="15"/>
      <c r="COF241" s="15"/>
      <c r="COG241" s="10"/>
      <c r="COH241" s="10"/>
      <c r="COI241" s="21"/>
      <c r="COJ241" s="21"/>
      <c r="COM241" s="21"/>
      <c r="CON241" s="15"/>
      <c r="COO241" s="15"/>
      <c r="COP241" s="15"/>
      <c r="COQ241" s="15"/>
      <c r="COR241" s="15"/>
      <c r="COS241" s="15"/>
      <c r="COT241" s="15"/>
      <c r="COU241" s="15"/>
      <c r="COV241" s="15"/>
      <c r="COW241" s="15"/>
      <c r="COX241" s="10"/>
      <c r="COY241" s="10"/>
      <c r="COZ241" s="21"/>
      <c r="CPA241" s="21"/>
      <c r="CPD241" s="21"/>
      <c r="CPE241" s="15"/>
      <c r="CPF241" s="15"/>
      <c r="CPG241" s="15"/>
      <c r="CPH241" s="15"/>
      <c r="CPI241" s="15"/>
      <c r="CPJ241" s="15"/>
      <c r="CPK241" s="15"/>
      <c r="CPL241" s="15"/>
      <c r="CPM241" s="15"/>
      <c r="CPN241" s="15"/>
      <c r="CPO241" s="10"/>
      <c r="CPP241" s="10"/>
      <c r="CPQ241" s="21"/>
      <c r="CPR241" s="21"/>
      <c r="CPU241" s="21"/>
      <c r="CPV241" s="15"/>
      <c r="CPW241" s="15"/>
      <c r="CPX241" s="15"/>
      <c r="CPY241" s="15"/>
      <c r="CPZ241" s="15"/>
      <c r="CQA241" s="15"/>
      <c r="CQB241" s="15"/>
      <c r="CQC241" s="15"/>
      <c r="CQD241" s="15"/>
      <c r="CQE241" s="15"/>
      <c r="CQF241" s="10"/>
      <c r="CQG241" s="10"/>
      <c r="CQH241" s="21"/>
      <c r="CQI241" s="21"/>
      <c r="CQL241" s="21"/>
      <c r="CQM241" s="15"/>
      <c r="CQN241" s="15"/>
      <c r="CQO241" s="15"/>
      <c r="CQP241" s="15"/>
      <c r="CQQ241" s="15"/>
      <c r="CQR241" s="15"/>
      <c r="CQS241" s="15"/>
      <c r="CQT241" s="15"/>
      <c r="CQU241" s="15"/>
      <c r="CQV241" s="15"/>
      <c r="CQW241" s="10"/>
      <c r="CQX241" s="10"/>
      <c r="CQY241" s="21"/>
      <c r="CQZ241" s="21"/>
      <c r="CRC241" s="21"/>
      <c r="CRD241" s="15"/>
      <c r="CRE241" s="15"/>
      <c r="CRF241" s="15"/>
      <c r="CRG241" s="15"/>
      <c r="CRH241" s="15"/>
      <c r="CRI241" s="15"/>
      <c r="CRJ241" s="15"/>
      <c r="CRK241" s="15"/>
      <c r="CRL241" s="15"/>
      <c r="CRM241" s="15"/>
      <c r="CRN241" s="10"/>
      <c r="CRO241" s="10"/>
      <c r="CRP241" s="21"/>
      <c r="CRQ241" s="21"/>
      <c r="CRT241" s="21"/>
      <c r="CRU241" s="15"/>
      <c r="CRV241" s="15"/>
      <c r="CRW241" s="15"/>
      <c r="CRX241" s="15"/>
      <c r="CRY241" s="15"/>
      <c r="CRZ241" s="15"/>
      <c r="CSA241" s="15"/>
      <c r="CSB241" s="15"/>
      <c r="CSC241" s="15"/>
      <c r="CSD241" s="15"/>
      <c r="CSE241" s="10"/>
      <c r="CSF241" s="10"/>
      <c r="CSG241" s="21"/>
      <c r="CSH241" s="21"/>
      <c r="CSK241" s="21"/>
      <c r="CSL241" s="15"/>
      <c r="CSM241" s="15"/>
      <c r="CSN241" s="15"/>
      <c r="CSO241" s="15"/>
      <c r="CSP241" s="15"/>
      <c r="CSQ241" s="15"/>
      <c r="CSR241" s="15"/>
      <c r="CSS241" s="15"/>
      <c r="CST241" s="15"/>
      <c r="CSU241" s="15"/>
      <c r="CSV241" s="10"/>
      <c r="CSW241" s="10"/>
      <c r="CSX241" s="21"/>
      <c r="CSY241" s="21"/>
      <c r="CTB241" s="21"/>
      <c r="CTC241" s="15"/>
      <c r="CTD241" s="15"/>
      <c r="CTE241" s="15"/>
      <c r="CTF241" s="15"/>
      <c r="CTG241" s="15"/>
      <c r="CTH241" s="15"/>
      <c r="CTI241" s="15"/>
      <c r="CTJ241" s="15"/>
      <c r="CTK241" s="15"/>
      <c r="CTL241" s="15"/>
      <c r="CTM241" s="10"/>
      <c r="CTN241" s="10"/>
      <c r="CTO241" s="21"/>
      <c r="CTP241" s="21"/>
      <c r="CTS241" s="21"/>
      <c r="CTT241" s="15"/>
      <c r="CTU241" s="15"/>
      <c r="CTV241" s="15"/>
      <c r="CTW241" s="15"/>
      <c r="CTX241" s="15"/>
      <c r="CTY241" s="15"/>
      <c r="CTZ241" s="15"/>
      <c r="CUA241" s="15"/>
      <c r="CUB241" s="15"/>
      <c r="CUC241" s="15"/>
      <c r="CUD241" s="10"/>
      <c r="CUE241" s="10"/>
      <c r="CUF241" s="21"/>
      <c r="CUG241" s="21"/>
      <c r="CUJ241" s="21"/>
      <c r="CUK241" s="15"/>
      <c r="CUL241" s="15"/>
      <c r="CUM241" s="15"/>
      <c r="CUN241" s="15"/>
      <c r="CUO241" s="15"/>
      <c r="CUP241" s="15"/>
      <c r="CUQ241" s="15"/>
      <c r="CUR241" s="15"/>
      <c r="CUS241" s="15"/>
      <c r="CUT241" s="15"/>
      <c r="CUU241" s="10"/>
      <c r="CUV241" s="10"/>
      <c r="CUW241" s="21"/>
      <c r="CUX241" s="21"/>
      <c r="CVA241" s="21"/>
      <c r="CVB241" s="15"/>
      <c r="CVC241" s="15"/>
      <c r="CVD241" s="15"/>
      <c r="CVE241" s="15"/>
      <c r="CVF241" s="15"/>
      <c r="CVG241" s="15"/>
      <c r="CVH241" s="15"/>
      <c r="CVI241" s="15"/>
      <c r="CVJ241" s="15"/>
      <c r="CVK241" s="15"/>
      <c r="CVL241" s="10"/>
      <c r="CVM241" s="10"/>
      <c r="CVN241" s="21"/>
      <c r="CVO241" s="21"/>
      <c r="CVR241" s="21"/>
      <c r="CVS241" s="15"/>
      <c r="CVT241" s="15"/>
      <c r="CVU241" s="15"/>
      <c r="CVV241" s="15"/>
      <c r="CVW241" s="15"/>
      <c r="CVX241" s="15"/>
      <c r="CVY241" s="15"/>
      <c r="CVZ241" s="15"/>
      <c r="CWA241" s="15"/>
      <c r="CWB241" s="15"/>
      <c r="CWC241" s="10"/>
      <c r="CWD241" s="10"/>
      <c r="CWE241" s="21"/>
      <c r="CWF241" s="21"/>
      <c r="CWI241" s="21"/>
      <c r="CWJ241" s="15"/>
      <c r="CWK241" s="15"/>
      <c r="CWL241" s="15"/>
      <c r="CWM241" s="15"/>
      <c r="CWN241" s="15"/>
      <c r="CWO241" s="15"/>
      <c r="CWP241" s="15"/>
      <c r="CWQ241" s="15"/>
      <c r="CWR241" s="15"/>
      <c r="CWS241" s="15"/>
      <c r="CWT241" s="10"/>
      <c r="CWU241" s="10"/>
      <c r="CWV241" s="21"/>
      <c r="CWW241" s="21"/>
      <c r="CWZ241" s="21"/>
      <c r="CXA241" s="15"/>
      <c r="CXB241" s="15"/>
      <c r="CXC241" s="15"/>
      <c r="CXD241" s="15"/>
      <c r="CXE241" s="15"/>
      <c r="CXF241" s="15"/>
      <c r="CXG241" s="15"/>
      <c r="CXH241" s="15"/>
      <c r="CXI241" s="15"/>
      <c r="CXJ241" s="15"/>
      <c r="CXK241" s="10"/>
      <c r="CXL241" s="10"/>
      <c r="CXM241" s="21"/>
      <c r="CXN241" s="21"/>
      <c r="CXQ241" s="21"/>
      <c r="CXR241" s="15"/>
      <c r="CXS241" s="15"/>
      <c r="CXT241" s="15"/>
      <c r="CXU241" s="15"/>
      <c r="CXV241" s="15"/>
      <c r="CXW241" s="15"/>
      <c r="CXX241" s="15"/>
      <c r="CXY241" s="15"/>
      <c r="CXZ241" s="15"/>
      <c r="CYA241" s="15"/>
      <c r="CYB241" s="10"/>
      <c r="CYC241" s="10"/>
      <c r="CYD241" s="21"/>
      <c r="CYE241" s="21"/>
      <c r="CYH241" s="21"/>
      <c r="CYI241" s="15"/>
      <c r="CYJ241" s="15"/>
      <c r="CYK241" s="15"/>
      <c r="CYL241" s="15"/>
      <c r="CYM241" s="15"/>
      <c r="CYN241" s="15"/>
      <c r="CYO241" s="15"/>
      <c r="CYP241" s="15"/>
      <c r="CYQ241" s="15"/>
      <c r="CYR241" s="15"/>
      <c r="CYS241" s="10"/>
      <c r="CYT241" s="10"/>
      <c r="CYU241" s="21"/>
      <c r="CYV241" s="21"/>
      <c r="CYY241" s="21"/>
      <c r="CYZ241" s="15"/>
      <c r="CZA241" s="15"/>
      <c r="CZB241" s="15"/>
      <c r="CZC241" s="15"/>
      <c r="CZD241" s="15"/>
      <c r="CZE241" s="15"/>
      <c r="CZF241" s="15"/>
      <c r="CZG241" s="15"/>
      <c r="CZH241" s="15"/>
      <c r="CZI241" s="15"/>
      <c r="CZJ241" s="10"/>
      <c r="CZK241" s="10"/>
      <c r="CZL241" s="21"/>
      <c r="CZM241" s="21"/>
      <c r="CZP241" s="21"/>
      <c r="CZQ241" s="15"/>
      <c r="CZR241" s="15"/>
      <c r="CZS241" s="15"/>
      <c r="CZT241" s="15"/>
      <c r="CZU241" s="15"/>
      <c r="CZV241" s="15"/>
      <c r="CZW241" s="15"/>
      <c r="CZX241" s="15"/>
      <c r="CZY241" s="15"/>
      <c r="CZZ241" s="15"/>
      <c r="DAA241" s="10"/>
      <c r="DAB241" s="10"/>
      <c r="DAC241" s="21"/>
      <c r="DAD241" s="21"/>
      <c r="DAG241" s="21"/>
      <c r="DAH241" s="15"/>
      <c r="DAI241" s="15"/>
      <c r="DAJ241" s="15"/>
      <c r="DAK241" s="15"/>
      <c r="DAL241" s="15"/>
      <c r="DAM241" s="15"/>
      <c r="DAN241" s="15"/>
      <c r="DAO241" s="15"/>
      <c r="DAP241" s="15"/>
      <c r="DAQ241" s="15"/>
      <c r="DAR241" s="10"/>
      <c r="DAS241" s="10"/>
      <c r="DAT241" s="21"/>
      <c r="DAU241" s="21"/>
      <c r="DAX241" s="21"/>
      <c r="DAY241" s="15"/>
      <c r="DAZ241" s="15"/>
      <c r="DBA241" s="15"/>
      <c r="DBB241" s="15"/>
      <c r="DBC241" s="15"/>
      <c r="DBD241" s="15"/>
      <c r="DBE241" s="15"/>
      <c r="DBF241" s="15"/>
      <c r="DBG241" s="15"/>
      <c r="DBH241" s="15"/>
      <c r="DBI241" s="10"/>
      <c r="DBJ241" s="10"/>
      <c r="DBK241" s="21"/>
      <c r="DBL241" s="21"/>
      <c r="DBO241" s="21"/>
      <c r="DBP241" s="15"/>
      <c r="DBQ241" s="15"/>
      <c r="DBR241" s="15"/>
      <c r="DBS241" s="15"/>
      <c r="DBT241" s="15"/>
      <c r="DBU241" s="15"/>
      <c r="DBV241" s="15"/>
      <c r="DBW241" s="15"/>
      <c r="DBX241" s="15"/>
      <c r="DBY241" s="15"/>
      <c r="DBZ241" s="10"/>
      <c r="DCA241" s="10"/>
      <c r="DCB241" s="21"/>
      <c r="DCC241" s="21"/>
      <c r="DCF241" s="21"/>
      <c r="DCG241" s="15"/>
      <c r="DCH241" s="15"/>
      <c r="DCI241" s="15"/>
      <c r="DCJ241" s="15"/>
      <c r="DCK241" s="15"/>
      <c r="DCL241" s="15"/>
      <c r="DCM241" s="15"/>
      <c r="DCN241" s="15"/>
      <c r="DCO241" s="15"/>
      <c r="DCP241" s="15"/>
      <c r="DCQ241" s="10"/>
      <c r="DCR241" s="10"/>
      <c r="DCS241" s="21"/>
      <c r="DCT241" s="21"/>
      <c r="DCW241" s="21"/>
      <c r="DCX241" s="15"/>
      <c r="DCY241" s="15"/>
      <c r="DCZ241" s="15"/>
      <c r="DDA241" s="15"/>
      <c r="DDB241" s="15"/>
      <c r="DDC241" s="15"/>
      <c r="DDD241" s="15"/>
      <c r="DDE241" s="15"/>
      <c r="DDF241" s="15"/>
      <c r="DDG241" s="15"/>
      <c r="DDH241" s="10"/>
      <c r="DDI241" s="10"/>
      <c r="DDJ241" s="21"/>
      <c r="DDK241" s="21"/>
      <c r="DDN241" s="21"/>
      <c r="DDO241" s="15"/>
      <c r="DDP241" s="15"/>
      <c r="DDQ241" s="15"/>
      <c r="DDR241" s="15"/>
      <c r="DDS241" s="15"/>
      <c r="DDT241" s="15"/>
      <c r="DDU241" s="15"/>
      <c r="DDV241" s="15"/>
      <c r="DDW241" s="15"/>
      <c r="DDX241" s="15"/>
      <c r="DDY241" s="10"/>
      <c r="DDZ241" s="10"/>
      <c r="DEA241" s="21"/>
      <c r="DEB241" s="21"/>
      <c r="DEE241" s="21"/>
      <c r="DEF241" s="15"/>
      <c r="DEG241" s="15"/>
      <c r="DEH241" s="15"/>
      <c r="DEI241" s="15"/>
      <c r="DEJ241" s="15"/>
      <c r="DEK241" s="15"/>
      <c r="DEL241" s="15"/>
      <c r="DEM241" s="15"/>
      <c r="DEN241" s="15"/>
      <c r="DEO241" s="15"/>
      <c r="DEP241" s="10"/>
      <c r="DEQ241" s="10"/>
      <c r="DER241" s="21"/>
      <c r="DES241" s="21"/>
      <c r="DEV241" s="21"/>
      <c r="DEW241" s="15"/>
      <c r="DEX241" s="15"/>
      <c r="DEY241" s="15"/>
      <c r="DEZ241" s="15"/>
      <c r="DFA241" s="15"/>
      <c r="DFB241" s="15"/>
      <c r="DFC241" s="15"/>
      <c r="DFD241" s="15"/>
      <c r="DFE241" s="15"/>
      <c r="DFF241" s="15"/>
      <c r="DFG241" s="10"/>
      <c r="DFH241" s="10"/>
      <c r="DFI241" s="21"/>
      <c r="DFJ241" s="21"/>
      <c r="DFM241" s="21"/>
      <c r="DFN241" s="15"/>
      <c r="DFO241" s="15"/>
      <c r="DFP241" s="15"/>
      <c r="DFQ241" s="15"/>
      <c r="DFR241" s="15"/>
      <c r="DFS241" s="15"/>
      <c r="DFT241" s="15"/>
      <c r="DFU241" s="15"/>
      <c r="DFV241" s="15"/>
      <c r="DFW241" s="15"/>
      <c r="DFX241" s="10"/>
      <c r="DFY241" s="10"/>
      <c r="DFZ241" s="21"/>
      <c r="DGA241" s="21"/>
      <c r="DGD241" s="21"/>
      <c r="DGE241" s="15"/>
      <c r="DGF241" s="15"/>
      <c r="DGG241" s="15"/>
      <c r="DGH241" s="15"/>
      <c r="DGI241" s="15"/>
      <c r="DGJ241" s="15"/>
      <c r="DGK241" s="15"/>
      <c r="DGL241" s="15"/>
      <c r="DGM241" s="15"/>
      <c r="DGN241" s="15"/>
      <c r="DGO241" s="10"/>
      <c r="DGP241" s="10"/>
      <c r="DGQ241" s="21"/>
      <c r="DGR241" s="21"/>
      <c r="DGU241" s="21"/>
      <c r="DGV241" s="15"/>
      <c r="DGW241" s="15"/>
      <c r="DGX241" s="15"/>
      <c r="DGY241" s="15"/>
      <c r="DGZ241" s="15"/>
      <c r="DHA241" s="15"/>
      <c r="DHB241" s="15"/>
      <c r="DHC241" s="15"/>
      <c r="DHD241" s="15"/>
      <c r="DHE241" s="15"/>
      <c r="DHF241" s="10"/>
      <c r="DHG241" s="10"/>
      <c r="DHH241" s="21"/>
      <c r="DHI241" s="21"/>
      <c r="DHL241" s="21"/>
      <c r="DHM241" s="15"/>
      <c r="DHN241" s="15"/>
      <c r="DHO241" s="15"/>
      <c r="DHP241" s="15"/>
      <c r="DHQ241" s="15"/>
      <c r="DHR241" s="15"/>
      <c r="DHS241" s="15"/>
      <c r="DHT241" s="15"/>
      <c r="DHU241" s="15"/>
      <c r="DHV241" s="15"/>
      <c r="DHW241" s="10"/>
      <c r="DHX241" s="10"/>
      <c r="DHY241" s="21"/>
      <c r="DHZ241" s="21"/>
      <c r="DIC241" s="21"/>
      <c r="DID241" s="15"/>
      <c r="DIE241" s="15"/>
      <c r="DIF241" s="15"/>
      <c r="DIG241" s="15"/>
      <c r="DIH241" s="15"/>
      <c r="DII241" s="15"/>
      <c r="DIJ241" s="15"/>
      <c r="DIK241" s="15"/>
      <c r="DIL241" s="15"/>
      <c r="DIM241" s="15"/>
      <c r="DIN241" s="10"/>
      <c r="DIO241" s="10"/>
      <c r="DIP241" s="21"/>
      <c r="DIQ241" s="21"/>
      <c r="DIT241" s="21"/>
      <c r="DIU241" s="15"/>
      <c r="DIV241" s="15"/>
      <c r="DIW241" s="15"/>
      <c r="DIX241" s="15"/>
      <c r="DIY241" s="15"/>
      <c r="DIZ241" s="15"/>
      <c r="DJA241" s="15"/>
      <c r="DJB241" s="15"/>
      <c r="DJC241" s="15"/>
      <c r="DJD241" s="15"/>
      <c r="DJE241" s="10"/>
      <c r="DJF241" s="10"/>
      <c r="DJG241" s="21"/>
      <c r="DJH241" s="21"/>
      <c r="DJK241" s="21"/>
      <c r="DJL241" s="15"/>
      <c r="DJM241" s="15"/>
      <c r="DJN241" s="15"/>
      <c r="DJO241" s="15"/>
      <c r="DJP241" s="15"/>
      <c r="DJQ241" s="15"/>
      <c r="DJR241" s="15"/>
      <c r="DJS241" s="15"/>
      <c r="DJT241" s="15"/>
      <c r="DJU241" s="15"/>
      <c r="DJV241" s="10"/>
      <c r="DJW241" s="10"/>
      <c r="DJX241" s="21"/>
      <c r="DJY241" s="21"/>
      <c r="DKB241" s="21"/>
      <c r="DKC241" s="15"/>
      <c r="DKD241" s="15"/>
      <c r="DKE241" s="15"/>
      <c r="DKF241" s="15"/>
      <c r="DKG241" s="15"/>
      <c r="DKH241" s="15"/>
      <c r="DKI241" s="15"/>
      <c r="DKJ241" s="15"/>
      <c r="DKK241" s="15"/>
      <c r="DKL241" s="15"/>
      <c r="DKM241" s="10"/>
      <c r="DKN241" s="10"/>
      <c r="DKO241" s="21"/>
      <c r="DKP241" s="21"/>
      <c r="DKS241" s="21"/>
      <c r="DKT241" s="15"/>
      <c r="DKU241" s="15"/>
      <c r="DKV241" s="15"/>
      <c r="DKW241" s="15"/>
      <c r="DKX241" s="15"/>
      <c r="DKY241" s="15"/>
      <c r="DKZ241" s="15"/>
      <c r="DLA241" s="15"/>
      <c r="DLB241" s="15"/>
      <c r="DLC241" s="15"/>
      <c r="DLD241" s="10"/>
      <c r="DLE241" s="10"/>
      <c r="DLF241" s="21"/>
      <c r="DLG241" s="21"/>
      <c r="DLJ241" s="21"/>
      <c r="DLK241" s="15"/>
      <c r="DLL241" s="15"/>
      <c r="DLM241" s="15"/>
      <c r="DLN241" s="15"/>
      <c r="DLO241" s="15"/>
      <c r="DLP241" s="15"/>
      <c r="DLQ241" s="15"/>
      <c r="DLR241" s="15"/>
      <c r="DLS241" s="15"/>
      <c r="DLT241" s="15"/>
      <c r="DLU241" s="10"/>
      <c r="DLV241" s="10"/>
      <c r="DLW241" s="21"/>
      <c r="DLX241" s="21"/>
      <c r="DMA241" s="21"/>
      <c r="DMB241" s="15"/>
      <c r="DMC241" s="15"/>
      <c r="DMD241" s="15"/>
      <c r="DME241" s="15"/>
      <c r="DMF241" s="15"/>
      <c r="DMG241" s="15"/>
      <c r="DMH241" s="15"/>
      <c r="DMI241" s="15"/>
      <c r="DMJ241" s="15"/>
      <c r="DMK241" s="15"/>
      <c r="DML241" s="10"/>
      <c r="DMM241" s="10"/>
      <c r="DMN241" s="21"/>
      <c r="DMO241" s="21"/>
      <c r="DMR241" s="21"/>
      <c r="DMS241" s="15"/>
      <c r="DMT241" s="15"/>
      <c r="DMU241" s="15"/>
      <c r="DMV241" s="15"/>
      <c r="DMW241" s="15"/>
      <c r="DMX241" s="15"/>
      <c r="DMY241" s="15"/>
      <c r="DMZ241" s="15"/>
      <c r="DNA241" s="15"/>
      <c r="DNB241" s="15"/>
      <c r="DNC241" s="10"/>
      <c r="DND241" s="10"/>
      <c r="DNE241" s="21"/>
      <c r="DNF241" s="21"/>
      <c r="DNI241" s="21"/>
      <c r="DNJ241" s="15"/>
      <c r="DNK241" s="15"/>
      <c r="DNL241" s="15"/>
      <c r="DNM241" s="15"/>
      <c r="DNN241" s="15"/>
      <c r="DNO241" s="15"/>
      <c r="DNP241" s="15"/>
      <c r="DNQ241" s="15"/>
      <c r="DNR241" s="15"/>
      <c r="DNS241" s="15"/>
      <c r="DNT241" s="10"/>
      <c r="DNU241" s="10"/>
      <c r="DNV241" s="21"/>
      <c r="DNW241" s="21"/>
      <c r="DNZ241" s="21"/>
      <c r="DOA241" s="15"/>
      <c r="DOB241" s="15"/>
      <c r="DOC241" s="15"/>
      <c r="DOD241" s="15"/>
      <c r="DOE241" s="15"/>
      <c r="DOF241" s="15"/>
      <c r="DOG241" s="15"/>
      <c r="DOH241" s="15"/>
      <c r="DOI241" s="15"/>
      <c r="DOJ241" s="15"/>
      <c r="DOK241" s="10"/>
      <c r="DOL241" s="10"/>
      <c r="DOM241" s="21"/>
      <c r="DON241" s="21"/>
      <c r="DOQ241" s="21"/>
      <c r="DOR241" s="15"/>
      <c r="DOS241" s="15"/>
      <c r="DOT241" s="15"/>
      <c r="DOU241" s="15"/>
      <c r="DOV241" s="15"/>
      <c r="DOW241" s="15"/>
      <c r="DOX241" s="15"/>
      <c r="DOY241" s="15"/>
      <c r="DOZ241" s="15"/>
      <c r="DPA241" s="15"/>
      <c r="DPB241" s="10"/>
      <c r="DPC241" s="10"/>
      <c r="DPD241" s="21"/>
      <c r="DPE241" s="21"/>
      <c r="DPH241" s="21"/>
      <c r="DPI241" s="15"/>
      <c r="DPJ241" s="15"/>
      <c r="DPK241" s="15"/>
      <c r="DPL241" s="15"/>
      <c r="DPM241" s="15"/>
      <c r="DPN241" s="15"/>
      <c r="DPO241" s="15"/>
      <c r="DPP241" s="15"/>
      <c r="DPQ241" s="15"/>
      <c r="DPR241" s="15"/>
      <c r="DPS241" s="10"/>
      <c r="DPT241" s="10"/>
      <c r="DPU241" s="21"/>
      <c r="DPV241" s="21"/>
      <c r="DPY241" s="21"/>
      <c r="DPZ241" s="15"/>
      <c r="DQA241" s="15"/>
      <c r="DQB241" s="15"/>
      <c r="DQC241" s="15"/>
      <c r="DQD241" s="15"/>
      <c r="DQE241" s="15"/>
      <c r="DQF241" s="15"/>
      <c r="DQG241" s="15"/>
      <c r="DQH241" s="15"/>
      <c r="DQI241" s="15"/>
      <c r="DQJ241" s="10"/>
      <c r="DQK241" s="10"/>
      <c r="DQL241" s="21"/>
      <c r="DQM241" s="21"/>
      <c r="DQP241" s="21"/>
      <c r="DQQ241" s="15"/>
      <c r="DQR241" s="15"/>
      <c r="DQS241" s="15"/>
      <c r="DQT241" s="15"/>
      <c r="DQU241" s="15"/>
      <c r="DQV241" s="15"/>
      <c r="DQW241" s="15"/>
      <c r="DQX241" s="15"/>
      <c r="DQY241" s="15"/>
      <c r="DQZ241" s="15"/>
      <c r="DRA241" s="10"/>
      <c r="DRB241" s="10"/>
      <c r="DRC241" s="21"/>
      <c r="DRD241" s="21"/>
      <c r="DRG241" s="21"/>
      <c r="DRH241" s="15"/>
      <c r="DRI241" s="15"/>
      <c r="DRJ241" s="15"/>
      <c r="DRK241" s="15"/>
      <c r="DRL241" s="15"/>
      <c r="DRM241" s="15"/>
      <c r="DRN241" s="15"/>
      <c r="DRO241" s="15"/>
      <c r="DRP241" s="15"/>
      <c r="DRQ241" s="15"/>
      <c r="DRR241" s="10"/>
      <c r="DRS241" s="10"/>
      <c r="DRT241" s="21"/>
      <c r="DRU241" s="21"/>
      <c r="DRX241" s="21"/>
      <c r="DRY241" s="15"/>
      <c r="DRZ241" s="15"/>
      <c r="DSA241" s="15"/>
      <c r="DSB241" s="15"/>
      <c r="DSC241" s="15"/>
      <c r="DSD241" s="15"/>
      <c r="DSE241" s="15"/>
      <c r="DSF241" s="15"/>
      <c r="DSG241" s="15"/>
      <c r="DSH241" s="15"/>
      <c r="DSI241" s="10"/>
      <c r="DSJ241" s="10"/>
      <c r="DSK241" s="21"/>
      <c r="DSL241" s="21"/>
      <c r="DSO241" s="21"/>
      <c r="DSP241" s="15"/>
      <c r="DSQ241" s="15"/>
      <c r="DSR241" s="15"/>
      <c r="DSS241" s="15"/>
      <c r="DST241" s="15"/>
      <c r="DSU241" s="15"/>
      <c r="DSV241" s="15"/>
      <c r="DSW241" s="15"/>
      <c r="DSX241" s="15"/>
      <c r="DSY241" s="15"/>
      <c r="DSZ241" s="10"/>
      <c r="DTA241" s="10"/>
      <c r="DTB241" s="21"/>
      <c r="DTC241" s="21"/>
      <c r="DTF241" s="21"/>
      <c r="DTG241" s="15"/>
      <c r="DTH241" s="15"/>
      <c r="DTI241" s="15"/>
      <c r="DTJ241" s="15"/>
      <c r="DTK241" s="15"/>
      <c r="DTL241" s="15"/>
      <c r="DTM241" s="15"/>
      <c r="DTN241" s="15"/>
      <c r="DTO241" s="15"/>
      <c r="DTP241" s="15"/>
      <c r="DTQ241" s="10"/>
      <c r="DTR241" s="10"/>
      <c r="DTS241" s="21"/>
      <c r="DTT241" s="21"/>
      <c r="DTW241" s="21"/>
      <c r="DTX241" s="15"/>
      <c r="DTY241" s="15"/>
      <c r="DTZ241" s="15"/>
      <c r="DUA241" s="15"/>
      <c r="DUB241" s="15"/>
      <c r="DUC241" s="15"/>
      <c r="DUD241" s="15"/>
      <c r="DUE241" s="15"/>
      <c r="DUF241" s="15"/>
      <c r="DUG241" s="15"/>
      <c r="DUH241" s="10"/>
      <c r="DUI241" s="10"/>
      <c r="DUJ241" s="21"/>
      <c r="DUK241" s="21"/>
      <c r="DUN241" s="21"/>
      <c r="DUO241" s="15"/>
      <c r="DUP241" s="15"/>
      <c r="DUQ241" s="15"/>
      <c r="DUR241" s="15"/>
      <c r="DUS241" s="15"/>
      <c r="DUT241" s="15"/>
      <c r="DUU241" s="15"/>
      <c r="DUV241" s="15"/>
      <c r="DUW241" s="15"/>
      <c r="DUX241" s="15"/>
      <c r="DUY241" s="10"/>
      <c r="DUZ241" s="10"/>
      <c r="DVA241" s="21"/>
      <c r="DVB241" s="21"/>
      <c r="DVE241" s="21"/>
      <c r="DVF241" s="15"/>
      <c r="DVG241" s="15"/>
      <c r="DVH241" s="15"/>
      <c r="DVI241" s="15"/>
      <c r="DVJ241" s="15"/>
      <c r="DVK241" s="15"/>
      <c r="DVL241" s="15"/>
      <c r="DVM241" s="15"/>
      <c r="DVN241" s="15"/>
      <c r="DVO241" s="15"/>
      <c r="DVP241" s="10"/>
      <c r="DVQ241" s="10"/>
      <c r="DVR241" s="21"/>
      <c r="DVS241" s="21"/>
      <c r="DVV241" s="21"/>
      <c r="DVW241" s="15"/>
      <c r="DVX241" s="15"/>
      <c r="DVY241" s="15"/>
      <c r="DVZ241" s="15"/>
      <c r="DWA241" s="15"/>
      <c r="DWB241" s="15"/>
      <c r="DWC241" s="15"/>
      <c r="DWD241" s="15"/>
      <c r="DWE241" s="15"/>
      <c r="DWF241" s="15"/>
      <c r="DWG241" s="10"/>
      <c r="DWH241" s="10"/>
      <c r="DWI241" s="21"/>
      <c r="DWJ241" s="21"/>
      <c r="DWM241" s="21"/>
      <c r="DWN241" s="15"/>
      <c r="DWO241" s="15"/>
      <c r="DWP241" s="15"/>
      <c r="DWQ241" s="15"/>
      <c r="DWR241" s="15"/>
      <c r="DWS241" s="15"/>
      <c r="DWT241" s="15"/>
      <c r="DWU241" s="15"/>
      <c r="DWV241" s="15"/>
      <c r="DWW241" s="15"/>
      <c r="DWX241" s="10"/>
      <c r="DWY241" s="10"/>
      <c r="DWZ241" s="21"/>
      <c r="DXA241" s="21"/>
      <c r="DXD241" s="21"/>
      <c r="DXE241" s="15"/>
      <c r="DXF241" s="15"/>
      <c r="DXG241" s="15"/>
      <c r="DXH241" s="15"/>
      <c r="DXI241" s="15"/>
      <c r="DXJ241" s="15"/>
      <c r="DXK241" s="15"/>
      <c r="DXL241" s="15"/>
      <c r="DXM241" s="15"/>
      <c r="DXN241" s="15"/>
      <c r="DXO241" s="10"/>
      <c r="DXP241" s="10"/>
      <c r="DXQ241" s="21"/>
      <c r="DXR241" s="21"/>
      <c r="DXU241" s="21"/>
      <c r="DXV241" s="15"/>
      <c r="DXW241" s="15"/>
      <c r="DXX241" s="15"/>
      <c r="DXY241" s="15"/>
      <c r="DXZ241" s="15"/>
      <c r="DYA241" s="15"/>
      <c r="DYB241" s="15"/>
      <c r="DYC241" s="15"/>
      <c r="DYD241" s="15"/>
      <c r="DYE241" s="15"/>
      <c r="DYF241" s="10"/>
      <c r="DYG241" s="10"/>
      <c r="DYH241" s="21"/>
      <c r="DYI241" s="21"/>
      <c r="DYL241" s="21"/>
      <c r="DYM241" s="15"/>
      <c r="DYN241" s="15"/>
      <c r="DYO241" s="15"/>
      <c r="DYP241" s="15"/>
      <c r="DYQ241" s="15"/>
      <c r="DYR241" s="15"/>
      <c r="DYS241" s="15"/>
      <c r="DYT241" s="15"/>
      <c r="DYU241" s="15"/>
      <c r="DYV241" s="15"/>
      <c r="DYW241" s="10"/>
      <c r="DYX241" s="10"/>
      <c r="DYY241" s="21"/>
      <c r="DYZ241" s="21"/>
      <c r="DZC241" s="21"/>
      <c r="DZD241" s="15"/>
      <c r="DZE241" s="15"/>
      <c r="DZF241" s="15"/>
      <c r="DZG241" s="15"/>
      <c r="DZH241" s="15"/>
      <c r="DZI241" s="15"/>
      <c r="DZJ241" s="15"/>
      <c r="DZK241" s="15"/>
      <c r="DZL241" s="15"/>
      <c r="DZM241" s="15"/>
      <c r="DZN241" s="10"/>
      <c r="DZO241" s="10"/>
      <c r="DZP241" s="21"/>
      <c r="DZQ241" s="21"/>
      <c r="DZT241" s="21"/>
      <c r="DZU241" s="15"/>
      <c r="DZV241" s="15"/>
      <c r="DZW241" s="15"/>
      <c r="DZX241" s="15"/>
      <c r="DZY241" s="15"/>
      <c r="DZZ241" s="15"/>
      <c r="EAA241" s="15"/>
      <c r="EAB241" s="15"/>
      <c r="EAC241" s="15"/>
      <c r="EAD241" s="15"/>
      <c r="EAE241" s="10"/>
      <c r="EAF241" s="10"/>
      <c r="EAG241" s="21"/>
      <c r="EAH241" s="21"/>
      <c r="EAK241" s="21"/>
      <c r="EAL241" s="15"/>
      <c r="EAM241" s="15"/>
      <c r="EAN241" s="15"/>
      <c r="EAO241" s="15"/>
      <c r="EAP241" s="15"/>
      <c r="EAQ241" s="15"/>
      <c r="EAR241" s="15"/>
      <c r="EAS241" s="15"/>
      <c r="EAT241" s="15"/>
      <c r="EAU241" s="15"/>
      <c r="EAV241" s="10"/>
      <c r="EAW241" s="10"/>
      <c r="EAX241" s="21"/>
      <c r="EAY241" s="21"/>
      <c r="EBB241" s="21"/>
      <c r="EBC241" s="15"/>
      <c r="EBD241" s="15"/>
      <c r="EBE241" s="15"/>
      <c r="EBF241" s="15"/>
      <c r="EBG241" s="15"/>
      <c r="EBH241" s="15"/>
      <c r="EBI241" s="15"/>
      <c r="EBJ241" s="15"/>
      <c r="EBK241" s="15"/>
      <c r="EBL241" s="15"/>
      <c r="EBM241" s="10"/>
      <c r="EBN241" s="10"/>
      <c r="EBO241" s="21"/>
      <c r="EBP241" s="21"/>
      <c r="EBS241" s="21"/>
      <c r="EBT241" s="15"/>
      <c r="EBU241" s="15"/>
      <c r="EBV241" s="15"/>
      <c r="EBW241" s="15"/>
      <c r="EBX241" s="15"/>
      <c r="EBY241" s="15"/>
      <c r="EBZ241" s="15"/>
      <c r="ECA241" s="15"/>
      <c r="ECB241" s="15"/>
      <c r="ECC241" s="15"/>
      <c r="ECD241" s="10"/>
      <c r="ECE241" s="10"/>
      <c r="ECF241" s="21"/>
      <c r="ECG241" s="21"/>
      <c r="ECJ241" s="21"/>
      <c r="ECK241" s="15"/>
      <c r="ECL241" s="15"/>
      <c r="ECM241" s="15"/>
      <c r="ECN241" s="15"/>
      <c r="ECO241" s="15"/>
      <c r="ECP241" s="15"/>
      <c r="ECQ241" s="15"/>
      <c r="ECR241" s="15"/>
      <c r="ECS241" s="15"/>
      <c r="ECT241" s="15"/>
      <c r="ECU241" s="10"/>
      <c r="ECV241" s="10"/>
      <c r="ECW241" s="21"/>
      <c r="ECX241" s="21"/>
      <c r="EDA241" s="21"/>
      <c r="EDB241" s="15"/>
      <c r="EDC241" s="15"/>
      <c r="EDD241" s="15"/>
      <c r="EDE241" s="15"/>
      <c r="EDF241" s="15"/>
      <c r="EDG241" s="15"/>
      <c r="EDH241" s="15"/>
      <c r="EDI241" s="15"/>
      <c r="EDJ241" s="15"/>
      <c r="EDK241" s="15"/>
      <c r="EDL241" s="10"/>
      <c r="EDM241" s="10"/>
      <c r="EDN241" s="21"/>
      <c r="EDO241" s="21"/>
      <c r="EDR241" s="21"/>
      <c r="EDS241" s="15"/>
      <c r="EDT241" s="15"/>
      <c r="EDU241" s="15"/>
      <c r="EDV241" s="15"/>
      <c r="EDW241" s="15"/>
      <c r="EDX241" s="15"/>
      <c r="EDY241" s="15"/>
      <c r="EDZ241" s="15"/>
      <c r="EEA241" s="15"/>
      <c r="EEB241" s="15"/>
      <c r="EEC241" s="10"/>
      <c r="EED241" s="10"/>
      <c r="EEE241" s="21"/>
      <c r="EEF241" s="21"/>
      <c r="EEI241" s="21"/>
      <c r="EEJ241" s="15"/>
      <c r="EEK241" s="15"/>
      <c r="EEL241" s="15"/>
      <c r="EEM241" s="15"/>
      <c r="EEN241" s="15"/>
      <c r="EEO241" s="15"/>
      <c r="EEP241" s="15"/>
      <c r="EEQ241" s="15"/>
      <c r="EER241" s="15"/>
      <c r="EES241" s="15"/>
      <c r="EET241" s="10"/>
      <c r="EEU241" s="10"/>
      <c r="EEV241" s="21"/>
      <c r="EEW241" s="21"/>
      <c r="EEZ241" s="21"/>
      <c r="EFA241" s="15"/>
      <c r="EFB241" s="15"/>
      <c r="EFC241" s="15"/>
      <c r="EFD241" s="15"/>
      <c r="EFE241" s="15"/>
      <c r="EFF241" s="15"/>
      <c r="EFG241" s="15"/>
      <c r="EFH241" s="15"/>
      <c r="EFI241" s="15"/>
      <c r="EFJ241" s="15"/>
      <c r="EFK241" s="10"/>
      <c r="EFL241" s="10"/>
      <c r="EFM241" s="21"/>
      <c r="EFN241" s="21"/>
      <c r="EFQ241" s="21"/>
      <c r="EFR241" s="15"/>
      <c r="EFS241" s="15"/>
      <c r="EFT241" s="15"/>
      <c r="EFU241" s="15"/>
      <c r="EFV241" s="15"/>
      <c r="EFW241" s="15"/>
      <c r="EFX241" s="15"/>
      <c r="EFY241" s="15"/>
      <c r="EFZ241" s="15"/>
      <c r="EGA241" s="15"/>
      <c r="EGB241" s="10"/>
      <c r="EGC241" s="10"/>
      <c r="EGD241" s="21"/>
      <c r="EGE241" s="21"/>
      <c r="EGH241" s="21"/>
      <c r="EGI241" s="15"/>
      <c r="EGJ241" s="15"/>
      <c r="EGK241" s="15"/>
      <c r="EGL241" s="15"/>
      <c r="EGM241" s="15"/>
      <c r="EGN241" s="15"/>
      <c r="EGO241" s="15"/>
      <c r="EGP241" s="15"/>
      <c r="EGQ241" s="15"/>
      <c r="EGR241" s="15"/>
      <c r="EGS241" s="10"/>
      <c r="EGT241" s="10"/>
      <c r="EGU241" s="21"/>
      <c r="EGV241" s="21"/>
      <c r="EGY241" s="21"/>
      <c r="EGZ241" s="15"/>
      <c r="EHA241" s="15"/>
      <c r="EHB241" s="15"/>
      <c r="EHC241" s="15"/>
      <c r="EHD241" s="15"/>
      <c r="EHE241" s="15"/>
      <c r="EHF241" s="15"/>
      <c r="EHG241" s="15"/>
      <c r="EHH241" s="15"/>
      <c r="EHI241" s="15"/>
      <c r="EHJ241" s="10"/>
      <c r="EHK241" s="10"/>
      <c r="EHL241" s="21"/>
      <c r="EHM241" s="21"/>
      <c r="EHP241" s="21"/>
      <c r="EHQ241" s="15"/>
      <c r="EHR241" s="15"/>
      <c r="EHS241" s="15"/>
      <c r="EHT241" s="15"/>
      <c r="EHU241" s="15"/>
      <c r="EHV241" s="15"/>
      <c r="EHW241" s="15"/>
      <c r="EHX241" s="15"/>
      <c r="EHY241" s="15"/>
      <c r="EHZ241" s="15"/>
      <c r="EIA241" s="10"/>
      <c r="EIB241" s="10"/>
      <c r="EIC241" s="21"/>
      <c r="EID241" s="21"/>
      <c r="EIG241" s="21"/>
      <c r="EIH241" s="15"/>
      <c r="EII241" s="15"/>
      <c r="EIJ241" s="15"/>
      <c r="EIK241" s="15"/>
      <c r="EIL241" s="15"/>
      <c r="EIM241" s="15"/>
      <c r="EIN241" s="15"/>
      <c r="EIO241" s="15"/>
      <c r="EIP241" s="15"/>
      <c r="EIQ241" s="15"/>
      <c r="EIR241" s="10"/>
      <c r="EIS241" s="10"/>
      <c r="EIT241" s="21"/>
      <c r="EIU241" s="21"/>
      <c r="EIX241" s="21"/>
      <c r="EIY241" s="15"/>
      <c r="EIZ241" s="15"/>
      <c r="EJA241" s="15"/>
      <c r="EJB241" s="15"/>
      <c r="EJC241" s="15"/>
      <c r="EJD241" s="15"/>
      <c r="EJE241" s="15"/>
      <c r="EJF241" s="15"/>
      <c r="EJG241" s="15"/>
      <c r="EJH241" s="15"/>
      <c r="EJI241" s="10"/>
      <c r="EJJ241" s="10"/>
      <c r="EJK241" s="21"/>
      <c r="EJL241" s="21"/>
      <c r="EJO241" s="21"/>
      <c r="EJP241" s="15"/>
      <c r="EJQ241" s="15"/>
      <c r="EJR241" s="15"/>
      <c r="EJS241" s="15"/>
      <c r="EJT241" s="15"/>
      <c r="EJU241" s="15"/>
      <c r="EJV241" s="15"/>
      <c r="EJW241" s="15"/>
      <c r="EJX241" s="15"/>
      <c r="EJY241" s="15"/>
      <c r="EJZ241" s="10"/>
      <c r="EKA241" s="10"/>
      <c r="EKB241" s="21"/>
      <c r="EKC241" s="21"/>
      <c r="EKF241" s="21"/>
      <c r="EKG241" s="15"/>
      <c r="EKH241" s="15"/>
      <c r="EKI241" s="15"/>
      <c r="EKJ241" s="15"/>
      <c r="EKK241" s="15"/>
      <c r="EKL241" s="15"/>
      <c r="EKM241" s="15"/>
      <c r="EKN241" s="15"/>
      <c r="EKO241" s="15"/>
      <c r="EKP241" s="15"/>
      <c r="EKQ241" s="10"/>
      <c r="EKR241" s="10"/>
      <c r="EKS241" s="21"/>
      <c r="EKT241" s="21"/>
      <c r="EKW241" s="21"/>
      <c r="EKX241" s="15"/>
      <c r="EKY241" s="15"/>
      <c r="EKZ241" s="15"/>
      <c r="ELA241" s="15"/>
      <c r="ELB241" s="15"/>
      <c r="ELC241" s="15"/>
      <c r="ELD241" s="15"/>
      <c r="ELE241" s="15"/>
      <c r="ELF241" s="15"/>
      <c r="ELG241" s="15"/>
      <c r="ELH241" s="10"/>
      <c r="ELI241" s="10"/>
      <c r="ELJ241" s="21"/>
      <c r="ELK241" s="21"/>
      <c r="ELN241" s="21"/>
      <c r="ELO241" s="15"/>
      <c r="ELP241" s="15"/>
      <c r="ELQ241" s="15"/>
      <c r="ELR241" s="15"/>
      <c r="ELS241" s="15"/>
      <c r="ELT241" s="15"/>
      <c r="ELU241" s="15"/>
      <c r="ELV241" s="15"/>
      <c r="ELW241" s="15"/>
      <c r="ELX241" s="15"/>
      <c r="ELY241" s="10"/>
      <c r="ELZ241" s="10"/>
      <c r="EMA241" s="21"/>
      <c r="EMB241" s="21"/>
      <c r="EME241" s="21"/>
      <c r="EMF241" s="15"/>
      <c r="EMG241" s="15"/>
      <c r="EMH241" s="15"/>
      <c r="EMI241" s="15"/>
      <c r="EMJ241" s="15"/>
      <c r="EMK241" s="15"/>
      <c r="EML241" s="15"/>
      <c r="EMM241" s="15"/>
      <c r="EMN241" s="15"/>
      <c r="EMO241" s="15"/>
      <c r="EMP241" s="10"/>
      <c r="EMQ241" s="10"/>
      <c r="EMR241" s="21"/>
      <c r="EMS241" s="21"/>
      <c r="EMV241" s="21"/>
      <c r="EMW241" s="15"/>
      <c r="EMX241" s="15"/>
      <c r="EMY241" s="15"/>
      <c r="EMZ241" s="15"/>
      <c r="ENA241" s="15"/>
      <c r="ENB241" s="15"/>
      <c r="ENC241" s="15"/>
      <c r="END241" s="15"/>
      <c r="ENE241" s="15"/>
      <c r="ENF241" s="15"/>
      <c r="ENG241" s="10"/>
      <c r="ENH241" s="10"/>
      <c r="ENI241" s="21"/>
      <c r="ENJ241" s="21"/>
      <c r="ENM241" s="21"/>
      <c r="ENN241" s="15"/>
      <c r="ENO241" s="15"/>
      <c r="ENP241" s="15"/>
      <c r="ENQ241" s="15"/>
      <c r="ENR241" s="15"/>
      <c r="ENS241" s="15"/>
      <c r="ENT241" s="15"/>
      <c r="ENU241" s="15"/>
      <c r="ENV241" s="15"/>
      <c r="ENW241" s="15"/>
      <c r="ENX241" s="10"/>
      <c r="ENY241" s="10"/>
      <c r="ENZ241" s="21"/>
      <c r="EOA241" s="21"/>
      <c r="EOD241" s="21"/>
      <c r="EOE241" s="15"/>
      <c r="EOF241" s="15"/>
      <c r="EOG241" s="15"/>
      <c r="EOH241" s="15"/>
      <c r="EOI241" s="15"/>
      <c r="EOJ241" s="15"/>
      <c r="EOK241" s="15"/>
      <c r="EOL241" s="15"/>
      <c r="EOM241" s="15"/>
      <c r="EON241" s="15"/>
      <c r="EOO241" s="10"/>
      <c r="EOP241" s="10"/>
      <c r="EOQ241" s="21"/>
      <c r="EOR241" s="21"/>
      <c r="EOU241" s="21"/>
      <c r="EOV241" s="15"/>
      <c r="EOW241" s="15"/>
      <c r="EOX241" s="15"/>
      <c r="EOY241" s="15"/>
      <c r="EOZ241" s="15"/>
      <c r="EPA241" s="15"/>
      <c r="EPB241" s="15"/>
      <c r="EPC241" s="15"/>
      <c r="EPD241" s="15"/>
      <c r="EPE241" s="15"/>
      <c r="EPF241" s="10"/>
      <c r="EPG241" s="10"/>
      <c r="EPH241" s="21"/>
      <c r="EPI241" s="21"/>
      <c r="EPL241" s="21"/>
      <c r="EPM241" s="15"/>
      <c r="EPN241" s="15"/>
      <c r="EPO241" s="15"/>
      <c r="EPP241" s="15"/>
      <c r="EPQ241" s="15"/>
      <c r="EPR241" s="15"/>
      <c r="EPS241" s="15"/>
      <c r="EPT241" s="15"/>
      <c r="EPU241" s="15"/>
      <c r="EPV241" s="15"/>
      <c r="EPW241" s="10"/>
      <c r="EPX241" s="10"/>
      <c r="EPY241" s="21"/>
      <c r="EPZ241" s="21"/>
      <c r="EQC241" s="21"/>
      <c r="EQD241" s="15"/>
      <c r="EQE241" s="15"/>
      <c r="EQF241" s="15"/>
      <c r="EQG241" s="15"/>
      <c r="EQH241" s="15"/>
      <c r="EQI241" s="15"/>
      <c r="EQJ241" s="15"/>
      <c r="EQK241" s="15"/>
      <c r="EQL241" s="15"/>
      <c r="EQM241" s="15"/>
      <c r="EQN241" s="10"/>
      <c r="EQO241" s="10"/>
      <c r="EQP241" s="21"/>
      <c r="EQQ241" s="21"/>
      <c r="EQT241" s="21"/>
      <c r="EQU241" s="15"/>
      <c r="EQV241" s="15"/>
      <c r="EQW241" s="15"/>
      <c r="EQX241" s="15"/>
      <c r="EQY241" s="15"/>
      <c r="EQZ241" s="15"/>
      <c r="ERA241" s="15"/>
      <c r="ERB241" s="15"/>
      <c r="ERC241" s="15"/>
      <c r="ERD241" s="15"/>
      <c r="ERE241" s="10"/>
      <c r="ERF241" s="10"/>
      <c r="ERG241" s="21"/>
      <c r="ERH241" s="21"/>
      <c r="ERK241" s="21"/>
      <c r="ERL241" s="15"/>
      <c r="ERM241" s="15"/>
      <c r="ERN241" s="15"/>
      <c r="ERO241" s="15"/>
      <c r="ERP241" s="15"/>
      <c r="ERQ241" s="15"/>
      <c r="ERR241" s="15"/>
      <c r="ERS241" s="15"/>
      <c r="ERT241" s="15"/>
      <c r="ERU241" s="15"/>
      <c r="ERV241" s="10"/>
      <c r="ERW241" s="10"/>
      <c r="ERX241" s="21"/>
      <c r="ERY241" s="21"/>
      <c r="ESB241" s="21"/>
      <c r="ESC241" s="15"/>
      <c r="ESD241" s="15"/>
      <c r="ESE241" s="15"/>
      <c r="ESF241" s="15"/>
      <c r="ESG241" s="15"/>
      <c r="ESH241" s="15"/>
      <c r="ESI241" s="15"/>
      <c r="ESJ241" s="15"/>
      <c r="ESK241" s="15"/>
      <c r="ESL241" s="15"/>
      <c r="ESM241" s="10"/>
      <c r="ESN241" s="10"/>
      <c r="ESO241" s="21"/>
      <c r="ESP241" s="21"/>
      <c r="ESS241" s="21"/>
      <c r="EST241" s="15"/>
      <c r="ESU241" s="15"/>
      <c r="ESV241" s="15"/>
      <c r="ESW241" s="15"/>
      <c r="ESX241" s="15"/>
      <c r="ESY241" s="15"/>
      <c r="ESZ241" s="15"/>
      <c r="ETA241" s="15"/>
      <c r="ETB241" s="15"/>
      <c r="ETC241" s="15"/>
      <c r="ETD241" s="10"/>
      <c r="ETE241" s="10"/>
      <c r="ETF241" s="21"/>
      <c r="ETG241" s="21"/>
      <c r="ETJ241" s="21"/>
      <c r="ETK241" s="15"/>
      <c r="ETL241" s="15"/>
      <c r="ETM241" s="15"/>
      <c r="ETN241" s="15"/>
      <c r="ETO241" s="15"/>
      <c r="ETP241" s="15"/>
      <c r="ETQ241" s="15"/>
      <c r="ETR241" s="15"/>
      <c r="ETS241" s="15"/>
      <c r="ETT241" s="15"/>
      <c r="ETU241" s="10"/>
      <c r="ETV241" s="10"/>
      <c r="ETW241" s="21"/>
      <c r="ETX241" s="21"/>
      <c r="EUA241" s="21"/>
      <c r="EUB241" s="15"/>
      <c r="EUC241" s="15"/>
      <c r="EUD241" s="15"/>
      <c r="EUE241" s="15"/>
      <c r="EUF241" s="15"/>
      <c r="EUG241" s="15"/>
      <c r="EUH241" s="15"/>
      <c r="EUI241" s="15"/>
      <c r="EUJ241" s="15"/>
      <c r="EUK241" s="15"/>
      <c r="EUL241" s="10"/>
      <c r="EUM241" s="10"/>
      <c r="EUN241" s="21"/>
      <c r="EUO241" s="21"/>
      <c r="EUR241" s="21"/>
      <c r="EUS241" s="15"/>
      <c r="EUT241" s="15"/>
      <c r="EUU241" s="15"/>
      <c r="EUV241" s="15"/>
      <c r="EUW241" s="15"/>
      <c r="EUX241" s="15"/>
      <c r="EUY241" s="15"/>
      <c r="EUZ241" s="15"/>
      <c r="EVA241" s="15"/>
      <c r="EVB241" s="15"/>
      <c r="EVC241" s="10"/>
      <c r="EVD241" s="10"/>
      <c r="EVE241" s="21"/>
      <c r="EVF241" s="21"/>
      <c r="EVI241" s="21"/>
      <c r="EVJ241" s="15"/>
      <c r="EVK241" s="15"/>
      <c r="EVL241" s="15"/>
      <c r="EVM241" s="15"/>
      <c r="EVN241" s="15"/>
      <c r="EVO241" s="15"/>
      <c r="EVP241" s="15"/>
      <c r="EVQ241" s="15"/>
      <c r="EVR241" s="15"/>
      <c r="EVS241" s="15"/>
      <c r="EVT241" s="10"/>
      <c r="EVU241" s="10"/>
      <c r="EVV241" s="21"/>
      <c r="EVW241" s="21"/>
      <c r="EVZ241" s="21"/>
      <c r="EWA241" s="15"/>
      <c r="EWB241" s="15"/>
      <c r="EWC241" s="15"/>
      <c r="EWD241" s="15"/>
      <c r="EWE241" s="15"/>
      <c r="EWF241" s="15"/>
      <c r="EWG241" s="15"/>
      <c r="EWH241" s="15"/>
      <c r="EWI241" s="15"/>
      <c r="EWJ241" s="15"/>
      <c r="EWK241" s="10"/>
      <c r="EWL241" s="10"/>
      <c r="EWM241" s="21"/>
      <c r="EWN241" s="21"/>
      <c r="EWQ241" s="21"/>
      <c r="EWR241" s="15"/>
      <c r="EWS241" s="15"/>
      <c r="EWT241" s="15"/>
      <c r="EWU241" s="15"/>
      <c r="EWV241" s="15"/>
      <c r="EWW241" s="15"/>
      <c r="EWX241" s="15"/>
      <c r="EWY241" s="15"/>
      <c r="EWZ241" s="15"/>
      <c r="EXA241" s="15"/>
      <c r="EXB241" s="10"/>
      <c r="EXC241" s="10"/>
      <c r="EXD241" s="21"/>
      <c r="EXE241" s="21"/>
      <c r="EXH241" s="21"/>
      <c r="EXI241" s="15"/>
      <c r="EXJ241" s="15"/>
      <c r="EXK241" s="15"/>
      <c r="EXL241" s="15"/>
      <c r="EXM241" s="15"/>
      <c r="EXN241" s="15"/>
      <c r="EXO241" s="15"/>
      <c r="EXP241" s="15"/>
      <c r="EXQ241" s="15"/>
      <c r="EXR241" s="15"/>
      <c r="EXS241" s="10"/>
      <c r="EXT241" s="10"/>
      <c r="EXU241" s="21"/>
      <c r="EXV241" s="21"/>
      <c r="EXY241" s="21"/>
      <c r="EXZ241" s="15"/>
      <c r="EYA241" s="15"/>
      <c r="EYB241" s="15"/>
      <c r="EYC241" s="15"/>
      <c r="EYD241" s="15"/>
      <c r="EYE241" s="15"/>
      <c r="EYF241" s="15"/>
      <c r="EYG241" s="15"/>
      <c r="EYH241" s="15"/>
      <c r="EYI241" s="15"/>
      <c r="EYJ241" s="10"/>
      <c r="EYK241" s="10"/>
      <c r="EYL241" s="21"/>
      <c r="EYM241" s="21"/>
      <c r="EYP241" s="21"/>
      <c r="EYQ241" s="15"/>
      <c r="EYR241" s="15"/>
      <c r="EYS241" s="15"/>
      <c r="EYT241" s="15"/>
      <c r="EYU241" s="15"/>
      <c r="EYV241" s="15"/>
      <c r="EYW241" s="15"/>
      <c r="EYX241" s="15"/>
      <c r="EYY241" s="15"/>
      <c r="EYZ241" s="15"/>
      <c r="EZA241" s="10"/>
      <c r="EZB241" s="10"/>
      <c r="EZC241" s="21"/>
      <c r="EZD241" s="21"/>
      <c r="EZG241" s="21"/>
      <c r="EZH241" s="15"/>
      <c r="EZI241" s="15"/>
      <c r="EZJ241" s="15"/>
      <c r="EZK241" s="15"/>
      <c r="EZL241" s="15"/>
      <c r="EZM241" s="15"/>
      <c r="EZN241" s="15"/>
      <c r="EZO241" s="15"/>
      <c r="EZP241" s="15"/>
      <c r="EZQ241" s="15"/>
      <c r="EZR241" s="10"/>
      <c r="EZS241" s="10"/>
      <c r="EZT241" s="21"/>
      <c r="EZU241" s="21"/>
      <c r="EZX241" s="21"/>
      <c r="EZY241" s="15"/>
      <c r="EZZ241" s="15"/>
      <c r="FAA241" s="15"/>
      <c r="FAB241" s="15"/>
      <c r="FAC241" s="15"/>
      <c r="FAD241" s="15"/>
      <c r="FAE241" s="15"/>
      <c r="FAF241" s="15"/>
      <c r="FAG241" s="15"/>
      <c r="FAH241" s="15"/>
      <c r="FAI241" s="10"/>
      <c r="FAJ241" s="10"/>
      <c r="FAK241" s="21"/>
      <c r="FAL241" s="21"/>
      <c r="FAO241" s="21"/>
      <c r="FAP241" s="15"/>
      <c r="FAQ241" s="15"/>
      <c r="FAR241" s="15"/>
      <c r="FAS241" s="15"/>
      <c r="FAT241" s="15"/>
      <c r="FAU241" s="15"/>
      <c r="FAV241" s="15"/>
      <c r="FAW241" s="15"/>
      <c r="FAX241" s="15"/>
      <c r="FAY241" s="15"/>
      <c r="FAZ241" s="10"/>
      <c r="FBA241" s="10"/>
      <c r="FBB241" s="21"/>
      <c r="FBC241" s="21"/>
      <c r="FBF241" s="21"/>
      <c r="FBG241" s="15"/>
      <c r="FBH241" s="15"/>
      <c r="FBI241" s="15"/>
      <c r="FBJ241" s="15"/>
      <c r="FBK241" s="15"/>
      <c r="FBL241" s="15"/>
      <c r="FBM241" s="15"/>
      <c r="FBN241" s="15"/>
      <c r="FBO241" s="15"/>
      <c r="FBP241" s="15"/>
      <c r="FBQ241" s="10"/>
      <c r="FBR241" s="10"/>
      <c r="FBS241" s="21"/>
      <c r="FBT241" s="21"/>
      <c r="FBW241" s="21"/>
      <c r="FBX241" s="15"/>
      <c r="FBY241" s="15"/>
      <c r="FBZ241" s="15"/>
      <c r="FCA241" s="15"/>
      <c r="FCB241" s="15"/>
      <c r="FCC241" s="15"/>
      <c r="FCD241" s="15"/>
      <c r="FCE241" s="15"/>
      <c r="FCF241" s="15"/>
      <c r="FCG241" s="15"/>
      <c r="FCH241" s="10"/>
      <c r="FCI241" s="10"/>
      <c r="FCJ241" s="21"/>
      <c r="FCK241" s="21"/>
      <c r="FCN241" s="21"/>
      <c r="FCO241" s="15"/>
      <c r="FCP241" s="15"/>
      <c r="FCQ241" s="15"/>
      <c r="FCR241" s="15"/>
      <c r="FCS241" s="15"/>
      <c r="FCT241" s="15"/>
      <c r="FCU241" s="15"/>
      <c r="FCV241" s="15"/>
      <c r="FCW241" s="15"/>
      <c r="FCX241" s="15"/>
      <c r="FCY241" s="10"/>
      <c r="FCZ241" s="10"/>
      <c r="FDA241" s="21"/>
      <c r="FDB241" s="21"/>
      <c r="FDE241" s="21"/>
      <c r="FDF241" s="15"/>
      <c r="FDG241" s="15"/>
      <c r="FDH241" s="15"/>
      <c r="FDI241" s="15"/>
      <c r="FDJ241" s="15"/>
      <c r="FDK241" s="15"/>
      <c r="FDL241" s="15"/>
      <c r="FDM241" s="15"/>
      <c r="FDN241" s="15"/>
      <c r="FDO241" s="15"/>
      <c r="FDP241" s="10"/>
      <c r="FDQ241" s="10"/>
      <c r="FDR241" s="21"/>
      <c r="FDS241" s="21"/>
      <c r="FDV241" s="21"/>
      <c r="FDW241" s="15"/>
      <c r="FDX241" s="15"/>
      <c r="FDY241" s="15"/>
      <c r="FDZ241" s="15"/>
      <c r="FEA241" s="15"/>
      <c r="FEB241" s="15"/>
      <c r="FEC241" s="15"/>
      <c r="FED241" s="15"/>
      <c r="FEE241" s="15"/>
      <c r="FEF241" s="15"/>
      <c r="FEG241" s="10"/>
      <c r="FEH241" s="10"/>
      <c r="FEI241" s="21"/>
      <c r="FEJ241" s="21"/>
      <c r="FEM241" s="21"/>
      <c r="FEN241" s="15"/>
      <c r="FEO241" s="15"/>
      <c r="FEP241" s="15"/>
      <c r="FEQ241" s="15"/>
      <c r="FER241" s="15"/>
      <c r="FES241" s="15"/>
      <c r="FET241" s="15"/>
      <c r="FEU241" s="15"/>
      <c r="FEV241" s="15"/>
      <c r="FEW241" s="15"/>
      <c r="FEX241" s="10"/>
      <c r="FEY241" s="10"/>
      <c r="FEZ241" s="21"/>
      <c r="FFA241" s="21"/>
      <c r="FFD241" s="21"/>
      <c r="FFE241" s="15"/>
      <c r="FFF241" s="15"/>
      <c r="FFG241" s="15"/>
      <c r="FFH241" s="15"/>
      <c r="FFI241" s="15"/>
      <c r="FFJ241" s="15"/>
      <c r="FFK241" s="15"/>
      <c r="FFL241" s="15"/>
      <c r="FFM241" s="15"/>
      <c r="FFN241" s="15"/>
      <c r="FFO241" s="10"/>
      <c r="FFP241" s="10"/>
      <c r="FFQ241" s="21"/>
      <c r="FFR241" s="21"/>
      <c r="FFU241" s="21"/>
      <c r="FFV241" s="15"/>
      <c r="FFW241" s="15"/>
      <c r="FFX241" s="15"/>
      <c r="FFY241" s="15"/>
      <c r="FFZ241" s="15"/>
      <c r="FGA241" s="15"/>
      <c r="FGB241" s="15"/>
      <c r="FGC241" s="15"/>
      <c r="FGD241" s="15"/>
      <c r="FGE241" s="15"/>
      <c r="FGF241" s="10"/>
      <c r="FGG241" s="10"/>
      <c r="FGH241" s="21"/>
      <c r="FGI241" s="21"/>
      <c r="FGL241" s="21"/>
      <c r="FGM241" s="15"/>
      <c r="FGN241" s="15"/>
      <c r="FGO241" s="15"/>
      <c r="FGP241" s="15"/>
      <c r="FGQ241" s="15"/>
      <c r="FGR241" s="15"/>
      <c r="FGS241" s="15"/>
      <c r="FGT241" s="15"/>
      <c r="FGU241" s="15"/>
      <c r="FGV241" s="15"/>
      <c r="FGW241" s="10"/>
      <c r="FGX241" s="10"/>
      <c r="FGY241" s="21"/>
      <c r="FGZ241" s="21"/>
      <c r="FHC241" s="21"/>
      <c r="FHD241" s="15"/>
      <c r="FHE241" s="15"/>
      <c r="FHF241" s="15"/>
      <c r="FHG241" s="15"/>
      <c r="FHH241" s="15"/>
      <c r="FHI241" s="15"/>
      <c r="FHJ241" s="15"/>
      <c r="FHK241" s="15"/>
      <c r="FHL241" s="15"/>
      <c r="FHM241" s="15"/>
      <c r="FHN241" s="10"/>
      <c r="FHO241" s="10"/>
      <c r="FHP241" s="21"/>
      <c r="FHQ241" s="21"/>
      <c r="FHT241" s="21"/>
      <c r="FHU241" s="15"/>
      <c r="FHV241" s="15"/>
      <c r="FHW241" s="15"/>
      <c r="FHX241" s="15"/>
      <c r="FHY241" s="15"/>
      <c r="FHZ241" s="15"/>
      <c r="FIA241" s="15"/>
      <c r="FIB241" s="15"/>
      <c r="FIC241" s="15"/>
      <c r="FID241" s="15"/>
      <c r="FIE241" s="10"/>
      <c r="FIF241" s="10"/>
      <c r="FIG241" s="21"/>
      <c r="FIH241" s="21"/>
      <c r="FIK241" s="21"/>
      <c r="FIL241" s="15"/>
      <c r="FIM241" s="15"/>
      <c r="FIN241" s="15"/>
      <c r="FIO241" s="15"/>
      <c r="FIP241" s="15"/>
      <c r="FIQ241" s="15"/>
      <c r="FIR241" s="15"/>
      <c r="FIS241" s="15"/>
      <c r="FIT241" s="15"/>
      <c r="FIU241" s="15"/>
      <c r="FIV241" s="10"/>
      <c r="FIW241" s="10"/>
      <c r="FIX241" s="21"/>
      <c r="FIY241" s="21"/>
      <c r="FJB241" s="21"/>
      <c r="FJC241" s="15"/>
      <c r="FJD241" s="15"/>
      <c r="FJE241" s="15"/>
      <c r="FJF241" s="15"/>
      <c r="FJG241" s="15"/>
      <c r="FJH241" s="15"/>
      <c r="FJI241" s="15"/>
      <c r="FJJ241" s="15"/>
      <c r="FJK241" s="15"/>
      <c r="FJL241" s="15"/>
      <c r="FJM241" s="10"/>
      <c r="FJN241" s="10"/>
      <c r="FJO241" s="21"/>
      <c r="FJP241" s="21"/>
      <c r="FJS241" s="21"/>
      <c r="FJT241" s="15"/>
      <c r="FJU241" s="15"/>
      <c r="FJV241" s="15"/>
      <c r="FJW241" s="15"/>
      <c r="FJX241" s="15"/>
      <c r="FJY241" s="15"/>
      <c r="FJZ241" s="15"/>
      <c r="FKA241" s="15"/>
      <c r="FKB241" s="15"/>
      <c r="FKC241" s="15"/>
      <c r="FKD241" s="10"/>
      <c r="FKE241" s="10"/>
      <c r="FKF241" s="21"/>
      <c r="FKG241" s="21"/>
      <c r="FKJ241" s="21"/>
      <c r="FKK241" s="15"/>
      <c r="FKL241" s="15"/>
      <c r="FKM241" s="15"/>
      <c r="FKN241" s="15"/>
      <c r="FKO241" s="15"/>
      <c r="FKP241" s="15"/>
      <c r="FKQ241" s="15"/>
      <c r="FKR241" s="15"/>
      <c r="FKS241" s="15"/>
      <c r="FKT241" s="15"/>
      <c r="FKU241" s="10"/>
      <c r="FKV241" s="10"/>
      <c r="FKW241" s="21"/>
      <c r="FKX241" s="21"/>
      <c r="FLA241" s="21"/>
      <c r="FLB241" s="15"/>
      <c r="FLC241" s="15"/>
      <c r="FLD241" s="15"/>
      <c r="FLE241" s="15"/>
      <c r="FLF241" s="15"/>
      <c r="FLG241" s="15"/>
      <c r="FLH241" s="15"/>
      <c r="FLI241" s="15"/>
      <c r="FLJ241" s="15"/>
      <c r="FLK241" s="15"/>
      <c r="FLL241" s="10"/>
      <c r="FLM241" s="10"/>
      <c r="FLN241" s="21"/>
      <c r="FLO241" s="21"/>
      <c r="FLR241" s="21"/>
      <c r="FLS241" s="15"/>
      <c r="FLT241" s="15"/>
      <c r="FLU241" s="15"/>
      <c r="FLV241" s="15"/>
      <c r="FLW241" s="15"/>
      <c r="FLX241" s="15"/>
      <c r="FLY241" s="15"/>
      <c r="FLZ241" s="15"/>
      <c r="FMA241" s="15"/>
      <c r="FMB241" s="15"/>
      <c r="FMC241" s="10"/>
      <c r="FMD241" s="10"/>
      <c r="FME241" s="21"/>
      <c r="FMF241" s="21"/>
      <c r="FMI241" s="21"/>
      <c r="FMJ241" s="15"/>
      <c r="FMK241" s="15"/>
      <c r="FML241" s="15"/>
      <c r="FMM241" s="15"/>
      <c r="FMN241" s="15"/>
      <c r="FMO241" s="15"/>
      <c r="FMP241" s="15"/>
      <c r="FMQ241" s="15"/>
      <c r="FMR241" s="15"/>
      <c r="FMS241" s="15"/>
      <c r="FMT241" s="10"/>
      <c r="FMU241" s="10"/>
      <c r="FMV241" s="21"/>
      <c r="FMW241" s="21"/>
      <c r="FMZ241" s="21"/>
      <c r="FNA241" s="15"/>
      <c r="FNB241" s="15"/>
      <c r="FNC241" s="15"/>
      <c r="FND241" s="15"/>
      <c r="FNE241" s="15"/>
      <c r="FNF241" s="15"/>
      <c r="FNG241" s="15"/>
      <c r="FNH241" s="15"/>
      <c r="FNI241" s="15"/>
      <c r="FNJ241" s="15"/>
      <c r="FNK241" s="10"/>
      <c r="FNL241" s="10"/>
      <c r="FNM241" s="21"/>
      <c r="FNN241" s="21"/>
      <c r="FNQ241" s="21"/>
      <c r="FNR241" s="15"/>
      <c r="FNS241" s="15"/>
      <c r="FNT241" s="15"/>
      <c r="FNU241" s="15"/>
      <c r="FNV241" s="15"/>
      <c r="FNW241" s="15"/>
      <c r="FNX241" s="15"/>
      <c r="FNY241" s="15"/>
      <c r="FNZ241" s="15"/>
      <c r="FOA241" s="15"/>
      <c r="FOB241" s="10"/>
      <c r="FOC241" s="10"/>
      <c r="FOD241" s="21"/>
      <c r="FOE241" s="21"/>
      <c r="FOH241" s="21"/>
      <c r="FOI241" s="15"/>
      <c r="FOJ241" s="15"/>
      <c r="FOK241" s="15"/>
      <c r="FOL241" s="15"/>
      <c r="FOM241" s="15"/>
      <c r="FON241" s="15"/>
      <c r="FOO241" s="15"/>
      <c r="FOP241" s="15"/>
      <c r="FOQ241" s="15"/>
      <c r="FOR241" s="15"/>
      <c r="FOS241" s="10"/>
      <c r="FOT241" s="10"/>
      <c r="FOU241" s="21"/>
      <c r="FOV241" s="21"/>
      <c r="FOY241" s="21"/>
      <c r="FOZ241" s="15"/>
      <c r="FPA241" s="15"/>
      <c r="FPB241" s="15"/>
      <c r="FPC241" s="15"/>
      <c r="FPD241" s="15"/>
      <c r="FPE241" s="15"/>
      <c r="FPF241" s="15"/>
      <c r="FPG241" s="15"/>
      <c r="FPH241" s="15"/>
      <c r="FPI241" s="15"/>
      <c r="FPJ241" s="10"/>
      <c r="FPK241" s="10"/>
      <c r="FPL241" s="21"/>
      <c r="FPM241" s="21"/>
      <c r="FPP241" s="21"/>
      <c r="FPQ241" s="15"/>
      <c r="FPR241" s="15"/>
      <c r="FPS241" s="15"/>
      <c r="FPT241" s="15"/>
      <c r="FPU241" s="15"/>
      <c r="FPV241" s="15"/>
      <c r="FPW241" s="15"/>
      <c r="FPX241" s="15"/>
      <c r="FPY241" s="15"/>
      <c r="FPZ241" s="15"/>
      <c r="FQA241" s="10"/>
      <c r="FQB241" s="10"/>
      <c r="FQC241" s="21"/>
      <c r="FQD241" s="21"/>
      <c r="FQG241" s="21"/>
      <c r="FQH241" s="15"/>
      <c r="FQI241" s="15"/>
      <c r="FQJ241" s="15"/>
      <c r="FQK241" s="15"/>
      <c r="FQL241" s="15"/>
      <c r="FQM241" s="15"/>
      <c r="FQN241" s="15"/>
      <c r="FQO241" s="15"/>
      <c r="FQP241" s="15"/>
      <c r="FQQ241" s="15"/>
      <c r="FQR241" s="10"/>
      <c r="FQS241" s="10"/>
      <c r="FQT241" s="21"/>
      <c r="FQU241" s="21"/>
      <c r="FQX241" s="21"/>
      <c r="FQY241" s="15"/>
      <c r="FQZ241" s="15"/>
      <c r="FRA241" s="15"/>
      <c r="FRB241" s="15"/>
      <c r="FRC241" s="15"/>
      <c r="FRD241" s="15"/>
      <c r="FRE241" s="15"/>
      <c r="FRF241" s="15"/>
      <c r="FRG241" s="15"/>
      <c r="FRH241" s="15"/>
      <c r="FRI241" s="10"/>
      <c r="FRJ241" s="10"/>
      <c r="FRK241" s="21"/>
      <c r="FRL241" s="21"/>
      <c r="FRO241" s="21"/>
      <c r="FRP241" s="15"/>
      <c r="FRQ241" s="15"/>
      <c r="FRR241" s="15"/>
      <c r="FRS241" s="15"/>
      <c r="FRT241" s="15"/>
      <c r="FRU241" s="15"/>
      <c r="FRV241" s="15"/>
      <c r="FRW241" s="15"/>
      <c r="FRX241" s="15"/>
      <c r="FRY241" s="15"/>
      <c r="FRZ241" s="10"/>
      <c r="FSA241" s="10"/>
      <c r="FSB241" s="21"/>
      <c r="FSC241" s="21"/>
      <c r="FSF241" s="21"/>
      <c r="FSG241" s="15"/>
      <c r="FSH241" s="15"/>
      <c r="FSI241" s="15"/>
      <c r="FSJ241" s="15"/>
      <c r="FSK241" s="15"/>
      <c r="FSL241" s="15"/>
      <c r="FSM241" s="15"/>
      <c r="FSN241" s="15"/>
      <c r="FSO241" s="15"/>
      <c r="FSP241" s="15"/>
      <c r="FSQ241" s="10"/>
      <c r="FSR241" s="10"/>
      <c r="FSS241" s="21"/>
      <c r="FST241" s="21"/>
      <c r="FSW241" s="21"/>
      <c r="FSX241" s="15"/>
      <c r="FSY241" s="15"/>
      <c r="FSZ241" s="15"/>
      <c r="FTA241" s="15"/>
      <c r="FTB241" s="15"/>
      <c r="FTC241" s="15"/>
      <c r="FTD241" s="15"/>
      <c r="FTE241" s="15"/>
      <c r="FTF241" s="15"/>
      <c r="FTG241" s="15"/>
      <c r="FTH241" s="10"/>
      <c r="FTI241" s="10"/>
      <c r="FTJ241" s="21"/>
      <c r="FTK241" s="21"/>
      <c r="FTN241" s="21"/>
      <c r="FTO241" s="15"/>
      <c r="FTP241" s="15"/>
      <c r="FTQ241" s="15"/>
      <c r="FTR241" s="15"/>
      <c r="FTS241" s="15"/>
      <c r="FTT241" s="15"/>
      <c r="FTU241" s="15"/>
      <c r="FTV241" s="15"/>
      <c r="FTW241" s="15"/>
      <c r="FTX241" s="15"/>
      <c r="FTY241" s="10"/>
      <c r="FTZ241" s="10"/>
      <c r="FUA241" s="21"/>
      <c r="FUB241" s="21"/>
      <c r="FUE241" s="21"/>
      <c r="FUF241" s="15"/>
      <c r="FUG241" s="15"/>
      <c r="FUH241" s="15"/>
      <c r="FUI241" s="15"/>
      <c r="FUJ241" s="15"/>
      <c r="FUK241" s="15"/>
      <c r="FUL241" s="15"/>
      <c r="FUM241" s="15"/>
      <c r="FUN241" s="15"/>
      <c r="FUO241" s="15"/>
      <c r="FUP241" s="10"/>
      <c r="FUQ241" s="10"/>
      <c r="FUR241" s="21"/>
      <c r="FUS241" s="21"/>
      <c r="FUV241" s="21"/>
      <c r="FUW241" s="15"/>
      <c r="FUX241" s="15"/>
      <c r="FUY241" s="15"/>
      <c r="FUZ241" s="15"/>
      <c r="FVA241" s="15"/>
      <c r="FVB241" s="15"/>
      <c r="FVC241" s="15"/>
      <c r="FVD241" s="15"/>
      <c r="FVE241" s="15"/>
      <c r="FVF241" s="15"/>
      <c r="FVG241" s="10"/>
      <c r="FVH241" s="10"/>
      <c r="FVI241" s="21"/>
      <c r="FVJ241" s="21"/>
      <c r="FVM241" s="21"/>
      <c r="FVN241" s="15"/>
      <c r="FVO241" s="15"/>
      <c r="FVP241" s="15"/>
      <c r="FVQ241" s="15"/>
      <c r="FVR241" s="15"/>
      <c r="FVS241" s="15"/>
      <c r="FVT241" s="15"/>
      <c r="FVU241" s="15"/>
      <c r="FVV241" s="15"/>
      <c r="FVW241" s="15"/>
      <c r="FVX241" s="10"/>
      <c r="FVY241" s="10"/>
      <c r="FVZ241" s="21"/>
      <c r="FWA241" s="21"/>
      <c r="FWD241" s="21"/>
      <c r="FWE241" s="15"/>
      <c r="FWF241" s="15"/>
      <c r="FWG241" s="15"/>
      <c r="FWH241" s="15"/>
      <c r="FWI241" s="15"/>
      <c r="FWJ241" s="15"/>
      <c r="FWK241" s="15"/>
      <c r="FWL241" s="15"/>
      <c r="FWM241" s="15"/>
      <c r="FWN241" s="15"/>
      <c r="FWO241" s="10"/>
      <c r="FWP241" s="10"/>
      <c r="FWQ241" s="21"/>
      <c r="FWR241" s="21"/>
      <c r="FWU241" s="21"/>
      <c r="FWV241" s="15"/>
      <c r="FWW241" s="15"/>
      <c r="FWX241" s="15"/>
      <c r="FWY241" s="15"/>
      <c r="FWZ241" s="15"/>
      <c r="FXA241" s="15"/>
      <c r="FXB241" s="15"/>
      <c r="FXC241" s="15"/>
      <c r="FXD241" s="15"/>
      <c r="FXE241" s="15"/>
      <c r="FXF241" s="10"/>
      <c r="FXG241" s="10"/>
      <c r="FXH241" s="21"/>
      <c r="FXI241" s="21"/>
      <c r="FXL241" s="21"/>
      <c r="FXM241" s="15"/>
      <c r="FXN241" s="15"/>
      <c r="FXO241" s="15"/>
      <c r="FXP241" s="15"/>
      <c r="FXQ241" s="15"/>
      <c r="FXR241" s="15"/>
      <c r="FXS241" s="15"/>
      <c r="FXT241" s="15"/>
      <c r="FXU241" s="15"/>
      <c r="FXV241" s="15"/>
      <c r="FXW241" s="10"/>
      <c r="FXX241" s="10"/>
      <c r="FXY241" s="21"/>
      <c r="FXZ241" s="21"/>
      <c r="FYC241" s="21"/>
      <c r="FYD241" s="15"/>
      <c r="FYE241" s="15"/>
      <c r="FYF241" s="15"/>
      <c r="FYG241" s="15"/>
      <c r="FYH241" s="15"/>
      <c r="FYI241" s="15"/>
      <c r="FYJ241" s="15"/>
      <c r="FYK241" s="15"/>
      <c r="FYL241" s="15"/>
      <c r="FYM241" s="15"/>
      <c r="FYN241" s="10"/>
      <c r="FYO241" s="10"/>
      <c r="FYP241" s="21"/>
      <c r="FYQ241" s="21"/>
      <c r="FYT241" s="21"/>
      <c r="FYU241" s="15"/>
      <c r="FYV241" s="15"/>
      <c r="FYW241" s="15"/>
      <c r="FYX241" s="15"/>
      <c r="FYY241" s="15"/>
      <c r="FYZ241" s="15"/>
      <c r="FZA241" s="15"/>
      <c r="FZB241" s="15"/>
      <c r="FZC241" s="15"/>
      <c r="FZD241" s="15"/>
      <c r="FZE241" s="10"/>
      <c r="FZF241" s="10"/>
      <c r="FZG241" s="21"/>
      <c r="FZH241" s="21"/>
      <c r="FZK241" s="21"/>
      <c r="FZL241" s="15"/>
      <c r="FZM241" s="15"/>
      <c r="FZN241" s="15"/>
      <c r="FZO241" s="15"/>
      <c r="FZP241" s="15"/>
      <c r="FZQ241" s="15"/>
      <c r="FZR241" s="15"/>
      <c r="FZS241" s="15"/>
      <c r="FZT241" s="15"/>
      <c r="FZU241" s="15"/>
      <c r="FZV241" s="10"/>
      <c r="FZW241" s="10"/>
      <c r="FZX241" s="21"/>
      <c r="FZY241" s="21"/>
      <c r="GAB241" s="21"/>
      <c r="GAC241" s="15"/>
      <c r="GAD241" s="15"/>
      <c r="GAE241" s="15"/>
      <c r="GAF241" s="15"/>
      <c r="GAG241" s="15"/>
      <c r="GAH241" s="15"/>
      <c r="GAI241" s="15"/>
      <c r="GAJ241" s="15"/>
      <c r="GAK241" s="15"/>
      <c r="GAL241" s="15"/>
      <c r="GAM241" s="10"/>
      <c r="GAN241" s="10"/>
      <c r="GAO241" s="21"/>
      <c r="GAP241" s="21"/>
      <c r="GAS241" s="21"/>
      <c r="GAT241" s="15"/>
      <c r="GAU241" s="15"/>
      <c r="GAV241" s="15"/>
      <c r="GAW241" s="15"/>
      <c r="GAX241" s="15"/>
      <c r="GAY241" s="15"/>
      <c r="GAZ241" s="15"/>
      <c r="GBA241" s="15"/>
      <c r="GBB241" s="15"/>
      <c r="GBC241" s="15"/>
      <c r="GBD241" s="10"/>
      <c r="GBE241" s="10"/>
      <c r="GBF241" s="21"/>
      <c r="GBG241" s="21"/>
      <c r="GBJ241" s="21"/>
      <c r="GBK241" s="15"/>
      <c r="GBL241" s="15"/>
      <c r="GBM241" s="15"/>
      <c r="GBN241" s="15"/>
      <c r="GBO241" s="15"/>
      <c r="GBP241" s="15"/>
      <c r="GBQ241" s="15"/>
      <c r="GBR241" s="15"/>
      <c r="GBS241" s="15"/>
      <c r="GBT241" s="15"/>
      <c r="GBU241" s="10"/>
      <c r="GBV241" s="10"/>
      <c r="GBW241" s="21"/>
      <c r="GBX241" s="21"/>
      <c r="GCA241" s="21"/>
      <c r="GCB241" s="15"/>
      <c r="GCC241" s="15"/>
      <c r="GCD241" s="15"/>
      <c r="GCE241" s="15"/>
      <c r="GCF241" s="15"/>
      <c r="GCG241" s="15"/>
      <c r="GCH241" s="15"/>
      <c r="GCI241" s="15"/>
      <c r="GCJ241" s="15"/>
      <c r="GCK241" s="15"/>
      <c r="GCL241" s="10"/>
      <c r="GCM241" s="10"/>
      <c r="GCN241" s="21"/>
      <c r="GCO241" s="21"/>
      <c r="GCR241" s="21"/>
      <c r="GCS241" s="15"/>
      <c r="GCT241" s="15"/>
      <c r="GCU241" s="15"/>
      <c r="GCV241" s="15"/>
      <c r="GCW241" s="15"/>
      <c r="GCX241" s="15"/>
      <c r="GCY241" s="15"/>
      <c r="GCZ241" s="15"/>
      <c r="GDA241" s="15"/>
      <c r="GDB241" s="15"/>
      <c r="GDC241" s="10"/>
      <c r="GDD241" s="10"/>
      <c r="GDE241" s="21"/>
      <c r="GDF241" s="21"/>
      <c r="GDI241" s="21"/>
      <c r="GDJ241" s="15"/>
      <c r="GDK241" s="15"/>
      <c r="GDL241" s="15"/>
      <c r="GDM241" s="15"/>
      <c r="GDN241" s="15"/>
      <c r="GDO241" s="15"/>
      <c r="GDP241" s="15"/>
      <c r="GDQ241" s="15"/>
      <c r="GDR241" s="15"/>
      <c r="GDS241" s="15"/>
      <c r="GDT241" s="10"/>
      <c r="GDU241" s="10"/>
      <c r="GDV241" s="21"/>
      <c r="GDW241" s="21"/>
      <c r="GDZ241" s="21"/>
      <c r="GEA241" s="15"/>
      <c r="GEB241" s="15"/>
      <c r="GEC241" s="15"/>
      <c r="GED241" s="15"/>
      <c r="GEE241" s="15"/>
      <c r="GEF241" s="15"/>
      <c r="GEG241" s="15"/>
      <c r="GEH241" s="15"/>
      <c r="GEI241" s="15"/>
      <c r="GEJ241" s="15"/>
      <c r="GEK241" s="10"/>
      <c r="GEL241" s="10"/>
      <c r="GEM241" s="21"/>
      <c r="GEN241" s="21"/>
      <c r="GEQ241" s="21"/>
      <c r="GER241" s="15"/>
      <c r="GES241" s="15"/>
      <c r="GET241" s="15"/>
      <c r="GEU241" s="15"/>
      <c r="GEV241" s="15"/>
      <c r="GEW241" s="15"/>
      <c r="GEX241" s="15"/>
      <c r="GEY241" s="15"/>
      <c r="GEZ241" s="15"/>
      <c r="GFA241" s="15"/>
      <c r="GFB241" s="10"/>
      <c r="GFC241" s="10"/>
      <c r="GFD241" s="21"/>
      <c r="GFE241" s="21"/>
      <c r="GFH241" s="21"/>
      <c r="GFI241" s="15"/>
      <c r="GFJ241" s="15"/>
      <c r="GFK241" s="15"/>
      <c r="GFL241" s="15"/>
      <c r="GFM241" s="15"/>
      <c r="GFN241" s="15"/>
      <c r="GFO241" s="15"/>
      <c r="GFP241" s="15"/>
      <c r="GFQ241" s="15"/>
      <c r="GFR241" s="15"/>
      <c r="GFS241" s="10"/>
      <c r="GFT241" s="10"/>
      <c r="GFU241" s="21"/>
      <c r="GFV241" s="21"/>
      <c r="GFY241" s="21"/>
      <c r="GFZ241" s="15"/>
      <c r="GGA241" s="15"/>
      <c r="GGB241" s="15"/>
      <c r="GGC241" s="15"/>
      <c r="GGD241" s="15"/>
      <c r="GGE241" s="15"/>
      <c r="GGF241" s="15"/>
      <c r="GGG241" s="15"/>
      <c r="GGH241" s="15"/>
      <c r="GGI241" s="15"/>
      <c r="GGJ241" s="10"/>
      <c r="GGK241" s="10"/>
      <c r="GGL241" s="21"/>
      <c r="GGM241" s="21"/>
      <c r="GGP241" s="21"/>
      <c r="GGQ241" s="15"/>
      <c r="GGR241" s="15"/>
      <c r="GGS241" s="15"/>
      <c r="GGT241" s="15"/>
      <c r="GGU241" s="15"/>
      <c r="GGV241" s="15"/>
      <c r="GGW241" s="15"/>
      <c r="GGX241" s="15"/>
      <c r="GGY241" s="15"/>
      <c r="GGZ241" s="15"/>
      <c r="GHA241" s="10"/>
      <c r="GHB241" s="10"/>
      <c r="GHC241" s="21"/>
      <c r="GHD241" s="21"/>
      <c r="GHG241" s="21"/>
      <c r="GHH241" s="15"/>
      <c r="GHI241" s="15"/>
      <c r="GHJ241" s="15"/>
      <c r="GHK241" s="15"/>
      <c r="GHL241" s="15"/>
      <c r="GHM241" s="15"/>
      <c r="GHN241" s="15"/>
      <c r="GHO241" s="15"/>
      <c r="GHP241" s="15"/>
      <c r="GHQ241" s="15"/>
      <c r="GHR241" s="10"/>
      <c r="GHS241" s="10"/>
      <c r="GHT241" s="21"/>
      <c r="GHU241" s="21"/>
      <c r="GHX241" s="21"/>
      <c r="GHY241" s="15"/>
      <c r="GHZ241" s="15"/>
      <c r="GIA241" s="15"/>
      <c r="GIB241" s="15"/>
      <c r="GIC241" s="15"/>
      <c r="GID241" s="15"/>
      <c r="GIE241" s="15"/>
      <c r="GIF241" s="15"/>
      <c r="GIG241" s="15"/>
      <c r="GIH241" s="15"/>
      <c r="GII241" s="10"/>
      <c r="GIJ241" s="10"/>
      <c r="GIK241" s="21"/>
      <c r="GIL241" s="21"/>
      <c r="GIO241" s="21"/>
      <c r="GIP241" s="15"/>
      <c r="GIQ241" s="15"/>
      <c r="GIR241" s="15"/>
      <c r="GIS241" s="15"/>
      <c r="GIT241" s="15"/>
      <c r="GIU241" s="15"/>
      <c r="GIV241" s="15"/>
      <c r="GIW241" s="15"/>
      <c r="GIX241" s="15"/>
      <c r="GIY241" s="15"/>
      <c r="GIZ241" s="10"/>
      <c r="GJA241" s="10"/>
      <c r="GJB241" s="21"/>
      <c r="GJC241" s="21"/>
      <c r="GJF241" s="21"/>
      <c r="GJG241" s="15"/>
      <c r="GJH241" s="15"/>
      <c r="GJI241" s="15"/>
      <c r="GJJ241" s="15"/>
      <c r="GJK241" s="15"/>
      <c r="GJL241" s="15"/>
      <c r="GJM241" s="15"/>
      <c r="GJN241" s="15"/>
      <c r="GJO241" s="15"/>
      <c r="GJP241" s="15"/>
      <c r="GJQ241" s="10"/>
      <c r="GJR241" s="10"/>
      <c r="GJS241" s="21"/>
      <c r="GJT241" s="21"/>
      <c r="GJW241" s="21"/>
      <c r="GJX241" s="15"/>
      <c r="GJY241" s="15"/>
      <c r="GJZ241" s="15"/>
      <c r="GKA241" s="15"/>
      <c r="GKB241" s="15"/>
      <c r="GKC241" s="15"/>
      <c r="GKD241" s="15"/>
      <c r="GKE241" s="15"/>
      <c r="GKF241" s="15"/>
      <c r="GKG241" s="15"/>
      <c r="GKH241" s="10"/>
      <c r="GKI241" s="10"/>
      <c r="GKJ241" s="21"/>
      <c r="GKK241" s="21"/>
      <c r="GKN241" s="21"/>
      <c r="GKO241" s="15"/>
      <c r="GKP241" s="15"/>
      <c r="GKQ241" s="15"/>
      <c r="GKR241" s="15"/>
      <c r="GKS241" s="15"/>
      <c r="GKT241" s="15"/>
      <c r="GKU241" s="15"/>
      <c r="GKV241" s="15"/>
      <c r="GKW241" s="15"/>
      <c r="GKX241" s="15"/>
      <c r="GKY241" s="10"/>
      <c r="GKZ241" s="10"/>
      <c r="GLA241" s="21"/>
      <c r="GLB241" s="21"/>
      <c r="GLE241" s="21"/>
      <c r="GLF241" s="15"/>
      <c r="GLG241" s="15"/>
      <c r="GLH241" s="15"/>
      <c r="GLI241" s="15"/>
      <c r="GLJ241" s="15"/>
      <c r="GLK241" s="15"/>
      <c r="GLL241" s="15"/>
      <c r="GLM241" s="15"/>
      <c r="GLN241" s="15"/>
      <c r="GLO241" s="15"/>
      <c r="GLP241" s="10"/>
      <c r="GLQ241" s="10"/>
      <c r="GLR241" s="21"/>
      <c r="GLS241" s="21"/>
      <c r="GLV241" s="21"/>
      <c r="GLW241" s="15"/>
      <c r="GLX241" s="15"/>
      <c r="GLY241" s="15"/>
      <c r="GLZ241" s="15"/>
      <c r="GMA241" s="15"/>
      <c r="GMB241" s="15"/>
      <c r="GMC241" s="15"/>
      <c r="GMD241" s="15"/>
      <c r="GME241" s="15"/>
      <c r="GMF241" s="15"/>
      <c r="GMG241" s="10"/>
      <c r="GMH241" s="10"/>
      <c r="GMI241" s="21"/>
      <c r="GMJ241" s="21"/>
      <c r="GMM241" s="21"/>
      <c r="GMN241" s="15"/>
      <c r="GMO241" s="15"/>
      <c r="GMP241" s="15"/>
      <c r="GMQ241" s="15"/>
      <c r="GMR241" s="15"/>
      <c r="GMS241" s="15"/>
      <c r="GMT241" s="15"/>
      <c r="GMU241" s="15"/>
      <c r="GMV241" s="15"/>
      <c r="GMW241" s="15"/>
      <c r="GMX241" s="10"/>
      <c r="GMY241" s="10"/>
      <c r="GMZ241" s="21"/>
      <c r="GNA241" s="21"/>
      <c r="GND241" s="21"/>
      <c r="GNE241" s="15"/>
      <c r="GNF241" s="15"/>
      <c r="GNG241" s="15"/>
      <c r="GNH241" s="15"/>
      <c r="GNI241" s="15"/>
      <c r="GNJ241" s="15"/>
      <c r="GNK241" s="15"/>
      <c r="GNL241" s="15"/>
      <c r="GNM241" s="15"/>
      <c r="GNN241" s="15"/>
      <c r="GNO241" s="10"/>
      <c r="GNP241" s="10"/>
      <c r="GNQ241" s="21"/>
      <c r="GNR241" s="21"/>
      <c r="GNU241" s="21"/>
      <c r="GNV241" s="15"/>
      <c r="GNW241" s="15"/>
      <c r="GNX241" s="15"/>
      <c r="GNY241" s="15"/>
      <c r="GNZ241" s="15"/>
      <c r="GOA241" s="15"/>
      <c r="GOB241" s="15"/>
      <c r="GOC241" s="15"/>
      <c r="GOD241" s="15"/>
      <c r="GOE241" s="15"/>
      <c r="GOF241" s="10"/>
      <c r="GOG241" s="10"/>
      <c r="GOH241" s="21"/>
      <c r="GOI241" s="21"/>
      <c r="GOL241" s="21"/>
      <c r="GOM241" s="15"/>
      <c r="GON241" s="15"/>
      <c r="GOO241" s="15"/>
      <c r="GOP241" s="15"/>
      <c r="GOQ241" s="15"/>
      <c r="GOR241" s="15"/>
      <c r="GOS241" s="15"/>
      <c r="GOT241" s="15"/>
      <c r="GOU241" s="15"/>
      <c r="GOV241" s="15"/>
      <c r="GOW241" s="10"/>
      <c r="GOX241" s="10"/>
      <c r="GOY241" s="21"/>
      <c r="GOZ241" s="21"/>
      <c r="GPC241" s="21"/>
      <c r="GPD241" s="15"/>
      <c r="GPE241" s="15"/>
      <c r="GPF241" s="15"/>
      <c r="GPG241" s="15"/>
      <c r="GPH241" s="15"/>
      <c r="GPI241" s="15"/>
      <c r="GPJ241" s="15"/>
      <c r="GPK241" s="15"/>
      <c r="GPL241" s="15"/>
      <c r="GPM241" s="15"/>
      <c r="GPN241" s="10"/>
      <c r="GPO241" s="10"/>
      <c r="GPP241" s="21"/>
      <c r="GPQ241" s="21"/>
      <c r="GPT241" s="21"/>
      <c r="GPU241" s="15"/>
      <c r="GPV241" s="15"/>
      <c r="GPW241" s="15"/>
      <c r="GPX241" s="15"/>
      <c r="GPY241" s="15"/>
      <c r="GPZ241" s="15"/>
      <c r="GQA241" s="15"/>
      <c r="GQB241" s="15"/>
      <c r="GQC241" s="15"/>
      <c r="GQD241" s="15"/>
      <c r="GQE241" s="10"/>
      <c r="GQF241" s="10"/>
      <c r="GQG241" s="21"/>
      <c r="GQH241" s="21"/>
      <c r="GQK241" s="21"/>
      <c r="GQL241" s="15"/>
      <c r="GQM241" s="15"/>
      <c r="GQN241" s="15"/>
      <c r="GQO241" s="15"/>
      <c r="GQP241" s="15"/>
      <c r="GQQ241" s="15"/>
      <c r="GQR241" s="15"/>
      <c r="GQS241" s="15"/>
      <c r="GQT241" s="15"/>
      <c r="GQU241" s="15"/>
      <c r="GQV241" s="10"/>
      <c r="GQW241" s="10"/>
      <c r="GQX241" s="21"/>
      <c r="GQY241" s="21"/>
      <c r="GRB241" s="21"/>
      <c r="GRC241" s="15"/>
      <c r="GRD241" s="15"/>
      <c r="GRE241" s="15"/>
      <c r="GRF241" s="15"/>
      <c r="GRG241" s="15"/>
      <c r="GRH241" s="15"/>
      <c r="GRI241" s="15"/>
      <c r="GRJ241" s="15"/>
      <c r="GRK241" s="15"/>
      <c r="GRL241" s="15"/>
      <c r="GRM241" s="10"/>
      <c r="GRN241" s="10"/>
      <c r="GRO241" s="21"/>
      <c r="GRP241" s="21"/>
      <c r="GRS241" s="21"/>
      <c r="GRT241" s="15"/>
      <c r="GRU241" s="15"/>
      <c r="GRV241" s="15"/>
      <c r="GRW241" s="15"/>
      <c r="GRX241" s="15"/>
      <c r="GRY241" s="15"/>
      <c r="GRZ241" s="15"/>
      <c r="GSA241" s="15"/>
      <c r="GSB241" s="15"/>
      <c r="GSC241" s="15"/>
      <c r="GSD241" s="10"/>
      <c r="GSE241" s="10"/>
      <c r="GSF241" s="21"/>
      <c r="GSG241" s="21"/>
      <c r="GSJ241" s="21"/>
      <c r="GSK241" s="15"/>
      <c r="GSL241" s="15"/>
      <c r="GSM241" s="15"/>
      <c r="GSN241" s="15"/>
      <c r="GSO241" s="15"/>
      <c r="GSP241" s="15"/>
      <c r="GSQ241" s="15"/>
      <c r="GSR241" s="15"/>
      <c r="GSS241" s="15"/>
      <c r="GST241" s="15"/>
      <c r="GSU241" s="10"/>
      <c r="GSV241" s="10"/>
      <c r="GSW241" s="21"/>
      <c r="GSX241" s="21"/>
      <c r="GTA241" s="21"/>
      <c r="GTB241" s="15"/>
      <c r="GTC241" s="15"/>
      <c r="GTD241" s="15"/>
      <c r="GTE241" s="15"/>
      <c r="GTF241" s="15"/>
      <c r="GTG241" s="15"/>
      <c r="GTH241" s="15"/>
      <c r="GTI241" s="15"/>
      <c r="GTJ241" s="15"/>
      <c r="GTK241" s="15"/>
      <c r="GTL241" s="10"/>
      <c r="GTM241" s="10"/>
      <c r="GTN241" s="21"/>
      <c r="GTO241" s="21"/>
      <c r="GTR241" s="21"/>
      <c r="GTS241" s="15"/>
      <c r="GTT241" s="15"/>
      <c r="GTU241" s="15"/>
      <c r="GTV241" s="15"/>
      <c r="GTW241" s="15"/>
      <c r="GTX241" s="15"/>
      <c r="GTY241" s="15"/>
      <c r="GTZ241" s="15"/>
      <c r="GUA241" s="15"/>
      <c r="GUB241" s="15"/>
      <c r="GUC241" s="10"/>
      <c r="GUD241" s="10"/>
      <c r="GUE241" s="21"/>
      <c r="GUF241" s="21"/>
      <c r="GUI241" s="21"/>
      <c r="GUJ241" s="15"/>
      <c r="GUK241" s="15"/>
      <c r="GUL241" s="15"/>
      <c r="GUM241" s="15"/>
      <c r="GUN241" s="15"/>
      <c r="GUO241" s="15"/>
      <c r="GUP241" s="15"/>
      <c r="GUQ241" s="15"/>
      <c r="GUR241" s="15"/>
      <c r="GUS241" s="15"/>
      <c r="GUT241" s="10"/>
      <c r="GUU241" s="10"/>
      <c r="GUV241" s="21"/>
      <c r="GUW241" s="21"/>
      <c r="GUZ241" s="21"/>
      <c r="GVA241" s="15"/>
      <c r="GVB241" s="15"/>
      <c r="GVC241" s="15"/>
      <c r="GVD241" s="15"/>
      <c r="GVE241" s="15"/>
      <c r="GVF241" s="15"/>
      <c r="GVG241" s="15"/>
      <c r="GVH241" s="15"/>
      <c r="GVI241" s="15"/>
      <c r="GVJ241" s="15"/>
      <c r="GVK241" s="10"/>
      <c r="GVL241" s="10"/>
      <c r="GVM241" s="21"/>
      <c r="GVN241" s="21"/>
      <c r="GVQ241" s="21"/>
      <c r="GVR241" s="15"/>
      <c r="GVS241" s="15"/>
      <c r="GVT241" s="15"/>
      <c r="GVU241" s="15"/>
      <c r="GVV241" s="15"/>
      <c r="GVW241" s="15"/>
      <c r="GVX241" s="15"/>
      <c r="GVY241" s="15"/>
      <c r="GVZ241" s="15"/>
      <c r="GWA241" s="15"/>
      <c r="GWB241" s="10"/>
      <c r="GWC241" s="10"/>
      <c r="GWD241" s="21"/>
      <c r="GWE241" s="21"/>
      <c r="GWH241" s="21"/>
      <c r="GWI241" s="15"/>
      <c r="GWJ241" s="15"/>
      <c r="GWK241" s="15"/>
      <c r="GWL241" s="15"/>
      <c r="GWM241" s="15"/>
      <c r="GWN241" s="15"/>
      <c r="GWO241" s="15"/>
      <c r="GWP241" s="15"/>
      <c r="GWQ241" s="15"/>
      <c r="GWR241" s="15"/>
      <c r="GWS241" s="10"/>
      <c r="GWT241" s="10"/>
      <c r="GWU241" s="21"/>
      <c r="GWV241" s="21"/>
      <c r="GWY241" s="21"/>
      <c r="GWZ241" s="15"/>
      <c r="GXA241" s="15"/>
      <c r="GXB241" s="15"/>
      <c r="GXC241" s="15"/>
      <c r="GXD241" s="15"/>
      <c r="GXE241" s="15"/>
      <c r="GXF241" s="15"/>
      <c r="GXG241" s="15"/>
      <c r="GXH241" s="15"/>
      <c r="GXI241" s="15"/>
      <c r="GXJ241" s="10"/>
      <c r="GXK241" s="10"/>
      <c r="GXL241" s="21"/>
      <c r="GXM241" s="21"/>
      <c r="GXP241" s="21"/>
      <c r="GXQ241" s="15"/>
      <c r="GXR241" s="15"/>
      <c r="GXS241" s="15"/>
      <c r="GXT241" s="15"/>
      <c r="GXU241" s="15"/>
      <c r="GXV241" s="15"/>
      <c r="GXW241" s="15"/>
      <c r="GXX241" s="15"/>
      <c r="GXY241" s="15"/>
      <c r="GXZ241" s="15"/>
      <c r="GYA241" s="10"/>
      <c r="GYB241" s="10"/>
      <c r="GYC241" s="21"/>
      <c r="GYD241" s="21"/>
      <c r="GYG241" s="21"/>
      <c r="GYH241" s="15"/>
      <c r="GYI241" s="15"/>
      <c r="GYJ241" s="15"/>
      <c r="GYK241" s="15"/>
      <c r="GYL241" s="15"/>
      <c r="GYM241" s="15"/>
      <c r="GYN241" s="15"/>
      <c r="GYO241" s="15"/>
      <c r="GYP241" s="15"/>
      <c r="GYQ241" s="15"/>
      <c r="GYR241" s="10"/>
      <c r="GYS241" s="10"/>
      <c r="GYT241" s="21"/>
      <c r="GYU241" s="21"/>
      <c r="GYX241" s="21"/>
      <c r="GYY241" s="15"/>
      <c r="GYZ241" s="15"/>
      <c r="GZA241" s="15"/>
      <c r="GZB241" s="15"/>
      <c r="GZC241" s="15"/>
      <c r="GZD241" s="15"/>
      <c r="GZE241" s="15"/>
      <c r="GZF241" s="15"/>
      <c r="GZG241" s="15"/>
      <c r="GZH241" s="15"/>
      <c r="GZI241" s="10"/>
      <c r="GZJ241" s="10"/>
      <c r="GZK241" s="21"/>
      <c r="GZL241" s="21"/>
      <c r="GZO241" s="21"/>
      <c r="GZP241" s="15"/>
      <c r="GZQ241" s="15"/>
      <c r="GZR241" s="15"/>
      <c r="GZS241" s="15"/>
      <c r="GZT241" s="15"/>
      <c r="GZU241" s="15"/>
      <c r="GZV241" s="15"/>
      <c r="GZW241" s="15"/>
      <c r="GZX241" s="15"/>
      <c r="GZY241" s="15"/>
      <c r="GZZ241" s="10"/>
      <c r="HAA241" s="10"/>
      <c r="HAB241" s="21"/>
      <c r="HAC241" s="21"/>
      <c r="HAF241" s="21"/>
      <c r="HAG241" s="15"/>
      <c r="HAH241" s="15"/>
      <c r="HAI241" s="15"/>
      <c r="HAJ241" s="15"/>
      <c r="HAK241" s="15"/>
      <c r="HAL241" s="15"/>
      <c r="HAM241" s="15"/>
      <c r="HAN241" s="15"/>
      <c r="HAO241" s="15"/>
      <c r="HAP241" s="15"/>
      <c r="HAQ241" s="10"/>
      <c r="HAR241" s="10"/>
      <c r="HAS241" s="21"/>
      <c r="HAT241" s="21"/>
      <c r="HAW241" s="21"/>
      <c r="HAX241" s="15"/>
      <c r="HAY241" s="15"/>
      <c r="HAZ241" s="15"/>
      <c r="HBA241" s="15"/>
      <c r="HBB241" s="15"/>
      <c r="HBC241" s="15"/>
      <c r="HBD241" s="15"/>
      <c r="HBE241" s="15"/>
      <c r="HBF241" s="15"/>
      <c r="HBG241" s="15"/>
      <c r="HBH241" s="10"/>
      <c r="HBI241" s="10"/>
      <c r="HBJ241" s="21"/>
      <c r="HBK241" s="21"/>
      <c r="HBN241" s="21"/>
      <c r="HBO241" s="15"/>
      <c r="HBP241" s="15"/>
      <c r="HBQ241" s="15"/>
      <c r="HBR241" s="15"/>
      <c r="HBS241" s="15"/>
      <c r="HBT241" s="15"/>
      <c r="HBU241" s="15"/>
      <c r="HBV241" s="15"/>
      <c r="HBW241" s="15"/>
      <c r="HBX241" s="15"/>
      <c r="HBY241" s="10"/>
      <c r="HBZ241" s="10"/>
      <c r="HCA241" s="21"/>
      <c r="HCB241" s="21"/>
      <c r="HCE241" s="21"/>
      <c r="HCF241" s="15"/>
      <c r="HCG241" s="15"/>
      <c r="HCH241" s="15"/>
      <c r="HCI241" s="15"/>
      <c r="HCJ241" s="15"/>
      <c r="HCK241" s="15"/>
      <c r="HCL241" s="15"/>
      <c r="HCM241" s="15"/>
      <c r="HCN241" s="15"/>
      <c r="HCO241" s="15"/>
      <c r="HCP241" s="10"/>
      <c r="HCQ241" s="10"/>
      <c r="HCR241" s="21"/>
      <c r="HCS241" s="21"/>
      <c r="HCV241" s="21"/>
      <c r="HCW241" s="15"/>
      <c r="HCX241" s="15"/>
      <c r="HCY241" s="15"/>
      <c r="HCZ241" s="15"/>
      <c r="HDA241" s="15"/>
      <c r="HDB241" s="15"/>
      <c r="HDC241" s="15"/>
      <c r="HDD241" s="15"/>
      <c r="HDE241" s="15"/>
      <c r="HDF241" s="15"/>
      <c r="HDG241" s="10"/>
      <c r="HDH241" s="10"/>
      <c r="HDI241" s="21"/>
      <c r="HDJ241" s="21"/>
      <c r="HDM241" s="21"/>
      <c r="HDN241" s="15"/>
      <c r="HDO241" s="15"/>
      <c r="HDP241" s="15"/>
      <c r="HDQ241" s="15"/>
      <c r="HDR241" s="15"/>
      <c r="HDS241" s="15"/>
      <c r="HDT241" s="15"/>
      <c r="HDU241" s="15"/>
      <c r="HDV241" s="15"/>
      <c r="HDW241" s="15"/>
      <c r="HDX241" s="10"/>
      <c r="HDY241" s="10"/>
      <c r="HDZ241" s="21"/>
      <c r="HEA241" s="21"/>
      <c r="HED241" s="21"/>
      <c r="HEE241" s="15"/>
      <c r="HEF241" s="15"/>
      <c r="HEG241" s="15"/>
      <c r="HEH241" s="15"/>
      <c r="HEI241" s="15"/>
      <c r="HEJ241" s="15"/>
      <c r="HEK241" s="15"/>
      <c r="HEL241" s="15"/>
      <c r="HEM241" s="15"/>
      <c r="HEN241" s="15"/>
      <c r="HEO241" s="10"/>
      <c r="HEP241" s="10"/>
      <c r="HEQ241" s="21"/>
      <c r="HER241" s="21"/>
      <c r="HEU241" s="21"/>
      <c r="HEV241" s="15"/>
      <c r="HEW241" s="15"/>
      <c r="HEX241" s="15"/>
      <c r="HEY241" s="15"/>
      <c r="HEZ241" s="15"/>
      <c r="HFA241" s="15"/>
      <c r="HFB241" s="15"/>
      <c r="HFC241" s="15"/>
      <c r="HFD241" s="15"/>
      <c r="HFE241" s="15"/>
      <c r="HFF241" s="10"/>
      <c r="HFG241" s="10"/>
      <c r="HFH241" s="21"/>
      <c r="HFI241" s="21"/>
      <c r="HFL241" s="21"/>
      <c r="HFM241" s="15"/>
      <c r="HFN241" s="15"/>
      <c r="HFO241" s="15"/>
      <c r="HFP241" s="15"/>
      <c r="HFQ241" s="15"/>
      <c r="HFR241" s="15"/>
      <c r="HFS241" s="15"/>
      <c r="HFT241" s="15"/>
      <c r="HFU241" s="15"/>
      <c r="HFV241" s="15"/>
      <c r="HFW241" s="10"/>
      <c r="HFX241" s="10"/>
      <c r="HFY241" s="21"/>
      <c r="HFZ241" s="21"/>
      <c r="HGC241" s="21"/>
      <c r="HGD241" s="15"/>
      <c r="HGE241" s="15"/>
      <c r="HGF241" s="15"/>
      <c r="HGG241" s="15"/>
      <c r="HGH241" s="15"/>
      <c r="HGI241" s="15"/>
      <c r="HGJ241" s="15"/>
      <c r="HGK241" s="15"/>
      <c r="HGL241" s="15"/>
      <c r="HGM241" s="15"/>
      <c r="HGN241" s="10"/>
      <c r="HGO241" s="10"/>
      <c r="HGP241" s="21"/>
      <c r="HGQ241" s="21"/>
      <c r="HGT241" s="21"/>
      <c r="HGU241" s="15"/>
      <c r="HGV241" s="15"/>
      <c r="HGW241" s="15"/>
      <c r="HGX241" s="15"/>
      <c r="HGY241" s="15"/>
      <c r="HGZ241" s="15"/>
      <c r="HHA241" s="15"/>
      <c r="HHB241" s="15"/>
      <c r="HHC241" s="15"/>
      <c r="HHD241" s="15"/>
      <c r="HHE241" s="10"/>
      <c r="HHF241" s="10"/>
      <c r="HHG241" s="21"/>
      <c r="HHH241" s="21"/>
      <c r="HHK241" s="21"/>
      <c r="HHL241" s="15"/>
      <c r="HHM241" s="15"/>
      <c r="HHN241" s="15"/>
      <c r="HHO241" s="15"/>
      <c r="HHP241" s="15"/>
      <c r="HHQ241" s="15"/>
      <c r="HHR241" s="15"/>
      <c r="HHS241" s="15"/>
      <c r="HHT241" s="15"/>
      <c r="HHU241" s="15"/>
      <c r="HHV241" s="10"/>
      <c r="HHW241" s="10"/>
      <c r="HHX241" s="21"/>
      <c r="HHY241" s="21"/>
      <c r="HIB241" s="21"/>
      <c r="HIC241" s="15"/>
      <c r="HID241" s="15"/>
      <c r="HIE241" s="15"/>
      <c r="HIF241" s="15"/>
      <c r="HIG241" s="15"/>
      <c r="HIH241" s="15"/>
      <c r="HII241" s="15"/>
      <c r="HIJ241" s="15"/>
      <c r="HIK241" s="15"/>
      <c r="HIL241" s="15"/>
      <c r="HIM241" s="10"/>
      <c r="HIN241" s="10"/>
      <c r="HIO241" s="21"/>
      <c r="HIP241" s="21"/>
      <c r="HIS241" s="21"/>
      <c r="HIT241" s="15"/>
      <c r="HIU241" s="15"/>
      <c r="HIV241" s="15"/>
      <c r="HIW241" s="15"/>
      <c r="HIX241" s="15"/>
      <c r="HIY241" s="15"/>
      <c r="HIZ241" s="15"/>
      <c r="HJA241" s="15"/>
      <c r="HJB241" s="15"/>
      <c r="HJC241" s="15"/>
      <c r="HJD241" s="10"/>
      <c r="HJE241" s="10"/>
      <c r="HJF241" s="21"/>
      <c r="HJG241" s="21"/>
      <c r="HJJ241" s="21"/>
      <c r="HJK241" s="15"/>
      <c r="HJL241" s="15"/>
      <c r="HJM241" s="15"/>
      <c r="HJN241" s="15"/>
      <c r="HJO241" s="15"/>
      <c r="HJP241" s="15"/>
      <c r="HJQ241" s="15"/>
      <c r="HJR241" s="15"/>
      <c r="HJS241" s="15"/>
      <c r="HJT241" s="15"/>
      <c r="HJU241" s="10"/>
      <c r="HJV241" s="10"/>
      <c r="HJW241" s="21"/>
      <c r="HJX241" s="21"/>
      <c r="HKA241" s="21"/>
      <c r="HKB241" s="15"/>
      <c r="HKC241" s="15"/>
      <c r="HKD241" s="15"/>
      <c r="HKE241" s="15"/>
      <c r="HKF241" s="15"/>
      <c r="HKG241" s="15"/>
      <c r="HKH241" s="15"/>
      <c r="HKI241" s="15"/>
      <c r="HKJ241" s="15"/>
      <c r="HKK241" s="15"/>
      <c r="HKL241" s="10"/>
      <c r="HKM241" s="10"/>
      <c r="HKN241" s="21"/>
      <c r="HKO241" s="21"/>
      <c r="HKR241" s="21"/>
      <c r="HKS241" s="15"/>
      <c r="HKT241" s="15"/>
      <c r="HKU241" s="15"/>
      <c r="HKV241" s="15"/>
      <c r="HKW241" s="15"/>
      <c r="HKX241" s="15"/>
      <c r="HKY241" s="15"/>
      <c r="HKZ241" s="15"/>
      <c r="HLA241" s="15"/>
      <c r="HLB241" s="15"/>
      <c r="HLC241" s="10"/>
      <c r="HLD241" s="10"/>
      <c r="HLE241" s="21"/>
      <c r="HLF241" s="21"/>
      <c r="HLI241" s="21"/>
      <c r="HLJ241" s="15"/>
      <c r="HLK241" s="15"/>
      <c r="HLL241" s="15"/>
      <c r="HLM241" s="15"/>
      <c r="HLN241" s="15"/>
      <c r="HLO241" s="15"/>
      <c r="HLP241" s="15"/>
      <c r="HLQ241" s="15"/>
      <c r="HLR241" s="15"/>
      <c r="HLS241" s="15"/>
      <c r="HLT241" s="10"/>
      <c r="HLU241" s="10"/>
      <c r="HLV241" s="21"/>
      <c r="HLW241" s="21"/>
      <c r="HLZ241" s="21"/>
      <c r="HMA241" s="15"/>
      <c r="HMB241" s="15"/>
      <c r="HMC241" s="15"/>
      <c r="HMD241" s="15"/>
      <c r="HME241" s="15"/>
      <c r="HMF241" s="15"/>
      <c r="HMG241" s="15"/>
      <c r="HMH241" s="15"/>
      <c r="HMI241" s="15"/>
      <c r="HMJ241" s="15"/>
      <c r="HMK241" s="10"/>
      <c r="HML241" s="10"/>
      <c r="HMM241" s="21"/>
      <c r="HMN241" s="21"/>
      <c r="HMQ241" s="21"/>
      <c r="HMR241" s="15"/>
      <c r="HMS241" s="15"/>
      <c r="HMT241" s="15"/>
      <c r="HMU241" s="15"/>
      <c r="HMV241" s="15"/>
      <c r="HMW241" s="15"/>
      <c r="HMX241" s="15"/>
      <c r="HMY241" s="15"/>
      <c r="HMZ241" s="15"/>
      <c r="HNA241" s="15"/>
      <c r="HNB241" s="10"/>
      <c r="HNC241" s="10"/>
      <c r="HND241" s="21"/>
      <c r="HNE241" s="21"/>
      <c r="HNH241" s="21"/>
      <c r="HNI241" s="15"/>
      <c r="HNJ241" s="15"/>
      <c r="HNK241" s="15"/>
      <c r="HNL241" s="15"/>
      <c r="HNM241" s="15"/>
      <c r="HNN241" s="15"/>
      <c r="HNO241" s="15"/>
      <c r="HNP241" s="15"/>
      <c r="HNQ241" s="15"/>
      <c r="HNR241" s="15"/>
      <c r="HNS241" s="10"/>
      <c r="HNT241" s="10"/>
      <c r="HNU241" s="21"/>
      <c r="HNV241" s="21"/>
      <c r="HNY241" s="21"/>
      <c r="HNZ241" s="15"/>
      <c r="HOA241" s="15"/>
      <c r="HOB241" s="15"/>
      <c r="HOC241" s="15"/>
      <c r="HOD241" s="15"/>
      <c r="HOE241" s="15"/>
      <c r="HOF241" s="15"/>
      <c r="HOG241" s="15"/>
      <c r="HOH241" s="15"/>
      <c r="HOI241" s="15"/>
      <c r="HOJ241" s="10"/>
      <c r="HOK241" s="10"/>
      <c r="HOL241" s="21"/>
      <c r="HOM241" s="21"/>
      <c r="HOP241" s="21"/>
      <c r="HOQ241" s="15"/>
      <c r="HOR241" s="15"/>
      <c r="HOS241" s="15"/>
      <c r="HOT241" s="15"/>
      <c r="HOU241" s="15"/>
      <c r="HOV241" s="15"/>
      <c r="HOW241" s="15"/>
      <c r="HOX241" s="15"/>
      <c r="HOY241" s="15"/>
      <c r="HOZ241" s="15"/>
      <c r="HPA241" s="10"/>
      <c r="HPB241" s="10"/>
      <c r="HPC241" s="21"/>
      <c r="HPD241" s="21"/>
      <c r="HPG241" s="21"/>
      <c r="HPH241" s="15"/>
      <c r="HPI241" s="15"/>
      <c r="HPJ241" s="15"/>
      <c r="HPK241" s="15"/>
      <c r="HPL241" s="15"/>
      <c r="HPM241" s="15"/>
      <c r="HPN241" s="15"/>
      <c r="HPO241" s="15"/>
      <c r="HPP241" s="15"/>
      <c r="HPQ241" s="15"/>
      <c r="HPR241" s="10"/>
      <c r="HPS241" s="10"/>
      <c r="HPT241" s="21"/>
      <c r="HPU241" s="21"/>
      <c r="HPX241" s="21"/>
      <c r="HPY241" s="15"/>
      <c r="HPZ241" s="15"/>
      <c r="HQA241" s="15"/>
      <c r="HQB241" s="15"/>
      <c r="HQC241" s="15"/>
      <c r="HQD241" s="15"/>
      <c r="HQE241" s="15"/>
      <c r="HQF241" s="15"/>
      <c r="HQG241" s="15"/>
      <c r="HQH241" s="15"/>
      <c r="HQI241" s="10"/>
      <c r="HQJ241" s="10"/>
      <c r="HQK241" s="21"/>
      <c r="HQL241" s="21"/>
      <c r="HQO241" s="21"/>
      <c r="HQP241" s="15"/>
      <c r="HQQ241" s="15"/>
      <c r="HQR241" s="15"/>
      <c r="HQS241" s="15"/>
      <c r="HQT241" s="15"/>
      <c r="HQU241" s="15"/>
      <c r="HQV241" s="15"/>
      <c r="HQW241" s="15"/>
      <c r="HQX241" s="15"/>
      <c r="HQY241" s="15"/>
      <c r="HQZ241" s="10"/>
      <c r="HRA241" s="10"/>
      <c r="HRB241" s="21"/>
      <c r="HRC241" s="21"/>
      <c r="HRF241" s="21"/>
      <c r="HRG241" s="15"/>
      <c r="HRH241" s="15"/>
      <c r="HRI241" s="15"/>
      <c r="HRJ241" s="15"/>
      <c r="HRK241" s="15"/>
      <c r="HRL241" s="15"/>
      <c r="HRM241" s="15"/>
      <c r="HRN241" s="15"/>
      <c r="HRO241" s="15"/>
      <c r="HRP241" s="15"/>
      <c r="HRQ241" s="10"/>
      <c r="HRR241" s="10"/>
      <c r="HRS241" s="21"/>
      <c r="HRT241" s="21"/>
      <c r="HRW241" s="21"/>
      <c r="HRX241" s="15"/>
      <c r="HRY241" s="15"/>
      <c r="HRZ241" s="15"/>
      <c r="HSA241" s="15"/>
      <c r="HSB241" s="15"/>
      <c r="HSC241" s="15"/>
      <c r="HSD241" s="15"/>
      <c r="HSE241" s="15"/>
      <c r="HSF241" s="15"/>
      <c r="HSG241" s="15"/>
      <c r="HSH241" s="10"/>
      <c r="HSI241" s="10"/>
      <c r="HSJ241" s="21"/>
      <c r="HSK241" s="21"/>
      <c r="HSN241" s="21"/>
      <c r="HSO241" s="15"/>
      <c r="HSP241" s="15"/>
      <c r="HSQ241" s="15"/>
      <c r="HSR241" s="15"/>
      <c r="HSS241" s="15"/>
      <c r="HST241" s="15"/>
      <c r="HSU241" s="15"/>
      <c r="HSV241" s="15"/>
      <c r="HSW241" s="15"/>
      <c r="HSX241" s="15"/>
      <c r="HSY241" s="10"/>
      <c r="HSZ241" s="10"/>
      <c r="HTA241" s="21"/>
      <c r="HTB241" s="21"/>
      <c r="HTE241" s="21"/>
      <c r="HTF241" s="15"/>
      <c r="HTG241" s="15"/>
      <c r="HTH241" s="15"/>
      <c r="HTI241" s="15"/>
      <c r="HTJ241" s="15"/>
      <c r="HTK241" s="15"/>
      <c r="HTL241" s="15"/>
      <c r="HTM241" s="15"/>
      <c r="HTN241" s="15"/>
      <c r="HTO241" s="15"/>
      <c r="HTP241" s="10"/>
      <c r="HTQ241" s="10"/>
      <c r="HTR241" s="21"/>
      <c r="HTS241" s="21"/>
      <c r="HTV241" s="21"/>
      <c r="HTW241" s="15"/>
      <c r="HTX241" s="15"/>
      <c r="HTY241" s="15"/>
      <c r="HTZ241" s="15"/>
      <c r="HUA241" s="15"/>
      <c r="HUB241" s="15"/>
      <c r="HUC241" s="15"/>
      <c r="HUD241" s="15"/>
      <c r="HUE241" s="15"/>
      <c r="HUF241" s="15"/>
      <c r="HUG241" s="10"/>
      <c r="HUH241" s="10"/>
      <c r="HUI241" s="21"/>
      <c r="HUJ241" s="21"/>
      <c r="HUM241" s="21"/>
      <c r="HUN241" s="15"/>
      <c r="HUO241" s="15"/>
      <c r="HUP241" s="15"/>
      <c r="HUQ241" s="15"/>
      <c r="HUR241" s="15"/>
      <c r="HUS241" s="15"/>
      <c r="HUT241" s="15"/>
      <c r="HUU241" s="15"/>
      <c r="HUV241" s="15"/>
      <c r="HUW241" s="15"/>
      <c r="HUX241" s="10"/>
      <c r="HUY241" s="10"/>
      <c r="HUZ241" s="21"/>
      <c r="HVA241" s="21"/>
      <c r="HVD241" s="21"/>
      <c r="HVE241" s="15"/>
      <c r="HVF241" s="15"/>
      <c r="HVG241" s="15"/>
      <c r="HVH241" s="15"/>
      <c r="HVI241" s="15"/>
      <c r="HVJ241" s="15"/>
      <c r="HVK241" s="15"/>
      <c r="HVL241" s="15"/>
      <c r="HVM241" s="15"/>
      <c r="HVN241" s="15"/>
      <c r="HVO241" s="10"/>
      <c r="HVP241" s="10"/>
      <c r="HVQ241" s="21"/>
      <c r="HVR241" s="21"/>
      <c r="HVU241" s="21"/>
      <c r="HVV241" s="15"/>
      <c r="HVW241" s="15"/>
      <c r="HVX241" s="15"/>
      <c r="HVY241" s="15"/>
      <c r="HVZ241" s="15"/>
      <c r="HWA241" s="15"/>
      <c r="HWB241" s="15"/>
      <c r="HWC241" s="15"/>
      <c r="HWD241" s="15"/>
      <c r="HWE241" s="15"/>
      <c r="HWF241" s="10"/>
      <c r="HWG241" s="10"/>
      <c r="HWH241" s="21"/>
      <c r="HWI241" s="21"/>
      <c r="HWL241" s="21"/>
      <c r="HWM241" s="15"/>
      <c r="HWN241" s="15"/>
      <c r="HWO241" s="15"/>
      <c r="HWP241" s="15"/>
      <c r="HWQ241" s="15"/>
      <c r="HWR241" s="15"/>
      <c r="HWS241" s="15"/>
      <c r="HWT241" s="15"/>
      <c r="HWU241" s="15"/>
      <c r="HWV241" s="15"/>
      <c r="HWW241" s="10"/>
      <c r="HWX241" s="10"/>
      <c r="HWY241" s="21"/>
      <c r="HWZ241" s="21"/>
      <c r="HXC241" s="21"/>
      <c r="HXD241" s="15"/>
      <c r="HXE241" s="15"/>
      <c r="HXF241" s="15"/>
      <c r="HXG241" s="15"/>
      <c r="HXH241" s="15"/>
      <c r="HXI241" s="15"/>
      <c r="HXJ241" s="15"/>
      <c r="HXK241" s="15"/>
      <c r="HXL241" s="15"/>
      <c r="HXM241" s="15"/>
      <c r="HXN241" s="10"/>
      <c r="HXO241" s="10"/>
      <c r="HXP241" s="21"/>
      <c r="HXQ241" s="21"/>
      <c r="HXT241" s="21"/>
      <c r="HXU241" s="15"/>
      <c r="HXV241" s="15"/>
      <c r="HXW241" s="15"/>
      <c r="HXX241" s="15"/>
      <c r="HXY241" s="15"/>
      <c r="HXZ241" s="15"/>
      <c r="HYA241" s="15"/>
      <c r="HYB241" s="15"/>
      <c r="HYC241" s="15"/>
      <c r="HYD241" s="15"/>
      <c r="HYE241" s="10"/>
      <c r="HYF241" s="10"/>
      <c r="HYG241" s="21"/>
      <c r="HYH241" s="21"/>
      <c r="HYK241" s="21"/>
      <c r="HYL241" s="15"/>
      <c r="HYM241" s="15"/>
      <c r="HYN241" s="15"/>
      <c r="HYO241" s="15"/>
      <c r="HYP241" s="15"/>
      <c r="HYQ241" s="15"/>
      <c r="HYR241" s="15"/>
      <c r="HYS241" s="15"/>
      <c r="HYT241" s="15"/>
      <c r="HYU241" s="15"/>
      <c r="HYV241" s="10"/>
      <c r="HYW241" s="10"/>
      <c r="HYX241" s="21"/>
      <c r="HYY241" s="21"/>
      <c r="HZB241" s="21"/>
      <c r="HZC241" s="15"/>
      <c r="HZD241" s="15"/>
      <c r="HZE241" s="15"/>
      <c r="HZF241" s="15"/>
      <c r="HZG241" s="15"/>
      <c r="HZH241" s="15"/>
      <c r="HZI241" s="15"/>
      <c r="HZJ241" s="15"/>
      <c r="HZK241" s="15"/>
      <c r="HZL241" s="15"/>
      <c r="HZM241" s="10"/>
      <c r="HZN241" s="10"/>
      <c r="HZO241" s="21"/>
      <c r="HZP241" s="21"/>
      <c r="HZS241" s="21"/>
      <c r="HZT241" s="15"/>
      <c r="HZU241" s="15"/>
      <c r="HZV241" s="15"/>
      <c r="HZW241" s="15"/>
      <c r="HZX241" s="15"/>
      <c r="HZY241" s="15"/>
      <c r="HZZ241" s="15"/>
      <c r="IAA241" s="15"/>
      <c r="IAB241" s="15"/>
      <c r="IAC241" s="15"/>
      <c r="IAD241" s="10"/>
      <c r="IAE241" s="10"/>
      <c r="IAF241" s="21"/>
      <c r="IAG241" s="21"/>
      <c r="IAJ241" s="21"/>
      <c r="IAK241" s="15"/>
      <c r="IAL241" s="15"/>
      <c r="IAM241" s="15"/>
      <c r="IAN241" s="15"/>
      <c r="IAO241" s="15"/>
      <c r="IAP241" s="15"/>
      <c r="IAQ241" s="15"/>
      <c r="IAR241" s="15"/>
      <c r="IAS241" s="15"/>
      <c r="IAT241" s="15"/>
      <c r="IAU241" s="10"/>
      <c r="IAV241" s="10"/>
      <c r="IAW241" s="21"/>
      <c r="IAX241" s="21"/>
      <c r="IBA241" s="21"/>
      <c r="IBB241" s="15"/>
      <c r="IBC241" s="15"/>
      <c r="IBD241" s="15"/>
      <c r="IBE241" s="15"/>
      <c r="IBF241" s="15"/>
      <c r="IBG241" s="15"/>
      <c r="IBH241" s="15"/>
      <c r="IBI241" s="15"/>
      <c r="IBJ241" s="15"/>
      <c r="IBK241" s="15"/>
      <c r="IBL241" s="10"/>
      <c r="IBM241" s="10"/>
      <c r="IBN241" s="21"/>
      <c r="IBO241" s="21"/>
      <c r="IBR241" s="21"/>
      <c r="IBS241" s="15"/>
      <c r="IBT241" s="15"/>
      <c r="IBU241" s="15"/>
      <c r="IBV241" s="15"/>
      <c r="IBW241" s="15"/>
      <c r="IBX241" s="15"/>
      <c r="IBY241" s="15"/>
      <c r="IBZ241" s="15"/>
      <c r="ICA241" s="15"/>
      <c r="ICB241" s="15"/>
      <c r="ICC241" s="10"/>
      <c r="ICD241" s="10"/>
      <c r="ICE241" s="21"/>
      <c r="ICF241" s="21"/>
      <c r="ICI241" s="21"/>
      <c r="ICJ241" s="15"/>
      <c r="ICK241" s="15"/>
      <c r="ICL241" s="15"/>
      <c r="ICM241" s="15"/>
      <c r="ICN241" s="15"/>
      <c r="ICO241" s="15"/>
      <c r="ICP241" s="15"/>
      <c r="ICQ241" s="15"/>
      <c r="ICR241" s="15"/>
      <c r="ICS241" s="15"/>
      <c r="ICT241" s="10"/>
      <c r="ICU241" s="10"/>
      <c r="ICV241" s="21"/>
      <c r="ICW241" s="21"/>
      <c r="ICZ241" s="21"/>
      <c r="IDA241" s="15"/>
      <c r="IDB241" s="15"/>
      <c r="IDC241" s="15"/>
      <c r="IDD241" s="15"/>
      <c r="IDE241" s="15"/>
      <c r="IDF241" s="15"/>
      <c r="IDG241" s="15"/>
      <c r="IDH241" s="15"/>
      <c r="IDI241" s="15"/>
      <c r="IDJ241" s="15"/>
      <c r="IDK241" s="10"/>
      <c r="IDL241" s="10"/>
      <c r="IDM241" s="21"/>
      <c r="IDN241" s="21"/>
      <c r="IDQ241" s="21"/>
      <c r="IDR241" s="15"/>
      <c r="IDS241" s="15"/>
      <c r="IDT241" s="15"/>
      <c r="IDU241" s="15"/>
      <c r="IDV241" s="15"/>
      <c r="IDW241" s="15"/>
      <c r="IDX241" s="15"/>
      <c r="IDY241" s="15"/>
      <c r="IDZ241" s="15"/>
      <c r="IEA241" s="15"/>
      <c r="IEB241" s="10"/>
      <c r="IEC241" s="10"/>
      <c r="IED241" s="21"/>
      <c r="IEE241" s="21"/>
      <c r="IEH241" s="21"/>
      <c r="IEI241" s="15"/>
      <c r="IEJ241" s="15"/>
      <c r="IEK241" s="15"/>
      <c r="IEL241" s="15"/>
      <c r="IEM241" s="15"/>
      <c r="IEN241" s="15"/>
      <c r="IEO241" s="15"/>
      <c r="IEP241" s="15"/>
      <c r="IEQ241" s="15"/>
      <c r="IER241" s="15"/>
      <c r="IES241" s="10"/>
      <c r="IET241" s="10"/>
      <c r="IEU241" s="21"/>
      <c r="IEV241" s="21"/>
      <c r="IEY241" s="21"/>
      <c r="IEZ241" s="15"/>
      <c r="IFA241" s="15"/>
      <c r="IFB241" s="15"/>
      <c r="IFC241" s="15"/>
      <c r="IFD241" s="15"/>
      <c r="IFE241" s="15"/>
      <c r="IFF241" s="15"/>
      <c r="IFG241" s="15"/>
      <c r="IFH241" s="15"/>
      <c r="IFI241" s="15"/>
      <c r="IFJ241" s="10"/>
      <c r="IFK241" s="10"/>
      <c r="IFL241" s="21"/>
      <c r="IFM241" s="21"/>
      <c r="IFP241" s="21"/>
      <c r="IFQ241" s="15"/>
      <c r="IFR241" s="15"/>
      <c r="IFS241" s="15"/>
      <c r="IFT241" s="15"/>
      <c r="IFU241" s="15"/>
      <c r="IFV241" s="15"/>
      <c r="IFW241" s="15"/>
      <c r="IFX241" s="15"/>
      <c r="IFY241" s="15"/>
      <c r="IFZ241" s="15"/>
      <c r="IGA241" s="10"/>
      <c r="IGB241" s="10"/>
      <c r="IGC241" s="21"/>
      <c r="IGD241" s="21"/>
      <c r="IGG241" s="21"/>
      <c r="IGH241" s="15"/>
      <c r="IGI241" s="15"/>
      <c r="IGJ241" s="15"/>
      <c r="IGK241" s="15"/>
      <c r="IGL241" s="15"/>
      <c r="IGM241" s="15"/>
      <c r="IGN241" s="15"/>
      <c r="IGO241" s="15"/>
      <c r="IGP241" s="15"/>
      <c r="IGQ241" s="15"/>
      <c r="IGR241" s="10"/>
      <c r="IGS241" s="10"/>
      <c r="IGT241" s="21"/>
      <c r="IGU241" s="21"/>
      <c r="IGX241" s="21"/>
      <c r="IGY241" s="15"/>
      <c r="IGZ241" s="15"/>
      <c r="IHA241" s="15"/>
      <c r="IHB241" s="15"/>
      <c r="IHC241" s="15"/>
      <c r="IHD241" s="15"/>
      <c r="IHE241" s="15"/>
      <c r="IHF241" s="15"/>
      <c r="IHG241" s="15"/>
      <c r="IHH241" s="15"/>
      <c r="IHI241" s="10"/>
      <c r="IHJ241" s="10"/>
      <c r="IHK241" s="21"/>
      <c r="IHL241" s="21"/>
      <c r="IHO241" s="21"/>
      <c r="IHP241" s="15"/>
      <c r="IHQ241" s="15"/>
      <c r="IHR241" s="15"/>
      <c r="IHS241" s="15"/>
      <c r="IHT241" s="15"/>
      <c r="IHU241" s="15"/>
      <c r="IHV241" s="15"/>
      <c r="IHW241" s="15"/>
      <c r="IHX241" s="15"/>
      <c r="IHY241" s="15"/>
      <c r="IHZ241" s="10"/>
      <c r="IIA241" s="10"/>
      <c r="IIB241" s="21"/>
      <c r="IIC241" s="21"/>
      <c r="IIF241" s="21"/>
      <c r="IIG241" s="15"/>
      <c r="IIH241" s="15"/>
      <c r="III241" s="15"/>
      <c r="IIJ241" s="15"/>
      <c r="IIK241" s="15"/>
      <c r="IIL241" s="15"/>
      <c r="IIM241" s="15"/>
      <c r="IIN241" s="15"/>
      <c r="IIO241" s="15"/>
      <c r="IIP241" s="15"/>
      <c r="IIQ241" s="10"/>
      <c r="IIR241" s="10"/>
      <c r="IIS241" s="21"/>
      <c r="IIT241" s="21"/>
      <c r="IIW241" s="21"/>
      <c r="IIX241" s="15"/>
      <c r="IIY241" s="15"/>
      <c r="IIZ241" s="15"/>
      <c r="IJA241" s="15"/>
      <c r="IJB241" s="15"/>
      <c r="IJC241" s="15"/>
      <c r="IJD241" s="15"/>
      <c r="IJE241" s="15"/>
      <c r="IJF241" s="15"/>
      <c r="IJG241" s="15"/>
      <c r="IJH241" s="10"/>
      <c r="IJI241" s="10"/>
      <c r="IJJ241" s="21"/>
      <c r="IJK241" s="21"/>
      <c r="IJN241" s="21"/>
      <c r="IJO241" s="15"/>
      <c r="IJP241" s="15"/>
      <c r="IJQ241" s="15"/>
      <c r="IJR241" s="15"/>
      <c r="IJS241" s="15"/>
      <c r="IJT241" s="15"/>
      <c r="IJU241" s="15"/>
      <c r="IJV241" s="15"/>
      <c r="IJW241" s="15"/>
      <c r="IJX241" s="15"/>
      <c r="IJY241" s="10"/>
      <c r="IJZ241" s="10"/>
      <c r="IKA241" s="21"/>
      <c r="IKB241" s="21"/>
      <c r="IKE241" s="21"/>
      <c r="IKF241" s="15"/>
      <c r="IKG241" s="15"/>
      <c r="IKH241" s="15"/>
      <c r="IKI241" s="15"/>
      <c r="IKJ241" s="15"/>
      <c r="IKK241" s="15"/>
      <c r="IKL241" s="15"/>
      <c r="IKM241" s="15"/>
      <c r="IKN241" s="15"/>
      <c r="IKO241" s="15"/>
      <c r="IKP241" s="10"/>
      <c r="IKQ241" s="10"/>
      <c r="IKR241" s="21"/>
      <c r="IKS241" s="21"/>
      <c r="IKV241" s="21"/>
      <c r="IKW241" s="15"/>
      <c r="IKX241" s="15"/>
      <c r="IKY241" s="15"/>
      <c r="IKZ241" s="15"/>
      <c r="ILA241" s="15"/>
      <c r="ILB241" s="15"/>
      <c r="ILC241" s="15"/>
      <c r="ILD241" s="15"/>
      <c r="ILE241" s="15"/>
      <c r="ILF241" s="15"/>
      <c r="ILG241" s="10"/>
      <c r="ILH241" s="10"/>
      <c r="ILI241" s="21"/>
      <c r="ILJ241" s="21"/>
      <c r="ILM241" s="21"/>
      <c r="ILN241" s="15"/>
      <c r="ILO241" s="15"/>
      <c r="ILP241" s="15"/>
      <c r="ILQ241" s="15"/>
      <c r="ILR241" s="15"/>
      <c r="ILS241" s="15"/>
      <c r="ILT241" s="15"/>
      <c r="ILU241" s="15"/>
      <c r="ILV241" s="15"/>
      <c r="ILW241" s="15"/>
      <c r="ILX241" s="10"/>
      <c r="ILY241" s="10"/>
      <c r="ILZ241" s="21"/>
      <c r="IMA241" s="21"/>
      <c r="IMD241" s="21"/>
      <c r="IME241" s="15"/>
      <c r="IMF241" s="15"/>
      <c r="IMG241" s="15"/>
      <c r="IMH241" s="15"/>
      <c r="IMI241" s="15"/>
      <c r="IMJ241" s="15"/>
      <c r="IMK241" s="15"/>
      <c r="IML241" s="15"/>
      <c r="IMM241" s="15"/>
      <c r="IMN241" s="15"/>
      <c r="IMO241" s="10"/>
      <c r="IMP241" s="10"/>
      <c r="IMQ241" s="21"/>
      <c r="IMR241" s="21"/>
      <c r="IMU241" s="21"/>
      <c r="IMV241" s="15"/>
      <c r="IMW241" s="15"/>
      <c r="IMX241" s="15"/>
      <c r="IMY241" s="15"/>
      <c r="IMZ241" s="15"/>
      <c r="INA241" s="15"/>
      <c r="INB241" s="15"/>
      <c r="INC241" s="15"/>
      <c r="IND241" s="15"/>
      <c r="INE241" s="15"/>
      <c r="INF241" s="10"/>
      <c r="ING241" s="10"/>
      <c r="INH241" s="21"/>
      <c r="INI241" s="21"/>
      <c r="INL241" s="21"/>
      <c r="INM241" s="15"/>
      <c r="INN241" s="15"/>
      <c r="INO241" s="15"/>
      <c r="INP241" s="15"/>
      <c r="INQ241" s="15"/>
      <c r="INR241" s="15"/>
      <c r="INS241" s="15"/>
      <c r="INT241" s="15"/>
      <c r="INU241" s="15"/>
      <c r="INV241" s="15"/>
      <c r="INW241" s="10"/>
      <c r="INX241" s="10"/>
      <c r="INY241" s="21"/>
      <c r="INZ241" s="21"/>
      <c r="IOC241" s="21"/>
      <c r="IOD241" s="15"/>
      <c r="IOE241" s="15"/>
      <c r="IOF241" s="15"/>
      <c r="IOG241" s="15"/>
      <c r="IOH241" s="15"/>
      <c r="IOI241" s="15"/>
      <c r="IOJ241" s="15"/>
      <c r="IOK241" s="15"/>
      <c r="IOL241" s="15"/>
      <c r="IOM241" s="15"/>
      <c r="ION241" s="10"/>
      <c r="IOO241" s="10"/>
      <c r="IOP241" s="21"/>
      <c r="IOQ241" s="21"/>
      <c r="IOT241" s="21"/>
      <c r="IOU241" s="15"/>
      <c r="IOV241" s="15"/>
      <c r="IOW241" s="15"/>
      <c r="IOX241" s="15"/>
      <c r="IOY241" s="15"/>
      <c r="IOZ241" s="15"/>
      <c r="IPA241" s="15"/>
      <c r="IPB241" s="15"/>
      <c r="IPC241" s="15"/>
      <c r="IPD241" s="15"/>
      <c r="IPE241" s="10"/>
      <c r="IPF241" s="10"/>
      <c r="IPG241" s="21"/>
      <c r="IPH241" s="21"/>
      <c r="IPK241" s="21"/>
      <c r="IPL241" s="15"/>
      <c r="IPM241" s="15"/>
      <c r="IPN241" s="15"/>
      <c r="IPO241" s="15"/>
      <c r="IPP241" s="15"/>
      <c r="IPQ241" s="15"/>
      <c r="IPR241" s="15"/>
      <c r="IPS241" s="15"/>
      <c r="IPT241" s="15"/>
      <c r="IPU241" s="15"/>
      <c r="IPV241" s="10"/>
      <c r="IPW241" s="10"/>
      <c r="IPX241" s="21"/>
      <c r="IPY241" s="21"/>
      <c r="IQB241" s="21"/>
      <c r="IQC241" s="15"/>
      <c r="IQD241" s="15"/>
      <c r="IQE241" s="15"/>
      <c r="IQF241" s="15"/>
      <c r="IQG241" s="15"/>
      <c r="IQH241" s="15"/>
      <c r="IQI241" s="15"/>
      <c r="IQJ241" s="15"/>
      <c r="IQK241" s="15"/>
      <c r="IQL241" s="15"/>
      <c r="IQM241" s="10"/>
      <c r="IQN241" s="10"/>
      <c r="IQO241" s="21"/>
      <c r="IQP241" s="21"/>
      <c r="IQS241" s="21"/>
      <c r="IQT241" s="15"/>
      <c r="IQU241" s="15"/>
      <c r="IQV241" s="15"/>
      <c r="IQW241" s="15"/>
      <c r="IQX241" s="15"/>
      <c r="IQY241" s="15"/>
      <c r="IQZ241" s="15"/>
      <c r="IRA241" s="15"/>
      <c r="IRB241" s="15"/>
      <c r="IRC241" s="15"/>
      <c r="IRD241" s="10"/>
      <c r="IRE241" s="10"/>
      <c r="IRF241" s="21"/>
      <c r="IRG241" s="21"/>
      <c r="IRJ241" s="21"/>
      <c r="IRK241" s="15"/>
      <c r="IRL241" s="15"/>
      <c r="IRM241" s="15"/>
      <c r="IRN241" s="15"/>
      <c r="IRO241" s="15"/>
      <c r="IRP241" s="15"/>
      <c r="IRQ241" s="15"/>
      <c r="IRR241" s="15"/>
      <c r="IRS241" s="15"/>
      <c r="IRT241" s="15"/>
      <c r="IRU241" s="10"/>
      <c r="IRV241" s="10"/>
      <c r="IRW241" s="21"/>
      <c r="IRX241" s="21"/>
      <c r="ISA241" s="21"/>
      <c r="ISB241" s="15"/>
      <c r="ISC241" s="15"/>
      <c r="ISD241" s="15"/>
      <c r="ISE241" s="15"/>
      <c r="ISF241" s="15"/>
      <c r="ISG241" s="15"/>
      <c r="ISH241" s="15"/>
      <c r="ISI241" s="15"/>
      <c r="ISJ241" s="15"/>
      <c r="ISK241" s="15"/>
      <c r="ISL241" s="10"/>
      <c r="ISM241" s="10"/>
      <c r="ISN241" s="21"/>
      <c r="ISO241" s="21"/>
      <c r="ISR241" s="21"/>
      <c r="ISS241" s="15"/>
      <c r="IST241" s="15"/>
      <c r="ISU241" s="15"/>
      <c r="ISV241" s="15"/>
      <c r="ISW241" s="15"/>
      <c r="ISX241" s="15"/>
      <c r="ISY241" s="15"/>
      <c r="ISZ241" s="15"/>
      <c r="ITA241" s="15"/>
      <c r="ITB241" s="15"/>
      <c r="ITC241" s="10"/>
      <c r="ITD241" s="10"/>
      <c r="ITE241" s="21"/>
      <c r="ITF241" s="21"/>
      <c r="ITI241" s="21"/>
      <c r="ITJ241" s="15"/>
      <c r="ITK241" s="15"/>
      <c r="ITL241" s="15"/>
      <c r="ITM241" s="15"/>
      <c r="ITN241" s="15"/>
      <c r="ITO241" s="15"/>
      <c r="ITP241" s="15"/>
      <c r="ITQ241" s="15"/>
      <c r="ITR241" s="15"/>
      <c r="ITS241" s="15"/>
      <c r="ITT241" s="10"/>
      <c r="ITU241" s="10"/>
      <c r="ITV241" s="21"/>
      <c r="ITW241" s="21"/>
      <c r="ITZ241" s="21"/>
      <c r="IUA241" s="15"/>
      <c r="IUB241" s="15"/>
      <c r="IUC241" s="15"/>
      <c r="IUD241" s="15"/>
      <c r="IUE241" s="15"/>
      <c r="IUF241" s="15"/>
      <c r="IUG241" s="15"/>
      <c r="IUH241" s="15"/>
      <c r="IUI241" s="15"/>
      <c r="IUJ241" s="15"/>
      <c r="IUK241" s="10"/>
      <c r="IUL241" s="10"/>
      <c r="IUM241" s="21"/>
      <c r="IUN241" s="21"/>
      <c r="IUQ241" s="21"/>
      <c r="IUR241" s="15"/>
      <c r="IUS241" s="15"/>
      <c r="IUT241" s="15"/>
      <c r="IUU241" s="15"/>
      <c r="IUV241" s="15"/>
      <c r="IUW241" s="15"/>
      <c r="IUX241" s="15"/>
      <c r="IUY241" s="15"/>
      <c r="IUZ241" s="15"/>
      <c r="IVA241" s="15"/>
      <c r="IVB241" s="10"/>
      <c r="IVC241" s="10"/>
      <c r="IVD241" s="21"/>
      <c r="IVE241" s="21"/>
      <c r="IVH241" s="21"/>
      <c r="IVI241" s="15"/>
      <c r="IVJ241" s="15"/>
      <c r="IVK241" s="15"/>
      <c r="IVL241" s="15"/>
      <c r="IVM241" s="15"/>
      <c r="IVN241" s="15"/>
      <c r="IVO241" s="15"/>
      <c r="IVP241" s="15"/>
      <c r="IVQ241" s="15"/>
      <c r="IVR241" s="15"/>
      <c r="IVS241" s="10"/>
      <c r="IVT241" s="10"/>
      <c r="IVU241" s="21"/>
      <c r="IVV241" s="21"/>
      <c r="IVY241" s="21"/>
      <c r="IVZ241" s="15"/>
      <c r="IWA241" s="15"/>
      <c r="IWB241" s="15"/>
      <c r="IWC241" s="15"/>
      <c r="IWD241" s="15"/>
      <c r="IWE241" s="15"/>
      <c r="IWF241" s="15"/>
      <c r="IWG241" s="15"/>
      <c r="IWH241" s="15"/>
      <c r="IWI241" s="15"/>
      <c r="IWJ241" s="10"/>
      <c r="IWK241" s="10"/>
      <c r="IWL241" s="21"/>
      <c r="IWM241" s="21"/>
      <c r="IWP241" s="21"/>
      <c r="IWQ241" s="15"/>
      <c r="IWR241" s="15"/>
      <c r="IWS241" s="15"/>
      <c r="IWT241" s="15"/>
      <c r="IWU241" s="15"/>
      <c r="IWV241" s="15"/>
      <c r="IWW241" s="15"/>
      <c r="IWX241" s="15"/>
      <c r="IWY241" s="15"/>
      <c r="IWZ241" s="15"/>
      <c r="IXA241" s="10"/>
      <c r="IXB241" s="10"/>
      <c r="IXC241" s="21"/>
      <c r="IXD241" s="21"/>
      <c r="IXG241" s="21"/>
      <c r="IXH241" s="15"/>
      <c r="IXI241" s="15"/>
      <c r="IXJ241" s="15"/>
      <c r="IXK241" s="15"/>
      <c r="IXL241" s="15"/>
      <c r="IXM241" s="15"/>
      <c r="IXN241" s="15"/>
      <c r="IXO241" s="15"/>
      <c r="IXP241" s="15"/>
      <c r="IXQ241" s="15"/>
      <c r="IXR241" s="10"/>
      <c r="IXS241" s="10"/>
      <c r="IXT241" s="21"/>
      <c r="IXU241" s="21"/>
      <c r="IXX241" s="21"/>
      <c r="IXY241" s="15"/>
      <c r="IXZ241" s="15"/>
      <c r="IYA241" s="15"/>
      <c r="IYB241" s="15"/>
      <c r="IYC241" s="15"/>
      <c r="IYD241" s="15"/>
      <c r="IYE241" s="15"/>
      <c r="IYF241" s="15"/>
      <c r="IYG241" s="15"/>
      <c r="IYH241" s="15"/>
      <c r="IYI241" s="10"/>
      <c r="IYJ241" s="10"/>
      <c r="IYK241" s="21"/>
      <c r="IYL241" s="21"/>
      <c r="IYO241" s="21"/>
      <c r="IYP241" s="15"/>
      <c r="IYQ241" s="15"/>
      <c r="IYR241" s="15"/>
      <c r="IYS241" s="15"/>
      <c r="IYT241" s="15"/>
      <c r="IYU241" s="15"/>
      <c r="IYV241" s="15"/>
      <c r="IYW241" s="15"/>
      <c r="IYX241" s="15"/>
      <c r="IYY241" s="15"/>
      <c r="IYZ241" s="10"/>
      <c r="IZA241" s="10"/>
      <c r="IZB241" s="21"/>
      <c r="IZC241" s="21"/>
      <c r="IZF241" s="21"/>
      <c r="IZG241" s="15"/>
      <c r="IZH241" s="15"/>
      <c r="IZI241" s="15"/>
      <c r="IZJ241" s="15"/>
      <c r="IZK241" s="15"/>
      <c r="IZL241" s="15"/>
      <c r="IZM241" s="15"/>
      <c r="IZN241" s="15"/>
      <c r="IZO241" s="15"/>
      <c r="IZP241" s="15"/>
      <c r="IZQ241" s="10"/>
      <c r="IZR241" s="10"/>
      <c r="IZS241" s="21"/>
      <c r="IZT241" s="21"/>
      <c r="IZW241" s="21"/>
      <c r="IZX241" s="15"/>
      <c r="IZY241" s="15"/>
      <c r="IZZ241" s="15"/>
      <c r="JAA241" s="15"/>
      <c r="JAB241" s="15"/>
      <c r="JAC241" s="15"/>
      <c r="JAD241" s="15"/>
      <c r="JAE241" s="15"/>
      <c r="JAF241" s="15"/>
      <c r="JAG241" s="15"/>
      <c r="JAH241" s="10"/>
      <c r="JAI241" s="10"/>
      <c r="JAJ241" s="21"/>
      <c r="JAK241" s="21"/>
      <c r="JAN241" s="21"/>
      <c r="JAO241" s="15"/>
      <c r="JAP241" s="15"/>
      <c r="JAQ241" s="15"/>
      <c r="JAR241" s="15"/>
      <c r="JAS241" s="15"/>
      <c r="JAT241" s="15"/>
      <c r="JAU241" s="15"/>
      <c r="JAV241" s="15"/>
      <c r="JAW241" s="15"/>
      <c r="JAX241" s="15"/>
      <c r="JAY241" s="10"/>
      <c r="JAZ241" s="10"/>
      <c r="JBA241" s="21"/>
      <c r="JBB241" s="21"/>
      <c r="JBE241" s="21"/>
      <c r="JBF241" s="15"/>
      <c r="JBG241" s="15"/>
      <c r="JBH241" s="15"/>
      <c r="JBI241" s="15"/>
      <c r="JBJ241" s="15"/>
      <c r="JBK241" s="15"/>
      <c r="JBL241" s="15"/>
      <c r="JBM241" s="15"/>
      <c r="JBN241" s="15"/>
      <c r="JBO241" s="15"/>
      <c r="JBP241" s="10"/>
      <c r="JBQ241" s="10"/>
      <c r="JBR241" s="21"/>
      <c r="JBS241" s="21"/>
      <c r="JBV241" s="21"/>
      <c r="JBW241" s="15"/>
      <c r="JBX241" s="15"/>
      <c r="JBY241" s="15"/>
      <c r="JBZ241" s="15"/>
      <c r="JCA241" s="15"/>
      <c r="JCB241" s="15"/>
      <c r="JCC241" s="15"/>
      <c r="JCD241" s="15"/>
      <c r="JCE241" s="15"/>
      <c r="JCF241" s="15"/>
      <c r="JCG241" s="10"/>
      <c r="JCH241" s="10"/>
      <c r="JCI241" s="21"/>
      <c r="JCJ241" s="21"/>
      <c r="JCM241" s="21"/>
      <c r="JCN241" s="15"/>
      <c r="JCO241" s="15"/>
      <c r="JCP241" s="15"/>
      <c r="JCQ241" s="15"/>
      <c r="JCR241" s="15"/>
      <c r="JCS241" s="15"/>
      <c r="JCT241" s="15"/>
      <c r="JCU241" s="15"/>
      <c r="JCV241" s="15"/>
      <c r="JCW241" s="15"/>
      <c r="JCX241" s="10"/>
      <c r="JCY241" s="10"/>
      <c r="JCZ241" s="21"/>
      <c r="JDA241" s="21"/>
      <c r="JDD241" s="21"/>
      <c r="JDE241" s="15"/>
      <c r="JDF241" s="15"/>
      <c r="JDG241" s="15"/>
      <c r="JDH241" s="15"/>
      <c r="JDI241" s="15"/>
      <c r="JDJ241" s="15"/>
      <c r="JDK241" s="15"/>
      <c r="JDL241" s="15"/>
      <c r="JDM241" s="15"/>
      <c r="JDN241" s="15"/>
      <c r="JDO241" s="10"/>
      <c r="JDP241" s="10"/>
      <c r="JDQ241" s="21"/>
      <c r="JDR241" s="21"/>
      <c r="JDU241" s="21"/>
      <c r="JDV241" s="15"/>
      <c r="JDW241" s="15"/>
      <c r="JDX241" s="15"/>
      <c r="JDY241" s="15"/>
      <c r="JDZ241" s="15"/>
      <c r="JEA241" s="15"/>
      <c r="JEB241" s="15"/>
      <c r="JEC241" s="15"/>
      <c r="JED241" s="15"/>
      <c r="JEE241" s="15"/>
      <c r="JEF241" s="10"/>
      <c r="JEG241" s="10"/>
      <c r="JEH241" s="21"/>
      <c r="JEI241" s="21"/>
      <c r="JEL241" s="21"/>
      <c r="JEM241" s="15"/>
      <c r="JEN241" s="15"/>
      <c r="JEO241" s="15"/>
      <c r="JEP241" s="15"/>
      <c r="JEQ241" s="15"/>
      <c r="JER241" s="15"/>
      <c r="JES241" s="15"/>
      <c r="JET241" s="15"/>
      <c r="JEU241" s="15"/>
      <c r="JEV241" s="15"/>
      <c r="JEW241" s="10"/>
      <c r="JEX241" s="10"/>
      <c r="JEY241" s="21"/>
      <c r="JEZ241" s="21"/>
      <c r="JFC241" s="21"/>
      <c r="JFD241" s="15"/>
      <c r="JFE241" s="15"/>
      <c r="JFF241" s="15"/>
      <c r="JFG241" s="15"/>
      <c r="JFH241" s="15"/>
      <c r="JFI241" s="15"/>
      <c r="JFJ241" s="15"/>
      <c r="JFK241" s="15"/>
      <c r="JFL241" s="15"/>
      <c r="JFM241" s="15"/>
      <c r="JFN241" s="10"/>
      <c r="JFO241" s="10"/>
      <c r="JFP241" s="21"/>
      <c r="JFQ241" s="21"/>
      <c r="JFT241" s="21"/>
      <c r="JFU241" s="15"/>
      <c r="JFV241" s="15"/>
      <c r="JFW241" s="15"/>
      <c r="JFX241" s="15"/>
      <c r="JFY241" s="15"/>
      <c r="JFZ241" s="15"/>
      <c r="JGA241" s="15"/>
      <c r="JGB241" s="15"/>
      <c r="JGC241" s="15"/>
      <c r="JGD241" s="15"/>
      <c r="JGE241" s="10"/>
      <c r="JGF241" s="10"/>
      <c r="JGG241" s="21"/>
      <c r="JGH241" s="21"/>
      <c r="JGK241" s="21"/>
      <c r="JGL241" s="15"/>
      <c r="JGM241" s="15"/>
      <c r="JGN241" s="15"/>
      <c r="JGO241" s="15"/>
      <c r="JGP241" s="15"/>
      <c r="JGQ241" s="15"/>
      <c r="JGR241" s="15"/>
      <c r="JGS241" s="15"/>
      <c r="JGT241" s="15"/>
      <c r="JGU241" s="15"/>
      <c r="JGV241" s="10"/>
      <c r="JGW241" s="10"/>
      <c r="JGX241" s="21"/>
      <c r="JGY241" s="21"/>
      <c r="JHB241" s="21"/>
      <c r="JHC241" s="15"/>
      <c r="JHD241" s="15"/>
      <c r="JHE241" s="15"/>
      <c r="JHF241" s="15"/>
      <c r="JHG241" s="15"/>
      <c r="JHH241" s="15"/>
      <c r="JHI241" s="15"/>
      <c r="JHJ241" s="15"/>
      <c r="JHK241" s="15"/>
      <c r="JHL241" s="15"/>
      <c r="JHM241" s="10"/>
      <c r="JHN241" s="10"/>
      <c r="JHO241" s="21"/>
      <c r="JHP241" s="21"/>
      <c r="JHS241" s="21"/>
      <c r="JHT241" s="15"/>
      <c r="JHU241" s="15"/>
      <c r="JHV241" s="15"/>
      <c r="JHW241" s="15"/>
      <c r="JHX241" s="15"/>
      <c r="JHY241" s="15"/>
      <c r="JHZ241" s="15"/>
      <c r="JIA241" s="15"/>
      <c r="JIB241" s="15"/>
      <c r="JIC241" s="15"/>
      <c r="JID241" s="10"/>
      <c r="JIE241" s="10"/>
      <c r="JIF241" s="21"/>
      <c r="JIG241" s="21"/>
      <c r="JIJ241" s="21"/>
      <c r="JIK241" s="15"/>
      <c r="JIL241" s="15"/>
      <c r="JIM241" s="15"/>
      <c r="JIN241" s="15"/>
      <c r="JIO241" s="15"/>
      <c r="JIP241" s="15"/>
      <c r="JIQ241" s="15"/>
      <c r="JIR241" s="15"/>
      <c r="JIS241" s="15"/>
      <c r="JIT241" s="15"/>
      <c r="JIU241" s="10"/>
      <c r="JIV241" s="10"/>
      <c r="JIW241" s="21"/>
      <c r="JIX241" s="21"/>
      <c r="JJA241" s="21"/>
      <c r="JJB241" s="15"/>
      <c r="JJC241" s="15"/>
      <c r="JJD241" s="15"/>
      <c r="JJE241" s="15"/>
      <c r="JJF241" s="15"/>
      <c r="JJG241" s="15"/>
      <c r="JJH241" s="15"/>
      <c r="JJI241" s="15"/>
      <c r="JJJ241" s="15"/>
      <c r="JJK241" s="15"/>
      <c r="JJL241" s="10"/>
      <c r="JJM241" s="10"/>
      <c r="JJN241" s="21"/>
      <c r="JJO241" s="21"/>
      <c r="JJR241" s="21"/>
      <c r="JJS241" s="15"/>
      <c r="JJT241" s="15"/>
      <c r="JJU241" s="15"/>
      <c r="JJV241" s="15"/>
      <c r="JJW241" s="15"/>
      <c r="JJX241" s="15"/>
      <c r="JJY241" s="15"/>
      <c r="JJZ241" s="15"/>
      <c r="JKA241" s="15"/>
      <c r="JKB241" s="15"/>
      <c r="JKC241" s="10"/>
      <c r="JKD241" s="10"/>
      <c r="JKE241" s="21"/>
      <c r="JKF241" s="21"/>
      <c r="JKI241" s="21"/>
      <c r="JKJ241" s="15"/>
      <c r="JKK241" s="15"/>
      <c r="JKL241" s="15"/>
      <c r="JKM241" s="15"/>
      <c r="JKN241" s="15"/>
      <c r="JKO241" s="15"/>
      <c r="JKP241" s="15"/>
      <c r="JKQ241" s="15"/>
      <c r="JKR241" s="15"/>
      <c r="JKS241" s="15"/>
      <c r="JKT241" s="10"/>
      <c r="JKU241" s="10"/>
      <c r="JKV241" s="21"/>
      <c r="JKW241" s="21"/>
      <c r="JKZ241" s="21"/>
      <c r="JLA241" s="15"/>
      <c r="JLB241" s="15"/>
      <c r="JLC241" s="15"/>
      <c r="JLD241" s="15"/>
      <c r="JLE241" s="15"/>
      <c r="JLF241" s="15"/>
      <c r="JLG241" s="15"/>
      <c r="JLH241" s="15"/>
      <c r="JLI241" s="15"/>
      <c r="JLJ241" s="15"/>
      <c r="JLK241" s="10"/>
      <c r="JLL241" s="10"/>
      <c r="JLM241" s="21"/>
      <c r="JLN241" s="21"/>
      <c r="JLQ241" s="21"/>
      <c r="JLR241" s="15"/>
      <c r="JLS241" s="15"/>
      <c r="JLT241" s="15"/>
      <c r="JLU241" s="15"/>
      <c r="JLV241" s="15"/>
      <c r="JLW241" s="15"/>
      <c r="JLX241" s="15"/>
      <c r="JLY241" s="15"/>
      <c r="JLZ241" s="15"/>
      <c r="JMA241" s="15"/>
      <c r="JMB241" s="10"/>
      <c r="JMC241" s="10"/>
      <c r="JMD241" s="21"/>
      <c r="JME241" s="21"/>
      <c r="JMH241" s="21"/>
      <c r="JMI241" s="15"/>
      <c r="JMJ241" s="15"/>
      <c r="JMK241" s="15"/>
      <c r="JML241" s="15"/>
      <c r="JMM241" s="15"/>
      <c r="JMN241" s="15"/>
      <c r="JMO241" s="15"/>
      <c r="JMP241" s="15"/>
      <c r="JMQ241" s="15"/>
      <c r="JMR241" s="15"/>
      <c r="JMS241" s="10"/>
      <c r="JMT241" s="10"/>
      <c r="JMU241" s="21"/>
      <c r="JMV241" s="21"/>
      <c r="JMY241" s="21"/>
      <c r="JMZ241" s="15"/>
      <c r="JNA241" s="15"/>
      <c r="JNB241" s="15"/>
      <c r="JNC241" s="15"/>
      <c r="JND241" s="15"/>
      <c r="JNE241" s="15"/>
      <c r="JNF241" s="15"/>
      <c r="JNG241" s="15"/>
      <c r="JNH241" s="15"/>
      <c r="JNI241" s="15"/>
      <c r="JNJ241" s="10"/>
      <c r="JNK241" s="10"/>
      <c r="JNL241" s="21"/>
      <c r="JNM241" s="21"/>
      <c r="JNP241" s="21"/>
      <c r="JNQ241" s="15"/>
      <c r="JNR241" s="15"/>
      <c r="JNS241" s="15"/>
      <c r="JNT241" s="15"/>
      <c r="JNU241" s="15"/>
      <c r="JNV241" s="15"/>
      <c r="JNW241" s="15"/>
      <c r="JNX241" s="15"/>
      <c r="JNY241" s="15"/>
      <c r="JNZ241" s="15"/>
      <c r="JOA241" s="10"/>
      <c r="JOB241" s="10"/>
      <c r="JOC241" s="21"/>
      <c r="JOD241" s="21"/>
      <c r="JOG241" s="21"/>
      <c r="JOH241" s="15"/>
      <c r="JOI241" s="15"/>
      <c r="JOJ241" s="15"/>
      <c r="JOK241" s="15"/>
      <c r="JOL241" s="15"/>
      <c r="JOM241" s="15"/>
      <c r="JON241" s="15"/>
      <c r="JOO241" s="15"/>
      <c r="JOP241" s="15"/>
      <c r="JOQ241" s="15"/>
      <c r="JOR241" s="10"/>
      <c r="JOS241" s="10"/>
      <c r="JOT241" s="21"/>
      <c r="JOU241" s="21"/>
      <c r="JOX241" s="21"/>
      <c r="JOY241" s="15"/>
      <c r="JOZ241" s="15"/>
      <c r="JPA241" s="15"/>
      <c r="JPB241" s="15"/>
      <c r="JPC241" s="15"/>
      <c r="JPD241" s="15"/>
      <c r="JPE241" s="15"/>
      <c r="JPF241" s="15"/>
      <c r="JPG241" s="15"/>
      <c r="JPH241" s="15"/>
      <c r="JPI241" s="10"/>
      <c r="JPJ241" s="10"/>
      <c r="JPK241" s="21"/>
      <c r="JPL241" s="21"/>
      <c r="JPO241" s="21"/>
      <c r="JPP241" s="15"/>
      <c r="JPQ241" s="15"/>
      <c r="JPR241" s="15"/>
      <c r="JPS241" s="15"/>
      <c r="JPT241" s="15"/>
      <c r="JPU241" s="15"/>
      <c r="JPV241" s="15"/>
      <c r="JPW241" s="15"/>
      <c r="JPX241" s="15"/>
      <c r="JPY241" s="15"/>
      <c r="JPZ241" s="10"/>
      <c r="JQA241" s="10"/>
      <c r="JQB241" s="21"/>
      <c r="JQC241" s="21"/>
      <c r="JQF241" s="21"/>
      <c r="JQG241" s="15"/>
      <c r="JQH241" s="15"/>
      <c r="JQI241" s="15"/>
      <c r="JQJ241" s="15"/>
      <c r="JQK241" s="15"/>
      <c r="JQL241" s="15"/>
      <c r="JQM241" s="15"/>
      <c r="JQN241" s="15"/>
      <c r="JQO241" s="15"/>
      <c r="JQP241" s="15"/>
      <c r="JQQ241" s="10"/>
      <c r="JQR241" s="10"/>
      <c r="JQS241" s="21"/>
      <c r="JQT241" s="21"/>
      <c r="JQW241" s="21"/>
      <c r="JQX241" s="15"/>
      <c r="JQY241" s="15"/>
      <c r="JQZ241" s="15"/>
      <c r="JRA241" s="15"/>
      <c r="JRB241" s="15"/>
      <c r="JRC241" s="15"/>
      <c r="JRD241" s="15"/>
      <c r="JRE241" s="15"/>
      <c r="JRF241" s="15"/>
      <c r="JRG241" s="15"/>
      <c r="JRH241" s="10"/>
      <c r="JRI241" s="10"/>
      <c r="JRJ241" s="21"/>
      <c r="JRK241" s="21"/>
      <c r="JRN241" s="21"/>
      <c r="JRO241" s="15"/>
      <c r="JRP241" s="15"/>
      <c r="JRQ241" s="15"/>
      <c r="JRR241" s="15"/>
      <c r="JRS241" s="15"/>
      <c r="JRT241" s="15"/>
      <c r="JRU241" s="15"/>
      <c r="JRV241" s="15"/>
      <c r="JRW241" s="15"/>
      <c r="JRX241" s="15"/>
      <c r="JRY241" s="10"/>
      <c r="JRZ241" s="10"/>
      <c r="JSA241" s="21"/>
      <c r="JSB241" s="21"/>
      <c r="JSE241" s="21"/>
      <c r="JSF241" s="15"/>
      <c r="JSG241" s="15"/>
      <c r="JSH241" s="15"/>
      <c r="JSI241" s="15"/>
      <c r="JSJ241" s="15"/>
      <c r="JSK241" s="15"/>
      <c r="JSL241" s="15"/>
      <c r="JSM241" s="15"/>
      <c r="JSN241" s="15"/>
      <c r="JSO241" s="15"/>
      <c r="JSP241" s="10"/>
      <c r="JSQ241" s="10"/>
      <c r="JSR241" s="21"/>
      <c r="JSS241" s="21"/>
      <c r="JSV241" s="21"/>
      <c r="JSW241" s="15"/>
      <c r="JSX241" s="15"/>
      <c r="JSY241" s="15"/>
      <c r="JSZ241" s="15"/>
      <c r="JTA241" s="15"/>
      <c r="JTB241" s="15"/>
      <c r="JTC241" s="15"/>
      <c r="JTD241" s="15"/>
      <c r="JTE241" s="15"/>
      <c r="JTF241" s="15"/>
      <c r="JTG241" s="10"/>
      <c r="JTH241" s="10"/>
      <c r="JTI241" s="21"/>
      <c r="JTJ241" s="21"/>
      <c r="JTM241" s="21"/>
      <c r="JTN241" s="15"/>
      <c r="JTO241" s="15"/>
      <c r="JTP241" s="15"/>
      <c r="JTQ241" s="15"/>
      <c r="JTR241" s="15"/>
      <c r="JTS241" s="15"/>
      <c r="JTT241" s="15"/>
      <c r="JTU241" s="15"/>
      <c r="JTV241" s="15"/>
      <c r="JTW241" s="15"/>
      <c r="JTX241" s="10"/>
      <c r="JTY241" s="10"/>
      <c r="JTZ241" s="21"/>
      <c r="JUA241" s="21"/>
      <c r="JUD241" s="21"/>
      <c r="JUE241" s="15"/>
      <c r="JUF241" s="15"/>
      <c r="JUG241" s="15"/>
      <c r="JUH241" s="15"/>
      <c r="JUI241" s="15"/>
      <c r="JUJ241" s="15"/>
      <c r="JUK241" s="15"/>
      <c r="JUL241" s="15"/>
      <c r="JUM241" s="15"/>
      <c r="JUN241" s="15"/>
      <c r="JUO241" s="10"/>
      <c r="JUP241" s="10"/>
      <c r="JUQ241" s="21"/>
      <c r="JUR241" s="21"/>
      <c r="JUU241" s="21"/>
      <c r="JUV241" s="15"/>
      <c r="JUW241" s="15"/>
      <c r="JUX241" s="15"/>
      <c r="JUY241" s="15"/>
      <c r="JUZ241" s="15"/>
      <c r="JVA241" s="15"/>
      <c r="JVB241" s="15"/>
      <c r="JVC241" s="15"/>
      <c r="JVD241" s="15"/>
      <c r="JVE241" s="15"/>
      <c r="JVF241" s="10"/>
      <c r="JVG241" s="10"/>
      <c r="JVH241" s="21"/>
      <c r="JVI241" s="21"/>
      <c r="JVL241" s="21"/>
      <c r="JVM241" s="15"/>
      <c r="JVN241" s="15"/>
      <c r="JVO241" s="15"/>
      <c r="JVP241" s="15"/>
      <c r="JVQ241" s="15"/>
      <c r="JVR241" s="15"/>
      <c r="JVS241" s="15"/>
      <c r="JVT241" s="15"/>
      <c r="JVU241" s="15"/>
      <c r="JVV241" s="15"/>
      <c r="JVW241" s="10"/>
      <c r="JVX241" s="10"/>
      <c r="JVY241" s="21"/>
      <c r="JVZ241" s="21"/>
      <c r="JWC241" s="21"/>
      <c r="JWD241" s="15"/>
      <c r="JWE241" s="15"/>
      <c r="JWF241" s="15"/>
      <c r="JWG241" s="15"/>
      <c r="JWH241" s="15"/>
      <c r="JWI241" s="15"/>
      <c r="JWJ241" s="15"/>
      <c r="JWK241" s="15"/>
      <c r="JWL241" s="15"/>
      <c r="JWM241" s="15"/>
      <c r="JWN241" s="10"/>
      <c r="JWO241" s="10"/>
      <c r="JWP241" s="21"/>
      <c r="JWQ241" s="21"/>
      <c r="JWT241" s="21"/>
      <c r="JWU241" s="15"/>
      <c r="JWV241" s="15"/>
      <c r="JWW241" s="15"/>
      <c r="JWX241" s="15"/>
      <c r="JWY241" s="15"/>
      <c r="JWZ241" s="15"/>
      <c r="JXA241" s="15"/>
      <c r="JXB241" s="15"/>
      <c r="JXC241" s="15"/>
      <c r="JXD241" s="15"/>
      <c r="JXE241" s="10"/>
      <c r="JXF241" s="10"/>
      <c r="JXG241" s="21"/>
      <c r="JXH241" s="21"/>
      <c r="JXK241" s="21"/>
      <c r="JXL241" s="15"/>
      <c r="JXM241" s="15"/>
      <c r="JXN241" s="15"/>
      <c r="JXO241" s="15"/>
      <c r="JXP241" s="15"/>
      <c r="JXQ241" s="15"/>
      <c r="JXR241" s="15"/>
      <c r="JXS241" s="15"/>
      <c r="JXT241" s="15"/>
      <c r="JXU241" s="15"/>
      <c r="JXV241" s="10"/>
      <c r="JXW241" s="10"/>
      <c r="JXX241" s="21"/>
      <c r="JXY241" s="21"/>
      <c r="JYB241" s="21"/>
      <c r="JYC241" s="15"/>
      <c r="JYD241" s="15"/>
      <c r="JYE241" s="15"/>
      <c r="JYF241" s="15"/>
      <c r="JYG241" s="15"/>
      <c r="JYH241" s="15"/>
      <c r="JYI241" s="15"/>
      <c r="JYJ241" s="15"/>
      <c r="JYK241" s="15"/>
      <c r="JYL241" s="15"/>
      <c r="JYM241" s="10"/>
      <c r="JYN241" s="10"/>
      <c r="JYO241" s="21"/>
      <c r="JYP241" s="21"/>
      <c r="JYS241" s="21"/>
      <c r="JYT241" s="15"/>
      <c r="JYU241" s="15"/>
      <c r="JYV241" s="15"/>
      <c r="JYW241" s="15"/>
      <c r="JYX241" s="15"/>
      <c r="JYY241" s="15"/>
      <c r="JYZ241" s="15"/>
      <c r="JZA241" s="15"/>
      <c r="JZB241" s="15"/>
      <c r="JZC241" s="15"/>
      <c r="JZD241" s="10"/>
      <c r="JZE241" s="10"/>
      <c r="JZF241" s="21"/>
      <c r="JZG241" s="21"/>
      <c r="JZJ241" s="21"/>
      <c r="JZK241" s="15"/>
      <c r="JZL241" s="15"/>
      <c r="JZM241" s="15"/>
      <c r="JZN241" s="15"/>
      <c r="JZO241" s="15"/>
      <c r="JZP241" s="15"/>
      <c r="JZQ241" s="15"/>
      <c r="JZR241" s="15"/>
      <c r="JZS241" s="15"/>
      <c r="JZT241" s="15"/>
      <c r="JZU241" s="10"/>
      <c r="JZV241" s="10"/>
      <c r="JZW241" s="21"/>
      <c r="JZX241" s="21"/>
      <c r="KAA241" s="21"/>
      <c r="KAB241" s="15"/>
      <c r="KAC241" s="15"/>
      <c r="KAD241" s="15"/>
      <c r="KAE241" s="15"/>
      <c r="KAF241" s="15"/>
      <c r="KAG241" s="15"/>
      <c r="KAH241" s="15"/>
      <c r="KAI241" s="15"/>
      <c r="KAJ241" s="15"/>
      <c r="KAK241" s="15"/>
      <c r="KAL241" s="10"/>
      <c r="KAM241" s="10"/>
      <c r="KAN241" s="21"/>
      <c r="KAO241" s="21"/>
      <c r="KAR241" s="21"/>
      <c r="KAS241" s="15"/>
      <c r="KAT241" s="15"/>
      <c r="KAU241" s="15"/>
      <c r="KAV241" s="15"/>
      <c r="KAW241" s="15"/>
      <c r="KAX241" s="15"/>
      <c r="KAY241" s="15"/>
      <c r="KAZ241" s="15"/>
      <c r="KBA241" s="15"/>
      <c r="KBB241" s="15"/>
      <c r="KBC241" s="10"/>
      <c r="KBD241" s="10"/>
      <c r="KBE241" s="21"/>
      <c r="KBF241" s="21"/>
      <c r="KBI241" s="21"/>
      <c r="KBJ241" s="15"/>
      <c r="KBK241" s="15"/>
      <c r="KBL241" s="15"/>
      <c r="KBM241" s="15"/>
      <c r="KBN241" s="15"/>
      <c r="KBO241" s="15"/>
      <c r="KBP241" s="15"/>
      <c r="KBQ241" s="15"/>
      <c r="KBR241" s="15"/>
      <c r="KBS241" s="15"/>
      <c r="KBT241" s="10"/>
      <c r="KBU241" s="10"/>
      <c r="KBV241" s="21"/>
      <c r="KBW241" s="21"/>
      <c r="KBZ241" s="21"/>
      <c r="KCA241" s="15"/>
      <c r="KCB241" s="15"/>
      <c r="KCC241" s="15"/>
      <c r="KCD241" s="15"/>
      <c r="KCE241" s="15"/>
      <c r="KCF241" s="15"/>
      <c r="KCG241" s="15"/>
      <c r="KCH241" s="15"/>
      <c r="KCI241" s="15"/>
      <c r="KCJ241" s="15"/>
      <c r="KCK241" s="10"/>
      <c r="KCL241" s="10"/>
      <c r="KCM241" s="21"/>
      <c r="KCN241" s="21"/>
      <c r="KCQ241" s="21"/>
      <c r="KCR241" s="15"/>
      <c r="KCS241" s="15"/>
      <c r="KCT241" s="15"/>
      <c r="KCU241" s="15"/>
      <c r="KCV241" s="15"/>
      <c r="KCW241" s="15"/>
      <c r="KCX241" s="15"/>
      <c r="KCY241" s="15"/>
      <c r="KCZ241" s="15"/>
      <c r="KDA241" s="15"/>
      <c r="KDB241" s="10"/>
      <c r="KDC241" s="10"/>
      <c r="KDD241" s="21"/>
      <c r="KDE241" s="21"/>
      <c r="KDH241" s="21"/>
      <c r="KDI241" s="15"/>
      <c r="KDJ241" s="15"/>
      <c r="KDK241" s="15"/>
      <c r="KDL241" s="15"/>
      <c r="KDM241" s="15"/>
      <c r="KDN241" s="15"/>
      <c r="KDO241" s="15"/>
      <c r="KDP241" s="15"/>
      <c r="KDQ241" s="15"/>
      <c r="KDR241" s="15"/>
      <c r="KDS241" s="10"/>
      <c r="KDT241" s="10"/>
      <c r="KDU241" s="21"/>
      <c r="KDV241" s="21"/>
      <c r="KDY241" s="21"/>
      <c r="KDZ241" s="15"/>
      <c r="KEA241" s="15"/>
      <c r="KEB241" s="15"/>
      <c r="KEC241" s="15"/>
      <c r="KED241" s="15"/>
      <c r="KEE241" s="15"/>
      <c r="KEF241" s="15"/>
      <c r="KEG241" s="15"/>
      <c r="KEH241" s="15"/>
      <c r="KEI241" s="15"/>
      <c r="KEJ241" s="10"/>
      <c r="KEK241" s="10"/>
      <c r="KEL241" s="21"/>
      <c r="KEM241" s="21"/>
      <c r="KEP241" s="21"/>
      <c r="KEQ241" s="15"/>
      <c r="KER241" s="15"/>
      <c r="KES241" s="15"/>
      <c r="KET241" s="15"/>
      <c r="KEU241" s="15"/>
      <c r="KEV241" s="15"/>
      <c r="KEW241" s="15"/>
      <c r="KEX241" s="15"/>
      <c r="KEY241" s="15"/>
      <c r="KEZ241" s="15"/>
      <c r="KFA241" s="10"/>
      <c r="KFB241" s="10"/>
      <c r="KFC241" s="21"/>
      <c r="KFD241" s="21"/>
      <c r="KFG241" s="21"/>
      <c r="KFH241" s="15"/>
      <c r="KFI241" s="15"/>
      <c r="KFJ241" s="15"/>
      <c r="KFK241" s="15"/>
      <c r="KFL241" s="15"/>
      <c r="KFM241" s="15"/>
      <c r="KFN241" s="15"/>
      <c r="KFO241" s="15"/>
      <c r="KFP241" s="15"/>
      <c r="KFQ241" s="15"/>
      <c r="KFR241" s="10"/>
      <c r="KFS241" s="10"/>
      <c r="KFT241" s="21"/>
      <c r="KFU241" s="21"/>
      <c r="KFX241" s="21"/>
      <c r="KFY241" s="15"/>
      <c r="KFZ241" s="15"/>
      <c r="KGA241" s="15"/>
      <c r="KGB241" s="15"/>
      <c r="KGC241" s="15"/>
      <c r="KGD241" s="15"/>
      <c r="KGE241" s="15"/>
      <c r="KGF241" s="15"/>
      <c r="KGG241" s="15"/>
      <c r="KGH241" s="15"/>
      <c r="KGI241" s="10"/>
      <c r="KGJ241" s="10"/>
      <c r="KGK241" s="21"/>
      <c r="KGL241" s="21"/>
      <c r="KGO241" s="21"/>
      <c r="KGP241" s="15"/>
      <c r="KGQ241" s="15"/>
      <c r="KGR241" s="15"/>
      <c r="KGS241" s="15"/>
      <c r="KGT241" s="15"/>
      <c r="KGU241" s="15"/>
      <c r="KGV241" s="15"/>
      <c r="KGW241" s="15"/>
      <c r="KGX241" s="15"/>
      <c r="KGY241" s="15"/>
      <c r="KGZ241" s="10"/>
      <c r="KHA241" s="10"/>
      <c r="KHB241" s="21"/>
      <c r="KHC241" s="21"/>
      <c r="KHF241" s="21"/>
      <c r="KHG241" s="15"/>
      <c r="KHH241" s="15"/>
      <c r="KHI241" s="15"/>
      <c r="KHJ241" s="15"/>
      <c r="KHK241" s="15"/>
      <c r="KHL241" s="15"/>
      <c r="KHM241" s="15"/>
      <c r="KHN241" s="15"/>
      <c r="KHO241" s="15"/>
      <c r="KHP241" s="15"/>
      <c r="KHQ241" s="10"/>
      <c r="KHR241" s="10"/>
      <c r="KHS241" s="21"/>
      <c r="KHT241" s="21"/>
      <c r="KHW241" s="21"/>
      <c r="KHX241" s="15"/>
      <c r="KHY241" s="15"/>
      <c r="KHZ241" s="15"/>
      <c r="KIA241" s="15"/>
      <c r="KIB241" s="15"/>
      <c r="KIC241" s="15"/>
      <c r="KID241" s="15"/>
      <c r="KIE241" s="15"/>
      <c r="KIF241" s="15"/>
      <c r="KIG241" s="15"/>
      <c r="KIH241" s="10"/>
      <c r="KII241" s="10"/>
      <c r="KIJ241" s="21"/>
      <c r="KIK241" s="21"/>
      <c r="KIN241" s="21"/>
      <c r="KIO241" s="15"/>
      <c r="KIP241" s="15"/>
      <c r="KIQ241" s="15"/>
      <c r="KIR241" s="15"/>
      <c r="KIS241" s="15"/>
      <c r="KIT241" s="15"/>
      <c r="KIU241" s="15"/>
      <c r="KIV241" s="15"/>
      <c r="KIW241" s="15"/>
      <c r="KIX241" s="15"/>
      <c r="KIY241" s="10"/>
      <c r="KIZ241" s="10"/>
      <c r="KJA241" s="21"/>
      <c r="KJB241" s="21"/>
      <c r="KJE241" s="21"/>
      <c r="KJF241" s="15"/>
      <c r="KJG241" s="15"/>
      <c r="KJH241" s="15"/>
      <c r="KJI241" s="15"/>
      <c r="KJJ241" s="15"/>
      <c r="KJK241" s="15"/>
      <c r="KJL241" s="15"/>
      <c r="KJM241" s="15"/>
      <c r="KJN241" s="15"/>
      <c r="KJO241" s="15"/>
      <c r="KJP241" s="10"/>
      <c r="KJQ241" s="10"/>
      <c r="KJR241" s="21"/>
      <c r="KJS241" s="21"/>
      <c r="KJV241" s="21"/>
      <c r="KJW241" s="15"/>
      <c r="KJX241" s="15"/>
      <c r="KJY241" s="15"/>
      <c r="KJZ241" s="15"/>
      <c r="KKA241" s="15"/>
      <c r="KKB241" s="15"/>
      <c r="KKC241" s="15"/>
      <c r="KKD241" s="15"/>
      <c r="KKE241" s="15"/>
      <c r="KKF241" s="15"/>
      <c r="KKG241" s="10"/>
      <c r="KKH241" s="10"/>
      <c r="KKI241" s="21"/>
      <c r="KKJ241" s="21"/>
      <c r="KKM241" s="21"/>
      <c r="KKN241" s="15"/>
      <c r="KKO241" s="15"/>
      <c r="KKP241" s="15"/>
      <c r="KKQ241" s="15"/>
      <c r="KKR241" s="15"/>
      <c r="KKS241" s="15"/>
      <c r="KKT241" s="15"/>
      <c r="KKU241" s="15"/>
      <c r="KKV241" s="15"/>
      <c r="KKW241" s="15"/>
      <c r="KKX241" s="10"/>
      <c r="KKY241" s="10"/>
      <c r="KKZ241" s="21"/>
      <c r="KLA241" s="21"/>
      <c r="KLD241" s="21"/>
      <c r="KLE241" s="15"/>
      <c r="KLF241" s="15"/>
      <c r="KLG241" s="15"/>
      <c r="KLH241" s="15"/>
      <c r="KLI241" s="15"/>
      <c r="KLJ241" s="15"/>
      <c r="KLK241" s="15"/>
      <c r="KLL241" s="15"/>
      <c r="KLM241" s="15"/>
      <c r="KLN241" s="15"/>
      <c r="KLO241" s="10"/>
      <c r="KLP241" s="10"/>
      <c r="KLQ241" s="21"/>
      <c r="KLR241" s="21"/>
      <c r="KLU241" s="21"/>
      <c r="KLV241" s="15"/>
      <c r="KLW241" s="15"/>
      <c r="KLX241" s="15"/>
      <c r="KLY241" s="15"/>
      <c r="KLZ241" s="15"/>
      <c r="KMA241" s="15"/>
      <c r="KMB241" s="15"/>
      <c r="KMC241" s="15"/>
      <c r="KMD241" s="15"/>
      <c r="KME241" s="15"/>
      <c r="KMF241" s="10"/>
      <c r="KMG241" s="10"/>
      <c r="KMH241" s="21"/>
      <c r="KMI241" s="21"/>
      <c r="KML241" s="21"/>
      <c r="KMM241" s="15"/>
      <c r="KMN241" s="15"/>
      <c r="KMO241" s="15"/>
      <c r="KMP241" s="15"/>
      <c r="KMQ241" s="15"/>
      <c r="KMR241" s="15"/>
      <c r="KMS241" s="15"/>
      <c r="KMT241" s="15"/>
      <c r="KMU241" s="15"/>
      <c r="KMV241" s="15"/>
      <c r="KMW241" s="10"/>
      <c r="KMX241" s="10"/>
      <c r="KMY241" s="21"/>
      <c r="KMZ241" s="21"/>
      <c r="KNC241" s="21"/>
      <c r="KND241" s="15"/>
      <c r="KNE241" s="15"/>
      <c r="KNF241" s="15"/>
      <c r="KNG241" s="15"/>
      <c r="KNH241" s="15"/>
      <c r="KNI241" s="15"/>
      <c r="KNJ241" s="15"/>
      <c r="KNK241" s="15"/>
      <c r="KNL241" s="15"/>
      <c r="KNM241" s="15"/>
      <c r="KNN241" s="10"/>
      <c r="KNO241" s="10"/>
      <c r="KNP241" s="21"/>
      <c r="KNQ241" s="21"/>
      <c r="KNT241" s="21"/>
      <c r="KNU241" s="15"/>
      <c r="KNV241" s="15"/>
      <c r="KNW241" s="15"/>
      <c r="KNX241" s="15"/>
      <c r="KNY241" s="15"/>
      <c r="KNZ241" s="15"/>
      <c r="KOA241" s="15"/>
      <c r="KOB241" s="15"/>
      <c r="KOC241" s="15"/>
      <c r="KOD241" s="15"/>
      <c r="KOE241" s="10"/>
      <c r="KOF241" s="10"/>
      <c r="KOG241" s="21"/>
      <c r="KOH241" s="21"/>
      <c r="KOK241" s="21"/>
      <c r="KOL241" s="15"/>
      <c r="KOM241" s="15"/>
      <c r="KON241" s="15"/>
      <c r="KOO241" s="15"/>
      <c r="KOP241" s="15"/>
      <c r="KOQ241" s="15"/>
      <c r="KOR241" s="15"/>
      <c r="KOS241" s="15"/>
      <c r="KOT241" s="15"/>
      <c r="KOU241" s="15"/>
      <c r="KOV241" s="10"/>
      <c r="KOW241" s="10"/>
      <c r="KOX241" s="21"/>
      <c r="KOY241" s="21"/>
      <c r="KPB241" s="21"/>
      <c r="KPC241" s="15"/>
      <c r="KPD241" s="15"/>
      <c r="KPE241" s="15"/>
      <c r="KPF241" s="15"/>
      <c r="KPG241" s="15"/>
      <c r="KPH241" s="15"/>
      <c r="KPI241" s="15"/>
      <c r="KPJ241" s="15"/>
      <c r="KPK241" s="15"/>
      <c r="KPL241" s="15"/>
      <c r="KPM241" s="10"/>
      <c r="KPN241" s="10"/>
      <c r="KPO241" s="21"/>
      <c r="KPP241" s="21"/>
      <c r="KPS241" s="21"/>
      <c r="KPT241" s="15"/>
      <c r="KPU241" s="15"/>
      <c r="KPV241" s="15"/>
      <c r="KPW241" s="15"/>
      <c r="KPX241" s="15"/>
      <c r="KPY241" s="15"/>
      <c r="KPZ241" s="15"/>
      <c r="KQA241" s="15"/>
      <c r="KQB241" s="15"/>
      <c r="KQC241" s="15"/>
      <c r="KQD241" s="10"/>
      <c r="KQE241" s="10"/>
      <c r="KQF241" s="21"/>
      <c r="KQG241" s="21"/>
      <c r="KQJ241" s="21"/>
      <c r="KQK241" s="15"/>
      <c r="KQL241" s="15"/>
      <c r="KQM241" s="15"/>
      <c r="KQN241" s="15"/>
      <c r="KQO241" s="15"/>
      <c r="KQP241" s="15"/>
      <c r="KQQ241" s="15"/>
      <c r="KQR241" s="15"/>
      <c r="KQS241" s="15"/>
      <c r="KQT241" s="15"/>
      <c r="KQU241" s="10"/>
      <c r="KQV241" s="10"/>
      <c r="KQW241" s="21"/>
      <c r="KQX241" s="21"/>
      <c r="KRA241" s="21"/>
      <c r="KRB241" s="15"/>
      <c r="KRC241" s="15"/>
      <c r="KRD241" s="15"/>
      <c r="KRE241" s="15"/>
      <c r="KRF241" s="15"/>
      <c r="KRG241" s="15"/>
      <c r="KRH241" s="15"/>
      <c r="KRI241" s="15"/>
      <c r="KRJ241" s="15"/>
      <c r="KRK241" s="15"/>
      <c r="KRL241" s="10"/>
      <c r="KRM241" s="10"/>
      <c r="KRN241" s="21"/>
      <c r="KRO241" s="21"/>
      <c r="KRR241" s="21"/>
      <c r="KRS241" s="15"/>
      <c r="KRT241" s="15"/>
      <c r="KRU241" s="15"/>
      <c r="KRV241" s="15"/>
      <c r="KRW241" s="15"/>
      <c r="KRX241" s="15"/>
      <c r="KRY241" s="15"/>
      <c r="KRZ241" s="15"/>
      <c r="KSA241" s="15"/>
      <c r="KSB241" s="15"/>
      <c r="KSC241" s="10"/>
      <c r="KSD241" s="10"/>
      <c r="KSE241" s="21"/>
      <c r="KSF241" s="21"/>
      <c r="KSI241" s="21"/>
      <c r="KSJ241" s="15"/>
      <c r="KSK241" s="15"/>
      <c r="KSL241" s="15"/>
      <c r="KSM241" s="15"/>
      <c r="KSN241" s="15"/>
      <c r="KSO241" s="15"/>
      <c r="KSP241" s="15"/>
      <c r="KSQ241" s="15"/>
      <c r="KSR241" s="15"/>
      <c r="KSS241" s="15"/>
      <c r="KST241" s="10"/>
      <c r="KSU241" s="10"/>
      <c r="KSV241" s="21"/>
      <c r="KSW241" s="21"/>
      <c r="KSZ241" s="21"/>
      <c r="KTA241" s="15"/>
      <c r="KTB241" s="15"/>
      <c r="KTC241" s="15"/>
      <c r="KTD241" s="15"/>
      <c r="KTE241" s="15"/>
      <c r="KTF241" s="15"/>
      <c r="KTG241" s="15"/>
      <c r="KTH241" s="15"/>
      <c r="KTI241" s="15"/>
      <c r="KTJ241" s="15"/>
      <c r="KTK241" s="10"/>
      <c r="KTL241" s="10"/>
      <c r="KTM241" s="21"/>
      <c r="KTN241" s="21"/>
      <c r="KTQ241" s="21"/>
      <c r="KTR241" s="15"/>
      <c r="KTS241" s="15"/>
      <c r="KTT241" s="15"/>
      <c r="KTU241" s="15"/>
      <c r="KTV241" s="15"/>
      <c r="KTW241" s="15"/>
      <c r="KTX241" s="15"/>
      <c r="KTY241" s="15"/>
      <c r="KTZ241" s="15"/>
      <c r="KUA241" s="15"/>
      <c r="KUB241" s="10"/>
      <c r="KUC241" s="10"/>
      <c r="KUD241" s="21"/>
      <c r="KUE241" s="21"/>
      <c r="KUH241" s="21"/>
      <c r="KUI241" s="15"/>
      <c r="KUJ241" s="15"/>
      <c r="KUK241" s="15"/>
      <c r="KUL241" s="15"/>
      <c r="KUM241" s="15"/>
      <c r="KUN241" s="15"/>
      <c r="KUO241" s="15"/>
      <c r="KUP241" s="15"/>
      <c r="KUQ241" s="15"/>
      <c r="KUR241" s="15"/>
      <c r="KUS241" s="10"/>
      <c r="KUT241" s="10"/>
      <c r="KUU241" s="21"/>
      <c r="KUV241" s="21"/>
      <c r="KUY241" s="21"/>
      <c r="KUZ241" s="15"/>
      <c r="KVA241" s="15"/>
      <c r="KVB241" s="15"/>
      <c r="KVC241" s="15"/>
      <c r="KVD241" s="15"/>
      <c r="KVE241" s="15"/>
      <c r="KVF241" s="15"/>
      <c r="KVG241" s="15"/>
      <c r="KVH241" s="15"/>
      <c r="KVI241" s="15"/>
      <c r="KVJ241" s="10"/>
      <c r="KVK241" s="10"/>
      <c r="KVL241" s="21"/>
      <c r="KVM241" s="21"/>
      <c r="KVP241" s="21"/>
      <c r="KVQ241" s="15"/>
      <c r="KVR241" s="15"/>
      <c r="KVS241" s="15"/>
      <c r="KVT241" s="15"/>
      <c r="KVU241" s="15"/>
      <c r="KVV241" s="15"/>
      <c r="KVW241" s="15"/>
      <c r="KVX241" s="15"/>
      <c r="KVY241" s="15"/>
      <c r="KVZ241" s="15"/>
      <c r="KWA241" s="10"/>
      <c r="KWB241" s="10"/>
      <c r="KWC241" s="21"/>
      <c r="KWD241" s="21"/>
      <c r="KWG241" s="21"/>
      <c r="KWH241" s="15"/>
      <c r="KWI241" s="15"/>
      <c r="KWJ241" s="15"/>
      <c r="KWK241" s="15"/>
      <c r="KWL241" s="15"/>
      <c r="KWM241" s="15"/>
      <c r="KWN241" s="15"/>
      <c r="KWO241" s="15"/>
      <c r="KWP241" s="15"/>
      <c r="KWQ241" s="15"/>
      <c r="KWR241" s="10"/>
      <c r="KWS241" s="10"/>
      <c r="KWT241" s="21"/>
      <c r="KWU241" s="21"/>
      <c r="KWX241" s="21"/>
      <c r="KWY241" s="15"/>
      <c r="KWZ241" s="15"/>
      <c r="KXA241" s="15"/>
      <c r="KXB241" s="15"/>
      <c r="KXC241" s="15"/>
      <c r="KXD241" s="15"/>
      <c r="KXE241" s="15"/>
      <c r="KXF241" s="15"/>
      <c r="KXG241" s="15"/>
      <c r="KXH241" s="15"/>
      <c r="KXI241" s="10"/>
      <c r="KXJ241" s="10"/>
      <c r="KXK241" s="21"/>
      <c r="KXL241" s="21"/>
      <c r="KXO241" s="21"/>
      <c r="KXP241" s="15"/>
      <c r="KXQ241" s="15"/>
      <c r="KXR241" s="15"/>
      <c r="KXS241" s="15"/>
      <c r="KXT241" s="15"/>
      <c r="KXU241" s="15"/>
      <c r="KXV241" s="15"/>
      <c r="KXW241" s="15"/>
      <c r="KXX241" s="15"/>
      <c r="KXY241" s="15"/>
      <c r="KXZ241" s="10"/>
      <c r="KYA241" s="10"/>
      <c r="KYB241" s="21"/>
      <c r="KYC241" s="21"/>
      <c r="KYF241" s="21"/>
      <c r="KYG241" s="15"/>
      <c r="KYH241" s="15"/>
      <c r="KYI241" s="15"/>
      <c r="KYJ241" s="15"/>
      <c r="KYK241" s="15"/>
      <c r="KYL241" s="15"/>
      <c r="KYM241" s="15"/>
      <c r="KYN241" s="15"/>
      <c r="KYO241" s="15"/>
      <c r="KYP241" s="15"/>
      <c r="KYQ241" s="10"/>
      <c r="KYR241" s="10"/>
      <c r="KYS241" s="21"/>
      <c r="KYT241" s="21"/>
      <c r="KYW241" s="21"/>
      <c r="KYX241" s="15"/>
      <c r="KYY241" s="15"/>
      <c r="KYZ241" s="15"/>
      <c r="KZA241" s="15"/>
      <c r="KZB241" s="15"/>
      <c r="KZC241" s="15"/>
      <c r="KZD241" s="15"/>
      <c r="KZE241" s="15"/>
      <c r="KZF241" s="15"/>
      <c r="KZG241" s="15"/>
      <c r="KZH241" s="10"/>
      <c r="KZI241" s="10"/>
      <c r="KZJ241" s="21"/>
      <c r="KZK241" s="21"/>
      <c r="KZN241" s="21"/>
      <c r="KZO241" s="15"/>
      <c r="KZP241" s="15"/>
      <c r="KZQ241" s="15"/>
      <c r="KZR241" s="15"/>
      <c r="KZS241" s="15"/>
      <c r="KZT241" s="15"/>
      <c r="KZU241" s="15"/>
      <c r="KZV241" s="15"/>
      <c r="KZW241" s="15"/>
      <c r="KZX241" s="15"/>
      <c r="KZY241" s="10"/>
      <c r="KZZ241" s="10"/>
      <c r="LAA241" s="21"/>
      <c r="LAB241" s="21"/>
      <c r="LAE241" s="21"/>
      <c r="LAF241" s="15"/>
      <c r="LAG241" s="15"/>
      <c r="LAH241" s="15"/>
      <c r="LAI241" s="15"/>
      <c r="LAJ241" s="15"/>
      <c r="LAK241" s="15"/>
      <c r="LAL241" s="15"/>
      <c r="LAM241" s="15"/>
      <c r="LAN241" s="15"/>
      <c r="LAO241" s="15"/>
      <c r="LAP241" s="10"/>
      <c r="LAQ241" s="10"/>
      <c r="LAR241" s="21"/>
      <c r="LAS241" s="21"/>
      <c r="LAV241" s="21"/>
      <c r="LAW241" s="15"/>
      <c r="LAX241" s="15"/>
      <c r="LAY241" s="15"/>
      <c r="LAZ241" s="15"/>
      <c r="LBA241" s="15"/>
      <c r="LBB241" s="15"/>
      <c r="LBC241" s="15"/>
      <c r="LBD241" s="15"/>
      <c r="LBE241" s="15"/>
      <c r="LBF241" s="15"/>
      <c r="LBG241" s="10"/>
      <c r="LBH241" s="10"/>
      <c r="LBI241" s="21"/>
      <c r="LBJ241" s="21"/>
      <c r="LBM241" s="21"/>
      <c r="LBN241" s="15"/>
      <c r="LBO241" s="15"/>
      <c r="LBP241" s="15"/>
      <c r="LBQ241" s="15"/>
      <c r="LBR241" s="15"/>
      <c r="LBS241" s="15"/>
      <c r="LBT241" s="15"/>
      <c r="LBU241" s="15"/>
      <c r="LBV241" s="15"/>
      <c r="LBW241" s="15"/>
      <c r="LBX241" s="10"/>
      <c r="LBY241" s="10"/>
      <c r="LBZ241" s="21"/>
      <c r="LCA241" s="21"/>
      <c r="LCD241" s="21"/>
      <c r="LCE241" s="15"/>
      <c r="LCF241" s="15"/>
      <c r="LCG241" s="15"/>
      <c r="LCH241" s="15"/>
      <c r="LCI241" s="15"/>
      <c r="LCJ241" s="15"/>
      <c r="LCK241" s="15"/>
      <c r="LCL241" s="15"/>
      <c r="LCM241" s="15"/>
      <c r="LCN241" s="15"/>
      <c r="LCO241" s="10"/>
      <c r="LCP241" s="10"/>
      <c r="LCQ241" s="21"/>
      <c r="LCR241" s="21"/>
      <c r="LCU241" s="21"/>
      <c r="LCV241" s="15"/>
      <c r="LCW241" s="15"/>
      <c r="LCX241" s="15"/>
      <c r="LCY241" s="15"/>
      <c r="LCZ241" s="15"/>
      <c r="LDA241" s="15"/>
      <c r="LDB241" s="15"/>
      <c r="LDC241" s="15"/>
      <c r="LDD241" s="15"/>
      <c r="LDE241" s="15"/>
      <c r="LDF241" s="10"/>
      <c r="LDG241" s="10"/>
      <c r="LDH241" s="21"/>
      <c r="LDI241" s="21"/>
      <c r="LDL241" s="21"/>
      <c r="LDM241" s="15"/>
      <c r="LDN241" s="15"/>
      <c r="LDO241" s="15"/>
      <c r="LDP241" s="15"/>
      <c r="LDQ241" s="15"/>
      <c r="LDR241" s="15"/>
      <c r="LDS241" s="15"/>
      <c r="LDT241" s="15"/>
      <c r="LDU241" s="15"/>
      <c r="LDV241" s="15"/>
      <c r="LDW241" s="10"/>
      <c r="LDX241" s="10"/>
      <c r="LDY241" s="21"/>
      <c r="LDZ241" s="21"/>
      <c r="LEC241" s="21"/>
      <c r="LED241" s="15"/>
      <c r="LEE241" s="15"/>
      <c r="LEF241" s="15"/>
      <c r="LEG241" s="15"/>
      <c r="LEH241" s="15"/>
      <c r="LEI241" s="15"/>
      <c r="LEJ241" s="15"/>
      <c r="LEK241" s="15"/>
      <c r="LEL241" s="15"/>
      <c r="LEM241" s="15"/>
      <c r="LEN241" s="10"/>
      <c r="LEO241" s="10"/>
      <c r="LEP241" s="21"/>
      <c r="LEQ241" s="21"/>
      <c r="LET241" s="21"/>
      <c r="LEU241" s="15"/>
      <c r="LEV241" s="15"/>
      <c r="LEW241" s="15"/>
      <c r="LEX241" s="15"/>
      <c r="LEY241" s="15"/>
      <c r="LEZ241" s="15"/>
      <c r="LFA241" s="15"/>
      <c r="LFB241" s="15"/>
      <c r="LFC241" s="15"/>
      <c r="LFD241" s="15"/>
      <c r="LFE241" s="10"/>
      <c r="LFF241" s="10"/>
      <c r="LFG241" s="21"/>
      <c r="LFH241" s="21"/>
      <c r="LFK241" s="21"/>
      <c r="LFL241" s="15"/>
      <c r="LFM241" s="15"/>
      <c r="LFN241" s="15"/>
      <c r="LFO241" s="15"/>
      <c r="LFP241" s="15"/>
      <c r="LFQ241" s="15"/>
      <c r="LFR241" s="15"/>
      <c r="LFS241" s="15"/>
      <c r="LFT241" s="15"/>
      <c r="LFU241" s="15"/>
      <c r="LFV241" s="10"/>
      <c r="LFW241" s="10"/>
      <c r="LFX241" s="21"/>
      <c r="LFY241" s="21"/>
      <c r="LGB241" s="21"/>
      <c r="LGC241" s="15"/>
      <c r="LGD241" s="15"/>
      <c r="LGE241" s="15"/>
      <c r="LGF241" s="15"/>
      <c r="LGG241" s="15"/>
      <c r="LGH241" s="15"/>
      <c r="LGI241" s="15"/>
      <c r="LGJ241" s="15"/>
      <c r="LGK241" s="15"/>
      <c r="LGL241" s="15"/>
      <c r="LGM241" s="10"/>
      <c r="LGN241" s="10"/>
      <c r="LGO241" s="21"/>
      <c r="LGP241" s="21"/>
      <c r="LGS241" s="21"/>
      <c r="LGT241" s="15"/>
      <c r="LGU241" s="15"/>
      <c r="LGV241" s="15"/>
      <c r="LGW241" s="15"/>
      <c r="LGX241" s="15"/>
      <c r="LGY241" s="15"/>
      <c r="LGZ241" s="15"/>
      <c r="LHA241" s="15"/>
      <c r="LHB241" s="15"/>
      <c r="LHC241" s="15"/>
      <c r="LHD241" s="10"/>
      <c r="LHE241" s="10"/>
      <c r="LHF241" s="21"/>
      <c r="LHG241" s="21"/>
      <c r="LHJ241" s="21"/>
      <c r="LHK241" s="15"/>
      <c r="LHL241" s="15"/>
      <c r="LHM241" s="15"/>
      <c r="LHN241" s="15"/>
      <c r="LHO241" s="15"/>
      <c r="LHP241" s="15"/>
      <c r="LHQ241" s="15"/>
      <c r="LHR241" s="15"/>
      <c r="LHS241" s="15"/>
      <c r="LHT241" s="15"/>
      <c r="LHU241" s="10"/>
      <c r="LHV241" s="10"/>
      <c r="LHW241" s="21"/>
      <c r="LHX241" s="21"/>
      <c r="LIA241" s="21"/>
      <c r="LIB241" s="15"/>
      <c r="LIC241" s="15"/>
      <c r="LID241" s="15"/>
      <c r="LIE241" s="15"/>
      <c r="LIF241" s="15"/>
      <c r="LIG241" s="15"/>
      <c r="LIH241" s="15"/>
      <c r="LII241" s="15"/>
      <c r="LIJ241" s="15"/>
      <c r="LIK241" s="15"/>
      <c r="LIL241" s="10"/>
      <c r="LIM241" s="10"/>
      <c r="LIN241" s="21"/>
      <c r="LIO241" s="21"/>
      <c r="LIR241" s="21"/>
      <c r="LIS241" s="15"/>
      <c r="LIT241" s="15"/>
      <c r="LIU241" s="15"/>
      <c r="LIV241" s="15"/>
      <c r="LIW241" s="15"/>
      <c r="LIX241" s="15"/>
      <c r="LIY241" s="15"/>
      <c r="LIZ241" s="15"/>
      <c r="LJA241" s="15"/>
      <c r="LJB241" s="15"/>
      <c r="LJC241" s="10"/>
      <c r="LJD241" s="10"/>
      <c r="LJE241" s="21"/>
      <c r="LJF241" s="21"/>
      <c r="LJI241" s="21"/>
      <c r="LJJ241" s="15"/>
      <c r="LJK241" s="15"/>
      <c r="LJL241" s="15"/>
      <c r="LJM241" s="15"/>
      <c r="LJN241" s="15"/>
      <c r="LJO241" s="15"/>
      <c r="LJP241" s="15"/>
      <c r="LJQ241" s="15"/>
      <c r="LJR241" s="15"/>
      <c r="LJS241" s="15"/>
      <c r="LJT241" s="10"/>
      <c r="LJU241" s="10"/>
      <c r="LJV241" s="21"/>
      <c r="LJW241" s="21"/>
      <c r="LJZ241" s="21"/>
      <c r="LKA241" s="15"/>
      <c r="LKB241" s="15"/>
      <c r="LKC241" s="15"/>
      <c r="LKD241" s="15"/>
      <c r="LKE241" s="15"/>
      <c r="LKF241" s="15"/>
      <c r="LKG241" s="15"/>
      <c r="LKH241" s="15"/>
      <c r="LKI241" s="15"/>
      <c r="LKJ241" s="15"/>
      <c r="LKK241" s="10"/>
      <c r="LKL241" s="10"/>
      <c r="LKM241" s="21"/>
      <c r="LKN241" s="21"/>
      <c r="LKQ241" s="21"/>
      <c r="LKR241" s="15"/>
      <c r="LKS241" s="15"/>
      <c r="LKT241" s="15"/>
      <c r="LKU241" s="15"/>
      <c r="LKV241" s="15"/>
      <c r="LKW241" s="15"/>
      <c r="LKX241" s="15"/>
      <c r="LKY241" s="15"/>
      <c r="LKZ241" s="15"/>
      <c r="LLA241" s="15"/>
      <c r="LLB241" s="10"/>
      <c r="LLC241" s="10"/>
      <c r="LLD241" s="21"/>
      <c r="LLE241" s="21"/>
      <c r="LLH241" s="21"/>
      <c r="LLI241" s="15"/>
      <c r="LLJ241" s="15"/>
      <c r="LLK241" s="15"/>
      <c r="LLL241" s="15"/>
      <c r="LLM241" s="15"/>
      <c r="LLN241" s="15"/>
      <c r="LLO241" s="15"/>
      <c r="LLP241" s="15"/>
      <c r="LLQ241" s="15"/>
      <c r="LLR241" s="15"/>
      <c r="LLS241" s="10"/>
      <c r="LLT241" s="10"/>
      <c r="LLU241" s="21"/>
      <c r="LLV241" s="21"/>
      <c r="LLY241" s="21"/>
      <c r="LLZ241" s="15"/>
      <c r="LMA241" s="15"/>
      <c r="LMB241" s="15"/>
      <c r="LMC241" s="15"/>
      <c r="LMD241" s="15"/>
      <c r="LME241" s="15"/>
      <c r="LMF241" s="15"/>
      <c r="LMG241" s="15"/>
      <c r="LMH241" s="15"/>
      <c r="LMI241" s="15"/>
      <c r="LMJ241" s="10"/>
      <c r="LMK241" s="10"/>
      <c r="LML241" s="21"/>
      <c r="LMM241" s="21"/>
      <c r="LMP241" s="21"/>
      <c r="LMQ241" s="15"/>
      <c r="LMR241" s="15"/>
      <c r="LMS241" s="15"/>
      <c r="LMT241" s="15"/>
      <c r="LMU241" s="15"/>
      <c r="LMV241" s="15"/>
      <c r="LMW241" s="15"/>
      <c r="LMX241" s="15"/>
      <c r="LMY241" s="15"/>
      <c r="LMZ241" s="15"/>
      <c r="LNA241" s="10"/>
      <c r="LNB241" s="10"/>
      <c r="LNC241" s="21"/>
      <c r="LND241" s="21"/>
      <c r="LNG241" s="21"/>
      <c r="LNH241" s="15"/>
      <c r="LNI241" s="15"/>
      <c r="LNJ241" s="15"/>
      <c r="LNK241" s="15"/>
      <c r="LNL241" s="15"/>
      <c r="LNM241" s="15"/>
      <c r="LNN241" s="15"/>
      <c r="LNO241" s="15"/>
      <c r="LNP241" s="15"/>
      <c r="LNQ241" s="15"/>
      <c r="LNR241" s="10"/>
      <c r="LNS241" s="10"/>
      <c r="LNT241" s="21"/>
      <c r="LNU241" s="21"/>
      <c r="LNX241" s="21"/>
      <c r="LNY241" s="15"/>
      <c r="LNZ241" s="15"/>
      <c r="LOA241" s="15"/>
      <c r="LOB241" s="15"/>
      <c r="LOC241" s="15"/>
      <c r="LOD241" s="15"/>
      <c r="LOE241" s="15"/>
      <c r="LOF241" s="15"/>
      <c r="LOG241" s="15"/>
      <c r="LOH241" s="15"/>
      <c r="LOI241" s="10"/>
      <c r="LOJ241" s="10"/>
      <c r="LOK241" s="21"/>
      <c r="LOL241" s="21"/>
      <c r="LOO241" s="21"/>
      <c r="LOP241" s="15"/>
      <c r="LOQ241" s="15"/>
      <c r="LOR241" s="15"/>
      <c r="LOS241" s="15"/>
      <c r="LOT241" s="15"/>
      <c r="LOU241" s="15"/>
      <c r="LOV241" s="15"/>
      <c r="LOW241" s="15"/>
      <c r="LOX241" s="15"/>
      <c r="LOY241" s="15"/>
      <c r="LOZ241" s="10"/>
      <c r="LPA241" s="10"/>
      <c r="LPB241" s="21"/>
      <c r="LPC241" s="21"/>
      <c r="LPF241" s="21"/>
      <c r="LPG241" s="15"/>
      <c r="LPH241" s="15"/>
      <c r="LPI241" s="15"/>
      <c r="LPJ241" s="15"/>
      <c r="LPK241" s="15"/>
      <c r="LPL241" s="15"/>
      <c r="LPM241" s="15"/>
      <c r="LPN241" s="15"/>
      <c r="LPO241" s="15"/>
      <c r="LPP241" s="15"/>
      <c r="LPQ241" s="10"/>
      <c r="LPR241" s="10"/>
      <c r="LPS241" s="21"/>
      <c r="LPT241" s="21"/>
      <c r="LPW241" s="21"/>
      <c r="LPX241" s="15"/>
      <c r="LPY241" s="15"/>
      <c r="LPZ241" s="15"/>
      <c r="LQA241" s="15"/>
      <c r="LQB241" s="15"/>
      <c r="LQC241" s="15"/>
      <c r="LQD241" s="15"/>
      <c r="LQE241" s="15"/>
      <c r="LQF241" s="15"/>
      <c r="LQG241" s="15"/>
      <c r="LQH241" s="10"/>
      <c r="LQI241" s="10"/>
      <c r="LQJ241" s="21"/>
      <c r="LQK241" s="21"/>
      <c r="LQN241" s="21"/>
      <c r="LQO241" s="15"/>
      <c r="LQP241" s="15"/>
      <c r="LQQ241" s="15"/>
      <c r="LQR241" s="15"/>
      <c r="LQS241" s="15"/>
      <c r="LQT241" s="15"/>
      <c r="LQU241" s="15"/>
      <c r="LQV241" s="15"/>
      <c r="LQW241" s="15"/>
      <c r="LQX241" s="15"/>
      <c r="LQY241" s="10"/>
      <c r="LQZ241" s="10"/>
      <c r="LRA241" s="21"/>
      <c r="LRB241" s="21"/>
      <c r="LRE241" s="21"/>
      <c r="LRF241" s="15"/>
      <c r="LRG241" s="15"/>
      <c r="LRH241" s="15"/>
      <c r="LRI241" s="15"/>
      <c r="LRJ241" s="15"/>
      <c r="LRK241" s="15"/>
      <c r="LRL241" s="15"/>
      <c r="LRM241" s="15"/>
      <c r="LRN241" s="15"/>
      <c r="LRO241" s="15"/>
      <c r="LRP241" s="10"/>
      <c r="LRQ241" s="10"/>
      <c r="LRR241" s="21"/>
      <c r="LRS241" s="21"/>
      <c r="LRV241" s="21"/>
      <c r="LRW241" s="15"/>
      <c r="LRX241" s="15"/>
      <c r="LRY241" s="15"/>
      <c r="LRZ241" s="15"/>
      <c r="LSA241" s="15"/>
      <c r="LSB241" s="15"/>
      <c r="LSC241" s="15"/>
      <c r="LSD241" s="15"/>
      <c r="LSE241" s="15"/>
      <c r="LSF241" s="15"/>
      <c r="LSG241" s="10"/>
      <c r="LSH241" s="10"/>
      <c r="LSI241" s="21"/>
      <c r="LSJ241" s="21"/>
      <c r="LSM241" s="21"/>
      <c r="LSN241" s="15"/>
      <c r="LSO241" s="15"/>
      <c r="LSP241" s="15"/>
      <c r="LSQ241" s="15"/>
      <c r="LSR241" s="15"/>
      <c r="LSS241" s="15"/>
      <c r="LST241" s="15"/>
      <c r="LSU241" s="15"/>
      <c r="LSV241" s="15"/>
      <c r="LSW241" s="15"/>
      <c r="LSX241" s="10"/>
      <c r="LSY241" s="10"/>
      <c r="LSZ241" s="21"/>
      <c r="LTA241" s="21"/>
      <c r="LTD241" s="21"/>
      <c r="LTE241" s="15"/>
      <c r="LTF241" s="15"/>
      <c r="LTG241" s="15"/>
      <c r="LTH241" s="15"/>
      <c r="LTI241" s="15"/>
      <c r="LTJ241" s="15"/>
      <c r="LTK241" s="15"/>
      <c r="LTL241" s="15"/>
      <c r="LTM241" s="15"/>
      <c r="LTN241" s="15"/>
      <c r="LTO241" s="10"/>
      <c r="LTP241" s="10"/>
      <c r="LTQ241" s="21"/>
      <c r="LTR241" s="21"/>
      <c r="LTU241" s="21"/>
      <c r="LTV241" s="15"/>
      <c r="LTW241" s="15"/>
      <c r="LTX241" s="15"/>
      <c r="LTY241" s="15"/>
      <c r="LTZ241" s="15"/>
      <c r="LUA241" s="15"/>
      <c r="LUB241" s="15"/>
      <c r="LUC241" s="15"/>
      <c r="LUD241" s="15"/>
      <c r="LUE241" s="15"/>
      <c r="LUF241" s="10"/>
      <c r="LUG241" s="10"/>
      <c r="LUH241" s="21"/>
      <c r="LUI241" s="21"/>
      <c r="LUL241" s="21"/>
      <c r="LUM241" s="15"/>
      <c r="LUN241" s="15"/>
      <c r="LUO241" s="15"/>
      <c r="LUP241" s="15"/>
      <c r="LUQ241" s="15"/>
      <c r="LUR241" s="15"/>
      <c r="LUS241" s="15"/>
      <c r="LUT241" s="15"/>
      <c r="LUU241" s="15"/>
      <c r="LUV241" s="15"/>
      <c r="LUW241" s="10"/>
      <c r="LUX241" s="10"/>
      <c r="LUY241" s="21"/>
      <c r="LUZ241" s="21"/>
      <c r="LVC241" s="21"/>
      <c r="LVD241" s="15"/>
      <c r="LVE241" s="15"/>
      <c r="LVF241" s="15"/>
      <c r="LVG241" s="15"/>
      <c r="LVH241" s="15"/>
      <c r="LVI241" s="15"/>
      <c r="LVJ241" s="15"/>
      <c r="LVK241" s="15"/>
      <c r="LVL241" s="15"/>
      <c r="LVM241" s="15"/>
      <c r="LVN241" s="10"/>
      <c r="LVO241" s="10"/>
      <c r="LVP241" s="21"/>
      <c r="LVQ241" s="21"/>
      <c r="LVT241" s="21"/>
      <c r="LVU241" s="15"/>
      <c r="LVV241" s="15"/>
      <c r="LVW241" s="15"/>
      <c r="LVX241" s="15"/>
      <c r="LVY241" s="15"/>
      <c r="LVZ241" s="15"/>
      <c r="LWA241" s="15"/>
      <c r="LWB241" s="15"/>
      <c r="LWC241" s="15"/>
      <c r="LWD241" s="15"/>
      <c r="LWE241" s="10"/>
      <c r="LWF241" s="10"/>
      <c r="LWG241" s="21"/>
      <c r="LWH241" s="21"/>
      <c r="LWK241" s="21"/>
      <c r="LWL241" s="15"/>
      <c r="LWM241" s="15"/>
      <c r="LWN241" s="15"/>
      <c r="LWO241" s="15"/>
      <c r="LWP241" s="15"/>
      <c r="LWQ241" s="15"/>
      <c r="LWR241" s="15"/>
      <c r="LWS241" s="15"/>
      <c r="LWT241" s="15"/>
      <c r="LWU241" s="15"/>
      <c r="LWV241" s="10"/>
      <c r="LWW241" s="10"/>
      <c r="LWX241" s="21"/>
      <c r="LWY241" s="21"/>
      <c r="LXB241" s="21"/>
      <c r="LXC241" s="15"/>
      <c r="LXD241" s="15"/>
      <c r="LXE241" s="15"/>
      <c r="LXF241" s="15"/>
      <c r="LXG241" s="15"/>
      <c r="LXH241" s="15"/>
      <c r="LXI241" s="15"/>
      <c r="LXJ241" s="15"/>
      <c r="LXK241" s="15"/>
      <c r="LXL241" s="15"/>
      <c r="LXM241" s="10"/>
      <c r="LXN241" s="10"/>
      <c r="LXO241" s="21"/>
      <c r="LXP241" s="21"/>
      <c r="LXS241" s="21"/>
      <c r="LXT241" s="15"/>
      <c r="LXU241" s="15"/>
      <c r="LXV241" s="15"/>
      <c r="LXW241" s="15"/>
      <c r="LXX241" s="15"/>
      <c r="LXY241" s="15"/>
      <c r="LXZ241" s="15"/>
      <c r="LYA241" s="15"/>
      <c r="LYB241" s="15"/>
      <c r="LYC241" s="15"/>
      <c r="LYD241" s="10"/>
      <c r="LYE241" s="10"/>
      <c r="LYF241" s="21"/>
      <c r="LYG241" s="21"/>
      <c r="LYJ241" s="21"/>
      <c r="LYK241" s="15"/>
      <c r="LYL241" s="15"/>
      <c r="LYM241" s="15"/>
      <c r="LYN241" s="15"/>
      <c r="LYO241" s="15"/>
      <c r="LYP241" s="15"/>
      <c r="LYQ241" s="15"/>
      <c r="LYR241" s="15"/>
      <c r="LYS241" s="15"/>
      <c r="LYT241" s="15"/>
      <c r="LYU241" s="10"/>
      <c r="LYV241" s="10"/>
      <c r="LYW241" s="21"/>
      <c r="LYX241" s="21"/>
      <c r="LZA241" s="21"/>
      <c r="LZB241" s="15"/>
      <c r="LZC241" s="15"/>
      <c r="LZD241" s="15"/>
      <c r="LZE241" s="15"/>
      <c r="LZF241" s="15"/>
      <c r="LZG241" s="15"/>
      <c r="LZH241" s="15"/>
      <c r="LZI241" s="15"/>
      <c r="LZJ241" s="15"/>
      <c r="LZK241" s="15"/>
      <c r="LZL241" s="10"/>
      <c r="LZM241" s="10"/>
      <c r="LZN241" s="21"/>
      <c r="LZO241" s="21"/>
      <c r="LZR241" s="21"/>
      <c r="LZS241" s="15"/>
      <c r="LZT241" s="15"/>
      <c r="LZU241" s="15"/>
      <c r="LZV241" s="15"/>
      <c r="LZW241" s="15"/>
      <c r="LZX241" s="15"/>
      <c r="LZY241" s="15"/>
      <c r="LZZ241" s="15"/>
      <c r="MAA241" s="15"/>
      <c r="MAB241" s="15"/>
      <c r="MAC241" s="10"/>
      <c r="MAD241" s="10"/>
      <c r="MAE241" s="21"/>
      <c r="MAF241" s="21"/>
      <c r="MAI241" s="21"/>
      <c r="MAJ241" s="15"/>
      <c r="MAK241" s="15"/>
      <c r="MAL241" s="15"/>
      <c r="MAM241" s="15"/>
      <c r="MAN241" s="15"/>
      <c r="MAO241" s="15"/>
      <c r="MAP241" s="15"/>
      <c r="MAQ241" s="15"/>
      <c r="MAR241" s="15"/>
      <c r="MAS241" s="15"/>
      <c r="MAT241" s="10"/>
      <c r="MAU241" s="10"/>
      <c r="MAV241" s="21"/>
      <c r="MAW241" s="21"/>
      <c r="MAZ241" s="21"/>
      <c r="MBA241" s="15"/>
      <c r="MBB241" s="15"/>
      <c r="MBC241" s="15"/>
      <c r="MBD241" s="15"/>
      <c r="MBE241" s="15"/>
      <c r="MBF241" s="15"/>
      <c r="MBG241" s="15"/>
      <c r="MBH241" s="15"/>
      <c r="MBI241" s="15"/>
      <c r="MBJ241" s="15"/>
      <c r="MBK241" s="10"/>
      <c r="MBL241" s="10"/>
      <c r="MBM241" s="21"/>
      <c r="MBN241" s="21"/>
      <c r="MBQ241" s="21"/>
      <c r="MBR241" s="15"/>
      <c r="MBS241" s="15"/>
      <c r="MBT241" s="15"/>
      <c r="MBU241" s="15"/>
      <c r="MBV241" s="15"/>
      <c r="MBW241" s="15"/>
      <c r="MBX241" s="15"/>
      <c r="MBY241" s="15"/>
      <c r="MBZ241" s="15"/>
      <c r="MCA241" s="15"/>
      <c r="MCB241" s="10"/>
      <c r="MCC241" s="10"/>
      <c r="MCD241" s="21"/>
      <c r="MCE241" s="21"/>
      <c r="MCH241" s="21"/>
      <c r="MCI241" s="15"/>
      <c r="MCJ241" s="15"/>
      <c r="MCK241" s="15"/>
      <c r="MCL241" s="15"/>
      <c r="MCM241" s="15"/>
      <c r="MCN241" s="15"/>
      <c r="MCO241" s="15"/>
      <c r="MCP241" s="15"/>
      <c r="MCQ241" s="15"/>
      <c r="MCR241" s="15"/>
      <c r="MCS241" s="10"/>
      <c r="MCT241" s="10"/>
      <c r="MCU241" s="21"/>
      <c r="MCV241" s="21"/>
      <c r="MCY241" s="21"/>
      <c r="MCZ241" s="15"/>
      <c r="MDA241" s="15"/>
      <c r="MDB241" s="15"/>
      <c r="MDC241" s="15"/>
      <c r="MDD241" s="15"/>
      <c r="MDE241" s="15"/>
      <c r="MDF241" s="15"/>
      <c r="MDG241" s="15"/>
      <c r="MDH241" s="15"/>
      <c r="MDI241" s="15"/>
      <c r="MDJ241" s="10"/>
      <c r="MDK241" s="10"/>
      <c r="MDL241" s="21"/>
      <c r="MDM241" s="21"/>
      <c r="MDP241" s="21"/>
      <c r="MDQ241" s="15"/>
      <c r="MDR241" s="15"/>
      <c r="MDS241" s="15"/>
      <c r="MDT241" s="15"/>
      <c r="MDU241" s="15"/>
      <c r="MDV241" s="15"/>
      <c r="MDW241" s="15"/>
      <c r="MDX241" s="15"/>
      <c r="MDY241" s="15"/>
      <c r="MDZ241" s="15"/>
      <c r="MEA241" s="10"/>
      <c r="MEB241" s="10"/>
      <c r="MEC241" s="21"/>
      <c r="MED241" s="21"/>
      <c r="MEG241" s="21"/>
      <c r="MEH241" s="15"/>
      <c r="MEI241" s="15"/>
      <c r="MEJ241" s="15"/>
      <c r="MEK241" s="15"/>
      <c r="MEL241" s="15"/>
      <c r="MEM241" s="15"/>
      <c r="MEN241" s="15"/>
      <c r="MEO241" s="15"/>
      <c r="MEP241" s="15"/>
      <c r="MEQ241" s="15"/>
      <c r="MER241" s="10"/>
      <c r="MES241" s="10"/>
      <c r="MET241" s="21"/>
      <c r="MEU241" s="21"/>
      <c r="MEX241" s="21"/>
      <c r="MEY241" s="15"/>
      <c r="MEZ241" s="15"/>
      <c r="MFA241" s="15"/>
      <c r="MFB241" s="15"/>
      <c r="MFC241" s="15"/>
      <c r="MFD241" s="15"/>
      <c r="MFE241" s="15"/>
      <c r="MFF241" s="15"/>
      <c r="MFG241" s="15"/>
      <c r="MFH241" s="15"/>
      <c r="MFI241" s="10"/>
      <c r="MFJ241" s="10"/>
      <c r="MFK241" s="21"/>
      <c r="MFL241" s="21"/>
      <c r="MFO241" s="21"/>
      <c r="MFP241" s="15"/>
      <c r="MFQ241" s="15"/>
      <c r="MFR241" s="15"/>
      <c r="MFS241" s="15"/>
      <c r="MFT241" s="15"/>
      <c r="MFU241" s="15"/>
      <c r="MFV241" s="15"/>
      <c r="MFW241" s="15"/>
      <c r="MFX241" s="15"/>
      <c r="MFY241" s="15"/>
      <c r="MFZ241" s="10"/>
      <c r="MGA241" s="10"/>
      <c r="MGB241" s="21"/>
      <c r="MGC241" s="21"/>
      <c r="MGF241" s="21"/>
      <c r="MGG241" s="15"/>
      <c r="MGH241" s="15"/>
      <c r="MGI241" s="15"/>
      <c r="MGJ241" s="15"/>
      <c r="MGK241" s="15"/>
      <c r="MGL241" s="15"/>
      <c r="MGM241" s="15"/>
      <c r="MGN241" s="15"/>
      <c r="MGO241" s="15"/>
      <c r="MGP241" s="15"/>
      <c r="MGQ241" s="10"/>
      <c r="MGR241" s="10"/>
      <c r="MGS241" s="21"/>
      <c r="MGT241" s="21"/>
      <c r="MGW241" s="21"/>
      <c r="MGX241" s="15"/>
      <c r="MGY241" s="15"/>
      <c r="MGZ241" s="15"/>
      <c r="MHA241" s="15"/>
      <c r="MHB241" s="15"/>
      <c r="MHC241" s="15"/>
      <c r="MHD241" s="15"/>
      <c r="MHE241" s="15"/>
      <c r="MHF241" s="15"/>
      <c r="MHG241" s="15"/>
      <c r="MHH241" s="10"/>
      <c r="MHI241" s="10"/>
      <c r="MHJ241" s="21"/>
      <c r="MHK241" s="21"/>
      <c r="MHN241" s="21"/>
      <c r="MHO241" s="15"/>
      <c r="MHP241" s="15"/>
      <c r="MHQ241" s="15"/>
      <c r="MHR241" s="15"/>
      <c r="MHS241" s="15"/>
      <c r="MHT241" s="15"/>
      <c r="MHU241" s="15"/>
      <c r="MHV241" s="15"/>
      <c r="MHW241" s="15"/>
      <c r="MHX241" s="15"/>
      <c r="MHY241" s="10"/>
      <c r="MHZ241" s="10"/>
      <c r="MIA241" s="21"/>
      <c r="MIB241" s="21"/>
      <c r="MIE241" s="21"/>
      <c r="MIF241" s="15"/>
      <c r="MIG241" s="15"/>
      <c r="MIH241" s="15"/>
      <c r="MII241" s="15"/>
      <c r="MIJ241" s="15"/>
      <c r="MIK241" s="15"/>
      <c r="MIL241" s="15"/>
      <c r="MIM241" s="15"/>
      <c r="MIN241" s="15"/>
      <c r="MIO241" s="15"/>
      <c r="MIP241" s="10"/>
      <c r="MIQ241" s="10"/>
      <c r="MIR241" s="21"/>
      <c r="MIS241" s="21"/>
      <c r="MIV241" s="21"/>
      <c r="MIW241" s="15"/>
      <c r="MIX241" s="15"/>
      <c r="MIY241" s="15"/>
      <c r="MIZ241" s="15"/>
      <c r="MJA241" s="15"/>
      <c r="MJB241" s="15"/>
      <c r="MJC241" s="15"/>
      <c r="MJD241" s="15"/>
      <c r="MJE241" s="15"/>
      <c r="MJF241" s="15"/>
      <c r="MJG241" s="10"/>
      <c r="MJH241" s="10"/>
      <c r="MJI241" s="21"/>
      <c r="MJJ241" s="21"/>
      <c r="MJM241" s="21"/>
      <c r="MJN241" s="15"/>
      <c r="MJO241" s="15"/>
      <c r="MJP241" s="15"/>
      <c r="MJQ241" s="15"/>
      <c r="MJR241" s="15"/>
      <c r="MJS241" s="15"/>
      <c r="MJT241" s="15"/>
      <c r="MJU241" s="15"/>
      <c r="MJV241" s="15"/>
      <c r="MJW241" s="15"/>
      <c r="MJX241" s="10"/>
      <c r="MJY241" s="10"/>
      <c r="MJZ241" s="21"/>
      <c r="MKA241" s="21"/>
      <c r="MKD241" s="21"/>
      <c r="MKE241" s="15"/>
      <c r="MKF241" s="15"/>
      <c r="MKG241" s="15"/>
      <c r="MKH241" s="15"/>
      <c r="MKI241" s="15"/>
      <c r="MKJ241" s="15"/>
      <c r="MKK241" s="15"/>
      <c r="MKL241" s="15"/>
      <c r="MKM241" s="15"/>
      <c r="MKN241" s="15"/>
      <c r="MKO241" s="10"/>
      <c r="MKP241" s="10"/>
      <c r="MKQ241" s="21"/>
      <c r="MKR241" s="21"/>
      <c r="MKU241" s="21"/>
      <c r="MKV241" s="15"/>
      <c r="MKW241" s="15"/>
      <c r="MKX241" s="15"/>
      <c r="MKY241" s="15"/>
      <c r="MKZ241" s="15"/>
      <c r="MLA241" s="15"/>
      <c r="MLB241" s="15"/>
      <c r="MLC241" s="15"/>
      <c r="MLD241" s="15"/>
      <c r="MLE241" s="15"/>
      <c r="MLF241" s="10"/>
      <c r="MLG241" s="10"/>
      <c r="MLH241" s="21"/>
      <c r="MLI241" s="21"/>
      <c r="MLL241" s="21"/>
      <c r="MLM241" s="15"/>
      <c r="MLN241" s="15"/>
      <c r="MLO241" s="15"/>
      <c r="MLP241" s="15"/>
      <c r="MLQ241" s="15"/>
      <c r="MLR241" s="15"/>
      <c r="MLS241" s="15"/>
      <c r="MLT241" s="15"/>
      <c r="MLU241" s="15"/>
      <c r="MLV241" s="15"/>
      <c r="MLW241" s="10"/>
      <c r="MLX241" s="10"/>
      <c r="MLY241" s="21"/>
      <c r="MLZ241" s="21"/>
      <c r="MMC241" s="21"/>
      <c r="MMD241" s="15"/>
      <c r="MME241" s="15"/>
      <c r="MMF241" s="15"/>
      <c r="MMG241" s="15"/>
      <c r="MMH241" s="15"/>
      <c r="MMI241" s="15"/>
      <c r="MMJ241" s="15"/>
      <c r="MMK241" s="15"/>
      <c r="MML241" s="15"/>
      <c r="MMM241" s="15"/>
      <c r="MMN241" s="10"/>
      <c r="MMO241" s="10"/>
      <c r="MMP241" s="21"/>
      <c r="MMQ241" s="21"/>
      <c r="MMT241" s="21"/>
      <c r="MMU241" s="15"/>
      <c r="MMV241" s="15"/>
      <c r="MMW241" s="15"/>
      <c r="MMX241" s="15"/>
      <c r="MMY241" s="15"/>
      <c r="MMZ241" s="15"/>
      <c r="MNA241" s="15"/>
      <c r="MNB241" s="15"/>
      <c r="MNC241" s="15"/>
      <c r="MND241" s="15"/>
      <c r="MNE241" s="10"/>
      <c r="MNF241" s="10"/>
      <c r="MNG241" s="21"/>
      <c r="MNH241" s="21"/>
      <c r="MNK241" s="21"/>
      <c r="MNL241" s="15"/>
      <c r="MNM241" s="15"/>
      <c r="MNN241" s="15"/>
      <c r="MNO241" s="15"/>
      <c r="MNP241" s="15"/>
      <c r="MNQ241" s="15"/>
      <c r="MNR241" s="15"/>
      <c r="MNS241" s="15"/>
      <c r="MNT241" s="15"/>
      <c r="MNU241" s="15"/>
      <c r="MNV241" s="10"/>
      <c r="MNW241" s="10"/>
      <c r="MNX241" s="21"/>
      <c r="MNY241" s="21"/>
      <c r="MOB241" s="21"/>
      <c r="MOC241" s="15"/>
      <c r="MOD241" s="15"/>
      <c r="MOE241" s="15"/>
      <c r="MOF241" s="15"/>
      <c r="MOG241" s="15"/>
      <c r="MOH241" s="15"/>
      <c r="MOI241" s="15"/>
      <c r="MOJ241" s="15"/>
      <c r="MOK241" s="15"/>
      <c r="MOL241" s="15"/>
      <c r="MOM241" s="10"/>
      <c r="MON241" s="10"/>
      <c r="MOO241" s="21"/>
      <c r="MOP241" s="21"/>
      <c r="MOS241" s="21"/>
      <c r="MOT241" s="15"/>
      <c r="MOU241" s="15"/>
      <c r="MOV241" s="15"/>
      <c r="MOW241" s="15"/>
      <c r="MOX241" s="15"/>
      <c r="MOY241" s="15"/>
      <c r="MOZ241" s="15"/>
      <c r="MPA241" s="15"/>
      <c r="MPB241" s="15"/>
      <c r="MPC241" s="15"/>
      <c r="MPD241" s="10"/>
      <c r="MPE241" s="10"/>
      <c r="MPF241" s="21"/>
      <c r="MPG241" s="21"/>
      <c r="MPJ241" s="21"/>
      <c r="MPK241" s="15"/>
      <c r="MPL241" s="15"/>
      <c r="MPM241" s="15"/>
      <c r="MPN241" s="15"/>
      <c r="MPO241" s="15"/>
      <c r="MPP241" s="15"/>
      <c r="MPQ241" s="15"/>
      <c r="MPR241" s="15"/>
      <c r="MPS241" s="15"/>
      <c r="MPT241" s="15"/>
      <c r="MPU241" s="10"/>
      <c r="MPV241" s="10"/>
      <c r="MPW241" s="21"/>
      <c r="MPX241" s="21"/>
      <c r="MQA241" s="21"/>
      <c r="MQB241" s="15"/>
      <c r="MQC241" s="15"/>
      <c r="MQD241" s="15"/>
      <c r="MQE241" s="15"/>
      <c r="MQF241" s="15"/>
      <c r="MQG241" s="15"/>
      <c r="MQH241" s="15"/>
      <c r="MQI241" s="15"/>
      <c r="MQJ241" s="15"/>
      <c r="MQK241" s="15"/>
      <c r="MQL241" s="10"/>
      <c r="MQM241" s="10"/>
      <c r="MQN241" s="21"/>
      <c r="MQO241" s="21"/>
      <c r="MQR241" s="21"/>
      <c r="MQS241" s="15"/>
      <c r="MQT241" s="15"/>
      <c r="MQU241" s="15"/>
      <c r="MQV241" s="15"/>
      <c r="MQW241" s="15"/>
      <c r="MQX241" s="15"/>
      <c r="MQY241" s="15"/>
      <c r="MQZ241" s="15"/>
      <c r="MRA241" s="15"/>
      <c r="MRB241" s="15"/>
      <c r="MRC241" s="10"/>
      <c r="MRD241" s="10"/>
      <c r="MRE241" s="21"/>
      <c r="MRF241" s="21"/>
      <c r="MRI241" s="21"/>
      <c r="MRJ241" s="15"/>
      <c r="MRK241" s="15"/>
      <c r="MRL241" s="15"/>
      <c r="MRM241" s="15"/>
      <c r="MRN241" s="15"/>
      <c r="MRO241" s="15"/>
      <c r="MRP241" s="15"/>
      <c r="MRQ241" s="15"/>
      <c r="MRR241" s="15"/>
      <c r="MRS241" s="15"/>
      <c r="MRT241" s="10"/>
      <c r="MRU241" s="10"/>
      <c r="MRV241" s="21"/>
      <c r="MRW241" s="21"/>
      <c r="MRZ241" s="21"/>
      <c r="MSA241" s="15"/>
      <c r="MSB241" s="15"/>
      <c r="MSC241" s="15"/>
      <c r="MSD241" s="15"/>
      <c r="MSE241" s="15"/>
      <c r="MSF241" s="15"/>
      <c r="MSG241" s="15"/>
      <c r="MSH241" s="15"/>
      <c r="MSI241" s="15"/>
      <c r="MSJ241" s="15"/>
      <c r="MSK241" s="10"/>
      <c r="MSL241" s="10"/>
      <c r="MSM241" s="21"/>
      <c r="MSN241" s="21"/>
      <c r="MSQ241" s="21"/>
      <c r="MSR241" s="15"/>
      <c r="MSS241" s="15"/>
      <c r="MST241" s="15"/>
      <c r="MSU241" s="15"/>
      <c r="MSV241" s="15"/>
      <c r="MSW241" s="15"/>
      <c r="MSX241" s="15"/>
      <c r="MSY241" s="15"/>
      <c r="MSZ241" s="15"/>
      <c r="MTA241" s="15"/>
      <c r="MTB241" s="10"/>
      <c r="MTC241" s="10"/>
      <c r="MTD241" s="21"/>
      <c r="MTE241" s="21"/>
      <c r="MTH241" s="21"/>
      <c r="MTI241" s="15"/>
      <c r="MTJ241" s="15"/>
      <c r="MTK241" s="15"/>
      <c r="MTL241" s="15"/>
      <c r="MTM241" s="15"/>
      <c r="MTN241" s="15"/>
      <c r="MTO241" s="15"/>
      <c r="MTP241" s="15"/>
      <c r="MTQ241" s="15"/>
      <c r="MTR241" s="15"/>
      <c r="MTS241" s="10"/>
      <c r="MTT241" s="10"/>
      <c r="MTU241" s="21"/>
      <c r="MTV241" s="21"/>
      <c r="MTY241" s="21"/>
      <c r="MTZ241" s="15"/>
      <c r="MUA241" s="15"/>
      <c r="MUB241" s="15"/>
      <c r="MUC241" s="15"/>
      <c r="MUD241" s="15"/>
      <c r="MUE241" s="15"/>
      <c r="MUF241" s="15"/>
      <c r="MUG241" s="15"/>
      <c r="MUH241" s="15"/>
      <c r="MUI241" s="15"/>
      <c r="MUJ241" s="10"/>
      <c r="MUK241" s="10"/>
      <c r="MUL241" s="21"/>
      <c r="MUM241" s="21"/>
      <c r="MUP241" s="21"/>
      <c r="MUQ241" s="15"/>
      <c r="MUR241" s="15"/>
      <c r="MUS241" s="15"/>
      <c r="MUT241" s="15"/>
      <c r="MUU241" s="15"/>
      <c r="MUV241" s="15"/>
      <c r="MUW241" s="15"/>
      <c r="MUX241" s="15"/>
      <c r="MUY241" s="15"/>
      <c r="MUZ241" s="15"/>
      <c r="MVA241" s="10"/>
      <c r="MVB241" s="10"/>
      <c r="MVC241" s="21"/>
      <c r="MVD241" s="21"/>
      <c r="MVG241" s="21"/>
      <c r="MVH241" s="15"/>
      <c r="MVI241" s="15"/>
      <c r="MVJ241" s="15"/>
      <c r="MVK241" s="15"/>
      <c r="MVL241" s="15"/>
      <c r="MVM241" s="15"/>
      <c r="MVN241" s="15"/>
      <c r="MVO241" s="15"/>
      <c r="MVP241" s="15"/>
      <c r="MVQ241" s="15"/>
      <c r="MVR241" s="10"/>
      <c r="MVS241" s="10"/>
      <c r="MVT241" s="21"/>
      <c r="MVU241" s="21"/>
      <c r="MVX241" s="21"/>
      <c r="MVY241" s="15"/>
      <c r="MVZ241" s="15"/>
      <c r="MWA241" s="15"/>
      <c r="MWB241" s="15"/>
      <c r="MWC241" s="15"/>
      <c r="MWD241" s="15"/>
      <c r="MWE241" s="15"/>
      <c r="MWF241" s="15"/>
      <c r="MWG241" s="15"/>
      <c r="MWH241" s="15"/>
      <c r="MWI241" s="10"/>
      <c r="MWJ241" s="10"/>
      <c r="MWK241" s="21"/>
      <c r="MWL241" s="21"/>
      <c r="MWO241" s="21"/>
      <c r="MWP241" s="15"/>
      <c r="MWQ241" s="15"/>
      <c r="MWR241" s="15"/>
      <c r="MWS241" s="15"/>
      <c r="MWT241" s="15"/>
      <c r="MWU241" s="15"/>
      <c r="MWV241" s="15"/>
      <c r="MWW241" s="15"/>
      <c r="MWX241" s="15"/>
      <c r="MWY241" s="15"/>
      <c r="MWZ241" s="10"/>
      <c r="MXA241" s="10"/>
      <c r="MXB241" s="21"/>
      <c r="MXC241" s="21"/>
      <c r="MXF241" s="21"/>
      <c r="MXG241" s="15"/>
      <c r="MXH241" s="15"/>
      <c r="MXI241" s="15"/>
      <c r="MXJ241" s="15"/>
      <c r="MXK241" s="15"/>
      <c r="MXL241" s="15"/>
      <c r="MXM241" s="15"/>
      <c r="MXN241" s="15"/>
      <c r="MXO241" s="15"/>
      <c r="MXP241" s="15"/>
      <c r="MXQ241" s="10"/>
      <c r="MXR241" s="10"/>
      <c r="MXS241" s="21"/>
      <c r="MXT241" s="21"/>
      <c r="MXW241" s="21"/>
      <c r="MXX241" s="15"/>
      <c r="MXY241" s="15"/>
      <c r="MXZ241" s="15"/>
      <c r="MYA241" s="15"/>
      <c r="MYB241" s="15"/>
      <c r="MYC241" s="15"/>
      <c r="MYD241" s="15"/>
      <c r="MYE241" s="15"/>
      <c r="MYF241" s="15"/>
      <c r="MYG241" s="15"/>
      <c r="MYH241" s="10"/>
      <c r="MYI241" s="10"/>
      <c r="MYJ241" s="21"/>
      <c r="MYK241" s="21"/>
      <c r="MYN241" s="21"/>
      <c r="MYO241" s="15"/>
      <c r="MYP241" s="15"/>
      <c r="MYQ241" s="15"/>
      <c r="MYR241" s="15"/>
      <c r="MYS241" s="15"/>
      <c r="MYT241" s="15"/>
      <c r="MYU241" s="15"/>
      <c r="MYV241" s="15"/>
      <c r="MYW241" s="15"/>
      <c r="MYX241" s="15"/>
      <c r="MYY241" s="10"/>
      <c r="MYZ241" s="10"/>
      <c r="MZA241" s="21"/>
      <c r="MZB241" s="21"/>
      <c r="MZE241" s="21"/>
      <c r="MZF241" s="15"/>
      <c r="MZG241" s="15"/>
      <c r="MZH241" s="15"/>
      <c r="MZI241" s="15"/>
      <c r="MZJ241" s="15"/>
      <c r="MZK241" s="15"/>
      <c r="MZL241" s="15"/>
      <c r="MZM241" s="15"/>
      <c r="MZN241" s="15"/>
      <c r="MZO241" s="15"/>
      <c r="MZP241" s="10"/>
      <c r="MZQ241" s="10"/>
      <c r="MZR241" s="21"/>
      <c r="MZS241" s="21"/>
      <c r="MZV241" s="21"/>
      <c r="MZW241" s="15"/>
      <c r="MZX241" s="15"/>
      <c r="MZY241" s="15"/>
      <c r="MZZ241" s="15"/>
      <c r="NAA241" s="15"/>
      <c r="NAB241" s="15"/>
      <c r="NAC241" s="15"/>
      <c r="NAD241" s="15"/>
      <c r="NAE241" s="15"/>
      <c r="NAF241" s="15"/>
      <c r="NAG241" s="10"/>
      <c r="NAH241" s="10"/>
      <c r="NAI241" s="21"/>
      <c r="NAJ241" s="21"/>
      <c r="NAM241" s="21"/>
      <c r="NAN241" s="15"/>
      <c r="NAO241" s="15"/>
      <c r="NAP241" s="15"/>
      <c r="NAQ241" s="15"/>
      <c r="NAR241" s="15"/>
      <c r="NAS241" s="15"/>
      <c r="NAT241" s="15"/>
      <c r="NAU241" s="15"/>
      <c r="NAV241" s="15"/>
      <c r="NAW241" s="15"/>
      <c r="NAX241" s="10"/>
      <c r="NAY241" s="10"/>
      <c r="NAZ241" s="21"/>
      <c r="NBA241" s="21"/>
      <c r="NBD241" s="21"/>
      <c r="NBE241" s="15"/>
      <c r="NBF241" s="15"/>
      <c r="NBG241" s="15"/>
      <c r="NBH241" s="15"/>
      <c r="NBI241" s="15"/>
      <c r="NBJ241" s="15"/>
      <c r="NBK241" s="15"/>
      <c r="NBL241" s="15"/>
      <c r="NBM241" s="15"/>
      <c r="NBN241" s="15"/>
      <c r="NBO241" s="10"/>
      <c r="NBP241" s="10"/>
      <c r="NBQ241" s="21"/>
      <c r="NBR241" s="21"/>
      <c r="NBU241" s="21"/>
      <c r="NBV241" s="15"/>
      <c r="NBW241" s="15"/>
      <c r="NBX241" s="15"/>
      <c r="NBY241" s="15"/>
      <c r="NBZ241" s="15"/>
      <c r="NCA241" s="15"/>
      <c r="NCB241" s="15"/>
      <c r="NCC241" s="15"/>
      <c r="NCD241" s="15"/>
      <c r="NCE241" s="15"/>
      <c r="NCF241" s="10"/>
      <c r="NCG241" s="10"/>
      <c r="NCH241" s="21"/>
      <c r="NCI241" s="21"/>
      <c r="NCL241" s="21"/>
      <c r="NCM241" s="15"/>
      <c r="NCN241" s="15"/>
      <c r="NCO241" s="15"/>
      <c r="NCP241" s="15"/>
      <c r="NCQ241" s="15"/>
      <c r="NCR241" s="15"/>
      <c r="NCS241" s="15"/>
      <c r="NCT241" s="15"/>
      <c r="NCU241" s="15"/>
      <c r="NCV241" s="15"/>
      <c r="NCW241" s="10"/>
      <c r="NCX241" s="10"/>
      <c r="NCY241" s="21"/>
      <c r="NCZ241" s="21"/>
      <c r="NDC241" s="21"/>
      <c r="NDD241" s="15"/>
      <c r="NDE241" s="15"/>
      <c r="NDF241" s="15"/>
      <c r="NDG241" s="15"/>
      <c r="NDH241" s="15"/>
      <c r="NDI241" s="15"/>
      <c r="NDJ241" s="15"/>
      <c r="NDK241" s="15"/>
      <c r="NDL241" s="15"/>
      <c r="NDM241" s="15"/>
      <c r="NDN241" s="10"/>
      <c r="NDO241" s="10"/>
      <c r="NDP241" s="21"/>
      <c r="NDQ241" s="21"/>
      <c r="NDT241" s="21"/>
      <c r="NDU241" s="15"/>
      <c r="NDV241" s="15"/>
      <c r="NDW241" s="15"/>
      <c r="NDX241" s="15"/>
      <c r="NDY241" s="15"/>
      <c r="NDZ241" s="15"/>
      <c r="NEA241" s="15"/>
      <c r="NEB241" s="15"/>
      <c r="NEC241" s="15"/>
      <c r="NED241" s="15"/>
      <c r="NEE241" s="10"/>
      <c r="NEF241" s="10"/>
      <c r="NEG241" s="21"/>
      <c r="NEH241" s="21"/>
      <c r="NEK241" s="21"/>
      <c r="NEL241" s="15"/>
      <c r="NEM241" s="15"/>
      <c r="NEN241" s="15"/>
      <c r="NEO241" s="15"/>
      <c r="NEP241" s="15"/>
      <c r="NEQ241" s="15"/>
      <c r="NER241" s="15"/>
      <c r="NES241" s="15"/>
      <c r="NET241" s="15"/>
      <c r="NEU241" s="15"/>
      <c r="NEV241" s="10"/>
      <c r="NEW241" s="10"/>
      <c r="NEX241" s="21"/>
      <c r="NEY241" s="21"/>
      <c r="NFB241" s="21"/>
      <c r="NFC241" s="15"/>
      <c r="NFD241" s="15"/>
      <c r="NFE241" s="15"/>
      <c r="NFF241" s="15"/>
      <c r="NFG241" s="15"/>
      <c r="NFH241" s="15"/>
      <c r="NFI241" s="15"/>
      <c r="NFJ241" s="15"/>
      <c r="NFK241" s="15"/>
      <c r="NFL241" s="15"/>
      <c r="NFM241" s="10"/>
      <c r="NFN241" s="10"/>
      <c r="NFO241" s="21"/>
      <c r="NFP241" s="21"/>
      <c r="NFS241" s="21"/>
      <c r="NFT241" s="15"/>
      <c r="NFU241" s="15"/>
      <c r="NFV241" s="15"/>
      <c r="NFW241" s="15"/>
      <c r="NFX241" s="15"/>
      <c r="NFY241" s="15"/>
      <c r="NFZ241" s="15"/>
      <c r="NGA241" s="15"/>
      <c r="NGB241" s="15"/>
      <c r="NGC241" s="15"/>
      <c r="NGD241" s="10"/>
      <c r="NGE241" s="10"/>
      <c r="NGF241" s="21"/>
      <c r="NGG241" s="21"/>
      <c r="NGJ241" s="21"/>
      <c r="NGK241" s="15"/>
      <c r="NGL241" s="15"/>
      <c r="NGM241" s="15"/>
      <c r="NGN241" s="15"/>
      <c r="NGO241" s="15"/>
      <c r="NGP241" s="15"/>
      <c r="NGQ241" s="15"/>
      <c r="NGR241" s="15"/>
      <c r="NGS241" s="15"/>
      <c r="NGT241" s="15"/>
      <c r="NGU241" s="10"/>
      <c r="NGV241" s="10"/>
      <c r="NGW241" s="21"/>
      <c r="NGX241" s="21"/>
      <c r="NHA241" s="21"/>
      <c r="NHB241" s="15"/>
      <c r="NHC241" s="15"/>
      <c r="NHD241" s="15"/>
      <c r="NHE241" s="15"/>
      <c r="NHF241" s="15"/>
      <c r="NHG241" s="15"/>
      <c r="NHH241" s="15"/>
      <c r="NHI241" s="15"/>
      <c r="NHJ241" s="15"/>
      <c r="NHK241" s="15"/>
      <c r="NHL241" s="10"/>
      <c r="NHM241" s="10"/>
      <c r="NHN241" s="21"/>
      <c r="NHO241" s="21"/>
      <c r="NHR241" s="21"/>
      <c r="NHS241" s="15"/>
      <c r="NHT241" s="15"/>
      <c r="NHU241" s="15"/>
      <c r="NHV241" s="15"/>
      <c r="NHW241" s="15"/>
      <c r="NHX241" s="15"/>
      <c r="NHY241" s="15"/>
      <c r="NHZ241" s="15"/>
      <c r="NIA241" s="15"/>
      <c r="NIB241" s="15"/>
      <c r="NIC241" s="10"/>
      <c r="NID241" s="10"/>
      <c r="NIE241" s="21"/>
      <c r="NIF241" s="21"/>
      <c r="NII241" s="21"/>
      <c r="NIJ241" s="15"/>
      <c r="NIK241" s="15"/>
      <c r="NIL241" s="15"/>
      <c r="NIM241" s="15"/>
      <c r="NIN241" s="15"/>
      <c r="NIO241" s="15"/>
      <c r="NIP241" s="15"/>
      <c r="NIQ241" s="15"/>
      <c r="NIR241" s="15"/>
      <c r="NIS241" s="15"/>
      <c r="NIT241" s="10"/>
      <c r="NIU241" s="10"/>
      <c r="NIV241" s="21"/>
      <c r="NIW241" s="21"/>
      <c r="NIZ241" s="21"/>
      <c r="NJA241" s="15"/>
      <c r="NJB241" s="15"/>
      <c r="NJC241" s="15"/>
      <c r="NJD241" s="15"/>
      <c r="NJE241" s="15"/>
      <c r="NJF241" s="15"/>
      <c r="NJG241" s="15"/>
      <c r="NJH241" s="15"/>
      <c r="NJI241" s="15"/>
      <c r="NJJ241" s="15"/>
      <c r="NJK241" s="10"/>
      <c r="NJL241" s="10"/>
      <c r="NJM241" s="21"/>
      <c r="NJN241" s="21"/>
      <c r="NJQ241" s="21"/>
      <c r="NJR241" s="15"/>
      <c r="NJS241" s="15"/>
      <c r="NJT241" s="15"/>
      <c r="NJU241" s="15"/>
      <c r="NJV241" s="15"/>
      <c r="NJW241" s="15"/>
      <c r="NJX241" s="15"/>
      <c r="NJY241" s="15"/>
      <c r="NJZ241" s="15"/>
      <c r="NKA241" s="15"/>
      <c r="NKB241" s="10"/>
      <c r="NKC241" s="10"/>
      <c r="NKD241" s="21"/>
      <c r="NKE241" s="21"/>
      <c r="NKH241" s="21"/>
      <c r="NKI241" s="15"/>
      <c r="NKJ241" s="15"/>
      <c r="NKK241" s="15"/>
      <c r="NKL241" s="15"/>
      <c r="NKM241" s="15"/>
      <c r="NKN241" s="15"/>
      <c r="NKO241" s="15"/>
      <c r="NKP241" s="15"/>
      <c r="NKQ241" s="15"/>
      <c r="NKR241" s="15"/>
      <c r="NKS241" s="10"/>
      <c r="NKT241" s="10"/>
      <c r="NKU241" s="21"/>
      <c r="NKV241" s="21"/>
      <c r="NKY241" s="21"/>
      <c r="NKZ241" s="15"/>
      <c r="NLA241" s="15"/>
      <c r="NLB241" s="15"/>
      <c r="NLC241" s="15"/>
      <c r="NLD241" s="15"/>
      <c r="NLE241" s="15"/>
      <c r="NLF241" s="15"/>
      <c r="NLG241" s="15"/>
      <c r="NLH241" s="15"/>
      <c r="NLI241" s="15"/>
      <c r="NLJ241" s="10"/>
      <c r="NLK241" s="10"/>
      <c r="NLL241" s="21"/>
      <c r="NLM241" s="21"/>
      <c r="NLP241" s="21"/>
      <c r="NLQ241" s="15"/>
      <c r="NLR241" s="15"/>
      <c r="NLS241" s="15"/>
      <c r="NLT241" s="15"/>
      <c r="NLU241" s="15"/>
      <c r="NLV241" s="15"/>
      <c r="NLW241" s="15"/>
      <c r="NLX241" s="15"/>
      <c r="NLY241" s="15"/>
      <c r="NLZ241" s="15"/>
      <c r="NMA241" s="10"/>
      <c r="NMB241" s="10"/>
      <c r="NMC241" s="21"/>
      <c r="NMD241" s="21"/>
      <c r="NMG241" s="21"/>
      <c r="NMH241" s="15"/>
      <c r="NMI241" s="15"/>
      <c r="NMJ241" s="15"/>
      <c r="NMK241" s="15"/>
      <c r="NML241" s="15"/>
      <c r="NMM241" s="15"/>
      <c r="NMN241" s="15"/>
      <c r="NMO241" s="15"/>
      <c r="NMP241" s="15"/>
      <c r="NMQ241" s="15"/>
      <c r="NMR241" s="10"/>
      <c r="NMS241" s="10"/>
      <c r="NMT241" s="21"/>
      <c r="NMU241" s="21"/>
      <c r="NMX241" s="21"/>
      <c r="NMY241" s="15"/>
      <c r="NMZ241" s="15"/>
      <c r="NNA241" s="15"/>
      <c r="NNB241" s="15"/>
      <c r="NNC241" s="15"/>
      <c r="NND241" s="15"/>
      <c r="NNE241" s="15"/>
      <c r="NNF241" s="15"/>
      <c r="NNG241" s="15"/>
      <c r="NNH241" s="15"/>
      <c r="NNI241" s="10"/>
      <c r="NNJ241" s="10"/>
      <c r="NNK241" s="21"/>
      <c r="NNL241" s="21"/>
      <c r="NNO241" s="21"/>
      <c r="NNP241" s="15"/>
      <c r="NNQ241" s="15"/>
      <c r="NNR241" s="15"/>
      <c r="NNS241" s="15"/>
      <c r="NNT241" s="15"/>
      <c r="NNU241" s="15"/>
      <c r="NNV241" s="15"/>
      <c r="NNW241" s="15"/>
      <c r="NNX241" s="15"/>
      <c r="NNY241" s="15"/>
      <c r="NNZ241" s="10"/>
      <c r="NOA241" s="10"/>
      <c r="NOB241" s="21"/>
      <c r="NOC241" s="21"/>
      <c r="NOF241" s="21"/>
      <c r="NOG241" s="15"/>
      <c r="NOH241" s="15"/>
      <c r="NOI241" s="15"/>
      <c r="NOJ241" s="15"/>
      <c r="NOK241" s="15"/>
      <c r="NOL241" s="15"/>
      <c r="NOM241" s="15"/>
      <c r="NON241" s="15"/>
      <c r="NOO241" s="15"/>
      <c r="NOP241" s="15"/>
      <c r="NOQ241" s="10"/>
      <c r="NOR241" s="10"/>
      <c r="NOS241" s="21"/>
      <c r="NOT241" s="21"/>
      <c r="NOW241" s="21"/>
      <c r="NOX241" s="15"/>
      <c r="NOY241" s="15"/>
      <c r="NOZ241" s="15"/>
      <c r="NPA241" s="15"/>
      <c r="NPB241" s="15"/>
      <c r="NPC241" s="15"/>
      <c r="NPD241" s="15"/>
      <c r="NPE241" s="15"/>
      <c r="NPF241" s="15"/>
      <c r="NPG241" s="15"/>
      <c r="NPH241" s="10"/>
      <c r="NPI241" s="10"/>
      <c r="NPJ241" s="21"/>
      <c r="NPK241" s="21"/>
      <c r="NPN241" s="21"/>
      <c r="NPO241" s="15"/>
      <c r="NPP241" s="15"/>
      <c r="NPQ241" s="15"/>
      <c r="NPR241" s="15"/>
      <c r="NPS241" s="15"/>
      <c r="NPT241" s="15"/>
      <c r="NPU241" s="15"/>
      <c r="NPV241" s="15"/>
      <c r="NPW241" s="15"/>
      <c r="NPX241" s="15"/>
      <c r="NPY241" s="10"/>
      <c r="NPZ241" s="10"/>
      <c r="NQA241" s="21"/>
      <c r="NQB241" s="21"/>
      <c r="NQE241" s="21"/>
      <c r="NQF241" s="15"/>
      <c r="NQG241" s="15"/>
      <c r="NQH241" s="15"/>
      <c r="NQI241" s="15"/>
      <c r="NQJ241" s="15"/>
      <c r="NQK241" s="15"/>
      <c r="NQL241" s="15"/>
      <c r="NQM241" s="15"/>
      <c r="NQN241" s="15"/>
      <c r="NQO241" s="15"/>
      <c r="NQP241" s="10"/>
      <c r="NQQ241" s="10"/>
      <c r="NQR241" s="21"/>
      <c r="NQS241" s="21"/>
      <c r="NQV241" s="21"/>
      <c r="NQW241" s="15"/>
      <c r="NQX241" s="15"/>
      <c r="NQY241" s="15"/>
      <c r="NQZ241" s="15"/>
      <c r="NRA241" s="15"/>
      <c r="NRB241" s="15"/>
      <c r="NRC241" s="15"/>
      <c r="NRD241" s="15"/>
      <c r="NRE241" s="15"/>
      <c r="NRF241" s="15"/>
      <c r="NRG241" s="10"/>
      <c r="NRH241" s="10"/>
      <c r="NRI241" s="21"/>
      <c r="NRJ241" s="21"/>
      <c r="NRM241" s="21"/>
      <c r="NRN241" s="15"/>
      <c r="NRO241" s="15"/>
      <c r="NRP241" s="15"/>
      <c r="NRQ241" s="15"/>
      <c r="NRR241" s="15"/>
      <c r="NRS241" s="15"/>
      <c r="NRT241" s="15"/>
      <c r="NRU241" s="15"/>
      <c r="NRV241" s="15"/>
      <c r="NRW241" s="15"/>
      <c r="NRX241" s="10"/>
      <c r="NRY241" s="10"/>
      <c r="NRZ241" s="21"/>
      <c r="NSA241" s="21"/>
      <c r="NSD241" s="21"/>
      <c r="NSE241" s="15"/>
      <c r="NSF241" s="15"/>
      <c r="NSG241" s="15"/>
      <c r="NSH241" s="15"/>
      <c r="NSI241" s="15"/>
      <c r="NSJ241" s="15"/>
      <c r="NSK241" s="15"/>
      <c r="NSL241" s="15"/>
      <c r="NSM241" s="15"/>
      <c r="NSN241" s="15"/>
      <c r="NSO241" s="10"/>
      <c r="NSP241" s="10"/>
      <c r="NSQ241" s="21"/>
      <c r="NSR241" s="21"/>
      <c r="NSU241" s="21"/>
      <c r="NSV241" s="15"/>
      <c r="NSW241" s="15"/>
      <c r="NSX241" s="15"/>
      <c r="NSY241" s="15"/>
      <c r="NSZ241" s="15"/>
      <c r="NTA241" s="15"/>
      <c r="NTB241" s="15"/>
      <c r="NTC241" s="15"/>
      <c r="NTD241" s="15"/>
      <c r="NTE241" s="15"/>
      <c r="NTF241" s="10"/>
      <c r="NTG241" s="10"/>
      <c r="NTH241" s="21"/>
      <c r="NTI241" s="21"/>
      <c r="NTL241" s="21"/>
      <c r="NTM241" s="15"/>
      <c r="NTN241" s="15"/>
      <c r="NTO241" s="15"/>
      <c r="NTP241" s="15"/>
      <c r="NTQ241" s="15"/>
      <c r="NTR241" s="15"/>
      <c r="NTS241" s="15"/>
      <c r="NTT241" s="15"/>
      <c r="NTU241" s="15"/>
      <c r="NTV241" s="15"/>
      <c r="NTW241" s="10"/>
      <c r="NTX241" s="10"/>
      <c r="NTY241" s="21"/>
      <c r="NTZ241" s="21"/>
      <c r="NUC241" s="21"/>
      <c r="NUD241" s="15"/>
      <c r="NUE241" s="15"/>
      <c r="NUF241" s="15"/>
      <c r="NUG241" s="15"/>
      <c r="NUH241" s="15"/>
      <c r="NUI241" s="15"/>
      <c r="NUJ241" s="15"/>
      <c r="NUK241" s="15"/>
      <c r="NUL241" s="15"/>
      <c r="NUM241" s="15"/>
      <c r="NUN241" s="10"/>
      <c r="NUO241" s="10"/>
      <c r="NUP241" s="21"/>
      <c r="NUQ241" s="21"/>
      <c r="NUT241" s="21"/>
      <c r="NUU241" s="15"/>
      <c r="NUV241" s="15"/>
      <c r="NUW241" s="15"/>
      <c r="NUX241" s="15"/>
      <c r="NUY241" s="15"/>
      <c r="NUZ241" s="15"/>
      <c r="NVA241" s="15"/>
      <c r="NVB241" s="15"/>
      <c r="NVC241" s="15"/>
      <c r="NVD241" s="15"/>
      <c r="NVE241" s="10"/>
      <c r="NVF241" s="10"/>
      <c r="NVG241" s="21"/>
      <c r="NVH241" s="21"/>
      <c r="NVK241" s="21"/>
      <c r="NVL241" s="15"/>
      <c r="NVM241" s="15"/>
      <c r="NVN241" s="15"/>
      <c r="NVO241" s="15"/>
      <c r="NVP241" s="15"/>
      <c r="NVQ241" s="15"/>
      <c r="NVR241" s="15"/>
      <c r="NVS241" s="15"/>
      <c r="NVT241" s="15"/>
      <c r="NVU241" s="15"/>
      <c r="NVV241" s="10"/>
      <c r="NVW241" s="10"/>
      <c r="NVX241" s="21"/>
      <c r="NVY241" s="21"/>
      <c r="NWB241" s="21"/>
      <c r="NWC241" s="15"/>
      <c r="NWD241" s="15"/>
      <c r="NWE241" s="15"/>
      <c r="NWF241" s="15"/>
      <c r="NWG241" s="15"/>
      <c r="NWH241" s="15"/>
      <c r="NWI241" s="15"/>
      <c r="NWJ241" s="15"/>
      <c r="NWK241" s="15"/>
      <c r="NWL241" s="15"/>
      <c r="NWM241" s="10"/>
      <c r="NWN241" s="10"/>
      <c r="NWO241" s="21"/>
      <c r="NWP241" s="21"/>
      <c r="NWS241" s="21"/>
      <c r="NWT241" s="15"/>
      <c r="NWU241" s="15"/>
      <c r="NWV241" s="15"/>
      <c r="NWW241" s="15"/>
      <c r="NWX241" s="15"/>
      <c r="NWY241" s="15"/>
      <c r="NWZ241" s="15"/>
      <c r="NXA241" s="15"/>
      <c r="NXB241" s="15"/>
      <c r="NXC241" s="15"/>
      <c r="NXD241" s="10"/>
      <c r="NXE241" s="10"/>
      <c r="NXF241" s="21"/>
      <c r="NXG241" s="21"/>
      <c r="NXJ241" s="21"/>
      <c r="NXK241" s="15"/>
      <c r="NXL241" s="15"/>
      <c r="NXM241" s="15"/>
      <c r="NXN241" s="15"/>
      <c r="NXO241" s="15"/>
      <c r="NXP241" s="15"/>
      <c r="NXQ241" s="15"/>
      <c r="NXR241" s="15"/>
      <c r="NXS241" s="15"/>
      <c r="NXT241" s="15"/>
      <c r="NXU241" s="10"/>
      <c r="NXV241" s="10"/>
      <c r="NXW241" s="21"/>
      <c r="NXX241" s="21"/>
      <c r="NYA241" s="21"/>
      <c r="NYB241" s="15"/>
      <c r="NYC241" s="15"/>
      <c r="NYD241" s="15"/>
      <c r="NYE241" s="15"/>
      <c r="NYF241" s="15"/>
      <c r="NYG241" s="15"/>
      <c r="NYH241" s="15"/>
      <c r="NYI241" s="15"/>
      <c r="NYJ241" s="15"/>
      <c r="NYK241" s="15"/>
      <c r="NYL241" s="10"/>
      <c r="NYM241" s="10"/>
      <c r="NYN241" s="21"/>
      <c r="NYO241" s="21"/>
      <c r="NYR241" s="21"/>
      <c r="NYS241" s="15"/>
      <c r="NYT241" s="15"/>
      <c r="NYU241" s="15"/>
      <c r="NYV241" s="15"/>
      <c r="NYW241" s="15"/>
      <c r="NYX241" s="15"/>
      <c r="NYY241" s="15"/>
      <c r="NYZ241" s="15"/>
      <c r="NZA241" s="15"/>
      <c r="NZB241" s="15"/>
      <c r="NZC241" s="10"/>
      <c r="NZD241" s="10"/>
      <c r="NZE241" s="21"/>
      <c r="NZF241" s="21"/>
      <c r="NZI241" s="21"/>
      <c r="NZJ241" s="15"/>
      <c r="NZK241" s="15"/>
      <c r="NZL241" s="15"/>
      <c r="NZM241" s="15"/>
      <c r="NZN241" s="15"/>
      <c r="NZO241" s="15"/>
      <c r="NZP241" s="15"/>
      <c r="NZQ241" s="15"/>
      <c r="NZR241" s="15"/>
      <c r="NZS241" s="15"/>
      <c r="NZT241" s="10"/>
      <c r="NZU241" s="10"/>
      <c r="NZV241" s="21"/>
      <c r="NZW241" s="21"/>
      <c r="NZZ241" s="21"/>
      <c r="OAA241" s="15"/>
      <c r="OAB241" s="15"/>
      <c r="OAC241" s="15"/>
      <c r="OAD241" s="15"/>
      <c r="OAE241" s="15"/>
      <c r="OAF241" s="15"/>
      <c r="OAG241" s="15"/>
      <c r="OAH241" s="15"/>
      <c r="OAI241" s="15"/>
      <c r="OAJ241" s="15"/>
      <c r="OAK241" s="10"/>
      <c r="OAL241" s="10"/>
      <c r="OAM241" s="21"/>
      <c r="OAN241" s="21"/>
      <c r="OAQ241" s="21"/>
      <c r="OAR241" s="15"/>
      <c r="OAS241" s="15"/>
      <c r="OAT241" s="15"/>
      <c r="OAU241" s="15"/>
      <c r="OAV241" s="15"/>
      <c r="OAW241" s="15"/>
      <c r="OAX241" s="15"/>
      <c r="OAY241" s="15"/>
      <c r="OAZ241" s="15"/>
      <c r="OBA241" s="15"/>
      <c r="OBB241" s="10"/>
      <c r="OBC241" s="10"/>
      <c r="OBD241" s="21"/>
      <c r="OBE241" s="21"/>
      <c r="OBH241" s="21"/>
      <c r="OBI241" s="15"/>
      <c r="OBJ241" s="15"/>
      <c r="OBK241" s="15"/>
      <c r="OBL241" s="15"/>
      <c r="OBM241" s="15"/>
      <c r="OBN241" s="15"/>
      <c r="OBO241" s="15"/>
      <c r="OBP241" s="15"/>
      <c r="OBQ241" s="15"/>
      <c r="OBR241" s="15"/>
      <c r="OBS241" s="10"/>
      <c r="OBT241" s="10"/>
      <c r="OBU241" s="21"/>
      <c r="OBV241" s="21"/>
      <c r="OBY241" s="21"/>
      <c r="OBZ241" s="15"/>
      <c r="OCA241" s="15"/>
      <c r="OCB241" s="15"/>
      <c r="OCC241" s="15"/>
      <c r="OCD241" s="15"/>
      <c r="OCE241" s="15"/>
      <c r="OCF241" s="15"/>
      <c r="OCG241" s="15"/>
      <c r="OCH241" s="15"/>
      <c r="OCI241" s="15"/>
      <c r="OCJ241" s="10"/>
      <c r="OCK241" s="10"/>
      <c r="OCL241" s="21"/>
      <c r="OCM241" s="21"/>
      <c r="OCP241" s="21"/>
      <c r="OCQ241" s="15"/>
      <c r="OCR241" s="15"/>
      <c r="OCS241" s="15"/>
      <c r="OCT241" s="15"/>
      <c r="OCU241" s="15"/>
      <c r="OCV241" s="15"/>
      <c r="OCW241" s="15"/>
      <c r="OCX241" s="15"/>
      <c r="OCY241" s="15"/>
      <c r="OCZ241" s="15"/>
      <c r="ODA241" s="10"/>
      <c r="ODB241" s="10"/>
      <c r="ODC241" s="21"/>
      <c r="ODD241" s="21"/>
      <c r="ODG241" s="21"/>
      <c r="ODH241" s="15"/>
      <c r="ODI241" s="15"/>
      <c r="ODJ241" s="15"/>
      <c r="ODK241" s="15"/>
      <c r="ODL241" s="15"/>
      <c r="ODM241" s="15"/>
      <c r="ODN241" s="15"/>
      <c r="ODO241" s="15"/>
      <c r="ODP241" s="15"/>
      <c r="ODQ241" s="15"/>
      <c r="ODR241" s="10"/>
      <c r="ODS241" s="10"/>
      <c r="ODT241" s="21"/>
      <c r="ODU241" s="21"/>
      <c r="ODX241" s="21"/>
      <c r="ODY241" s="15"/>
      <c r="ODZ241" s="15"/>
      <c r="OEA241" s="15"/>
      <c r="OEB241" s="15"/>
      <c r="OEC241" s="15"/>
      <c r="OED241" s="15"/>
      <c r="OEE241" s="15"/>
      <c r="OEF241" s="15"/>
      <c r="OEG241" s="15"/>
      <c r="OEH241" s="15"/>
      <c r="OEI241" s="10"/>
      <c r="OEJ241" s="10"/>
      <c r="OEK241" s="21"/>
      <c r="OEL241" s="21"/>
      <c r="OEO241" s="21"/>
      <c r="OEP241" s="15"/>
      <c r="OEQ241" s="15"/>
      <c r="OER241" s="15"/>
      <c r="OES241" s="15"/>
      <c r="OET241" s="15"/>
      <c r="OEU241" s="15"/>
      <c r="OEV241" s="15"/>
      <c r="OEW241" s="15"/>
      <c r="OEX241" s="15"/>
      <c r="OEY241" s="15"/>
      <c r="OEZ241" s="10"/>
      <c r="OFA241" s="10"/>
      <c r="OFB241" s="21"/>
      <c r="OFC241" s="21"/>
      <c r="OFF241" s="21"/>
      <c r="OFG241" s="15"/>
      <c r="OFH241" s="15"/>
      <c r="OFI241" s="15"/>
      <c r="OFJ241" s="15"/>
      <c r="OFK241" s="15"/>
      <c r="OFL241" s="15"/>
      <c r="OFM241" s="15"/>
      <c r="OFN241" s="15"/>
      <c r="OFO241" s="15"/>
      <c r="OFP241" s="15"/>
      <c r="OFQ241" s="10"/>
      <c r="OFR241" s="10"/>
      <c r="OFS241" s="21"/>
      <c r="OFT241" s="21"/>
      <c r="OFW241" s="21"/>
      <c r="OFX241" s="15"/>
      <c r="OFY241" s="15"/>
      <c r="OFZ241" s="15"/>
      <c r="OGA241" s="15"/>
      <c r="OGB241" s="15"/>
      <c r="OGC241" s="15"/>
      <c r="OGD241" s="15"/>
      <c r="OGE241" s="15"/>
      <c r="OGF241" s="15"/>
      <c r="OGG241" s="15"/>
      <c r="OGH241" s="10"/>
      <c r="OGI241" s="10"/>
      <c r="OGJ241" s="21"/>
      <c r="OGK241" s="21"/>
      <c r="OGN241" s="21"/>
      <c r="OGO241" s="15"/>
      <c r="OGP241" s="15"/>
      <c r="OGQ241" s="15"/>
      <c r="OGR241" s="15"/>
      <c r="OGS241" s="15"/>
      <c r="OGT241" s="15"/>
      <c r="OGU241" s="15"/>
      <c r="OGV241" s="15"/>
      <c r="OGW241" s="15"/>
      <c r="OGX241" s="15"/>
      <c r="OGY241" s="10"/>
      <c r="OGZ241" s="10"/>
      <c r="OHA241" s="21"/>
      <c r="OHB241" s="21"/>
      <c r="OHE241" s="21"/>
      <c r="OHF241" s="15"/>
      <c r="OHG241" s="15"/>
      <c r="OHH241" s="15"/>
      <c r="OHI241" s="15"/>
      <c r="OHJ241" s="15"/>
      <c r="OHK241" s="15"/>
      <c r="OHL241" s="15"/>
      <c r="OHM241" s="15"/>
      <c r="OHN241" s="15"/>
      <c r="OHO241" s="15"/>
      <c r="OHP241" s="10"/>
      <c r="OHQ241" s="10"/>
      <c r="OHR241" s="21"/>
      <c r="OHS241" s="21"/>
      <c r="OHV241" s="21"/>
      <c r="OHW241" s="15"/>
      <c r="OHX241" s="15"/>
      <c r="OHY241" s="15"/>
      <c r="OHZ241" s="15"/>
      <c r="OIA241" s="15"/>
      <c r="OIB241" s="15"/>
      <c r="OIC241" s="15"/>
      <c r="OID241" s="15"/>
      <c r="OIE241" s="15"/>
      <c r="OIF241" s="15"/>
      <c r="OIG241" s="10"/>
      <c r="OIH241" s="10"/>
      <c r="OII241" s="21"/>
      <c r="OIJ241" s="21"/>
      <c r="OIM241" s="21"/>
      <c r="OIN241" s="15"/>
      <c r="OIO241" s="15"/>
      <c r="OIP241" s="15"/>
      <c r="OIQ241" s="15"/>
      <c r="OIR241" s="15"/>
      <c r="OIS241" s="15"/>
      <c r="OIT241" s="15"/>
      <c r="OIU241" s="15"/>
      <c r="OIV241" s="15"/>
      <c r="OIW241" s="15"/>
      <c r="OIX241" s="10"/>
      <c r="OIY241" s="10"/>
      <c r="OIZ241" s="21"/>
      <c r="OJA241" s="21"/>
      <c r="OJD241" s="21"/>
      <c r="OJE241" s="15"/>
      <c r="OJF241" s="15"/>
      <c r="OJG241" s="15"/>
      <c r="OJH241" s="15"/>
      <c r="OJI241" s="15"/>
      <c r="OJJ241" s="15"/>
      <c r="OJK241" s="15"/>
      <c r="OJL241" s="15"/>
      <c r="OJM241" s="15"/>
      <c r="OJN241" s="15"/>
      <c r="OJO241" s="10"/>
      <c r="OJP241" s="10"/>
      <c r="OJQ241" s="21"/>
      <c r="OJR241" s="21"/>
      <c r="OJU241" s="21"/>
      <c r="OJV241" s="15"/>
      <c r="OJW241" s="15"/>
      <c r="OJX241" s="15"/>
      <c r="OJY241" s="15"/>
      <c r="OJZ241" s="15"/>
      <c r="OKA241" s="15"/>
      <c r="OKB241" s="15"/>
      <c r="OKC241" s="15"/>
      <c r="OKD241" s="15"/>
      <c r="OKE241" s="15"/>
      <c r="OKF241" s="10"/>
      <c r="OKG241" s="10"/>
      <c r="OKH241" s="21"/>
      <c r="OKI241" s="21"/>
      <c r="OKL241" s="21"/>
      <c r="OKM241" s="15"/>
      <c r="OKN241" s="15"/>
      <c r="OKO241" s="15"/>
      <c r="OKP241" s="15"/>
      <c r="OKQ241" s="15"/>
      <c r="OKR241" s="15"/>
      <c r="OKS241" s="15"/>
      <c r="OKT241" s="15"/>
      <c r="OKU241" s="15"/>
      <c r="OKV241" s="15"/>
      <c r="OKW241" s="10"/>
      <c r="OKX241" s="10"/>
      <c r="OKY241" s="21"/>
      <c r="OKZ241" s="21"/>
      <c r="OLC241" s="21"/>
      <c r="OLD241" s="15"/>
      <c r="OLE241" s="15"/>
      <c r="OLF241" s="15"/>
      <c r="OLG241" s="15"/>
      <c r="OLH241" s="15"/>
      <c r="OLI241" s="15"/>
      <c r="OLJ241" s="15"/>
      <c r="OLK241" s="15"/>
      <c r="OLL241" s="15"/>
      <c r="OLM241" s="15"/>
      <c r="OLN241" s="10"/>
      <c r="OLO241" s="10"/>
      <c r="OLP241" s="21"/>
      <c r="OLQ241" s="21"/>
      <c r="OLT241" s="21"/>
      <c r="OLU241" s="15"/>
      <c r="OLV241" s="15"/>
      <c r="OLW241" s="15"/>
      <c r="OLX241" s="15"/>
      <c r="OLY241" s="15"/>
      <c r="OLZ241" s="15"/>
      <c r="OMA241" s="15"/>
      <c r="OMB241" s="15"/>
      <c r="OMC241" s="15"/>
      <c r="OMD241" s="15"/>
      <c r="OME241" s="10"/>
      <c r="OMF241" s="10"/>
      <c r="OMG241" s="21"/>
      <c r="OMH241" s="21"/>
      <c r="OMK241" s="21"/>
      <c r="OML241" s="15"/>
      <c r="OMM241" s="15"/>
      <c r="OMN241" s="15"/>
      <c r="OMO241" s="15"/>
      <c r="OMP241" s="15"/>
      <c r="OMQ241" s="15"/>
      <c r="OMR241" s="15"/>
      <c r="OMS241" s="15"/>
      <c r="OMT241" s="15"/>
      <c r="OMU241" s="15"/>
      <c r="OMV241" s="10"/>
      <c r="OMW241" s="10"/>
      <c r="OMX241" s="21"/>
      <c r="OMY241" s="21"/>
      <c r="ONB241" s="21"/>
      <c r="ONC241" s="15"/>
      <c r="OND241" s="15"/>
      <c r="ONE241" s="15"/>
      <c r="ONF241" s="15"/>
      <c r="ONG241" s="15"/>
      <c r="ONH241" s="15"/>
      <c r="ONI241" s="15"/>
      <c r="ONJ241" s="15"/>
      <c r="ONK241" s="15"/>
      <c r="ONL241" s="15"/>
      <c r="ONM241" s="10"/>
      <c r="ONN241" s="10"/>
      <c r="ONO241" s="21"/>
      <c r="ONP241" s="21"/>
      <c r="ONS241" s="21"/>
      <c r="ONT241" s="15"/>
      <c r="ONU241" s="15"/>
      <c r="ONV241" s="15"/>
      <c r="ONW241" s="15"/>
      <c r="ONX241" s="15"/>
      <c r="ONY241" s="15"/>
      <c r="ONZ241" s="15"/>
      <c r="OOA241" s="15"/>
      <c r="OOB241" s="15"/>
      <c r="OOC241" s="15"/>
      <c r="OOD241" s="10"/>
      <c r="OOE241" s="10"/>
      <c r="OOF241" s="21"/>
      <c r="OOG241" s="21"/>
      <c r="OOJ241" s="21"/>
      <c r="OOK241" s="15"/>
      <c r="OOL241" s="15"/>
      <c r="OOM241" s="15"/>
      <c r="OON241" s="15"/>
      <c r="OOO241" s="15"/>
      <c r="OOP241" s="15"/>
      <c r="OOQ241" s="15"/>
      <c r="OOR241" s="15"/>
      <c r="OOS241" s="15"/>
      <c r="OOT241" s="15"/>
      <c r="OOU241" s="10"/>
      <c r="OOV241" s="10"/>
      <c r="OOW241" s="21"/>
      <c r="OOX241" s="21"/>
      <c r="OPA241" s="21"/>
      <c r="OPB241" s="15"/>
      <c r="OPC241" s="15"/>
      <c r="OPD241" s="15"/>
      <c r="OPE241" s="15"/>
      <c r="OPF241" s="15"/>
      <c r="OPG241" s="15"/>
      <c r="OPH241" s="15"/>
      <c r="OPI241" s="15"/>
      <c r="OPJ241" s="15"/>
      <c r="OPK241" s="15"/>
      <c r="OPL241" s="10"/>
      <c r="OPM241" s="10"/>
      <c r="OPN241" s="21"/>
      <c r="OPO241" s="21"/>
      <c r="OPR241" s="21"/>
      <c r="OPS241" s="15"/>
      <c r="OPT241" s="15"/>
      <c r="OPU241" s="15"/>
      <c r="OPV241" s="15"/>
      <c r="OPW241" s="15"/>
      <c r="OPX241" s="15"/>
      <c r="OPY241" s="15"/>
      <c r="OPZ241" s="15"/>
      <c r="OQA241" s="15"/>
      <c r="OQB241" s="15"/>
      <c r="OQC241" s="10"/>
      <c r="OQD241" s="10"/>
      <c r="OQE241" s="21"/>
      <c r="OQF241" s="21"/>
      <c r="OQI241" s="21"/>
      <c r="OQJ241" s="15"/>
      <c r="OQK241" s="15"/>
      <c r="OQL241" s="15"/>
      <c r="OQM241" s="15"/>
      <c r="OQN241" s="15"/>
      <c r="OQO241" s="15"/>
      <c r="OQP241" s="15"/>
      <c r="OQQ241" s="15"/>
      <c r="OQR241" s="15"/>
      <c r="OQS241" s="15"/>
      <c r="OQT241" s="10"/>
      <c r="OQU241" s="10"/>
      <c r="OQV241" s="21"/>
      <c r="OQW241" s="21"/>
      <c r="OQZ241" s="21"/>
      <c r="ORA241" s="15"/>
      <c r="ORB241" s="15"/>
      <c r="ORC241" s="15"/>
      <c r="ORD241" s="15"/>
      <c r="ORE241" s="15"/>
      <c r="ORF241" s="15"/>
      <c r="ORG241" s="15"/>
      <c r="ORH241" s="15"/>
      <c r="ORI241" s="15"/>
      <c r="ORJ241" s="15"/>
      <c r="ORK241" s="10"/>
      <c r="ORL241" s="10"/>
      <c r="ORM241" s="21"/>
      <c r="ORN241" s="21"/>
      <c r="ORQ241" s="21"/>
      <c r="ORR241" s="15"/>
      <c r="ORS241" s="15"/>
      <c r="ORT241" s="15"/>
      <c r="ORU241" s="15"/>
      <c r="ORV241" s="15"/>
      <c r="ORW241" s="15"/>
      <c r="ORX241" s="15"/>
      <c r="ORY241" s="15"/>
      <c r="ORZ241" s="15"/>
      <c r="OSA241" s="15"/>
      <c r="OSB241" s="10"/>
      <c r="OSC241" s="10"/>
      <c r="OSD241" s="21"/>
      <c r="OSE241" s="21"/>
      <c r="OSH241" s="21"/>
      <c r="OSI241" s="15"/>
      <c r="OSJ241" s="15"/>
      <c r="OSK241" s="15"/>
      <c r="OSL241" s="15"/>
      <c r="OSM241" s="15"/>
      <c r="OSN241" s="15"/>
      <c r="OSO241" s="15"/>
      <c r="OSP241" s="15"/>
      <c r="OSQ241" s="15"/>
      <c r="OSR241" s="15"/>
      <c r="OSS241" s="10"/>
      <c r="OST241" s="10"/>
      <c r="OSU241" s="21"/>
      <c r="OSV241" s="21"/>
      <c r="OSY241" s="21"/>
      <c r="OSZ241" s="15"/>
      <c r="OTA241" s="15"/>
      <c r="OTB241" s="15"/>
      <c r="OTC241" s="15"/>
      <c r="OTD241" s="15"/>
      <c r="OTE241" s="15"/>
      <c r="OTF241" s="15"/>
      <c r="OTG241" s="15"/>
      <c r="OTH241" s="15"/>
      <c r="OTI241" s="15"/>
      <c r="OTJ241" s="10"/>
      <c r="OTK241" s="10"/>
      <c r="OTL241" s="21"/>
      <c r="OTM241" s="21"/>
      <c r="OTP241" s="21"/>
      <c r="OTQ241" s="15"/>
      <c r="OTR241" s="15"/>
      <c r="OTS241" s="15"/>
      <c r="OTT241" s="15"/>
      <c r="OTU241" s="15"/>
      <c r="OTV241" s="15"/>
      <c r="OTW241" s="15"/>
      <c r="OTX241" s="15"/>
      <c r="OTY241" s="15"/>
      <c r="OTZ241" s="15"/>
      <c r="OUA241" s="10"/>
      <c r="OUB241" s="10"/>
      <c r="OUC241" s="21"/>
      <c r="OUD241" s="21"/>
      <c r="OUG241" s="21"/>
      <c r="OUH241" s="15"/>
      <c r="OUI241" s="15"/>
      <c r="OUJ241" s="15"/>
      <c r="OUK241" s="15"/>
      <c r="OUL241" s="15"/>
      <c r="OUM241" s="15"/>
      <c r="OUN241" s="15"/>
      <c r="OUO241" s="15"/>
      <c r="OUP241" s="15"/>
      <c r="OUQ241" s="15"/>
      <c r="OUR241" s="10"/>
      <c r="OUS241" s="10"/>
      <c r="OUT241" s="21"/>
      <c r="OUU241" s="21"/>
      <c r="OUX241" s="21"/>
      <c r="OUY241" s="15"/>
      <c r="OUZ241" s="15"/>
      <c r="OVA241" s="15"/>
      <c r="OVB241" s="15"/>
      <c r="OVC241" s="15"/>
      <c r="OVD241" s="15"/>
      <c r="OVE241" s="15"/>
      <c r="OVF241" s="15"/>
      <c r="OVG241" s="15"/>
      <c r="OVH241" s="15"/>
      <c r="OVI241" s="10"/>
      <c r="OVJ241" s="10"/>
      <c r="OVK241" s="21"/>
      <c r="OVL241" s="21"/>
      <c r="OVO241" s="21"/>
      <c r="OVP241" s="15"/>
      <c r="OVQ241" s="15"/>
      <c r="OVR241" s="15"/>
      <c r="OVS241" s="15"/>
      <c r="OVT241" s="15"/>
      <c r="OVU241" s="15"/>
      <c r="OVV241" s="15"/>
      <c r="OVW241" s="15"/>
      <c r="OVX241" s="15"/>
      <c r="OVY241" s="15"/>
      <c r="OVZ241" s="10"/>
      <c r="OWA241" s="10"/>
      <c r="OWB241" s="21"/>
      <c r="OWC241" s="21"/>
      <c r="OWF241" s="21"/>
      <c r="OWG241" s="15"/>
      <c r="OWH241" s="15"/>
      <c r="OWI241" s="15"/>
      <c r="OWJ241" s="15"/>
      <c r="OWK241" s="15"/>
      <c r="OWL241" s="15"/>
      <c r="OWM241" s="15"/>
      <c r="OWN241" s="15"/>
      <c r="OWO241" s="15"/>
      <c r="OWP241" s="15"/>
      <c r="OWQ241" s="10"/>
      <c r="OWR241" s="10"/>
      <c r="OWS241" s="21"/>
      <c r="OWT241" s="21"/>
      <c r="OWW241" s="21"/>
      <c r="OWX241" s="15"/>
      <c r="OWY241" s="15"/>
      <c r="OWZ241" s="15"/>
      <c r="OXA241" s="15"/>
      <c r="OXB241" s="15"/>
      <c r="OXC241" s="15"/>
      <c r="OXD241" s="15"/>
      <c r="OXE241" s="15"/>
      <c r="OXF241" s="15"/>
      <c r="OXG241" s="15"/>
      <c r="OXH241" s="10"/>
      <c r="OXI241" s="10"/>
      <c r="OXJ241" s="21"/>
      <c r="OXK241" s="21"/>
      <c r="OXN241" s="21"/>
      <c r="OXO241" s="15"/>
      <c r="OXP241" s="15"/>
      <c r="OXQ241" s="15"/>
      <c r="OXR241" s="15"/>
      <c r="OXS241" s="15"/>
      <c r="OXT241" s="15"/>
      <c r="OXU241" s="15"/>
      <c r="OXV241" s="15"/>
      <c r="OXW241" s="15"/>
      <c r="OXX241" s="15"/>
      <c r="OXY241" s="10"/>
      <c r="OXZ241" s="10"/>
      <c r="OYA241" s="21"/>
      <c r="OYB241" s="21"/>
      <c r="OYE241" s="21"/>
      <c r="OYF241" s="15"/>
      <c r="OYG241" s="15"/>
      <c r="OYH241" s="15"/>
      <c r="OYI241" s="15"/>
      <c r="OYJ241" s="15"/>
      <c r="OYK241" s="15"/>
      <c r="OYL241" s="15"/>
      <c r="OYM241" s="15"/>
      <c r="OYN241" s="15"/>
      <c r="OYO241" s="15"/>
      <c r="OYP241" s="10"/>
      <c r="OYQ241" s="10"/>
      <c r="OYR241" s="21"/>
      <c r="OYS241" s="21"/>
      <c r="OYV241" s="21"/>
      <c r="OYW241" s="15"/>
      <c r="OYX241" s="15"/>
      <c r="OYY241" s="15"/>
      <c r="OYZ241" s="15"/>
      <c r="OZA241" s="15"/>
      <c r="OZB241" s="15"/>
      <c r="OZC241" s="15"/>
      <c r="OZD241" s="15"/>
      <c r="OZE241" s="15"/>
      <c r="OZF241" s="15"/>
      <c r="OZG241" s="10"/>
      <c r="OZH241" s="10"/>
      <c r="OZI241" s="21"/>
      <c r="OZJ241" s="21"/>
      <c r="OZM241" s="21"/>
      <c r="OZN241" s="15"/>
      <c r="OZO241" s="15"/>
      <c r="OZP241" s="15"/>
      <c r="OZQ241" s="15"/>
      <c r="OZR241" s="15"/>
      <c r="OZS241" s="15"/>
      <c r="OZT241" s="15"/>
      <c r="OZU241" s="15"/>
      <c r="OZV241" s="15"/>
      <c r="OZW241" s="15"/>
      <c r="OZX241" s="10"/>
      <c r="OZY241" s="10"/>
      <c r="OZZ241" s="21"/>
      <c r="PAA241" s="21"/>
      <c r="PAD241" s="21"/>
      <c r="PAE241" s="15"/>
      <c r="PAF241" s="15"/>
      <c r="PAG241" s="15"/>
      <c r="PAH241" s="15"/>
      <c r="PAI241" s="15"/>
      <c r="PAJ241" s="15"/>
      <c r="PAK241" s="15"/>
      <c r="PAL241" s="15"/>
      <c r="PAM241" s="15"/>
      <c r="PAN241" s="15"/>
      <c r="PAO241" s="10"/>
      <c r="PAP241" s="10"/>
      <c r="PAQ241" s="21"/>
      <c r="PAR241" s="21"/>
      <c r="PAU241" s="21"/>
      <c r="PAV241" s="15"/>
      <c r="PAW241" s="15"/>
      <c r="PAX241" s="15"/>
      <c r="PAY241" s="15"/>
      <c r="PAZ241" s="15"/>
      <c r="PBA241" s="15"/>
      <c r="PBB241" s="15"/>
      <c r="PBC241" s="15"/>
      <c r="PBD241" s="15"/>
      <c r="PBE241" s="15"/>
      <c r="PBF241" s="10"/>
      <c r="PBG241" s="10"/>
      <c r="PBH241" s="21"/>
      <c r="PBI241" s="21"/>
      <c r="PBL241" s="21"/>
      <c r="PBM241" s="15"/>
      <c r="PBN241" s="15"/>
      <c r="PBO241" s="15"/>
      <c r="PBP241" s="15"/>
      <c r="PBQ241" s="15"/>
      <c r="PBR241" s="15"/>
      <c r="PBS241" s="15"/>
      <c r="PBT241" s="15"/>
      <c r="PBU241" s="15"/>
      <c r="PBV241" s="15"/>
      <c r="PBW241" s="10"/>
      <c r="PBX241" s="10"/>
      <c r="PBY241" s="21"/>
      <c r="PBZ241" s="21"/>
      <c r="PCC241" s="21"/>
      <c r="PCD241" s="15"/>
      <c r="PCE241" s="15"/>
      <c r="PCF241" s="15"/>
      <c r="PCG241" s="15"/>
      <c r="PCH241" s="15"/>
      <c r="PCI241" s="15"/>
      <c r="PCJ241" s="15"/>
      <c r="PCK241" s="15"/>
      <c r="PCL241" s="15"/>
      <c r="PCM241" s="15"/>
      <c r="PCN241" s="10"/>
      <c r="PCO241" s="10"/>
      <c r="PCP241" s="21"/>
      <c r="PCQ241" s="21"/>
      <c r="PCT241" s="21"/>
      <c r="PCU241" s="15"/>
      <c r="PCV241" s="15"/>
      <c r="PCW241" s="15"/>
      <c r="PCX241" s="15"/>
      <c r="PCY241" s="15"/>
      <c r="PCZ241" s="15"/>
      <c r="PDA241" s="15"/>
      <c r="PDB241" s="15"/>
      <c r="PDC241" s="15"/>
      <c r="PDD241" s="15"/>
      <c r="PDE241" s="10"/>
      <c r="PDF241" s="10"/>
      <c r="PDG241" s="21"/>
      <c r="PDH241" s="21"/>
      <c r="PDK241" s="21"/>
      <c r="PDL241" s="15"/>
      <c r="PDM241" s="15"/>
      <c r="PDN241" s="15"/>
      <c r="PDO241" s="15"/>
      <c r="PDP241" s="15"/>
      <c r="PDQ241" s="15"/>
      <c r="PDR241" s="15"/>
      <c r="PDS241" s="15"/>
      <c r="PDT241" s="15"/>
      <c r="PDU241" s="15"/>
      <c r="PDV241" s="10"/>
      <c r="PDW241" s="10"/>
      <c r="PDX241" s="21"/>
      <c r="PDY241" s="21"/>
      <c r="PEB241" s="21"/>
      <c r="PEC241" s="15"/>
      <c r="PED241" s="15"/>
      <c r="PEE241" s="15"/>
      <c r="PEF241" s="15"/>
      <c r="PEG241" s="15"/>
      <c r="PEH241" s="15"/>
      <c r="PEI241" s="15"/>
      <c r="PEJ241" s="15"/>
      <c r="PEK241" s="15"/>
      <c r="PEL241" s="15"/>
      <c r="PEM241" s="10"/>
      <c r="PEN241" s="10"/>
      <c r="PEO241" s="21"/>
      <c r="PEP241" s="21"/>
      <c r="PES241" s="21"/>
      <c r="PET241" s="15"/>
      <c r="PEU241" s="15"/>
      <c r="PEV241" s="15"/>
      <c r="PEW241" s="15"/>
      <c r="PEX241" s="15"/>
      <c r="PEY241" s="15"/>
      <c r="PEZ241" s="15"/>
      <c r="PFA241" s="15"/>
      <c r="PFB241" s="15"/>
      <c r="PFC241" s="15"/>
      <c r="PFD241" s="10"/>
      <c r="PFE241" s="10"/>
      <c r="PFF241" s="21"/>
      <c r="PFG241" s="21"/>
      <c r="PFJ241" s="21"/>
      <c r="PFK241" s="15"/>
      <c r="PFL241" s="15"/>
      <c r="PFM241" s="15"/>
      <c r="PFN241" s="15"/>
      <c r="PFO241" s="15"/>
      <c r="PFP241" s="15"/>
      <c r="PFQ241" s="15"/>
      <c r="PFR241" s="15"/>
      <c r="PFS241" s="15"/>
      <c r="PFT241" s="15"/>
      <c r="PFU241" s="10"/>
      <c r="PFV241" s="10"/>
      <c r="PFW241" s="21"/>
      <c r="PFX241" s="21"/>
      <c r="PGA241" s="21"/>
      <c r="PGB241" s="15"/>
      <c r="PGC241" s="15"/>
      <c r="PGD241" s="15"/>
      <c r="PGE241" s="15"/>
      <c r="PGF241" s="15"/>
      <c r="PGG241" s="15"/>
      <c r="PGH241" s="15"/>
      <c r="PGI241" s="15"/>
      <c r="PGJ241" s="15"/>
      <c r="PGK241" s="15"/>
      <c r="PGL241" s="10"/>
      <c r="PGM241" s="10"/>
      <c r="PGN241" s="21"/>
      <c r="PGO241" s="21"/>
      <c r="PGR241" s="21"/>
      <c r="PGS241" s="15"/>
      <c r="PGT241" s="15"/>
      <c r="PGU241" s="15"/>
      <c r="PGV241" s="15"/>
      <c r="PGW241" s="15"/>
      <c r="PGX241" s="15"/>
      <c r="PGY241" s="15"/>
      <c r="PGZ241" s="15"/>
      <c r="PHA241" s="15"/>
      <c r="PHB241" s="15"/>
      <c r="PHC241" s="10"/>
      <c r="PHD241" s="10"/>
      <c r="PHE241" s="21"/>
      <c r="PHF241" s="21"/>
      <c r="PHI241" s="21"/>
      <c r="PHJ241" s="15"/>
      <c r="PHK241" s="15"/>
      <c r="PHL241" s="15"/>
      <c r="PHM241" s="15"/>
      <c r="PHN241" s="15"/>
      <c r="PHO241" s="15"/>
      <c r="PHP241" s="15"/>
      <c r="PHQ241" s="15"/>
      <c r="PHR241" s="15"/>
      <c r="PHS241" s="15"/>
      <c r="PHT241" s="10"/>
      <c r="PHU241" s="10"/>
      <c r="PHV241" s="21"/>
      <c r="PHW241" s="21"/>
      <c r="PHZ241" s="21"/>
      <c r="PIA241" s="15"/>
      <c r="PIB241" s="15"/>
      <c r="PIC241" s="15"/>
      <c r="PID241" s="15"/>
      <c r="PIE241" s="15"/>
      <c r="PIF241" s="15"/>
      <c r="PIG241" s="15"/>
      <c r="PIH241" s="15"/>
      <c r="PII241" s="15"/>
      <c r="PIJ241" s="15"/>
      <c r="PIK241" s="10"/>
      <c r="PIL241" s="10"/>
      <c r="PIM241" s="21"/>
      <c r="PIN241" s="21"/>
      <c r="PIQ241" s="21"/>
      <c r="PIR241" s="15"/>
      <c r="PIS241" s="15"/>
      <c r="PIT241" s="15"/>
      <c r="PIU241" s="15"/>
      <c r="PIV241" s="15"/>
      <c r="PIW241" s="15"/>
      <c r="PIX241" s="15"/>
      <c r="PIY241" s="15"/>
      <c r="PIZ241" s="15"/>
      <c r="PJA241" s="15"/>
      <c r="PJB241" s="10"/>
      <c r="PJC241" s="10"/>
      <c r="PJD241" s="21"/>
      <c r="PJE241" s="21"/>
      <c r="PJH241" s="21"/>
      <c r="PJI241" s="15"/>
      <c r="PJJ241" s="15"/>
      <c r="PJK241" s="15"/>
      <c r="PJL241" s="15"/>
      <c r="PJM241" s="15"/>
      <c r="PJN241" s="15"/>
      <c r="PJO241" s="15"/>
      <c r="PJP241" s="15"/>
      <c r="PJQ241" s="15"/>
      <c r="PJR241" s="15"/>
      <c r="PJS241" s="10"/>
      <c r="PJT241" s="10"/>
      <c r="PJU241" s="21"/>
      <c r="PJV241" s="21"/>
      <c r="PJY241" s="21"/>
      <c r="PJZ241" s="15"/>
      <c r="PKA241" s="15"/>
      <c r="PKB241" s="15"/>
      <c r="PKC241" s="15"/>
      <c r="PKD241" s="15"/>
      <c r="PKE241" s="15"/>
      <c r="PKF241" s="15"/>
      <c r="PKG241" s="15"/>
      <c r="PKH241" s="15"/>
      <c r="PKI241" s="15"/>
      <c r="PKJ241" s="10"/>
      <c r="PKK241" s="10"/>
      <c r="PKL241" s="21"/>
      <c r="PKM241" s="21"/>
      <c r="PKP241" s="21"/>
      <c r="PKQ241" s="15"/>
      <c r="PKR241" s="15"/>
      <c r="PKS241" s="15"/>
      <c r="PKT241" s="15"/>
      <c r="PKU241" s="15"/>
      <c r="PKV241" s="15"/>
      <c r="PKW241" s="15"/>
      <c r="PKX241" s="15"/>
      <c r="PKY241" s="15"/>
      <c r="PKZ241" s="15"/>
      <c r="PLA241" s="10"/>
      <c r="PLB241" s="10"/>
      <c r="PLC241" s="21"/>
      <c r="PLD241" s="21"/>
      <c r="PLG241" s="21"/>
      <c r="PLH241" s="15"/>
      <c r="PLI241" s="15"/>
      <c r="PLJ241" s="15"/>
      <c r="PLK241" s="15"/>
      <c r="PLL241" s="15"/>
      <c r="PLM241" s="15"/>
      <c r="PLN241" s="15"/>
      <c r="PLO241" s="15"/>
      <c r="PLP241" s="15"/>
      <c r="PLQ241" s="15"/>
      <c r="PLR241" s="10"/>
      <c r="PLS241" s="10"/>
      <c r="PLT241" s="21"/>
      <c r="PLU241" s="21"/>
      <c r="PLX241" s="21"/>
      <c r="PLY241" s="15"/>
      <c r="PLZ241" s="15"/>
      <c r="PMA241" s="15"/>
      <c r="PMB241" s="15"/>
      <c r="PMC241" s="15"/>
      <c r="PMD241" s="15"/>
      <c r="PME241" s="15"/>
      <c r="PMF241" s="15"/>
      <c r="PMG241" s="15"/>
      <c r="PMH241" s="15"/>
      <c r="PMI241" s="10"/>
      <c r="PMJ241" s="10"/>
      <c r="PMK241" s="21"/>
      <c r="PML241" s="21"/>
      <c r="PMO241" s="21"/>
      <c r="PMP241" s="15"/>
      <c r="PMQ241" s="15"/>
      <c r="PMR241" s="15"/>
      <c r="PMS241" s="15"/>
      <c r="PMT241" s="15"/>
      <c r="PMU241" s="15"/>
      <c r="PMV241" s="15"/>
      <c r="PMW241" s="15"/>
      <c r="PMX241" s="15"/>
      <c r="PMY241" s="15"/>
      <c r="PMZ241" s="10"/>
      <c r="PNA241" s="10"/>
      <c r="PNB241" s="21"/>
      <c r="PNC241" s="21"/>
      <c r="PNF241" s="21"/>
      <c r="PNG241" s="15"/>
      <c r="PNH241" s="15"/>
      <c r="PNI241" s="15"/>
      <c r="PNJ241" s="15"/>
      <c r="PNK241" s="15"/>
      <c r="PNL241" s="15"/>
      <c r="PNM241" s="15"/>
      <c r="PNN241" s="15"/>
      <c r="PNO241" s="15"/>
      <c r="PNP241" s="15"/>
      <c r="PNQ241" s="10"/>
      <c r="PNR241" s="10"/>
      <c r="PNS241" s="21"/>
      <c r="PNT241" s="21"/>
      <c r="PNW241" s="21"/>
      <c r="PNX241" s="15"/>
      <c r="PNY241" s="15"/>
      <c r="PNZ241" s="15"/>
      <c r="POA241" s="15"/>
      <c r="POB241" s="15"/>
      <c r="POC241" s="15"/>
      <c r="POD241" s="15"/>
      <c r="POE241" s="15"/>
      <c r="POF241" s="15"/>
      <c r="POG241" s="15"/>
      <c r="POH241" s="10"/>
      <c r="POI241" s="10"/>
      <c r="POJ241" s="21"/>
      <c r="POK241" s="21"/>
      <c r="PON241" s="21"/>
      <c r="POO241" s="15"/>
      <c r="POP241" s="15"/>
      <c r="POQ241" s="15"/>
      <c r="POR241" s="15"/>
      <c r="POS241" s="15"/>
      <c r="POT241" s="15"/>
      <c r="POU241" s="15"/>
      <c r="POV241" s="15"/>
      <c r="POW241" s="15"/>
      <c r="POX241" s="15"/>
      <c r="POY241" s="10"/>
      <c r="POZ241" s="10"/>
      <c r="PPA241" s="21"/>
      <c r="PPB241" s="21"/>
      <c r="PPE241" s="21"/>
      <c r="PPF241" s="15"/>
      <c r="PPG241" s="15"/>
      <c r="PPH241" s="15"/>
      <c r="PPI241" s="15"/>
      <c r="PPJ241" s="15"/>
      <c r="PPK241" s="15"/>
      <c r="PPL241" s="15"/>
      <c r="PPM241" s="15"/>
      <c r="PPN241" s="15"/>
      <c r="PPO241" s="15"/>
      <c r="PPP241" s="10"/>
      <c r="PPQ241" s="10"/>
      <c r="PPR241" s="21"/>
      <c r="PPS241" s="21"/>
      <c r="PPV241" s="21"/>
      <c r="PPW241" s="15"/>
      <c r="PPX241" s="15"/>
      <c r="PPY241" s="15"/>
      <c r="PPZ241" s="15"/>
      <c r="PQA241" s="15"/>
      <c r="PQB241" s="15"/>
      <c r="PQC241" s="15"/>
      <c r="PQD241" s="15"/>
      <c r="PQE241" s="15"/>
      <c r="PQF241" s="15"/>
      <c r="PQG241" s="10"/>
      <c r="PQH241" s="10"/>
      <c r="PQI241" s="21"/>
      <c r="PQJ241" s="21"/>
      <c r="PQM241" s="21"/>
      <c r="PQN241" s="15"/>
      <c r="PQO241" s="15"/>
      <c r="PQP241" s="15"/>
      <c r="PQQ241" s="15"/>
      <c r="PQR241" s="15"/>
      <c r="PQS241" s="15"/>
      <c r="PQT241" s="15"/>
      <c r="PQU241" s="15"/>
      <c r="PQV241" s="15"/>
      <c r="PQW241" s="15"/>
      <c r="PQX241" s="10"/>
      <c r="PQY241" s="10"/>
      <c r="PQZ241" s="21"/>
      <c r="PRA241" s="21"/>
      <c r="PRD241" s="21"/>
      <c r="PRE241" s="15"/>
      <c r="PRF241" s="15"/>
      <c r="PRG241" s="15"/>
      <c r="PRH241" s="15"/>
      <c r="PRI241" s="15"/>
      <c r="PRJ241" s="15"/>
      <c r="PRK241" s="15"/>
      <c r="PRL241" s="15"/>
      <c r="PRM241" s="15"/>
      <c r="PRN241" s="15"/>
      <c r="PRO241" s="10"/>
      <c r="PRP241" s="10"/>
      <c r="PRQ241" s="21"/>
      <c r="PRR241" s="21"/>
      <c r="PRU241" s="21"/>
      <c r="PRV241" s="15"/>
      <c r="PRW241" s="15"/>
      <c r="PRX241" s="15"/>
      <c r="PRY241" s="15"/>
      <c r="PRZ241" s="15"/>
      <c r="PSA241" s="15"/>
      <c r="PSB241" s="15"/>
      <c r="PSC241" s="15"/>
      <c r="PSD241" s="15"/>
      <c r="PSE241" s="15"/>
      <c r="PSF241" s="10"/>
      <c r="PSG241" s="10"/>
      <c r="PSH241" s="21"/>
      <c r="PSI241" s="21"/>
      <c r="PSL241" s="21"/>
      <c r="PSM241" s="15"/>
      <c r="PSN241" s="15"/>
      <c r="PSO241" s="15"/>
      <c r="PSP241" s="15"/>
      <c r="PSQ241" s="15"/>
      <c r="PSR241" s="15"/>
      <c r="PSS241" s="15"/>
      <c r="PST241" s="15"/>
      <c r="PSU241" s="15"/>
      <c r="PSV241" s="15"/>
      <c r="PSW241" s="10"/>
      <c r="PSX241" s="10"/>
      <c r="PSY241" s="21"/>
      <c r="PSZ241" s="21"/>
      <c r="PTC241" s="21"/>
      <c r="PTD241" s="15"/>
      <c r="PTE241" s="15"/>
      <c r="PTF241" s="15"/>
      <c r="PTG241" s="15"/>
      <c r="PTH241" s="15"/>
      <c r="PTI241" s="15"/>
      <c r="PTJ241" s="15"/>
      <c r="PTK241" s="15"/>
      <c r="PTL241" s="15"/>
      <c r="PTM241" s="15"/>
      <c r="PTN241" s="10"/>
      <c r="PTO241" s="10"/>
      <c r="PTP241" s="21"/>
      <c r="PTQ241" s="21"/>
      <c r="PTT241" s="21"/>
      <c r="PTU241" s="15"/>
      <c r="PTV241" s="15"/>
      <c r="PTW241" s="15"/>
      <c r="PTX241" s="15"/>
      <c r="PTY241" s="15"/>
      <c r="PTZ241" s="15"/>
      <c r="PUA241" s="15"/>
      <c r="PUB241" s="15"/>
      <c r="PUC241" s="15"/>
      <c r="PUD241" s="15"/>
      <c r="PUE241" s="10"/>
      <c r="PUF241" s="10"/>
      <c r="PUG241" s="21"/>
      <c r="PUH241" s="21"/>
      <c r="PUK241" s="21"/>
      <c r="PUL241" s="15"/>
      <c r="PUM241" s="15"/>
      <c r="PUN241" s="15"/>
      <c r="PUO241" s="15"/>
      <c r="PUP241" s="15"/>
      <c r="PUQ241" s="15"/>
      <c r="PUR241" s="15"/>
      <c r="PUS241" s="15"/>
      <c r="PUT241" s="15"/>
      <c r="PUU241" s="15"/>
      <c r="PUV241" s="10"/>
      <c r="PUW241" s="10"/>
      <c r="PUX241" s="21"/>
      <c r="PUY241" s="21"/>
      <c r="PVB241" s="21"/>
      <c r="PVC241" s="15"/>
      <c r="PVD241" s="15"/>
      <c r="PVE241" s="15"/>
      <c r="PVF241" s="15"/>
      <c r="PVG241" s="15"/>
      <c r="PVH241" s="15"/>
      <c r="PVI241" s="15"/>
      <c r="PVJ241" s="15"/>
      <c r="PVK241" s="15"/>
      <c r="PVL241" s="15"/>
      <c r="PVM241" s="10"/>
      <c r="PVN241" s="10"/>
      <c r="PVO241" s="21"/>
      <c r="PVP241" s="21"/>
      <c r="PVS241" s="21"/>
      <c r="PVT241" s="15"/>
      <c r="PVU241" s="15"/>
      <c r="PVV241" s="15"/>
      <c r="PVW241" s="15"/>
      <c r="PVX241" s="15"/>
      <c r="PVY241" s="15"/>
      <c r="PVZ241" s="15"/>
      <c r="PWA241" s="15"/>
      <c r="PWB241" s="15"/>
      <c r="PWC241" s="15"/>
      <c r="PWD241" s="10"/>
      <c r="PWE241" s="10"/>
      <c r="PWF241" s="21"/>
      <c r="PWG241" s="21"/>
      <c r="PWJ241" s="21"/>
      <c r="PWK241" s="15"/>
      <c r="PWL241" s="15"/>
      <c r="PWM241" s="15"/>
      <c r="PWN241" s="15"/>
      <c r="PWO241" s="15"/>
      <c r="PWP241" s="15"/>
      <c r="PWQ241" s="15"/>
      <c r="PWR241" s="15"/>
      <c r="PWS241" s="15"/>
      <c r="PWT241" s="15"/>
      <c r="PWU241" s="10"/>
      <c r="PWV241" s="10"/>
      <c r="PWW241" s="21"/>
      <c r="PWX241" s="21"/>
      <c r="PXA241" s="21"/>
      <c r="PXB241" s="15"/>
      <c r="PXC241" s="15"/>
      <c r="PXD241" s="15"/>
      <c r="PXE241" s="15"/>
      <c r="PXF241" s="15"/>
      <c r="PXG241" s="15"/>
      <c r="PXH241" s="15"/>
      <c r="PXI241" s="15"/>
      <c r="PXJ241" s="15"/>
      <c r="PXK241" s="15"/>
      <c r="PXL241" s="10"/>
      <c r="PXM241" s="10"/>
      <c r="PXN241" s="21"/>
      <c r="PXO241" s="21"/>
      <c r="PXR241" s="21"/>
      <c r="PXS241" s="15"/>
      <c r="PXT241" s="15"/>
      <c r="PXU241" s="15"/>
      <c r="PXV241" s="15"/>
      <c r="PXW241" s="15"/>
      <c r="PXX241" s="15"/>
      <c r="PXY241" s="15"/>
      <c r="PXZ241" s="15"/>
      <c r="PYA241" s="15"/>
      <c r="PYB241" s="15"/>
      <c r="PYC241" s="10"/>
      <c r="PYD241" s="10"/>
      <c r="PYE241" s="21"/>
      <c r="PYF241" s="21"/>
      <c r="PYI241" s="21"/>
      <c r="PYJ241" s="15"/>
      <c r="PYK241" s="15"/>
      <c r="PYL241" s="15"/>
      <c r="PYM241" s="15"/>
      <c r="PYN241" s="15"/>
      <c r="PYO241" s="15"/>
      <c r="PYP241" s="15"/>
      <c r="PYQ241" s="15"/>
      <c r="PYR241" s="15"/>
      <c r="PYS241" s="15"/>
      <c r="PYT241" s="10"/>
      <c r="PYU241" s="10"/>
      <c r="PYV241" s="21"/>
      <c r="PYW241" s="21"/>
      <c r="PYZ241" s="21"/>
      <c r="PZA241" s="15"/>
      <c r="PZB241" s="15"/>
      <c r="PZC241" s="15"/>
      <c r="PZD241" s="15"/>
      <c r="PZE241" s="15"/>
      <c r="PZF241" s="15"/>
      <c r="PZG241" s="15"/>
      <c r="PZH241" s="15"/>
      <c r="PZI241" s="15"/>
      <c r="PZJ241" s="15"/>
      <c r="PZK241" s="10"/>
      <c r="PZL241" s="10"/>
      <c r="PZM241" s="21"/>
      <c r="PZN241" s="21"/>
      <c r="PZQ241" s="21"/>
      <c r="PZR241" s="15"/>
      <c r="PZS241" s="15"/>
      <c r="PZT241" s="15"/>
      <c r="PZU241" s="15"/>
      <c r="PZV241" s="15"/>
      <c r="PZW241" s="15"/>
      <c r="PZX241" s="15"/>
      <c r="PZY241" s="15"/>
      <c r="PZZ241" s="15"/>
      <c r="QAA241" s="15"/>
      <c r="QAB241" s="10"/>
      <c r="QAC241" s="10"/>
      <c r="QAD241" s="21"/>
      <c r="QAE241" s="21"/>
      <c r="QAH241" s="21"/>
      <c r="QAI241" s="15"/>
      <c r="QAJ241" s="15"/>
      <c r="QAK241" s="15"/>
      <c r="QAL241" s="15"/>
      <c r="QAM241" s="15"/>
      <c r="QAN241" s="15"/>
      <c r="QAO241" s="15"/>
      <c r="QAP241" s="15"/>
      <c r="QAQ241" s="15"/>
      <c r="QAR241" s="15"/>
      <c r="QAS241" s="10"/>
      <c r="QAT241" s="10"/>
      <c r="QAU241" s="21"/>
      <c r="QAV241" s="21"/>
      <c r="QAY241" s="21"/>
      <c r="QAZ241" s="15"/>
      <c r="QBA241" s="15"/>
      <c r="QBB241" s="15"/>
      <c r="QBC241" s="15"/>
      <c r="QBD241" s="15"/>
      <c r="QBE241" s="15"/>
      <c r="QBF241" s="15"/>
      <c r="QBG241" s="15"/>
      <c r="QBH241" s="15"/>
      <c r="QBI241" s="15"/>
      <c r="QBJ241" s="10"/>
      <c r="QBK241" s="10"/>
      <c r="QBL241" s="21"/>
      <c r="QBM241" s="21"/>
      <c r="QBP241" s="21"/>
      <c r="QBQ241" s="15"/>
      <c r="QBR241" s="15"/>
      <c r="QBS241" s="15"/>
      <c r="QBT241" s="15"/>
      <c r="QBU241" s="15"/>
      <c r="QBV241" s="15"/>
      <c r="QBW241" s="15"/>
      <c r="QBX241" s="15"/>
      <c r="QBY241" s="15"/>
      <c r="QBZ241" s="15"/>
      <c r="QCA241" s="10"/>
      <c r="QCB241" s="10"/>
      <c r="QCC241" s="21"/>
      <c r="QCD241" s="21"/>
      <c r="QCG241" s="21"/>
      <c r="QCH241" s="15"/>
      <c r="QCI241" s="15"/>
      <c r="QCJ241" s="15"/>
      <c r="QCK241" s="15"/>
      <c r="QCL241" s="15"/>
      <c r="QCM241" s="15"/>
      <c r="QCN241" s="15"/>
      <c r="QCO241" s="15"/>
      <c r="QCP241" s="15"/>
      <c r="QCQ241" s="15"/>
      <c r="QCR241" s="10"/>
      <c r="QCS241" s="10"/>
      <c r="QCT241" s="21"/>
      <c r="QCU241" s="21"/>
      <c r="QCX241" s="21"/>
      <c r="QCY241" s="15"/>
      <c r="QCZ241" s="15"/>
      <c r="QDA241" s="15"/>
      <c r="QDB241" s="15"/>
      <c r="QDC241" s="15"/>
      <c r="QDD241" s="15"/>
      <c r="QDE241" s="15"/>
      <c r="QDF241" s="15"/>
      <c r="QDG241" s="15"/>
      <c r="QDH241" s="15"/>
      <c r="QDI241" s="10"/>
      <c r="QDJ241" s="10"/>
      <c r="QDK241" s="21"/>
      <c r="QDL241" s="21"/>
      <c r="QDO241" s="21"/>
      <c r="QDP241" s="15"/>
      <c r="QDQ241" s="15"/>
      <c r="QDR241" s="15"/>
      <c r="QDS241" s="15"/>
      <c r="QDT241" s="15"/>
      <c r="QDU241" s="15"/>
      <c r="QDV241" s="15"/>
      <c r="QDW241" s="15"/>
      <c r="QDX241" s="15"/>
      <c r="QDY241" s="15"/>
      <c r="QDZ241" s="10"/>
      <c r="QEA241" s="10"/>
      <c r="QEB241" s="21"/>
      <c r="QEC241" s="21"/>
      <c r="QEF241" s="21"/>
      <c r="QEG241" s="15"/>
      <c r="QEH241" s="15"/>
      <c r="QEI241" s="15"/>
      <c r="QEJ241" s="15"/>
      <c r="QEK241" s="15"/>
      <c r="QEL241" s="15"/>
      <c r="QEM241" s="15"/>
      <c r="QEN241" s="15"/>
      <c r="QEO241" s="15"/>
      <c r="QEP241" s="15"/>
      <c r="QEQ241" s="10"/>
      <c r="QER241" s="10"/>
      <c r="QES241" s="21"/>
      <c r="QET241" s="21"/>
      <c r="QEW241" s="21"/>
      <c r="QEX241" s="15"/>
      <c r="QEY241" s="15"/>
      <c r="QEZ241" s="15"/>
      <c r="QFA241" s="15"/>
      <c r="QFB241" s="15"/>
      <c r="QFC241" s="15"/>
      <c r="QFD241" s="15"/>
      <c r="QFE241" s="15"/>
      <c r="QFF241" s="15"/>
      <c r="QFG241" s="15"/>
      <c r="QFH241" s="10"/>
      <c r="QFI241" s="10"/>
      <c r="QFJ241" s="21"/>
      <c r="QFK241" s="21"/>
      <c r="QFN241" s="21"/>
      <c r="QFO241" s="15"/>
      <c r="QFP241" s="15"/>
      <c r="QFQ241" s="15"/>
      <c r="QFR241" s="15"/>
      <c r="QFS241" s="15"/>
      <c r="QFT241" s="15"/>
      <c r="QFU241" s="15"/>
      <c r="QFV241" s="15"/>
      <c r="QFW241" s="15"/>
      <c r="QFX241" s="15"/>
      <c r="QFY241" s="10"/>
      <c r="QFZ241" s="10"/>
      <c r="QGA241" s="21"/>
      <c r="QGB241" s="21"/>
      <c r="QGE241" s="21"/>
      <c r="QGF241" s="15"/>
      <c r="QGG241" s="15"/>
      <c r="QGH241" s="15"/>
      <c r="QGI241" s="15"/>
      <c r="QGJ241" s="15"/>
      <c r="QGK241" s="15"/>
      <c r="QGL241" s="15"/>
      <c r="QGM241" s="15"/>
      <c r="QGN241" s="15"/>
      <c r="QGO241" s="15"/>
      <c r="QGP241" s="10"/>
      <c r="QGQ241" s="10"/>
      <c r="QGR241" s="21"/>
      <c r="QGS241" s="21"/>
      <c r="QGV241" s="21"/>
      <c r="QGW241" s="15"/>
      <c r="QGX241" s="15"/>
      <c r="QGY241" s="15"/>
      <c r="QGZ241" s="15"/>
      <c r="QHA241" s="15"/>
      <c r="QHB241" s="15"/>
      <c r="QHC241" s="15"/>
      <c r="QHD241" s="15"/>
      <c r="QHE241" s="15"/>
      <c r="QHF241" s="15"/>
      <c r="QHG241" s="10"/>
      <c r="QHH241" s="10"/>
      <c r="QHI241" s="21"/>
      <c r="QHJ241" s="21"/>
      <c r="QHM241" s="21"/>
      <c r="QHN241" s="15"/>
      <c r="QHO241" s="15"/>
      <c r="QHP241" s="15"/>
      <c r="QHQ241" s="15"/>
      <c r="QHR241" s="15"/>
      <c r="QHS241" s="15"/>
      <c r="QHT241" s="15"/>
      <c r="QHU241" s="15"/>
      <c r="QHV241" s="15"/>
      <c r="QHW241" s="15"/>
      <c r="QHX241" s="10"/>
      <c r="QHY241" s="10"/>
      <c r="QHZ241" s="21"/>
      <c r="QIA241" s="21"/>
      <c r="QID241" s="21"/>
      <c r="QIE241" s="15"/>
      <c r="QIF241" s="15"/>
      <c r="QIG241" s="15"/>
      <c r="QIH241" s="15"/>
      <c r="QII241" s="15"/>
      <c r="QIJ241" s="15"/>
      <c r="QIK241" s="15"/>
      <c r="QIL241" s="15"/>
      <c r="QIM241" s="15"/>
      <c r="QIN241" s="15"/>
      <c r="QIO241" s="10"/>
      <c r="QIP241" s="10"/>
      <c r="QIQ241" s="21"/>
      <c r="QIR241" s="21"/>
      <c r="QIU241" s="21"/>
      <c r="QIV241" s="15"/>
      <c r="QIW241" s="15"/>
      <c r="QIX241" s="15"/>
      <c r="QIY241" s="15"/>
      <c r="QIZ241" s="15"/>
      <c r="QJA241" s="15"/>
      <c r="QJB241" s="15"/>
      <c r="QJC241" s="15"/>
      <c r="QJD241" s="15"/>
      <c r="QJE241" s="15"/>
      <c r="QJF241" s="10"/>
      <c r="QJG241" s="10"/>
      <c r="QJH241" s="21"/>
      <c r="QJI241" s="21"/>
      <c r="QJL241" s="21"/>
      <c r="QJM241" s="15"/>
      <c r="QJN241" s="15"/>
      <c r="QJO241" s="15"/>
      <c r="QJP241" s="15"/>
      <c r="QJQ241" s="15"/>
      <c r="QJR241" s="15"/>
      <c r="QJS241" s="15"/>
      <c r="QJT241" s="15"/>
      <c r="QJU241" s="15"/>
      <c r="QJV241" s="15"/>
      <c r="QJW241" s="10"/>
      <c r="QJX241" s="10"/>
      <c r="QJY241" s="21"/>
      <c r="QJZ241" s="21"/>
      <c r="QKC241" s="21"/>
      <c r="QKD241" s="15"/>
      <c r="QKE241" s="15"/>
      <c r="QKF241" s="15"/>
      <c r="QKG241" s="15"/>
      <c r="QKH241" s="15"/>
      <c r="QKI241" s="15"/>
      <c r="QKJ241" s="15"/>
      <c r="QKK241" s="15"/>
      <c r="QKL241" s="15"/>
      <c r="QKM241" s="15"/>
      <c r="QKN241" s="10"/>
      <c r="QKO241" s="10"/>
      <c r="QKP241" s="21"/>
      <c r="QKQ241" s="21"/>
      <c r="QKT241" s="21"/>
      <c r="QKU241" s="15"/>
      <c r="QKV241" s="15"/>
      <c r="QKW241" s="15"/>
      <c r="QKX241" s="15"/>
      <c r="QKY241" s="15"/>
      <c r="QKZ241" s="15"/>
      <c r="QLA241" s="15"/>
      <c r="QLB241" s="15"/>
      <c r="QLC241" s="15"/>
      <c r="QLD241" s="15"/>
      <c r="QLE241" s="10"/>
      <c r="QLF241" s="10"/>
      <c r="QLG241" s="21"/>
      <c r="QLH241" s="21"/>
      <c r="QLK241" s="21"/>
      <c r="QLL241" s="15"/>
      <c r="QLM241" s="15"/>
      <c r="QLN241" s="15"/>
      <c r="QLO241" s="15"/>
      <c r="QLP241" s="15"/>
      <c r="QLQ241" s="15"/>
      <c r="QLR241" s="15"/>
      <c r="QLS241" s="15"/>
      <c r="QLT241" s="15"/>
      <c r="QLU241" s="15"/>
      <c r="QLV241" s="10"/>
      <c r="QLW241" s="10"/>
      <c r="QLX241" s="21"/>
      <c r="QLY241" s="21"/>
      <c r="QMB241" s="21"/>
      <c r="QMC241" s="15"/>
      <c r="QMD241" s="15"/>
      <c r="QME241" s="15"/>
      <c r="QMF241" s="15"/>
      <c r="QMG241" s="15"/>
      <c r="QMH241" s="15"/>
      <c r="QMI241" s="15"/>
      <c r="QMJ241" s="15"/>
      <c r="QMK241" s="15"/>
      <c r="QML241" s="15"/>
      <c r="QMM241" s="10"/>
      <c r="QMN241" s="10"/>
      <c r="QMO241" s="21"/>
      <c r="QMP241" s="21"/>
      <c r="QMS241" s="21"/>
      <c r="QMT241" s="15"/>
      <c r="QMU241" s="15"/>
      <c r="QMV241" s="15"/>
      <c r="QMW241" s="15"/>
      <c r="QMX241" s="15"/>
      <c r="QMY241" s="15"/>
      <c r="QMZ241" s="15"/>
      <c r="QNA241" s="15"/>
      <c r="QNB241" s="15"/>
      <c r="QNC241" s="15"/>
      <c r="QND241" s="10"/>
      <c r="QNE241" s="10"/>
      <c r="QNF241" s="21"/>
      <c r="QNG241" s="21"/>
      <c r="QNJ241" s="21"/>
      <c r="QNK241" s="15"/>
      <c r="QNL241" s="15"/>
      <c r="QNM241" s="15"/>
      <c r="QNN241" s="15"/>
      <c r="QNO241" s="15"/>
      <c r="QNP241" s="15"/>
      <c r="QNQ241" s="15"/>
      <c r="QNR241" s="15"/>
      <c r="QNS241" s="15"/>
      <c r="QNT241" s="15"/>
      <c r="QNU241" s="10"/>
      <c r="QNV241" s="10"/>
      <c r="QNW241" s="21"/>
      <c r="QNX241" s="21"/>
      <c r="QOA241" s="21"/>
      <c r="QOB241" s="15"/>
      <c r="QOC241" s="15"/>
      <c r="QOD241" s="15"/>
      <c r="QOE241" s="15"/>
      <c r="QOF241" s="15"/>
      <c r="QOG241" s="15"/>
      <c r="QOH241" s="15"/>
      <c r="QOI241" s="15"/>
      <c r="QOJ241" s="15"/>
      <c r="QOK241" s="15"/>
      <c r="QOL241" s="10"/>
      <c r="QOM241" s="10"/>
      <c r="QON241" s="21"/>
      <c r="QOO241" s="21"/>
      <c r="QOR241" s="21"/>
      <c r="QOS241" s="15"/>
      <c r="QOT241" s="15"/>
      <c r="QOU241" s="15"/>
      <c r="QOV241" s="15"/>
      <c r="QOW241" s="15"/>
      <c r="QOX241" s="15"/>
      <c r="QOY241" s="15"/>
      <c r="QOZ241" s="15"/>
      <c r="QPA241" s="15"/>
      <c r="QPB241" s="15"/>
      <c r="QPC241" s="10"/>
      <c r="QPD241" s="10"/>
      <c r="QPE241" s="21"/>
      <c r="QPF241" s="21"/>
      <c r="QPI241" s="21"/>
      <c r="QPJ241" s="15"/>
      <c r="QPK241" s="15"/>
      <c r="QPL241" s="15"/>
      <c r="QPM241" s="15"/>
      <c r="QPN241" s="15"/>
      <c r="QPO241" s="15"/>
      <c r="QPP241" s="15"/>
      <c r="QPQ241" s="15"/>
      <c r="QPR241" s="15"/>
      <c r="QPS241" s="15"/>
      <c r="QPT241" s="10"/>
      <c r="QPU241" s="10"/>
      <c r="QPV241" s="21"/>
      <c r="QPW241" s="21"/>
      <c r="QPZ241" s="21"/>
      <c r="QQA241" s="15"/>
      <c r="QQB241" s="15"/>
      <c r="QQC241" s="15"/>
      <c r="QQD241" s="15"/>
      <c r="QQE241" s="15"/>
      <c r="QQF241" s="15"/>
      <c r="QQG241" s="15"/>
      <c r="QQH241" s="15"/>
      <c r="QQI241" s="15"/>
      <c r="QQJ241" s="15"/>
      <c r="QQK241" s="10"/>
      <c r="QQL241" s="10"/>
      <c r="QQM241" s="21"/>
      <c r="QQN241" s="21"/>
      <c r="QQQ241" s="21"/>
      <c r="QQR241" s="15"/>
      <c r="QQS241" s="15"/>
      <c r="QQT241" s="15"/>
      <c r="QQU241" s="15"/>
      <c r="QQV241" s="15"/>
      <c r="QQW241" s="15"/>
      <c r="QQX241" s="15"/>
      <c r="QQY241" s="15"/>
      <c r="QQZ241" s="15"/>
      <c r="QRA241" s="15"/>
      <c r="QRB241" s="10"/>
      <c r="QRC241" s="10"/>
      <c r="QRD241" s="21"/>
      <c r="QRE241" s="21"/>
      <c r="QRH241" s="21"/>
      <c r="QRI241" s="15"/>
      <c r="QRJ241" s="15"/>
      <c r="QRK241" s="15"/>
      <c r="QRL241" s="15"/>
      <c r="QRM241" s="15"/>
      <c r="QRN241" s="15"/>
      <c r="QRO241" s="15"/>
      <c r="QRP241" s="15"/>
      <c r="QRQ241" s="15"/>
      <c r="QRR241" s="15"/>
      <c r="QRS241" s="10"/>
      <c r="QRT241" s="10"/>
      <c r="QRU241" s="21"/>
      <c r="QRV241" s="21"/>
      <c r="QRY241" s="21"/>
      <c r="QRZ241" s="15"/>
      <c r="QSA241" s="15"/>
      <c r="QSB241" s="15"/>
      <c r="QSC241" s="15"/>
      <c r="QSD241" s="15"/>
      <c r="QSE241" s="15"/>
      <c r="QSF241" s="15"/>
      <c r="QSG241" s="15"/>
      <c r="QSH241" s="15"/>
      <c r="QSI241" s="15"/>
      <c r="QSJ241" s="10"/>
      <c r="QSK241" s="10"/>
      <c r="QSL241" s="21"/>
      <c r="QSM241" s="21"/>
      <c r="QSP241" s="21"/>
      <c r="QSQ241" s="15"/>
      <c r="QSR241" s="15"/>
      <c r="QSS241" s="15"/>
      <c r="QST241" s="15"/>
      <c r="QSU241" s="15"/>
      <c r="QSV241" s="15"/>
      <c r="QSW241" s="15"/>
      <c r="QSX241" s="15"/>
      <c r="QSY241" s="15"/>
      <c r="QSZ241" s="15"/>
      <c r="QTA241" s="10"/>
      <c r="QTB241" s="10"/>
      <c r="QTC241" s="21"/>
      <c r="QTD241" s="21"/>
      <c r="QTG241" s="21"/>
      <c r="QTH241" s="15"/>
      <c r="QTI241" s="15"/>
      <c r="QTJ241" s="15"/>
      <c r="QTK241" s="15"/>
      <c r="QTL241" s="15"/>
      <c r="QTM241" s="15"/>
      <c r="QTN241" s="15"/>
      <c r="QTO241" s="15"/>
      <c r="QTP241" s="15"/>
      <c r="QTQ241" s="15"/>
      <c r="QTR241" s="10"/>
      <c r="QTS241" s="10"/>
      <c r="QTT241" s="21"/>
      <c r="QTU241" s="21"/>
      <c r="QTX241" s="21"/>
      <c r="QTY241" s="15"/>
      <c r="QTZ241" s="15"/>
      <c r="QUA241" s="15"/>
      <c r="QUB241" s="15"/>
      <c r="QUC241" s="15"/>
      <c r="QUD241" s="15"/>
      <c r="QUE241" s="15"/>
      <c r="QUF241" s="15"/>
      <c r="QUG241" s="15"/>
      <c r="QUH241" s="15"/>
      <c r="QUI241" s="10"/>
      <c r="QUJ241" s="10"/>
      <c r="QUK241" s="21"/>
      <c r="QUL241" s="21"/>
      <c r="QUO241" s="21"/>
      <c r="QUP241" s="15"/>
      <c r="QUQ241" s="15"/>
      <c r="QUR241" s="15"/>
      <c r="QUS241" s="15"/>
      <c r="QUT241" s="15"/>
      <c r="QUU241" s="15"/>
      <c r="QUV241" s="15"/>
      <c r="QUW241" s="15"/>
      <c r="QUX241" s="15"/>
      <c r="QUY241" s="15"/>
      <c r="QUZ241" s="10"/>
      <c r="QVA241" s="10"/>
      <c r="QVB241" s="21"/>
      <c r="QVC241" s="21"/>
      <c r="QVF241" s="21"/>
      <c r="QVG241" s="15"/>
      <c r="QVH241" s="15"/>
      <c r="QVI241" s="15"/>
      <c r="QVJ241" s="15"/>
      <c r="QVK241" s="15"/>
      <c r="QVL241" s="15"/>
      <c r="QVM241" s="15"/>
      <c r="QVN241" s="15"/>
      <c r="QVO241" s="15"/>
      <c r="QVP241" s="15"/>
      <c r="QVQ241" s="10"/>
      <c r="QVR241" s="10"/>
      <c r="QVS241" s="21"/>
      <c r="QVT241" s="21"/>
      <c r="QVW241" s="21"/>
      <c r="QVX241" s="15"/>
      <c r="QVY241" s="15"/>
      <c r="QVZ241" s="15"/>
      <c r="QWA241" s="15"/>
      <c r="QWB241" s="15"/>
      <c r="QWC241" s="15"/>
      <c r="QWD241" s="15"/>
      <c r="QWE241" s="15"/>
      <c r="QWF241" s="15"/>
      <c r="QWG241" s="15"/>
      <c r="QWH241" s="10"/>
      <c r="QWI241" s="10"/>
      <c r="QWJ241" s="21"/>
      <c r="QWK241" s="21"/>
      <c r="QWN241" s="21"/>
      <c r="QWO241" s="15"/>
      <c r="QWP241" s="15"/>
      <c r="QWQ241" s="15"/>
      <c r="QWR241" s="15"/>
      <c r="QWS241" s="15"/>
      <c r="QWT241" s="15"/>
      <c r="QWU241" s="15"/>
      <c r="QWV241" s="15"/>
      <c r="QWW241" s="15"/>
      <c r="QWX241" s="15"/>
      <c r="QWY241" s="10"/>
      <c r="QWZ241" s="10"/>
      <c r="QXA241" s="21"/>
      <c r="QXB241" s="21"/>
      <c r="QXE241" s="21"/>
      <c r="QXF241" s="15"/>
      <c r="QXG241" s="15"/>
      <c r="QXH241" s="15"/>
      <c r="QXI241" s="15"/>
      <c r="QXJ241" s="15"/>
      <c r="QXK241" s="15"/>
      <c r="QXL241" s="15"/>
      <c r="QXM241" s="15"/>
      <c r="QXN241" s="15"/>
      <c r="QXO241" s="15"/>
      <c r="QXP241" s="10"/>
      <c r="QXQ241" s="10"/>
      <c r="QXR241" s="21"/>
      <c r="QXS241" s="21"/>
      <c r="QXV241" s="21"/>
      <c r="QXW241" s="15"/>
      <c r="QXX241" s="15"/>
      <c r="QXY241" s="15"/>
      <c r="QXZ241" s="15"/>
      <c r="QYA241" s="15"/>
      <c r="QYB241" s="15"/>
      <c r="QYC241" s="15"/>
      <c r="QYD241" s="15"/>
      <c r="QYE241" s="15"/>
      <c r="QYF241" s="15"/>
      <c r="QYG241" s="10"/>
      <c r="QYH241" s="10"/>
      <c r="QYI241" s="21"/>
      <c r="QYJ241" s="21"/>
      <c r="QYM241" s="21"/>
      <c r="QYN241" s="15"/>
      <c r="QYO241" s="15"/>
      <c r="QYP241" s="15"/>
      <c r="QYQ241" s="15"/>
      <c r="QYR241" s="15"/>
      <c r="QYS241" s="15"/>
      <c r="QYT241" s="15"/>
      <c r="QYU241" s="15"/>
      <c r="QYV241" s="15"/>
      <c r="QYW241" s="15"/>
      <c r="QYX241" s="10"/>
      <c r="QYY241" s="10"/>
      <c r="QYZ241" s="21"/>
      <c r="QZA241" s="21"/>
      <c r="QZD241" s="21"/>
      <c r="QZE241" s="15"/>
      <c r="QZF241" s="15"/>
      <c r="QZG241" s="15"/>
      <c r="QZH241" s="15"/>
      <c r="QZI241" s="15"/>
      <c r="QZJ241" s="15"/>
      <c r="QZK241" s="15"/>
      <c r="QZL241" s="15"/>
      <c r="QZM241" s="15"/>
      <c r="QZN241" s="15"/>
      <c r="QZO241" s="10"/>
      <c r="QZP241" s="10"/>
      <c r="QZQ241" s="21"/>
      <c r="QZR241" s="21"/>
      <c r="QZU241" s="21"/>
      <c r="QZV241" s="15"/>
      <c r="QZW241" s="15"/>
      <c r="QZX241" s="15"/>
      <c r="QZY241" s="15"/>
      <c r="QZZ241" s="15"/>
      <c r="RAA241" s="15"/>
      <c r="RAB241" s="15"/>
      <c r="RAC241" s="15"/>
      <c r="RAD241" s="15"/>
      <c r="RAE241" s="15"/>
      <c r="RAF241" s="10"/>
      <c r="RAG241" s="10"/>
      <c r="RAH241" s="21"/>
      <c r="RAI241" s="21"/>
      <c r="RAL241" s="21"/>
      <c r="RAM241" s="15"/>
      <c r="RAN241" s="15"/>
      <c r="RAO241" s="15"/>
      <c r="RAP241" s="15"/>
      <c r="RAQ241" s="15"/>
      <c r="RAR241" s="15"/>
      <c r="RAS241" s="15"/>
      <c r="RAT241" s="15"/>
      <c r="RAU241" s="15"/>
      <c r="RAV241" s="15"/>
      <c r="RAW241" s="10"/>
      <c r="RAX241" s="10"/>
      <c r="RAY241" s="21"/>
      <c r="RAZ241" s="21"/>
      <c r="RBC241" s="21"/>
      <c r="RBD241" s="15"/>
      <c r="RBE241" s="15"/>
      <c r="RBF241" s="15"/>
      <c r="RBG241" s="15"/>
      <c r="RBH241" s="15"/>
      <c r="RBI241" s="15"/>
      <c r="RBJ241" s="15"/>
      <c r="RBK241" s="15"/>
      <c r="RBL241" s="15"/>
      <c r="RBM241" s="15"/>
      <c r="RBN241" s="10"/>
      <c r="RBO241" s="10"/>
      <c r="RBP241" s="21"/>
      <c r="RBQ241" s="21"/>
      <c r="RBT241" s="21"/>
      <c r="RBU241" s="15"/>
      <c r="RBV241" s="15"/>
      <c r="RBW241" s="15"/>
      <c r="RBX241" s="15"/>
      <c r="RBY241" s="15"/>
      <c r="RBZ241" s="15"/>
      <c r="RCA241" s="15"/>
      <c r="RCB241" s="15"/>
      <c r="RCC241" s="15"/>
      <c r="RCD241" s="15"/>
      <c r="RCE241" s="10"/>
      <c r="RCF241" s="10"/>
      <c r="RCG241" s="21"/>
      <c r="RCH241" s="21"/>
      <c r="RCK241" s="21"/>
      <c r="RCL241" s="15"/>
      <c r="RCM241" s="15"/>
      <c r="RCN241" s="15"/>
      <c r="RCO241" s="15"/>
      <c r="RCP241" s="15"/>
      <c r="RCQ241" s="15"/>
      <c r="RCR241" s="15"/>
      <c r="RCS241" s="15"/>
      <c r="RCT241" s="15"/>
      <c r="RCU241" s="15"/>
      <c r="RCV241" s="10"/>
      <c r="RCW241" s="10"/>
      <c r="RCX241" s="21"/>
      <c r="RCY241" s="21"/>
      <c r="RDB241" s="21"/>
      <c r="RDC241" s="15"/>
      <c r="RDD241" s="15"/>
      <c r="RDE241" s="15"/>
      <c r="RDF241" s="15"/>
      <c r="RDG241" s="15"/>
      <c r="RDH241" s="15"/>
      <c r="RDI241" s="15"/>
      <c r="RDJ241" s="15"/>
      <c r="RDK241" s="15"/>
      <c r="RDL241" s="15"/>
      <c r="RDM241" s="10"/>
      <c r="RDN241" s="10"/>
      <c r="RDO241" s="21"/>
      <c r="RDP241" s="21"/>
      <c r="RDS241" s="21"/>
      <c r="RDT241" s="15"/>
      <c r="RDU241" s="15"/>
      <c r="RDV241" s="15"/>
      <c r="RDW241" s="15"/>
      <c r="RDX241" s="15"/>
      <c r="RDY241" s="15"/>
      <c r="RDZ241" s="15"/>
      <c r="REA241" s="15"/>
      <c r="REB241" s="15"/>
      <c r="REC241" s="15"/>
      <c r="RED241" s="10"/>
      <c r="REE241" s="10"/>
      <c r="REF241" s="21"/>
      <c r="REG241" s="21"/>
      <c r="REJ241" s="21"/>
      <c r="REK241" s="15"/>
      <c r="REL241" s="15"/>
      <c r="REM241" s="15"/>
      <c r="REN241" s="15"/>
      <c r="REO241" s="15"/>
      <c r="REP241" s="15"/>
      <c r="REQ241" s="15"/>
      <c r="RER241" s="15"/>
      <c r="RES241" s="15"/>
      <c r="RET241" s="15"/>
      <c r="REU241" s="10"/>
      <c r="REV241" s="10"/>
      <c r="REW241" s="21"/>
      <c r="REX241" s="21"/>
      <c r="RFA241" s="21"/>
      <c r="RFB241" s="15"/>
      <c r="RFC241" s="15"/>
      <c r="RFD241" s="15"/>
      <c r="RFE241" s="15"/>
      <c r="RFF241" s="15"/>
      <c r="RFG241" s="15"/>
      <c r="RFH241" s="15"/>
      <c r="RFI241" s="15"/>
      <c r="RFJ241" s="15"/>
      <c r="RFK241" s="15"/>
      <c r="RFL241" s="10"/>
      <c r="RFM241" s="10"/>
      <c r="RFN241" s="21"/>
      <c r="RFO241" s="21"/>
      <c r="RFR241" s="21"/>
      <c r="RFS241" s="15"/>
      <c r="RFT241" s="15"/>
      <c r="RFU241" s="15"/>
      <c r="RFV241" s="15"/>
      <c r="RFW241" s="15"/>
      <c r="RFX241" s="15"/>
      <c r="RFY241" s="15"/>
      <c r="RFZ241" s="15"/>
      <c r="RGA241" s="15"/>
      <c r="RGB241" s="15"/>
      <c r="RGC241" s="10"/>
      <c r="RGD241" s="10"/>
      <c r="RGE241" s="21"/>
      <c r="RGF241" s="21"/>
      <c r="RGI241" s="21"/>
      <c r="RGJ241" s="15"/>
      <c r="RGK241" s="15"/>
      <c r="RGL241" s="15"/>
      <c r="RGM241" s="15"/>
      <c r="RGN241" s="15"/>
      <c r="RGO241" s="15"/>
      <c r="RGP241" s="15"/>
      <c r="RGQ241" s="15"/>
      <c r="RGR241" s="15"/>
      <c r="RGS241" s="15"/>
      <c r="RGT241" s="10"/>
      <c r="RGU241" s="10"/>
      <c r="RGV241" s="21"/>
      <c r="RGW241" s="21"/>
      <c r="RGZ241" s="21"/>
      <c r="RHA241" s="15"/>
      <c r="RHB241" s="15"/>
      <c r="RHC241" s="15"/>
      <c r="RHD241" s="15"/>
      <c r="RHE241" s="15"/>
      <c r="RHF241" s="15"/>
      <c r="RHG241" s="15"/>
      <c r="RHH241" s="15"/>
      <c r="RHI241" s="15"/>
      <c r="RHJ241" s="15"/>
      <c r="RHK241" s="10"/>
      <c r="RHL241" s="10"/>
      <c r="RHM241" s="21"/>
      <c r="RHN241" s="21"/>
      <c r="RHQ241" s="21"/>
      <c r="RHR241" s="15"/>
      <c r="RHS241" s="15"/>
      <c r="RHT241" s="15"/>
      <c r="RHU241" s="15"/>
      <c r="RHV241" s="15"/>
      <c r="RHW241" s="15"/>
      <c r="RHX241" s="15"/>
      <c r="RHY241" s="15"/>
      <c r="RHZ241" s="15"/>
      <c r="RIA241" s="15"/>
      <c r="RIB241" s="10"/>
      <c r="RIC241" s="10"/>
      <c r="RID241" s="21"/>
      <c r="RIE241" s="21"/>
      <c r="RIH241" s="21"/>
      <c r="RII241" s="15"/>
      <c r="RIJ241" s="15"/>
      <c r="RIK241" s="15"/>
      <c r="RIL241" s="15"/>
      <c r="RIM241" s="15"/>
      <c r="RIN241" s="15"/>
      <c r="RIO241" s="15"/>
      <c r="RIP241" s="15"/>
      <c r="RIQ241" s="15"/>
      <c r="RIR241" s="15"/>
      <c r="RIS241" s="10"/>
      <c r="RIT241" s="10"/>
      <c r="RIU241" s="21"/>
      <c r="RIV241" s="21"/>
      <c r="RIY241" s="21"/>
      <c r="RIZ241" s="15"/>
      <c r="RJA241" s="15"/>
      <c r="RJB241" s="15"/>
      <c r="RJC241" s="15"/>
      <c r="RJD241" s="15"/>
      <c r="RJE241" s="15"/>
      <c r="RJF241" s="15"/>
      <c r="RJG241" s="15"/>
      <c r="RJH241" s="15"/>
      <c r="RJI241" s="15"/>
      <c r="RJJ241" s="10"/>
      <c r="RJK241" s="10"/>
      <c r="RJL241" s="21"/>
      <c r="RJM241" s="21"/>
      <c r="RJP241" s="21"/>
      <c r="RJQ241" s="15"/>
      <c r="RJR241" s="15"/>
      <c r="RJS241" s="15"/>
      <c r="RJT241" s="15"/>
      <c r="RJU241" s="15"/>
      <c r="RJV241" s="15"/>
      <c r="RJW241" s="15"/>
      <c r="RJX241" s="15"/>
      <c r="RJY241" s="15"/>
      <c r="RJZ241" s="15"/>
      <c r="RKA241" s="10"/>
      <c r="RKB241" s="10"/>
      <c r="RKC241" s="21"/>
      <c r="RKD241" s="21"/>
      <c r="RKG241" s="21"/>
      <c r="RKH241" s="15"/>
      <c r="RKI241" s="15"/>
      <c r="RKJ241" s="15"/>
      <c r="RKK241" s="15"/>
      <c r="RKL241" s="15"/>
      <c r="RKM241" s="15"/>
      <c r="RKN241" s="15"/>
      <c r="RKO241" s="15"/>
      <c r="RKP241" s="15"/>
      <c r="RKQ241" s="15"/>
      <c r="RKR241" s="10"/>
      <c r="RKS241" s="10"/>
      <c r="RKT241" s="21"/>
      <c r="RKU241" s="21"/>
      <c r="RKX241" s="21"/>
      <c r="RKY241" s="15"/>
      <c r="RKZ241" s="15"/>
      <c r="RLA241" s="15"/>
      <c r="RLB241" s="15"/>
      <c r="RLC241" s="15"/>
      <c r="RLD241" s="15"/>
      <c r="RLE241" s="15"/>
      <c r="RLF241" s="15"/>
      <c r="RLG241" s="15"/>
      <c r="RLH241" s="15"/>
      <c r="RLI241" s="10"/>
      <c r="RLJ241" s="10"/>
      <c r="RLK241" s="21"/>
      <c r="RLL241" s="21"/>
      <c r="RLO241" s="21"/>
      <c r="RLP241" s="15"/>
      <c r="RLQ241" s="15"/>
      <c r="RLR241" s="15"/>
      <c r="RLS241" s="15"/>
      <c r="RLT241" s="15"/>
      <c r="RLU241" s="15"/>
      <c r="RLV241" s="15"/>
      <c r="RLW241" s="15"/>
      <c r="RLX241" s="15"/>
      <c r="RLY241" s="15"/>
      <c r="RLZ241" s="10"/>
      <c r="RMA241" s="10"/>
      <c r="RMB241" s="21"/>
      <c r="RMC241" s="21"/>
      <c r="RMF241" s="21"/>
      <c r="RMG241" s="15"/>
      <c r="RMH241" s="15"/>
      <c r="RMI241" s="15"/>
      <c r="RMJ241" s="15"/>
      <c r="RMK241" s="15"/>
      <c r="RML241" s="15"/>
      <c r="RMM241" s="15"/>
      <c r="RMN241" s="15"/>
      <c r="RMO241" s="15"/>
      <c r="RMP241" s="15"/>
      <c r="RMQ241" s="10"/>
      <c r="RMR241" s="10"/>
      <c r="RMS241" s="21"/>
      <c r="RMT241" s="21"/>
      <c r="RMW241" s="21"/>
      <c r="RMX241" s="15"/>
      <c r="RMY241" s="15"/>
      <c r="RMZ241" s="15"/>
      <c r="RNA241" s="15"/>
      <c r="RNB241" s="15"/>
      <c r="RNC241" s="15"/>
      <c r="RND241" s="15"/>
      <c r="RNE241" s="15"/>
      <c r="RNF241" s="15"/>
      <c r="RNG241" s="15"/>
      <c r="RNH241" s="10"/>
      <c r="RNI241" s="10"/>
      <c r="RNJ241" s="21"/>
      <c r="RNK241" s="21"/>
      <c r="RNN241" s="21"/>
      <c r="RNO241" s="15"/>
      <c r="RNP241" s="15"/>
      <c r="RNQ241" s="15"/>
      <c r="RNR241" s="15"/>
      <c r="RNS241" s="15"/>
      <c r="RNT241" s="15"/>
      <c r="RNU241" s="15"/>
      <c r="RNV241" s="15"/>
      <c r="RNW241" s="15"/>
      <c r="RNX241" s="15"/>
      <c r="RNY241" s="10"/>
      <c r="RNZ241" s="10"/>
      <c r="ROA241" s="21"/>
      <c r="ROB241" s="21"/>
      <c r="ROE241" s="21"/>
      <c r="ROF241" s="15"/>
      <c r="ROG241" s="15"/>
      <c r="ROH241" s="15"/>
      <c r="ROI241" s="15"/>
      <c r="ROJ241" s="15"/>
      <c r="ROK241" s="15"/>
      <c r="ROL241" s="15"/>
      <c r="ROM241" s="15"/>
      <c r="RON241" s="15"/>
      <c r="ROO241" s="15"/>
      <c r="ROP241" s="10"/>
      <c r="ROQ241" s="10"/>
      <c r="ROR241" s="21"/>
      <c r="ROS241" s="21"/>
      <c r="ROV241" s="21"/>
      <c r="ROW241" s="15"/>
      <c r="ROX241" s="15"/>
      <c r="ROY241" s="15"/>
      <c r="ROZ241" s="15"/>
      <c r="RPA241" s="15"/>
      <c r="RPB241" s="15"/>
      <c r="RPC241" s="15"/>
      <c r="RPD241" s="15"/>
      <c r="RPE241" s="15"/>
      <c r="RPF241" s="15"/>
      <c r="RPG241" s="10"/>
      <c r="RPH241" s="10"/>
      <c r="RPI241" s="21"/>
      <c r="RPJ241" s="21"/>
      <c r="RPM241" s="21"/>
      <c r="RPN241" s="15"/>
      <c r="RPO241" s="15"/>
      <c r="RPP241" s="15"/>
      <c r="RPQ241" s="15"/>
      <c r="RPR241" s="15"/>
      <c r="RPS241" s="15"/>
      <c r="RPT241" s="15"/>
      <c r="RPU241" s="15"/>
      <c r="RPV241" s="15"/>
      <c r="RPW241" s="15"/>
      <c r="RPX241" s="10"/>
      <c r="RPY241" s="10"/>
      <c r="RPZ241" s="21"/>
      <c r="RQA241" s="21"/>
      <c r="RQD241" s="21"/>
      <c r="RQE241" s="15"/>
      <c r="RQF241" s="15"/>
      <c r="RQG241" s="15"/>
      <c r="RQH241" s="15"/>
      <c r="RQI241" s="15"/>
      <c r="RQJ241" s="15"/>
      <c r="RQK241" s="15"/>
      <c r="RQL241" s="15"/>
      <c r="RQM241" s="15"/>
      <c r="RQN241" s="15"/>
      <c r="RQO241" s="10"/>
      <c r="RQP241" s="10"/>
      <c r="RQQ241" s="21"/>
      <c r="RQR241" s="21"/>
      <c r="RQU241" s="21"/>
      <c r="RQV241" s="15"/>
      <c r="RQW241" s="15"/>
      <c r="RQX241" s="15"/>
      <c r="RQY241" s="15"/>
      <c r="RQZ241" s="15"/>
      <c r="RRA241" s="15"/>
      <c r="RRB241" s="15"/>
      <c r="RRC241" s="15"/>
      <c r="RRD241" s="15"/>
      <c r="RRE241" s="15"/>
      <c r="RRF241" s="10"/>
      <c r="RRG241" s="10"/>
      <c r="RRH241" s="21"/>
      <c r="RRI241" s="21"/>
      <c r="RRL241" s="21"/>
      <c r="RRM241" s="15"/>
      <c r="RRN241" s="15"/>
      <c r="RRO241" s="15"/>
      <c r="RRP241" s="15"/>
      <c r="RRQ241" s="15"/>
      <c r="RRR241" s="15"/>
      <c r="RRS241" s="15"/>
      <c r="RRT241" s="15"/>
      <c r="RRU241" s="15"/>
      <c r="RRV241" s="15"/>
      <c r="RRW241" s="10"/>
      <c r="RRX241" s="10"/>
      <c r="RRY241" s="21"/>
      <c r="RRZ241" s="21"/>
      <c r="RSC241" s="21"/>
      <c r="RSD241" s="15"/>
      <c r="RSE241" s="15"/>
      <c r="RSF241" s="15"/>
      <c r="RSG241" s="15"/>
      <c r="RSH241" s="15"/>
      <c r="RSI241" s="15"/>
      <c r="RSJ241" s="15"/>
      <c r="RSK241" s="15"/>
      <c r="RSL241" s="15"/>
      <c r="RSM241" s="15"/>
      <c r="RSN241" s="10"/>
      <c r="RSO241" s="10"/>
      <c r="RSP241" s="21"/>
      <c r="RSQ241" s="21"/>
      <c r="RST241" s="21"/>
      <c r="RSU241" s="15"/>
      <c r="RSV241" s="15"/>
      <c r="RSW241" s="15"/>
      <c r="RSX241" s="15"/>
      <c r="RSY241" s="15"/>
      <c r="RSZ241" s="15"/>
      <c r="RTA241" s="15"/>
      <c r="RTB241" s="15"/>
      <c r="RTC241" s="15"/>
      <c r="RTD241" s="15"/>
      <c r="RTE241" s="10"/>
      <c r="RTF241" s="10"/>
      <c r="RTG241" s="21"/>
      <c r="RTH241" s="21"/>
      <c r="RTK241" s="21"/>
      <c r="RTL241" s="15"/>
      <c r="RTM241" s="15"/>
      <c r="RTN241" s="15"/>
      <c r="RTO241" s="15"/>
      <c r="RTP241" s="15"/>
      <c r="RTQ241" s="15"/>
      <c r="RTR241" s="15"/>
      <c r="RTS241" s="15"/>
      <c r="RTT241" s="15"/>
      <c r="RTU241" s="15"/>
      <c r="RTV241" s="10"/>
      <c r="RTW241" s="10"/>
      <c r="RTX241" s="21"/>
      <c r="RTY241" s="21"/>
      <c r="RUB241" s="21"/>
      <c r="RUC241" s="15"/>
      <c r="RUD241" s="15"/>
      <c r="RUE241" s="15"/>
      <c r="RUF241" s="15"/>
      <c r="RUG241" s="15"/>
      <c r="RUH241" s="15"/>
      <c r="RUI241" s="15"/>
      <c r="RUJ241" s="15"/>
      <c r="RUK241" s="15"/>
      <c r="RUL241" s="15"/>
      <c r="RUM241" s="10"/>
      <c r="RUN241" s="10"/>
      <c r="RUO241" s="21"/>
      <c r="RUP241" s="21"/>
      <c r="RUS241" s="21"/>
      <c r="RUT241" s="15"/>
      <c r="RUU241" s="15"/>
      <c r="RUV241" s="15"/>
      <c r="RUW241" s="15"/>
      <c r="RUX241" s="15"/>
      <c r="RUY241" s="15"/>
      <c r="RUZ241" s="15"/>
      <c r="RVA241" s="15"/>
      <c r="RVB241" s="15"/>
      <c r="RVC241" s="15"/>
      <c r="RVD241" s="10"/>
      <c r="RVE241" s="10"/>
      <c r="RVF241" s="21"/>
      <c r="RVG241" s="21"/>
      <c r="RVJ241" s="21"/>
      <c r="RVK241" s="15"/>
      <c r="RVL241" s="15"/>
      <c r="RVM241" s="15"/>
      <c r="RVN241" s="15"/>
      <c r="RVO241" s="15"/>
      <c r="RVP241" s="15"/>
      <c r="RVQ241" s="15"/>
      <c r="RVR241" s="15"/>
      <c r="RVS241" s="15"/>
      <c r="RVT241" s="15"/>
      <c r="RVU241" s="10"/>
      <c r="RVV241" s="10"/>
      <c r="RVW241" s="21"/>
      <c r="RVX241" s="21"/>
      <c r="RWA241" s="21"/>
      <c r="RWB241" s="15"/>
      <c r="RWC241" s="15"/>
      <c r="RWD241" s="15"/>
      <c r="RWE241" s="15"/>
      <c r="RWF241" s="15"/>
      <c r="RWG241" s="15"/>
      <c r="RWH241" s="15"/>
      <c r="RWI241" s="15"/>
      <c r="RWJ241" s="15"/>
      <c r="RWK241" s="15"/>
      <c r="RWL241" s="10"/>
      <c r="RWM241" s="10"/>
      <c r="RWN241" s="21"/>
      <c r="RWO241" s="21"/>
      <c r="RWR241" s="21"/>
      <c r="RWS241" s="15"/>
      <c r="RWT241" s="15"/>
      <c r="RWU241" s="15"/>
      <c r="RWV241" s="15"/>
      <c r="RWW241" s="15"/>
      <c r="RWX241" s="15"/>
      <c r="RWY241" s="15"/>
      <c r="RWZ241" s="15"/>
      <c r="RXA241" s="15"/>
      <c r="RXB241" s="15"/>
      <c r="RXC241" s="10"/>
      <c r="RXD241" s="10"/>
      <c r="RXE241" s="21"/>
      <c r="RXF241" s="21"/>
      <c r="RXI241" s="21"/>
      <c r="RXJ241" s="15"/>
      <c r="RXK241" s="15"/>
      <c r="RXL241" s="15"/>
      <c r="RXM241" s="15"/>
      <c r="RXN241" s="15"/>
      <c r="RXO241" s="15"/>
      <c r="RXP241" s="15"/>
      <c r="RXQ241" s="15"/>
      <c r="RXR241" s="15"/>
      <c r="RXS241" s="15"/>
      <c r="RXT241" s="10"/>
      <c r="RXU241" s="10"/>
      <c r="RXV241" s="21"/>
      <c r="RXW241" s="21"/>
      <c r="RXZ241" s="21"/>
      <c r="RYA241" s="15"/>
      <c r="RYB241" s="15"/>
      <c r="RYC241" s="15"/>
      <c r="RYD241" s="15"/>
      <c r="RYE241" s="15"/>
      <c r="RYF241" s="15"/>
      <c r="RYG241" s="15"/>
      <c r="RYH241" s="15"/>
      <c r="RYI241" s="15"/>
      <c r="RYJ241" s="15"/>
      <c r="RYK241" s="10"/>
      <c r="RYL241" s="10"/>
      <c r="RYM241" s="21"/>
      <c r="RYN241" s="21"/>
      <c r="RYQ241" s="21"/>
      <c r="RYR241" s="15"/>
      <c r="RYS241" s="15"/>
      <c r="RYT241" s="15"/>
      <c r="RYU241" s="15"/>
      <c r="RYV241" s="15"/>
      <c r="RYW241" s="15"/>
      <c r="RYX241" s="15"/>
      <c r="RYY241" s="15"/>
      <c r="RYZ241" s="15"/>
      <c r="RZA241" s="15"/>
      <c r="RZB241" s="10"/>
      <c r="RZC241" s="10"/>
      <c r="RZD241" s="21"/>
      <c r="RZE241" s="21"/>
      <c r="RZH241" s="21"/>
      <c r="RZI241" s="15"/>
      <c r="RZJ241" s="15"/>
      <c r="RZK241" s="15"/>
      <c r="RZL241" s="15"/>
      <c r="RZM241" s="15"/>
      <c r="RZN241" s="15"/>
      <c r="RZO241" s="15"/>
      <c r="RZP241" s="15"/>
      <c r="RZQ241" s="15"/>
      <c r="RZR241" s="15"/>
      <c r="RZS241" s="10"/>
      <c r="RZT241" s="10"/>
      <c r="RZU241" s="21"/>
      <c r="RZV241" s="21"/>
      <c r="RZY241" s="21"/>
      <c r="RZZ241" s="15"/>
      <c r="SAA241" s="15"/>
      <c r="SAB241" s="15"/>
      <c r="SAC241" s="15"/>
      <c r="SAD241" s="15"/>
      <c r="SAE241" s="15"/>
      <c r="SAF241" s="15"/>
      <c r="SAG241" s="15"/>
      <c r="SAH241" s="15"/>
      <c r="SAI241" s="15"/>
      <c r="SAJ241" s="10"/>
      <c r="SAK241" s="10"/>
      <c r="SAL241" s="21"/>
      <c r="SAM241" s="21"/>
      <c r="SAP241" s="21"/>
      <c r="SAQ241" s="15"/>
      <c r="SAR241" s="15"/>
      <c r="SAS241" s="15"/>
      <c r="SAT241" s="15"/>
      <c r="SAU241" s="15"/>
      <c r="SAV241" s="15"/>
      <c r="SAW241" s="15"/>
      <c r="SAX241" s="15"/>
      <c r="SAY241" s="15"/>
      <c r="SAZ241" s="15"/>
      <c r="SBA241" s="10"/>
      <c r="SBB241" s="10"/>
      <c r="SBC241" s="21"/>
      <c r="SBD241" s="21"/>
      <c r="SBG241" s="21"/>
      <c r="SBH241" s="15"/>
      <c r="SBI241" s="15"/>
      <c r="SBJ241" s="15"/>
      <c r="SBK241" s="15"/>
      <c r="SBL241" s="15"/>
      <c r="SBM241" s="15"/>
      <c r="SBN241" s="15"/>
      <c r="SBO241" s="15"/>
      <c r="SBP241" s="15"/>
      <c r="SBQ241" s="15"/>
      <c r="SBR241" s="10"/>
      <c r="SBS241" s="10"/>
      <c r="SBT241" s="21"/>
      <c r="SBU241" s="21"/>
      <c r="SBX241" s="21"/>
      <c r="SBY241" s="15"/>
      <c r="SBZ241" s="15"/>
      <c r="SCA241" s="15"/>
      <c r="SCB241" s="15"/>
      <c r="SCC241" s="15"/>
      <c r="SCD241" s="15"/>
      <c r="SCE241" s="15"/>
      <c r="SCF241" s="15"/>
      <c r="SCG241" s="15"/>
      <c r="SCH241" s="15"/>
      <c r="SCI241" s="10"/>
      <c r="SCJ241" s="10"/>
      <c r="SCK241" s="21"/>
      <c r="SCL241" s="21"/>
      <c r="SCO241" s="21"/>
      <c r="SCP241" s="15"/>
      <c r="SCQ241" s="15"/>
      <c r="SCR241" s="15"/>
      <c r="SCS241" s="15"/>
      <c r="SCT241" s="15"/>
      <c r="SCU241" s="15"/>
      <c r="SCV241" s="15"/>
      <c r="SCW241" s="15"/>
      <c r="SCX241" s="15"/>
      <c r="SCY241" s="15"/>
      <c r="SCZ241" s="10"/>
      <c r="SDA241" s="10"/>
      <c r="SDB241" s="21"/>
      <c r="SDC241" s="21"/>
      <c r="SDF241" s="21"/>
      <c r="SDG241" s="15"/>
      <c r="SDH241" s="15"/>
      <c r="SDI241" s="15"/>
      <c r="SDJ241" s="15"/>
      <c r="SDK241" s="15"/>
      <c r="SDL241" s="15"/>
      <c r="SDM241" s="15"/>
      <c r="SDN241" s="15"/>
      <c r="SDO241" s="15"/>
      <c r="SDP241" s="15"/>
      <c r="SDQ241" s="10"/>
      <c r="SDR241" s="10"/>
      <c r="SDS241" s="21"/>
      <c r="SDT241" s="21"/>
      <c r="SDW241" s="21"/>
      <c r="SDX241" s="15"/>
      <c r="SDY241" s="15"/>
      <c r="SDZ241" s="15"/>
      <c r="SEA241" s="15"/>
      <c r="SEB241" s="15"/>
      <c r="SEC241" s="15"/>
      <c r="SED241" s="15"/>
      <c r="SEE241" s="15"/>
      <c r="SEF241" s="15"/>
      <c r="SEG241" s="15"/>
      <c r="SEH241" s="10"/>
      <c r="SEI241" s="10"/>
      <c r="SEJ241" s="21"/>
      <c r="SEK241" s="21"/>
      <c r="SEN241" s="21"/>
      <c r="SEO241" s="15"/>
      <c r="SEP241" s="15"/>
      <c r="SEQ241" s="15"/>
      <c r="SER241" s="15"/>
      <c r="SES241" s="15"/>
      <c r="SET241" s="15"/>
      <c r="SEU241" s="15"/>
      <c r="SEV241" s="15"/>
      <c r="SEW241" s="15"/>
      <c r="SEX241" s="15"/>
      <c r="SEY241" s="10"/>
      <c r="SEZ241" s="10"/>
      <c r="SFA241" s="21"/>
      <c r="SFB241" s="21"/>
      <c r="SFE241" s="21"/>
      <c r="SFF241" s="15"/>
      <c r="SFG241" s="15"/>
      <c r="SFH241" s="15"/>
      <c r="SFI241" s="15"/>
      <c r="SFJ241" s="15"/>
      <c r="SFK241" s="15"/>
      <c r="SFL241" s="15"/>
      <c r="SFM241" s="15"/>
      <c r="SFN241" s="15"/>
      <c r="SFO241" s="15"/>
      <c r="SFP241" s="10"/>
      <c r="SFQ241" s="10"/>
      <c r="SFR241" s="21"/>
      <c r="SFS241" s="21"/>
      <c r="SFV241" s="21"/>
      <c r="SFW241" s="15"/>
      <c r="SFX241" s="15"/>
      <c r="SFY241" s="15"/>
      <c r="SFZ241" s="15"/>
      <c r="SGA241" s="15"/>
      <c r="SGB241" s="15"/>
      <c r="SGC241" s="15"/>
      <c r="SGD241" s="15"/>
      <c r="SGE241" s="15"/>
      <c r="SGF241" s="15"/>
      <c r="SGG241" s="10"/>
      <c r="SGH241" s="10"/>
      <c r="SGI241" s="21"/>
      <c r="SGJ241" s="21"/>
      <c r="SGM241" s="21"/>
      <c r="SGN241" s="15"/>
      <c r="SGO241" s="15"/>
      <c r="SGP241" s="15"/>
      <c r="SGQ241" s="15"/>
      <c r="SGR241" s="15"/>
      <c r="SGS241" s="15"/>
      <c r="SGT241" s="15"/>
      <c r="SGU241" s="15"/>
      <c r="SGV241" s="15"/>
      <c r="SGW241" s="15"/>
      <c r="SGX241" s="10"/>
      <c r="SGY241" s="10"/>
      <c r="SGZ241" s="21"/>
      <c r="SHA241" s="21"/>
      <c r="SHD241" s="21"/>
      <c r="SHE241" s="15"/>
      <c r="SHF241" s="15"/>
      <c r="SHG241" s="15"/>
      <c r="SHH241" s="15"/>
      <c r="SHI241" s="15"/>
      <c r="SHJ241" s="15"/>
      <c r="SHK241" s="15"/>
      <c r="SHL241" s="15"/>
      <c r="SHM241" s="15"/>
      <c r="SHN241" s="15"/>
      <c r="SHO241" s="10"/>
      <c r="SHP241" s="10"/>
      <c r="SHQ241" s="21"/>
      <c r="SHR241" s="21"/>
      <c r="SHU241" s="21"/>
      <c r="SHV241" s="15"/>
      <c r="SHW241" s="15"/>
      <c r="SHX241" s="15"/>
      <c r="SHY241" s="15"/>
      <c r="SHZ241" s="15"/>
      <c r="SIA241" s="15"/>
      <c r="SIB241" s="15"/>
      <c r="SIC241" s="15"/>
      <c r="SID241" s="15"/>
      <c r="SIE241" s="15"/>
      <c r="SIF241" s="10"/>
      <c r="SIG241" s="10"/>
      <c r="SIH241" s="21"/>
      <c r="SII241" s="21"/>
      <c r="SIL241" s="21"/>
      <c r="SIM241" s="15"/>
      <c r="SIN241" s="15"/>
      <c r="SIO241" s="15"/>
      <c r="SIP241" s="15"/>
      <c r="SIQ241" s="15"/>
      <c r="SIR241" s="15"/>
      <c r="SIS241" s="15"/>
      <c r="SIT241" s="15"/>
      <c r="SIU241" s="15"/>
      <c r="SIV241" s="15"/>
      <c r="SIW241" s="10"/>
      <c r="SIX241" s="10"/>
      <c r="SIY241" s="21"/>
      <c r="SIZ241" s="21"/>
      <c r="SJC241" s="21"/>
      <c r="SJD241" s="15"/>
      <c r="SJE241" s="15"/>
      <c r="SJF241" s="15"/>
      <c r="SJG241" s="15"/>
      <c r="SJH241" s="15"/>
      <c r="SJI241" s="15"/>
      <c r="SJJ241" s="15"/>
      <c r="SJK241" s="15"/>
      <c r="SJL241" s="15"/>
      <c r="SJM241" s="15"/>
      <c r="SJN241" s="10"/>
      <c r="SJO241" s="10"/>
      <c r="SJP241" s="21"/>
      <c r="SJQ241" s="21"/>
      <c r="SJT241" s="21"/>
      <c r="SJU241" s="15"/>
      <c r="SJV241" s="15"/>
      <c r="SJW241" s="15"/>
      <c r="SJX241" s="15"/>
      <c r="SJY241" s="15"/>
      <c r="SJZ241" s="15"/>
      <c r="SKA241" s="15"/>
      <c r="SKB241" s="15"/>
      <c r="SKC241" s="15"/>
      <c r="SKD241" s="15"/>
      <c r="SKE241" s="10"/>
      <c r="SKF241" s="10"/>
      <c r="SKG241" s="21"/>
      <c r="SKH241" s="21"/>
      <c r="SKK241" s="21"/>
      <c r="SKL241" s="15"/>
      <c r="SKM241" s="15"/>
      <c r="SKN241" s="15"/>
      <c r="SKO241" s="15"/>
      <c r="SKP241" s="15"/>
      <c r="SKQ241" s="15"/>
      <c r="SKR241" s="15"/>
      <c r="SKS241" s="15"/>
      <c r="SKT241" s="15"/>
      <c r="SKU241" s="15"/>
      <c r="SKV241" s="10"/>
      <c r="SKW241" s="10"/>
      <c r="SKX241" s="21"/>
      <c r="SKY241" s="21"/>
      <c r="SLB241" s="21"/>
      <c r="SLC241" s="15"/>
      <c r="SLD241" s="15"/>
      <c r="SLE241" s="15"/>
      <c r="SLF241" s="15"/>
      <c r="SLG241" s="15"/>
      <c r="SLH241" s="15"/>
      <c r="SLI241" s="15"/>
      <c r="SLJ241" s="15"/>
      <c r="SLK241" s="15"/>
      <c r="SLL241" s="15"/>
      <c r="SLM241" s="10"/>
      <c r="SLN241" s="10"/>
      <c r="SLO241" s="21"/>
      <c r="SLP241" s="21"/>
      <c r="SLS241" s="21"/>
      <c r="SLT241" s="15"/>
      <c r="SLU241" s="15"/>
      <c r="SLV241" s="15"/>
      <c r="SLW241" s="15"/>
      <c r="SLX241" s="15"/>
      <c r="SLY241" s="15"/>
      <c r="SLZ241" s="15"/>
      <c r="SMA241" s="15"/>
      <c r="SMB241" s="15"/>
      <c r="SMC241" s="15"/>
      <c r="SMD241" s="10"/>
      <c r="SME241" s="10"/>
      <c r="SMF241" s="21"/>
      <c r="SMG241" s="21"/>
      <c r="SMJ241" s="21"/>
      <c r="SMK241" s="15"/>
      <c r="SML241" s="15"/>
      <c r="SMM241" s="15"/>
      <c r="SMN241" s="15"/>
      <c r="SMO241" s="15"/>
      <c r="SMP241" s="15"/>
      <c r="SMQ241" s="15"/>
      <c r="SMR241" s="15"/>
      <c r="SMS241" s="15"/>
      <c r="SMT241" s="15"/>
      <c r="SMU241" s="10"/>
      <c r="SMV241" s="10"/>
      <c r="SMW241" s="21"/>
      <c r="SMX241" s="21"/>
      <c r="SNA241" s="21"/>
      <c r="SNB241" s="15"/>
      <c r="SNC241" s="15"/>
      <c r="SND241" s="15"/>
      <c r="SNE241" s="15"/>
      <c r="SNF241" s="15"/>
      <c r="SNG241" s="15"/>
      <c r="SNH241" s="15"/>
      <c r="SNI241" s="15"/>
      <c r="SNJ241" s="15"/>
      <c r="SNK241" s="15"/>
      <c r="SNL241" s="10"/>
      <c r="SNM241" s="10"/>
      <c r="SNN241" s="21"/>
      <c r="SNO241" s="21"/>
      <c r="SNR241" s="21"/>
      <c r="SNS241" s="15"/>
      <c r="SNT241" s="15"/>
      <c r="SNU241" s="15"/>
      <c r="SNV241" s="15"/>
      <c r="SNW241" s="15"/>
      <c r="SNX241" s="15"/>
      <c r="SNY241" s="15"/>
      <c r="SNZ241" s="15"/>
      <c r="SOA241" s="15"/>
      <c r="SOB241" s="15"/>
      <c r="SOC241" s="10"/>
      <c r="SOD241" s="10"/>
      <c r="SOE241" s="21"/>
      <c r="SOF241" s="21"/>
      <c r="SOI241" s="21"/>
      <c r="SOJ241" s="15"/>
      <c r="SOK241" s="15"/>
      <c r="SOL241" s="15"/>
      <c r="SOM241" s="15"/>
      <c r="SON241" s="15"/>
      <c r="SOO241" s="15"/>
      <c r="SOP241" s="15"/>
      <c r="SOQ241" s="15"/>
      <c r="SOR241" s="15"/>
      <c r="SOS241" s="15"/>
      <c r="SOT241" s="10"/>
      <c r="SOU241" s="10"/>
      <c r="SOV241" s="21"/>
      <c r="SOW241" s="21"/>
      <c r="SOZ241" s="21"/>
      <c r="SPA241" s="15"/>
      <c r="SPB241" s="15"/>
      <c r="SPC241" s="15"/>
      <c r="SPD241" s="15"/>
      <c r="SPE241" s="15"/>
      <c r="SPF241" s="15"/>
      <c r="SPG241" s="15"/>
      <c r="SPH241" s="15"/>
      <c r="SPI241" s="15"/>
      <c r="SPJ241" s="15"/>
      <c r="SPK241" s="10"/>
      <c r="SPL241" s="10"/>
      <c r="SPM241" s="21"/>
      <c r="SPN241" s="21"/>
      <c r="SPQ241" s="21"/>
      <c r="SPR241" s="15"/>
      <c r="SPS241" s="15"/>
      <c r="SPT241" s="15"/>
      <c r="SPU241" s="15"/>
      <c r="SPV241" s="15"/>
      <c r="SPW241" s="15"/>
      <c r="SPX241" s="15"/>
      <c r="SPY241" s="15"/>
      <c r="SPZ241" s="15"/>
      <c r="SQA241" s="15"/>
      <c r="SQB241" s="10"/>
      <c r="SQC241" s="10"/>
      <c r="SQD241" s="21"/>
      <c r="SQE241" s="21"/>
      <c r="SQH241" s="21"/>
      <c r="SQI241" s="15"/>
      <c r="SQJ241" s="15"/>
      <c r="SQK241" s="15"/>
      <c r="SQL241" s="15"/>
      <c r="SQM241" s="15"/>
      <c r="SQN241" s="15"/>
      <c r="SQO241" s="15"/>
      <c r="SQP241" s="15"/>
      <c r="SQQ241" s="15"/>
      <c r="SQR241" s="15"/>
      <c r="SQS241" s="10"/>
      <c r="SQT241" s="10"/>
      <c r="SQU241" s="21"/>
      <c r="SQV241" s="21"/>
      <c r="SQY241" s="21"/>
      <c r="SQZ241" s="15"/>
      <c r="SRA241" s="15"/>
      <c r="SRB241" s="15"/>
      <c r="SRC241" s="15"/>
      <c r="SRD241" s="15"/>
      <c r="SRE241" s="15"/>
      <c r="SRF241" s="15"/>
      <c r="SRG241" s="15"/>
      <c r="SRH241" s="15"/>
      <c r="SRI241" s="15"/>
      <c r="SRJ241" s="10"/>
      <c r="SRK241" s="10"/>
      <c r="SRL241" s="21"/>
      <c r="SRM241" s="21"/>
      <c r="SRP241" s="21"/>
      <c r="SRQ241" s="15"/>
      <c r="SRR241" s="15"/>
      <c r="SRS241" s="15"/>
      <c r="SRT241" s="15"/>
      <c r="SRU241" s="15"/>
      <c r="SRV241" s="15"/>
      <c r="SRW241" s="15"/>
      <c r="SRX241" s="15"/>
      <c r="SRY241" s="15"/>
      <c r="SRZ241" s="15"/>
      <c r="SSA241" s="10"/>
      <c r="SSB241" s="10"/>
      <c r="SSC241" s="21"/>
      <c r="SSD241" s="21"/>
      <c r="SSG241" s="21"/>
      <c r="SSH241" s="15"/>
      <c r="SSI241" s="15"/>
      <c r="SSJ241" s="15"/>
      <c r="SSK241" s="15"/>
      <c r="SSL241" s="15"/>
      <c r="SSM241" s="15"/>
      <c r="SSN241" s="15"/>
      <c r="SSO241" s="15"/>
      <c r="SSP241" s="15"/>
      <c r="SSQ241" s="15"/>
      <c r="SSR241" s="10"/>
      <c r="SSS241" s="10"/>
      <c r="SST241" s="21"/>
      <c r="SSU241" s="21"/>
      <c r="SSX241" s="21"/>
      <c r="SSY241" s="15"/>
      <c r="SSZ241" s="15"/>
      <c r="STA241" s="15"/>
      <c r="STB241" s="15"/>
      <c r="STC241" s="15"/>
      <c r="STD241" s="15"/>
      <c r="STE241" s="15"/>
      <c r="STF241" s="15"/>
      <c r="STG241" s="15"/>
      <c r="STH241" s="15"/>
      <c r="STI241" s="10"/>
      <c r="STJ241" s="10"/>
      <c r="STK241" s="21"/>
      <c r="STL241" s="21"/>
      <c r="STO241" s="21"/>
      <c r="STP241" s="15"/>
      <c r="STQ241" s="15"/>
      <c r="STR241" s="15"/>
      <c r="STS241" s="15"/>
      <c r="STT241" s="15"/>
      <c r="STU241" s="15"/>
      <c r="STV241" s="15"/>
      <c r="STW241" s="15"/>
      <c r="STX241" s="15"/>
      <c r="STY241" s="15"/>
      <c r="STZ241" s="10"/>
      <c r="SUA241" s="10"/>
      <c r="SUB241" s="21"/>
      <c r="SUC241" s="21"/>
      <c r="SUF241" s="21"/>
      <c r="SUG241" s="15"/>
      <c r="SUH241" s="15"/>
      <c r="SUI241" s="15"/>
      <c r="SUJ241" s="15"/>
      <c r="SUK241" s="15"/>
      <c r="SUL241" s="15"/>
      <c r="SUM241" s="15"/>
      <c r="SUN241" s="15"/>
      <c r="SUO241" s="15"/>
      <c r="SUP241" s="15"/>
      <c r="SUQ241" s="10"/>
      <c r="SUR241" s="10"/>
      <c r="SUS241" s="21"/>
      <c r="SUT241" s="21"/>
      <c r="SUW241" s="21"/>
      <c r="SUX241" s="15"/>
      <c r="SUY241" s="15"/>
      <c r="SUZ241" s="15"/>
      <c r="SVA241" s="15"/>
      <c r="SVB241" s="15"/>
      <c r="SVC241" s="15"/>
      <c r="SVD241" s="15"/>
      <c r="SVE241" s="15"/>
      <c r="SVF241" s="15"/>
      <c r="SVG241" s="15"/>
      <c r="SVH241" s="10"/>
      <c r="SVI241" s="10"/>
      <c r="SVJ241" s="21"/>
      <c r="SVK241" s="21"/>
      <c r="SVN241" s="21"/>
      <c r="SVO241" s="15"/>
      <c r="SVP241" s="15"/>
      <c r="SVQ241" s="15"/>
      <c r="SVR241" s="15"/>
      <c r="SVS241" s="15"/>
      <c r="SVT241" s="15"/>
      <c r="SVU241" s="15"/>
      <c r="SVV241" s="15"/>
      <c r="SVW241" s="15"/>
      <c r="SVX241" s="15"/>
      <c r="SVY241" s="10"/>
      <c r="SVZ241" s="10"/>
      <c r="SWA241" s="21"/>
      <c r="SWB241" s="21"/>
      <c r="SWE241" s="21"/>
      <c r="SWF241" s="15"/>
      <c r="SWG241" s="15"/>
      <c r="SWH241" s="15"/>
      <c r="SWI241" s="15"/>
      <c r="SWJ241" s="15"/>
      <c r="SWK241" s="15"/>
      <c r="SWL241" s="15"/>
      <c r="SWM241" s="15"/>
      <c r="SWN241" s="15"/>
      <c r="SWO241" s="15"/>
      <c r="SWP241" s="10"/>
      <c r="SWQ241" s="10"/>
      <c r="SWR241" s="21"/>
      <c r="SWS241" s="21"/>
      <c r="SWV241" s="21"/>
      <c r="SWW241" s="15"/>
      <c r="SWX241" s="15"/>
      <c r="SWY241" s="15"/>
      <c r="SWZ241" s="15"/>
      <c r="SXA241" s="15"/>
      <c r="SXB241" s="15"/>
      <c r="SXC241" s="15"/>
      <c r="SXD241" s="15"/>
      <c r="SXE241" s="15"/>
      <c r="SXF241" s="15"/>
      <c r="SXG241" s="10"/>
      <c r="SXH241" s="10"/>
      <c r="SXI241" s="21"/>
      <c r="SXJ241" s="21"/>
      <c r="SXM241" s="21"/>
      <c r="SXN241" s="15"/>
      <c r="SXO241" s="15"/>
      <c r="SXP241" s="15"/>
      <c r="SXQ241" s="15"/>
      <c r="SXR241" s="15"/>
      <c r="SXS241" s="15"/>
      <c r="SXT241" s="15"/>
      <c r="SXU241" s="15"/>
      <c r="SXV241" s="15"/>
      <c r="SXW241" s="15"/>
      <c r="SXX241" s="10"/>
      <c r="SXY241" s="10"/>
      <c r="SXZ241" s="21"/>
      <c r="SYA241" s="21"/>
      <c r="SYD241" s="21"/>
      <c r="SYE241" s="15"/>
      <c r="SYF241" s="15"/>
      <c r="SYG241" s="15"/>
      <c r="SYH241" s="15"/>
      <c r="SYI241" s="15"/>
      <c r="SYJ241" s="15"/>
      <c r="SYK241" s="15"/>
      <c r="SYL241" s="15"/>
      <c r="SYM241" s="15"/>
      <c r="SYN241" s="15"/>
      <c r="SYO241" s="10"/>
      <c r="SYP241" s="10"/>
      <c r="SYQ241" s="21"/>
      <c r="SYR241" s="21"/>
      <c r="SYU241" s="21"/>
      <c r="SYV241" s="15"/>
      <c r="SYW241" s="15"/>
      <c r="SYX241" s="15"/>
      <c r="SYY241" s="15"/>
      <c r="SYZ241" s="15"/>
      <c r="SZA241" s="15"/>
      <c r="SZB241" s="15"/>
      <c r="SZC241" s="15"/>
      <c r="SZD241" s="15"/>
      <c r="SZE241" s="15"/>
      <c r="SZF241" s="10"/>
      <c r="SZG241" s="10"/>
      <c r="SZH241" s="21"/>
      <c r="SZI241" s="21"/>
      <c r="SZL241" s="21"/>
      <c r="SZM241" s="15"/>
      <c r="SZN241" s="15"/>
      <c r="SZO241" s="15"/>
      <c r="SZP241" s="15"/>
      <c r="SZQ241" s="15"/>
      <c r="SZR241" s="15"/>
      <c r="SZS241" s="15"/>
      <c r="SZT241" s="15"/>
      <c r="SZU241" s="15"/>
      <c r="SZV241" s="15"/>
      <c r="SZW241" s="10"/>
      <c r="SZX241" s="10"/>
      <c r="SZY241" s="21"/>
      <c r="SZZ241" s="21"/>
      <c r="TAC241" s="21"/>
      <c r="TAD241" s="15"/>
      <c r="TAE241" s="15"/>
      <c r="TAF241" s="15"/>
      <c r="TAG241" s="15"/>
      <c r="TAH241" s="15"/>
      <c r="TAI241" s="15"/>
      <c r="TAJ241" s="15"/>
      <c r="TAK241" s="15"/>
      <c r="TAL241" s="15"/>
      <c r="TAM241" s="15"/>
      <c r="TAN241" s="10"/>
      <c r="TAO241" s="10"/>
      <c r="TAP241" s="21"/>
      <c r="TAQ241" s="21"/>
      <c r="TAT241" s="21"/>
      <c r="TAU241" s="15"/>
      <c r="TAV241" s="15"/>
      <c r="TAW241" s="15"/>
      <c r="TAX241" s="15"/>
      <c r="TAY241" s="15"/>
      <c r="TAZ241" s="15"/>
      <c r="TBA241" s="15"/>
      <c r="TBB241" s="15"/>
      <c r="TBC241" s="15"/>
      <c r="TBD241" s="15"/>
      <c r="TBE241" s="10"/>
      <c r="TBF241" s="10"/>
      <c r="TBG241" s="21"/>
      <c r="TBH241" s="21"/>
      <c r="TBK241" s="21"/>
      <c r="TBL241" s="15"/>
      <c r="TBM241" s="15"/>
      <c r="TBN241" s="15"/>
      <c r="TBO241" s="15"/>
      <c r="TBP241" s="15"/>
      <c r="TBQ241" s="15"/>
      <c r="TBR241" s="15"/>
      <c r="TBS241" s="15"/>
      <c r="TBT241" s="15"/>
      <c r="TBU241" s="15"/>
      <c r="TBV241" s="10"/>
      <c r="TBW241" s="10"/>
      <c r="TBX241" s="21"/>
      <c r="TBY241" s="21"/>
      <c r="TCB241" s="21"/>
      <c r="TCC241" s="15"/>
      <c r="TCD241" s="15"/>
      <c r="TCE241" s="15"/>
      <c r="TCF241" s="15"/>
      <c r="TCG241" s="15"/>
      <c r="TCH241" s="15"/>
      <c r="TCI241" s="15"/>
      <c r="TCJ241" s="15"/>
      <c r="TCK241" s="15"/>
      <c r="TCL241" s="15"/>
      <c r="TCM241" s="10"/>
      <c r="TCN241" s="10"/>
      <c r="TCO241" s="21"/>
      <c r="TCP241" s="21"/>
      <c r="TCS241" s="21"/>
      <c r="TCT241" s="15"/>
      <c r="TCU241" s="15"/>
      <c r="TCV241" s="15"/>
      <c r="TCW241" s="15"/>
      <c r="TCX241" s="15"/>
      <c r="TCY241" s="15"/>
      <c r="TCZ241" s="15"/>
      <c r="TDA241" s="15"/>
      <c r="TDB241" s="15"/>
      <c r="TDC241" s="15"/>
      <c r="TDD241" s="10"/>
      <c r="TDE241" s="10"/>
      <c r="TDF241" s="21"/>
      <c r="TDG241" s="21"/>
      <c r="TDJ241" s="21"/>
      <c r="TDK241" s="15"/>
      <c r="TDL241" s="15"/>
      <c r="TDM241" s="15"/>
      <c r="TDN241" s="15"/>
      <c r="TDO241" s="15"/>
      <c r="TDP241" s="15"/>
      <c r="TDQ241" s="15"/>
      <c r="TDR241" s="15"/>
      <c r="TDS241" s="15"/>
      <c r="TDT241" s="15"/>
      <c r="TDU241" s="10"/>
      <c r="TDV241" s="10"/>
      <c r="TDW241" s="21"/>
      <c r="TDX241" s="21"/>
      <c r="TEA241" s="21"/>
      <c r="TEB241" s="15"/>
      <c r="TEC241" s="15"/>
      <c r="TED241" s="15"/>
      <c r="TEE241" s="15"/>
      <c r="TEF241" s="15"/>
      <c r="TEG241" s="15"/>
      <c r="TEH241" s="15"/>
      <c r="TEI241" s="15"/>
      <c r="TEJ241" s="15"/>
      <c r="TEK241" s="15"/>
      <c r="TEL241" s="10"/>
      <c r="TEM241" s="10"/>
      <c r="TEN241" s="21"/>
      <c r="TEO241" s="21"/>
      <c r="TER241" s="21"/>
      <c r="TES241" s="15"/>
      <c r="TET241" s="15"/>
      <c r="TEU241" s="15"/>
      <c r="TEV241" s="15"/>
      <c r="TEW241" s="15"/>
      <c r="TEX241" s="15"/>
      <c r="TEY241" s="15"/>
      <c r="TEZ241" s="15"/>
      <c r="TFA241" s="15"/>
      <c r="TFB241" s="15"/>
      <c r="TFC241" s="10"/>
      <c r="TFD241" s="10"/>
      <c r="TFE241" s="21"/>
      <c r="TFF241" s="21"/>
      <c r="TFI241" s="21"/>
      <c r="TFJ241" s="15"/>
      <c r="TFK241" s="15"/>
      <c r="TFL241" s="15"/>
      <c r="TFM241" s="15"/>
      <c r="TFN241" s="15"/>
      <c r="TFO241" s="15"/>
      <c r="TFP241" s="15"/>
      <c r="TFQ241" s="15"/>
      <c r="TFR241" s="15"/>
      <c r="TFS241" s="15"/>
      <c r="TFT241" s="10"/>
      <c r="TFU241" s="10"/>
      <c r="TFV241" s="21"/>
      <c r="TFW241" s="21"/>
      <c r="TFZ241" s="21"/>
      <c r="TGA241" s="15"/>
      <c r="TGB241" s="15"/>
      <c r="TGC241" s="15"/>
      <c r="TGD241" s="15"/>
      <c r="TGE241" s="15"/>
      <c r="TGF241" s="15"/>
      <c r="TGG241" s="15"/>
      <c r="TGH241" s="15"/>
      <c r="TGI241" s="15"/>
      <c r="TGJ241" s="15"/>
      <c r="TGK241" s="10"/>
      <c r="TGL241" s="10"/>
      <c r="TGM241" s="21"/>
      <c r="TGN241" s="21"/>
      <c r="TGQ241" s="21"/>
      <c r="TGR241" s="15"/>
      <c r="TGS241" s="15"/>
      <c r="TGT241" s="15"/>
      <c r="TGU241" s="15"/>
      <c r="TGV241" s="15"/>
      <c r="TGW241" s="15"/>
      <c r="TGX241" s="15"/>
      <c r="TGY241" s="15"/>
      <c r="TGZ241" s="15"/>
      <c r="THA241" s="15"/>
      <c r="THB241" s="10"/>
      <c r="THC241" s="10"/>
      <c r="THD241" s="21"/>
      <c r="THE241" s="21"/>
      <c r="THH241" s="21"/>
      <c r="THI241" s="15"/>
      <c r="THJ241" s="15"/>
      <c r="THK241" s="15"/>
      <c r="THL241" s="15"/>
      <c r="THM241" s="15"/>
      <c r="THN241" s="15"/>
      <c r="THO241" s="15"/>
      <c r="THP241" s="15"/>
      <c r="THQ241" s="15"/>
      <c r="THR241" s="15"/>
      <c r="THS241" s="10"/>
      <c r="THT241" s="10"/>
      <c r="THU241" s="21"/>
      <c r="THV241" s="21"/>
      <c r="THY241" s="21"/>
      <c r="THZ241" s="15"/>
      <c r="TIA241" s="15"/>
      <c r="TIB241" s="15"/>
      <c r="TIC241" s="15"/>
      <c r="TID241" s="15"/>
      <c r="TIE241" s="15"/>
      <c r="TIF241" s="15"/>
      <c r="TIG241" s="15"/>
      <c r="TIH241" s="15"/>
      <c r="TII241" s="15"/>
      <c r="TIJ241" s="10"/>
      <c r="TIK241" s="10"/>
      <c r="TIL241" s="21"/>
      <c r="TIM241" s="21"/>
      <c r="TIP241" s="21"/>
      <c r="TIQ241" s="15"/>
      <c r="TIR241" s="15"/>
      <c r="TIS241" s="15"/>
      <c r="TIT241" s="15"/>
      <c r="TIU241" s="15"/>
      <c r="TIV241" s="15"/>
      <c r="TIW241" s="15"/>
      <c r="TIX241" s="15"/>
      <c r="TIY241" s="15"/>
      <c r="TIZ241" s="15"/>
      <c r="TJA241" s="10"/>
      <c r="TJB241" s="10"/>
      <c r="TJC241" s="21"/>
      <c r="TJD241" s="21"/>
      <c r="TJG241" s="21"/>
      <c r="TJH241" s="15"/>
      <c r="TJI241" s="15"/>
      <c r="TJJ241" s="15"/>
      <c r="TJK241" s="15"/>
      <c r="TJL241" s="15"/>
      <c r="TJM241" s="15"/>
      <c r="TJN241" s="15"/>
      <c r="TJO241" s="15"/>
      <c r="TJP241" s="15"/>
      <c r="TJQ241" s="15"/>
      <c r="TJR241" s="10"/>
      <c r="TJS241" s="10"/>
      <c r="TJT241" s="21"/>
      <c r="TJU241" s="21"/>
      <c r="TJX241" s="21"/>
      <c r="TJY241" s="15"/>
      <c r="TJZ241" s="15"/>
      <c r="TKA241" s="15"/>
      <c r="TKB241" s="15"/>
      <c r="TKC241" s="15"/>
      <c r="TKD241" s="15"/>
      <c r="TKE241" s="15"/>
      <c r="TKF241" s="15"/>
      <c r="TKG241" s="15"/>
      <c r="TKH241" s="15"/>
      <c r="TKI241" s="10"/>
      <c r="TKJ241" s="10"/>
      <c r="TKK241" s="21"/>
      <c r="TKL241" s="21"/>
      <c r="TKO241" s="21"/>
      <c r="TKP241" s="15"/>
      <c r="TKQ241" s="15"/>
      <c r="TKR241" s="15"/>
      <c r="TKS241" s="15"/>
      <c r="TKT241" s="15"/>
      <c r="TKU241" s="15"/>
      <c r="TKV241" s="15"/>
      <c r="TKW241" s="15"/>
      <c r="TKX241" s="15"/>
      <c r="TKY241" s="15"/>
      <c r="TKZ241" s="10"/>
      <c r="TLA241" s="10"/>
      <c r="TLB241" s="21"/>
      <c r="TLC241" s="21"/>
      <c r="TLF241" s="21"/>
      <c r="TLG241" s="15"/>
      <c r="TLH241" s="15"/>
      <c r="TLI241" s="15"/>
      <c r="TLJ241" s="15"/>
      <c r="TLK241" s="15"/>
      <c r="TLL241" s="15"/>
      <c r="TLM241" s="15"/>
      <c r="TLN241" s="15"/>
      <c r="TLO241" s="15"/>
      <c r="TLP241" s="15"/>
      <c r="TLQ241" s="10"/>
      <c r="TLR241" s="10"/>
      <c r="TLS241" s="21"/>
      <c r="TLT241" s="21"/>
      <c r="TLW241" s="21"/>
      <c r="TLX241" s="15"/>
      <c r="TLY241" s="15"/>
      <c r="TLZ241" s="15"/>
      <c r="TMA241" s="15"/>
      <c r="TMB241" s="15"/>
      <c r="TMC241" s="15"/>
      <c r="TMD241" s="15"/>
      <c r="TME241" s="15"/>
      <c r="TMF241" s="15"/>
      <c r="TMG241" s="15"/>
      <c r="TMH241" s="10"/>
      <c r="TMI241" s="10"/>
      <c r="TMJ241" s="21"/>
      <c r="TMK241" s="21"/>
      <c r="TMN241" s="21"/>
      <c r="TMO241" s="15"/>
      <c r="TMP241" s="15"/>
      <c r="TMQ241" s="15"/>
      <c r="TMR241" s="15"/>
      <c r="TMS241" s="15"/>
      <c r="TMT241" s="15"/>
      <c r="TMU241" s="15"/>
      <c r="TMV241" s="15"/>
      <c r="TMW241" s="15"/>
      <c r="TMX241" s="15"/>
      <c r="TMY241" s="10"/>
      <c r="TMZ241" s="10"/>
      <c r="TNA241" s="21"/>
      <c r="TNB241" s="21"/>
      <c r="TNE241" s="21"/>
      <c r="TNF241" s="15"/>
      <c r="TNG241" s="15"/>
      <c r="TNH241" s="15"/>
      <c r="TNI241" s="15"/>
      <c r="TNJ241" s="15"/>
      <c r="TNK241" s="15"/>
      <c r="TNL241" s="15"/>
      <c r="TNM241" s="15"/>
      <c r="TNN241" s="15"/>
      <c r="TNO241" s="15"/>
      <c r="TNP241" s="10"/>
      <c r="TNQ241" s="10"/>
      <c r="TNR241" s="21"/>
      <c r="TNS241" s="21"/>
      <c r="TNV241" s="21"/>
      <c r="TNW241" s="15"/>
      <c r="TNX241" s="15"/>
      <c r="TNY241" s="15"/>
      <c r="TNZ241" s="15"/>
      <c r="TOA241" s="15"/>
      <c r="TOB241" s="15"/>
      <c r="TOC241" s="15"/>
      <c r="TOD241" s="15"/>
      <c r="TOE241" s="15"/>
      <c r="TOF241" s="15"/>
      <c r="TOG241" s="10"/>
      <c r="TOH241" s="10"/>
      <c r="TOI241" s="21"/>
      <c r="TOJ241" s="21"/>
      <c r="TOM241" s="21"/>
      <c r="TON241" s="15"/>
      <c r="TOO241" s="15"/>
      <c r="TOP241" s="15"/>
      <c r="TOQ241" s="15"/>
      <c r="TOR241" s="15"/>
      <c r="TOS241" s="15"/>
      <c r="TOT241" s="15"/>
      <c r="TOU241" s="15"/>
      <c r="TOV241" s="15"/>
      <c r="TOW241" s="15"/>
      <c r="TOX241" s="10"/>
      <c r="TOY241" s="10"/>
      <c r="TOZ241" s="21"/>
      <c r="TPA241" s="21"/>
      <c r="TPD241" s="21"/>
      <c r="TPE241" s="15"/>
      <c r="TPF241" s="15"/>
      <c r="TPG241" s="15"/>
      <c r="TPH241" s="15"/>
      <c r="TPI241" s="15"/>
      <c r="TPJ241" s="15"/>
      <c r="TPK241" s="15"/>
      <c r="TPL241" s="15"/>
      <c r="TPM241" s="15"/>
      <c r="TPN241" s="15"/>
      <c r="TPO241" s="10"/>
      <c r="TPP241" s="10"/>
      <c r="TPQ241" s="21"/>
      <c r="TPR241" s="21"/>
      <c r="TPU241" s="21"/>
      <c r="TPV241" s="15"/>
      <c r="TPW241" s="15"/>
      <c r="TPX241" s="15"/>
      <c r="TPY241" s="15"/>
      <c r="TPZ241" s="15"/>
      <c r="TQA241" s="15"/>
      <c r="TQB241" s="15"/>
      <c r="TQC241" s="15"/>
      <c r="TQD241" s="15"/>
      <c r="TQE241" s="15"/>
      <c r="TQF241" s="10"/>
      <c r="TQG241" s="10"/>
      <c r="TQH241" s="21"/>
      <c r="TQI241" s="21"/>
      <c r="TQL241" s="21"/>
      <c r="TQM241" s="15"/>
      <c r="TQN241" s="15"/>
      <c r="TQO241" s="15"/>
      <c r="TQP241" s="15"/>
      <c r="TQQ241" s="15"/>
      <c r="TQR241" s="15"/>
      <c r="TQS241" s="15"/>
      <c r="TQT241" s="15"/>
      <c r="TQU241" s="15"/>
      <c r="TQV241" s="15"/>
      <c r="TQW241" s="10"/>
      <c r="TQX241" s="10"/>
      <c r="TQY241" s="21"/>
      <c r="TQZ241" s="21"/>
      <c r="TRC241" s="21"/>
      <c r="TRD241" s="15"/>
      <c r="TRE241" s="15"/>
      <c r="TRF241" s="15"/>
      <c r="TRG241" s="15"/>
      <c r="TRH241" s="15"/>
      <c r="TRI241" s="15"/>
      <c r="TRJ241" s="15"/>
      <c r="TRK241" s="15"/>
      <c r="TRL241" s="15"/>
      <c r="TRM241" s="15"/>
      <c r="TRN241" s="10"/>
      <c r="TRO241" s="10"/>
      <c r="TRP241" s="21"/>
      <c r="TRQ241" s="21"/>
      <c r="TRT241" s="21"/>
      <c r="TRU241" s="15"/>
      <c r="TRV241" s="15"/>
      <c r="TRW241" s="15"/>
      <c r="TRX241" s="15"/>
      <c r="TRY241" s="15"/>
      <c r="TRZ241" s="15"/>
      <c r="TSA241" s="15"/>
      <c r="TSB241" s="15"/>
      <c r="TSC241" s="15"/>
      <c r="TSD241" s="15"/>
      <c r="TSE241" s="10"/>
      <c r="TSF241" s="10"/>
      <c r="TSG241" s="21"/>
      <c r="TSH241" s="21"/>
      <c r="TSK241" s="21"/>
      <c r="TSL241" s="15"/>
      <c r="TSM241" s="15"/>
      <c r="TSN241" s="15"/>
      <c r="TSO241" s="15"/>
      <c r="TSP241" s="15"/>
      <c r="TSQ241" s="15"/>
      <c r="TSR241" s="15"/>
      <c r="TSS241" s="15"/>
      <c r="TST241" s="15"/>
      <c r="TSU241" s="15"/>
      <c r="TSV241" s="10"/>
      <c r="TSW241" s="10"/>
      <c r="TSX241" s="21"/>
      <c r="TSY241" s="21"/>
      <c r="TTB241" s="21"/>
      <c r="TTC241" s="15"/>
      <c r="TTD241" s="15"/>
      <c r="TTE241" s="15"/>
      <c r="TTF241" s="15"/>
      <c r="TTG241" s="15"/>
      <c r="TTH241" s="15"/>
      <c r="TTI241" s="15"/>
      <c r="TTJ241" s="15"/>
      <c r="TTK241" s="15"/>
      <c r="TTL241" s="15"/>
      <c r="TTM241" s="10"/>
      <c r="TTN241" s="10"/>
      <c r="TTO241" s="21"/>
      <c r="TTP241" s="21"/>
      <c r="TTS241" s="21"/>
      <c r="TTT241" s="15"/>
      <c r="TTU241" s="15"/>
      <c r="TTV241" s="15"/>
      <c r="TTW241" s="15"/>
      <c r="TTX241" s="15"/>
      <c r="TTY241" s="15"/>
      <c r="TTZ241" s="15"/>
      <c r="TUA241" s="15"/>
      <c r="TUB241" s="15"/>
      <c r="TUC241" s="15"/>
      <c r="TUD241" s="10"/>
      <c r="TUE241" s="10"/>
      <c r="TUF241" s="21"/>
      <c r="TUG241" s="21"/>
      <c r="TUJ241" s="21"/>
      <c r="TUK241" s="15"/>
      <c r="TUL241" s="15"/>
      <c r="TUM241" s="15"/>
      <c r="TUN241" s="15"/>
      <c r="TUO241" s="15"/>
      <c r="TUP241" s="15"/>
      <c r="TUQ241" s="15"/>
      <c r="TUR241" s="15"/>
      <c r="TUS241" s="15"/>
      <c r="TUT241" s="15"/>
      <c r="TUU241" s="10"/>
      <c r="TUV241" s="10"/>
      <c r="TUW241" s="21"/>
      <c r="TUX241" s="21"/>
      <c r="TVA241" s="21"/>
      <c r="TVB241" s="15"/>
      <c r="TVC241" s="15"/>
      <c r="TVD241" s="15"/>
      <c r="TVE241" s="15"/>
      <c r="TVF241" s="15"/>
      <c r="TVG241" s="15"/>
      <c r="TVH241" s="15"/>
      <c r="TVI241" s="15"/>
      <c r="TVJ241" s="15"/>
      <c r="TVK241" s="15"/>
      <c r="TVL241" s="10"/>
      <c r="TVM241" s="10"/>
      <c r="TVN241" s="21"/>
      <c r="TVO241" s="21"/>
      <c r="TVR241" s="21"/>
      <c r="TVS241" s="15"/>
      <c r="TVT241" s="15"/>
      <c r="TVU241" s="15"/>
      <c r="TVV241" s="15"/>
      <c r="TVW241" s="15"/>
      <c r="TVX241" s="15"/>
      <c r="TVY241" s="15"/>
      <c r="TVZ241" s="15"/>
      <c r="TWA241" s="15"/>
      <c r="TWB241" s="15"/>
      <c r="TWC241" s="10"/>
      <c r="TWD241" s="10"/>
      <c r="TWE241" s="21"/>
      <c r="TWF241" s="21"/>
      <c r="TWI241" s="21"/>
      <c r="TWJ241" s="15"/>
      <c r="TWK241" s="15"/>
      <c r="TWL241" s="15"/>
      <c r="TWM241" s="15"/>
      <c r="TWN241" s="15"/>
      <c r="TWO241" s="15"/>
      <c r="TWP241" s="15"/>
      <c r="TWQ241" s="15"/>
      <c r="TWR241" s="15"/>
      <c r="TWS241" s="15"/>
      <c r="TWT241" s="10"/>
      <c r="TWU241" s="10"/>
      <c r="TWV241" s="21"/>
      <c r="TWW241" s="21"/>
      <c r="TWZ241" s="21"/>
      <c r="TXA241" s="15"/>
      <c r="TXB241" s="15"/>
      <c r="TXC241" s="15"/>
      <c r="TXD241" s="15"/>
      <c r="TXE241" s="15"/>
      <c r="TXF241" s="15"/>
      <c r="TXG241" s="15"/>
      <c r="TXH241" s="15"/>
      <c r="TXI241" s="15"/>
      <c r="TXJ241" s="15"/>
      <c r="TXK241" s="10"/>
      <c r="TXL241" s="10"/>
      <c r="TXM241" s="21"/>
      <c r="TXN241" s="21"/>
      <c r="TXQ241" s="21"/>
      <c r="TXR241" s="15"/>
      <c r="TXS241" s="15"/>
      <c r="TXT241" s="15"/>
      <c r="TXU241" s="15"/>
      <c r="TXV241" s="15"/>
      <c r="TXW241" s="15"/>
      <c r="TXX241" s="15"/>
      <c r="TXY241" s="15"/>
      <c r="TXZ241" s="15"/>
      <c r="TYA241" s="15"/>
      <c r="TYB241" s="10"/>
      <c r="TYC241" s="10"/>
      <c r="TYD241" s="21"/>
      <c r="TYE241" s="21"/>
      <c r="TYH241" s="21"/>
      <c r="TYI241" s="15"/>
      <c r="TYJ241" s="15"/>
      <c r="TYK241" s="15"/>
      <c r="TYL241" s="15"/>
      <c r="TYM241" s="15"/>
      <c r="TYN241" s="15"/>
      <c r="TYO241" s="15"/>
      <c r="TYP241" s="15"/>
      <c r="TYQ241" s="15"/>
      <c r="TYR241" s="15"/>
      <c r="TYS241" s="10"/>
      <c r="TYT241" s="10"/>
      <c r="TYU241" s="21"/>
      <c r="TYV241" s="21"/>
      <c r="TYY241" s="21"/>
      <c r="TYZ241" s="15"/>
      <c r="TZA241" s="15"/>
      <c r="TZB241" s="15"/>
      <c r="TZC241" s="15"/>
      <c r="TZD241" s="15"/>
      <c r="TZE241" s="15"/>
      <c r="TZF241" s="15"/>
      <c r="TZG241" s="15"/>
      <c r="TZH241" s="15"/>
      <c r="TZI241" s="15"/>
      <c r="TZJ241" s="10"/>
      <c r="TZK241" s="10"/>
      <c r="TZL241" s="21"/>
      <c r="TZM241" s="21"/>
      <c r="TZP241" s="21"/>
      <c r="TZQ241" s="15"/>
      <c r="TZR241" s="15"/>
      <c r="TZS241" s="15"/>
      <c r="TZT241" s="15"/>
      <c r="TZU241" s="15"/>
      <c r="TZV241" s="15"/>
      <c r="TZW241" s="15"/>
      <c r="TZX241" s="15"/>
      <c r="TZY241" s="15"/>
      <c r="TZZ241" s="15"/>
      <c r="UAA241" s="10"/>
      <c r="UAB241" s="10"/>
      <c r="UAC241" s="21"/>
      <c r="UAD241" s="21"/>
      <c r="UAG241" s="21"/>
      <c r="UAH241" s="15"/>
      <c r="UAI241" s="15"/>
      <c r="UAJ241" s="15"/>
      <c r="UAK241" s="15"/>
      <c r="UAL241" s="15"/>
      <c r="UAM241" s="15"/>
      <c r="UAN241" s="15"/>
      <c r="UAO241" s="15"/>
      <c r="UAP241" s="15"/>
      <c r="UAQ241" s="15"/>
      <c r="UAR241" s="10"/>
      <c r="UAS241" s="10"/>
      <c r="UAT241" s="21"/>
      <c r="UAU241" s="21"/>
      <c r="UAX241" s="21"/>
      <c r="UAY241" s="15"/>
      <c r="UAZ241" s="15"/>
      <c r="UBA241" s="15"/>
      <c r="UBB241" s="15"/>
      <c r="UBC241" s="15"/>
      <c r="UBD241" s="15"/>
      <c r="UBE241" s="15"/>
      <c r="UBF241" s="15"/>
      <c r="UBG241" s="15"/>
      <c r="UBH241" s="15"/>
      <c r="UBI241" s="10"/>
      <c r="UBJ241" s="10"/>
      <c r="UBK241" s="21"/>
      <c r="UBL241" s="21"/>
      <c r="UBO241" s="21"/>
      <c r="UBP241" s="15"/>
      <c r="UBQ241" s="15"/>
      <c r="UBR241" s="15"/>
      <c r="UBS241" s="15"/>
      <c r="UBT241" s="15"/>
      <c r="UBU241" s="15"/>
      <c r="UBV241" s="15"/>
      <c r="UBW241" s="15"/>
      <c r="UBX241" s="15"/>
      <c r="UBY241" s="15"/>
      <c r="UBZ241" s="10"/>
      <c r="UCA241" s="10"/>
      <c r="UCB241" s="21"/>
      <c r="UCC241" s="21"/>
      <c r="UCF241" s="21"/>
      <c r="UCG241" s="15"/>
      <c r="UCH241" s="15"/>
      <c r="UCI241" s="15"/>
      <c r="UCJ241" s="15"/>
      <c r="UCK241" s="15"/>
      <c r="UCL241" s="15"/>
      <c r="UCM241" s="15"/>
      <c r="UCN241" s="15"/>
      <c r="UCO241" s="15"/>
      <c r="UCP241" s="15"/>
      <c r="UCQ241" s="10"/>
      <c r="UCR241" s="10"/>
      <c r="UCS241" s="21"/>
      <c r="UCT241" s="21"/>
      <c r="UCW241" s="21"/>
      <c r="UCX241" s="15"/>
      <c r="UCY241" s="15"/>
      <c r="UCZ241" s="15"/>
      <c r="UDA241" s="15"/>
      <c r="UDB241" s="15"/>
      <c r="UDC241" s="15"/>
      <c r="UDD241" s="15"/>
      <c r="UDE241" s="15"/>
      <c r="UDF241" s="15"/>
      <c r="UDG241" s="15"/>
      <c r="UDH241" s="10"/>
      <c r="UDI241" s="10"/>
      <c r="UDJ241" s="21"/>
      <c r="UDK241" s="21"/>
      <c r="UDN241" s="21"/>
      <c r="UDO241" s="15"/>
      <c r="UDP241" s="15"/>
      <c r="UDQ241" s="15"/>
      <c r="UDR241" s="15"/>
      <c r="UDS241" s="15"/>
      <c r="UDT241" s="15"/>
      <c r="UDU241" s="15"/>
      <c r="UDV241" s="15"/>
      <c r="UDW241" s="15"/>
      <c r="UDX241" s="15"/>
      <c r="UDY241" s="10"/>
      <c r="UDZ241" s="10"/>
      <c r="UEA241" s="21"/>
      <c r="UEB241" s="21"/>
      <c r="UEE241" s="21"/>
      <c r="UEF241" s="15"/>
      <c r="UEG241" s="15"/>
      <c r="UEH241" s="15"/>
      <c r="UEI241" s="15"/>
      <c r="UEJ241" s="15"/>
      <c r="UEK241" s="15"/>
      <c r="UEL241" s="15"/>
      <c r="UEM241" s="15"/>
      <c r="UEN241" s="15"/>
      <c r="UEO241" s="15"/>
      <c r="UEP241" s="10"/>
      <c r="UEQ241" s="10"/>
      <c r="UER241" s="21"/>
      <c r="UES241" s="21"/>
      <c r="UEV241" s="21"/>
      <c r="UEW241" s="15"/>
      <c r="UEX241" s="15"/>
      <c r="UEY241" s="15"/>
      <c r="UEZ241" s="15"/>
      <c r="UFA241" s="15"/>
      <c r="UFB241" s="15"/>
      <c r="UFC241" s="15"/>
      <c r="UFD241" s="15"/>
      <c r="UFE241" s="15"/>
      <c r="UFF241" s="15"/>
      <c r="UFG241" s="10"/>
      <c r="UFH241" s="10"/>
      <c r="UFI241" s="21"/>
      <c r="UFJ241" s="21"/>
      <c r="UFM241" s="21"/>
      <c r="UFN241" s="15"/>
      <c r="UFO241" s="15"/>
      <c r="UFP241" s="15"/>
      <c r="UFQ241" s="15"/>
      <c r="UFR241" s="15"/>
      <c r="UFS241" s="15"/>
      <c r="UFT241" s="15"/>
      <c r="UFU241" s="15"/>
      <c r="UFV241" s="15"/>
      <c r="UFW241" s="15"/>
      <c r="UFX241" s="10"/>
      <c r="UFY241" s="10"/>
      <c r="UFZ241" s="21"/>
      <c r="UGA241" s="21"/>
      <c r="UGD241" s="21"/>
      <c r="UGE241" s="15"/>
      <c r="UGF241" s="15"/>
      <c r="UGG241" s="15"/>
      <c r="UGH241" s="15"/>
      <c r="UGI241" s="15"/>
      <c r="UGJ241" s="15"/>
      <c r="UGK241" s="15"/>
      <c r="UGL241" s="15"/>
      <c r="UGM241" s="15"/>
      <c r="UGN241" s="15"/>
      <c r="UGO241" s="10"/>
      <c r="UGP241" s="10"/>
      <c r="UGQ241" s="21"/>
      <c r="UGR241" s="21"/>
      <c r="UGU241" s="21"/>
      <c r="UGV241" s="15"/>
      <c r="UGW241" s="15"/>
      <c r="UGX241" s="15"/>
      <c r="UGY241" s="15"/>
      <c r="UGZ241" s="15"/>
      <c r="UHA241" s="15"/>
      <c r="UHB241" s="15"/>
      <c r="UHC241" s="15"/>
      <c r="UHD241" s="15"/>
      <c r="UHE241" s="15"/>
      <c r="UHF241" s="10"/>
      <c r="UHG241" s="10"/>
      <c r="UHH241" s="21"/>
      <c r="UHI241" s="21"/>
      <c r="UHL241" s="21"/>
      <c r="UHM241" s="15"/>
      <c r="UHN241" s="15"/>
      <c r="UHO241" s="15"/>
      <c r="UHP241" s="15"/>
      <c r="UHQ241" s="15"/>
      <c r="UHR241" s="15"/>
      <c r="UHS241" s="15"/>
      <c r="UHT241" s="15"/>
      <c r="UHU241" s="15"/>
      <c r="UHV241" s="15"/>
      <c r="UHW241" s="10"/>
      <c r="UHX241" s="10"/>
      <c r="UHY241" s="21"/>
      <c r="UHZ241" s="21"/>
      <c r="UIC241" s="21"/>
      <c r="UID241" s="15"/>
      <c r="UIE241" s="15"/>
      <c r="UIF241" s="15"/>
      <c r="UIG241" s="15"/>
      <c r="UIH241" s="15"/>
      <c r="UII241" s="15"/>
      <c r="UIJ241" s="15"/>
      <c r="UIK241" s="15"/>
      <c r="UIL241" s="15"/>
      <c r="UIM241" s="15"/>
      <c r="UIN241" s="10"/>
      <c r="UIO241" s="10"/>
      <c r="UIP241" s="21"/>
      <c r="UIQ241" s="21"/>
      <c r="UIT241" s="21"/>
      <c r="UIU241" s="15"/>
      <c r="UIV241" s="15"/>
      <c r="UIW241" s="15"/>
      <c r="UIX241" s="15"/>
      <c r="UIY241" s="15"/>
      <c r="UIZ241" s="15"/>
      <c r="UJA241" s="15"/>
      <c r="UJB241" s="15"/>
      <c r="UJC241" s="15"/>
      <c r="UJD241" s="15"/>
      <c r="UJE241" s="10"/>
      <c r="UJF241" s="10"/>
      <c r="UJG241" s="21"/>
      <c r="UJH241" s="21"/>
      <c r="UJK241" s="21"/>
      <c r="UJL241" s="15"/>
      <c r="UJM241" s="15"/>
      <c r="UJN241" s="15"/>
      <c r="UJO241" s="15"/>
      <c r="UJP241" s="15"/>
      <c r="UJQ241" s="15"/>
      <c r="UJR241" s="15"/>
      <c r="UJS241" s="15"/>
      <c r="UJT241" s="15"/>
      <c r="UJU241" s="15"/>
      <c r="UJV241" s="10"/>
      <c r="UJW241" s="10"/>
      <c r="UJX241" s="21"/>
      <c r="UJY241" s="21"/>
      <c r="UKB241" s="21"/>
      <c r="UKC241" s="15"/>
      <c r="UKD241" s="15"/>
      <c r="UKE241" s="15"/>
      <c r="UKF241" s="15"/>
      <c r="UKG241" s="15"/>
      <c r="UKH241" s="15"/>
      <c r="UKI241" s="15"/>
      <c r="UKJ241" s="15"/>
      <c r="UKK241" s="15"/>
      <c r="UKL241" s="15"/>
      <c r="UKM241" s="10"/>
      <c r="UKN241" s="10"/>
      <c r="UKO241" s="21"/>
      <c r="UKP241" s="21"/>
      <c r="UKS241" s="21"/>
      <c r="UKT241" s="15"/>
      <c r="UKU241" s="15"/>
      <c r="UKV241" s="15"/>
      <c r="UKW241" s="15"/>
      <c r="UKX241" s="15"/>
      <c r="UKY241" s="15"/>
      <c r="UKZ241" s="15"/>
      <c r="ULA241" s="15"/>
      <c r="ULB241" s="15"/>
      <c r="ULC241" s="15"/>
      <c r="ULD241" s="10"/>
      <c r="ULE241" s="10"/>
      <c r="ULF241" s="21"/>
      <c r="ULG241" s="21"/>
      <c r="ULJ241" s="21"/>
      <c r="ULK241" s="15"/>
      <c r="ULL241" s="15"/>
      <c r="ULM241" s="15"/>
      <c r="ULN241" s="15"/>
      <c r="ULO241" s="15"/>
      <c r="ULP241" s="15"/>
      <c r="ULQ241" s="15"/>
      <c r="ULR241" s="15"/>
      <c r="ULS241" s="15"/>
      <c r="ULT241" s="15"/>
      <c r="ULU241" s="10"/>
      <c r="ULV241" s="10"/>
      <c r="ULW241" s="21"/>
      <c r="ULX241" s="21"/>
      <c r="UMA241" s="21"/>
      <c r="UMB241" s="15"/>
      <c r="UMC241" s="15"/>
      <c r="UMD241" s="15"/>
      <c r="UME241" s="15"/>
      <c r="UMF241" s="15"/>
      <c r="UMG241" s="15"/>
      <c r="UMH241" s="15"/>
      <c r="UMI241" s="15"/>
      <c r="UMJ241" s="15"/>
      <c r="UMK241" s="15"/>
      <c r="UML241" s="10"/>
      <c r="UMM241" s="10"/>
      <c r="UMN241" s="21"/>
      <c r="UMO241" s="21"/>
      <c r="UMR241" s="21"/>
      <c r="UMS241" s="15"/>
      <c r="UMT241" s="15"/>
      <c r="UMU241" s="15"/>
      <c r="UMV241" s="15"/>
      <c r="UMW241" s="15"/>
      <c r="UMX241" s="15"/>
      <c r="UMY241" s="15"/>
      <c r="UMZ241" s="15"/>
      <c r="UNA241" s="15"/>
      <c r="UNB241" s="15"/>
      <c r="UNC241" s="10"/>
      <c r="UND241" s="10"/>
      <c r="UNE241" s="21"/>
      <c r="UNF241" s="21"/>
      <c r="UNI241" s="21"/>
      <c r="UNJ241" s="15"/>
      <c r="UNK241" s="15"/>
      <c r="UNL241" s="15"/>
      <c r="UNM241" s="15"/>
      <c r="UNN241" s="15"/>
      <c r="UNO241" s="15"/>
      <c r="UNP241" s="15"/>
      <c r="UNQ241" s="15"/>
      <c r="UNR241" s="15"/>
      <c r="UNS241" s="15"/>
      <c r="UNT241" s="10"/>
      <c r="UNU241" s="10"/>
      <c r="UNV241" s="21"/>
      <c r="UNW241" s="21"/>
      <c r="UNZ241" s="21"/>
      <c r="UOA241" s="15"/>
      <c r="UOB241" s="15"/>
      <c r="UOC241" s="15"/>
      <c r="UOD241" s="15"/>
      <c r="UOE241" s="15"/>
      <c r="UOF241" s="15"/>
      <c r="UOG241" s="15"/>
      <c r="UOH241" s="15"/>
      <c r="UOI241" s="15"/>
      <c r="UOJ241" s="15"/>
      <c r="UOK241" s="10"/>
      <c r="UOL241" s="10"/>
      <c r="UOM241" s="21"/>
      <c r="UON241" s="21"/>
      <c r="UOQ241" s="21"/>
      <c r="UOR241" s="15"/>
      <c r="UOS241" s="15"/>
      <c r="UOT241" s="15"/>
      <c r="UOU241" s="15"/>
      <c r="UOV241" s="15"/>
      <c r="UOW241" s="15"/>
      <c r="UOX241" s="15"/>
      <c r="UOY241" s="15"/>
      <c r="UOZ241" s="15"/>
      <c r="UPA241" s="15"/>
      <c r="UPB241" s="10"/>
      <c r="UPC241" s="10"/>
      <c r="UPD241" s="21"/>
      <c r="UPE241" s="21"/>
      <c r="UPH241" s="21"/>
      <c r="UPI241" s="15"/>
      <c r="UPJ241" s="15"/>
      <c r="UPK241" s="15"/>
      <c r="UPL241" s="15"/>
      <c r="UPM241" s="15"/>
      <c r="UPN241" s="15"/>
      <c r="UPO241" s="15"/>
      <c r="UPP241" s="15"/>
      <c r="UPQ241" s="15"/>
      <c r="UPR241" s="15"/>
      <c r="UPS241" s="10"/>
      <c r="UPT241" s="10"/>
      <c r="UPU241" s="21"/>
      <c r="UPV241" s="21"/>
      <c r="UPY241" s="21"/>
      <c r="UPZ241" s="15"/>
      <c r="UQA241" s="15"/>
      <c r="UQB241" s="15"/>
      <c r="UQC241" s="15"/>
      <c r="UQD241" s="15"/>
      <c r="UQE241" s="15"/>
      <c r="UQF241" s="15"/>
      <c r="UQG241" s="15"/>
      <c r="UQH241" s="15"/>
      <c r="UQI241" s="15"/>
      <c r="UQJ241" s="10"/>
      <c r="UQK241" s="10"/>
      <c r="UQL241" s="21"/>
      <c r="UQM241" s="21"/>
      <c r="UQP241" s="21"/>
      <c r="UQQ241" s="15"/>
      <c r="UQR241" s="15"/>
      <c r="UQS241" s="15"/>
      <c r="UQT241" s="15"/>
      <c r="UQU241" s="15"/>
      <c r="UQV241" s="15"/>
      <c r="UQW241" s="15"/>
      <c r="UQX241" s="15"/>
      <c r="UQY241" s="15"/>
      <c r="UQZ241" s="15"/>
      <c r="URA241" s="10"/>
      <c r="URB241" s="10"/>
      <c r="URC241" s="21"/>
      <c r="URD241" s="21"/>
      <c r="URG241" s="21"/>
      <c r="URH241" s="15"/>
      <c r="URI241" s="15"/>
      <c r="URJ241" s="15"/>
      <c r="URK241" s="15"/>
      <c r="URL241" s="15"/>
      <c r="URM241" s="15"/>
      <c r="URN241" s="15"/>
      <c r="URO241" s="15"/>
      <c r="URP241" s="15"/>
      <c r="URQ241" s="15"/>
      <c r="URR241" s="10"/>
      <c r="URS241" s="10"/>
      <c r="URT241" s="21"/>
      <c r="URU241" s="21"/>
      <c r="URX241" s="21"/>
      <c r="URY241" s="15"/>
      <c r="URZ241" s="15"/>
      <c r="USA241" s="15"/>
      <c r="USB241" s="15"/>
      <c r="USC241" s="15"/>
      <c r="USD241" s="15"/>
      <c r="USE241" s="15"/>
      <c r="USF241" s="15"/>
      <c r="USG241" s="15"/>
      <c r="USH241" s="15"/>
      <c r="USI241" s="10"/>
      <c r="USJ241" s="10"/>
      <c r="USK241" s="21"/>
      <c r="USL241" s="21"/>
      <c r="USO241" s="21"/>
      <c r="USP241" s="15"/>
      <c r="USQ241" s="15"/>
      <c r="USR241" s="15"/>
      <c r="USS241" s="15"/>
      <c r="UST241" s="15"/>
      <c r="USU241" s="15"/>
      <c r="USV241" s="15"/>
      <c r="USW241" s="15"/>
      <c r="USX241" s="15"/>
      <c r="USY241" s="15"/>
      <c r="USZ241" s="10"/>
      <c r="UTA241" s="10"/>
      <c r="UTB241" s="21"/>
      <c r="UTC241" s="21"/>
      <c r="UTF241" s="21"/>
      <c r="UTG241" s="15"/>
      <c r="UTH241" s="15"/>
      <c r="UTI241" s="15"/>
      <c r="UTJ241" s="15"/>
      <c r="UTK241" s="15"/>
      <c r="UTL241" s="15"/>
      <c r="UTM241" s="15"/>
      <c r="UTN241" s="15"/>
      <c r="UTO241" s="15"/>
      <c r="UTP241" s="15"/>
      <c r="UTQ241" s="10"/>
      <c r="UTR241" s="10"/>
      <c r="UTS241" s="21"/>
      <c r="UTT241" s="21"/>
      <c r="UTW241" s="21"/>
      <c r="UTX241" s="15"/>
      <c r="UTY241" s="15"/>
      <c r="UTZ241" s="15"/>
      <c r="UUA241" s="15"/>
      <c r="UUB241" s="15"/>
      <c r="UUC241" s="15"/>
      <c r="UUD241" s="15"/>
      <c r="UUE241" s="15"/>
      <c r="UUF241" s="15"/>
      <c r="UUG241" s="15"/>
      <c r="UUH241" s="10"/>
      <c r="UUI241" s="10"/>
      <c r="UUJ241" s="21"/>
      <c r="UUK241" s="21"/>
      <c r="UUN241" s="21"/>
      <c r="UUO241" s="15"/>
      <c r="UUP241" s="15"/>
      <c r="UUQ241" s="15"/>
      <c r="UUR241" s="15"/>
      <c r="UUS241" s="15"/>
      <c r="UUT241" s="15"/>
      <c r="UUU241" s="15"/>
      <c r="UUV241" s="15"/>
      <c r="UUW241" s="15"/>
      <c r="UUX241" s="15"/>
      <c r="UUY241" s="10"/>
      <c r="UUZ241" s="10"/>
      <c r="UVA241" s="21"/>
      <c r="UVB241" s="21"/>
      <c r="UVE241" s="21"/>
      <c r="UVF241" s="15"/>
      <c r="UVG241" s="15"/>
      <c r="UVH241" s="15"/>
      <c r="UVI241" s="15"/>
      <c r="UVJ241" s="15"/>
      <c r="UVK241" s="15"/>
      <c r="UVL241" s="15"/>
      <c r="UVM241" s="15"/>
      <c r="UVN241" s="15"/>
      <c r="UVO241" s="15"/>
      <c r="UVP241" s="10"/>
      <c r="UVQ241" s="10"/>
      <c r="UVR241" s="21"/>
      <c r="UVS241" s="21"/>
      <c r="UVV241" s="21"/>
      <c r="UVW241" s="15"/>
      <c r="UVX241" s="15"/>
      <c r="UVY241" s="15"/>
      <c r="UVZ241" s="15"/>
      <c r="UWA241" s="15"/>
      <c r="UWB241" s="15"/>
      <c r="UWC241" s="15"/>
      <c r="UWD241" s="15"/>
      <c r="UWE241" s="15"/>
      <c r="UWF241" s="15"/>
      <c r="UWG241" s="10"/>
      <c r="UWH241" s="10"/>
      <c r="UWI241" s="21"/>
      <c r="UWJ241" s="21"/>
      <c r="UWM241" s="21"/>
      <c r="UWN241" s="15"/>
      <c r="UWO241" s="15"/>
      <c r="UWP241" s="15"/>
      <c r="UWQ241" s="15"/>
      <c r="UWR241" s="15"/>
      <c r="UWS241" s="15"/>
      <c r="UWT241" s="15"/>
      <c r="UWU241" s="15"/>
      <c r="UWV241" s="15"/>
      <c r="UWW241" s="15"/>
      <c r="UWX241" s="10"/>
      <c r="UWY241" s="10"/>
      <c r="UWZ241" s="21"/>
      <c r="UXA241" s="21"/>
      <c r="UXD241" s="21"/>
      <c r="UXE241" s="15"/>
      <c r="UXF241" s="15"/>
      <c r="UXG241" s="15"/>
      <c r="UXH241" s="15"/>
      <c r="UXI241" s="15"/>
      <c r="UXJ241" s="15"/>
      <c r="UXK241" s="15"/>
      <c r="UXL241" s="15"/>
      <c r="UXM241" s="15"/>
      <c r="UXN241" s="15"/>
      <c r="UXO241" s="10"/>
      <c r="UXP241" s="10"/>
      <c r="UXQ241" s="21"/>
      <c r="UXR241" s="21"/>
      <c r="UXU241" s="21"/>
      <c r="UXV241" s="15"/>
      <c r="UXW241" s="15"/>
      <c r="UXX241" s="15"/>
      <c r="UXY241" s="15"/>
      <c r="UXZ241" s="15"/>
      <c r="UYA241" s="15"/>
      <c r="UYB241" s="15"/>
      <c r="UYC241" s="15"/>
      <c r="UYD241" s="15"/>
      <c r="UYE241" s="15"/>
      <c r="UYF241" s="10"/>
      <c r="UYG241" s="10"/>
      <c r="UYH241" s="21"/>
      <c r="UYI241" s="21"/>
      <c r="UYL241" s="21"/>
      <c r="UYM241" s="15"/>
      <c r="UYN241" s="15"/>
      <c r="UYO241" s="15"/>
      <c r="UYP241" s="15"/>
      <c r="UYQ241" s="15"/>
      <c r="UYR241" s="15"/>
      <c r="UYS241" s="15"/>
      <c r="UYT241" s="15"/>
      <c r="UYU241" s="15"/>
      <c r="UYV241" s="15"/>
      <c r="UYW241" s="10"/>
      <c r="UYX241" s="10"/>
      <c r="UYY241" s="21"/>
      <c r="UYZ241" s="21"/>
      <c r="UZC241" s="21"/>
      <c r="UZD241" s="15"/>
      <c r="UZE241" s="15"/>
      <c r="UZF241" s="15"/>
      <c r="UZG241" s="15"/>
      <c r="UZH241" s="15"/>
      <c r="UZI241" s="15"/>
      <c r="UZJ241" s="15"/>
      <c r="UZK241" s="15"/>
      <c r="UZL241" s="15"/>
      <c r="UZM241" s="15"/>
      <c r="UZN241" s="10"/>
      <c r="UZO241" s="10"/>
      <c r="UZP241" s="21"/>
      <c r="UZQ241" s="21"/>
      <c r="UZT241" s="21"/>
      <c r="UZU241" s="15"/>
      <c r="UZV241" s="15"/>
      <c r="UZW241" s="15"/>
      <c r="UZX241" s="15"/>
      <c r="UZY241" s="15"/>
      <c r="UZZ241" s="15"/>
      <c r="VAA241" s="15"/>
      <c r="VAB241" s="15"/>
      <c r="VAC241" s="15"/>
      <c r="VAD241" s="15"/>
      <c r="VAE241" s="10"/>
      <c r="VAF241" s="10"/>
      <c r="VAG241" s="21"/>
      <c r="VAH241" s="21"/>
      <c r="VAK241" s="21"/>
      <c r="VAL241" s="15"/>
      <c r="VAM241" s="15"/>
      <c r="VAN241" s="15"/>
      <c r="VAO241" s="15"/>
      <c r="VAP241" s="15"/>
      <c r="VAQ241" s="15"/>
      <c r="VAR241" s="15"/>
      <c r="VAS241" s="15"/>
      <c r="VAT241" s="15"/>
      <c r="VAU241" s="15"/>
      <c r="VAV241" s="10"/>
      <c r="VAW241" s="10"/>
      <c r="VAX241" s="21"/>
      <c r="VAY241" s="21"/>
      <c r="VBB241" s="21"/>
      <c r="VBC241" s="15"/>
      <c r="VBD241" s="15"/>
      <c r="VBE241" s="15"/>
      <c r="VBF241" s="15"/>
      <c r="VBG241" s="15"/>
      <c r="VBH241" s="15"/>
      <c r="VBI241" s="15"/>
      <c r="VBJ241" s="15"/>
      <c r="VBK241" s="15"/>
      <c r="VBL241" s="15"/>
      <c r="VBM241" s="10"/>
      <c r="VBN241" s="10"/>
      <c r="VBO241" s="21"/>
      <c r="VBP241" s="21"/>
      <c r="VBS241" s="21"/>
      <c r="VBT241" s="15"/>
      <c r="VBU241" s="15"/>
      <c r="VBV241" s="15"/>
      <c r="VBW241" s="15"/>
      <c r="VBX241" s="15"/>
      <c r="VBY241" s="15"/>
      <c r="VBZ241" s="15"/>
      <c r="VCA241" s="15"/>
      <c r="VCB241" s="15"/>
      <c r="VCC241" s="15"/>
      <c r="VCD241" s="10"/>
      <c r="VCE241" s="10"/>
      <c r="VCF241" s="21"/>
      <c r="VCG241" s="21"/>
      <c r="VCJ241" s="21"/>
      <c r="VCK241" s="15"/>
      <c r="VCL241" s="15"/>
      <c r="VCM241" s="15"/>
      <c r="VCN241" s="15"/>
      <c r="VCO241" s="15"/>
      <c r="VCP241" s="15"/>
      <c r="VCQ241" s="15"/>
      <c r="VCR241" s="15"/>
      <c r="VCS241" s="15"/>
      <c r="VCT241" s="15"/>
      <c r="VCU241" s="10"/>
      <c r="VCV241" s="10"/>
      <c r="VCW241" s="21"/>
      <c r="VCX241" s="21"/>
      <c r="VDA241" s="21"/>
      <c r="VDB241" s="15"/>
      <c r="VDC241" s="15"/>
      <c r="VDD241" s="15"/>
      <c r="VDE241" s="15"/>
      <c r="VDF241" s="15"/>
      <c r="VDG241" s="15"/>
      <c r="VDH241" s="15"/>
      <c r="VDI241" s="15"/>
      <c r="VDJ241" s="15"/>
      <c r="VDK241" s="15"/>
      <c r="VDL241" s="10"/>
      <c r="VDM241" s="10"/>
      <c r="VDN241" s="21"/>
      <c r="VDO241" s="21"/>
      <c r="VDR241" s="21"/>
      <c r="VDS241" s="15"/>
      <c r="VDT241" s="15"/>
      <c r="VDU241" s="15"/>
      <c r="VDV241" s="15"/>
      <c r="VDW241" s="15"/>
      <c r="VDX241" s="15"/>
      <c r="VDY241" s="15"/>
      <c r="VDZ241" s="15"/>
      <c r="VEA241" s="15"/>
      <c r="VEB241" s="15"/>
      <c r="VEC241" s="10"/>
      <c r="VED241" s="10"/>
      <c r="VEE241" s="21"/>
      <c r="VEF241" s="21"/>
      <c r="VEI241" s="21"/>
      <c r="VEJ241" s="15"/>
      <c r="VEK241" s="15"/>
      <c r="VEL241" s="15"/>
      <c r="VEM241" s="15"/>
      <c r="VEN241" s="15"/>
      <c r="VEO241" s="15"/>
      <c r="VEP241" s="15"/>
      <c r="VEQ241" s="15"/>
      <c r="VER241" s="15"/>
      <c r="VES241" s="15"/>
      <c r="VET241" s="10"/>
      <c r="VEU241" s="10"/>
      <c r="VEV241" s="21"/>
      <c r="VEW241" s="21"/>
      <c r="VEZ241" s="21"/>
      <c r="VFA241" s="15"/>
      <c r="VFB241" s="15"/>
      <c r="VFC241" s="15"/>
      <c r="VFD241" s="15"/>
      <c r="VFE241" s="15"/>
      <c r="VFF241" s="15"/>
      <c r="VFG241" s="15"/>
      <c r="VFH241" s="15"/>
      <c r="VFI241" s="15"/>
      <c r="VFJ241" s="15"/>
      <c r="VFK241" s="10"/>
      <c r="VFL241" s="10"/>
      <c r="VFM241" s="21"/>
      <c r="VFN241" s="21"/>
      <c r="VFQ241" s="21"/>
      <c r="VFR241" s="15"/>
      <c r="VFS241" s="15"/>
      <c r="VFT241" s="15"/>
      <c r="VFU241" s="15"/>
      <c r="VFV241" s="15"/>
      <c r="VFW241" s="15"/>
      <c r="VFX241" s="15"/>
      <c r="VFY241" s="15"/>
      <c r="VFZ241" s="15"/>
      <c r="VGA241" s="15"/>
      <c r="VGB241" s="10"/>
      <c r="VGC241" s="10"/>
      <c r="VGD241" s="21"/>
      <c r="VGE241" s="21"/>
      <c r="VGH241" s="21"/>
      <c r="VGI241" s="15"/>
      <c r="VGJ241" s="15"/>
      <c r="VGK241" s="15"/>
      <c r="VGL241" s="15"/>
      <c r="VGM241" s="15"/>
      <c r="VGN241" s="15"/>
      <c r="VGO241" s="15"/>
      <c r="VGP241" s="15"/>
      <c r="VGQ241" s="15"/>
      <c r="VGR241" s="15"/>
      <c r="VGS241" s="10"/>
      <c r="VGT241" s="10"/>
      <c r="VGU241" s="21"/>
      <c r="VGV241" s="21"/>
      <c r="VGY241" s="21"/>
      <c r="VGZ241" s="15"/>
      <c r="VHA241" s="15"/>
      <c r="VHB241" s="15"/>
      <c r="VHC241" s="15"/>
      <c r="VHD241" s="15"/>
      <c r="VHE241" s="15"/>
      <c r="VHF241" s="15"/>
      <c r="VHG241" s="15"/>
      <c r="VHH241" s="15"/>
      <c r="VHI241" s="15"/>
      <c r="VHJ241" s="10"/>
      <c r="VHK241" s="10"/>
      <c r="VHL241" s="21"/>
      <c r="VHM241" s="21"/>
      <c r="VHP241" s="21"/>
      <c r="VHQ241" s="15"/>
      <c r="VHR241" s="15"/>
      <c r="VHS241" s="15"/>
      <c r="VHT241" s="15"/>
      <c r="VHU241" s="15"/>
      <c r="VHV241" s="15"/>
      <c r="VHW241" s="15"/>
      <c r="VHX241" s="15"/>
      <c r="VHY241" s="15"/>
      <c r="VHZ241" s="15"/>
      <c r="VIA241" s="10"/>
      <c r="VIB241" s="10"/>
      <c r="VIC241" s="21"/>
      <c r="VID241" s="21"/>
      <c r="VIG241" s="21"/>
      <c r="VIH241" s="15"/>
      <c r="VII241" s="15"/>
      <c r="VIJ241" s="15"/>
      <c r="VIK241" s="15"/>
      <c r="VIL241" s="15"/>
      <c r="VIM241" s="15"/>
      <c r="VIN241" s="15"/>
      <c r="VIO241" s="15"/>
      <c r="VIP241" s="15"/>
      <c r="VIQ241" s="15"/>
      <c r="VIR241" s="10"/>
      <c r="VIS241" s="10"/>
      <c r="VIT241" s="21"/>
      <c r="VIU241" s="21"/>
      <c r="VIX241" s="21"/>
      <c r="VIY241" s="15"/>
      <c r="VIZ241" s="15"/>
      <c r="VJA241" s="15"/>
      <c r="VJB241" s="15"/>
      <c r="VJC241" s="15"/>
      <c r="VJD241" s="15"/>
      <c r="VJE241" s="15"/>
      <c r="VJF241" s="15"/>
      <c r="VJG241" s="15"/>
      <c r="VJH241" s="15"/>
      <c r="VJI241" s="10"/>
      <c r="VJJ241" s="10"/>
      <c r="VJK241" s="21"/>
      <c r="VJL241" s="21"/>
      <c r="VJO241" s="21"/>
      <c r="VJP241" s="15"/>
      <c r="VJQ241" s="15"/>
      <c r="VJR241" s="15"/>
      <c r="VJS241" s="15"/>
      <c r="VJT241" s="15"/>
      <c r="VJU241" s="15"/>
      <c r="VJV241" s="15"/>
      <c r="VJW241" s="15"/>
      <c r="VJX241" s="15"/>
      <c r="VJY241" s="15"/>
      <c r="VJZ241" s="10"/>
      <c r="VKA241" s="10"/>
      <c r="VKB241" s="21"/>
      <c r="VKC241" s="21"/>
      <c r="VKF241" s="21"/>
      <c r="VKG241" s="15"/>
      <c r="VKH241" s="15"/>
      <c r="VKI241" s="15"/>
      <c r="VKJ241" s="15"/>
      <c r="VKK241" s="15"/>
      <c r="VKL241" s="15"/>
      <c r="VKM241" s="15"/>
      <c r="VKN241" s="15"/>
      <c r="VKO241" s="15"/>
      <c r="VKP241" s="15"/>
      <c r="VKQ241" s="10"/>
      <c r="VKR241" s="10"/>
      <c r="VKS241" s="21"/>
      <c r="VKT241" s="21"/>
      <c r="VKW241" s="21"/>
      <c r="VKX241" s="15"/>
      <c r="VKY241" s="15"/>
      <c r="VKZ241" s="15"/>
      <c r="VLA241" s="15"/>
      <c r="VLB241" s="15"/>
      <c r="VLC241" s="15"/>
      <c r="VLD241" s="15"/>
      <c r="VLE241" s="15"/>
      <c r="VLF241" s="15"/>
      <c r="VLG241" s="15"/>
      <c r="VLH241" s="10"/>
      <c r="VLI241" s="10"/>
      <c r="VLJ241" s="21"/>
      <c r="VLK241" s="21"/>
      <c r="VLN241" s="21"/>
      <c r="VLO241" s="15"/>
      <c r="VLP241" s="15"/>
      <c r="VLQ241" s="15"/>
      <c r="VLR241" s="15"/>
      <c r="VLS241" s="15"/>
      <c r="VLT241" s="15"/>
      <c r="VLU241" s="15"/>
      <c r="VLV241" s="15"/>
      <c r="VLW241" s="15"/>
      <c r="VLX241" s="15"/>
      <c r="VLY241" s="10"/>
      <c r="VLZ241" s="10"/>
      <c r="VMA241" s="21"/>
      <c r="VMB241" s="21"/>
      <c r="VME241" s="21"/>
      <c r="VMF241" s="15"/>
      <c r="VMG241" s="15"/>
      <c r="VMH241" s="15"/>
      <c r="VMI241" s="15"/>
      <c r="VMJ241" s="15"/>
      <c r="VMK241" s="15"/>
      <c r="VML241" s="15"/>
      <c r="VMM241" s="15"/>
      <c r="VMN241" s="15"/>
      <c r="VMO241" s="15"/>
      <c r="VMP241" s="10"/>
      <c r="VMQ241" s="10"/>
      <c r="VMR241" s="21"/>
      <c r="VMS241" s="21"/>
      <c r="VMV241" s="21"/>
      <c r="VMW241" s="15"/>
      <c r="VMX241" s="15"/>
      <c r="VMY241" s="15"/>
      <c r="VMZ241" s="15"/>
      <c r="VNA241" s="15"/>
      <c r="VNB241" s="15"/>
      <c r="VNC241" s="15"/>
      <c r="VND241" s="15"/>
      <c r="VNE241" s="15"/>
      <c r="VNF241" s="15"/>
      <c r="VNG241" s="10"/>
      <c r="VNH241" s="10"/>
      <c r="VNI241" s="21"/>
      <c r="VNJ241" s="21"/>
      <c r="VNM241" s="21"/>
      <c r="VNN241" s="15"/>
      <c r="VNO241" s="15"/>
      <c r="VNP241" s="15"/>
      <c r="VNQ241" s="15"/>
      <c r="VNR241" s="15"/>
      <c r="VNS241" s="15"/>
      <c r="VNT241" s="15"/>
      <c r="VNU241" s="15"/>
      <c r="VNV241" s="15"/>
      <c r="VNW241" s="15"/>
      <c r="VNX241" s="10"/>
      <c r="VNY241" s="10"/>
      <c r="VNZ241" s="21"/>
      <c r="VOA241" s="21"/>
      <c r="VOD241" s="21"/>
      <c r="VOE241" s="15"/>
      <c r="VOF241" s="15"/>
      <c r="VOG241" s="15"/>
      <c r="VOH241" s="15"/>
      <c r="VOI241" s="15"/>
      <c r="VOJ241" s="15"/>
      <c r="VOK241" s="15"/>
      <c r="VOL241" s="15"/>
      <c r="VOM241" s="15"/>
      <c r="VON241" s="15"/>
      <c r="VOO241" s="10"/>
      <c r="VOP241" s="10"/>
      <c r="VOQ241" s="21"/>
      <c r="VOR241" s="21"/>
      <c r="VOU241" s="21"/>
      <c r="VOV241" s="15"/>
      <c r="VOW241" s="15"/>
      <c r="VOX241" s="15"/>
      <c r="VOY241" s="15"/>
      <c r="VOZ241" s="15"/>
      <c r="VPA241" s="15"/>
      <c r="VPB241" s="15"/>
      <c r="VPC241" s="15"/>
      <c r="VPD241" s="15"/>
      <c r="VPE241" s="15"/>
      <c r="VPF241" s="10"/>
      <c r="VPG241" s="10"/>
      <c r="VPH241" s="21"/>
      <c r="VPI241" s="21"/>
      <c r="VPL241" s="21"/>
      <c r="VPM241" s="15"/>
      <c r="VPN241" s="15"/>
      <c r="VPO241" s="15"/>
      <c r="VPP241" s="15"/>
      <c r="VPQ241" s="15"/>
      <c r="VPR241" s="15"/>
      <c r="VPS241" s="15"/>
      <c r="VPT241" s="15"/>
      <c r="VPU241" s="15"/>
      <c r="VPV241" s="15"/>
      <c r="VPW241" s="10"/>
      <c r="VPX241" s="10"/>
      <c r="VPY241" s="21"/>
      <c r="VPZ241" s="21"/>
      <c r="VQC241" s="21"/>
      <c r="VQD241" s="15"/>
      <c r="VQE241" s="15"/>
      <c r="VQF241" s="15"/>
      <c r="VQG241" s="15"/>
      <c r="VQH241" s="15"/>
      <c r="VQI241" s="15"/>
      <c r="VQJ241" s="15"/>
      <c r="VQK241" s="15"/>
      <c r="VQL241" s="15"/>
      <c r="VQM241" s="15"/>
      <c r="VQN241" s="10"/>
      <c r="VQO241" s="10"/>
      <c r="VQP241" s="21"/>
      <c r="VQQ241" s="21"/>
      <c r="VQT241" s="21"/>
      <c r="VQU241" s="15"/>
      <c r="VQV241" s="15"/>
      <c r="VQW241" s="15"/>
      <c r="VQX241" s="15"/>
      <c r="VQY241" s="15"/>
      <c r="VQZ241" s="15"/>
      <c r="VRA241" s="15"/>
      <c r="VRB241" s="15"/>
      <c r="VRC241" s="15"/>
      <c r="VRD241" s="15"/>
      <c r="VRE241" s="10"/>
      <c r="VRF241" s="10"/>
      <c r="VRG241" s="21"/>
      <c r="VRH241" s="21"/>
      <c r="VRK241" s="21"/>
      <c r="VRL241" s="15"/>
      <c r="VRM241" s="15"/>
      <c r="VRN241" s="15"/>
      <c r="VRO241" s="15"/>
      <c r="VRP241" s="15"/>
      <c r="VRQ241" s="15"/>
      <c r="VRR241" s="15"/>
      <c r="VRS241" s="15"/>
      <c r="VRT241" s="15"/>
      <c r="VRU241" s="15"/>
      <c r="VRV241" s="10"/>
      <c r="VRW241" s="10"/>
      <c r="VRX241" s="21"/>
      <c r="VRY241" s="21"/>
      <c r="VSB241" s="21"/>
      <c r="VSC241" s="15"/>
      <c r="VSD241" s="15"/>
      <c r="VSE241" s="15"/>
      <c r="VSF241" s="15"/>
      <c r="VSG241" s="15"/>
      <c r="VSH241" s="15"/>
      <c r="VSI241" s="15"/>
      <c r="VSJ241" s="15"/>
      <c r="VSK241" s="15"/>
      <c r="VSL241" s="15"/>
      <c r="VSM241" s="10"/>
      <c r="VSN241" s="10"/>
      <c r="VSO241" s="21"/>
      <c r="VSP241" s="21"/>
      <c r="VSS241" s="21"/>
      <c r="VST241" s="15"/>
      <c r="VSU241" s="15"/>
      <c r="VSV241" s="15"/>
      <c r="VSW241" s="15"/>
      <c r="VSX241" s="15"/>
      <c r="VSY241" s="15"/>
      <c r="VSZ241" s="15"/>
      <c r="VTA241" s="15"/>
      <c r="VTB241" s="15"/>
      <c r="VTC241" s="15"/>
      <c r="VTD241" s="10"/>
      <c r="VTE241" s="10"/>
      <c r="VTF241" s="21"/>
      <c r="VTG241" s="21"/>
      <c r="VTJ241" s="21"/>
      <c r="VTK241" s="15"/>
      <c r="VTL241" s="15"/>
      <c r="VTM241" s="15"/>
      <c r="VTN241" s="15"/>
      <c r="VTO241" s="15"/>
      <c r="VTP241" s="15"/>
      <c r="VTQ241" s="15"/>
      <c r="VTR241" s="15"/>
      <c r="VTS241" s="15"/>
      <c r="VTT241" s="15"/>
      <c r="VTU241" s="10"/>
      <c r="VTV241" s="10"/>
      <c r="VTW241" s="21"/>
      <c r="VTX241" s="21"/>
      <c r="VUA241" s="21"/>
      <c r="VUB241" s="15"/>
      <c r="VUC241" s="15"/>
      <c r="VUD241" s="15"/>
      <c r="VUE241" s="15"/>
      <c r="VUF241" s="15"/>
      <c r="VUG241" s="15"/>
      <c r="VUH241" s="15"/>
      <c r="VUI241" s="15"/>
      <c r="VUJ241" s="15"/>
      <c r="VUK241" s="15"/>
      <c r="VUL241" s="10"/>
      <c r="VUM241" s="10"/>
      <c r="VUN241" s="21"/>
      <c r="VUO241" s="21"/>
      <c r="VUR241" s="21"/>
      <c r="VUS241" s="15"/>
      <c r="VUT241" s="15"/>
      <c r="VUU241" s="15"/>
      <c r="VUV241" s="15"/>
      <c r="VUW241" s="15"/>
      <c r="VUX241" s="15"/>
      <c r="VUY241" s="15"/>
      <c r="VUZ241" s="15"/>
      <c r="VVA241" s="15"/>
      <c r="VVB241" s="15"/>
      <c r="VVC241" s="10"/>
      <c r="VVD241" s="10"/>
      <c r="VVE241" s="21"/>
      <c r="VVF241" s="21"/>
      <c r="VVI241" s="21"/>
      <c r="VVJ241" s="15"/>
      <c r="VVK241" s="15"/>
      <c r="VVL241" s="15"/>
      <c r="VVM241" s="15"/>
      <c r="VVN241" s="15"/>
      <c r="VVO241" s="15"/>
      <c r="VVP241" s="15"/>
      <c r="VVQ241" s="15"/>
      <c r="VVR241" s="15"/>
      <c r="VVS241" s="15"/>
      <c r="VVT241" s="10"/>
      <c r="VVU241" s="10"/>
      <c r="VVV241" s="21"/>
      <c r="VVW241" s="21"/>
      <c r="VVZ241" s="21"/>
      <c r="VWA241" s="15"/>
      <c r="VWB241" s="15"/>
      <c r="VWC241" s="15"/>
      <c r="VWD241" s="15"/>
      <c r="VWE241" s="15"/>
      <c r="VWF241" s="15"/>
      <c r="VWG241" s="15"/>
      <c r="VWH241" s="15"/>
      <c r="VWI241" s="15"/>
      <c r="VWJ241" s="15"/>
      <c r="VWK241" s="10"/>
      <c r="VWL241" s="10"/>
      <c r="VWM241" s="21"/>
      <c r="VWN241" s="21"/>
      <c r="VWQ241" s="21"/>
      <c r="VWR241" s="15"/>
      <c r="VWS241" s="15"/>
      <c r="VWT241" s="15"/>
      <c r="VWU241" s="15"/>
      <c r="VWV241" s="15"/>
      <c r="VWW241" s="15"/>
      <c r="VWX241" s="15"/>
      <c r="VWY241" s="15"/>
      <c r="VWZ241" s="15"/>
      <c r="VXA241" s="15"/>
      <c r="VXB241" s="10"/>
      <c r="VXC241" s="10"/>
      <c r="VXD241" s="21"/>
      <c r="VXE241" s="21"/>
      <c r="VXH241" s="21"/>
      <c r="VXI241" s="15"/>
      <c r="VXJ241" s="15"/>
      <c r="VXK241" s="15"/>
      <c r="VXL241" s="15"/>
      <c r="VXM241" s="15"/>
      <c r="VXN241" s="15"/>
      <c r="VXO241" s="15"/>
      <c r="VXP241" s="15"/>
      <c r="VXQ241" s="15"/>
      <c r="VXR241" s="15"/>
      <c r="VXS241" s="10"/>
      <c r="VXT241" s="10"/>
      <c r="VXU241" s="21"/>
      <c r="VXV241" s="21"/>
      <c r="VXY241" s="21"/>
      <c r="VXZ241" s="15"/>
      <c r="VYA241" s="15"/>
      <c r="VYB241" s="15"/>
      <c r="VYC241" s="15"/>
      <c r="VYD241" s="15"/>
      <c r="VYE241" s="15"/>
      <c r="VYF241" s="15"/>
      <c r="VYG241" s="15"/>
      <c r="VYH241" s="15"/>
      <c r="VYI241" s="15"/>
      <c r="VYJ241" s="10"/>
      <c r="VYK241" s="10"/>
      <c r="VYL241" s="21"/>
      <c r="VYM241" s="21"/>
      <c r="VYP241" s="21"/>
      <c r="VYQ241" s="15"/>
      <c r="VYR241" s="15"/>
      <c r="VYS241" s="15"/>
      <c r="VYT241" s="15"/>
      <c r="VYU241" s="15"/>
      <c r="VYV241" s="15"/>
      <c r="VYW241" s="15"/>
      <c r="VYX241" s="15"/>
      <c r="VYY241" s="15"/>
      <c r="VYZ241" s="15"/>
      <c r="VZA241" s="10"/>
      <c r="VZB241" s="10"/>
      <c r="VZC241" s="21"/>
      <c r="VZD241" s="21"/>
      <c r="VZG241" s="21"/>
      <c r="VZH241" s="15"/>
      <c r="VZI241" s="15"/>
      <c r="VZJ241" s="15"/>
      <c r="VZK241" s="15"/>
      <c r="VZL241" s="15"/>
      <c r="VZM241" s="15"/>
      <c r="VZN241" s="15"/>
      <c r="VZO241" s="15"/>
      <c r="VZP241" s="15"/>
      <c r="VZQ241" s="15"/>
      <c r="VZR241" s="10"/>
      <c r="VZS241" s="10"/>
      <c r="VZT241" s="21"/>
      <c r="VZU241" s="21"/>
      <c r="VZX241" s="21"/>
      <c r="VZY241" s="15"/>
      <c r="VZZ241" s="15"/>
      <c r="WAA241" s="15"/>
      <c r="WAB241" s="15"/>
      <c r="WAC241" s="15"/>
      <c r="WAD241" s="15"/>
      <c r="WAE241" s="15"/>
      <c r="WAF241" s="15"/>
      <c r="WAG241" s="15"/>
      <c r="WAH241" s="15"/>
      <c r="WAI241" s="10"/>
      <c r="WAJ241" s="10"/>
      <c r="WAK241" s="21"/>
      <c r="WAL241" s="21"/>
      <c r="WAO241" s="21"/>
      <c r="WAP241" s="15"/>
      <c r="WAQ241" s="15"/>
      <c r="WAR241" s="15"/>
      <c r="WAS241" s="15"/>
      <c r="WAT241" s="15"/>
      <c r="WAU241" s="15"/>
      <c r="WAV241" s="15"/>
      <c r="WAW241" s="15"/>
      <c r="WAX241" s="15"/>
      <c r="WAY241" s="15"/>
      <c r="WAZ241" s="10"/>
      <c r="WBA241" s="10"/>
      <c r="WBB241" s="21"/>
      <c r="WBC241" s="21"/>
      <c r="WBF241" s="21"/>
      <c r="WBG241" s="15"/>
      <c r="WBH241" s="15"/>
      <c r="WBI241" s="15"/>
      <c r="WBJ241" s="15"/>
      <c r="WBK241" s="15"/>
      <c r="WBL241" s="15"/>
      <c r="WBM241" s="15"/>
      <c r="WBN241" s="15"/>
      <c r="WBO241" s="15"/>
      <c r="WBP241" s="15"/>
      <c r="WBQ241" s="10"/>
      <c r="WBR241" s="10"/>
      <c r="WBS241" s="21"/>
      <c r="WBT241" s="21"/>
      <c r="WBW241" s="21"/>
      <c r="WBX241" s="15"/>
      <c r="WBY241" s="15"/>
      <c r="WBZ241" s="15"/>
      <c r="WCA241" s="15"/>
      <c r="WCB241" s="15"/>
      <c r="WCC241" s="15"/>
      <c r="WCD241" s="15"/>
      <c r="WCE241" s="15"/>
      <c r="WCF241" s="15"/>
      <c r="WCG241" s="15"/>
      <c r="WCH241" s="10"/>
      <c r="WCI241" s="10"/>
      <c r="WCJ241" s="21"/>
      <c r="WCK241" s="21"/>
      <c r="WCN241" s="21"/>
      <c r="WCO241" s="15"/>
      <c r="WCP241" s="15"/>
      <c r="WCQ241" s="15"/>
      <c r="WCR241" s="15"/>
      <c r="WCS241" s="15"/>
      <c r="WCT241" s="15"/>
      <c r="WCU241" s="15"/>
      <c r="WCV241" s="15"/>
      <c r="WCW241" s="15"/>
      <c r="WCX241" s="15"/>
      <c r="WCY241" s="10"/>
      <c r="WCZ241" s="10"/>
      <c r="WDA241" s="21"/>
      <c r="WDB241" s="21"/>
      <c r="WDE241" s="21"/>
      <c r="WDF241" s="15"/>
      <c r="WDG241" s="15"/>
      <c r="WDH241" s="15"/>
      <c r="WDI241" s="15"/>
      <c r="WDJ241" s="15"/>
      <c r="WDK241" s="15"/>
      <c r="WDL241" s="15"/>
      <c r="WDM241" s="15"/>
      <c r="WDN241" s="15"/>
      <c r="WDO241" s="15"/>
      <c r="WDP241" s="10"/>
      <c r="WDQ241" s="10"/>
      <c r="WDR241" s="21"/>
      <c r="WDS241" s="21"/>
      <c r="WDV241" s="21"/>
      <c r="WDW241" s="15"/>
      <c r="WDX241" s="15"/>
      <c r="WDY241" s="15"/>
      <c r="WDZ241" s="15"/>
      <c r="WEA241" s="15"/>
      <c r="WEB241" s="15"/>
      <c r="WEC241" s="15"/>
      <c r="WED241" s="15"/>
      <c r="WEE241" s="15"/>
      <c r="WEF241" s="15"/>
      <c r="WEG241" s="10"/>
      <c r="WEH241" s="10"/>
      <c r="WEI241" s="21"/>
      <c r="WEJ241" s="21"/>
      <c r="WEM241" s="21"/>
      <c r="WEN241" s="15"/>
      <c r="WEO241" s="15"/>
      <c r="WEP241" s="15"/>
      <c r="WEQ241" s="15"/>
      <c r="WER241" s="15"/>
      <c r="WES241" s="15"/>
      <c r="WET241" s="15"/>
      <c r="WEU241" s="15"/>
      <c r="WEV241" s="15"/>
      <c r="WEW241" s="15"/>
      <c r="WEX241" s="10"/>
      <c r="WEY241" s="10"/>
      <c r="WEZ241" s="21"/>
      <c r="WFA241" s="21"/>
      <c r="WFD241" s="21"/>
      <c r="WFE241" s="15"/>
      <c r="WFF241" s="15"/>
      <c r="WFG241" s="15"/>
      <c r="WFH241" s="15"/>
      <c r="WFI241" s="15"/>
      <c r="WFJ241" s="15"/>
      <c r="WFK241" s="15"/>
      <c r="WFL241" s="15"/>
      <c r="WFM241" s="15"/>
      <c r="WFN241" s="15"/>
      <c r="WFO241" s="10"/>
      <c r="WFP241" s="10"/>
      <c r="WFQ241" s="21"/>
      <c r="WFR241" s="21"/>
      <c r="WFU241" s="21"/>
      <c r="WFV241" s="15"/>
      <c r="WFW241" s="15"/>
      <c r="WFX241" s="15"/>
      <c r="WFY241" s="15"/>
      <c r="WFZ241" s="15"/>
      <c r="WGA241" s="15"/>
      <c r="WGB241" s="15"/>
      <c r="WGC241" s="15"/>
      <c r="WGD241" s="15"/>
      <c r="WGE241" s="15"/>
      <c r="WGF241" s="10"/>
      <c r="WGG241" s="10"/>
      <c r="WGH241" s="21"/>
      <c r="WGI241" s="21"/>
      <c r="WGL241" s="21"/>
      <c r="WGM241" s="15"/>
      <c r="WGN241" s="15"/>
      <c r="WGO241" s="15"/>
      <c r="WGP241" s="15"/>
      <c r="WGQ241" s="15"/>
      <c r="WGR241" s="15"/>
      <c r="WGS241" s="15"/>
      <c r="WGT241" s="15"/>
      <c r="WGU241" s="15"/>
      <c r="WGV241" s="15"/>
      <c r="WGW241" s="10"/>
      <c r="WGX241" s="10"/>
      <c r="WGY241" s="21"/>
      <c r="WGZ241" s="21"/>
      <c r="WHC241" s="21"/>
      <c r="WHD241" s="15"/>
      <c r="WHE241" s="15"/>
      <c r="WHF241" s="15"/>
      <c r="WHG241" s="15"/>
      <c r="WHH241" s="15"/>
      <c r="WHI241" s="15"/>
      <c r="WHJ241" s="15"/>
      <c r="WHK241" s="15"/>
      <c r="WHL241" s="15"/>
      <c r="WHM241" s="15"/>
      <c r="WHN241" s="10"/>
      <c r="WHO241" s="10"/>
      <c r="WHP241" s="21"/>
      <c r="WHQ241" s="21"/>
      <c r="WHT241" s="21"/>
      <c r="WHU241" s="15"/>
      <c r="WHV241" s="15"/>
      <c r="WHW241" s="15"/>
      <c r="WHX241" s="15"/>
      <c r="WHY241" s="15"/>
      <c r="WHZ241" s="15"/>
      <c r="WIA241" s="15"/>
      <c r="WIB241" s="15"/>
      <c r="WIC241" s="15"/>
      <c r="WID241" s="15"/>
      <c r="WIE241" s="10"/>
      <c r="WIF241" s="10"/>
      <c r="WIG241" s="21"/>
      <c r="WIH241" s="21"/>
      <c r="WIK241" s="21"/>
      <c r="WIL241" s="15"/>
      <c r="WIM241" s="15"/>
      <c r="WIN241" s="15"/>
      <c r="WIO241" s="15"/>
      <c r="WIP241" s="15"/>
      <c r="WIQ241" s="15"/>
      <c r="WIR241" s="15"/>
      <c r="WIS241" s="15"/>
      <c r="WIT241" s="15"/>
      <c r="WIU241" s="15"/>
      <c r="WIV241" s="10"/>
      <c r="WIW241" s="10"/>
      <c r="WIX241" s="21"/>
      <c r="WIY241" s="21"/>
      <c r="WJB241" s="21"/>
      <c r="WJC241" s="15"/>
      <c r="WJD241" s="15"/>
      <c r="WJE241" s="15"/>
      <c r="WJF241" s="15"/>
      <c r="WJG241" s="15"/>
      <c r="WJH241" s="15"/>
      <c r="WJI241" s="15"/>
      <c r="WJJ241" s="15"/>
      <c r="WJK241" s="15"/>
      <c r="WJL241" s="15"/>
      <c r="WJM241" s="10"/>
      <c r="WJN241" s="10"/>
      <c r="WJO241" s="21"/>
      <c r="WJP241" s="21"/>
      <c r="WJS241" s="21"/>
      <c r="WJT241" s="15"/>
      <c r="WJU241" s="15"/>
      <c r="WJV241" s="15"/>
      <c r="WJW241" s="15"/>
      <c r="WJX241" s="15"/>
      <c r="WJY241" s="15"/>
      <c r="WJZ241" s="15"/>
      <c r="WKA241" s="15"/>
      <c r="WKB241" s="15"/>
      <c r="WKC241" s="15"/>
      <c r="WKD241" s="10"/>
      <c r="WKE241" s="10"/>
      <c r="WKF241" s="21"/>
      <c r="WKG241" s="21"/>
      <c r="WKJ241" s="21"/>
      <c r="WKK241" s="15"/>
      <c r="WKL241" s="15"/>
      <c r="WKM241" s="15"/>
      <c r="WKN241" s="15"/>
      <c r="WKO241" s="15"/>
      <c r="WKP241" s="15"/>
      <c r="WKQ241" s="15"/>
      <c r="WKR241" s="15"/>
      <c r="WKS241" s="15"/>
      <c r="WKT241" s="15"/>
      <c r="WKU241" s="10"/>
      <c r="WKV241" s="10"/>
      <c r="WKW241" s="21"/>
      <c r="WKX241" s="21"/>
      <c r="WLA241" s="21"/>
      <c r="WLB241" s="15"/>
      <c r="WLC241" s="15"/>
      <c r="WLD241" s="15"/>
      <c r="WLE241" s="15"/>
      <c r="WLF241" s="15"/>
      <c r="WLG241" s="15"/>
      <c r="WLH241" s="15"/>
      <c r="WLI241" s="15"/>
      <c r="WLJ241" s="15"/>
      <c r="WLK241" s="15"/>
      <c r="WLL241" s="10"/>
      <c r="WLM241" s="10"/>
      <c r="WLN241" s="21"/>
      <c r="WLO241" s="21"/>
      <c r="WLR241" s="21"/>
      <c r="WLS241" s="15"/>
      <c r="WLT241" s="15"/>
      <c r="WLU241" s="15"/>
      <c r="WLV241" s="15"/>
      <c r="WLW241" s="15"/>
      <c r="WLX241" s="15"/>
      <c r="WLY241" s="15"/>
      <c r="WLZ241" s="15"/>
      <c r="WMA241" s="15"/>
      <c r="WMB241" s="15"/>
      <c r="WMC241" s="10"/>
      <c r="WMD241" s="10"/>
      <c r="WME241" s="21"/>
      <c r="WMF241" s="21"/>
      <c r="WMI241" s="21"/>
      <c r="WMJ241" s="15"/>
      <c r="WMK241" s="15"/>
      <c r="WML241" s="15"/>
      <c r="WMM241" s="15"/>
      <c r="WMN241" s="15"/>
      <c r="WMO241" s="15"/>
      <c r="WMP241" s="15"/>
      <c r="WMQ241" s="15"/>
      <c r="WMR241" s="15"/>
      <c r="WMS241" s="15"/>
      <c r="WMT241" s="10"/>
      <c r="WMU241" s="10"/>
      <c r="WMV241" s="21"/>
      <c r="WMW241" s="21"/>
      <c r="WMZ241" s="21"/>
      <c r="WNA241" s="15"/>
      <c r="WNB241" s="15"/>
      <c r="WNC241" s="15"/>
      <c r="WND241" s="15"/>
      <c r="WNE241" s="15"/>
      <c r="WNF241" s="15"/>
      <c r="WNG241" s="15"/>
      <c r="WNH241" s="15"/>
      <c r="WNI241" s="15"/>
      <c r="WNJ241" s="15"/>
      <c r="WNK241" s="10"/>
      <c r="WNL241" s="10"/>
      <c r="WNM241" s="21"/>
      <c r="WNN241" s="21"/>
      <c r="WNQ241" s="21"/>
      <c r="WNR241" s="15"/>
      <c r="WNS241" s="15"/>
      <c r="WNT241" s="15"/>
      <c r="WNU241" s="15"/>
      <c r="WNV241" s="15"/>
      <c r="WNW241" s="15"/>
      <c r="WNX241" s="15"/>
      <c r="WNY241" s="15"/>
      <c r="WNZ241" s="15"/>
      <c r="WOA241" s="15"/>
      <c r="WOB241" s="10"/>
      <c r="WOC241" s="10"/>
      <c r="WOD241" s="21"/>
      <c r="WOE241" s="21"/>
      <c r="WOH241" s="21"/>
      <c r="WOI241" s="15"/>
      <c r="WOJ241" s="15"/>
      <c r="WOK241" s="15"/>
      <c r="WOL241" s="15"/>
      <c r="WOM241" s="15"/>
      <c r="WON241" s="15"/>
      <c r="WOO241" s="15"/>
      <c r="WOP241" s="15"/>
      <c r="WOQ241" s="15"/>
      <c r="WOR241" s="15"/>
      <c r="WOS241" s="10"/>
      <c r="WOT241" s="10"/>
      <c r="WOU241" s="21"/>
      <c r="WOV241" s="21"/>
      <c r="WOY241" s="21"/>
      <c r="WOZ241" s="15"/>
      <c r="WPA241" s="15"/>
      <c r="WPB241" s="15"/>
      <c r="WPC241" s="15"/>
      <c r="WPD241" s="15"/>
      <c r="WPE241" s="15"/>
      <c r="WPF241" s="15"/>
      <c r="WPG241" s="15"/>
      <c r="WPH241" s="15"/>
      <c r="WPI241" s="15"/>
      <c r="WPJ241" s="10"/>
      <c r="WPK241" s="10"/>
      <c r="WPL241" s="21"/>
      <c r="WPM241" s="21"/>
      <c r="WPP241" s="21"/>
      <c r="WPQ241" s="15"/>
      <c r="WPR241" s="15"/>
      <c r="WPS241" s="15"/>
      <c r="WPT241" s="15"/>
      <c r="WPU241" s="15"/>
      <c r="WPV241" s="15"/>
      <c r="WPW241" s="15"/>
      <c r="WPX241" s="15"/>
      <c r="WPY241" s="15"/>
      <c r="WPZ241" s="15"/>
      <c r="WQA241" s="10"/>
      <c r="WQB241" s="10"/>
      <c r="WQC241" s="21"/>
      <c r="WQD241" s="21"/>
      <c r="WQG241" s="21"/>
      <c r="WQH241" s="15"/>
      <c r="WQI241" s="15"/>
      <c r="WQJ241" s="15"/>
      <c r="WQK241" s="15"/>
      <c r="WQL241" s="15"/>
      <c r="WQM241" s="15"/>
      <c r="WQN241" s="15"/>
      <c r="WQO241" s="15"/>
      <c r="WQP241" s="15"/>
      <c r="WQQ241" s="15"/>
      <c r="WQR241" s="10"/>
      <c r="WQS241" s="10"/>
      <c r="WQT241" s="21"/>
      <c r="WQU241" s="21"/>
      <c r="WQX241" s="21"/>
      <c r="WQY241" s="15"/>
      <c r="WQZ241" s="15"/>
      <c r="WRA241" s="15"/>
      <c r="WRB241" s="15"/>
      <c r="WRC241" s="15"/>
      <c r="WRD241" s="15"/>
      <c r="WRE241" s="15"/>
      <c r="WRF241" s="15"/>
      <c r="WRG241" s="15"/>
      <c r="WRH241" s="15"/>
      <c r="WRI241" s="10"/>
      <c r="WRJ241" s="10"/>
      <c r="WRK241" s="21"/>
      <c r="WRL241" s="21"/>
      <c r="WRO241" s="21"/>
      <c r="WRP241" s="15"/>
      <c r="WRQ241" s="15"/>
      <c r="WRR241" s="15"/>
      <c r="WRS241" s="15"/>
      <c r="WRT241" s="15"/>
      <c r="WRU241" s="15"/>
      <c r="WRV241" s="15"/>
      <c r="WRW241" s="15"/>
      <c r="WRX241" s="15"/>
      <c r="WRY241" s="15"/>
      <c r="WRZ241" s="10"/>
      <c r="WSA241" s="10"/>
      <c r="WSB241" s="21"/>
      <c r="WSC241" s="21"/>
      <c r="WSF241" s="21"/>
      <c r="WSG241" s="15"/>
      <c r="WSH241" s="15"/>
      <c r="WSI241" s="15"/>
      <c r="WSJ241" s="15"/>
      <c r="WSK241" s="15"/>
      <c r="WSL241" s="15"/>
      <c r="WSM241" s="15"/>
      <c r="WSN241" s="15"/>
      <c r="WSO241" s="15"/>
      <c r="WSP241" s="15"/>
      <c r="WSQ241" s="10"/>
      <c r="WSR241" s="10"/>
      <c r="WSS241" s="21"/>
      <c r="WST241" s="21"/>
      <c r="WSW241" s="21"/>
      <c r="WSX241" s="15"/>
      <c r="WSY241" s="15"/>
      <c r="WSZ241" s="15"/>
      <c r="WTA241" s="15"/>
      <c r="WTB241" s="15"/>
      <c r="WTC241" s="15"/>
      <c r="WTD241" s="15"/>
      <c r="WTE241" s="15"/>
      <c r="WTF241" s="15"/>
      <c r="WTG241" s="15"/>
      <c r="WTH241" s="10"/>
      <c r="WTI241" s="10"/>
      <c r="WTJ241" s="21"/>
      <c r="WTK241" s="21"/>
      <c r="WTN241" s="21"/>
      <c r="WTO241" s="15"/>
      <c r="WTP241" s="15"/>
      <c r="WTQ241" s="15"/>
      <c r="WTR241" s="15"/>
      <c r="WTS241" s="15"/>
      <c r="WTT241" s="15"/>
      <c r="WTU241" s="15"/>
      <c r="WTV241" s="15"/>
      <c r="WTW241" s="15"/>
      <c r="WTX241" s="15"/>
      <c r="WTY241" s="10"/>
      <c r="WTZ241" s="10"/>
      <c r="WUA241" s="21"/>
      <c r="WUB241" s="21"/>
      <c r="WUE241" s="21"/>
      <c r="WUF241" s="15"/>
      <c r="WUG241" s="15"/>
      <c r="WUH241" s="15"/>
      <c r="WUI241" s="15"/>
      <c r="WUJ241" s="15"/>
      <c r="WUK241" s="15"/>
      <c r="WUL241" s="15"/>
      <c r="WUM241" s="15"/>
      <c r="WUN241" s="15"/>
      <c r="WUO241" s="15"/>
      <c r="WUP241" s="10"/>
      <c r="WUQ241" s="10"/>
      <c r="WUR241" s="21"/>
      <c r="WUS241" s="21"/>
      <c r="WUV241" s="21"/>
      <c r="WUW241" s="15"/>
      <c r="WUX241" s="15"/>
      <c r="WUY241" s="15"/>
      <c r="WUZ241" s="15"/>
      <c r="WVA241" s="15"/>
      <c r="WVB241" s="15"/>
      <c r="WVC241" s="15"/>
      <c r="WVD241" s="15"/>
      <c r="WVE241" s="15"/>
      <c r="WVF241" s="15"/>
      <c r="WVG241" s="10"/>
      <c r="WVH241" s="10"/>
      <c r="WVI241" s="21"/>
      <c r="WVJ241" s="21"/>
      <c r="WVM241" s="21"/>
      <c r="WVN241" s="15"/>
      <c r="WVO241" s="15"/>
      <c r="WVP241" s="15"/>
      <c r="WVQ241" s="15"/>
      <c r="WVR241" s="15"/>
      <c r="WVS241" s="15"/>
      <c r="WVT241" s="15"/>
      <c r="WVU241" s="15"/>
      <c r="WVV241" s="15"/>
      <c r="WVW241" s="15"/>
      <c r="WVX241" s="10"/>
      <c r="WVY241" s="10"/>
      <c r="WVZ241" s="21"/>
      <c r="WWA241" s="21"/>
      <c r="WWD241" s="21"/>
      <c r="WWE241" s="15"/>
      <c r="WWF241" s="15"/>
      <c r="WWG241" s="15"/>
      <c r="WWH241" s="15"/>
      <c r="WWI241" s="15"/>
      <c r="WWJ241" s="15"/>
      <c r="WWK241" s="15"/>
      <c r="WWL241" s="15"/>
      <c r="WWM241" s="15"/>
      <c r="WWN241" s="15"/>
      <c r="WWO241" s="10"/>
      <c r="WWP241" s="10"/>
      <c r="WWQ241" s="21"/>
      <c r="WWR241" s="21"/>
      <c r="WWU241" s="21"/>
      <c r="WWV241" s="15"/>
      <c r="WWW241" s="15"/>
      <c r="WWX241" s="15"/>
      <c r="WWY241" s="15"/>
      <c r="WWZ241" s="15"/>
      <c r="WXA241" s="15"/>
      <c r="WXB241" s="15"/>
      <c r="WXC241" s="15"/>
      <c r="WXD241" s="15"/>
      <c r="WXE241" s="15"/>
      <c r="WXF241" s="10"/>
      <c r="WXG241" s="10"/>
      <c r="WXH241" s="21"/>
      <c r="WXI241" s="21"/>
      <c r="WXL241" s="21"/>
      <c r="WXM241" s="15"/>
      <c r="WXN241" s="15"/>
      <c r="WXO241" s="15"/>
      <c r="WXP241" s="15"/>
      <c r="WXQ241" s="15"/>
      <c r="WXR241" s="15"/>
      <c r="WXS241" s="15"/>
      <c r="WXT241" s="15"/>
      <c r="WXU241" s="15"/>
      <c r="WXV241" s="15"/>
      <c r="WXW241" s="10"/>
      <c r="WXX241" s="10"/>
      <c r="WXY241" s="21"/>
      <c r="WXZ241" s="21"/>
      <c r="WYC241" s="21"/>
      <c r="WYD241" s="15"/>
      <c r="WYE241" s="15"/>
      <c r="WYF241" s="15"/>
      <c r="WYG241" s="15"/>
      <c r="WYH241" s="15"/>
      <c r="WYI241" s="15"/>
      <c r="WYJ241" s="15"/>
      <c r="WYK241" s="15"/>
      <c r="WYL241" s="15"/>
      <c r="WYM241" s="15"/>
      <c r="WYN241" s="10"/>
      <c r="WYO241" s="10"/>
      <c r="WYP241" s="21"/>
      <c r="WYQ241" s="21"/>
      <c r="WYT241" s="21"/>
      <c r="WYU241" s="15"/>
      <c r="WYV241" s="15"/>
      <c r="WYW241" s="15"/>
      <c r="WYX241" s="15"/>
      <c r="WYY241" s="15"/>
      <c r="WYZ241" s="15"/>
      <c r="WZA241" s="15"/>
      <c r="WZB241" s="15"/>
      <c r="WZC241" s="15"/>
      <c r="WZD241" s="15"/>
      <c r="WZE241" s="10"/>
      <c r="WZF241" s="10"/>
      <c r="WZG241" s="21"/>
      <c r="WZH241" s="21"/>
      <c r="WZK241" s="21"/>
      <c r="WZL241" s="15"/>
      <c r="WZM241" s="15"/>
      <c r="WZN241" s="15"/>
      <c r="WZO241" s="15"/>
      <c r="WZP241" s="15"/>
      <c r="WZQ241" s="15"/>
      <c r="WZR241" s="15"/>
      <c r="WZS241" s="15"/>
      <c r="WZT241" s="15"/>
      <c r="WZU241" s="15"/>
      <c r="WZV241" s="10"/>
      <c r="WZW241" s="10"/>
      <c r="WZX241" s="21"/>
      <c r="WZY241" s="21"/>
      <c r="XAB241" s="21"/>
      <c r="XAC241" s="15"/>
      <c r="XAD241" s="15"/>
      <c r="XAE241" s="15"/>
      <c r="XAF241" s="15"/>
      <c r="XAG241" s="15"/>
      <c r="XAH241" s="15"/>
      <c r="XAI241" s="15"/>
      <c r="XAJ241" s="15"/>
      <c r="XAK241" s="15"/>
      <c r="XAL241" s="15"/>
      <c r="XAM241" s="10"/>
      <c r="XAN241" s="10"/>
      <c r="XAO241" s="21"/>
      <c r="XAP241" s="21"/>
      <c r="XAS241" s="21"/>
      <c r="XAT241" s="15"/>
      <c r="XAU241" s="15"/>
      <c r="XAV241" s="15"/>
      <c r="XAW241" s="15"/>
      <c r="XAX241" s="15"/>
      <c r="XAY241" s="15"/>
      <c r="XAZ241" s="15"/>
      <c r="XBA241" s="15"/>
      <c r="XBB241" s="15"/>
      <c r="XBC241" s="15"/>
      <c r="XBD241" s="10"/>
      <c r="XBE241" s="10"/>
      <c r="XBF241" s="21"/>
      <c r="XBG241" s="21"/>
      <c r="XBJ241" s="21"/>
      <c r="XBK241" s="15"/>
      <c r="XBL241" s="15"/>
      <c r="XBM241" s="15"/>
      <c r="XBN241" s="15"/>
      <c r="XBO241" s="15"/>
      <c r="XBP241" s="15"/>
      <c r="XBQ241" s="15"/>
      <c r="XBR241" s="15"/>
      <c r="XBS241" s="15"/>
      <c r="XBT241" s="15"/>
      <c r="XBU241" s="10"/>
      <c r="XBV241" s="10"/>
      <c r="XBW241" s="21"/>
      <c r="XBX241" s="21"/>
      <c r="XCA241" s="21"/>
      <c r="XCB241" s="15"/>
      <c r="XCC241" s="15"/>
      <c r="XCD241" s="15"/>
      <c r="XCE241" s="15"/>
      <c r="XCF241" s="15"/>
      <c r="XCG241" s="15"/>
      <c r="XCH241" s="15"/>
      <c r="XCI241" s="15"/>
      <c r="XCJ241" s="15"/>
      <c r="XCK241" s="15"/>
      <c r="XCL241" s="10"/>
      <c r="XCM241" s="10"/>
      <c r="XCN241" s="21"/>
      <c r="XCO241" s="21"/>
      <c r="XCR241" s="21"/>
      <c r="XCS241" s="15"/>
      <c r="XCT241" s="15"/>
      <c r="XCU241" s="15"/>
      <c r="XCV241" s="15"/>
      <c r="XCW241" s="15"/>
      <c r="XCX241" s="15"/>
      <c r="XCY241" s="15"/>
      <c r="XCZ241" s="15"/>
      <c r="XDA241" s="15"/>
      <c r="XDB241" s="15"/>
      <c r="XDC241" s="10"/>
      <c r="XDD241" s="10"/>
      <c r="XDE241" s="21"/>
      <c r="XDF241" s="21"/>
      <c r="XDI241" s="21"/>
      <c r="XDJ241" s="15"/>
      <c r="XDK241" s="15"/>
      <c r="XDL241" s="15"/>
      <c r="XDM241" s="15"/>
      <c r="XDN241" s="15"/>
      <c r="XDO241" s="15"/>
      <c r="XDP241" s="15"/>
      <c r="XDQ241" s="15"/>
      <c r="XDR241" s="15"/>
      <c r="XDS241" s="15"/>
      <c r="XDT241" s="10"/>
      <c r="XDU241" s="10"/>
      <c r="XDV241" s="21"/>
      <c r="XDW241" s="21"/>
      <c r="XDZ241" s="21"/>
      <c r="XEA241" s="15"/>
      <c r="XEB241" s="15"/>
      <c r="XEC241" s="15"/>
      <c r="XED241" s="15"/>
      <c r="XEE241" s="15"/>
      <c r="XEF241" s="15"/>
      <c r="XEG241" s="15"/>
      <c r="XEH241" s="15"/>
      <c r="XEI241" s="15"/>
      <c r="XEJ241" s="15"/>
      <c r="XEK241" s="10"/>
      <c r="XEL241" s="10"/>
      <c r="XEM241" s="21"/>
      <c r="XEN241" s="21"/>
      <c r="XEQ241" s="21"/>
      <c r="XER241" s="15"/>
      <c r="XES241" s="15"/>
      <c r="XET241" s="15"/>
      <c r="XEU241" s="15"/>
      <c r="XEV241" s="15"/>
      <c r="XEW241" s="15"/>
      <c r="XEX241" s="15"/>
      <c r="XEY241" s="15"/>
      <c r="XEZ241" s="15"/>
      <c r="XFA241" s="15"/>
      <c r="XFB241" s="10"/>
      <c r="XFC241" s="10"/>
      <c r="XFD241" s="21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517</v>
      </c>
      <c r="E242" s="32" t="s">
        <v>166</v>
      </c>
      <c r="F242" s="32" t="s">
        <v>518</v>
      </c>
      <c r="G242" s="32" t="s">
        <v>519</v>
      </c>
      <c r="H242" s="32" t="s">
        <v>352</v>
      </c>
      <c r="I242" s="31" t="s">
        <v>520</v>
      </c>
      <c r="J242" s="31">
        <v>99</v>
      </c>
      <c r="K242" s="33" t="s">
        <v>698</v>
      </c>
      <c r="L242" s="33">
        <v>40</v>
      </c>
      <c r="M242" s="34" t="s">
        <v>959</v>
      </c>
      <c r="N242" s="34" t="s">
        <v>1819</v>
      </c>
      <c r="O242" s="35">
        <v>1</v>
      </c>
      <c r="P242" s="35"/>
      <c r="Q242" s="32"/>
      <c r="S242" s="1">
        <f t="shared" si="127"/>
        <v>0</v>
      </c>
      <c r="T242" s="1">
        <f t="shared" si="128"/>
        <v>0</v>
      </c>
      <c r="U242" s="1">
        <f t="shared" si="129"/>
        <v>0</v>
      </c>
      <c r="V242" s="1">
        <f t="shared" si="130"/>
        <v>0</v>
      </c>
      <c r="W242" s="1">
        <f t="shared" si="131"/>
        <v>0</v>
      </c>
      <c r="X242" s="1">
        <f t="shared" si="132"/>
        <v>0</v>
      </c>
      <c r="Y242" s="1">
        <f t="shared" si="133"/>
        <v>0</v>
      </c>
      <c r="Z242" s="1">
        <f t="shared" si="134"/>
        <v>0</v>
      </c>
      <c r="AA242" s="1">
        <f t="shared" si="135"/>
        <v>0</v>
      </c>
      <c r="AB242" s="1">
        <f t="shared" si="136"/>
        <v>0</v>
      </c>
      <c r="AD242" s="1">
        <f t="shared" si="137"/>
        <v>0</v>
      </c>
      <c r="AE242" s="1">
        <f t="shared" si="138"/>
        <v>1</v>
      </c>
      <c r="AF242" s="1">
        <f t="shared" si="123"/>
        <v>0</v>
      </c>
      <c r="AG242" s="1">
        <f t="shared" si="124"/>
        <v>1</v>
      </c>
      <c r="AH242" s="1">
        <f t="shared" si="125"/>
        <v>0</v>
      </c>
      <c r="AI242" s="1">
        <f t="shared" si="126"/>
        <v>1</v>
      </c>
    </row>
    <row r="243" spans="1:4094 4097:8191 8194:12288 12291:16384" ht="13.9" customHeight="1" x14ac:dyDescent="0.25">
      <c r="A243" s="38">
        <v>0</v>
      </c>
      <c r="B243" s="38">
        <v>1</v>
      </c>
      <c r="C243" s="38">
        <v>6</v>
      </c>
      <c r="D243" s="39" t="s">
        <v>1807</v>
      </c>
      <c r="E243" s="39" t="s">
        <v>1808</v>
      </c>
      <c r="F243" s="39" t="s">
        <v>1809</v>
      </c>
      <c r="G243" s="39"/>
      <c r="H243" s="39" t="s">
        <v>352</v>
      </c>
      <c r="I243" s="38" t="s">
        <v>1810</v>
      </c>
      <c r="J243" s="38"/>
      <c r="K243" s="40" t="s">
        <v>699</v>
      </c>
      <c r="L243" s="40"/>
      <c r="M243" s="41"/>
      <c r="N243" s="42"/>
      <c r="O243" s="43"/>
      <c r="P243" s="43">
        <v>1</v>
      </c>
      <c r="Q243" s="39"/>
      <c r="S243" s="1">
        <f t="shared" si="127"/>
        <v>0</v>
      </c>
      <c r="T243" s="1">
        <f t="shared" si="128"/>
        <v>0</v>
      </c>
      <c r="U243" s="1">
        <f t="shared" si="129"/>
        <v>0</v>
      </c>
      <c r="V243" s="1">
        <f t="shared" si="130"/>
        <v>0</v>
      </c>
      <c r="W243" s="1">
        <f t="shared" si="131"/>
        <v>0</v>
      </c>
      <c r="X243" s="1">
        <f t="shared" si="132"/>
        <v>0</v>
      </c>
      <c r="Y243" s="1">
        <f t="shared" si="133"/>
        <v>0</v>
      </c>
      <c r="Z243" s="1">
        <f t="shared" si="134"/>
        <v>0</v>
      </c>
      <c r="AA243" s="1">
        <f t="shared" si="135"/>
        <v>0</v>
      </c>
      <c r="AB243" s="1">
        <f t="shared" si="136"/>
        <v>0</v>
      </c>
      <c r="AD243" s="1">
        <f t="shared" si="137"/>
        <v>0</v>
      </c>
      <c r="AE243" s="1">
        <f t="shared" si="138"/>
        <v>0</v>
      </c>
      <c r="AF243" s="1">
        <f t="shared" si="123"/>
        <v>0</v>
      </c>
      <c r="AG243" s="1">
        <f t="shared" si="124"/>
        <v>0</v>
      </c>
      <c r="AH243" s="1">
        <f t="shared" si="125"/>
        <v>1</v>
      </c>
      <c r="AI243" s="1">
        <f t="shared" si="126"/>
        <v>0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2059</v>
      </c>
      <c r="E244" s="32" t="s">
        <v>166</v>
      </c>
      <c r="F244" s="32" t="s">
        <v>2060</v>
      </c>
      <c r="G244" s="32"/>
      <c r="H244" s="32" t="s">
        <v>352</v>
      </c>
      <c r="I244" s="31" t="s">
        <v>2061</v>
      </c>
      <c r="J244" s="31"/>
      <c r="K244" s="33" t="s">
        <v>699</v>
      </c>
      <c r="L244" s="33"/>
      <c r="M244" s="34"/>
      <c r="N244" s="34" t="s">
        <v>1718</v>
      </c>
      <c r="O244" s="35">
        <v>1</v>
      </c>
      <c r="P244" s="35"/>
      <c r="Q244" s="32" t="s">
        <v>2062</v>
      </c>
      <c r="S244" s="1">
        <f t="shared" si="127"/>
        <v>0</v>
      </c>
      <c r="T244" s="1">
        <f t="shared" si="128"/>
        <v>0</v>
      </c>
      <c r="U244" s="1">
        <f t="shared" si="129"/>
        <v>0</v>
      </c>
      <c r="V244" s="1">
        <f t="shared" si="130"/>
        <v>0</v>
      </c>
      <c r="W244" s="1">
        <f t="shared" si="131"/>
        <v>0</v>
      </c>
      <c r="X244" s="1">
        <f t="shared" si="132"/>
        <v>0</v>
      </c>
      <c r="Y244" s="1">
        <f t="shared" si="133"/>
        <v>0</v>
      </c>
      <c r="Z244" s="1">
        <f t="shared" si="134"/>
        <v>0</v>
      </c>
      <c r="AA244" s="1">
        <f t="shared" si="135"/>
        <v>0</v>
      </c>
      <c r="AB244" s="1">
        <f t="shared" si="136"/>
        <v>0</v>
      </c>
      <c r="AD244" s="1">
        <f t="shared" si="137"/>
        <v>0</v>
      </c>
      <c r="AE244" s="1">
        <f t="shared" si="138"/>
        <v>1</v>
      </c>
      <c r="AF244" s="1">
        <f t="shared" si="123"/>
        <v>0</v>
      </c>
      <c r="AG244" s="1">
        <f t="shared" si="124"/>
        <v>1</v>
      </c>
      <c r="AH244" s="1">
        <f t="shared" si="125"/>
        <v>0</v>
      </c>
      <c r="AI244" s="1">
        <f t="shared" si="126"/>
        <v>1</v>
      </c>
    </row>
    <row r="245" spans="1:4094 4097:8191 8194:12288 12291:16384" ht="13.9" customHeight="1" x14ac:dyDescent="0.25">
      <c r="A245" s="31">
        <v>0</v>
      </c>
      <c r="B245" s="31">
        <v>1</v>
      </c>
      <c r="C245" s="31">
        <v>6</v>
      </c>
      <c r="D245" s="32" t="s">
        <v>1455</v>
      </c>
      <c r="E245" s="32" t="s">
        <v>166</v>
      </c>
      <c r="F245" s="32" t="s">
        <v>1457</v>
      </c>
      <c r="G245" s="32" t="s">
        <v>1458</v>
      </c>
      <c r="H245" s="32" t="s">
        <v>352</v>
      </c>
      <c r="I245" s="31" t="s">
        <v>1456</v>
      </c>
      <c r="J245" s="31">
        <v>99</v>
      </c>
      <c r="K245" s="33" t="s">
        <v>699</v>
      </c>
      <c r="L245" s="33">
        <v>62</v>
      </c>
      <c r="M245" s="34"/>
      <c r="N245" s="34" t="s">
        <v>1719</v>
      </c>
      <c r="O245" s="35">
        <v>1</v>
      </c>
      <c r="P245" s="35"/>
      <c r="Q245" s="32"/>
      <c r="S245" s="1">
        <f t="shared" si="127"/>
        <v>0</v>
      </c>
      <c r="T245" s="1">
        <f t="shared" si="128"/>
        <v>0</v>
      </c>
      <c r="U245" s="1">
        <f t="shared" si="129"/>
        <v>0</v>
      </c>
      <c r="V245" s="1">
        <f t="shared" si="130"/>
        <v>0</v>
      </c>
      <c r="W245" s="1">
        <f t="shared" si="131"/>
        <v>0</v>
      </c>
      <c r="X245" s="1">
        <f t="shared" si="132"/>
        <v>0</v>
      </c>
      <c r="Y245" s="1">
        <f t="shared" si="133"/>
        <v>0</v>
      </c>
      <c r="Z245" s="1">
        <f t="shared" si="134"/>
        <v>0</v>
      </c>
      <c r="AA245" s="1">
        <f t="shared" si="135"/>
        <v>0</v>
      </c>
      <c r="AB245" s="1">
        <f t="shared" si="136"/>
        <v>0</v>
      </c>
      <c r="AD245" s="1">
        <f t="shared" si="137"/>
        <v>0</v>
      </c>
      <c r="AE245" s="1">
        <f t="shared" si="138"/>
        <v>1</v>
      </c>
      <c r="AF245" s="1">
        <f t="shared" si="123"/>
        <v>0</v>
      </c>
      <c r="AG245" s="1">
        <f t="shared" si="124"/>
        <v>1</v>
      </c>
      <c r="AH245" s="1">
        <f t="shared" si="125"/>
        <v>0</v>
      </c>
      <c r="AI245" s="1">
        <f t="shared" si="126"/>
        <v>1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1177</v>
      </c>
      <c r="E246" s="32" t="s">
        <v>164</v>
      </c>
      <c r="F246" s="32" t="s">
        <v>1644</v>
      </c>
      <c r="G246" s="32" t="s">
        <v>212</v>
      </c>
      <c r="H246" s="32" t="s">
        <v>352</v>
      </c>
      <c r="I246" s="31" t="s">
        <v>1178</v>
      </c>
      <c r="J246" s="31">
        <v>1</v>
      </c>
      <c r="K246" s="33" t="s">
        <v>949</v>
      </c>
      <c r="L246" s="33" t="s">
        <v>683</v>
      </c>
      <c r="M246" s="34" t="s">
        <v>1546</v>
      </c>
      <c r="N246" s="34" t="s">
        <v>1725</v>
      </c>
      <c r="O246" s="35">
        <v>1</v>
      </c>
      <c r="P246" s="35"/>
      <c r="Q246" s="32"/>
      <c r="S246" s="1">
        <f t="shared" si="127"/>
        <v>1</v>
      </c>
      <c r="T246" s="1">
        <f t="shared" si="128"/>
        <v>0</v>
      </c>
      <c r="U246" s="1">
        <f t="shared" si="129"/>
        <v>0</v>
      </c>
      <c r="V246" s="1">
        <f t="shared" si="130"/>
        <v>0</v>
      </c>
      <c r="W246" s="1">
        <f t="shared" si="131"/>
        <v>0</v>
      </c>
      <c r="X246" s="1">
        <f t="shared" si="132"/>
        <v>0</v>
      </c>
      <c r="Y246" s="1">
        <f t="shared" si="133"/>
        <v>0</v>
      </c>
      <c r="Z246" s="1">
        <f t="shared" si="134"/>
        <v>0</v>
      </c>
      <c r="AA246" s="1">
        <f t="shared" si="135"/>
        <v>0</v>
      </c>
      <c r="AB246" s="1">
        <f t="shared" si="136"/>
        <v>0</v>
      </c>
      <c r="AD246" s="1">
        <f t="shared" si="137"/>
        <v>0</v>
      </c>
      <c r="AE246" s="1">
        <f t="shared" si="138"/>
        <v>1</v>
      </c>
      <c r="AF246" s="1">
        <f t="shared" si="123"/>
        <v>0</v>
      </c>
      <c r="AG246" s="1">
        <f t="shared" si="124"/>
        <v>1</v>
      </c>
      <c r="AH246" s="1">
        <f t="shared" si="125"/>
        <v>0</v>
      </c>
      <c r="AI246" s="1">
        <f t="shared" si="126"/>
        <v>1</v>
      </c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2038</v>
      </c>
      <c r="E247" s="32" t="s">
        <v>2039</v>
      </c>
      <c r="F247" s="32" t="s">
        <v>2040</v>
      </c>
      <c r="G247" s="32" t="s">
        <v>207</v>
      </c>
      <c r="H247" s="32" t="s">
        <v>352</v>
      </c>
      <c r="I247" s="31" t="s">
        <v>2041</v>
      </c>
      <c r="J247" s="31">
        <v>3</v>
      </c>
      <c r="K247" s="33" t="s">
        <v>699</v>
      </c>
      <c r="L247" s="33">
        <v>30</v>
      </c>
      <c r="M247" s="34" t="s">
        <v>2042</v>
      </c>
      <c r="N247" s="34" t="s">
        <v>1819</v>
      </c>
      <c r="O247" s="35">
        <v>1</v>
      </c>
      <c r="P247" s="35"/>
      <c r="Q247" s="32"/>
      <c r="S247" s="1">
        <f t="shared" si="127"/>
        <v>0</v>
      </c>
      <c r="T247" s="1">
        <f t="shared" si="128"/>
        <v>0</v>
      </c>
      <c r="U247" s="1">
        <f t="shared" si="129"/>
        <v>1</v>
      </c>
      <c r="V247" s="1">
        <f t="shared" si="130"/>
        <v>0</v>
      </c>
      <c r="W247" s="1">
        <f t="shared" si="131"/>
        <v>0</v>
      </c>
      <c r="X247" s="1">
        <f t="shared" si="132"/>
        <v>0</v>
      </c>
      <c r="Y247" s="1">
        <f t="shared" si="133"/>
        <v>0</v>
      </c>
      <c r="Z247" s="1">
        <f t="shared" si="134"/>
        <v>0</v>
      </c>
      <c r="AA247" s="1">
        <f t="shared" si="135"/>
        <v>0</v>
      </c>
      <c r="AB247" s="1">
        <f t="shared" si="136"/>
        <v>0</v>
      </c>
      <c r="AD247" s="1">
        <f t="shared" si="137"/>
        <v>0</v>
      </c>
      <c r="AE247" s="1">
        <f t="shared" si="138"/>
        <v>1</v>
      </c>
      <c r="AF247" s="1">
        <f t="shared" si="123"/>
        <v>0</v>
      </c>
      <c r="AG247" s="1">
        <f t="shared" si="124"/>
        <v>1</v>
      </c>
      <c r="AH247" s="1">
        <f t="shared" si="125"/>
        <v>0</v>
      </c>
      <c r="AI247" s="1">
        <f t="shared" si="12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97</v>
      </c>
      <c r="E248" s="32" t="s">
        <v>166</v>
      </c>
      <c r="F248" s="32" t="s">
        <v>294</v>
      </c>
      <c r="G248" s="32" t="s">
        <v>283</v>
      </c>
      <c r="H248" s="32" t="s">
        <v>352</v>
      </c>
      <c r="I248" s="31" t="s">
        <v>1105</v>
      </c>
      <c r="J248" s="31">
        <v>10</v>
      </c>
      <c r="K248" s="33" t="s">
        <v>943</v>
      </c>
      <c r="L248" s="33" t="s">
        <v>690</v>
      </c>
      <c r="M248" s="34" t="s">
        <v>701</v>
      </c>
      <c r="N248" s="34" t="s">
        <v>1719</v>
      </c>
      <c r="O248" s="35">
        <v>1</v>
      </c>
      <c r="P248" s="35"/>
      <c r="Q248" s="32"/>
      <c r="S248" s="1">
        <f t="shared" si="127"/>
        <v>0</v>
      </c>
      <c r="T248" s="1">
        <f t="shared" si="128"/>
        <v>0</v>
      </c>
      <c r="U248" s="1">
        <f t="shared" si="129"/>
        <v>0</v>
      </c>
      <c r="V248" s="1">
        <f t="shared" si="130"/>
        <v>0</v>
      </c>
      <c r="W248" s="1">
        <f t="shared" si="131"/>
        <v>0</v>
      </c>
      <c r="X248" s="1">
        <f t="shared" si="132"/>
        <v>0</v>
      </c>
      <c r="Y248" s="1">
        <f t="shared" si="133"/>
        <v>0</v>
      </c>
      <c r="Z248" s="1">
        <f t="shared" si="134"/>
        <v>0</v>
      </c>
      <c r="AA248" s="1">
        <f t="shared" si="135"/>
        <v>0</v>
      </c>
      <c r="AB248" s="1">
        <f t="shared" si="136"/>
        <v>1</v>
      </c>
      <c r="AD248" s="1">
        <f t="shared" si="137"/>
        <v>0</v>
      </c>
      <c r="AE248" s="1">
        <f t="shared" si="138"/>
        <v>1</v>
      </c>
      <c r="AF248" s="1">
        <f t="shared" si="123"/>
        <v>0</v>
      </c>
      <c r="AG248" s="1">
        <f t="shared" si="124"/>
        <v>1</v>
      </c>
      <c r="AH248" s="1">
        <f t="shared" si="125"/>
        <v>0</v>
      </c>
      <c r="AI248" s="1">
        <f t="shared" si="12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599</v>
      </c>
      <c r="E249" s="32" t="s">
        <v>164</v>
      </c>
      <c r="F249" s="32" t="s">
        <v>601</v>
      </c>
      <c r="G249" s="32" t="s">
        <v>39</v>
      </c>
      <c r="H249" s="32" t="s">
        <v>352</v>
      </c>
      <c r="I249" s="31" t="s">
        <v>600</v>
      </c>
      <c r="J249" s="31">
        <v>99</v>
      </c>
      <c r="K249" s="33" t="s">
        <v>943</v>
      </c>
      <c r="L249" s="33" t="s">
        <v>689</v>
      </c>
      <c r="M249" s="34" t="s">
        <v>957</v>
      </c>
      <c r="N249" s="34" t="s">
        <v>1719</v>
      </c>
      <c r="O249" s="35">
        <v>1</v>
      </c>
      <c r="P249" s="35"/>
      <c r="Q249" s="32"/>
      <c r="S249" s="1">
        <f t="shared" si="127"/>
        <v>0</v>
      </c>
      <c r="T249" s="1">
        <f t="shared" si="128"/>
        <v>0</v>
      </c>
      <c r="U249" s="1">
        <f t="shared" si="129"/>
        <v>0</v>
      </c>
      <c r="V249" s="1">
        <f t="shared" si="130"/>
        <v>0</v>
      </c>
      <c r="W249" s="1">
        <f t="shared" si="131"/>
        <v>0</v>
      </c>
      <c r="X249" s="1">
        <f t="shared" si="132"/>
        <v>0</v>
      </c>
      <c r="Y249" s="1">
        <f t="shared" si="133"/>
        <v>0</v>
      </c>
      <c r="Z249" s="1">
        <f t="shared" si="134"/>
        <v>0</v>
      </c>
      <c r="AA249" s="1">
        <f t="shared" si="135"/>
        <v>0</v>
      </c>
      <c r="AB249" s="1">
        <f t="shared" si="136"/>
        <v>0</v>
      </c>
      <c r="AD249" s="1">
        <f t="shared" si="137"/>
        <v>0</v>
      </c>
      <c r="AE249" s="1">
        <f t="shared" si="138"/>
        <v>1</v>
      </c>
      <c r="AF249" s="1">
        <f t="shared" si="123"/>
        <v>0</v>
      </c>
      <c r="AG249" s="1">
        <f t="shared" si="124"/>
        <v>1</v>
      </c>
      <c r="AH249" s="1">
        <f t="shared" si="125"/>
        <v>0</v>
      </c>
      <c r="AI249" s="1">
        <f t="shared" si="12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1146</v>
      </c>
      <c r="E250" s="32" t="s">
        <v>164</v>
      </c>
      <c r="F250" s="32" t="s">
        <v>1148</v>
      </c>
      <c r="G250" s="32" t="s">
        <v>219</v>
      </c>
      <c r="H250" s="32" t="s">
        <v>352</v>
      </c>
      <c r="I250" s="31" t="s">
        <v>1147</v>
      </c>
      <c r="J250" s="31">
        <v>8</v>
      </c>
      <c r="K250" s="33" t="s">
        <v>698</v>
      </c>
      <c r="L250" s="33" t="s">
        <v>1686</v>
      </c>
      <c r="M250" s="34" t="s">
        <v>1380</v>
      </c>
      <c r="N250" s="34" t="s">
        <v>1718</v>
      </c>
      <c r="O250" s="35">
        <v>1</v>
      </c>
      <c r="P250" s="35"/>
      <c r="Q250" s="32"/>
      <c r="S250" s="1">
        <f t="shared" si="127"/>
        <v>0</v>
      </c>
      <c r="T250" s="1">
        <f t="shared" si="128"/>
        <v>0</v>
      </c>
      <c r="U250" s="1">
        <f t="shared" si="129"/>
        <v>0</v>
      </c>
      <c r="V250" s="1">
        <f t="shared" si="130"/>
        <v>0</v>
      </c>
      <c r="W250" s="1">
        <f t="shared" si="131"/>
        <v>0</v>
      </c>
      <c r="X250" s="1">
        <f t="shared" si="132"/>
        <v>0</v>
      </c>
      <c r="Y250" s="1">
        <f t="shared" si="133"/>
        <v>0</v>
      </c>
      <c r="Z250" s="1">
        <f t="shared" si="134"/>
        <v>1</v>
      </c>
      <c r="AA250" s="1">
        <f t="shared" si="135"/>
        <v>0</v>
      </c>
      <c r="AB250" s="1">
        <f t="shared" si="136"/>
        <v>0</v>
      </c>
      <c r="AD250" s="1">
        <f t="shared" si="137"/>
        <v>0</v>
      </c>
      <c r="AE250" s="1">
        <f t="shared" si="138"/>
        <v>1</v>
      </c>
      <c r="AF250" s="1">
        <f t="shared" si="123"/>
        <v>0</v>
      </c>
      <c r="AG250" s="1">
        <f t="shared" si="124"/>
        <v>1</v>
      </c>
      <c r="AH250" s="1">
        <f t="shared" si="125"/>
        <v>0</v>
      </c>
      <c r="AI250" s="1">
        <f t="shared" si="12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560</v>
      </c>
      <c r="E251" s="32" t="s">
        <v>166</v>
      </c>
      <c r="F251" s="32" t="s">
        <v>657</v>
      </c>
      <c r="G251" s="32" t="s">
        <v>201</v>
      </c>
      <c r="H251" s="32" t="s">
        <v>352</v>
      </c>
      <c r="I251" s="31" t="s">
        <v>579</v>
      </c>
      <c r="J251" s="31">
        <v>10</v>
      </c>
      <c r="K251" s="33" t="s">
        <v>949</v>
      </c>
      <c r="L251" s="33" t="s">
        <v>689</v>
      </c>
      <c r="M251" s="34" t="s">
        <v>701</v>
      </c>
      <c r="N251" s="34" t="s">
        <v>1718</v>
      </c>
      <c r="O251" s="35">
        <v>1</v>
      </c>
      <c r="P251" s="35"/>
      <c r="Q251" s="36"/>
      <c r="S251" s="1">
        <f t="shared" si="127"/>
        <v>0</v>
      </c>
      <c r="T251" s="1">
        <f t="shared" si="128"/>
        <v>0</v>
      </c>
      <c r="U251" s="1">
        <f t="shared" si="129"/>
        <v>0</v>
      </c>
      <c r="V251" s="1">
        <f t="shared" si="130"/>
        <v>0</v>
      </c>
      <c r="W251" s="1">
        <f t="shared" si="131"/>
        <v>0</v>
      </c>
      <c r="X251" s="1">
        <f t="shared" si="132"/>
        <v>0</v>
      </c>
      <c r="Y251" s="1">
        <f t="shared" si="133"/>
        <v>0</v>
      </c>
      <c r="Z251" s="1">
        <f t="shared" si="134"/>
        <v>0</v>
      </c>
      <c r="AA251" s="1">
        <f t="shared" si="135"/>
        <v>0</v>
      </c>
      <c r="AB251" s="1">
        <f t="shared" si="136"/>
        <v>1</v>
      </c>
      <c r="AD251" s="1">
        <f t="shared" si="137"/>
        <v>0</v>
      </c>
      <c r="AE251" s="1">
        <f t="shared" si="138"/>
        <v>1</v>
      </c>
      <c r="AF251" s="1">
        <f t="shared" si="123"/>
        <v>0</v>
      </c>
      <c r="AG251" s="1">
        <f t="shared" si="124"/>
        <v>1</v>
      </c>
      <c r="AH251" s="1">
        <f t="shared" si="125"/>
        <v>0</v>
      </c>
      <c r="AI251" s="1">
        <f t="shared" si="126"/>
        <v>1</v>
      </c>
    </row>
    <row r="252" spans="1:4094 4097:8191 8194:12288 12291:16384" ht="14.25" customHeight="1" x14ac:dyDescent="0.25">
      <c r="A252" s="44">
        <v>0</v>
      </c>
      <c r="B252" s="44">
        <v>1</v>
      </c>
      <c r="C252" s="44">
        <v>6</v>
      </c>
      <c r="D252" s="45" t="s">
        <v>886</v>
      </c>
      <c r="E252" s="45" t="s">
        <v>166</v>
      </c>
      <c r="F252" s="45" t="s">
        <v>926</v>
      </c>
      <c r="G252" s="45" t="s">
        <v>927</v>
      </c>
      <c r="H252" s="45" t="s">
        <v>352</v>
      </c>
      <c r="I252" s="44" t="s">
        <v>940</v>
      </c>
      <c r="J252" s="44">
        <v>99</v>
      </c>
      <c r="K252" s="46" t="s">
        <v>698</v>
      </c>
      <c r="L252" s="46" t="s">
        <v>685</v>
      </c>
      <c r="M252" s="47" t="s">
        <v>1381</v>
      </c>
      <c r="N252" s="47" t="s">
        <v>1711</v>
      </c>
      <c r="O252" s="48"/>
      <c r="P252" s="48"/>
      <c r="Q252" s="45"/>
      <c r="S252" s="1">
        <f t="shared" si="127"/>
        <v>0</v>
      </c>
      <c r="T252" s="1">
        <f t="shared" si="128"/>
        <v>0</v>
      </c>
      <c r="U252" s="1">
        <f t="shared" si="129"/>
        <v>0</v>
      </c>
      <c r="V252" s="1">
        <f t="shared" si="130"/>
        <v>0</v>
      </c>
      <c r="W252" s="1">
        <f t="shared" si="131"/>
        <v>0</v>
      </c>
      <c r="X252" s="1">
        <f t="shared" si="132"/>
        <v>0</v>
      </c>
      <c r="Y252" s="1">
        <f t="shared" si="133"/>
        <v>0</v>
      </c>
      <c r="Z252" s="1">
        <f t="shared" si="134"/>
        <v>0</v>
      </c>
      <c r="AA252" s="1">
        <f t="shared" si="135"/>
        <v>0</v>
      </c>
      <c r="AB252" s="1">
        <f t="shared" si="136"/>
        <v>0</v>
      </c>
      <c r="AD252" s="1">
        <f t="shared" si="137"/>
        <v>0</v>
      </c>
      <c r="AE252" s="1">
        <f t="shared" si="138"/>
        <v>0</v>
      </c>
      <c r="AF252" s="1">
        <f t="shared" si="123"/>
        <v>0</v>
      </c>
      <c r="AG252" s="1">
        <f t="shared" si="124"/>
        <v>0</v>
      </c>
      <c r="AH252" s="1">
        <f t="shared" si="125"/>
        <v>0</v>
      </c>
      <c r="AI252" s="1">
        <f t="shared" si="12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99</v>
      </c>
      <c r="E253" s="32" t="s">
        <v>166</v>
      </c>
      <c r="F253" s="32" t="s">
        <v>658</v>
      </c>
      <c r="G253" s="32" t="s">
        <v>660</v>
      </c>
      <c r="H253" s="32" t="s">
        <v>352</v>
      </c>
      <c r="I253" s="31" t="s">
        <v>444</v>
      </c>
      <c r="J253" s="31">
        <v>99</v>
      </c>
      <c r="K253" s="33" t="s">
        <v>718</v>
      </c>
      <c r="L253" s="33" t="s">
        <v>692</v>
      </c>
      <c r="M253" s="34" t="s">
        <v>703</v>
      </c>
      <c r="N253" s="34" t="s">
        <v>1719</v>
      </c>
      <c r="O253" s="35">
        <v>1</v>
      </c>
      <c r="P253" s="35"/>
      <c r="Q253" s="32"/>
      <c r="S253" s="1">
        <f t="shared" si="127"/>
        <v>0</v>
      </c>
      <c r="T253" s="1">
        <f t="shared" si="128"/>
        <v>0</v>
      </c>
      <c r="U253" s="1">
        <f t="shared" si="129"/>
        <v>0</v>
      </c>
      <c r="V253" s="1">
        <f t="shared" si="130"/>
        <v>0</v>
      </c>
      <c r="W253" s="1">
        <f t="shared" si="131"/>
        <v>0</v>
      </c>
      <c r="X253" s="1">
        <f t="shared" si="132"/>
        <v>0</v>
      </c>
      <c r="Y253" s="1">
        <f t="shared" si="133"/>
        <v>0</v>
      </c>
      <c r="Z253" s="1">
        <f t="shared" si="134"/>
        <v>0</v>
      </c>
      <c r="AA253" s="1">
        <f t="shared" si="135"/>
        <v>0</v>
      </c>
      <c r="AB253" s="1">
        <f t="shared" si="136"/>
        <v>0</v>
      </c>
      <c r="AD253" s="1">
        <f t="shared" si="137"/>
        <v>0</v>
      </c>
      <c r="AE253" s="1">
        <f t="shared" si="138"/>
        <v>1</v>
      </c>
      <c r="AF253" s="1">
        <f t="shared" si="123"/>
        <v>0</v>
      </c>
      <c r="AG253" s="1">
        <f t="shared" si="124"/>
        <v>1</v>
      </c>
      <c r="AH253" s="1">
        <f t="shared" si="125"/>
        <v>0</v>
      </c>
      <c r="AI253" s="1">
        <f t="shared" si="12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7</v>
      </c>
      <c r="D254" s="32" t="s">
        <v>86</v>
      </c>
      <c r="E254" s="32" t="s">
        <v>29</v>
      </c>
      <c r="F254" s="32" t="s">
        <v>659</v>
      </c>
      <c r="G254" s="32" t="s">
        <v>660</v>
      </c>
      <c r="H254" s="32" t="s">
        <v>352</v>
      </c>
      <c r="I254" s="31" t="s">
        <v>627</v>
      </c>
      <c r="J254" s="31">
        <v>99</v>
      </c>
      <c r="K254" s="33" t="s">
        <v>941</v>
      </c>
      <c r="L254" s="33" t="s">
        <v>689</v>
      </c>
      <c r="M254" s="34" t="s">
        <v>1382</v>
      </c>
      <c r="N254" s="34" t="s">
        <v>1700</v>
      </c>
      <c r="O254" s="35">
        <v>1</v>
      </c>
      <c r="P254" s="35">
        <v>1</v>
      </c>
      <c r="Q254" s="32"/>
      <c r="S254" s="1">
        <f t="shared" si="127"/>
        <v>0</v>
      </c>
      <c r="T254" s="1">
        <f t="shared" si="128"/>
        <v>0</v>
      </c>
      <c r="U254" s="1">
        <f t="shared" si="129"/>
        <v>0</v>
      </c>
      <c r="V254" s="1">
        <f t="shared" si="130"/>
        <v>0</v>
      </c>
      <c r="W254" s="1">
        <f t="shared" si="131"/>
        <v>0</v>
      </c>
      <c r="X254" s="1">
        <f t="shared" si="132"/>
        <v>0</v>
      </c>
      <c r="Y254" s="1">
        <f t="shared" si="133"/>
        <v>0</v>
      </c>
      <c r="Z254" s="1">
        <f t="shared" si="134"/>
        <v>0</v>
      </c>
      <c r="AA254" s="1">
        <f t="shared" si="135"/>
        <v>0</v>
      </c>
      <c r="AB254" s="1">
        <f t="shared" si="136"/>
        <v>0</v>
      </c>
      <c r="AD254" s="1">
        <f t="shared" si="137"/>
        <v>1</v>
      </c>
      <c r="AE254" s="1">
        <f t="shared" si="138"/>
        <v>0</v>
      </c>
      <c r="AF254" s="1">
        <f t="shared" si="123"/>
        <v>1</v>
      </c>
      <c r="AG254" s="1">
        <f t="shared" si="124"/>
        <v>0</v>
      </c>
      <c r="AH254" s="1">
        <f t="shared" si="125"/>
        <v>1</v>
      </c>
      <c r="AI254" s="1">
        <f t="shared" si="126"/>
        <v>0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7</v>
      </c>
      <c r="D255" s="32" t="s">
        <v>646</v>
      </c>
      <c r="E255" s="32" t="s">
        <v>29</v>
      </c>
      <c r="F255" s="32" t="s">
        <v>622</v>
      </c>
      <c r="G255" s="32" t="s">
        <v>231</v>
      </c>
      <c r="H255" s="32" t="s">
        <v>352</v>
      </c>
      <c r="I255" s="31" t="s">
        <v>623</v>
      </c>
      <c r="J255" s="31">
        <v>99</v>
      </c>
      <c r="K255" s="33" t="s">
        <v>709</v>
      </c>
      <c r="L255" s="33" t="s">
        <v>692</v>
      </c>
      <c r="M255" s="34" t="s">
        <v>960</v>
      </c>
      <c r="N255" s="34" t="s">
        <v>1819</v>
      </c>
      <c r="O255" s="35">
        <v>1</v>
      </c>
      <c r="P255" s="35"/>
      <c r="Q255" s="32"/>
      <c r="S255" s="1">
        <f t="shared" si="127"/>
        <v>0</v>
      </c>
      <c r="T255" s="1">
        <f t="shared" si="128"/>
        <v>0</v>
      </c>
      <c r="U255" s="1">
        <f t="shared" si="129"/>
        <v>0</v>
      </c>
      <c r="V255" s="1">
        <f t="shared" si="130"/>
        <v>0</v>
      </c>
      <c r="W255" s="1">
        <f t="shared" si="131"/>
        <v>0</v>
      </c>
      <c r="X255" s="1">
        <f t="shared" si="132"/>
        <v>0</v>
      </c>
      <c r="Y255" s="1">
        <f t="shared" si="133"/>
        <v>0</v>
      </c>
      <c r="Z255" s="1">
        <f t="shared" si="134"/>
        <v>0</v>
      </c>
      <c r="AA255" s="1">
        <f t="shared" si="135"/>
        <v>0</v>
      </c>
      <c r="AB255" s="1">
        <f t="shared" si="136"/>
        <v>0</v>
      </c>
      <c r="AD255" s="1">
        <f t="shared" si="137"/>
        <v>0</v>
      </c>
      <c r="AE255" s="1">
        <f t="shared" si="138"/>
        <v>1</v>
      </c>
      <c r="AF255" s="1">
        <f t="shared" si="123"/>
        <v>0</v>
      </c>
      <c r="AG255" s="1">
        <f t="shared" si="124"/>
        <v>1</v>
      </c>
      <c r="AH255" s="1">
        <f t="shared" si="125"/>
        <v>0</v>
      </c>
      <c r="AI255" s="1">
        <f t="shared" si="126"/>
        <v>1</v>
      </c>
    </row>
    <row r="256" spans="1:4094 4097:8191 8194:12288 12291:16384" ht="14.25" customHeight="1" x14ac:dyDescent="0.25">
      <c r="A256" s="15">
        <v>0</v>
      </c>
      <c r="B256" s="15">
        <v>1</v>
      </c>
      <c r="C256" s="15">
        <v>7</v>
      </c>
      <c r="D256" s="16" t="s">
        <v>970</v>
      </c>
      <c r="E256" s="16" t="s">
        <v>29</v>
      </c>
      <c r="F256" s="16" t="s">
        <v>971</v>
      </c>
      <c r="G256" s="16" t="s">
        <v>972</v>
      </c>
      <c r="H256" s="16" t="s">
        <v>352</v>
      </c>
      <c r="I256" s="15" t="s">
        <v>969</v>
      </c>
      <c r="J256" s="15">
        <v>99</v>
      </c>
      <c r="K256" s="10" t="s">
        <v>699</v>
      </c>
      <c r="L256" s="10">
        <v>20</v>
      </c>
      <c r="M256" s="19" t="s">
        <v>960</v>
      </c>
      <c r="N256" s="19"/>
      <c r="Q256" s="16"/>
      <c r="S256" s="1">
        <f t="shared" si="127"/>
        <v>0</v>
      </c>
      <c r="T256" s="1">
        <f t="shared" si="128"/>
        <v>0</v>
      </c>
      <c r="U256" s="1">
        <f t="shared" si="129"/>
        <v>0</v>
      </c>
      <c r="V256" s="1">
        <f t="shared" si="130"/>
        <v>0</v>
      </c>
      <c r="W256" s="1">
        <f t="shared" si="131"/>
        <v>0</v>
      </c>
      <c r="X256" s="1">
        <f t="shared" si="132"/>
        <v>0</v>
      </c>
      <c r="Y256" s="1">
        <f t="shared" si="133"/>
        <v>0</v>
      </c>
      <c r="Z256" s="1">
        <f t="shared" si="134"/>
        <v>0</v>
      </c>
      <c r="AA256" s="1">
        <f t="shared" si="135"/>
        <v>0</v>
      </c>
      <c r="AB256" s="1">
        <f t="shared" si="136"/>
        <v>0</v>
      </c>
      <c r="AD256" s="1">
        <f t="shared" si="137"/>
        <v>0</v>
      </c>
      <c r="AE256" s="1">
        <f t="shared" si="138"/>
        <v>0</v>
      </c>
      <c r="AF256" s="1">
        <f t="shared" si="123"/>
        <v>0</v>
      </c>
      <c r="AG256" s="1">
        <f t="shared" si="124"/>
        <v>0</v>
      </c>
      <c r="AH256" s="1">
        <f t="shared" si="125"/>
        <v>0</v>
      </c>
      <c r="AI256" s="1">
        <f t="shared" si="126"/>
        <v>1</v>
      </c>
    </row>
    <row r="257" spans="1:35" ht="14.25" customHeight="1" x14ac:dyDescent="0.25">
      <c r="A257" s="38">
        <v>0</v>
      </c>
      <c r="B257" s="38">
        <v>1</v>
      </c>
      <c r="C257" s="38">
        <v>7</v>
      </c>
      <c r="D257" s="39" t="s">
        <v>587</v>
      </c>
      <c r="E257" s="39" t="s">
        <v>29</v>
      </c>
      <c r="F257" s="39" t="s">
        <v>588</v>
      </c>
      <c r="G257" s="39" t="s">
        <v>1060</v>
      </c>
      <c r="H257" s="39" t="s">
        <v>352</v>
      </c>
      <c r="I257" s="38" t="s">
        <v>589</v>
      </c>
      <c r="J257" s="38">
        <v>99</v>
      </c>
      <c r="K257" s="40" t="s">
        <v>699</v>
      </c>
      <c r="L257" s="40">
        <v>35</v>
      </c>
      <c r="M257" s="41" t="s">
        <v>1382</v>
      </c>
      <c r="N257" s="41"/>
      <c r="O257" s="43"/>
      <c r="P257" s="43">
        <v>1</v>
      </c>
      <c r="Q257" s="39"/>
      <c r="S257" s="1">
        <f t="shared" si="127"/>
        <v>0</v>
      </c>
      <c r="T257" s="1">
        <f t="shared" si="128"/>
        <v>0</v>
      </c>
      <c r="U257" s="1">
        <f t="shared" si="129"/>
        <v>0</v>
      </c>
      <c r="V257" s="1">
        <f t="shared" si="130"/>
        <v>0</v>
      </c>
      <c r="W257" s="1">
        <f t="shared" si="131"/>
        <v>0</v>
      </c>
      <c r="X257" s="1">
        <f t="shared" si="132"/>
        <v>0</v>
      </c>
      <c r="Y257" s="1">
        <f t="shared" si="133"/>
        <v>0</v>
      </c>
      <c r="Z257" s="1">
        <f t="shared" si="134"/>
        <v>0</v>
      </c>
      <c r="AA257" s="1">
        <f t="shared" si="135"/>
        <v>0</v>
      </c>
      <c r="AB257" s="1">
        <f t="shared" si="136"/>
        <v>0</v>
      </c>
      <c r="AD257" s="1">
        <f t="shared" si="137"/>
        <v>0</v>
      </c>
      <c r="AE257" s="1">
        <f t="shared" si="138"/>
        <v>0</v>
      </c>
      <c r="AF257" s="1">
        <f t="shared" si="123"/>
        <v>0</v>
      </c>
      <c r="AG257" s="1">
        <f t="shared" si="124"/>
        <v>0</v>
      </c>
      <c r="AH257" s="1">
        <f t="shared" si="125"/>
        <v>1</v>
      </c>
      <c r="AI257" s="1">
        <f t="shared" si="126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1601</v>
      </c>
      <c r="E258" s="32" t="s">
        <v>29</v>
      </c>
      <c r="F258" s="32" t="s">
        <v>1655</v>
      </c>
      <c r="G258" s="32" t="s">
        <v>310</v>
      </c>
      <c r="H258" s="32" t="s">
        <v>352</v>
      </c>
      <c r="I258" s="31" t="s">
        <v>1602</v>
      </c>
      <c r="J258" s="31"/>
      <c r="K258" s="33" t="s">
        <v>709</v>
      </c>
      <c r="L258" s="33">
        <v>45</v>
      </c>
      <c r="M258" s="34" t="s">
        <v>1770</v>
      </c>
      <c r="N258" s="34" t="s">
        <v>1706</v>
      </c>
      <c r="O258" s="35">
        <v>1</v>
      </c>
      <c r="P258" s="35">
        <v>1</v>
      </c>
      <c r="Q258" s="32"/>
      <c r="S258" s="1">
        <f t="shared" si="127"/>
        <v>0</v>
      </c>
      <c r="T258" s="1">
        <f t="shared" si="128"/>
        <v>0</v>
      </c>
      <c r="U258" s="1">
        <f t="shared" si="129"/>
        <v>0</v>
      </c>
      <c r="V258" s="1">
        <f t="shared" si="130"/>
        <v>0</v>
      </c>
      <c r="W258" s="1">
        <f t="shared" si="131"/>
        <v>0</v>
      </c>
      <c r="X258" s="1">
        <f t="shared" si="132"/>
        <v>0</v>
      </c>
      <c r="Y258" s="1">
        <f t="shared" si="133"/>
        <v>0</v>
      </c>
      <c r="Z258" s="1">
        <f t="shared" si="134"/>
        <v>0</v>
      </c>
      <c r="AA258" s="1">
        <f t="shared" si="135"/>
        <v>0</v>
      </c>
      <c r="AB258" s="1">
        <f t="shared" si="136"/>
        <v>0</v>
      </c>
      <c r="AD258" s="1">
        <f t="shared" si="137"/>
        <v>1</v>
      </c>
      <c r="AE258" s="1">
        <f t="shared" si="138"/>
        <v>0</v>
      </c>
      <c r="AF258" s="1">
        <f t="shared" si="123"/>
        <v>1</v>
      </c>
      <c r="AG258" s="1">
        <f t="shared" si="124"/>
        <v>0</v>
      </c>
      <c r="AH258" s="1">
        <f t="shared" si="125"/>
        <v>1</v>
      </c>
      <c r="AI258" s="1">
        <f t="shared" si="126"/>
        <v>0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850</v>
      </c>
      <c r="E259" s="32" t="s">
        <v>29</v>
      </c>
      <c r="F259" s="32" t="s">
        <v>851</v>
      </c>
      <c r="G259" s="32" t="s">
        <v>201</v>
      </c>
      <c r="H259" s="32" t="s">
        <v>352</v>
      </c>
      <c r="I259" s="31" t="s">
        <v>852</v>
      </c>
      <c r="J259" s="31">
        <v>10</v>
      </c>
      <c r="K259" s="33" t="s">
        <v>709</v>
      </c>
      <c r="L259" s="33" t="s">
        <v>689</v>
      </c>
      <c r="M259" s="34" t="s">
        <v>1382</v>
      </c>
      <c r="N259" s="34" t="s">
        <v>1725</v>
      </c>
      <c r="O259" s="35">
        <v>1</v>
      </c>
      <c r="P259" s="35"/>
      <c r="Q259" s="32"/>
      <c r="S259" s="1">
        <f t="shared" si="127"/>
        <v>0</v>
      </c>
      <c r="T259" s="1">
        <f t="shared" si="128"/>
        <v>0</v>
      </c>
      <c r="U259" s="1">
        <f t="shared" si="129"/>
        <v>0</v>
      </c>
      <c r="V259" s="1">
        <f t="shared" si="130"/>
        <v>0</v>
      </c>
      <c r="W259" s="1">
        <f t="shared" si="131"/>
        <v>0</v>
      </c>
      <c r="X259" s="1">
        <f t="shared" si="132"/>
        <v>0</v>
      </c>
      <c r="Y259" s="1">
        <f t="shared" si="133"/>
        <v>0</v>
      </c>
      <c r="Z259" s="1">
        <f t="shared" si="134"/>
        <v>0</v>
      </c>
      <c r="AA259" s="1">
        <f t="shared" si="135"/>
        <v>0</v>
      </c>
      <c r="AB259" s="1">
        <f t="shared" si="136"/>
        <v>1</v>
      </c>
      <c r="AD259" s="1">
        <f t="shared" si="137"/>
        <v>0</v>
      </c>
      <c r="AE259" s="1">
        <f t="shared" si="138"/>
        <v>1</v>
      </c>
      <c r="AF259" s="1">
        <f t="shared" si="123"/>
        <v>0</v>
      </c>
      <c r="AG259" s="1">
        <f t="shared" si="124"/>
        <v>1</v>
      </c>
      <c r="AH259" s="1">
        <f t="shared" si="125"/>
        <v>0</v>
      </c>
      <c r="AI259" s="1">
        <f t="shared" si="126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40</v>
      </c>
      <c r="E260" s="32" t="s">
        <v>29</v>
      </c>
      <c r="F260" s="32" t="s">
        <v>279</v>
      </c>
      <c r="G260" s="32" t="s">
        <v>229</v>
      </c>
      <c r="H260" s="32" t="s">
        <v>352</v>
      </c>
      <c r="I260" s="31" t="s">
        <v>433</v>
      </c>
      <c r="J260" s="31">
        <v>7</v>
      </c>
      <c r="K260" s="33" t="s">
        <v>709</v>
      </c>
      <c r="L260" s="33" t="s">
        <v>692</v>
      </c>
      <c r="M260" s="34" t="s">
        <v>960</v>
      </c>
      <c r="N260" s="34" t="s">
        <v>1700</v>
      </c>
      <c r="O260" s="35">
        <v>1</v>
      </c>
      <c r="P260" s="35">
        <v>1</v>
      </c>
      <c r="Q260" s="32"/>
      <c r="S260" s="1">
        <f t="shared" si="127"/>
        <v>0</v>
      </c>
      <c r="T260" s="1">
        <f t="shared" si="128"/>
        <v>0</v>
      </c>
      <c r="U260" s="1">
        <f t="shared" si="129"/>
        <v>0</v>
      </c>
      <c r="V260" s="1">
        <f t="shared" si="130"/>
        <v>0</v>
      </c>
      <c r="W260" s="1">
        <f t="shared" si="131"/>
        <v>0</v>
      </c>
      <c r="X260" s="1">
        <f t="shared" si="132"/>
        <v>0</v>
      </c>
      <c r="Y260" s="1">
        <f t="shared" si="133"/>
        <v>1</v>
      </c>
      <c r="Z260" s="1">
        <f t="shared" si="134"/>
        <v>0</v>
      </c>
      <c r="AA260" s="1">
        <f t="shared" si="135"/>
        <v>0</v>
      </c>
      <c r="AB260" s="1">
        <f t="shared" si="136"/>
        <v>0</v>
      </c>
      <c r="AD260" s="1">
        <f t="shared" si="137"/>
        <v>1</v>
      </c>
      <c r="AE260" s="1">
        <f t="shared" si="138"/>
        <v>0</v>
      </c>
      <c r="AF260" s="1">
        <f t="shared" si="123"/>
        <v>1</v>
      </c>
      <c r="AG260" s="1">
        <f t="shared" si="124"/>
        <v>0</v>
      </c>
      <c r="AH260" s="1">
        <f t="shared" si="125"/>
        <v>1</v>
      </c>
      <c r="AI260" s="1">
        <f t="shared" si="126"/>
        <v>0</v>
      </c>
    </row>
    <row r="261" spans="1:35" ht="14.25" customHeight="1" x14ac:dyDescent="0.25">
      <c r="A261" s="31">
        <v>1</v>
      </c>
      <c r="B261" s="31">
        <v>1</v>
      </c>
      <c r="C261" s="31">
        <v>7</v>
      </c>
      <c r="D261" s="32" t="s">
        <v>40</v>
      </c>
      <c r="E261" s="32" t="s">
        <v>29</v>
      </c>
      <c r="F261" s="32" t="s">
        <v>1575</v>
      </c>
      <c r="G261" s="32" t="s">
        <v>39</v>
      </c>
      <c r="H261" s="32" t="s">
        <v>352</v>
      </c>
      <c r="I261" s="31" t="s">
        <v>1576</v>
      </c>
      <c r="J261" s="31">
        <v>99</v>
      </c>
      <c r="K261" s="33" t="s">
        <v>709</v>
      </c>
      <c r="L261" s="33" t="s">
        <v>692</v>
      </c>
      <c r="M261" s="34" t="s">
        <v>960</v>
      </c>
      <c r="N261" s="34" t="s">
        <v>1700</v>
      </c>
      <c r="O261" s="35">
        <v>1</v>
      </c>
      <c r="P261" s="35">
        <v>1</v>
      </c>
      <c r="Q261" s="32"/>
      <c r="S261" s="1">
        <f t="shared" si="127"/>
        <v>0</v>
      </c>
      <c r="T261" s="1">
        <f t="shared" si="128"/>
        <v>0</v>
      </c>
      <c r="U261" s="1">
        <f t="shared" si="129"/>
        <v>0</v>
      </c>
      <c r="V261" s="1">
        <f t="shared" si="130"/>
        <v>0</v>
      </c>
      <c r="W261" s="1">
        <f t="shared" si="131"/>
        <v>0</v>
      </c>
      <c r="X261" s="1">
        <f t="shared" si="132"/>
        <v>0</v>
      </c>
      <c r="Y261" s="1">
        <f t="shared" si="133"/>
        <v>0</v>
      </c>
      <c r="Z261" s="1">
        <f t="shared" si="134"/>
        <v>0</v>
      </c>
      <c r="AA261" s="1">
        <f t="shared" si="135"/>
        <v>0</v>
      </c>
      <c r="AB261" s="1">
        <f t="shared" si="136"/>
        <v>0</v>
      </c>
      <c r="AD261" s="1">
        <f t="shared" si="137"/>
        <v>1</v>
      </c>
      <c r="AE261" s="1">
        <f t="shared" si="138"/>
        <v>0</v>
      </c>
      <c r="AF261" s="1">
        <f t="shared" si="123"/>
        <v>0</v>
      </c>
      <c r="AG261" s="1">
        <f t="shared" si="124"/>
        <v>0</v>
      </c>
      <c r="AH261" s="1">
        <f t="shared" si="125"/>
        <v>0</v>
      </c>
      <c r="AI261" s="1">
        <f t="shared" si="126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1459</v>
      </c>
      <c r="E262" s="32" t="s">
        <v>29</v>
      </c>
      <c r="F262" s="32" t="s">
        <v>991</v>
      </c>
      <c r="G262" s="32" t="s">
        <v>1089</v>
      </c>
      <c r="H262" s="32" t="s">
        <v>352</v>
      </c>
      <c r="I262" s="31" t="s">
        <v>1097</v>
      </c>
      <c r="J262" s="31">
        <v>10</v>
      </c>
      <c r="K262" s="33" t="s">
        <v>709</v>
      </c>
      <c r="L262" s="33" t="s">
        <v>690</v>
      </c>
      <c r="M262" s="34" t="s">
        <v>960</v>
      </c>
      <c r="N262" s="34" t="s">
        <v>1714</v>
      </c>
      <c r="O262" s="35">
        <v>1</v>
      </c>
      <c r="P262" s="35"/>
      <c r="Q262" s="32"/>
      <c r="S262" s="1">
        <f t="shared" si="127"/>
        <v>0</v>
      </c>
      <c r="T262" s="1">
        <f t="shared" si="128"/>
        <v>0</v>
      </c>
      <c r="U262" s="1">
        <f t="shared" si="129"/>
        <v>0</v>
      </c>
      <c r="V262" s="1">
        <f t="shared" si="130"/>
        <v>0</v>
      </c>
      <c r="W262" s="1">
        <f t="shared" si="131"/>
        <v>0</v>
      </c>
      <c r="X262" s="1">
        <f t="shared" si="132"/>
        <v>0</v>
      </c>
      <c r="Y262" s="1">
        <f t="shared" si="133"/>
        <v>0</v>
      </c>
      <c r="Z262" s="1">
        <f t="shared" si="134"/>
        <v>0</v>
      </c>
      <c r="AA262" s="1">
        <f t="shared" si="135"/>
        <v>0</v>
      </c>
      <c r="AB262" s="1">
        <f t="shared" si="136"/>
        <v>1</v>
      </c>
      <c r="AD262" s="1">
        <f t="shared" si="137"/>
        <v>0</v>
      </c>
      <c r="AE262" s="1">
        <f t="shared" si="138"/>
        <v>1</v>
      </c>
      <c r="AF262" s="1">
        <f t="shared" si="123"/>
        <v>0</v>
      </c>
      <c r="AG262" s="1">
        <f t="shared" si="124"/>
        <v>1</v>
      </c>
      <c r="AH262" s="1">
        <f t="shared" si="125"/>
        <v>0</v>
      </c>
      <c r="AI262" s="1">
        <f t="shared" si="12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1460</v>
      </c>
      <c r="E263" s="32" t="s">
        <v>29</v>
      </c>
      <c r="F263" s="36" t="s">
        <v>989</v>
      </c>
      <c r="G263" s="36" t="s">
        <v>239</v>
      </c>
      <c r="H263" s="36" t="s">
        <v>352</v>
      </c>
      <c r="I263" s="37" t="s">
        <v>990</v>
      </c>
      <c r="J263" s="31">
        <v>1</v>
      </c>
      <c r="K263" s="33" t="s">
        <v>948</v>
      </c>
      <c r="L263" s="33" t="s">
        <v>690</v>
      </c>
      <c r="M263" s="34" t="s">
        <v>960</v>
      </c>
      <c r="N263" s="34" t="s">
        <v>1771</v>
      </c>
      <c r="O263" s="35">
        <v>1</v>
      </c>
      <c r="P263" s="35"/>
      <c r="Q263" s="36"/>
      <c r="S263" s="1">
        <f t="shared" si="127"/>
        <v>1</v>
      </c>
      <c r="T263" s="1">
        <f t="shared" si="128"/>
        <v>0</v>
      </c>
      <c r="U263" s="1">
        <f t="shared" si="129"/>
        <v>0</v>
      </c>
      <c r="V263" s="1">
        <f t="shared" si="130"/>
        <v>0</v>
      </c>
      <c r="W263" s="1">
        <f t="shared" si="131"/>
        <v>0</v>
      </c>
      <c r="X263" s="1">
        <f t="shared" si="132"/>
        <v>0</v>
      </c>
      <c r="Y263" s="1">
        <f t="shared" si="133"/>
        <v>0</v>
      </c>
      <c r="Z263" s="1">
        <f t="shared" si="134"/>
        <v>0</v>
      </c>
      <c r="AA263" s="1">
        <f t="shared" si="135"/>
        <v>0</v>
      </c>
      <c r="AB263" s="1">
        <f t="shared" si="136"/>
        <v>0</v>
      </c>
      <c r="AD263" s="1">
        <f t="shared" si="137"/>
        <v>0</v>
      </c>
      <c r="AE263" s="1">
        <f t="shared" si="138"/>
        <v>1</v>
      </c>
      <c r="AF263" s="1">
        <f t="shared" si="123"/>
        <v>0</v>
      </c>
      <c r="AG263" s="1">
        <f t="shared" si="124"/>
        <v>1</v>
      </c>
      <c r="AH263" s="1">
        <f t="shared" si="125"/>
        <v>0</v>
      </c>
      <c r="AI263" s="1">
        <f t="shared" si="126"/>
        <v>1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20" t="s">
        <v>887</v>
      </c>
      <c r="E264" s="20" t="s">
        <v>29</v>
      </c>
      <c r="F264" s="20" t="s">
        <v>888</v>
      </c>
      <c r="G264" s="16" t="s">
        <v>39</v>
      </c>
      <c r="H264" s="20" t="s">
        <v>353</v>
      </c>
      <c r="I264" s="21" t="s">
        <v>889</v>
      </c>
      <c r="J264" s="15">
        <v>11</v>
      </c>
      <c r="K264" s="10" t="s">
        <v>699</v>
      </c>
      <c r="L264" s="10">
        <v>35</v>
      </c>
      <c r="M264" s="19" t="s">
        <v>1382</v>
      </c>
      <c r="N264" s="17"/>
      <c r="Q264" s="16" t="s">
        <v>1873</v>
      </c>
      <c r="S264" s="1">
        <f t="shared" si="127"/>
        <v>0</v>
      </c>
      <c r="T264" s="1">
        <f t="shared" si="128"/>
        <v>0</v>
      </c>
      <c r="U264" s="1">
        <f t="shared" si="129"/>
        <v>0</v>
      </c>
      <c r="V264" s="1">
        <f t="shared" si="130"/>
        <v>0</v>
      </c>
      <c r="W264" s="1">
        <f t="shared" si="131"/>
        <v>0</v>
      </c>
      <c r="X264" s="1">
        <f t="shared" si="132"/>
        <v>0</v>
      </c>
      <c r="Y264" s="1">
        <f t="shared" si="133"/>
        <v>0</v>
      </c>
      <c r="Z264" s="1">
        <f t="shared" si="134"/>
        <v>0</v>
      </c>
      <c r="AA264" s="1">
        <f t="shared" si="135"/>
        <v>0</v>
      </c>
      <c r="AB264" s="1">
        <f t="shared" si="136"/>
        <v>0</v>
      </c>
      <c r="AD264" s="1">
        <f t="shared" si="137"/>
        <v>0</v>
      </c>
      <c r="AE264" s="1">
        <f t="shared" si="138"/>
        <v>0</v>
      </c>
      <c r="AF264" s="1">
        <f t="shared" si="123"/>
        <v>0</v>
      </c>
      <c r="AG264" s="1">
        <f t="shared" si="124"/>
        <v>0</v>
      </c>
      <c r="AH264" s="1">
        <f t="shared" si="125"/>
        <v>0</v>
      </c>
      <c r="AI264" s="1">
        <f t="shared" si="12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1071</v>
      </c>
      <c r="E265" s="32" t="s">
        <v>29</v>
      </c>
      <c r="F265" s="36" t="s">
        <v>973</v>
      </c>
      <c r="G265" s="36" t="s">
        <v>202</v>
      </c>
      <c r="H265" s="36" t="s">
        <v>352</v>
      </c>
      <c r="I265" s="37" t="s">
        <v>974</v>
      </c>
      <c r="J265" s="31">
        <v>99</v>
      </c>
      <c r="K265" s="33" t="s">
        <v>709</v>
      </c>
      <c r="L265" s="33" t="s">
        <v>690</v>
      </c>
      <c r="M265" s="34" t="s">
        <v>1417</v>
      </c>
      <c r="N265" s="34" t="s">
        <v>1700</v>
      </c>
      <c r="O265" s="35">
        <v>1</v>
      </c>
      <c r="P265" s="35">
        <v>1</v>
      </c>
      <c r="Q265" s="36"/>
      <c r="S265" s="1">
        <f t="shared" si="127"/>
        <v>0</v>
      </c>
      <c r="T265" s="1">
        <f t="shared" si="128"/>
        <v>0</v>
      </c>
      <c r="U265" s="1">
        <f t="shared" si="129"/>
        <v>0</v>
      </c>
      <c r="V265" s="1">
        <f t="shared" si="130"/>
        <v>0</v>
      </c>
      <c r="W265" s="1">
        <f t="shared" si="131"/>
        <v>0</v>
      </c>
      <c r="X265" s="1">
        <f t="shared" si="132"/>
        <v>0</v>
      </c>
      <c r="Y265" s="1">
        <f t="shared" si="133"/>
        <v>0</v>
      </c>
      <c r="Z265" s="1">
        <f t="shared" si="134"/>
        <v>0</v>
      </c>
      <c r="AA265" s="1">
        <f t="shared" si="135"/>
        <v>0</v>
      </c>
      <c r="AB265" s="1">
        <f t="shared" si="136"/>
        <v>0</v>
      </c>
      <c r="AD265" s="1">
        <f t="shared" si="137"/>
        <v>1</v>
      </c>
      <c r="AE265" s="1">
        <f t="shared" si="138"/>
        <v>0</v>
      </c>
      <c r="AF265" s="1">
        <f t="shared" si="123"/>
        <v>1</v>
      </c>
      <c r="AG265" s="1">
        <f t="shared" si="124"/>
        <v>0</v>
      </c>
      <c r="AH265" s="1">
        <f t="shared" si="125"/>
        <v>1</v>
      </c>
      <c r="AI265" s="1">
        <f t="shared" si="126"/>
        <v>0</v>
      </c>
    </row>
    <row r="266" spans="1:35" ht="14.25" customHeight="1" x14ac:dyDescent="0.25">
      <c r="A266" s="15">
        <v>0</v>
      </c>
      <c r="B266" s="15">
        <v>1</v>
      </c>
      <c r="C266" s="15">
        <v>7</v>
      </c>
      <c r="D266" s="16" t="s">
        <v>747</v>
      </c>
      <c r="E266" s="16" t="s">
        <v>29</v>
      </c>
      <c r="F266" s="16" t="s">
        <v>748</v>
      </c>
      <c r="G266" s="16" t="s">
        <v>749</v>
      </c>
      <c r="H266" s="16" t="s">
        <v>352</v>
      </c>
      <c r="I266" s="15" t="s">
        <v>750</v>
      </c>
      <c r="J266" s="15">
        <v>99</v>
      </c>
      <c r="K266" s="10" t="s">
        <v>699</v>
      </c>
      <c r="L266" s="10">
        <v>20</v>
      </c>
      <c r="M266" s="19" t="s">
        <v>1107</v>
      </c>
      <c r="N266" s="17"/>
      <c r="Q266" s="16"/>
      <c r="S266" s="1">
        <f t="shared" si="127"/>
        <v>0</v>
      </c>
      <c r="T266" s="1">
        <f t="shared" si="128"/>
        <v>0</v>
      </c>
      <c r="U266" s="1">
        <f t="shared" si="129"/>
        <v>0</v>
      </c>
      <c r="V266" s="1">
        <f t="shared" si="130"/>
        <v>0</v>
      </c>
      <c r="W266" s="1">
        <f t="shared" si="131"/>
        <v>0</v>
      </c>
      <c r="X266" s="1">
        <f t="shared" si="132"/>
        <v>0</v>
      </c>
      <c r="Y266" s="1">
        <f t="shared" si="133"/>
        <v>0</v>
      </c>
      <c r="Z266" s="1">
        <f t="shared" si="134"/>
        <v>0</v>
      </c>
      <c r="AA266" s="1">
        <f t="shared" si="135"/>
        <v>0</v>
      </c>
      <c r="AB266" s="1">
        <f t="shared" si="136"/>
        <v>0</v>
      </c>
      <c r="AD266" s="1">
        <f t="shared" si="137"/>
        <v>0</v>
      </c>
      <c r="AE266" s="1">
        <f t="shared" si="138"/>
        <v>0</v>
      </c>
      <c r="AF266" s="1">
        <f t="shared" si="123"/>
        <v>0</v>
      </c>
      <c r="AG266" s="1">
        <f t="shared" si="124"/>
        <v>0</v>
      </c>
      <c r="AH266" s="1">
        <f t="shared" si="125"/>
        <v>0</v>
      </c>
      <c r="AI266" s="1">
        <f t="shared" si="126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819</v>
      </c>
      <c r="E267" s="32" t="s">
        <v>29</v>
      </c>
      <c r="F267" s="36" t="s">
        <v>820</v>
      </c>
      <c r="G267" s="36" t="s">
        <v>917</v>
      </c>
      <c r="H267" s="36" t="s">
        <v>352</v>
      </c>
      <c r="I267" s="37" t="s">
        <v>821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1795</v>
      </c>
      <c r="O267" s="35">
        <v>1</v>
      </c>
      <c r="P267" s="35"/>
      <c r="Q267" s="36"/>
      <c r="S267" s="1">
        <f t="shared" si="127"/>
        <v>0</v>
      </c>
      <c r="T267" s="1">
        <f t="shared" si="128"/>
        <v>0</v>
      </c>
      <c r="U267" s="1">
        <f t="shared" si="129"/>
        <v>0</v>
      </c>
      <c r="V267" s="1">
        <f t="shared" si="130"/>
        <v>0</v>
      </c>
      <c r="W267" s="1">
        <f t="shared" si="131"/>
        <v>0</v>
      </c>
      <c r="X267" s="1">
        <f t="shared" si="132"/>
        <v>0</v>
      </c>
      <c r="Y267" s="1">
        <f t="shared" si="133"/>
        <v>0</v>
      </c>
      <c r="Z267" s="1">
        <f t="shared" si="134"/>
        <v>0</v>
      </c>
      <c r="AA267" s="1">
        <f t="shared" si="135"/>
        <v>0</v>
      </c>
      <c r="AB267" s="1">
        <f t="shared" si="136"/>
        <v>0</v>
      </c>
      <c r="AD267" s="1">
        <f t="shared" si="137"/>
        <v>0</v>
      </c>
      <c r="AE267" s="1">
        <f t="shared" si="138"/>
        <v>1</v>
      </c>
      <c r="AF267" s="1">
        <f t="shared" si="123"/>
        <v>0</v>
      </c>
      <c r="AG267" s="1">
        <f t="shared" si="124"/>
        <v>1</v>
      </c>
      <c r="AH267" s="1">
        <f t="shared" si="125"/>
        <v>0</v>
      </c>
      <c r="AI267" s="1">
        <f t="shared" si="12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1693</v>
      </c>
      <c r="E268" s="32" t="s">
        <v>29</v>
      </c>
      <c r="F268" s="36" t="s">
        <v>1694</v>
      </c>
      <c r="G268" s="36" t="s">
        <v>248</v>
      </c>
      <c r="H268" s="36" t="s">
        <v>352</v>
      </c>
      <c r="I268" s="37" t="s">
        <v>1695</v>
      </c>
      <c r="J268" s="31"/>
      <c r="K268" s="33" t="s">
        <v>699</v>
      </c>
      <c r="L268" s="33"/>
      <c r="M268" s="34"/>
      <c r="N268" s="34" t="s">
        <v>1700</v>
      </c>
      <c r="O268" s="35">
        <v>1</v>
      </c>
      <c r="P268" s="35">
        <v>1</v>
      </c>
      <c r="Q268" s="36"/>
      <c r="S268" s="1">
        <f t="shared" si="127"/>
        <v>0</v>
      </c>
      <c r="T268" s="1">
        <f t="shared" si="128"/>
        <v>0</v>
      </c>
      <c r="U268" s="1">
        <f t="shared" si="129"/>
        <v>0</v>
      </c>
      <c r="V268" s="1">
        <f t="shared" si="130"/>
        <v>0</v>
      </c>
      <c r="W268" s="1">
        <f t="shared" si="131"/>
        <v>0</v>
      </c>
      <c r="X268" s="1">
        <f t="shared" si="132"/>
        <v>0</v>
      </c>
      <c r="Y268" s="1">
        <f t="shared" si="133"/>
        <v>0</v>
      </c>
      <c r="Z268" s="1">
        <f t="shared" si="134"/>
        <v>0</v>
      </c>
      <c r="AA268" s="1">
        <f t="shared" si="135"/>
        <v>0</v>
      </c>
      <c r="AB268" s="1">
        <f t="shared" si="136"/>
        <v>0</v>
      </c>
      <c r="AD268" s="1">
        <f t="shared" si="137"/>
        <v>1</v>
      </c>
      <c r="AE268" s="1">
        <f t="shared" si="138"/>
        <v>0</v>
      </c>
      <c r="AF268" s="1">
        <f t="shared" si="123"/>
        <v>1</v>
      </c>
      <c r="AG268" s="1">
        <f t="shared" si="124"/>
        <v>0</v>
      </c>
      <c r="AH268" s="1">
        <f t="shared" si="125"/>
        <v>1</v>
      </c>
      <c r="AI268" s="1">
        <f t="shared" si="126"/>
        <v>0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2" t="s">
        <v>890</v>
      </c>
      <c r="E269" s="32" t="s">
        <v>29</v>
      </c>
      <c r="F269" s="32" t="s">
        <v>891</v>
      </c>
      <c r="G269" s="32" t="s">
        <v>227</v>
      </c>
      <c r="H269" s="32" t="s">
        <v>352</v>
      </c>
      <c r="I269" s="31" t="s">
        <v>892</v>
      </c>
      <c r="J269" s="31">
        <v>99</v>
      </c>
      <c r="K269" s="33" t="s">
        <v>709</v>
      </c>
      <c r="L269" s="33" t="s">
        <v>690</v>
      </c>
      <c r="M269" s="34" t="s">
        <v>1383</v>
      </c>
      <c r="N269" s="34" t="s">
        <v>1718</v>
      </c>
      <c r="O269" s="35">
        <v>1</v>
      </c>
      <c r="P269" s="35"/>
      <c r="Q269" s="32"/>
      <c r="S269" s="1">
        <f t="shared" si="127"/>
        <v>0</v>
      </c>
      <c r="T269" s="1">
        <f t="shared" si="128"/>
        <v>0</v>
      </c>
      <c r="U269" s="1">
        <f t="shared" si="129"/>
        <v>0</v>
      </c>
      <c r="V269" s="1">
        <f t="shared" si="130"/>
        <v>0</v>
      </c>
      <c r="W269" s="1">
        <f t="shared" si="131"/>
        <v>0</v>
      </c>
      <c r="X269" s="1">
        <f t="shared" si="132"/>
        <v>0</v>
      </c>
      <c r="Y269" s="1">
        <f t="shared" si="133"/>
        <v>0</v>
      </c>
      <c r="Z269" s="1">
        <f t="shared" si="134"/>
        <v>0</v>
      </c>
      <c r="AA269" s="1">
        <f t="shared" si="135"/>
        <v>0</v>
      </c>
      <c r="AB269" s="1">
        <f t="shared" si="136"/>
        <v>0</v>
      </c>
      <c r="AD269" s="1">
        <f t="shared" si="137"/>
        <v>0</v>
      </c>
      <c r="AE269" s="1">
        <f t="shared" si="138"/>
        <v>1</v>
      </c>
      <c r="AF269" s="1">
        <f t="shared" si="123"/>
        <v>0</v>
      </c>
      <c r="AG269" s="1">
        <f t="shared" si="124"/>
        <v>1</v>
      </c>
      <c r="AH269" s="1">
        <f t="shared" si="125"/>
        <v>0</v>
      </c>
      <c r="AI269" s="1">
        <f t="shared" si="12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2" t="s">
        <v>88</v>
      </c>
      <c r="E270" s="32" t="s">
        <v>29</v>
      </c>
      <c r="F270" s="32" t="s">
        <v>280</v>
      </c>
      <c r="G270" s="32" t="s">
        <v>281</v>
      </c>
      <c r="H270" s="32" t="s">
        <v>352</v>
      </c>
      <c r="I270" s="31" t="s">
        <v>931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1819</v>
      </c>
      <c r="O270" s="35">
        <v>1</v>
      </c>
      <c r="P270" s="35"/>
      <c r="Q270" s="32"/>
      <c r="S270" s="1">
        <f t="shared" si="127"/>
        <v>0</v>
      </c>
      <c r="T270" s="1">
        <f t="shared" si="128"/>
        <v>0</v>
      </c>
      <c r="U270" s="1">
        <f t="shared" si="129"/>
        <v>0</v>
      </c>
      <c r="V270" s="1">
        <f t="shared" si="130"/>
        <v>0</v>
      </c>
      <c r="W270" s="1">
        <f t="shared" si="131"/>
        <v>0</v>
      </c>
      <c r="X270" s="1">
        <f t="shared" si="132"/>
        <v>0</v>
      </c>
      <c r="Y270" s="1">
        <f t="shared" si="133"/>
        <v>0</v>
      </c>
      <c r="Z270" s="1">
        <f t="shared" si="134"/>
        <v>0</v>
      </c>
      <c r="AA270" s="1">
        <f t="shared" si="135"/>
        <v>0</v>
      </c>
      <c r="AB270" s="1">
        <f t="shared" si="136"/>
        <v>0</v>
      </c>
      <c r="AD270" s="1">
        <f t="shared" si="137"/>
        <v>0</v>
      </c>
      <c r="AE270" s="1">
        <f t="shared" si="138"/>
        <v>1</v>
      </c>
      <c r="AF270" s="1">
        <f t="shared" si="123"/>
        <v>0</v>
      </c>
      <c r="AG270" s="1">
        <f t="shared" si="124"/>
        <v>1</v>
      </c>
      <c r="AH270" s="1">
        <f t="shared" si="125"/>
        <v>0</v>
      </c>
      <c r="AI270" s="1">
        <f t="shared" si="12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1610</v>
      </c>
      <c r="E271" s="32" t="s">
        <v>29</v>
      </c>
      <c r="F271" s="36" t="s">
        <v>1509</v>
      </c>
      <c r="G271" s="36" t="s">
        <v>39</v>
      </c>
      <c r="H271" s="36" t="s">
        <v>875</v>
      </c>
      <c r="I271" s="37" t="s">
        <v>1510</v>
      </c>
      <c r="J271" s="31">
        <v>17</v>
      </c>
      <c r="K271" s="33" t="s">
        <v>709</v>
      </c>
      <c r="L271" s="33" t="s">
        <v>693</v>
      </c>
      <c r="M271" s="34" t="s">
        <v>1432</v>
      </c>
      <c r="N271" s="34" t="s">
        <v>1700</v>
      </c>
      <c r="O271" s="35">
        <v>1</v>
      </c>
      <c r="P271" s="35">
        <v>1</v>
      </c>
      <c r="Q271" s="36"/>
      <c r="S271" s="1">
        <f t="shared" si="127"/>
        <v>0</v>
      </c>
      <c r="T271" s="1">
        <f t="shared" si="128"/>
        <v>0</v>
      </c>
      <c r="U271" s="1">
        <f t="shared" si="129"/>
        <v>0</v>
      </c>
      <c r="V271" s="1">
        <f t="shared" si="130"/>
        <v>0</v>
      </c>
      <c r="W271" s="1">
        <f t="shared" si="131"/>
        <v>0</v>
      </c>
      <c r="X271" s="1">
        <f t="shared" si="132"/>
        <v>0</v>
      </c>
      <c r="Y271" s="1">
        <f t="shared" si="133"/>
        <v>0</v>
      </c>
      <c r="Z271" s="1">
        <f t="shared" si="134"/>
        <v>0</v>
      </c>
      <c r="AA271" s="1">
        <f t="shared" si="135"/>
        <v>0</v>
      </c>
      <c r="AB271" s="1">
        <f t="shared" si="136"/>
        <v>0</v>
      </c>
      <c r="AD271" s="1">
        <f t="shared" si="137"/>
        <v>1</v>
      </c>
      <c r="AE271" s="1">
        <f t="shared" si="138"/>
        <v>0</v>
      </c>
      <c r="AF271" s="1">
        <f t="shared" si="123"/>
        <v>1</v>
      </c>
      <c r="AG271" s="1">
        <f t="shared" si="124"/>
        <v>0</v>
      </c>
      <c r="AH271" s="1">
        <f t="shared" si="125"/>
        <v>1</v>
      </c>
      <c r="AI271" s="1">
        <f t="shared" si="12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1429</v>
      </c>
      <c r="E272" s="32" t="s">
        <v>29</v>
      </c>
      <c r="F272" s="32" t="s">
        <v>1430</v>
      </c>
      <c r="G272" s="32" t="s">
        <v>319</v>
      </c>
      <c r="H272" s="32" t="s">
        <v>352</v>
      </c>
      <c r="I272" s="31" t="s">
        <v>1431</v>
      </c>
      <c r="J272" s="31">
        <v>99</v>
      </c>
      <c r="K272" s="33" t="s">
        <v>699</v>
      </c>
      <c r="L272" s="33">
        <v>30</v>
      </c>
      <c r="M272" s="34" t="s">
        <v>1432</v>
      </c>
      <c r="N272" s="34" t="s">
        <v>1795</v>
      </c>
      <c r="O272" s="35">
        <v>1</v>
      </c>
      <c r="P272" s="35"/>
      <c r="Q272" s="32"/>
      <c r="S272" s="1">
        <f t="shared" si="127"/>
        <v>0</v>
      </c>
      <c r="T272" s="1">
        <f t="shared" si="128"/>
        <v>0</v>
      </c>
      <c r="U272" s="1">
        <f t="shared" si="129"/>
        <v>0</v>
      </c>
      <c r="V272" s="1">
        <f t="shared" si="130"/>
        <v>0</v>
      </c>
      <c r="W272" s="1">
        <f t="shared" si="131"/>
        <v>0</v>
      </c>
      <c r="X272" s="1">
        <f t="shared" si="132"/>
        <v>0</v>
      </c>
      <c r="Y272" s="1">
        <f t="shared" si="133"/>
        <v>0</v>
      </c>
      <c r="Z272" s="1">
        <f t="shared" si="134"/>
        <v>0</v>
      </c>
      <c r="AA272" s="1">
        <f t="shared" si="135"/>
        <v>0</v>
      </c>
      <c r="AB272" s="1">
        <f t="shared" si="136"/>
        <v>0</v>
      </c>
      <c r="AD272" s="1">
        <f t="shared" si="137"/>
        <v>0</v>
      </c>
      <c r="AE272" s="1">
        <f t="shared" si="138"/>
        <v>1</v>
      </c>
      <c r="AF272" s="1">
        <f t="shared" si="123"/>
        <v>0</v>
      </c>
      <c r="AG272" s="1">
        <f t="shared" si="124"/>
        <v>1</v>
      </c>
      <c r="AH272" s="1">
        <f t="shared" si="125"/>
        <v>0</v>
      </c>
      <c r="AI272" s="1">
        <f t="shared" si="12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837</v>
      </c>
      <c r="E273" s="32" t="s">
        <v>29</v>
      </c>
      <c r="F273" s="36" t="s">
        <v>838</v>
      </c>
      <c r="G273" s="36" t="s">
        <v>221</v>
      </c>
      <c r="H273" s="36" t="s">
        <v>352</v>
      </c>
      <c r="I273" s="37" t="s">
        <v>839</v>
      </c>
      <c r="J273" s="31">
        <v>99</v>
      </c>
      <c r="K273" s="33" t="s">
        <v>942</v>
      </c>
      <c r="L273" s="33" t="s">
        <v>690</v>
      </c>
      <c r="M273" s="34" t="s">
        <v>960</v>
      </c>
      <c r="N273" s="34" t="s">
        <v>1819</v>
      </c>
      <c r="O273" s="35">
        <v>1</v>
      </c>
      <c r="P273" s="35"/>
      <c r="Q273" s="36"/>
      <c r="S273" s="1">
        <f t="shared" si="127"/>
        <v>0</v>
      </c>
      <c r="T273" s="1">
        <f t="shared" si="128"/>
        <v>0</v>
      </c>
      <c r="U273" s="1">
        <f t="shared" si="129"/>
        <v>0</v>
      </c>
      <c r="V273" s="1">
        <f t="shared" si="130"/>
        <v>0</v>
      </c>
      <c r="W273" s="1">
        <f t="shared" si="131"/>
        <v>0</v>
      </c>
      <c r="X273" s="1">
        <f t="shared" si="132"/>
        <v>0</v>
      </c>
      <c r="Y273" s="1">
        <f t="shared" si="133"/>
        <v>0</v>
      </c>
      <c r="Z273" s="1">
        <f t="shared" si="134"/>
        <v>0</v>
      </c>
      <c r="AA273" s="1">
        <f t="shared" si="135"/>
        <v>0</v>
      </c>
      <c r="AB273" s="1">
        <f t="shared" si="136"/>
        <v>0</v>
      </c>
      <c r="AD273" s="1">
        <f t="shared" si="137"/>
        <v>0</v>
      </c>
      <c r="AE273" s="1">
        <f t="shared" si="138"/>
        <v>1</v>
      </c>
      <c r="AF273" s="1">
        <f t="shared" si="123"/>
        <v>0</v>
      </c>
      <c r="AG273" s="1">
        <f t="shared" si="124"/>
        <v>1</v>
      </c>
      <c r="AH273" s="1">
        <f t="shared" si="125"/>
        <v>0</v>
      </c>
      <c r="AI273" s="1">
        <f t="shared" si="126"/>
        <v>1</v>
      </c>
    </row>
    <row r="274" spans="1:35" ht="14.25" customHeight="1" x14ac:dyDescent="0.25">
      <c r="A274" s="31">
        <v>1</v>
      </c>
      <c r="B274" s="31">
        <v>1</v>
      </c>
      <c r="C274" s="31">
        <v>7</v>
      </c>
      <c r="D274" s="36" t="s">
        <v>837</v>
      </c>
      <c r="E274" s="32" t="s">
        <v>29</v>
      </c>
      <c r="F274" s="36" t="s">
        <v>919</v>
      </c>
      <c r="G274" s="36" t="s">
        <v>278</v>
      </c>
      <c r="H274" s="36" t="s">
        <v>352</v>
      </c>
      <c r="I274" s="37" t="s">
        <v>840</v>
      </c>
      <c r="J274" s="31">
        <v>99</v>
      </c>
      <c r="K274" s="33" t="s">
        <v>942</v>
      </c>
      <c r="L274" s="33" t="s">
        <v>690</v>
      </c>
      <c r="M274" s="34" t="s">
        <v>960</v>
      </c>
      <c r="N274" s="34" t="s">
        <v>1819</v>
      </c>
      <c r="O274" s="35">
        <v>1</v>
      </c>
      <c r="P274" s="35"/>
      <c r="Q274" s="36"/>
      <c r="S274" s="1">
        <f t="shared" si="127"/>
        <v>0</v>
      </c>
      <c r="T274" s="1">
        <f t="shared" si="128"/>
        <v>0</v>
      </c>
      <c r="U274" s="1">
        <f t="shared" si="129"/>
        <v>0</v>
      </c>
      <c r="V274" s="1">
        <f t="shared" si="130"/>
        <v>0</v>
      </c>
      <c r="W274" s="1">
        <f t="shared" si="131"/>
        <v>0</v>
      </c>
      <c r="X274" s="1">
        <f t="shared" si="132"/>
        <v>0</v>
      </c>
      <c r="Y274" s="1">
        <f t="shared" si="133"/>
        <v>0</v>
      </c>
      <c r="Z274" s="1">
        <f t="shared" si="134"/>
        <v>0</v>
      </c>
      <c r="AA274" s="1">
        <f t="shared" si="135"/>
        <v>0</v>
      </c>
      <c r="AB274" s="1">
        <f t="shared" si="136"/>
        <v>0</v>
      </c>
      <c r="AD274" s="1">
        <f t="shared" si="137"/>
        <v>0</v>
      </c>
      <c r="AE274" s="1">
        <f t="shared" si="138"/>
        <v>1</v>
      </c>
      <c r="AF274" s="1">
        <f t="shared" si="123"/>
        <v>0</v>
      </c>
      <c r="AG274" s="1">
        <f t="shared" si="124"/>
        <v>0</v>
      </c>
      <c r="AH274" s="1">
        <f t="shared" si="125"/>
        <v>0</v>
      </c>
      <c r="AI274" s="1">
        <f t="shared" si="12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1197</v>
      </c>
      <c r="E275" s="32" t="s">
        <v>29</v>
      </c>
      <c r="F275" s="32" t="s">
        <v>1198</v>
      </c>
      <c r="G275" s="32" t="s">
        <v>237</v>
      </c>
      <c r="H275" s="32" t="s">
        <v>352</v>
      </c>
      <c r="I275" s="31" t="s">
        <v>1339</v>
      </c>
      <c r="J275" s="31">
        <v>99</v>
      </c>
      <c r="K275" s="33" t="s">
        <v>709</v>
      </c>
      <c r="L275" s="33" t="s">
        <v>690</v>
      </c>
      <c r="M275" s="34" t="s">
        <v>1384</v>
      </c>
      <c r="N275" s="34" t="s">
        <v>1725</v>
      </c>
      <c r="O275" s="35">
        <v>1</v>
      </c>
      <c r="P275" s="35"/>
      <c r="Q275" s="32"/>
      <c r="S275" s="1">
        <f t="shared" si="127"/>
        <v>0</v>
      </c>
      <c r="T275" s="1">
        <f t="shared" si="128"/>
        <v>0</v>
      </c>
      <c r="U275" s="1">
        <f t="shared" si="129"/>
        <v>0</v>
      </c>
      <c r="V275" s="1">
        <f t="shared" si="130"/>
        <v>0</v>
      </c>
      <c r="W275" s="1">
        <f t="shared" si="131"/>
        <v>0</v>
      </c>
      <c r="X275" s="1">
        <f t="shared" si="132"/>
        <v>0</v>
      </c>
      <c r="Y275" s="1">
        <f t="shared" si="133"/>
        <v>0</v>
      </c>
      <c r="Z275" s="1">
        <f t="shared" si="134"/>
        <v>0</v>
      </c>
      <c r="AA275" s="1">
        <f t="shared" si="135"/>
        <v>0</v>
      </c>
      <c r="AB275" s="1">
        <f t="shared" si="136"/>
        <v>0</v>
      </c>
      <c r="AD275" s="1">
        <f t="shared" si="137"/>
        <v>0</v>
      </c>
      <c r="AE275" s="1">
        <f t="shared" si="138"/>
        <v>1</v>
      </c>
      <c r="AF275" s="1">
        <f t="shared" si="123"/>
        <v>0</v>
      </c>
      <c r="AG275" s="1">
        <f t="shared" si="124"/>
        <v>1</v>
      </c>
      <c r="AH275" s="1">
        <f t="shared" si="125"/>
        <v>0</v>
      </c>
      <c r="AI275" s="1">
        <f t="shared" si="12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1214</v>
      </c>
      <c r="E276" s="32" t="s">
        <v>29</v>
      </c>
      <c r="F276" s="36" t="s">
        <v>1215</v>
      </c>
      <c r="G276" s="36" t="s">
        <v>237</v>
      </c>
      <c r="H276" s="36" t="s">
        <v>352</v>
      </c>
      <c r="I276" s="37" t="s">
        <v>1216</v>
      </c>
      <c r="J276" s="31">
        <v>99</v>
      </c>
      <c r="K276" s="33" t="s">
        <v>709</v>
      </c>
      <c r="L276" s="33" t="s">
        <v>689</v>
      </c>
      <c r="M276" s="34" t="s">
        <v>1384</v>
      </c>
      <c r="N276" s="34" t="s">
        <v>1795</v>
      </c>
      <c r="O276" s="35">
        <v>1</v>
      </c>
      <c r="P276" s="35"/>
      <c r="Q276" s="36"/>
      <c r="S276" s="1">
        <f t="shared" si="127"/>
        <v>0</v>
      </c>
      <c r="T276" s="1">
        <f t="shared" si="128"/>
        <v>0</v>
      </c>
      <c r="U276" s="1">
        <f t="shared" si="129"/>
        <v>0</v>
      </c>
      <c r="V276" s="1">
        <f t="shared" si="130"/>
        <v>0</v>
      </c>
      <c r="W276" s="1">
        <f t="shared" si="131"/>
        <v>0</v>
      </c>
      <c r="X276" s="1">
        <f t="shared" si="132"/>
        <v>0</v>
      </c>
      <c r="Y276" s="1">
        <f t="shared" si="133"/>
        <v>0</v>
      </c>
      <c r="Z276" s="1">
        <f t="shared" si="134"/>
        <v>0</v>
      </c>
      <c r="AA276" s="1">
        <f t="shared" si="135"/>
        <v>0</v>
      </c>
      <c r="AB276" s="1">
        <f t="shared" si="136"/>
        <v>0</v>
      </c>
      <c r="AD276" s="1">
        <f t="shared" si="137"/>
        <v>0</v>
      </c>
      <c r="AE276" s="1">
        <f t="shared" si="138"/>
        <v>1</v>
      </c>
      <c r="AF276" s="1">
        <f t="shared" ref="AF276:AF340" si="139">+O276*P276*(1-A276)</f>
        <v>0</v>
      </c>
      <c r="AG276" s="1">
        <f t="shared" ref="AG276:AG340" si="140">O276*(1-P276)*(1-A276)</f>
        <v>1</v>
      </c>
      <c r="AH276" s="1">
        <f t="shared" ref="AH276:AH340" si="141">+P276*(1-A276)</f>
        <v>0</v>
      </c>
      <c r="AI276" s="1">
        <f t="shared" ref="AI276:AI340" si="142">+(1-A276)*(1-P276)</f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92</v>
      </c>
      <c r="E277" s="32" t="s">
        <v>29</v>
      </c>
      <c r="F277" s="36" t="s">
        <v>286</v>
      </c>
      <c r="G277" s="36" t="s">
        <v>189</v>
      </c>
      <c r="H277" s="36" t="s">
        <v>352</v>
      </c>
      <c r="I277" s="37" t="s">
        <v>438</v>
      </c>
      <c r="J277" s="31">
        <v>99</v>
      </c>
      <c r="K277" s="33" t="s">
        <v>709</v>
      </c>
      <c r="L277" s="33" t="s">
        <v>690</v>
      </c>
      <c r="M277" s="34" t="s">
        <v>1385</v>
      </c>
      <c r="N277" s="34" t="s">
        <v>1720</v>
      </c>
      <c r="O277" s="35">
        <v>1</v>
      </c>
      <c r="P277" s="35"/>
      <c r="Q277" s="36"/>
      <c r="S277" s="1">
        <f t="shared" si="127"/>
        <v>0</v>
      </c>
      <c r="T277" s="1">
        <f t="shared" si="128"/>
        <v>0</v>
      </c>
      <c r="U277" s="1">
        <f t="shared" si="129"/>
        <v>0</v>
      </c>
      <c r="V277" s="1">
        <f t="shared" si="130"/>
        <v>0</v>
      </c>
      <c r="W277" s="1">
        <f t="shared" si="131"/>
        <v>0</v>
      </c>
      <c r="X277" s="1">
        <f t="shared" si="132"/>
        <v>0</v>
      </c>
      <c r="Y277" s="1">
        <f t="shared" si="133"/>
        <v>0</v>
      </c>
      <c r="Z277" s="1">
        <f t="shared" si="134"/>
        <v>0</v>
      </c>
      <c r="AA277" s="1">
        <f t="shared" si="135"/>
        <v>0</v>
      </c>
      <c r="AB277" s="1">
        <f t="shared" si="136"/>
        <v>0</v>
      </c>
      <c r="AD277" s="1">
        <f t="shared" si="137"/>
        <v>0</v>
      </c>
      <c r="AE277" s="1">
        <f t="shared" si="138"/>
        <v>1</v>
      </c>
      <c r="AF277" s="1">
        <f t="shared" si="139"/>
        <v>0</v>
      </c>
      <c r="AG277" s="1">
        <f t="shared" si="140"/>
        <v>1</v>
      </c>
      <c r="AH277" s="1">
        <f t="shared" si="141"/>
        <v>0</v>
      </c>
      <c r="AI277" s="1">
        <f t="shared" si="142"/>
        <v>1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862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1714</v>
      </c>
      <c r="O278" s="35">
        <v>1</v>
      </c>
      <c r="P278" s="35"/>
      <c r="Q278" s="32"/>
      <c r="S278" s="1">
        <f t="shared" si="127"/>
        <v>0</v>
      </c>
      <c r="T278" s="1">
        <f t="shared" si="128"/>
        <v>0</v>
      </c>
      <c r="U278" s="1">
        <f t="shared" si="129"/>
        <v>0</v>
      </c>
      <c r="V278" s="1">
        <f t="shared" si="130"/>
        <v>0</v>
      </c>
      <c r="W278" s="1">
        <f t="shared" si="131"/>
        <v>0</v>
      </c>
      <c r="X278" s="1">
        <f t="shared" si="132"/>
        <v>0</v>
      </c>
      <c r="Y278" s="1">
        <f t="shared" si="133"/>
        <v>0</v>
      </c>
      <c r="Z278" s="1">
        <f t="shared" si="134"/>
        <v>0</v>
      </c>
      <c r="AA278" s="1">
        <f t="shared" si="135"/>
        <v>1</v>
      </c>
      <c r="AB278" s="1">
        <f t="shared" si="136"/>
        <v>0</v>
      </c>
      <c r="AD278" s="1">
        <f t="shared" si="137"/>
        <v>0</v>
      </c>
      <c r="AE278" s="1">
        <f t="shared" si="138"/>
        <v>1</v>
      </c>
      <c r="AF278" s="1">
        <f t="shared" si="139"/>
        <v>0</v>
      </c>
      <c r="AG278" s="1">
        <f t="shared" si="140"/>
        <v>1</v>
      </c>
      <c r="AH278" s="1">
        <f t="shared" si="141"/>
        <v>0</v>
      </c>
      <c r="AI278" s="1">
        <f t="shared" si="142"/>
        <v>1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1055</v>
      </c>
      <c r="G279" s="32" t="s">
        <v>319</v>
      </c>
      <c r="H279" s="32" t="s">
        <v>352</v>
      </c>
      <c r="I279" s="31" t="s">
        <v>1056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1714</v>
      </c>
      <c r="O279" s="35">
        <v>1</v>
      </c>
      <c r="P279" s="35"/>
      <c r="Q279" s="32"/>
      <c r="S279" s="1">
        <f t="shared" si="127"/>
        <v>0</v>
      </c>
      <c r="T279" s="1">
        <f t="shared" si="128"/>
        <v>0</v>
      </c>
      <c r="U279" s="1">
        <f t="shared" si="129"/>
        <v>0</v>
      </c>
      <c r="V279" s="1">
        <f t="shared" si="130"/>
        <v>0</v>
      </c>
      <c r="W279" s="1">
        <f t="shared" si="131"/>
        <v>0</v>
      </c>
      <c r="X279" s="1">
        <f t="shared" si="132"/>
        <v>0</v>
      </c>
      <c r="Y279" s="1">
        <f t="shared" si="133"/>
        <v>0</v>
      </c>
      <c r="Z279" s="1">
        <f t="shared" si="134"/>
        <v>0</v>
      </c>
      <c r="AA279" s="1">
        <f t="shared" si="135"/>
        <v>0</v>
      </c>
      <c r="AB279" s="1">
        <f t="shared" si="136"/>
        <v>0</v>
      </c>
      <c r="AD279" s="1">
        <f t="shared" si="137"/>
        <v>0</v>
      </c>
      <c r="AE279" s="1">
        <f t="shared" si="138"/>
        <v>1</v>
      </c>
      <c r="AF279" s="1">
        <f t="shared" si="139"/>
        <v>0</v>
      </c>
      <c r="AG279" s="1">
        <f t="shared" si="140"/>
        <v>0</v>
      </c>
      <c r="AH279" s="1">
        <f t="shared" si="141"/>
        <v>0</v>
      </c>
      <c r="AI279" s="1">
        <f t="shared" si="142"/>
        <v>0</v>
      </c>
    </row>
    <row r="280" spans="1:35" ht="14.25" customHeight="1" x14ac:dyDescent="0.25">
      <c r="A280" s="31">
        <v>1</v>
      </c>
      <c r="B280" s="31">
        <v>1</v>
      </c>
      <c r="C280" s="31">
        <v>7</v>
      </c>
      <c r="D280" s="32" t="s">
        <v>861</v>
      </c>
      <c r="E280" s="32" t="s">
        <v>29</v>
      </c>
      <c r="F280" s="32" t="s">
        <v>1990</v>
      </c>
      <c r="G280" s="32" t="s">
        <v>193</v>
      </c>
      <c r="H280" s="32" t="s">
        <v>352</v>
      </c>
      <c r="I280" s="31" t="s">
        <v>863</v>
      </c>
      <c r="J280" s="31">
        <v>9</v>
      </c>
      <c r="K280" s="33" t="s">
        <v>709</v>
      </c>
      <c r="L280" s="33" t="s">
        <v>692</v>
      </c>
      <c r="M280" s="34" t="s">
        <v>704</v>
      </c>
      <c r="N280" s="34" t="s">
        <v>1714</v>
      </c>
      <c r="O280" s="35">
        <v>1</v>
      </c>
      <c r="P280" s="35"/>
      <c r="Q280" s="32"/>
      <c r="S280" s="1">
        <f t="shared" ref="S280:S344" si="143">IF(J280=$S$7,1,0)</f>
        <v>0</v>
      </c>
      <c r="T280" s="1">
        <f t="shared" ref="T280:T344" si="144">IF(J280=$T$7,1,0)</f>
        <v>0</v>
      </c>
      <c r="U280" s="1">
        <f t="shared" ref="U280:U344" si="145">IF(J280=$U$7,1,0)</f>
        <v>0</v>
      </c>
      <c r="V280" s="1">
        <f t="shared" ref="V280:V344" si="146">IF(J280=$V$7,1,0)</f>
        <v>0</v>
      </c>
      <c r="W280" s="1">
        <f t="shared" ref="W280:W344" si="147">IF(J280=$W$7,1,0)</f>
        <v>0</v>
      </c>
      <c r="X280" s="1">
        <f t="shared" ref="X280:X344" si="148">IF(J280=$X$7,1,0)</f>
        <v>0</v>
      </c>
      <c r="Y280" s="1">
        <f t="shared" ref="Y280:Y344" si="149">IF(J280=$Y$7,1,0)</f>
        <v>0</v>
      </c>
      <c r="Z280" s="1">
        <f t="shared" ref="Z280:Z344" si="150">IF(J280=$Z$7,1,0)</f>
        <v>0</v>
      </c>
      <c r="AA280" s="1">
        <f t="shared" ref="AA280:AA344" si="151">IF(J280=$AA$7,1,0)</f>
        <v>1</v>
      </c>
      <c r="AB280" s="1">
        <f t="shared" ref="AB280:AB344" si="152">IF(J280=$AB$7,1,0)</f>
        <v>0</v>
      </c>
      <c r="AD280" s="1">
        <f t="shared" ref="AD280:AD344" si="153">+O280*P280</f>
        <v>0</v>
      </c>
      <c r="AE280" s="1">
        <f t="shared" ref="AE280:AE344" si="154">O280*(1-P280)</f>
        <v>1</v>
      </c>
      <c r="AF280" s="1">
        <f t="shared" si="139"/>
        <v>0</v>
      </c>
      <c r="AG280" s="1">
        <f t="shared" si="140"/>
        <v>0</v>
      </c>
      <c r="AH280" s="1">
        <f t="shared" si="141"/>
        <v>0</v>
      </c>
      <c r="AI280" s="1">
        <f t="shared" si="142"/>
        <v>0</v>
      </c>
    </row>
    <row r="281" spans="1:35" ht="14.25" customHeight="1" x14ac:dyDescent="0.25">
      <c r="A281" s="31">
        <v>1</v>
      </c>
      <c r="B281" s="31">
        <v>1</v>
      </c>
      <c r="C281" s="31">
        <v>7</v>
      </c>
      <c r="D281" s="32" t="s">
        <v>861</v>
      </c>
      <c r="E281" s="32" t="s">
        <v>29</v>
      </c>
      <c r="F281" s="32" t="s">
        <v>1992</v>
      </c>
      <c r="G281" s="32" t="s">
        <v>208</v>
      </c>
      <c r="H281" s="32" t="s">
        <v>352</v>
      </c>
      <c r="I281" s="31" t="s">
        <v>1991</v>
      </c>
      <c r="J281" s="31">
        <v>99</v>
      </c>
      <c r="K281" s="33" t="s">
        <v>709</v>
      </c>
      <c r="L281" s="33" t="s">
        <v>692</v>
      </c>
      <c r="M281" s="34" t="s">
        <v>704</v>
      </c>
      <c r="N281" s="34" t="s">
        <v>1714</v>
      </c>
      <c r="O281" s="35">
        <v>1</v>
      </c>
      <c r="P281" s="35"/>
      <c r="Q281" s="32"/>
      <c r="S281" s="1">
        <f t="shared" si="143"/>
        <v>0</v>
      </c>
      <c r="T281" s="1">
        <f t="shared" si="144"/>
        <v>0</v>
      </c>
      <c r="U281" s="1">
        <f t="shared" si="145"/>
        <v>0</v>
      </c>
      <c r="V281" s="1">
        <f t="shared" si="146"/>
        <v>0</v>
      </c>
      <c r="W281" s="1">
        <f t="shared" si="147"/>
        <v>0</v>
      </c>
      <c r="X281" s="1">
        <f t="shared" si="148"/>
        <v>0</v>
      </c>
      <c r="Y281" s="1">
        <f t="shared" si="149"/>
        <v>0</v>
      </c>
      <c r="Z281" s="1">
        <f t="shared" si="150"/>
        <v>0</v>
      </c>
      <c r="AA281" s="1">
        <f t="shared" si="151"/>
        <v>0</v>
      </c>
      <c r="AB281" s="1">
        <f t="shared" si="152"/>
        <v>0</v>
      </c>
      <c r="AD281" s="1">
        <f t="shared" si="153"/>
        <v>0</v>
      </c>
      <c r="AE281" s="1">
        <f t="shared" si="154"/>
        <v>1</v>
      </c>
      <c r="AF281" s="1">
        <f t="shared" si="139"/>
        <v>0</v>
      </c>
      <c r="AG281" s="1">
        <f t="shared" si="140"/>
        <v>0</v>
      </c>
      <c r="AH281" s="1">
        <f t="shared" si="141"/>
        <v>0</v>
      </c>
      <c r="AI281" s="1">
        <f t="shared" si="142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95</v>
      </c>
      <c r="E282" s="32" t="s">
        <v>29</v>
      </c>
      <c r="F282" s="36" t="s">
        <v>290</v>
      </c>
      <c r="G282" s="36" t="s">
        <v>291</v>
      </c>
      <c r="H282" s="36" t="s">
        <v>352</v>
      </c>
      <c r="I282" s="37" t="s">
        <v>1104</v>
      </c>
      <c r="J282" s="31">
        <v>99</v>
      </c>
      <c r="K282" s="33" t="s">
        <v>709</v>
      </c>
      <c r="L282" s="33" t="s">
        <v>692</v>
      </c>
      <c r="M282" s="34" t="s">
        <v>704</v>
      </c>
      <c r="N282" s="34" t="s">
        <v>1718</v>
      </c>
      <c r="O282" s="35">
        <v>1</v>
      </c>
      <c r="P282" s="35"/>
      <c r="Q282" s="36"/>
      <c r="S282" s="1">
        <f t="shared" si="143"/>
        <v>0</v>
      </c>
      <c r="T282" s="1">
        <f t="shared" si="144"/>
        <v>0</v>
      </c>
      <c r="U282" s="1">
        <f t="shared" si="145"/>
        <v>0</v>
      </c>
      <c r="V282" s="1">
        <f t="shared" si="146"/>
        <v>0</v>
      </c>
      <c r="W282" s="1">
        <f t="shared" si="147"/>
        <v>0</v>
      </c>
      <c r="X282" s="1">
        <f t="shared" si="148"/>
        <v>0</v>
      </c>
      <c r="Y282" s="1">
        <f t="shared" si="149"/>
        <v>0</v>
      </c>
      <c r="Z282" s="1">
        <f t="shared" si="150"/>
        <v>0</v>
      </c>
      <c r="AA282" s="1">
        <f t="shared" si="151"/>
        <v>0</v>
      </c>
      <c r="AB282" s="1">
        <f t="shared" si="152"/>
        <v>0</v>
      </c>
      <c r="AD282" s="1">
        <f t="shared" si="153"/>
        <v>0</v>
      </c>
      <c r="AE282" s="1">
        <f t="shared" si="154"/>
        <v>1</v>
      </c>
      <c r="AF282" s="1">
        <f t="shared" si="139"/>
        <v>0</v>
      </c>
      <c r="AG282" s="1">
        <f t="shared" si="140"/>
        <v>1</v>
      </c>
      <c r="AH282" s="1">
        <f t="shared" si="141"/>
        <v>0</v>
      </c>
      <c r="AI282" s="1">
        <f t="shared" si="142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6" t="s">
        <v>528</v>
      </c>
      <c r="E283" s="32" t="s">
        <v>29</v>
      </c>
      <c r="F283" s="36" t="s">
        <v>661</v>
      </c>
      <c r="G283" s="36" t="s">
        <v>39</v>
      </c>
      <c r="H283" s="36" t="s">
        <v>529</v>
      </c>
      <c r="I283" s="37" t="s">
        <v>1663</v>
      </c>
      <c r="J283" s="31">
        <v>14</v>
      </c>
      <c r="K283" s="33" t="s">
        <v>941</v>
      </c>
      <c r="L283" s="33">
        <v>40</v>
      </c>
      <c r="M283" s="34" t="s">
        <v>704</v>
      </c>
      <c r="N283" s="34" t="s">
        <v>1708</v>
      </c>
      <c r="O283" s="35"/>
      <c r="P283" s="35"/>
      <c r="Q283" s="36"/>
      <c r="S283" s="1">
        <f t="shared" si="143"/>
        <v>0</v>
      </c>
      <c r="T283" s="1">
        <f t="shared" si="144"/>
        <v>0</v>
      </c>
      <c r="U283" s="1">
        <f t="shared" si="145"/>
        <v>0</v>
      </c>
      <c r="V283" s="1">
        <f t="shared" si="146"/>
        <v>0</v>
      </c>
      <c r="W283" s="1">
        <f t="shared" si="147"/>
        <v>0</v>
      </c>
      <c r="X283" s="1">
        <f t="shared" si="148"/>
        <v>0</v>
      </c>
      <c r="Y283" s="1">
        <f t="shared" si="149"/>
        <v>0</v>
      </c>
      <c r="Z283" s="1">
        <f t="shared" si="150"/>
        <v>0</v>
      </c>
      <c r="AA283" s="1">
        <f t="shared" si="151"/>
        <v>0</v>
      </c>
      <c r="AB283" s="1">
        <f t="shared" si="152"/>
        <v>0</v>
      </c>
      <c r="AD283" s="1">
        <f t="shared" si="153"/>
        <v>0</v>
      </c>
      <c r="AE283" s="1">
        <f t="shared" si="154"/>
        <v>0</v>
      </c>
      <c r="AF283" s="1">
        <f t="shared" si="139"/>
        <v>0</v>
      </c>
      <c r="AG283" s="1">
        <f t="shared" si="140"/>
        <v>0</v>
      </c>
      <c r="AH283" s="1">
        <f t="shared" si="141"/>
        <v>0</v>
      </c>
      <c r="AI283" s="1">
        <f t="shared" si="142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1301</v>
      </c>
      <c r="E284" s="32" t="s">
        <v>29</v>
      </c>
      <c r="F284" s="36" t="s">
        <v>1325</v>
      </c>
      <c r="G284" s="36" t="s">
        <v>39</v>
      </c>
      <c r="H284" s="36" t="s">
        <v>352</v>
      </c>
      <c r="I284" s="37" t="s">
        <v>1134</v>
      </c>
      <c r="J284" s="31">
        <v>99</v>
      </c>
      <c r="K284" s="33" t="s">
        <v>709</v>
      </c>
      <c r="L284" s="33" t="s">
        <v>689</v>
      </c>
      <c r="M284" s="34" t="s">
        <v>1386</v>
      </c>
      <c r="N284" s="34" t="s">
        <v>1706</v>
      </c>
      <c r="O284" s="35">
        <v>1</v>
      </c>
      <c r="P284" s="35">
        <v>1</v>
      </c>
      <c r="Q284" s="36"/>
      <c r="S284" s="1">
        <f t="shared" si="143"/>
        <v>0</v>
      </c>
      <c r="T284" s="1">
        <f t="shared" si="144"/>
        <v>0</v>
      </c>
      <c r="U284" s="1">
        <f t="shared" si="145"/>
        <v>0</v>
      </c>
      <c r="V284" s="1">
        <f t="shared" si="146"/>
        <v>0</v>
      </c>
      <c r="W284" s="1">
        <f t="shared" si="147"/>
        <v>0</v>
      </c>
      <c r="X284" s="1">
        <f t="shared" si="148"/>
        <v>0</v>
      </c>
      <c r="Y284" s="1">
        <f t="shared" si="149"/>
        <v>0</v>
      </c>
      <c r="Z284" s="1">
        <f t="shared" si="150"/>
        <v>0</v>
      </c>
      <c r="AA284" s="1">
        <f t="shared" si="151"/>
        <v>0</v>
      </c>
      <c r="AB284" s="1">
        <f t="shared" si="152"/>
        <v>0</v>
      </c>
      <c r="AD284" s="1">
        <f t="shared" si="153"/>
        <v>1</v>
      </c>
      <c r="AE284" s="1">
        <f t="shared" si="154"/>
        <v>0</v>
      </c>
      <c r="AF284" s="1">
        <f t="shared" si="139"/>
        <v>1</v>
      </c>
      <c r="AG284" s="1">
        <f t="shared" si="140"/>
        <v>0</v>
      </c>
      <c r="AH284" s="1">
        <f t="shared" si="141"/>
        <v>1</v>
      </c>
      <c r="AI284" s="1">
        <f t="shared" si="142"/>
        <v>0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96</v>
      </c>
      <c r="E285" s="32" t="s">
        <v>29</v>
      </c>
      <c r="F285" s="32" t="s">
        <v>293</v>
      </c>
      <c r="G285" s="32" t="s">
        <v>262</v>
      </c>
      <c r="H285" s="32" t="s">
        <v>352</v>
      </c>
      <c r="I285" s="31" t="s">
        <v>442</v>
      </c>
      <c r="J285" s="31">
        <v>1</v>
      </c>
      <c r="K285" s="33" t="s">
        <v>709</v>
      </c>
      <c r="L285" s="33" t="s">
        <v>690</v>
      </c>
      <c r="M285" s="34" t="s">
        <v>704</v>
      </c>
      <c r="N285" s="34" t="s">
        <v>1714</v>
      </c>
      <c r="O285" s="35">
        <v>1</v>
      </c>
      <c r="P285" s="35"/>
      <c r="Q285" s="32"/>
      <c r="S285" s="1">
        <f t="shared" si="143"/>
        <v>1</v>
      </c>
      <c r="T285" s="1">
        <f t="shared" si="144"/>
        <v>0</v>
      </c>
      <c r="U285" s="1">
        <f t="shared" si="145"/>
        <v>0</v>
      </c>
      <c r="V285" s="1">
        <f t="shared" si="146"/>
        <v>0</v>
      </c>
      <c r="W285" s="1">
        <f t="shared" si="147"/>
        <v>0</v>
      </c>
      <c r="X285" s="1">
        <f t="shared" si="148"/>
        <v>0</v>
      </c>
      <c r="Y285" s="1">
        <f t="shared" si="149"/>
        <v>0</v>
      </c>
      <c r="Z285" s="1">
        <f t="shared" si="150"/>
        <v>0</v>
      </c>
      <c r="AA285" s="1">
        <f t="shared" si="151"/>
        <v>0</v>
      </c>
      <c r="AB285" s="1">
        <f t="shared" si="152"/>
        <v>0</v>
      </c>
      <c r="AD285" s="1">
        <f t="shared" si="153"/>
        <v>0</v>
      </c>
      <c r="AE285" s="1">
        <f t="shared" si="154"/>
        <v>1</v>
      </c>
      <c r="AF285" s="1">
        <f t="shared" si="139"/>
        <v>0</v>
      </c>
      <c r="AG285" s="1">
        <f t="shared" si="140"/>
        <v>1</v>
      </c>
      <c r="AH285" s="1">
        <f t="shared" si="141"/>
        <v>0</v>
      </c>
      <c r="AI285" s="1">
        <f t="shared" si="142"/>
        <v>1</v>
      </c>
    </row>
    <row r="286" spans="1:35" ht="14.25" customHeight="1" x14ac:dyDescent="0.25">
      <c r="A286" s="15">
        <v>0</v>
      </c>
      <c r="B286" s="15">
        <v>1</v>
      </c>
      <c r="C286" s="15">
        <v>7</v>
      </c>
      <c r="D286" s="16" t="s">
        <v>751</v>
      </c>
      <c r="E286" s="16" t="s">
        <v>29</v>
      </c>
      <c r="F286" s="20" t="s">
        <v>2068</v>
      </c>
      <c r="G286" s="16" t="s">
        <v>39</v>
      </c>
      <c r="H286" s="20" t="s">
        <v>365</v>
      </c>
      <c r="I286" s="21" t="s">
        <v>2069</v>
      </c>
      <c r="J286" s="15">
        <v>18</v>
      </c>
      <c r="K286" s="10" t="s">
        <v>699</v>
      </c>
      <c r="L286" s="10" t="s">
        <v>693</v>
      </c>
      <c r="M286" s="19" t="s">
        <v>704</v>
      </c>
      <c r="N286" s="17"/>
      <c r="Q286" s="16"/>
      <c r="S286" s="1">
        <f t="shared" si="143"/>
        <v>0</v>
      </c>
      <c r="T286" s="1">
        <f t="shared" si="144"/>
        <v>0</v>
      </c>
      <c r="U286" s="1">
        <f t="shared" si="145"/>
        <v>0</v>
      </c>
      <c r="V286" s="1">
        <f t="shared" si="146"/>
        <v>0</v>
      </c>
      <c r="W286" s="1">
        <f t="shared" si="147"/>
        <v>0</v>
      </c>
      <c r="X286" s="1">
        <f t="shared" si="148"/>
        <v>0</v>
      </c>
      <c r="Y286" s="1">
        <f t="shared" si="149"/>
        <v>0</v>
      </c>
      <c r="Z286" s="1">
        <f t="shared" si="150"/>
        <v>0</v>
      </c>
      <c r="AA286" s="1">
        <f t="shared" si="151"/>
        <v>0</v>
      </c>
      <c r="AB286" s="1">
        <f t="shared" si="152"/>
        <v>0</v>
      </c>
      <c r="AD286" s="1">
        <f t="shared" si="153"/>
        <v>0</v>
      </c>
      <c r="AE286" s="1">
        <f t="shared" si="154"/>
        <v>0</v>
      </c>
      <c r="AF286" s="1">
        <f t="shared" si="139"/>
        <v>0</v>
      </c>
      <c r="AG286" s="1">
        <f t="shared" si="140"/>
        <v>0</v>
      </c>
      <c r="AH286" s="1">
        <f t="shared" si="141"/>
        <v>0</v>
      </c>
      <c r="AI286" s="1">
        <f t="shared" si="14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1493</v>
      </c>
      <c r="E287" s="32" t="s">
        <v>29</v>
      </c>
      <c r="F287" s="36" t="s">
        <v>1645</v>
      </c>
      <c r="G287" s="36" t="s">
        <v>1646</v>
      </c>
      <c r="H287" s="36" t="s">
        <v>352</v>
      </c>
      <c r="I287" s="37" t="s">
        <v>1494</v>
      </c>
      <c r="J287" s="31">
        <v>99</v>
      </c>
      <c r="K287" s="33" t="s">
        <v>709</v>
      </c>
      <c r="L287" s="33" t="s">
        <v>39</v>
      </c>
      <c r="M287" s="34" t="s">
        <v>39</v>
      </c>
      <c r="N287" s="34" t="s">
        <v>1700</v>
      </c>
      <c r="O287" s="35">
        <v>1</v>
      </c>
      <c r="P287" s="35">
        <v>1</v>
      </c>
      <c r="Q287" s="36"/>
      <c r="S287" s="1">
        <f t="shared" si="143"/>
        <v>0</v>
      </c>
      <c r="T287" s="1">
        <f t="shared" si="144"/>
        <v>0</v>
      </c>
      <c r="U287" s="1">
        <f t="shared" si="145"/>
        <v>0</v>
      </c>
      <c r="V287" s="1">
        <f t="shared" si="146"/>
        <v>0</v>
      </c>
      <c r="W287" s="1">
        <f t="shared" si="147"/>
        <v>0</v>
      </c>
      <c r="X287" s="1">
        <f t="shared" si="148"/>
        <v>0</v>
      </c>
      <c r="Y287" s="1">
        <f t="shared" si="149"/>
        <v>0</v>
      </c>
      <c r="Z287" s="1">
        <f t="shared" si="150"/>
        <v>0</v>
      </c>
      <c r="AA287" s="1">
        <f t="shared" si="151"/>
        <v>0</v>
      </c>
      <c r="AB287" s="1">
        <f t="shared" si="152"/>
        <v>0</v>
      </c>
      <c r="AD287" s="1">
        <f t="shared" si="153"/>
        <v>1</v>
      </c>
      <c r="AE287" s="1">
        <f t="shared" si="154"/>
        <v>0</v>
      </c>
      <c r="AF287" s="1">
        <f t="shared" si="139"/>
        <v>1</v>
      </c>
      <c r="AG287" s="1">
        <f t="shared" si="140"/>
        <v>0</v>
      </c>
      <c r="AH287" s="1">
        <f t="shared" si="141"/>
        <v>1</v>
      </c>
      <c r="AI287" s="1">
        <f t="shared" si="142"/>
        <v>0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1128</v>
      </c>
      <c r="E288" s="32" t="s">
        <v>29</v>
      </c>
      <c r="F288" s="32" t="s">
        <v>1129</v>
      </c>
      <c r="G288" s="32" t="s">
        <v>1131</v>
      </c>
      <c r="H288" s="32" t="s">
        <v>352</v>
      </c>
      <c r="I288" s="31" t="s">
        <v>1130</v>
      </c>
      <c r="J288" s="31">
        <v>99</v>
      </c>
      <c r="K288" s="33" t="s">
        <v>699</v>
      </c>
      <c r="L288" s="33">
        <v>30</v>
      </c>
      <c r="M288" s="34" t="s">
        <v>1387</v>
      </c>
      <c r="N288" s="34" t="s">
        <v>1819</v>
      </c>
      <c r="O288" s="35">
        <v>1</v>
      </c>
      <c r="P288" s="35"/>
      <c r="Q288" s="32"/>
      <c r="S288" s="1">
        <f t="shared" si="143"/>
        <v>0</v>
      </c>
      <c r="T288" s="1">
        <f t="shared" si="144"/>
        <v>0</v>
      </c>
      <c r="U288" s="1">
        <f t="shared" si="145"/>
        <v>0</v>
      </c>
      <c r="V288" s="1">
        <f t="shared" si="146"/>
        <v>0</v>
      </c>
      <c r="W288" s="1">
        <f t="shared" si="147"/>
        <v>0</v>
      </c>
      <c r="X288" s="1">
        <f t="shared" si="148"/>
        <v>0</v>
      </c>
      <c r="Y288" s="1">
        <f t="shared" si="149"/>
        <v>0</v>
      </c>
      <c r="Z288" s="1">
        <f t="shared" si="150"/>
        <v>0</v>
      </c>
      <c r="AA288" s="1">
        <f t="shared" si="151"/>
        <v>0</v>
      </c>
      <c r="AB288" s="1">
        <f t="shared" si="152"/>
        <v>0</v>
      </c>
      <c r="AD288" s="1">
        <f t="shared" si="153"/>
        <v>0</v>
      </c>
      <c r="AE288" s="1">
        <f t="shared" si="154"/>
        <v>1</v>
      </c>
      <c r="AF288" s="1">
        <f t="shared" si="139"/>
        <v>0</v>
      </c>
      <c r="AG288" s="1">
        <f t="shared" si="140"/>
        <v>1</v>
      </c>
      <c r="AH288" s="1">
        <f t="shared" si="141"/>
        <v>0</v>
      </c>
      <c r="AI288" s="1">
        <f t="shared" si="142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98</v>
      </c>
      <c r="E289" s="32" t="s">
        <v>29</v>
      </c>
      <c r="F289" s="32" t="s">
        <v>295</v>
      </c>
      <c r="G289" s="32" t="s">
        <v>196</v>
      </c>
      <c r="H289" s="32" t="s">
        <v>352</v>
      </c>
      <c r="I289" s="31" t="s">
        <v>443</v>
      </c>
      <c r="J289" s="31">
        <v>9</v>
      </c>
      <c r="K289" s="33" t="s">
        <v>699</v>
      </c>
      <c r="L289" s="33">
        <v>30</v>
      </c>
      <c r="M289" s="34" t="s">
        <v>704</v>
      </c>
      <c r="N289" s="34" t="s">
        <v>1714</v>
      </c>
      <c r="O289" s="35">
        <v>1</v>
      </c>
      <c r="P289" s="35"/>
      <c r="Q289" s="32"/>
      <c r="S289" s="1">
        <f t="shared" si="143"/>
        <v>0</v>
      </c>
      <c r="T289" s="1">
        <f t="shared" si="144"/>
        <v>0</v>
      </c>
      <c r="U289" s="1">
        <f t="shared" si="145"/>
        <v>0</v>
      </c>
      <c r="V289" s="1">
        <f t="shared" si="146"/>
        <v>0</v>
      </c>
      <c r="W289" s="1">
        <f t="shared" si="147"/>
        <v>0</v>
      </c>
      <c r="X289" s="1">
        <f t="shared" si="148"/>
        <v>0</v>
      </c>
      <c r="Y289" s="1">
        <f t="shared" si="149"/>
        <v>0</v>
      </c>
      <c r="Z289" s="1">
        <f t="shared" si="150"/>
        <v>0</v>
      </c>
      <c r="AA289" s="1">
        <f t="shared" si="151"/>
        <v>1</v>
      </c>
      <c r="AB289" s="1">
        <f t="shared" si="152"/>
        <v>0</v>
      </c>
      <c r="AD289" s="1">
        <f t="shared" si="153"/>
        <v>0</v>
      </c>
      <c r="AE289" s="1">
        <f t="shared" si="154"/>
        <v>1</v>
      </c>
      <c r="AF289" s="1">
        <f t="shared" si="139"/>
        <v>0</v>
      </c>
      <c r="AG289" s="1">
        <f t="shared" si="140"/>
        <v>1</v>
      </c>
      <c r="AH289" s="1">
        <f t="shared" si="141"/>
        <v>0</v>
      </c>
      <c r="AI289" s="1">
        <f t="shared" si="142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794</v>
      </c>
      <c r="E290" s="32" t="s">
        <v>29</v>
      </c>
      <c r="F290" s="32" t="s">
        <v>773</v>
      </c>
      <c r="G290" s="32" t="s">
        <v>795</v>
      </c>
      <c r="H290" s="32" t="s">
        <v>352</v>
      </c>
      <c r="I290" s="31" t="s">
        <v>939</v>
      </c>
      <c r="J290" s="31">
        <v>99</v>
      </c>
      <c r="K290" s="33" t="s">
        <v>709</v>
      </c>
      <c r="L290" s="33" t="s">
        <v>690</v>
      </c>
      <c r="M290" s="34" t="s">
        <v>704</v>
      </c>
      <c r="N290" s="34" t="s">
        <v>1795</v>
      </c>
      <c r="O290" s="35">
        <v>1</v>
      </c>
      <c r="P290" s="35"/>
      <c r="Q290" s="32"/>
      <c r="S290" s="1">
        <f t="shared" si="143"/>
        <v>0</v>
      </c>
      <c r="T290" s="1">
        <f t="shared" si="144"/>
        <v>0</v>
      </c>
      <c r="U290" s="1">
        <f t="shared" si="145"/>
        <v>0</v>
      </c>
      <c r="V290" s="1">
        <f t="shared" si="146"/>
        <v>0</v>
      </c>
      <c r="W290" s="1">
        <f t="shared" si="147"/>
        <v>0</v>
      </c>
      <c r="X290" s="1">
        <f t="shared" si="148"/>
        <v>0</v>
      </c>
      <c r="Y290" s="1">
        <f t="shared" si="149"/>
        <v>0</v>
      </c>
      <c r="Z290" s="1">
        <f t="shared" si="150"/>
        <v>0</v>
      </c>
      <c r="AA290" s="1">
        <f t="shared" si="151"/>
        <v>0</v>
      </c>
      <c r="AB290" s="1">
        <f t="shared" si="152"/>
        <v>0</v>
      </c>
      <c r="AD290" s="1">
        <f t="shared" si="153"/>
        <v>0</v>
      </c>
      <c r="AE290" s="1">
        <f t="shared" si="154"/>
        <v>1</v>
      </c>
      <c r="AF290" s="1">
        <f t="shared" si="139"/>
        <v>0</v>
      </c>
      <c r="AG290" s="1">
        <f t="shared" si="140"/>
        <v>1</v>
      </c>
      <c r="AH290" s="1">
        <f t="shared" si="141"/>
        <v>0</v>
      </c>
      <c r="AI290" s="1">
        <f t="shared" si="14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1304</v>
      </c>
      <c r="E291" s="32" t="s">
        <v>29</v>
      </c>
      <c r="F291" s="32" t="s">
        <v>1327</v>
      </c>
      <c r="G291" s="32" t="s">
        <v>1165</v>
      </c>
      <c r="H291" s="32" t="s">
        <v>352</v>
      </c>
      <c r="I291" s="31" t="s">
        <v>1665</v>
      </c>
      <c r="J291" s="31">
        <v>99</v>
      </c>
      <c r="K291" s="33" t="s">
        <v>709</v>
      </c>
      <c r="L291" s="33" t="s">
        <v>690</v>
      </c>
      <c r="M291" s="34" t="s">
        <v>1388</v>
      </c>
      <c r="N291" s="34" t="s">
        <v>1731</v>
      </c>
      <c r="O291" s="35">
        <v>1</v>
      </c>
      <c r="P291" s="35"/>
      <c r="Q291" s="32"/>
      <c r="S291" s="1">
        <f t="shared" si="143"/>
        <v>0</v>
      </c>
      <c r="T291" s="1">
        <f t="shared" si="144"/>
        <v>0</v>
      </c>
      <c r="U291" s="1">
        <f t="shared" si="145"/>
        <v>0</v>
      </c>
      <c r="V291" s="1">
        <f t="shared" si="146"/>
        <v>0</v>
      </c>
      <c r="W291" s="1">
        <f t="shared" si="147"/>
        <v>0</v>
      </c>
      <c r="X291" s="1">
        <f t="shared" si="148"/>
        <v>0</v>
      </c>
      <c r="Y291" s="1">
        <f t="shared" si="149"/>
        <v>0</v>
      </c>
      <c r="Z291" s="1">
        <f t="shared" si="150"/>
        <v>0</v>
      </c>
      <c r="AA291" s="1">
        <f t="shared" si="151"/>
        <v>0</v>
      </c>
      <c r="AB291" s="1">
        <f t="shared" si="152"/>
        <v>0</v>
      </c>
      <c r="AD291" s="1">
        <f t="shared" si="153"/>
        <v>0</v>
      </c>
      <c r="AE291" s="1">
        <f t="shared" si="154"/>
        <v>1</v>
      </c>
      <c r="AF291" s="1">
        <f t="shared" si="139"/>
        <v>0</v>
      </c>
      <c r="AG291" s="1">
        <f t="shared" si="140"/>
        <v>1</v>
      </c>
      <c r="AH291" s="1">
        <f t="shared" si="141"/>
        <v>0</v>
      </c>
      <c r="AI291" s="1">
        <f t="shared" si="142"/>
        <v>1</v>
      </c>
    </row>
    <row r="292" spans="1:35" ht="14.25" customHeight="1" x14ac:dyDescent="0.25">
      <c r="A292" s="15">
        <v>0</v>
      </c>
      <c r="B292" s="15">
        <v>1</v>
      </c>
      <c r="C292" s="15">
        <v>7</v>
      </c>
      <c r="D292" s="20" t="s">
        <v>1259</v>
      </c>
      <c r="E292" s="20" t="s">
        <v>29</v>
      </c>
      <c r="F292" s="20" t="s">
        <v>1260</v>
      </c>
      <c r="G292" s="16" t="s">
        <v>1261</v>
      </c>
      <c r="H292" s="20" t="s">
        <v>352</v>
      </c>
      <c r="I292" s="21" t="s">
        <v>1262</v>
      </c>
      <c r="J292" s="15">
        <v>99</v>
      </c>
      <c r="K292" s="10" t="s">
        <v>709</v>
      </c>
      <c r="L292" s="10" t="s">
        <v>690</v>
      </c>
      <c r="M292" s="19" t="s">
        <v>704</v>
      </c>
      <c r="N292" s="17"/>
      <c r="Q292" s="16"/>
      <c r="S292" s="1">
        <f t="shared" si="143"/>
        <v>0</v>
      </c>
      <c r="T292" s="1">
        <f t="shared" si="144"/>
        <v>0</v>
      </c>
      <c r="U292" s="1">
        <f t="shared" si="145"/>
        <v>0</v>
      </c>
      <c r="V292" s="1">
        <f t="shared" si="146"/>
        <v>0</v>
      </c>
      <c r="W292" s="1">
        <f t="shared" si="147"/>
        <v>0</v>
      </c>
      <c r="X292" s="1">
        <f t="shared" si="148"/>
        <v>0</v>
      </c>
      <c r="Y292" s="1">
        <f t="shared" si="149"/>
        <v>0</v>
      </c>
      <c r="Z292" s="1">
        <f t="shared" si="150"/>
        <v>0</v>
      </c>
      <c r="AA292" s="1">
        <f t="shared" si="151"/>
        <v>0</v>
      </c>
      <c r="AB292" s="1">
        <f t="shared" si="152"/>
        <v>0</v>
      </c>
      <c r="AD292" s="1">
        <f t="shared" si="153"/>
        <v>0</v>
      </c>
      <c r="AE292" s="1">
        <f t="shared" si="154"/>
        <v>0</v>
      </c>
      <c r="AF292" s="1">
        <f t="shared" si="139"/>
        <v>0</v>
      </c>
      <c r="AG292" s="1">
        <f t="shared" si="140"/>
        <v>0</v>
      </c>
      <c r="AH292" s="1">
        <f t="shared" si="141"/>
        <v>0</v>
      </c>
      <c r="AI292" s="1">
        <f t="shared" si="14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705</v>
      </c>
      <c r="E293" s="32" t="s">
        <v>29</v>
      </c>
      <c r="F293" s="32" t="s">
        <v>706</v>
      </c>
      <c r="G293" s="32" t="s">
        <v>183</v>
      </c>
      <c r="H293" s="32" t="s">
        <v>352</v>
      </c>
      <c r="I293" s="31" t="s">
        <v>707</v>
      </c>
      <c r="J293" s="31">
        <v>99</v>
      </c>
      <c r="K293" s="33" t="s">
        <v>942</v>
      </c>
      <c r="L293" s="33" t="s">
        <v>39</v>
      </c>
      <c r="M293" s="34" t="s">
        <v>39</v>
      </c>
      <c r="N293" s="34" t="s">
        <v>1706</v>
      </c>
      <c r="O293" s="35">
        <v>1</v>
      </c>
      <c r="P293" s="35">
        <v>1</v>
      </c>
      <c r="Q293" s="32"/>
      <c r="S293" s="1">
        <f t="shared" si="143"/>
        <v>0</v>
      </c>
      <c r="T293" s="1">
        <f t="shared" si="144"/>
        <v>0</v>
      </c>
      <c r="U293" s="1">
        <f t="shared" si="145"/>
        <v>0</v>
      </c>
      <c r="V293" s="1">
        <f t="shared" si="146"/>
        <v>0</v>
      </c>
      <c r="W293" s="1">
        <f t="shared" si="147"/>
        <v>0</v>
      </c>
      <c r="X293" s="1">
        <f t="shared" si="148"/>
        <v>0</v>
      </c>
      <c r="Y293" s="1">
        <f t="shared" si="149"/>
        <v>0</v>
      </c>
      <c r="Z293" s="1">
        <f t="shared" si="150"/>
        <v>0</v>
      </c>
      <c r="AA293" s="1">
        <f t="shared" si="151"/>
        <v>0</v>
      </c>
      <c r="AB293" s="1">
        <f t="shared" si="152"/>
        <v>0</v>
      </c>
      <c r="AD293" s="1">
        <f t="shared" si="153"/>
        <v>1</v>
      </c>
      <c r="AE293" s="1">
        <f t="shared" si="154"/>
        <v>0</v>
      </c>
      <c r="AF293" s="1">
        <f t="shared" si="139"/>
        <v>1</v>
      </c>
      <c r="AG293" s="1">
        <f t="shared" si="140"/>
        <v>0</v>
      </c>
      <c r="AH293" s="1">
        <f t="shared" si="141"/>
        <v>1</v>
      </c>
      <c r="AI293" s="1">
        <f t="shared" si="142"/>
        <v>0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6" t="s">
        <v>2099</v>
      </c>
      <c r="E294" s="36" t="s">
        <v>29</v>
      </c>
      <c r="F294" s="36" t="s">
        <v>2100</v>
      </c>
      <c r="G294" s="36" t="s">
        <v>239</v>
      </c>
      <c r="H294" s="36" t="s">
        <v>352</v>
      </c>
      <c r="I294" s="37" t="s">
        <v>2101</v>
      </c>
      <c r="J294" s="31">
        <v>1</v>
      </c>
      <c r="K294" s="33" t="s">
        <v>699</v>
      </c>
      <c r="L294" s="33"/>
      <c r="M294" s="34"/>
      <c r="N294" s="34" t="s">
        <v>1718</v>
      </c>
      <c r="O294" s="35">
        <v>1</v>
      </c>
      <c r="P294" s="35"/>
      <c r="Q294" s="32" t="s">
        <v>2102</v>
      </c>
      <c r="S294" s="1">
        <f t="shared" si="143"/>
        <v>1</v>
      </c>
      <c r="T294" s="1">
        <f t="shared" si="144"/>
        <v>0</v>
      </c>
      <c r="U294" s="1">
        <f t="shared" si="145"/>
        <v>0</v>
      </c>
      <c r="V294" s="1">
        <f t="shared" si="146"/>
        <v>0</v>
      </c>
      <c r="W294" s="1">
        <f t="shared" si="147"/>
        <v>0</v>
      </c>
      <c r="X294" s="1">
        <f t="shared" si="148"/>
        <v>0</v>
      </c>
      <c r="Y294" s="1">
        <f t="shared" si="149"/>
        <v>0</v>
      </c>
      <c r="Z294" s="1">
        <f t="shared" si="150"/>
        <v>0</v>
      </c>
      <c r="AA294" s="1">
        <f t="shared" si="151"/>
        <v>0</v>
      </c>
      <c r="AB294" s="1">
        <f t="shared" si="152"/>
        <v>0</v>
      </c>
      <c r="AD294" s="1">
        <f t="shared" ref="AD294" si="155">+O294*P294</f>
        <v>0</v>
      </c>
      <c r="AE294" s="1">
        <f t="shared" ref="AE294" si="156">O294*(1-P294)</f>
        <v>1</v>
      </c>
      <c r="AF294" s="1">
        <f t="shared" ref="AF294" si="157">+O294*P294*(1-A294)</f>
        <v>0</v>
      </c>
      <c r="AG294" s="1">
        <f t="shared" ref="AG294" si="158">O294*(1-P294)*(1-A294)</f>
        <v>1</v>
      </c>
      <c r="AH294" s="1">
        <f t="shared" ref="AH294" si="159">+P294*(1-A294)</f>
        <v>0</v>
      </c>
      <c r="AI294" s="1">
        <f t="shared" ref="AI294" si="160">+(1-A294)*(1-P294)</f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532</v>
      </c>
      <c r="E295" s="32" t="s">
        <v>34</v>
      </c>
      <c r="F295" s="32" t="s">
        <v>533</v>
      </c>
      <c r="G295" s="32" t="s">
        <v>219</v>
      </c>
      <c r="H295" s="32" t="s">
        <v>352</v>
      </c>
      <c r="I295" s="31" t="s">
        <v>534</v>
      </c>
      <c r="J295" s="31">
        <v>8</v>
      </c>
      <c r="K295" s="33" t="s">
        <v>709</v>
      </c>
      <c r="L295" s="33" t="s">
        <v>709</v>
      </c>
      <c r="M295" s="34" t="s">
        <v>710</v>
      </c>
      <c r="N295" s="34" t="s">
        <v>1718</v>
      </c>
      <c r="O295" s="35">
        <v>1</v>
      </c>
      <c r="P295" s="35"/>
      <c r="Q295" s="32"/>
      <c r="S295" s="1">
        <f t="shared" si="143"/>
        <v>0</v>
      </c>
      <c r="T295" s="1">
        <f t="shared" si="144"/>
        <v>0</v>
      </c>
      <c r="U295" s="1">
        <f t="shared" si="145"/>
        <v>0</v>
      </c>
      <c r="V295" s="1">
        <f t="shared" si="146"/>
        <v>0</v>
      </c>
      <c r="W295" s="1">
        <f t="shared" si="147"/>
        <v>0</v>
      </c>
      <c r="X295" s="1">
        <f t="shared" si="148"/>
        <v>0</v>
      </c>
      <c r="Y295" s="1">
        <f t="shared" si="149"/>
        <v>0</v>
      </c>
      <c r="Z295" s="1">
        <f t="shared" si="150"/>
        <v>1</v>
      </c>
      <c r="AA295" s="1">
        <f t="shared" si="151"/>
        <v>0</v>
      </c>
      <c r="AB295" s="1">
        <f t="shared" si="152"/>
        <v>0</v>
      </c>
      <c r="AD295" s="1">
        <f t="shared" si="153"/>
        <v>0</v>
      </c>
      <c r="AE295" s="1">
        <f t="shared" si="154"/>
        <v>1</v>
      </c>
      <c r="AF295" s="1">
        <f t="shared" si="139"/>
        <v>0</v>
      </c>
      <c r="AG295" s="1">
        <f t="shared" si="140"/>
        <v>1</v>
      </c>
      <c r="AH295" s="1">
        <f t="shared" si="141"/>
        <v>0</v>
      </c>
      <c r="AI295" s="1">
        <f t="shared" si="142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1270</v>
      </c>
      <c r="E296" s="32" t="s">
        <v>557</v>
      </c>
      <c r="F296" s="32" t="s">
        <v>1271</v>
      </c>
      <c r="G296" s="32" t="s">
        <v>229</v>
      </c>
      <c r="H296" s="32" t="s">
        <v>352</v>
      </c>
      <c r="I296" s="31" t="s">
        <v>1272</v>
      </c>
      <c r="J296" s="31">
        <v>7</v>
      </c>
      <c r="K296" s="33" t="s">
        <v>709</v>
      </c>
      <c r="L296" s="33" t="s">
        <v>709</v>
      </c>
      <c r="M296" s="34" t="s">
        <v>710</v>
      </c>
      <c r="N296" s="34" t="s">
        <v>1726</v>
      </c>
      <c r="O296" s="35">
        <v>1</v>
      </c>
      <c r="P296" s="35"/>
      <c r="Q296" s="32"/>
      <c r="S296" s="1">
        <f t="shared" si="143"/>
        <v>0</v>
      </c>
      <c r="T296" s="1">
        <f t="shared" si="144"/>
        <v>0</v>
      </c>
      <c r="U296" s="1">
        <f t="shared" si="145"/>
        <v>0</v>
      </c>
      <c r="V296" s="1">
        <f t="shared" si="146"/>
        <v>0</v>
      </c>
      <c r="W296" s="1">
        <f t="shared" si="147"/>
        <v>0</v>
      </c>
      <c r="X296" s="1">
        <f t="shared" si="148"/>
        <v>0</v>
      </c>
      <c r="Y296" s="1">
        <f t="shared" si="149"/>
        <v>1</v>
      </c>
      <c r="Z296" s="1">
        <f t="shared" si="150"/>
        <v>0</v>
      </c>
      <c r="AA296" s="1">
        <f t="shared" si="151"/>
        <v>0</v>
      </c>
      <c r="AB296" s="1">
        <f t="shared" si="152"/>
        <v>0</v>
      </c>
      <c r="AD296" s="1">
        <f t="shared" si="153"/>
        <v>0</v>
      </c>
      <c r="AE296" s="1">
        <f t="shared" si="154"/>
        <v>1</v>
      </c>
      <c r="AF296" s="1">
        <f t="shared" si="139"/>
        <v>0</v>
      </c>
      <c r="AG296" s="1">
        <f t="shared" si="140"/>
        <v>1</v>
      </c>
      <c r="AH296" s="1">
        <f t="shared" si="141"/>
        <v>0</v>
      </c>
      <c r="AI296" s="1">
        <f t="shared" si="142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1306</v>
      </c>
      <c r="E297" s="32" t="s">
        <v>557</v>
      </c>
      <c r="F297" s="32" t="s">
        <v>1953</v>
      </c>
      <c r="G297" s="32" t="s">
        <v>212</v>
      </c>
      <c r="H297" s="32" t="s">
        <v>352</v>
      </c>
      <c r="I297" s="31" t="s">
        <v>1140</v>
      </c>
      <c r="J297" s="31">
        <v>1</v>
      </c>
      <c r="K297" s="33" t="s">
        <v>941</v>
      </c>
      <c r="L297" s="33" t="s">
        <v>709</v>
      </c>
      <c r="M297" s="34" t="s">
        <v>710</v>
      </c>
      <c r="N297" s="34" t="s">
        <v>1731</v>
      </c>
      <c r="O297" s="35">
        <v>1</v>
      </c>
      <c r="P297" s="35"/>
      <c r="Q297" s="32"/>
      <c r="S297" s="1">
        <f t="shared" si="143"/>
        <v>1</v>
      </c>
      <c r="T297" s="1">
        <f t="shared" si="144"/>
        <v>0</v>
      </c>
      <c r="U297" s="1">
        <f t="shared" si="145"/>
        <v>0</v>
      </c>
      <c r="V297" s="1">
        <f t="shared" si="146"/>
        <v>0</v>
      </c>
      <c r="W297" s="1">
        <f t="shared" si="147"/>
        <v>0</v>
      </c>
      <c r="X297" s="1">
        <f t="shared" si="148"/>
        <v>0</v>
      </c>
      <c r="Y297" s="1">
        <f t="shared" si="149"/>
        <v>0</v>
      </c>
      <c r="Z297" s="1">
        <f t="shared" si="150"/>
        <v>0</v>
      </c>
      <c r="AA297" s="1">
        <f t="shared" si="151"/>
        <v>0</v>
      </c>
      <c r="AB297" s="1">
        <f t="shared" si="152"/>
        <v>0</v>
      </c>
      <c r="AD297" s="1">
        <f t="shared" si="153"/>
        <v>0</v>
      </c>
      <c r="AE297" s="1">
        <f t="shared" si="154"/>
        <v>1</v>
      </c>
      <c r="AF297" s="1">
        <f t="shared" si="139"/>
        <v>0</v>
      </c>
      <c r="AG297" s="1">
        <f t="shared" si="140"/>
        <v>1</v>
      </c>
      <c r="AH297" s="1">
        <f t="shared" si="141"/>
        <v>0</v>
      </c>
      <c r="AI297" s="1">
        <f t="shared" si="142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1307</v>
      </c>
      <c r="E298" s="32" t="s">
        <v>557</v>
      </c>
      <c r="F298" s="32" t="s">
        <v>1135</v>
      </c>
      <c r="G298" s="32" t="s">
        <v>283</v>
      </c>
      <c r="H298" s="32" t="s">
        <v>352</v>
      </c>
      <c r="I298" s="31" t="s">
        <v>1136</v>
      </c>
      <c r="J298" s="31">
        <v>10</v>
      </c>
      <c r="K298" s="33" t="s">
        <v>941</v>
      </c>
      <c r="L298" s="33" t="s">
        <v>709</v>
      </c>
      <c r="M298" s="34" t="s">
        <v>710</v>
      </c>
      <c r="N298" s="34" t="s">
        <v>1731</v>
      </c>
      <c r="O298" s="35">
        <v>1</v>
      </c>
      <c r="P298" s="35"/>
      <c r="Q298" s="32"/>
      <c r="S298" s="1">
        <f t="shared" si="143"/>
        <v>0</v>
      </c>
      <c r="T298" s="1">
        <f t="shared" si="144"/>
        <v>0</v>
      </c>
      <c r="U298" s="1">
        <f t="shared" si="145"/>
        <v>0</v>
      </c>
      <c r="V298" s="1">
        <f t="shared" si="146"/>
        <v>0</v>
      </c>
      <c r="W298" s="1">
        <f t="shared" si="147"/>
        <v>0</v>
      </c>
      <c r="X298" s="1">
        <f t="shared" si="148"/>
        <v>0</v>
      </c>
      <c r="Y298" s="1">
        <f t="shared" si="149"/>
        <v>0</v>
      </c>
      <c r="Z298" s="1">
        <f t="shared" si="150"/>
        <v>0</v>
      </c>
      <c r="AA298" s="1">
        <f t="shared" si="151"/>
        <v>0</v>
      </c>
      <c r="AB298" s="1">
        <f t="shared" si="152"/>
        <v>1</v>
      </c>
      <c r="AD298" s="1">
        <f t="shared" si="153"/>
        <v>0</v>
      </c>
      <c r="AE298" s="1">
        <f t="shared" si="154"/>
        <v>1</v>
      </c>
      <c r="AF298" s="1">
        <f t="shared" si="139"/>
        <v>0</v>
      </c>
      <c r="AG298" s="1">
        <f t="shared" si="140"/>
        <v>1</v>
      </c>
      <c r="AH298" s="1">
        <f t="shared" si="141"/>
        <v>0</v>
      </c>
      <c r="AI298" s="1">
        <f t="shared" si="14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2033</v>
      </c>
      <c r="E299" s="32" t="s">
        <v>36</v>
      </c>
      <c r="F299" s="32" t="s">
        <v>2034</v>
      </c>
      <c r="G299" s="32" t="s">
        <v>1458</v>
      </c>
      <c r="H299" s="32" t="s">
        <v>352</v>
      </c>
      <c r="I299" s="31" t="s">
        <v>2036</v>
      </c>
      <c r="J299" s="31">
        <v>99</v>
      </c>
      <c r="K299" s="33" t="s">
        <v>699</v>
      </c>
      <c r="L299" s="33">
        <v>7</v>
      </c>
      <c r="M299" s="34" t="s">
        <v>2035</v>
      </c>
      <c r="N299" s="34" t="s">
        <v>1706</v>
      </c>
      <c r="O299" s="35">
        <v>1</v>
      </c>
      <c r="P299" s="35">
        <v>1</v>
      </c>
      <c r="Q299" s="32" t="s">
        <v>2037</v>
      </c>
      <c r="S299" s="1">
        <f t="shared" si="143"/>
        <v>0</v>
      </c>
      <c r="T299" s="1">
        <f t="shared" si="144"/>
        <v>0</v>
      </c>
      <c r="U299" s="1">
        <f t="shared" si="145"/>
        <v>0</v>
      </c>
      <c r="V299" s="1">
        <f t="shared" si="146"/>
        <v>0</v>
      </c>
      <c r="W299" s="1">
        <f t="shared" si="147"/>
        <v>0</v>
      </c>
      <c r="X299" s="1">
        <f t="shared" si="148"/>
        <v>0</v>
      </c>
      <c r="Y299" s="1">
        <f t="shared" si="149"/>
        <v>0</v>
      </c>
      <c r="Z299" s="1">
        <f t="shared" si="150"/>
        <v>0</v>
      </c>
      <c r="AA299" s="1">
        <f t="shared" si="151"/>
        <v>0</v>
      </c>
      <c r="AB299" s="1">
        <f t="shared" si="152"/>
        <v>0</v>
      </c>
      <c r="AD299" s="1">
        <f t="shared" si="153"/>
        <v>1</v>
      </c>
      <c r="AE299" s="1">
        <f t="shared" si="154"/>
        <v>0</v>
      </c>
      <c r="AF299" s="1">
        <f t="shared" si="139"/>
        <v>1</v>
      </c>
      <c r="AG299" s="1">
        <f t="shared" si="140"/>
        <v>0</v>
      </c>
      <c r="AH299" s="1">
        <f t="shared" si="141"/>
        <v>1</v>
      </c>
      <c r="AI299" s="1">
        <f t="shared" si="142"/>
        <v>0</v>
      </c>
    </row>
    <row r="300" spans="1:35" ht="14.25" customHeight="1" x14ac:dyDescent="0.25">
      <c r="A300" s="15">
        <v>0</v>
      </c>
      <c r="B300" s="15">
        <v>2</v>
      </c>
      <c r="C300" s="15">
        <v>1</v>
      </c>
      <c r="D300" s="16" t="s">
        <v>508</v>
      </c>
      <c r="E300" s="16" t="s">
        <v>34</v>
      </c>
      <c r="F300" s="16" t="s">
        <v>507</v>
      </c>
      <c r="G300" s="16" t="s">
        <v>542</v>
      </c>
      <c r="H300" s="16" t="s">
        <v>352</v>
      </c>
      <c r="I300" s="15" t="s">
        <v>1342</v>
      </c>
      <c r="J300" s="15">
        <v>99</v>
      </c>
      <c r="K300" s="10" t="s">
        <v>942</v>
      </c>
      <c r="L300" s="10" t="s">
        <v>709</v>
      </c>
      <c r="M300" s="19" t="s">
        <v>710</v>
      </c>
      <c r="N300" s="19"/>
      <c r="Q300" s="20" t="s">
        <v>1977</v>
      </c>
      <c r="S300" s="1">
        <f t="shared" si="143"/>
        <v>0</v>
      </c>
      <c r="T300" s="1">
        <f t="shared" si="144"/>
        <v>0</v>
      </c>
      <c r="U300" s="1">
        <f t="shared" si="145"/>
        <v>0</v>
      </c>
      <c r="V300" s="1">
        <f t="shared" si="146"/>
        <v>0</v>
      </c>
      <c r="W300" s="1">
        <f t="shared" si="147"/>
        <v>0</v>
      </c>
      <c r="X300" s="1">
        <f t="shared" si="148"/>
        <v>0</v>
      </c>
      <c r="Y300" s="1">
        <f t="shared" si="149"/>
        <v>0</v>
      </c>
      <c r="Z300" s="1">
        <f t="shared" si="150"/>
        <v>0</v>
      </c>
      <c r="AA300" s="1">
        <f t="shared" si="151"/>
        <v>0</v>
      </c>
      <c r="AB300" s="1">
        <f t="shared" si="152"/>
        <v>0</v>
      </c>
      <c r="AD300" s="1">
        <f t="shared" si="153"/>
        <v>0</v>
      </c>
      <c r="AE300" s="1">
        <f t="shared" si="154"/>
        <v>0</v>
      </c>
      <c r="AF300" s="1">
        <f t="shared" si="139"/>
        <v>0</v>
      </c>
      <c r="AG300" s="1">
        <f t="shared" si="140"/>
        <v>0</v>
      </c>
      <c r="AH300" s="1">
        <f t="shared" si="141"/>
        <v>0</v>
      </c>
      <c r="AI300" s="1">
        <f t="shared" si="14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1029</v>
      </c>
      <c r="E301" s="32" t="s">
        <v>36</v>
      </c>
      <c r="F301" s="32" t="s">
        <v>1633</v>
      </c>
      <c r="G301" s="32" t="s">
        <v>624</v>
      </c>
      <c r="H301" s="32" t="s">
        <v>352</v>
      </c>
      <c r="I301" s="31" t="s">
        <v>1030</v>
      </c>
      <c r="J301" s="31">
        <v>99</v>
      </c>
      <c r="K301" s="33" t="s">
        <v>946</v>
      </c>
      <c r="L301" s="33" t="s">
        <v>709</v>
      </c>
      <c r="M301" s="34" t="s">
        <v>710</v>
      </c>
      <c r="N301" s="34" t="s">
        <v>1706</v>
      </c>
      <c r="O301" s="35">
        <v>1</v>
      </c>
      <c r="P301" s="35">
        <v>1</v>
      </c>
      <c r="Q301" s="32" t="s">
        <v>1869</v>
      </c>
      <c r="S301" s="1">
        <f t="shared" si="143"/>
        <v>0</v>
      </c>
      <c r="T301" s="1">
        <f t="shared" si="144"/>
        <v>0</v>
      </c>
      <c r="U301" s="1">
        <f t="shared" si="145"/>
        <v>0</v>
      </c>
      <c r="V301" s="1">
        <f t="shared" si="146"/>
        <v>0</v>
      </c>
      <c r="W301" s="1">
        <f t="shared" si="147"/>
        <v>0</v>
      </c>
      <c r="X301" s="1">
        <f t="shared" si="148"/>
        <v>0</v>
      </c>
      <c r="Y301" s="1">
        <f t="shared" si="149"/>
        <v>0</v>
      </c>
      <c r="Z301" s="1">
        <f t="shared" si="150"/>
        <v>0</v>
      </c>
      <c r="AA301" s="1">
        <f t="shared" si="151"/>
        <v>0</v>
      </c>
      <c r="AB301" s="1">
        <f t="shared" si="152"/>
        <v>0</v>
      </c>
      <c r="AD301" s="1">
        <f t="shared" si="153"/>
        <v>1</v>
      </c>
      <c r="AE301" s="1">
        <f t="shared" si="154"/>
        <v>0</v>
      </c>
      <c r="AF301" s="1">
        <f t="shared" si="139"/>
        <v>1</v>
      </c>
      <c r="AG301" s="1">
        <f t="shared" si="140"/>
        <v>0</v>
      </c>
      <c r="AH301" s="1">
        <f t="shared" si="141"/>
        <v>1</v>
      </c>
      <c r="AI301" s="1">
        <f t="shared" si="142"/>
        <v>0</v>
      </c>
    </row>
    <row r="302" spans="1:35" ht="14.25" customHeight="1" x14ac:dyDescent="0.25">
      <c r="A302" s="31">
        <v>1</v>
      </c>
      <c r="B302" s="31">
        <v>2</v>
      </c>
      <c r="C302" s="31">
        <v>1</v>
      </c>
      <c r="D302" s="32" t="s">
        <v>49</v>
      </c>
      <c r="E302" s="32" t="s">
        <v>1294</v>
      </c>
      <c r="F302" s="32" t="s">
        <v>190</v>
      </c>
      <c r="G302" s="32" t="s">
        <v>191</v>
      </c>
      <c r="H302" s="32" t="s">
        <v>352</v>
      </c>
      <c r="I302" s="31" t="s">
        <v>384</v>
      </c>
      <c r="J302" s="31">
        <v>99</v>
      </c>
      <c r="K302" s="33" t="s">
        <v>708</v>
      </c>
      <c r="L302" s="33" t="s">
        <v>709</v>
      </c>
      <c r="M302" s="34" t="s">
        <v>710</v>
      </c>
      <c r="N302" s="34" t="s">
        <v>1726</v>
      </c>
      <c r="O302" s="35">
        <v>1</v>
      </c>
      <c r="P302" s="35"/>
      <c r="Q302" s="32"/>
      <c r="S302" s="1">
        <f t="shared" si="143"/>
        <v>0</v>
      </c>
      <c r="T302" s="1">
        <f t="shared" si="144"/>
        <v>0</v>
      </c>
      <c r="U302" s="1">
        <f t="shared" si="145"/>
        <v>0</v>
      </c>
      <c r="V302" s="1">
        <f t="shared" si="146"/>
        <v>0</v>
      </c>
      <c r="W302" s="1">
        <f t="shared" si="147"/>
        <v>0</v>
      </c>
      <c r="X302" s="1">
        <f t="shared" si="148"/>
        <v>0</v>
      </c>
      <c r="Y302" s="1">
        <f t="shared" si="149"/>
        <v>0</v>
      </c>
      <c r="Z302" s="1">
        <f t="shared" si="150"/>
        <v>0</v>
      </c>
      <c r="AA302" s="1">
        <f t="shared" si="151"/>
        <v>0</v>
      </c>
      <c r="AB302" s="1">
        <f t="shared" si="152"/>
        <v>0</v>
      </c>
      <c r="AD302" s="1">
        <f t="shared" si="153"/>
        <v>0</v>
      </c>
      <c r="AE302" s="1">
        <f t="shared" si="154"/>
        <v>1</v>
      </c>
      <c r="AF302" s="1">
        <f t="shared" si="139"/>
        <v>0</v>
      </c>
      <c r="AG302" s="1">
        <f t="shared" si="140"/>
        <v>0</v>
      </c>
      <c r="AH302" s="1">
        <f t="shared" si="141"/>
        <v>0</v>
      </c>
      <c r="AI302" s="1">
        <f t="shared" si="142"/>
        <v>0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1061</v>
      </c>
      <c r="E303" s="32" t="s">
        <v>1294</v>
      </c>
      <c r="F303" s="32" t="s">
        <v>1076</v>
      </c>
      <c r="G303" s="32" t="s">
        <v>201</v>
      </c>
      <c r="H303" s="32" t="s">
        <v>352</v>
      </c>
      <c r="I303" s="31" t="s">
        <v>384</v>
      </c>
      <c r="J303" s="31">
        <v>10</v>
      </c>
      <c r="K303" s="33" t="s">
        <v>708</v>
      </c>
      <c r="L303" s="33" t="s">
        <v>709</v>
      </c>
      <c r="M303" s="34" t="s">
        <v>710</v>
      </c>
      <c r="N303" s="34" t="s">
        <v>1726</v>
      </c>
      <c r="O303" s="35">
        <v>1</v>
      </c>
      <c r="P303" s="35"/>
      <c r="Q303" s="32"/>
      <c r="S303" s="1">
        <f t="shared" si="143"/>
        <v>0</v>
      </c>
      <c r="T303" s="1">
        <f t="shared" si="144"/>
        <v>0</v>
      </c>
      <c r="U303" s="1">
        <f t="shared" si="145"/>
        <v>0</v>
      </c>
      <c r="V303" s="1">
        <f t="shared" si="146"/>
        <v>0</v>
      </c>
      <c r="W303" s="1">
        <f t="shared" si="147"/>
        <v>0</v>
      </c>
      <c r="X303" s="1">
        <f t="shared" si="148"/>
        <v>0</v>
      </c>
      <c r="Y303" s="1">
        <f t="shared" si="149"/>
        <v>0</v>
      </c>
      <c r="Z303" s="1">
        <f t="shared" si="150"/>
        <v>0</v>
      </c>
      <c r="AA303" s="1">
        <f t="shared" si="151"/>
        <v>0</v>
      </c>
      <c r="AB303" s="1">
        <f t="shared" si="152"/>
        <v>1</v>
      </c>
      <c r="AD303" s="1">
        <f t="shared" si="153"/>
        <v>0</v>
      </c>
      <c r="AE303" s="1">
        <f t="shared" si="154"/>
        <v>1</v>
      </c>
      <c r="AF303" s="1">
        <f t="shared" si="139"/>
        <v>0</v>
      </c>
      <c r="AG303" s="1">
        <f t="shared" si="140"/>
        <v>1</v>
      </c>
      <c r="AH303" s="1">
        <f t="shared" si="141"/>
        <v>0</v>
      </c>
      <c r="AI303" s="1">
        <f t="shared" si="142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1253</v>
      </c>
      <c r="E304" s="32" t="s">
        <v>557</v>
      </c>
      <c r="F304" s="32" t="s">
        <v>1254</v>
      </c>
      <c r="G304" s="32" t="s">
        <v>257</v>
      </c>
      <c r="H304" s="32" t="s">
        <v>352</v>
      </c>
      <c r="I304" s="31" t="s">
        <v>1255</v>
      </c>
      <c r="J304" s="31">
        <v>8</v>
      </c>
      <c r="K304" s="33" t="s">
        <v>941</v>
      </c>
      <c r="L304" s="33" t="s">
        <v>709</v>
      </c>
      <c r="M304" s="34" t="s">
        <v>710</v>
      </c>
      <c r="N304" s="34" t="s">
        <v>1718</v>
      </c>
      <c r="O304" s="35">
        <v>1</v>
      </c>
      <c r="P304" s="35"/>
      <c r="Q304" s="32"/>
      <c r="S304" s="1">
        <f t="shared" si="143"/>
        <v>0</v>
      </c>
      <c r="T304" s="1">
        <f t="shared" si="144"/>
        <v>0</v>
      </c>
      <c r="U304" s="1">
        <f t="shared" si="145"/>
        <v>0</v>
      </c>
      <c r="V304" s="1">
        <f t="shared" si="146"/>
        <v>0</v>
      </c>
      <c r="W304" s="1">
        <f t="shared" si="147"/>
        <v>0</v>
      </c>
      <c r="X304" s="1">
        <f t="shared" si="148"/>
        <v>0</v>
      </c>
      <c r="Y304" s="1">
        <f t="shared" si="149"/>
        <v>0</v>
      </c>
      <c r="Z304" s="1">
        <f t="shared" si="150"/>
        <v>1</v>
      </c>
      <c r="AA304" s="1">
        <f t="shared" si="151"/>
        <v>0</v>
      </c>
      <c r="AB304" s="1">
        <f t="shared" si="152"/>
        <v>0</v>
      </c>
      <c r="AD304" s="1">
        <f t="shared" si="153"/>
        <v>0</v>
      </c>
      <c r="AE304" s="1">
        <f t="shared" si="154"/>
        <v>1</v>
      </c>
      <c r="AF304" s="1">
        <f t="shared" si="139"/>
        <v>0</v>
      </c>
      <c r="AG304" s="1">
        <f t="shared" si="140"/>
        <v>1</v>
      </c>
      <c r="AH304" s="1">
        <f t="shared" si="141"/>
        <v>0</v>
      </c>
      <c r="AI304" s="1">
        <f t="shared" si="142"/>
        <v>1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48</v>
      </c>
      <c r="E305" s="16" t="s">
        <v>574</v>
      </c>
      <c r="F305" s="16" t="s">
        <v>188</v>
      </c>
      <c r="G305" s="16" t="s">
        <v>298</v>
      </c>
      <c r="H305" s="16" t="s">
        <v>352</v>
      </c>
      <c r="I305" s="15" t="s">
        <v>383</v>
      </c>
      <c r="J305" s="15">
        <v>99</v>
      </c>
      <c r="K305" s="10" t="s">
        <v>709</v>
      </c>
      <c r="L305" s="10" t="s">
        <v>709</v>
      </c>
      <c r="M305" s="19" t="s">
        <v>710</v>
      </c>
      <c r="N305" s="19"/>
      <c r="Q305" s="16"/>
      <c r="S305" s="1">
        <f t="shared" si="143"/>
        <v>0</v>
      </c>
      <c r="T305" s="1">
        <f t="shared" si="144"/>
        <v>0</v>
      </c>
      <c r="U305" s="1">
        <f t="shared" si="145"/>
        <v>0</v>
      </c>
      <c r="V305" s="1">
        <f t="shared" si="146"/>
        <v>0</v>
      </c>
      <c r="W305" s="1">
        <f t="shared" si="147"/>
        <v>0</v>
      </c>
      <c r="X305" s="1">
        <f t="shared" si="148"/>
        <v>0</v>
      </c>
      <c r="Y305" s="1">
        <f t="shared" si="149"/>
        <v>0</v>
      </c>
      <c r="Z305" s="1">
        <f t="shared" si="150"/>
        <v>0</v>
      </c>
      <c r="AA305" s="1">
        <f t="shared" si="151"/>
        <v>0</v>
      </c>
      <c r="AB305" s="1">
        <f t="shared" si="152"/>
        <v>0</v>
      </c>
      <c r="AD305" s="1">
        <f t="shared" si="153"/>
        <v>0</v>
      </c>
      <c r="AE305" s="1">
        <f t="shared" si="154"/>
        <v>0</v>
      </c>
      <c r="AF305" s="1">
        <f t="shared" si="139"/>
        <v>0</v>
      </c>
      <c r="AG305" s="1">
        <f t="shared" si="140"/>
        <v>0</v>
      </c>
      <c r="AH305" s="1">
        <f t="shared" si="141"/>
        <v>0</v>
      </c>
      <c r="AI305" s="1">
        <f t="shared" si="142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57</v>
      </c>
      <c r="E306" s="32" t="s">
        <v>161</v>
      </c>
      <c r="F306" s="32" t="s">
        <v>662</v>
      </c>
      <c r="G306" s="32" t="s">
        <v>220</v>
      </c>
      <c r="H306" s="32" t="s">
        <v>352</v>
      </c>
      <c r="I306" s="31" t="s">
        <v>394</v>
      </c>
      <c r="J306" s="31">
        <v>99</v>
      </c>
      <c r="K306" s="33" t="s">
        <v>948</v>
      </c>
      <c r="L306" s="33" t="s">
        <v>709</v>
      </c>
      <c r="M306" s="34" t="s">
        <v>710</v>
      </c>
      <c r="N306" s="34" t="s">
        <v>1714</v>
      </c>
      <c r="O306" s="35">
        <v>1</v>
      </c>
      <c r="P306" s="35"/>
      <c r="Q306" s="32"/>
      <c r="S306" s="1">
        <f t="shared" si="143"/>
        <v>0</v>
      </c>
      <c r="T306" s="1">
        <f t="shared" si="144"/>
        <v>0</v>
      </c>
      <c r="U306" s="1">
        <f t="shared" si="145"/>
        <v>0</v>
      </c>
      <c r="V306" s="1">
        <f t="shared" si="146"/>
        <v>0</v>
      </c>
      <c r="W306" s="1">
        <f t="shared" si="147"/>
        <v>0</v>
      </c>
      <c r="X306" s="1">
        <f t="shared" si="148"/>
        <v>0</v>
      </c>
      <c r="Y306" s="1">
        <f t="shared" si="149"/>
        <v>0</v>
      </c>
      <c r="Z306" s="1">
        <f t="shared" si="150"/>
        <v>0</v>
      </c>
      <c r="AA306" s="1">
        <f t="shared" si="151"/>
        <v>0</v>
      </c>
      <c r="AB306" s="1">
        <f t="shared" si="152"/>
        <v>0</v>
      </c>
      <c r="AD306" s="1">
        <f t="shared" si="153"/>
        <v>0</v>
      </c>
      <c r="AE306" s="1">
        <f t="shared" si="154"/>
        <v>1</v>
      </c>
      <c r="AF306" s="1">
        <f t="shared" si="139"/>
        <v>0</v>
      </c>
      <c r="AG306" s="1">
        <f t="shared" si="140"/>
        <v>1</v>
      </c>
      <c r="AH306" s="1">
        <f t="shared" si="141"/>
        <v>0</v>
      </c>
      <c r="AI306" s="1">
        <f t="shared" si="142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511</v>
      </c>
      <c r="E307" s="32" t="s">
        <v>557</v>
      </c>
      <c r="F307" s="32" t="s">
        <v>228</v>
      </c>
      <c r="G307" s="32" t="s">
        <v>229</v>
      </c>
      <c r="H307" s="32" t="s">
        <v>352</v>
      </c>
      <c r="I307" s="31" t="s">
        <v>398</v>
      </c>
      <c r="J307" s="31">
        <v>7</v>
      </c>
      <c r="K307" s="33" t="s">
        <v>941</v>
      </c>
      <c r="L307" s="33" t="s">
        <v>709</v>
      </c>
      <c r="M307" s="34" t="s">
        <v>710</v>
      </c>
      <c r="N307" s="34" t="s">
        <v>1719</v>
      </c>
      <c r="O307" s="35">
        <v>1</v>
      </c>
      <c r="P307" s="35"/>
      <c r="Q307" s="32"/>
      <c r="S307" s="1">
        <f t="shared" si="143"/>
        <v>0</v>
      </c>
      <c r="T307" s="1">
        <f t="shared" si="144"/>
        <v>0</v>
      </c>
      <c r="U307" s="1">
        <f t="shared" si="145"/>
        <v>0</v>
      </c>
      <c r="V307" s="1">
        <f t="shared" si="146"/>
        <v>0</v>
      </c>
      <c r="W307" s="1">
        <f t="shared" si="147"/>
        <v>0</v>
      </c>
      <c r="X307" s="1">
        <f t="shared" si="148"/>
        <v>0</v>
      </c>
      <c r="Y307" s="1">
        <f t="shared" si="149"/>
        <v>1</v>
      </c>
      <c r="Z307" s="1">
        <f t="shared" si="150"/>
        <v>0</v>
      </c>
      <c r="AA307" s="1">
        <f t="shared" si="151"/>
        <v>0</v>
      </c>
      <c r="AB307" s="1">
        <f t="shared" si="152"/>
        <v>0</v>
      </c>
      <c r="AD307" s="1">
        <f t="shared" si="153"/>
        <v>0</v>
      </c>
      <c r="AE307" s="1">
        <f t="shared" si="154"/>
        <v>1</v>
      </c>
      <c r="AF307" s="1">
        <f t="shared" si="139"/>
        <v>0</v>
      </c>
      <c r="AG307" s="1">
        <f t="shared" si="140"/>
        <v>1</v>
      </c>
      <c r="AH307" s="1">
        <f t="shared" si="141"/>
        <v>0</v>
      </c>
      <c r="AI307" s="1">
        <f t="shared" si="142"/>
        <v>1</v>
      </c>
    </row>
    <row r="308" spans="1:35" ht="14.25" customHeight="1" x14ac:dyDescent="0.25">
      <c r="A308" s="15">
        <v>0</v>
      </c>
      <c r="B308" s="15">
        <v>2</v>
      </c>
      <c r="C308" s="15">
        <v>1</v>
      </c>
      <c r="D308" s="16" t="s">
        <v>556</v>
      </c>
      <c r="E308" s="16" t="s">
        <v>557</v>
      </c>
      <c r="F308" s="16" t="s">
        <v>558</v>
      </c>
      <c r="G308" s="16" t="s">
        <v>207</v>
      </c>
      <c r="H308" s="16" t="s">
        <v>352</v>
      </c>
      <c r="I308" s="15" t="s">
        <v>559</v>
      </c>
      <c r="J308" s="15">
        <v>3</v>
      </c>
      <c r="K308" s="10" t="s">
        <v>708</v>
      </c>
      <c r="L308" s="10" t="s">
        <v>709</v>
      </c>
      <c r="M308" s="19" t="s">
        <v>710</v>
      </c>
      <c r="N308" s="19"/>
      <c r="Q308" s="16"/>
      <c r="S308" s="1">
        <f t="shared" si="143"/>
        <v>0</v>
      </c>
      <c r="T308" s="1">
        <f t="shared" si="144"/>
        <v>0</v>
      </c>
      <c r="U308" s="1">
        <f t="shared" si="145"/>
        <v>1</v>
      </c>
      <c r="V308" s="1">
        <f t="shared" si="146"/>
        <v>0</v>
      </c>
      <c r="W308" s="1">
        <f t="shared" si="147"/>
        <v>0</v>
      </c>
      <c r="X308" s="1">
        <f t="shared" si="148"/>
        <v>0</v>
      </c>
      <c r="Y308" s="1">
        <f t="shared" si="149"/>
        <v>0</v>
      </c>
      <c r="Z308" s="1">
        <f t="shared" si="150"/>
        <v>0</v>
      </c>
      <c r="AA308" s="1">
        <f t="shared" si="151"/>
        <v>0</v>
      </c>
      <c r="AB308" s="1">
        <f t="shared" si="152"/>
        <v>0</v>
      </c>
      <c r="AD308" s="1">
        <f t="shared" si="153"/>
        <v>0</v>
      </c>
      <c r="AE308" s="1">
        <f t="shared" si="154"/>
        <v>0</v>
      </c>
      <c r="AF308" s="1">
        <f t="shared" si="139"/>
        <v>0</v>
      </c>
      <c r="AG308" s="1">
        <f t="shared" si="140"/>
        <v>0</v>
      </c>
      <c r="AH308" s="1">
        <f t="shared" si="141"/>
        <v>0</v>
      </c>
      <c r="AI308" s="1">
        <f t="shared" si="142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1040</v>
      </c>
      <c r="E309" s="36" t="s">
        <v>32</v>
      </c>
      <c r="F309" s="36" t="s">
        <v>1257</v>
      </c>
      <c r="G309" s="36" t="s">
        <v>531</v>
      </c>
      <c r="H309" s="36" t="s">
        <v>352</v>
      </c>
      <c r="I309" s="37" t="s">
        <v>1258</v>
      </c>
      <c r="J309" s="37">
        <v>6</v>
      </c>
      <c r="K309" s="50" t="s">
        <v>709</v>
      </c>
      <c r="L309" s="33" t="s">
        <v>709</v>
      </c>
      <c r="M309" s="34" t="s">
        <v>710</v>
      </c>
      <c r="N309" s="34" t="s">
        <v>1718</v>
      </c>
      <c r="O309" s="35">
        <v>1</v>
      </c>
      <c r="P309" s="35"/>
      <c r="Q309" s="36"/>
      <c r="S309" s="1">
        <f t="shared" si="143"/>
        <v>0</v>
      </c>
      <c r="T309" s="1">
        <f t="shared" si="144"/>
        <v>0</v>
      </c>
      <c r="U309" s="1">
        <f t="shared" si="145"/>
        <v>0</v>
      </c>
      <c r="V309" s="1">
        <f t="shared" si="146"/>
        <v>0</v>
      </c>
      <c r="W309" s="1">
        <f t="shared" si="147"/>
        <v>0</v>
      </c>
      <c r="X309" s="1">
        <f t="shared" si="148"/>
        <v>1</v>
      </c>
      <c r="Y309" s="1">
        <f t="shared" si="149"/>
        <v>0</v>
      </c>
      <c r="Z309" s="1">
        <f t="shared" si="150"/>
        <v>0</v>
      </c>
      <c r="AA309" s="1">
        <f t="shared" si="151"/>
        <v>0</v>
      </c>
      <c r="AB309" s="1">
        <f t="shared" si="152"/>
        <v>0</v>
      </c>
      <c r="AD309" s="1">
        <f t="shared" si="153"/>
        <v>0</v>
      </c>
      <c r="AE309" s="1">
        <f t="shared" si="154"/>
        <v>1</v>
      </c>
      <c r="AF309" s="1">
        <f t="shared" si="139"/>
        <v>0</v>
      </c>
      <c r="AG309" s="1">
        <f t="shared" si="140"/>
        <v>1</v>
      </c>
      <c r="AH309" s="1">
        <f t="shared" si="141"/>
        <v>0</v>
      </c>
      <c r="AI309" s="1">
        <f t="shared" si="142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57" t="s">
        <v>906</v>
      </c>
      <c r="E310" s="45" t="s">
        <v>1313</v>
      </c>
      <c r="F310" s="45" t="s">
        <v>780</v>
      </c>
      <c r="G310" s="45" t="s">
        <v>256</v>
      </c>
      <c r="H310" s="45" t="s">
        <v>352</v>
      </c>
      <c r="I310" s="44" t="s">
        <v>932</v>
      </c>
      <c r="J310" s="44">
        <v>99</v>
      </c>
      <c r="K310" s="46" t="s">
        <v>708</v>
      </c>
      <c r="L310" s="46" t="s">
        <v>709</v>
      </c>
      <c r="M310" s="47" t="s">
        <v>710</v>
      </c>
      <c r="N310" s="47" t="s">
        <v>1707</v>
      </c>
      <c r="O310" s="48"/>
      <c r="P310" s="48"/>
      <c r="Q310" s="45"/>
      <c r="S310" s="1">
        <f t="shared" si="143"/>
        <v>0</v>
      </c>
      <c r="T310" s="1">
        <f t="shared" si="144"/>
        <v>0</v>
      </c>
      <c r="U310" s="1">
        <f t="shared" si="145"/>
        <v>0</v>
      </c>
      <c r="V310" s="1">
        <f t="shared" si="146"/>
        <v>0</v>
      </c>
      <c r="W310" s="1">
        <f t="shared" si="147"/>
        <v>0</v>
      </c>
      <c r="X310" s="1">
        <f t="shared" si="148"/>
        <v>0</v>
      </c>
      <c r="Y310" s="1">
        <f t="shared" si="149"/>
        <v>0</v>
      </c>
      <c r="Z310" s="1">
        <f t="shared" si="150"/>
        <v>0</v>
      </c>
      <c r="AA310" s="1">
        <f t="shared" si="151"/>
        <v>0</v>
      </c>
      <c r="AB310" s="1">
        <f t="shared" si="152"/>
        <v>0</v>
      </c>
      <c r="AD310" s="1">
        <f t="shared" si="153"/>
        <v>0</v>
      </c>
      <c r="AE310" s="1">
        <f t="shared" si="154"/>
        <v>0</v>
      </c>
      <c r="AF310" s="1">
        <f t="shared" si="139"/>
        <v>0</v>
      </c>
      <c r="AG310" s="1">
        <f t="shared" si="140"/>
        <v>0</v>
      </c>
      <c r="AH310" s="1">
        <f t="shared" si="141"/>
        <v>0</v>
      </c>
      <c r="AI310" s="1">
        <f t="shared" si="142"/>
        <v>1</v>
      </c>
    </row>
    <row r="311" spans="1:35" ht="14.25" customHeight="1" x14ac:dyDescent="0.25">
      <c r="A311" s="37">
        <v>0</v>
      </c>
      <c r="B311" s="37">
        <v>2</v>
      </c>
      <c r="C311" s="37">
        <v>1</v>
      </c>
      <c r="D311" s="36" t="s">
        <v>1741</v>
      </c>
      <c r="E311" s="36" t="s">
        <v>1742</v>
      </c>
      <c r="F311" s="36" t="s">
        <v>1743</v>
      </c>
      <c r="G311" s="36" t="s">
        <v>179</v>
      </c>
      <c r="H311" s="36" t="s">
        <v>352</v>
      </c>
      <c r="I311" s="37" t="s">
        <v>1744</v>
      </c>
      <c r="J311" s="37"/>
      <c r="K311" s="50" t="s">
        <v>699</v>
      </c>
      <c r="L311" s="33">
        <v>4</v>
      </c>
      <c r="M311" s="34" t="s">
        <v>710</v>
      </c>
      <c r="N311" s="34" t="s">
        <v>1714</v>
      </c>
      <c r="O311" s="35">
        <v>1</v>
      </c>
      <c r="P311" s="35"/>
      <c r="Q311" s="36"/>
      <c r="S311" s="1">
        <f t="shared" si="143"/>
        <v>0</v>
      </c>
      <c r="T311" s="1">
        <f t="shared" si="144"/>
        <v>0</v>
      </c>
      <c r="U311" s="1">
        <f t="shared" si="145"/>
        <v>0</v>
      </c>
      <c r="V311" s="1">
        <f t="shared" si="146"/>
        <v>0</v>
      </c>
      <c r="W311" s="1">
        <f t="shared" si="147"/>
        <v>0</v>
      </c>
      <c r="X311" s="1">
        <f t="shared" si="148"/>
        <v>0</v>
      </c>
      <c r="Y311" s="1">
        <f t="shared" si="149"/>
        <v>0</v>
      </c>
      <c r="Z311" s="1">
        <f t="shared" si="150"/>
        <v>0</v>
      </c>
      <c r="AA311" s="1">
        <f t="shared" si="151"/>
        <v>0</v>
      </c>
      <c r="AB311" s="1">
        <f t="shared" si="152"/>
        <v>0</v>
      </c>
      <c r="AD311" s="1">
        <f t="shared" si="153"/>
        <v>0</v>
      </c>
      <c r="AE311" s="1">
        <f t="shared" si="154"/>
        <v>1</v>
      </c>
      <c r="AF311" s="1">
        <f t="shared" si="139"/>
        <v>0</v>
      </c>
      <c r="AG311" s="1">
        <f t="shared" si="140"/>
        <v>1</v>
      </c>
      <c r="AH311" s="1">
        <f t="shared" si="141"/>
        <v>0</v>
      </c>
      <c r="AI311" s="1">
        <f t="shared" si="14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615</v>
      </c>
      <c r="E312" s="32" t="s">
        <v>616</v>
      </c>
      <c r="F312" s="32" t="s">
        <v>617</v>
      </c>
      <c r="G312" s="32" t="s">
        <v>618</v>
      </c>
      <c r="H312" s="32" t="s">
        <v>352</v>
      </c>
      <c r="I312" s="31" t="s">
        <v>619</v>
      </c>
      <c r="J312" s="31">
        <v>99</v>
      </c>
      <c r="K312" s="33" t="s">
        <v>708</v>
      </c>
      <c r="L312" s="33" t="s">
        <v>709</v>
      </c>
      <c r="M312" s="34" t="s">
        <v>710</v>
      </c>
      <c r="N312" s="34" t="s">
        <v>1726</v>
      </c>
      <c r="O312" s="35">
        <v>1</v>
      </c>
      <c r="P312" s="35"/>
      <c r="Q312" s="32"/>
      <c r="S312" s="1">
        <f t="shared" si="143"/>
        <v>0</v>
      </c>
      <c r="T312" s="1">
        <f t="shared" si="144"/>
        <v>0</v>
      </c>
      <c r="U312" s="1">
        <f t="shared" si="145"/>
        <v>0</v>
      </c>
      <c r="V312" s="1">
        <f t="shared" si="146"/>
        <v>0</v>
      </c>
      <c r="W312" s="1">
        <f t="shared" si="147"/>
        <v>0</v>
      </c>
      <c r="X312" s="1">
        <f t="shared" si="148"/>
        <v>0</v>
      </c>
      <c r="Y312" s="1">
        <f t="shared" si="149"/>
        <v>0</v>
      </c>
      <c r="Z312" s="1">
        <f t="shared" si="150"/>
        <v>0</v>
      </c>
      <c r="AA312" s="1">
        <f t="shared" si="151"/>
        <v>0</v>
      </c>
      <c r="AB312" s="1">
        <f t="shared" si="152"/>
        <v>0</v>
      </c>
      <c r="AD312" s="1">
        <f t="shared" si="153"/>
        <v>0</v>
      </c>
      <c r="AE312" s="1">
        <f t="shared" si="154"/>
        <v>1</v>
      </c>
      <c r="AF312" s="1">
        <f t="shared" si="139"/>
        <v>0</v>
      </c>
      <c r="AG312" s="1">
        <f t="shared" si="140"/>
        <v>1</v>
      </c>
      <c r="AH312" s="1">
        <f t="shared" si="141"/>
        <v>0</v>
      </c>
      <c r="AI312" s="1">
        <f t="shared" si="142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1067</v>
      </c>
      <c r="E313" s="32" t="s">
        <v>1314</v>
      </c>
      <c r="F313" s="32" t="s">
        <v>1637</v>
      </c>
      <c r="G313" s="32" t="s">
        <v>189</v>
      </c>
      <c r="H313" s="32" t="s">
        <v>352</v>
      </c>
      <c r="I313" s="31" t="s">
        <v>1831</v>
      </c>
      <c r="J313" s="31">
        <v>99</v>
      </c>
      <c r="K313" s="33" t="s">
        <v>708</v>
      </c>
      <c r="L313" s="33" t="s">
        <v>709</v>
      </c>
      <c r="M313" s="34" t="s">
        <v>710</v>
      </c>
      <c r="N313" s="34" t="s">
        <v>1714</v>
      </c>
      <c r="O313" s="35">
        <v>1</v>
      </c>
      <c r="P313" s="35"/>
      <c r="Q313" s="32"/>
      <c r="S313" s="1">
        <f t="shared" si="143"/>
        <v>0</v>
      </c>
      <c r="T313" s="1">
        <f t="shared" si="144"/>
        <v>0</v>
      </c>
      <c r="U313" s="1">
        <f t="shared" si="145"/>
        <v>0</v>
      </c>
      <c r="V313" s="1">
        <f t="shared" si="146"/>
        <v>0</v>
      </c>
      <c r="W313" s="1">
        <f t="shared" si="147"/>
        <v>0</v>
      </c>
      <c r="X313" s="1">
        <f t="shared" si="148"/>
        <v>0</v>
      </c>
      <c r="Y313" s="1">
        <f t="shared" si="149"/>
        <v>0</v>
      </c>
      <c r="Z313" s="1">
        <f t="shared" si="150"/>
        <v>0</v>
      </c>
      <c r="AA313" s="1">
        <f t="shared" si="151"/>
        <v>0</v>
      </c>
      <c r="AB313" s="1">
        <f t="shared" si="152"/>
        <v>0</v>
      </c>
      <c r="AD313" s="1">
        <f t="shared" si="153"/>
        <v>0</v>
      </c>
      <c r="AE313" s="1">
        <f t="shared" si="154"/>
        <v>1</v>
      </c>
      <c r="AF313" s="1">
        <f t="shared" si="139"/>
        <v>0</v>
      </c>
      <c r="AG313" s="1">
        <f t="shared" si="140"/>
        <v>1</v>
      </c>
      <c r="AH313" s="1">
        <f t="shared" si="141"/>
        <v>0</v>
      </c>
      <c r="AI313" s="1">
        <f t="shared" si="142"/>
        <v>1</v>
      </c>
    </row>
    <row r="314" spans="1:35" ht="14.25" customHeight="1" x14ac:dyDescent="0.25">
      <c r="A314" s="15">
        <v>0</v>
      </c>
      <c r="B314" s="15">
        <v>2</v>
      </c>
      <c r="C314" s="15">
        <v>1</v>
      </c>
      <c r="D314" s="16" t="s">
        <v>647</v>
      </c>
      <c r="E314" s="16" t="s">
        <v>36</v>
      </c>
      <c r="F314" s="16" t="s">
        <v>663</v>
      </c>
      <c r="G314" s="16" t="s">
        <v>200</v>
      </c>
      <c r="H314" s="16" t="s">
        <v>352</v>
      </c>
      <c r="I314" s="15" t="s">
        <v>992</v>
      </c>
      <c r="J314" s="15">
        <v>99</v>
      </c>
      <c r="K314" s="10" t="s">
        <v>699</v>
      </c>
      <c r="L314" s="10">
        <v>4</v>
      </c>
      <c r="M314" s="19" t="s">
        <v>710</v>
      </c>
      <c r="N314" s="17"/>
      <c r="Q314" s="16"/>
      <c r="S314" s="1">
        <f t="shared" si="143"/>
        <v>0</v>
      </c>
      <c r="T314" s="1">
        <f t="shared" si="144"/>
        <v>0</v>
      </c>
      <c r="U314" s="1">
        <f t="shared" si="145"/>
        <v>0</v>
      </c>
      <c r="V314" s="1">
        <f t="shared" si="146"/>
        <v>0</v>
      </c>
      <c r="W314" s="1">
        <f t="shared" si="147"/>
        <v>0</v>
      </c>
      <c r="X314" s="1">
        <f t="shared" si="148"/>
        <v>0</v>
      </c>
      <c r="Y314" s="1">
        <f t="shared" si="149"/>
        <v>0</v>
      </c>
      <c r="Z314" s="1">
        <f t="shared" si="150"/>
        <v>0</v>
      </c>
      <c r="AA314" s="1">
        <f t="shared" si="151"/>
        <v>0</v>
      </c>
      <c r="AB314" s="1">
        <f t="shared" si="152"/>
        <v>0</v>
      </c>
      <c r="AD314" s="1">
        <f t="shared" si="153"/>
        <v>0</v>
      </c>
      <c r="AE314" s="1">
        <f t="shared" si="154"/>
        <v>0</v>
      </c>
      <c r="AF314" s="1">
        <f t="shared" si="139"/>
        <v>0</v>
      </c>
      <c r="AG314" s="1">
        <f t="shared" si="140"/>
        <v>0</v>
      </c>
      <c r="AH314" s="1">
        <f t="shared" si="141"/>
        <v>0</v>
      </c>
      <c r="AI314" s="1">
        <f t="shared" si="142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1244</v>
      </c>
      <c r="E315" s="45" t="s">
        <v>1245</v>
      </c>
      <c r="F315" s="45" t="s">
        <v>1246</v>
      </c>
      <c r="G315" s="45" t="s">
        <v>1149</v>
      </c>
      <c r="H315" s="45" t="s">
        <v>352</v>
      </c>
      <c r="I315" s="44" t="s">
        <v>1247</v>
      </c>
      <c r="J315" s="44">
        <v>11</v>
      </c>
      <c r="K315" s="46" t="s">
        <v>699</v>
      </c>
      <c r="L315" s="46">
        <v>6</v>
      </c>
      <c r="M315" s="47" t="s">
        <v>1701</v>
      </c>
      <c r="N315" s="47" t="s">
        <v>1779</v>
      </c>
      <c r="O315" s="48"/>
      <c r="P315" s="48"/>
      <c r="Q315" s="45"/>
      <c r="S315" s="1">
        <f t="shared" si="143"/>
        <v>0</v>
      </c>
      <c r="T315" s="1">
        <f t="shared" si="144"/>
        <v>0</v>
      </c>
      <c r="U315" s="1">
        <f t="shared" si="145"/>
        <v>0</v>
      </c>
      <c r="V315" s="1">
        <f t="shared" si="146"/>
        <v>0</v>
      </c>
      <c r="W315" s="1">
        <f t="shared" si="147"/>
        <v>0</v>
      </c>
      <c r="X315" s="1">
        <f t="shared" si="148"/>
        <v>0</v>
      </c>
      <c r="Y315" s="1">
        <f t="shared" si="149"/>
        <v>0</v>
      </c>
      <c r="Z315" s="1">
        <f t="shared" si="150"/>
        <v>0</v>
      </c>
      <c r="AA315" s="1">
        <f t="shared" si="151"/>
        <v>0</v>
      </c>
      <c r="AB315" s="1">
        <f t="shared" si="152"/>
        <v>0</v>
      </c>
      <c r="AD315" s="1">
        <f t="shared" si="153"/>
        <v>0</v>
      </c>
      <c r="AE315" s="1">
        <f t="shared" si="154"/>
        <v>0</v>
      </c>
      <c r="AF315" s="1">
        <f t="shared" si="139"/>
        <v>0</v>
      </c>
      <c r="AG315" s="1">
        <f t="shared" si="140"/>
        <v>0</v>
      </c>
      <c r="AH315" s="1">
        <f t="shared" si="141"/>
        <v>0</v>
      </c>
      <c r="AI315" s="1">
        <f t="shared" si="14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1110</v>
      </c>
      <c r="E316" s="32" t="s">
        <v>1294</v>
      </c>
      <c r="F316" s="32" t="s">
        <v>1108</v>
      </c>
      <c r="G316" s="32" t="s">
        <v>229</v>
      </c>
      <c r="H316" s="32" t="s">
        <v>352</v>
      </c>
      <c r="I316" s="31" t="s">
        <v>1109</v>
      </c>
      <c r="J316" s="31">
        <v>7</v>
      </c>
      <c r="K316" s="33" t="s">
        <v>709</v>
      </c>
      <c r="L316" s="33" t="s">
        <v>1682</v>
      </c>
      <c r="M316" s="34" t="s">
        <v>710</v>
      </c>
      <c r="N316" s="34" t="s">
        <v>1726</v>
      </c>
      <c r="O316" s="35">
        <v>1</v>
      </c>
      <c r="P316" s="35"/>
      <c r="Q316" s="32"/>
      <c r="S316" s="1">
        <f t="shared" si="143"/>
        <v>0</v>
      </c>
      <c r="T316" s="1">
        <f t="shared" si="144"/>
        <v>0</v>
      </c>
      <c r="U316" s="1">
        <f t="shared" si="145"/>
        <v>0</v>
      </c>
      <c r="V316" s="1">
        <f t="shared" si="146"/>
        <v>0</v>
      </c>
      <c r="W316" s="1">
        <f t="shared" si="147"/>
        <v>0</v>
      </c>
      <c r="X316" s="1">
        <f t="shared" si="148"/>
        <v>0</v>
      </c>
      <c r="Y316" s="1">
        <f t="shared" si="149"/>
        <v>1</v>
      </c>
      <c r="Z316" s="1">
        <f t="shared" si="150"/>
        <v>0</v>
      </c>
      <c r="AA316" s="1">
        <f t="shared" si="151"/>
        <v>0</v>
      </c>
      <c r="AB316" s="1">
        <f t="shared" si="152"/>
        <v>0</v>
      </c>
      <c r="AD316" s="1">
        <f t="shared" si="153"/>
        <v>0</v>
      </c>
      <c r="AE316" s="1">
        <f t="shared" si="154"/>
        <v>1</v>
      </c>
      <c r="AF316" s="1">
        <f t="shared" si="139"/>
        <v>0</v>
      </c>
      <c r="AG316" s="1">
        <f t="shared" si="140"/>
        <v>1</v>
      </c>
      <c r="AH316" s="1">
        <f t="shared" si="141"/>
        <v>0</v>
      </c>
      <c r="AI316" s="1">
        <f t="shared" si="14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995</v>
      </c>
      <c r="E317" s="32" t="s">
        <v>1316</v>
      </c>
      <c r="F317" s="32" t="s">
        <v>996</v>
      </c>
      <c r="G317" s="32" t="s">
        <v>1087</v>
      </c>
      <c r="H317" s="32" t="s">
        <v>352</v>
      </c>
      <c r="I317" s="31" t="s">
        <v>406</v>
      </c>
      <c r="J317" s="31">
        <v>99</v>
      </c>
      <c r="K317" s="33" t="s">
        <v>709</v>
      </c>
      <c r="L317" s="33" t="s">
        <v>709</v>
      </c>
      <c r="M317" s="34" t="s">
        <v>710</v>
      </c>
      <c r="N317" s="34" t="s">
        <v>1714</v>
      </c>
      <c r="O317" s="35">
        <v>1</v>
      </c>
      <c r="P317" s="35"/>
      <c r="Q317" s="32"/>
      <c r="S317" s="1">
        <f t="shared" si="143"/>
        <v>0</v>
      </c>
      <c r="T317" s="1">
        <f t="shared" si="144"/>
        <v>0</v>
      </c>
      <c r="U317" s="1">
        <f t="shared" si="145"/>
        <v>0</v>
      </c>
      <c r="V317" s="1">
        <f t="shared" si="146"/>
        <v>0</v>
      </c>
      <c r="W317" s="1">
        <f t="shared" si="147"/>
        <v>0</v>
      </c>
      <c r="X317" s="1">
        <f t="shared" si="148"/>
        <v>0</v>
      </c>
      <c r="Y317" s="1">
        <f t="shared" si="149"/>
        <v>0</v>
      </c>
      <c r="Z317" s="1">
        <f t="shared" si="150"/>
        <v>0</v>
      </c>
      <c r="AA317" s="1">
        <f t="shared" si="151"/>
        <v>0</v>
      </c>
      <c r="AB317" s="1">
        <f t="shared" si="152"/>
        <v>0</v>
      </c>
      <c r="AD317" s="1">
        <f t="shared" si="153"/>
        <v>0</v>
      </c>
      <c r="AE317" s="1">
        <f t="shared" si="154"/>
        <v>1</v>
      </c>
      <c r="AF317" s="1">
        <f t="shared" si="139"/>
        <v>0</v>
      </c>
      <c r="AG317" s="1">
        <f t="shared" si="140"/>
        <v>1</v>
      </c>
      <c r="AH317" s="1">
        <f t="shared" si="141"/>
        <v>0</v>
      </c>
      <c r="AI317" s="1">
        <f t="shared" si="142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1117</v>
      </c>
      <c r="E318" s="32" t="s">
        <v>557</v>
      </c>
      <c r="F318" s="32" t="s">
        <v>1333</v>
      </c>
      <c r="G318" s="32" t="s">
        <v>264</v>
      </c>
      <c r="H318" s="32" t="s">
        <v>352</v>
      </c>
      <c r="I318" s="31" t="s">
        <v>1118</v>
      </c>
      <c r="J318" s="31">
        <v>8</v>
      </c>
      <c r="K318" s="33" t="s">
        <v>708</v>
      </c>
      <c r="L318" s="33" t="s">
        <v>1682</v>
      </c>
      <c r="M318" s="34" t="s">
        <v>710</v>
      </c>
      <c r="N318" s="34" t="s">
        <v>1718</v>
      </c>
      <c r="O318" s="35">
        <v>1</v>
      </c>
      <c r="P318" s="35"/>
      <c r="Q318" s="32"/>
      <c r="S318" s="1">
        <f t="shared" si="143"/>
        <v>0</v>
      </c>
      <c r="T318" s="1">
        <f t="shared" si="144"/>
        <v>0</v>
      </c>
      <c r="U318" s="1">
        <f t="shared" si="145"/>
        <v>0</v>
      </c>
      <c r="V318" s="1">
        <f t="shared" si="146"/>
        <v>0</v>
      </c>
      <c r="W318" s="1">
        <f t="shared" si="147"/>
        <v>0</v>
      </c>
      <c r="X318" s="1">
        <f t="shared" si="148"/>
        <v>0</v>
      </c>
      <c r="Y318" s="1">
        <f t="shared" si="149"/>
        <v>0</v>
      </c>
      <c r="Z318" s="1">
        <f t="shared" si="150"/>
        <v>1</v>
      </c>
      <c r="AA318" s="1">
        <f t="shared" si="151"/>
        <v>0</v>
      </c>
      <c r="AB318" s="1">
        <f t="shared" si="152"/>
        <v>0</v>
      </c>
      <c r="AD318" s="1">
        <f t="shared" si="153"/>
        <v>0</v>
      </c>
      <c r="AE318" s="1">
        <f t="shared" si="154"/>
        <v>1</v>
      </c>
      <c r="AF318" s="1">
        <f t="shared" si="139"/>
        <v>0</v>
      </c>
      <c r="AG318" s="1">
        <f t="shared" si="140"/>
        <v>1</v>
      </c>
      <c r="AH318" s="1">
        <f t="shared" si="141"/>
        <v>0</v>
      </c>
      <c r="AI318" s="1">
        <f t="shared" si="142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1266</v>
      </c>
      <c r="E319" s="32" t="s">
        <v>1314</v>
      </c>
      <c r="F319" s="32" t="s">
        <v>1263</v>
      </c>
      <c r="G319" s="32" t="s">
        <v>1264</v>
      </c>
      <c r="H319" s="32" t="s">
        <v>352</v>
      </c>
      <c r="I319" s="31" t="s">
        <v>1265</v>
      </c>
      <c r="J319" s="31">
        <v>1</v>
      </c>
      <c r="K319" s="33" t="s">
        <v>708</v>
      </c>
      <c r="L319" s="33" t="s">
        <v>709</v>
      </c>
      <c r="M319" s="34" t="s">
        <v>710</v>
      </c>
      <c r="N319" s="34" t="s">
        <v>1731</v>
      </c>
      <c r="O319" s="35">
        <v>1</v>
      </c>
      <c r="P319" s="35"/>
      <c r="Q319" s="32" t="s">
        <v>1872</v>
      </c>
      <c r="S319" s="1">
        <f t="shared" si="143"/>
        <v>1</v>
      </c>
      <c r="T319" s="1">
        <f t="shared" si="144"/>
        <v>0</v>
      </c>
      <c r="U319" s="1">
        <f t="shared" si="145"/>
        <v>0</v>
      </c>
      <c r="V319" s="1">
        <f t="shared" si="146"/>
        <v>0</v>
      </c>
      <c r="W319" s="1">
        <f t="shared" si="147"/>
        <v>0</v>
      </c>
      <c r="X319" s="1">
        <f t="shared" si="148"/>
        <v>0</v>
      </c>
      <c r="Y319" s="1">
        <f t="shared" si="149"/>
        <v>0</v>
      </c>
      <c r="Z319" s="1">
        <f t="shared" si="150"/>
        <v>0</v>
      </c>
      <c r="AA319" s="1">
        <f t="shared" si="151"/>
        <v>0</v>
      </c>
      <c r="AB319" s="1">
        <f t="shared" si="152"/>
        <v>0</v>
      </c>
      <c r="AD319" s="1">
        <f t="shared" si="153"/>
        <v>0</v>
      </c>
      <c r="AE319" s="1">
        <f t="shared" si="154"/>
        <v>1</v>
      </c>
      <c r="AF319" s="1">
        <f t="shared" si="139"/>
        <v>0</v>
      </c>
      <c r="AG319" s="1">
        <f t="shared" si="140"/>
        <v>1</v>
      </c>
      <c r="AH319" s="1">
        <f t="shared" si="141"/>
        <v>0</v>
      </c>
      <c r="AI319" s="1">
        <f t="shared" si="142"/>
        <v>1</v>
      </c>
    </row>
    <row r="320" spans="1:35" ht="14.25" customHeight="1" x14ac:dyDescent="0.25">
      <c r="A320" s="15">
        <v>0</v>
      </c>
      <c r="B320" s="15">
        <v>2</v>
      </c>
      <c r="C320" s="15">
        <v>1</v>
      </c>
      <c r="D320" s="16" t="s">
        <v>52</v>
      </c>
      <c r="E320" s="16" t="s">
        <v>32</v>
      </c>
      <c r="F320" s="16" t="s">
        <v>205</v>
      </c>
      <c r="G320" s="16" t="s">
        <v>206</v>
      </c>
      <c r="H320" s="16" t="s">
        <v>352</v>
      </c>
      <c r="I320" s="15" t="s">
        <v>389</v>
      </c>
      <c r="J320" s="15">
        <v>99</v>
      </c>
      <c r="K320" s="10" t="s">
        <v>708</v>
      </c>
      <c r="L320" s="10" t="s">
        <v>709</v>
      </c>
      <c r="M320" s="19" t="s">
        <v>710</v>
      </c>
      <c r="N320" s="19"/>
      <c r="Q320" s="16"/>
      <c r="S320" s="1">
        <f t="shared" si="143"/>
        <v>0</v>
      </c>
      <c r="T320" s="1">
        <f t="shared" si="144"/>
        <v>0</v>
      </c>
      <c r="U320" s="1">
        <f t="shared" si="145"/>
        <v>0</v>
      </c>
      <c r="V320" s="1">
        <f t="shared" si="146"/>
        <v>0</v>
      </c>
      <c r="W320" s="1">
        <f t="shared" si="147"/>
        <v>0</v>
      </c>
      <c r="X320" s="1">
        <f t="shared" si="148"/>
        <v>0</v>
      </c>
      <c r="Y320" s="1">
        <f t="shared" si="149"/>
        <v>0</v>
      </c>
      <c r="Z320" s="1">
        <f t="shared" si="150"/>
        <v>0</v>
      </c>
      <c r="AA320" s="1">
        <f t="shared" si="151"/>
        <v>0</v>
      </c>
      <c r="AB320" s="1">
        <f t="shared" si="152"/>
        <v>0</v>
      </c>
      <c r="AD320" s="1">
        <f t="shared" si="153"/>
        <v>0</v>
      </c>
      <c r="AE320" s="1">
        <f t="shared" si="154"/>
        <v>0</v>
      </c>
      <c r="AF320" s="1">
        <f t="shared" si="139"/>
        <v>0</v>
      </c>
      <c r="AG320" s="1">
        <f t="shared" si="140"/>
        <v>0</v>
      </c>
      <c r="AH320" s="1">
        <f t="shared" si="141"/>
        <v>0</v>
      </c>
      <c r="AI320" s="1">
        <f t="shared" si="14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73</v>
      </c>
      <c r="E321" s="32" t="s">
        <v>557</v>
      </c>
      <c r="F321" s="32" t="s">
        <v>1037</v>
      </c>
      <c r="G321" s="32" t="s">
        <v>189</v>
      </c>
      <c r="H321" s="32" t="s">
        <v>352</v>
      </c>
      <c r="I321" s="31" t="s">
        <v>419</v>
      </c>
      <c r="J321" s="31">
        <v>99</v>
      </c>
      <c r="K321" s="33" t="s">
        <v>941</v>
      </c>
      <c r="L321" s="33" t="s">
        <v>709</v>
      </c>
      <c r="M321" s="34" t="s">
        <v>710</v>
      </c>
      <c r="N321" s="34" t="s">
        <v>1714</v>
      </c>
      <c r="O321" s="35">
        <v>1</v>
      </c>
      <c r="P321" s="35"/>
      <c r="Q321" s="32"/>
      <c r="S321" s="1">
        <f t="shared" si="143"/>
        <v>0</v>
      </c>
      <c r="T321" s="1">
        <f t="shared" si="144"/>
        <v>0</v>
      </c>
      <c r="U321" s="1">
        <f t="shared" si="145"/>
        <v>0</v>
      </c>
      <c r="V321" s="1">
        <f t="shared" si="146"/>
        <v>0</v>
      </c>
      <c r="W321" s="1">
        <f t="shared" si="147"/>
        <v>0</v>
      </c>
      <c r="X321" s="1">
        <f t="shared" si="148"/>
        <v>0</v>
      </c>
      <c r="Y321" s="1">
        <f t="shared" si="149"/>
        <v>0</v>
      </c>
      <c r="Z321" s="1">
        <f t="shared" si="150"/>
        <v>0</v>
      </c>
      <c r="AA321" s="1">
        <f t="shared" si="151"/>
        <v>0</v>
      </c>
      <c r="AB321" s="1">
        <f t="shared" si="152"/>
        <v>0</v>
      </c>
      <c r="AD321" s="1">
        <f t="shared" si="153"/>
        <v>0</v>
      </c>
      <c r="AE321" s="1">
        <f t="shared" si="154"/>
        <v>1</v>
      </c>
      <c r="AF321" s="1">
        <f t="shared" si="139"/>
        <v>0</v>
      </c>
      <c r="AG321" s="1">
        <f t="shared" si="140"/>
        <v>1</v>
      </c>
      <c r="AH321" s="1">
        <f t="shared" si="141"/>
        <v>0</v>
      </c>
      <c r="AI321" s="1">
        <f t="shared" si="14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47</v>
      </c>
      <c r="E322" s="32" t="s">
        <v>32</v>
      </c>
      <c r="F322" s="32" t="s">
        <v>186</v>
      </c>
      <c r="G322" s="32" t="s">
        <v>179</v>
      </c>
      <c r="H322" s="32" t="s">
        <v>352</v>
      </c>
      <c r="I322" s="31" t="s">
        <v>381</v>
      </c>
      <c r="J322" s="31">
        <v>10</v>
      </c>
      <c r="K322" s="33" t="s">
        <v>942</v>
      </c>
      <c r="L322" s="33" t="s">
        <v>709</v>
      </c>
      <c r="M322" s="34" t="s">
        <v>710</v>
      </c>
      <c r="N322" s="34" t="s">
        <v>1714</v>
      </c>
      <c r="O322" s="35">
        <v>1</v>
      </c>
      <c r="P322" s="35"/>
      <c r="Q322" s="32"/>
      <c r="S322" s="1">
        <f t="shared" si="143"/>
        <v>0</v>
      </c>
      <c r="T322" s="1">
        <f t="shared" si="144"/>
        <v>0</v>
      </c>
      <c r="U322" s="1">
        <f t="shared" si="145"/>
        <v>0</v>
      </c>
      <c r="V322" s="1">
        <f t="shared" si="146"/>
        <v>0</v>
      </c>
      <c r="W322" s="1">
        <f t="shared" si="147"/>
        <v>0</v>
      </c>
      <c r="X322" s="1">
        <f t="shared" si="148"/>
        <v>0</v>
      </c>
      <c r="Y322" s="1">
        <f t="shared" si="149"/>
        <v>0</v>
      </c>
      <c r="Z322" s="1">
        <f t="shared" si="150"/>
        <v>0</v>
      </c>
      <c r="AA322" s="1">
        <f t="shared" si="151"/>
        <v>0</v>
      </c>
      <c r="AB322" s="1">
        <f t="shared" si="152"/>
        <v>1</v>
      </c>
      <c r="AD322" s="1">
        <f t="shared" si="153"/>
        <v>0</v>
      </c>
      <c r="AE322" s="1">
        <f t="shared" si="154"/>
        <v>1</v>
      </c>
      <c r="AF322" s="1">
        <f t="shared" si="139"/>
        <v>0</v>
      </c>
      <c r="AG322" s="1">
        <f t="shared" si="140"/>
        <v>1</v>
      </c>
      <c r="AH322" s="1">
        <f t="shared" si="141"/>
        <v>0</v>
      </c>
      <c r="AI322" s="1">
        <f t="shared" si="142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648</v>
      </c>
      <c r="E323" s="45" t="s">
        <v>159</v>
      </c>
      <c r="F323" s="45" t="s">
        <v>187</v>
      </c>
      <c r="G323" s="45" t="s">
        <v>664</v>
      </c>
      <c r="H323" s="45" t="s">
        <v>352</v>
      </c>
      <c r="I323" s="44" t="s">
        <v>382</v>
      </c>
      <c r="J323" s="44">
        <v>99</v>
      </c>
      <c r="K323" s="46" t="s">
        <v>708</v>
      </c>
      <c r="L323" s="46" t="s">
        <v>709</v>
      </c>
      <c r="M323" s="47" t="s">
        <v>710</v>
      </c>
      <c r="N323" s="47" t="s">
        <v>1710</v>
      </c>
      <c r="O323" s="48"/>
      <c r="P323" s="48"/>
      <c r="Q323" s="45"/>
      <c r="S323" s="1">
        <f t="shared" si="143"/>
        <v>0</v>
      </c>
      <c r="T323" s="1">
        <f t="shared" si="144"/>
        <v>0</v>
      </c>
      <c r="U323" s="1">
        <f t="shared" si="145"/>
        <v>0</v>
      </c>
      <c r="V323" s="1">
        <f t="shared" si="146"/>
        <v>0</v>
      </c>
      <c r="W323" s="1">
        <f t="shared" si="147"/>
        <v>0</v>
      </c>
      <c r="X323" s="1">
        <f t="shared" si="148"/>
        <v>0</v>
      </c>
      <c r="Y323" s="1">
        <f t="shared" si="149"/>
        <v>0</v>
      </c>
      <c r="Z323" s="1">
        <f t="shared" si="150"/>
        <v>0</v>
      </c>
      <c r="AA323" s="1">
        <f t="shared" si="151"/>
        <v>0</v>
      </c>
      <c r="AB323" s="1">
        <f t="shared" si="152"/>
        <v>0</v>
      </c>
      <c r="AD323" s="1">
        <f t="shared" si="153"/>
        <v>0</v>
      </c>
      <c r="AE323" s="1">
        <f t="shared" si="154"/>
        <v>0</v>
      </c>
      <c r="AF323" s="1">
        <f t="shared" si="139"/>
        <v>0</v>
      </c>
      <c r="AG323" s="1">
        <f t="shared" si="140"/>
        <v>0</v>
      </c>
      <c r="AH323" s="1">
        <f t="shared" si="141"/>
        <v>0</v>
      </c>
      <c r="AI323" s="1">
        <f t="shared" si="142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1284</v>
      </c>
      <c r="E324" s="32" t="s">
        <v>36</v>
      </c>
      <c r="F324" s="32" t="s">
        <v>1285</v>
      </c>
      <c r="G324" s="32" t="s">
        <v>257</v>
      </c>
      <c r="H324" s="32" t="s">
        <v>352</v>
      </c>
      <c r="I324" s="31" t="s">
        <v>1286</v>
      </c>
      <c r="J324" s="31">
        <v>8</v>
      </c>
      <c r="K324" s="33" t="s">
        <v>946</v>
      </c>
      <c r="L324" s="33" t="s">
        <v>709</v>
      </c>
      <c r="M324" s="34" t="s">
        <v>710</v>
      </c>
      <c r="N324" s="34" t="s">
        <v>1706</v>
      </c>
      <c r="O324" s="35">
        <v>1</v>
      </c>
      <c r="P324" s="35">
        <v>1</v>
      </c>
      <c r="Q324" s="32"/>
      <c r="S324" s="1">
        <f t="shared" si="143"/>
        <v>0</v>
      </c>
      <c r="T324" s="1">
        <f t="shared" si="144"/>
        <v>0</v>
      </c>
      <c r="U324" s="1">
        <f t="shared" si="145"/>
        <v>0</v>
      </c>
      <c r="V324" s="1">
        <f t="shared" si="146"/>
        <v>0</v>
      </c>
      <c r="W324" s="1">
        <f t="shared" si="147"/>
        <v>0</v>
      </c>
      <c r="X324" s="1">
        <f t="shared" si="148"/>
        <v>0</v>
      </c>
      <c r="Y324" s="1">
        <f t="shared" si="149"/>
        <v>0</v>
      </c>
      <c r="Z324" s="1">
        <f t="shared" si="150"/>
        <v>1</v>
      </c>
      <c r="AA324" s="1">
        <f t="shared" si="151"/>
        <v>0</v>
      </c>
      <c r="AB324" s="1">
        <f t="shared" si="152"/>
        <v>0</v>
      </c>
      <c r="AD324" s="1">
        <f t="shared" si="153"/>
        <v>1</v>
      </c>
      <c r="AE324" s="1">
        <f t="shared" si="154"/>
        <v>0</v>
      </c>
      <c r="AF324" s="1">
        <f t="shared" si="139"/>
        <v>1</v>
      </c>
      <c r="AG324" s="1">
        <f t="shared" si="140"/>
        <v>0</v>
      </c>
      <c r="AH324" s="1">
        <f t="shared" si="141"/>
        <v>1</v>
      </c>
      <c r="AI324" s="1">
        <f t="shared" si="142"/>
        <v>0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54</v>
      </c>
      <c r="E325" s="32" t="s">
        <v>557</v>
      </c>
      <c r="F325" s="32" t="s">
        <v>211</v>
      </c>
      <c r="G325" s="32" t="s">
        <v>212</v>
      </c>
      <c r="H325" s="32" t="s">
        <v>352</v>
      </c>
      <c r="I325" s="31" t="s">
        <v>391</v>
      </c>
      <c r="J325" s="31">
        <v>1</v>
      </c>
      <c r="K325" s="33" t="s">
        <v>942</v>
      </c>
      <c r="L325" s="33" t="s">
        <v>709</v>
      </c>
      <c r="M325" s="34" t="s">
        <v>39</v>
      </c>
      <c r="N325" s="34" t="s">
        <v>1714</v>
      </c>
      <c r="O325" s="35">
        <v>1</v>
      </c>
      <c r="P325" s="35"/>
      <c r="Q325" s="32"/>
      <c r="S325" s="1">
        <f t="shared" si="143"/>
        <v>1</v>
      </c>
      <c r="T325" s="1">
        <f t="shared" si="144"/>
        <v>0</v>
      </c>
      <c r="U325" s="1">
        <f t="shared" si="145"/>
        <v>0</v>
      </c>
      <c r="V325" s="1">
        <f t="shared" si="146"/>
        <v>0</v>
      </c>
      <c r="W325" s="1">
        <f t="shared" si="147"/>
        <v>0</v>
      </c>
      <c r="X325" s="1">
        <f t="shared" si="148"/>
        <v>0</v>
      </c>
      <c r="Y325" s="1">
        <f t="shared" si="149"/>
        <v>0</v>
      </c>
      <c r="Z325" s="1">
        <f t="shared" si="150"/>
        <v>0</v>
      </c>
      <c r="AA325" s="1">
        <f t="shared" si="151"/>
        <v>0</v>
      </c>
      <c r="AB325" s="1">
        <f t="shared" si="152"/>
        <v>0</v>
      </c>
      <c r="AD325" s="1">
        <f t="shared" si="153"/>
        <v>0</v>
      </c>
      <c r="AE325" s="1">
        <f t="shared" si="154"/>
        <v>1</v>
      </c>
      <c r="AF325" s="1">
        <f t="shared" si="139"/>
        <v>0</v>
      </c>
      <c r="AG325" s="1">
        <f t="shared" si="140"/>
        <v>1</v>
      </c>
      <c r="AH325" s="1">
        <f t="shared" si="141"/>
        <v>0</v>
      </c>
      <c r="AI325" s="1">
        <f t="shared" si="142"/>
        <v>1</v>
      </c>
    </row>
    <row r="326" spans="1:35" ht="14.25" customHeight="1" x14ac:dyDescent="0.25">
      <c r="A326" s="44">
        <v>0</v>
      </c>
      <c r="B326" s="44">
        <v>2</v>
      </c>
      <c r="C326" s="44">
        <v>1</v>
      </c>
      <c r="D326" s="45" t="s">
        <v>61</v>
      </c>
      <c r="E326" s="45" t="s">
        <v>539</v>
      </c>
      <c r="F326" s="45" t="s">
        <v>232</v>
      </c>
      <c r="G326" s="45" t="s">
        <v>203</v>
      </c>
      <c r="H326" s="45" t="s">
        <v>352</v>
      </c>
      <c r="I326" s="44" t="s">
        <v>399</v>
      </c>
      <c r="J326" s="44">
        <v>7</v>
      </c>
      <c r="K326" s="46" t="s">
        <v>708</v>
      </c>
      <c r="L326" s="46" t="s">
        <v>709</v>
      </c>
      <c r="M326" s="47" t="s">
        <v>710</v>
      </c>
      <c r="N326" s="47" t="s">
        <v>1711</v>
      </c>
      <c r="O326" s="48"/>
      <c r="P326" s="48"/>
      <c r="Q326" s="45"/>
      <c r="S326" s="1">
        <f t="shared" si="143"/>
        <v>0</v>
      </c>
      <c r="T326" s="1">
        <f t="shared" si="144"/>
        <v>0</v>
      </c>
      <c r="U326" s="1">
        <f t="shared" si="145"/>
        <v>0</v>
      </c>
      <c r="V326" s="1">
        <f t="shared" si="146"/>
        <v>0</v>
      </c>
      <c r="W326" s="1">
        <f t="shared" si="147"/>
        <v>0</v>
      </c>
      <c r="X326" s="1">
        <f t="shared" si="148"/>
        <v>0</v>
      </c>
      <c r="Y326" s="1">
        <f t="shared" si="149"/>
        <v>1</v>
      </c>
      <c r="Z326" s="1">
        <f t="shared" si="150"/>
        <v>0</v>
      </c>
      <c r="AA326" s="1">
        <f t="shared" si="151"/>
        <v>0</v>
      </c>
      <c r="AB326" s="1">
        <f t="shared" si="152"/>
        <v>0</v>
      </c>
      <c r="AD326" s="1">
        <f t="shared" si="153"/>
        <v>0</v>
      </c>
      <c r="AE326" s="1">
        <f t="shared" si="154"/>
        <v>0</v>
      </c>
      <c r="AF326" s="1">
        <f t="shared" si="139"/>
        <v>0</v>
      </c>
      <c r="AG326" s="1">
        <f t="shared" si="140"/>
        <v>0</v>
      </c>
      <c r="AH326" s="1">
        <f t="shared" si="141"/>
        <v>0</v>
      </c>
      <c r="AI326" s="1">
        <f t="shared" si="14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1621</v>
      </c>
      <c r="E327" s="32" t="s">
        <v>557</v>
      </c>
      <c r="F327" s="32" t="s">
        <v>1336</v>
      </c>
      <c r="G327" s="32" t="s">
        <v>1264</v>
      </c>
      <c r="H327" s="32" t="s">
        <v>352</v>
      </c>
      <c r="I327" s="31" t="s">
        <v>1151</v>
      </c>
      <c r="J327" s="31">
        <v>99</v>
      </c>
      <c r="K327" s="33" t="s">
        <v>708</v>
      </c>
      <c r="L327" s="33" t="s">
        <v>709</v>
      </c>
      <c r="M327" s="34" t="s">
        <v>710</v>
      </c>
      <c r="N327" s="34" t="s">
        <v>1718</v>
      </c>
      <c r="O327" s="35">
        <v>1</v>
      </c>
      <c r="P327" s="35"/>
      <c r="Q327" s="32" t="s">
        <v>1871</v>
      </c>
      <c r="S327" s="1">
        <f t="shared" si="143"/>
        <v>0</v>
      </c>
      <c r="T327" s="1">
        <f t="shared" si="144"/>
        <v>0</v>
      </c>
      <c r="U327" s="1">
        <f t="shared" si="145"/>
        <v>0</v>
      </c>
      <c r="V327" s="1">
        <f t="shared" si="146"/>
        <v>0</v>
      </c>
      <c r="W327" s="1">
        <f t="shared" si="147"/>
        <v>0</v>
      </c>
      <c r="X327" s="1">
        <f t="shared" si="148"/>
        <v>0</v>
      </c>
      <c r="Y327" s="1">
        <f t="shared" si="149"/>
        <v>0</v>
      </c>
      <c r="Z327" s="1">
        <f t="shared" si="150"/>
        <v>0</v>
      </c>
      <c r="AA327" s="1">
        <f t="shared" si="151"/>
        <v>0</v>
      </c>
      <c r="AB327" s="1">
        <f t="shared" si="152"/>
        <v>0</v>
      </c>
      <c r="AD327" s="1">
        <f t="shared" si="153"/>
        <v>0</v>
      </c>
      <c r="AE327" s="1">
        <f t="shared" si="154"/>
        <v>1</v>
      </c>
      <c r="AF327" s="1">
        <f t="shared" si="139"/>
        <v>0</v>
      </c>
      <c r="AG327" s="1">
        <f t="shared" si="140"/>
        <v>1</v>
      </c>
      <c r="AH327" s="1">
        <f t="shared" si="141"/>
        <v>0</v>
      </c>
      <c r="AI327" s="1">
        <f t="shared" si="14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1752</v>
      </c>
      <c r="E328" s="32" t="s">
        <v>1753</v>
      </c>
      <c r="F328" s="32" t="s">
        <v>1754</v>
      </c>
      <c r="G328" s="32" t="s">
        <v>1755</v>
      </c>
      <c r="H328" s="32" t="s">
        <v>352</v>
      </c>
      <c r="I328" s="31"/>
      <c r="J328" s="31">
        <v>1</v>
      </c>
      <c r="K328" s="33" t="s">
        <v>699</v>
      </c>
      <c r="L328" s="33"/>
      <c r="M328" s="34"/>
      <c r="N328" s="34" t="s">
        <v>1714</v>
      </c>
      <c r="O328" s="35">
        <v>1</v>
      </c>
      <c r="P328" s="35"/>
      <c r="Q328" s="32" t="s">
        <v>1879</v>
      </c>
      <c r="S328" s="1">
        <f t="shared" si="143"/>
        <v>1</v>
      </c>
      <c r="T328" s="1">
        <f t="shared" si="144"/>
        <v>0</v>
      </c>
      <c r="U328" s="1">
        <f t="shared" si="145"/>
        <v>0</v>
      </c>
      <c r="V328" s="1">
        <f t="shared" si="146"/>
        <v>0</v>
      </c>
      <c r="W328" s="1">
        <f t="shared" si="147"/>
        <v>0</v>
      </c>
      <c r="X328" s="1">
        <f t="shared" si="148"/>
        <v>0</v>
      </c>
      <c r="Y328" s="1">
        <f t="shared" si="149"/>
        <v>0</v>
      </c>
      <c r="Z328" s="1">
        <f t="shared" si="150"/>
        <v>0</v>
      </c>
      <c r="AA328" s="1">
        <f t="shared" si="151"/>
        <v>0</v>
      </c>
      <c r="AB328" s="1">
        <f t="shared" si="152"/>
        <v>0</v>
      </c>
      <c r="AD328" s="1">
        <f t="shared" si="153"/>
        <v>0</v>
      </c>
      <c r="AE328" s="1">
        <f t="shared" si="154"/>
        <v>1</v>
      </c>
      <c r="AF328" s="1">
        <f t="shared" si="139"/>
        <v>0</v>
      </c>
      <c r="AG328" s="1">
        <f t="shared" si="140"/>
        <v>1</v>
      </c>
      <c r="AH328" s="1">
        <f t="shared" si="141"/>
        <v>0</v>
      </c>
      <c r="AI328" s="1">
        <f t="shared" si="142"/>
        <v>1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1298</v>
      </c>
      <c r="E329" s="32" t="s">
        <v>1318</v>
      </c>
      <c r="F329" s="32" t="s">
        <v>1281</v>
      </c>
      <c r="G329" s="32" t="s">
        <v>1282</v>
      </c>
      <c r="H329" s="32" t="s">
        <v>352</v>
      </c>
      <c r="I329" s="31" t="s">
        <v>1283</v>
      </c>
      <c r="J329" s="31">
        <v>99</v>
      </c>
      <c r="K329" s="33" t="s">
        <v>942</v>
      </c>
      <c r="L329" s="33" t="s">
        <v>709</v>
      </c>
      <c r="M329" s="34" t="s">
        <v>710</v>
      </c>
      <c r="N329" s="34" t="s">
        <v>1889</v>
      </c>
      <c r="O329" s="35">
        <v>1</v>
      </c>
      <c r="P329" s="35"/>
      <c r="Q329" s="32"/>
      <c r="S329" s="1">
        <f t="shared" si="143"/>
        <v>0</v>
      </c>
      <c r="T329" s="1">
        <f t="shared" si="144"/>
        <v>0</v>
      </c>
      <c r="U329" s="1">
        <f t="shared" si="145"/>
        <v>0</v>
      </c>
      <c r="V329" s="1">
        <f t="shared" si="146"/>
        <v>0</v>
      </c>
      <c r="W329" s="1">
        <f t="shared" si="147"/>
        <v>0</v>
      </c>
      <c r="X329" s="1">
        <f t="shared" si="148"/>
        <v>0</v>
      </c>
      <c r="Y329" s="1">
        <f t="shared" si="149"/>
        <v>0</v>
      </c>
      <c r="Z329" s="1">
        <f t="shared" si="150"/>
        <v>0</v>
      </c>
      <c r="AA329" s="1">
        <f t="shared" si="151"/>
        <v>0</v>
      </c>
      <c r="AB329" s="1">
        <f t="shared" si="152"/>
        <v>0</v>
      </c>
      <c r="AD329" s="1">
        <f t="shared" si="153"/>
        <v>0</v>
      </c>
      <c r="AE329" s="1">
        <f t="shared" si="154"/>
        <v>1</v>
      </c>
      <c r="AF329" s="1">
        <f t="shared" si="139"/>
        <v>0</v>
      </c>
      <c r="AG329" s="1">
        <f t="shared" si="140"/>
        <v>1</v>
      </c>
      <c r="AH329" s="1">
        <f t="shared" si="141"/>
        <v>0</v>
      </c>
      <c r="AI329" s="1">
        <f t="shared" si="142"/>
        <v>1</v>
      </c>
    </row>
    <row r="330" spans="1:35" ht="14.25" customHeight="1" x14ac:dyDescent="0.25">
      <c r="A330" s="15">
        <v>0</v>
      </c>
      <c r="B330" s="15">
        <v>2</v>
      </c>
      <c r="C330" s="15">
        <v>1</v>
      </c>
      <c r="D330" s="16" t="s">
        <v>1293</v>
      </c>
      <c r="E330" s="16" t="s">
        <v>159</v>
      </c>
      <c r="F330" s="16" t="s">
        <v>1295</v>
      </c>
      <c r="G330" s="16" t="s">
        <v>1296</v>
      </c>
      <c r="H330" s="16" t="s">
        <v>352</v>
      </c>
      <c r="I330" s="15" t="s">
        <v>1297</v>
      </c>
      <c r="J330" s="15">
        <v>8</v>
      </c>
      <c r="K330" s="10" t="s">
        <v>709</v>
      </c>
      <c r="L330" s="10" t="s">
        <v>709</v>
      </c>
      <c r="M330" s="19" t="s">
        <v>710</v>
      </c>
      <c r="N330" s="19"/>
      <c r="Q330" s="16"/>
      <c r="S330" s="1">
        <f t="shared" si="143"/>
        <v>0</v>
      </c>
      <c r="T330" s="1">
        <f t="shared" si="144"/>
        <v>0</v>
      </c>
      <c r="U330" s="1">
        <f t="shared" si="145"/>
        <v>0</v>
      </c>
      <c r="V330" s="1">
        <f t="shared" si="146"/>
        <v>0</v>
      </c>
      <c r="W330" s="1">
        <f t="shared" si="147"/>
        <v>0</v>
      </c>
      <c r="X330" s="1">
        <f t="shared" si="148"/>
        <v>0</v>
      </c>
      <c r="Y330" s="1">
        <f t="shared" si="149"/>
        <v>0</v>
      </c>
      <c r="Z330" s="1">
        <f t="shared" si="150"/>
        <v>1</v>
      </c>
      <c r="AA330" s="1">
        <f t="shared" si="151"/>
        <v>0</v>
      </c>
      <c r="AB330" s="1">
        <f t="shared" si="152"/>
        <v>0</v>
      </c>
      <c r="AD330" s="1">
        <f t="shared" si="153"/>
        <v>0</v>
      </c>
      <c r="AE330" s="1">
        <f t="shared" si="154"/>
        <v>0</v>
      </c>
      <c r="AF330" s="1">
        <f t="shared" si="139"/>
        <v>0</v>
      </c>
      <c r="AG330" s="1">
        <f t="shared" si="140"/>
        <v>0</v>
      </c>
      <c r="AH330" s="1">
        <f t="shared" si="141"/>
        <v>0</v>
      </c>
      <c r="AI330" s="1">
        <f t="shared" si="142"/>
        <v>1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1620</v>
      </c>
      <c r="E331" s="45" t="s">
        <v>1152</v>
      </c>
      <c r="F331" s="45" t="s">
        <v>1653</v>
      </c>
      <c r="G331" s="45" t="s">
        <v>189</v>
      </c>
      <c r="H331" s="45" t="s">
        <v>352</v>
      </c>
      <c r="I331" s="44" t="s">
        <v>1581</v>
      </c>
      <c r="J331" s="44">
        <v>99</v>
      </c>
      <c r="K331" s="46" t="s">
        <v>709</v>
      </c>
      <c r="L331" s="46" t="s">
        <v>692</v>
      </c>
      <c r="M331" s="47" t="s">
        <v>1582</v>
      </c>
      <c r="N331" s="47" t="s">
        <v>1711</v>
      </c>
      <c r="O331" s="48"/>
      <c r="P331" s="48"/>
      <c r="Q331" s="45"/>
      <c r="S331" s="1">
        <f t="shared" si="143"/>
        <v>0</v>
      </c>
      <c r="T331" s="1">
        <f t="shared" si="144"/>
        <v>0</v>
      </c>
      <c r="U331" s="1">
        <f t="shared" si="145"/>
        <v>0</v>
      </c>
      <c r="V331" s="1">
        <f t="shared" si="146"/>
        <v>0</v>
      </c>
      <c r="W331" s="1">
        <f t="shared" si="147"/>
        <v>0</v>
      </c>
      <c r="X331" s="1">
        <f t="shared" si="148"/>
        <v>0</v>
      </c>
      <c r="Y331" s="1">
        <f t="shared" si="149"/>
        <v>0</v>
      </c>
      <c r="Z331" s="1">
        <f t="shared" si="150"/>
        <v>0</v>
      </c>
      <c r="AA331" s="1">
        <f t="shared" si="151"/>
        <v>0</v>
      </c>
      <c r="AB331" s="1">
        <f t="shared" si="152"/>
        <v>0</v>
      </c>
      <c r="AD331" s="1">
        <f t="shared" si="153"/>
        <v>0</v>
      </c>
      <c r="AE331" s="1">
        <f t="shared" si="154"/>
        <v>0</v>
      </c>
      <c r="AF331" s="1">
        <f t="shared" si="139"/>
        <v>0</v>
      </c>
      <c r="AG331" s="1">
        <f t="shared" si="140"/>
        <v>0</v>
      </c>
      <c r="AH331" s="1">
        <f t="shared" si="141"/>
        <v>0</v>
      </c>
      <c r="AI331" s="1">
        <f t="shared" si="142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65</v>
      </c>
      <c r="E332" s="32" t="s">
        <v>163</v>
      </c>
      <c r="F332" s="32" t="s">
        <v>242</v>
      </c>
      <c r="G332" s="32" t="s">
        <v>199</v>
      </c>
      <c r="H332" s="32" t="s">
        <v>352</v>
      </c>
      <c r="I332" s="31" t="s">
        <v>405</v>
      </c>
      <c r="J332" s="31">
        <v>2</v>
      </c>
      <c r="K332" s="33" t="s">
        <v>942</v>
      </c>
      <c r="L332" s="33" t="s">
        <v>692</v>
      </c>
      <c r="M332" s="34" t="s">
        <v>711</v>
      </c>
      <c r="N332" s="34" t="s">
        <v>1714</v>
      </c>
      <c r="O332" s="35">
        <v>1</v>
      </c>
      <c r="P332" s="35"/>
      <c r="Q332" s="32"/>
      <c r="S332" s="1">
        <f t="shared" si="143"/>
        <v>0</v>
      </c>
      <c r="T332" s="1">
        <f t="shared" si="144"/>
        <v>1</v>
      </c>
      <c r="U332" s="1">
        <f t="shared" si="145"/>
        <v>0</v>
      </c>
      <c r="V332" s="1">
        <f t="shared" si="146"/>
        <v>0</v>
      </c>
      <c r="W332" s="1">
        <f t="shared" si="147"/>
        <v>0</v>
      </c>
      <c r="X332" s="1">
        <f t="shared" si="148"/>
        <v>0</v>
      </c>
      <c r="Y332" s="1">
        <f t="shared" si="149"/>
        <v>0</v>
      </c>
      <c r="Z332" s="1">
        <f t="shared" si="150"/>
        <v>0</v>
      </c>
      <c r="AA332" s="1">
        <f t="shared" si="151"/>
        <v>0</v>
      </c>
      <c r="AB332" s="1">
        <f t="shared" si="152"/>
        <v>0</v>
      </c>
      <c r="AD332" s="1">
        <f t="shared" si="153"/>
        <v>0</v>
      </c>
      <c r="AE332" s="1">
        <f t="shared" si="154"/>
        <v>1</v>
      </c>
      <c r="AF332" s="1">
        <f t="shared" si="139"/>
        <v>0</v>
      </c>
      <c r="AG332" s="1">
        <f t="shared" si="140"/>
        <v>1</v>
      </c>
      <c r="AH332" s="1">
        <f t="shared" si="141"/>
        <v>0</v>
      </c>
      <c r="AI332" s="1">
        <f t="shared" si="142"/>
        <v>1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1798</v>
      </c>
      <c r="E333" s="32" t="s">
        <v>1799</v>
      </c>
      <c r="F333" s="32" t="s">
        <v>1800</v>
      </c>
      <c r="G333" s="32" t="s">
        <v>195</v>
      </c>
      <c r="H333" s="32" t="s">
        <v>352</v>
      </c>
      <c r="I333" s="31" t="s">
        <v>1801</v>
      </c>
      <c r="J333" s="31"/>
      <c r="K333" s="33" t="s">
        <v>699</v>
      </c>
      <c r="L333" s="33">
        <v>20</v>
      </c>
      <c r="M333" s="34" t="s">
        <v>1802</v>
      </c>
      <c r="N333" s="34" t="s">
        <v>1718</v>
      </c>
      <c r="O333" s="35">
        <v>1</v>
      </c>
      <c r="P333" s="35"/>
      <c r="Q333" s="32"/>
      <c r="S333" s="1">
        <f t="shared" ref="S333:S337" si="161">IF(J333=$S$7,1,0)</f>
        <v>0</v>
      </c>
      <c r="T333" s="1">
        <f t="shared" ref="T333:T337" si="162">IF(J333=$T$7,1,0)</f>
        <v>0</v>
      </c>
      <c r="U333" s="1">
        <f t="shared" ref="U333:U337" si="163">IF(J333=$U$7,1,0)</f>
        <v>0</v>
      </c>
      <c r="V333" s="1">
        <f t="shared" ref="V333:V337" si="164">IF(J333=$V$7,1,0)</f>
        <v>0</v>
      </c>
      <c r="W333" s="1">
        <f t="shared" ref="W333:W337" si="165">IF(J333=$W$7,1,0)</f>
        <v>0</v>
      </c>
      <c r="X333" s="1">
        <f t="shared" ref="X333:X337" si="166">IF(J333=$X$7,1,0)</f>
        <v>0</v>
      </c>
      <c r="Y333" s="1">
        <f t="shared" ref="Y333:Y337" si="167">IF(J333=$Y$7,1,0)</f>
        <v>0</v>
      </c>
      <c r="Z333" s="1">
        <f t="shared" ref="Z333:Z337" si="168">IF(J333=$Z$7,1,0)</f>
        <v>0</v>
      </c>
      <c r="AA333" s="1">
        <f t="shared" ref="AA333:AA337" si="169">IF(J333=$AA$7,1,0)</f>
        <v>0</v>
      </c>
      <c r="AB333" s="1">
        <f t="shared" ref="AB333:AB337" si="170">IF(J333=$AB$7,1,0)</f>
        <v>0</v>
      </c>
      <c r="AD333" s="1">
        <f t="shared" ref="AD333:AD337" si="171">+O333*P333</f>
        <v>0</v>
      </c>
      <c r="AE333" s="1">
        <f t="shared" ref="AE333:AE337" si="172">O333*(1-P333)</f>
        <v>1</v>
      </c>
      <c r="AF333" s="1">
        <f t="shared" ref="AF333:AF337" si="173">+O333*P333*(1-A333)</f>
        <v>0</v>
      </c>
      <c r="AG333" s="1">
        <f t="shared" ref="AG333:AG337" si="174">O333*(1-P333)*(1-A333)</f>
        <v>1</v>
      </c>
      <c r="AH333" s="1">
        <f t="shared" ref="AH333:AH337" si="175">+P333*(1-A333)</f>
        <v>0</v>
      </c>
      <c r="AI333" s="1">
        <f t="shared" ref="AI333:AI337" si="176">+(1-A333)*(1-P333)</f>
        <v>1</v>
      </c>
    </row>
    <row r="334" spans="1:35" ht="14.25" customHeight="1" x14ac:dyDescent="0.25">
      <c r="A334" s="37">
        <v>0</v>
      </c>
      <c r="B334" s="37">
        <v>2</v>
      </c>
      <c r="C334" s="37">
        <v>2</v>
      </c>
      <c r="D334" s="36" t="s">
        <v>2109</v>
      </c>
      <c r="E334" s="36" t="s">
        <v>2107</v>
      </c>
      <c r="F334" s="36" t="s">
        <v>2108</v>
      </c>
      <c r="G334" s="36" t="s">
        <v>256</v>
      </c>
      <c r="H334" s="36" t="s">
        <v>352</v>
      </c>
      <c r="I334" s="37" t="s">
        <v>30</v>
      </c>
      <c r="J334" s="37">
        <v>2</v>
      </c>
      <c r="K334" s="33" t="s">
        <v>699</v>
      </c>
      <c r="L334" s="33"/>
      <c r="M334" s="34"/>
      <c r="N334" s="34" t="s">
        <v>1700</v>
      </c>
      <c r="O334" s="35">
        <v>1</v>
      </c>
      <c r="P334" s="35">
        <v>1</v>
      </c>
      <c r="Q334" s="36"/>
      <c r="S334" s="1">
        <f t="shared" si="161"/>
        <v>0</v>
      </c>
      <c r="T334" s="1">
        <f t="shared" si="162"/>
        <v>1</v>
      </c>
      <c r="U334" s="1">
        <f t="shared" si="163"/>
        <v>0</v>
      </c>
      <c r="V334" s="1">
        <f t="shared" si="164"/>
        <v>0</v>
      </c>
      <c r="W334" s="1">
        <f t="shared" si="165"/>
        <v>0</v>
      </c>
      <c r="X334" s="1">
        <f t="shared" si="166"/>
        <v>0</v>
      </c>
      <c r="Y334" s="1">
        <f t="shared" si="167"/>
        <v>0</v>
      </c>
      <c r="Z334" s="1">
        <f t="shared" si="168"/>
        <v>0</v>
      </c>
      <c r="AA334" s="1">
        <f t="shared" si="169"/>
        <v>0</v>
      </c>
      <c r="AB334" s="1">
        <f t="shared" si="170"/>
        <v>0</v>
      </c>
      <c r="AD334" s="1">
        <f t="shared" si="171"/>
        <v>1</v>
      </c>
      <c r="AE334" s="1">
        <f t="shared" si="172"/>
        <v>0</v>
      </c>
      <c r="AF334" s="1">
        <f t="shared" si="173"/>
        <v>1</v>
      </c>
      <c r="AG334" s="1">
        <f t="shared" si="174"/>
        <v>0</v>
      </c>
      <c r="AH334" s="1">
        <f t="shared" si="175"/>
        <v>1</v>
      </c>
      <c r="AI334" s="1">
        <f t="shared" si="176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1550</v>
      </c>
      <c r="E335" s="32" t="s">
        <v>1551</v>
      </c>
      <c r="F335" s="32" t="s">
        <v>1553</v>
      </c>
      <c r="G335" s="32" t="s">
        <v>1554</v>
      </c>
      <c r="H335" s="32" t="s">
        <v>352</v>
      </c>
      <c r="I335" s="31" t="s">
        <v>1552</v>
      </c>
      <c r="J335" s="31">
        <v>99</v>
      </c>
      <c r="K335" s="33" t="s">
        <v>699</v>
      </c>
      <c r="L335" s="33">
        <v>18</v>
      </c>
      <c r="M335" s="34" t="s">
        <v>1555</v>
      </c>
      <c r="N335" s="34" t="s">
        <v>1718</v>
      </c>
      <c r="O335" s="35">
        <v>1</v>
      </c>
      <c r="P335" s="35"/>
      <c r="Q335" s="32"/>
      <c r="S335" s="1">
        <f t="shared" si="161"/>
        <v>0</v>
      </c>
      <c r="T335" s="1">
        <f t="shared" si="162"/>
        <v>0</v>
      </c>
      <c r="U335" s="1">
        <f t="shared" si="163"/>
        <v>0</v>
      </c>
      <c r="V335" s="1">
        <f t="shared" si="164"/>
        <v>0</v>
      </c>
      <c r="W335" s="1">
        <f t="shared" si="165"/>
        <v>0</v>
      </c>
      <c r="X335" s="1">
        <f t="shared" si="166"/>
        <v>0</v>
      </c>
      <c r="Y335" s="1">
        <f t="shared" si="167"/>
        <v>0</v>
      </c>
      <c r="Z335" s="1">
        <f t="shared" si="168"/>
        <v>0</v>
      </c>
      <c r="AA335" s="1">
        <f t="shared" si="169"/>
        <v>0</v>
      </c>
      <c r="AB335" s="1">
        <f t="shared" si="170"/>
        <v>0</v>
      </c>
      <c r="AD335" s="1">
        <f t="shared" si="171"/>
        <v>0</v>
      </c>
      <c r="AE335" s="1">
        <f t="shared" si="172"/>
        <v>1</v>
      </c>
      <c r="AF335" s="1">
        <f t="shared" si="173"/>
        <v>0</v>
      </c>
      <c r="AG335" s="1">
        <f t="shared" si="174"/>
        <v>1</v>
      </c>
      <c r="AH335" s="1">
        <f t="shared" si="175"/>
        <v>0</v>
      </c>
      <c r="AI335" s="1">
        <f t="shared" si="176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64</v>
      </c>
      <c r="E336" s="32" t="s">
        <v>33</v>
      </c>
      <c r="F336" s="32" t="s">
        <v>240</v>
      </c>
      <c r="G336" s="32" t="s">
        <v>241</v>
      </c>
      <c r="H336" s="32" t="s">
        <v>352</v>
      </c>
      <c r="I336" s="31" t="s">
        <v>404</v>
      </c>
      <c r="J336" s="31">
        <v>1</v>
      </c>
      <c r="K336" s="33" t="s">
        <v>948</v>
      </c>
      <c r="L336" s="33" t="s">
        <v>712</v>
      </c>
      <c r="M336" s="34" t="s">
        <v>713</v>
      </c>
      <c r="N336" s="34" t="s">
        <v>1714</v>
      </c>
      <c r="O336" s="35">
        <v>1</v>
      </c>
      <c r="P336" s="35"/>
      <c r="Q336" s="32"/>
      <c r="S336" s="1">
        <f t="shared" si="161"/>
        <v>1</v>
      </c>
      <c r="T336" s="1">
        <f t="shared" si="162"/>
        <v>0</v>
      </c>
      <c r="U336" s="1">
        <f t="shared" si="163"/>
        <v>0</v>
      </c>
      <c r="V336" s="1">
        <f t="shared" si="164"/>
        <v>0</v>
      </c>
      <c r="W336" s="1">
        <f t="shared" si="165"/>
        <v>0</v>
      </c>
      <c r="X336" s="1">
        <f t="shared" si="166"/>
        <v>0</v>
      </c>
      <c r="Y336" s="1">
        <f t="shared" si="167"/>
        <v>0</v>
      </c>
      <c r="Z336" s="1">
        <f t="shared" si="168"/>
        <v>0</v>
      </c>
      <c r="AA336" s="1">
        <f t="shared" si="169"/>
        <v>0</v>
      </c>
      <c r="AB336" s="1">
        <f t="shared" si="170"/>
        <v>0</v>
      </c>
      <c r="AD336" s="1">
        <f t="shared" si="171"/>
        <v>0</v>
      </c>
      <c r="AE336" s="1">
        <f t="shared" si="172"/>
        <v>1</v>
      </c>
      <c r="AF336" s="1">
        <f t="shared" si="173"/>
        <v>0</v>
      </c>
      <c r="AG336" s="1">
        <f t="shared" si="174"/>
        <v>1</v>
      </c>
      <c r="AH336" s="1">
        <f t="shared" si="175"/>
        <v>0</v>
      </c>
      <c r="AI336" s="1">
        <f t="shared" si="176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62</v>
      </c>
      <c r="E337" s="32" t="s">
        <v>1073</v>
      </c>
      <c r="F337" s="32" t="s">
        <v>233</v>
      </c>
      <c r="G337" s="32" t="s">
        <v>234</v>
      </c>
      <c r="H337" s="32" t="s">
        <v>352</v>
      </c>
      <c r="I337" s="31" t="s">
        <v>1343</v>
      </c>
      <c r="J337" s="31">
        <v>99</v>
      </c>
      <c r="K337" s="33" t="s">
        <v>942</v>
      </c>
      <c r="L337" s="33" t="s">
        <v>712</v>
      </c>
      <c r="M337" s="34" t="s">
        <v>714</v>
      </c>
      <c r="N337" s="34" t="s">
        <v>1714</v>
      </c>
      <c r="O337" s="35">
        <v>1</v>
      </c>
      <c r="P337" s="35"/>
      <c r="Q337" s="32"/>
      <c r="S337" s="1">
        <f t="shared" si="161"/>
        <v>0</v>
      </c>
      <c r="T337" s="1">
        <f t="shared" si="162"/>
        <v>0</v>
      </c>
      <c r="U337" s="1">
        <f t="shared" si="163"/>
        <v>0</v>
      </c>
      <c r="V337" s="1">
        <f t="shared" si="164"/>
        <v>0</v>
      </c>
      <c r="W337" s="1">
        <f t="shared" si="165"/>
        <v>0</v>
      </c>
      <c r="X337" s="1">
        <f t="shared" si="166"/>
        <v>0</v>
      </c>
      <c r="Y337" s="1">
        <f t="shared" si="167"/>
        <v>0</v>
      </c>
      <c r="Z337" s="1">
        <f t="shared" si="168"/>
        <v>0</v>
      </c>
      <c r="AA337" s="1">
        <f t="shared" si="169"/>
        <v>0</v>
      </c>
      <c r="AB337" s="1">
        <f t="shared" si="170"/>
        <v>0</v>
      </c>
      <c r="AD337" s="1">
        <f t="shared" si="171"/>
        <v>0</v>
      </c>
      <c r="AE337" s="1">
        <f t="shared" si="172"/>
        <v>1</v>
      </c>
      <c r="AF337" s="1">
        <f t="shared" si="173"/>
        <v>0</v>
      </c>
      <c r="AG337" s="1">
        <f t="shared" si="174"/>
        <v>1</v>
      </c>
      <c r="AH337" s="1">
        <f t="shared" si="175"/>
        <v>0</v>
      </c>
      <c r="AI337" s="1">
        <f t="shared" si="17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1689</v>
      </c>
      <c r="E338" s="32" t="s">
        <v>1691</v>
      </c>
      <c r="F338" s="32" t="s">
        <v>1690</v>
      </c>
      <c r="G338" s="32"/>
      <c r="H338" s="32" t="s">
        <v>352</v>
      </c>
      <c r="I338" s="31" t="s">
        <v>1692</v>
      </c>
      <c r="J338" s="31"/>
      <c r="K338" s="33" t="s">
        <v>699</v>
      </c>
      <c r="L338" s="33"/>
      <c r="M338" s="34"/>
      <c r="N338" s="34" t="s">
        <v>1700</v>
      </c>
      <c r="O338" s="35">
        <v>1</v>
      </c>
      <c r="P338" s="35">
        <v>1</v>
      </c>
      <c r="Q338" s="32"/>
      <c r="S338" s="1">
        <f t="shared" si="143"/>
        <v>0</v>
      </c>
      <c r="T338" s="1">
        <f t="shared" si="144"/>
        <v>0</v>
      </c>
      <c r="U338" s="1">
        <f t="shared" si="145"/>
        <v>0</v>
      </c>
      <c r="V338" s="1">
        <f t="shared" si="146"/>
        <v>0</v>
      </c>
      <c r="W338" s="1">
        <f t="shared" si="147"/>
        <v>0</v>
      </c>
      <c r="X338" s="1">
        <f t="shared" si="148"/>
        <v>0</v>
      </c>
      <c r="Y338" s="1">
        <f t="shared" si="149"/>
        <v>0</v>
      </c>
      <c r="Z338" s="1">
        <f t="shared" si="150"/>
        <v>0</v>
      </c>
      <c r="AA338" s="1">
        <f t="shared" si="151"/>
        <v>0</v>
      </c>
      <c r="AB338" s="1">
        <f t="shared" si="152"/>
        <v>0</v>
      </c>
      <c r="AD338" s="1">
        <f t="shared" si="153"/>
        <v>1</v>
      </c>
      <c r="AE338" s="1">
        <f t="shared" si="154"/>
        <v>0</v>
      </c>
      <c r="AF338" s="1">
        <f t="shared" si="139"/>
        <v>1</v>
      </c>
      <c r="AG338" s="1">
        <f t="shared" si="140"/>
        <v>0</v>
      </c>
      <c r="AH338" s="1">
        <f t="shared" si="141"/>
        <v>1</v>
      </c>
      <c r="AI338" s="1">
        <f t="shared" si="14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778</v>
      </c>
      <c r="E339" s="32" t="s">
        <v>898</v>
      </c>
      <c r="F339" s="32" t="s">
        <v>1545</v>
      </c>
      <c r="G339" s="32" t="s">
        <v>229</v>
      </c>
      <c r="H339" s="32" t="s">
        <v>352</v>
      </c>
      <c r="I339" s="31" t="s">
        <v>1667</v>
      </c>
      <c r="J339" s="31">
        <v>7</v>
      </c>
      <c r="K339" s="33" t="s">
        <v>709</v>
      </c>
      <c r="L339" s="33">
        <v>20</v>
      </c>
      <c r="M339" s="34" t="s">
        <v>39</v>
      </c>
      <c r="N339" s="34" t="s">
        <v>1719</v>
      </c>
      <c r="O339" s="35">
        <v>1</v>
      </c>
      <c r="P339" s="35"/>
      <c r="Q339" s="32"/>
      <c r="S339" s="1">
        <f t="shared" si="143"/>
        <v>0</v>
      </c>
      <c r="T339" s="1">
        <f t="shared" si="144"/>
        <v>0</v>
      </c>
      <c r="U339" s="1">
        <f t="shared" si="145"/>
        <v>0</v>
      </c>
      <c r="V339" s="1">
        <f t="shared" si="146"/>
        <v>0</v>
      </c>
      <c r="W339" s="1">
        <f t="shared" si="147"/>
        <v>0</v>
      </c>
      <c r="X339" s="1">
        <f t="shared" si="148"/>
        <v>0</v>
      </c>
      <c r="Y339" s="1">
        <f t="shared" si="149"/>
        <v>1</v>
      </c>
      <c r="Z339" s="1">
        <f t="shared" si="150"/>
        <v>0</v>
      </c>
      <c r="AA339" s="1">
        <f t="shared" si="151"/>
        <v>0</v>
      </c>
      <c r="AB339" s="1">
        <f t="shared" si="152"/>
        <v>0</v>
      </c>
      <c r="AD339" s="1">
        <f t="shared" si="153"/>
        <v>0</v>
      </c>
      <c r="AE339" s="1">
        <f t="shared" si="154"/>
        <v>1</v>
      </c>
      <c r="AF339" s="1">
        <f t="shared" si="139"/>
        <v>0</v>
      </c>
      <c r="AG339" s="1">
        <f t="shared" si="140"/>
        <v>1</v>
      </c>
      <c r="AH339" s="1">
        <f t="shared" si="141"/>
        <v>0</v>
      </c>
      <c r="AI339" s="1">
        <f t="shared" si="14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843</v>
      </c>
      <c r="E340" s="32" t="s">
        <v>537</v>
      </c>
      <c r="F340" s="32" t="s">
        <v>845</v>
      </c>
      <c r="G340" s="32" t="s">
        <v>219</v>
      </c>
      <c r="H340" s="32" t="s">
        <v>352</v>
      </c>
      <c r="I340" s="31" t="s">
        <v>846</v>
      </c>
      <c r="J340" s="31">
        <v>8</v>
      </c>
      <c r="K340" s="33" t="s">
        <v>709</v>
      </c>
      <c r="L340" s="33" t="s">
        <v>712</v>
      </c>
      <c r="M340" s="34" t="s">
        <v>1389</v>
      </c>
      <c r="N340" s="34" t="s">
        <v>1714</v>
      </c>
      <c r="O340" s="35">
        <v>1</v>
      </c>
      <c r="P340" s="35"/>
      <c r="Q340" s="32"/>
      <c r="S340" s="1">
        <f t="shared" si="143"/>
        <v>0</v>
      </c>
      <c r="T340" s="1">
        <f t="shared" si="144"/>
        <v>0</v>
      </c>
      <c r="U340" s="1">
        <f t="shared" si="145"/>
        <v>0</v>
      </c>
      <c r="V340" s="1">
        <f t="shared" si="146"/>
        <v>0</v>
      </c>
      <c r="W340" s="1">
        <f t="shared" si="147"/>
        <v>0</v>
      </c>
      <c r="X340" s="1">
        <f t="shared" si="148"/>
        <v>0</v>
      </c>
      <c r="Y340" s="1">
        <f t="shared" si="149"/>
        <v>0</v>
      </c>
      <c r="Z340" s="1">
        <f t="shared" si="150"/>
        <v>1</v>
      </c>
      <c r="AA340" s="1">
        <f t="shared" si="151"/>
        <v>0</v>
      </c>
      <c r="AB340" s="1">
        <f t="shared" si="152"/>
        <v>0</v>
      </c>
      <c r="AD340" s="1">
        <f t="shared" si="153"/>
        <v>0</v>
      </c>
      <c r="AE340" s="1">
        <f t="shared" si="154"/>
        <v>1</v>
      </c>
      <c r="AF340" s="1">
        <f t="shared" si="139"/>
        <v>0</v>
      </c>
      <c r="AG340" s="1">
        <f t="shared" si="140"/>
        <v>1</v>
      </c>
      <c r="AH340" s="1">
        <f t="shared" si="141"/>
        <v>0</v>
      </c>
      <c r="AI340" s="1">
        <f t="shared" si="142"/>
        <v>1</v>
      </c>
    </row>
    <row r="341" spans="1:35" ht="14.25" customHeight="1" x14ac:dyDescent="0.25">
      <c r="A341" s="31">
        <v>1</v>
      </c>
      <c r="B341" s="31">
        <v>2</v>
      </c>
      <c r="C341" s="31">
        <v>2</v>
      </c>
      <c r="D341" s="32" t="s">
        <v>843</v>
      </c>
      <c r="E341" s="32" t="s">
        <v>537</v>
      </c>
      <c r="F341" s="32" t="s">
        <v>1332</v>
      </c>
      <c r="G341" s="32" t="s">
        <v>193</v>
      </c>
      <c r="H341" s="32" t="s">
        <v>352</v>
      </c>
      <c r="I341" s="31" t="s">
        <v>844</v>
      </c>
      <c r="J341" s="31">
        <v>9</v>
      </c>
      <c r="K341" s="33" t="s">
        <v>709</v>
      </c>
      <c r="L341" s="33" t="s">
        <v>712</v>
      </c>
      <c r="M341" s="34" t="s">
        <v>1389</v>
      </c>
      <c r="N341" s="34" t="s">
        <v>1714</v>
      </c>
      <c r="O341" s="35">
        <v>1</v>
      </c>
      <c r="P341" s="35"/>
      <c r="Q341" s="32"/>
      <c r="S341" s="1">
        <f t="shared" si="143"/>
        <v>0</v>
      </c>
      <c r="T341" s="1">
        <f t="shared" si="144"/>
        <v>0</v>
      </c>
      <c r="U341" s="1">
        <f t="shared" si="145"/>
        <v>0</v>
      </c>
      <c r="V341" s="1">
        <f t="shared" si="146"/>
        <v>0</v>
      </c>
      <c r="W341" s="1">
        <f t="shared" si="147"/>
        <v>0</v>
      </c>
      <c r="X341" s="1">
        <f t="shared" si="148"/>
        <v>0</v>
      </c>
      <c r="Y341" s="1">
        <f t="shared" si="149"/>
        <v>0</v>
      </c>
      <c r="Z341" s="1">
        <f t="shared" si="150"/>
        <v>0</v>
      </c>
      <c r="AA341" s="1">
        <f t="shared" si="151"/>
        <v>1</v>
      </c>
      <c r="AB341" s="1">
        <f t="shared" si="152"/>
        <v>0</v>
      </c>
      <c r="AD341" s="1">
        <f t="shared" si="153"/>
        <v>0</v>
      </c>
      <c r="AE341" s="1">
        <f t="shared" si="154"/>
        <v>1</v>
      </c>
      <c r="AF341" s="1">
        <f t="shared" ref="AF341:AF405" si="177">+O341*P341*(1-A341)</f>
        <v>0</v>
      </c>
      <c r="AG341" s="1">
        <f t="shared" ref="AG341:AG405" si="178">O341*(1-P341)*(1-A341)</f>
        <v>0</v>
      </c>
      <c r="AH341" s="1">
        <f t="shared" ref="AH341:AH405" si="179">+P341*(1-A341)</f>
        <v>0</v>
      </c>
      <c r="AI341" s="1">
        <f t="shared" ref="AI341:AI405" si="180">+(1-A341)*(1-P341)</f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907</v>
      </c>
      <c r="E342" s="32" t="s">
        <v>776</v>
      </c>
      <c r="F342" s="32" t="s">
        <v>777</v>
      </c>
      <c r="G342" s="32" t="s">
        <v>229</v>
      </c>
      <c r="H342" s="32" t="s">
        <v>352</v>
      </c>
      <c r="I342" s="31" t="s">
        <v>779</v>
      </c>
      <c r="J342" s="31">
        <v>7</v>
      </c>
      <c r="K342" s="33" t="s">
        <v>708</v>
      </c>
      <c r="L342" s="33">
        <v>15</v>
      </c>
      <c r="M342" s="34" t="s">
        <v>39</v>
      </c>
      <c r="N342" s="34" t="s">
        <v>1714</v>
      </c>
      <c r="O342" s="35">
        <v>1</v>
      </c>
      <c r="P342" s="35"/>
      <c r="Q342" s="32"/>
      <c r="S342" s="1">
        <f t="shared" si="143"/>
        <v>0</v>
      </c>
      <c r="T342" s="1">
        <f t="shared" si="144"/>
        <v>0</v>
      </c>
      <c r="U342" s="1">
        <f t="shared" si="145"/>
        <v>0</v>
      </c>
      <c r="V342" s="1">
        <f t="shared" si="146"/>
        <v>0</v>
      </c>
      <c r="W342" s="1">
        <f t="shared" si="147"/>
        <v>0</v>
      </c>
      <c r="X342" s="1">
        <f t="shared" si="148"/>
        <v>0</v>
      </c>
      <c r="Y342" s="1">
        <f t="shared" si="149"/>
        <v>1</v>
      </c>
      <c r="Z342" s="1">
        <f t="shared" si="150"/>
        <v>0</v>
      </c>
      <c r="AA342" s="1">
        <f t="shared" si="151"/>
        <v>0</v>
      </c>
      <c r="AB342" s="1">
        <f t="shared" si="152"/>
        <v>0</v>
      </c>
      <c r="AD342" s="1">
        <f t="shared" si="153"/>
        <v>0</v>
      </c>
      <c r="AE342" s="1">
        <f t="shared" si="154"/>
        <v>1</v>
      </c>
      <c r="AF342" s="1">
        <f t="shared" si="177"/>
        <v>0</v>
      </c>
      <c r="AG342" s="1">
        <f t="shared" si="178"/>
        <v>1</v>
      </c>
      <c r="AH342" s="1">
        <f t="shared" si="179"/>
        <v>0</v>
      </c>
      <c r="AI342" s="1">
        <f t="shared" si="180"/>
        <v>1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83</v>
      </c>
      <c r="E343" s="32" t="s">
        <v>156</v>
      </c>
      <c r="F343" s="32" t="s">
        <v>1842</v>
      </c>
      <c r="G343" s="32" t="s">
        <v>208</v>
      </c>
      <c r="H343" s="32" t="s">
        <v>352</v>
      </c>
      <c r="I343" s="31" t="s">
        <v>430</v>
      </c>
      <c r="J343" s="31">
        <v>99</v>
      </c>
      <c r="K343" s="33" t="s">
        <v>941</v>
      </c>
      <c r="L343" s="33" t="s">
        <v>700</v>
      </c>
      <c r="M343" s="34" t="s">
        <v>715</v>
      </c>
      <c r="N343" s="34" t="s">
        <v>1714</v>
      </c>
      <c r="O343" s="35">
        <v>1</v>
      </c>
      <c r="P343" s="35"/>
      <c r="Q343" s="32"/>
      <c r="S343" s="1">
        <f t="shared" si="143"/>
        <v>0</v>
      </c>
      <c r="T343" s="1">
        <f t="shared" si="144"/>
        <v>0</v>
      </c>
      <c r="U343" s="1">
        <f t="shared" si="145"/>
        <v>0</v>
      </c>
      <c r="V343" s="1">
        <f t="shared" si="146"/>
        <v>0</v>
      </c>
      <c r="W343" s="1">
        <f t="shared" si="147"/>
        <v>0</v>
      </c>
      <c r="X343" s="1">
        <f t="shared" si="148"/>
        <v>0</v>
      </c>
      <c r="Y343" s="1">
        <f t="shared" si="149"/>
        <v>0</v>
      </c>
      <c r="Z343" s="1">
        <f t="shared" si="150"/>
        <v>0</v>
      </c>
      <c r="AA343" s="1">
        <f t="shared" si="151"/>
        <v>0</v>
      </c>
      <c r="AB343" s="1">
        <f t="shared" si="152"/>
        <v>0</v>
      </c>
      <c r="AD343" s="1">
        <f t="shared" si="153"/>
        <v>0</v>
      </c>
      <c r="AE343" s="1">
        <f t="shared" si="154"/>
        <v>1</v>
      </c>
      <c r="AF343" s="1">
        <f t="shared" si="177"/>
        <v>0</v>
      </c>
      <c r="AG343" s="1">
        <f t="shared" si="178"/>
        <v>1</v>
      </c>
      <c r="AH343" s="1">
        <f t="shared" si="179"/>
        <v>0</v>
      </c>
      <c r="AI343" s="1">
        <f t="shared" si="180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1538</v>
      </c>
      <c r="E344" s="32" t="s">
        <v>1314</v>
      </c>
      <c r="F344" s="32" t="s">
        <v>1539</v>
      </c>
      <c r="G344" s="32" t="s">
        <v>1150</v>
      </c>
      <c r="H344" s="32" t="s">
        <v>352</v>
      </c>
      <c r="I344" s="31" t="s">
        <v>1540</v>
      </c>
      <c r="J344" s="31">
        <v>1</v>
      </c>
      <c r="K344" s="33" t="s">
        <v>709</v>
      </c>
      <c r="L344" s="33" t="s">
        <v>39</v>
      </c>
      <c r="M344" s="34" t="s">
        <v>39</v>
      </c>
      <c r="N344" s="34" t="s">
        <v>1700</v>
      </c>
      <c r="O344" s="35">
        <v>1</v>
      </c>
      <c r="P344" s="35">
        <v>1</v>
      </c>
      <c r="Q344" s="32"/>
      <c r="S344" s="1">
        <f t="shared" si="143"/>
        <v>1</v>
      </c>
      <c r="T344" s="1">
        <f t="shared" si="144"/>
        <v>0</v>
      </c>
      <c r="U344" s="1">
        <f t="shared" si="145"/>
        <v>0</v>
      </c>
      <c r="V344" s="1">
        <f t="shared" si="146"/>
        <v>0</v>
      </c>
      <c r="W344" s="1">
        <f t="shared" si="147"/>
        <v>0</v>
      </c>
      <c r="X344" s="1">
        <f t="shared" si="148"/>
        <v>0</v>
      </c>
      <c r="Y344" s="1">
        <f t="shared" si="149"/>
        <v>0</v>
      </c>
      <c r="Z344" s="1">
        <f t="shared" si="150"/>
        <v>0</v>
      </c>
      <c r="AA344" s="1">
        <f t="shared" si="151"/>
        <v>0</v>
      </c>
      <c r="AB344" s="1">
        <f t="shared" si="152"/>
        <v>0</v>
      </c>
      <c r="AD344" s="1">
        <f t="shared" si="153"/>
        <v>1</v>
      </c>
      <c r="AE344" s="1">
        <f t="shared" si="154"/>
        <v>0</v>
      </c>
      <c r="AF344" s="1">
        <f t="shared" si="177"/>
        <v>1</v>
      </c>
      <c r="AG344" s="1">
        <f t="shared" si="178"/>
        <v>0</v>
      </c>
      <c r="AH344" s="1">
        <f t="shared" si="179"/>
        <v>1</v>
      </c>
      <c r="AI344" s="1">
        <f t="shared" si="180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1715</v>
      </c>
      <c r="E345" s="32" t="s">
        <v>27</v>
      </c>
      <c r="F345" s="32" t="s">
        <v>1031</v>
      </c>
      <c r="G345" s="32" t="s">
        <v>219</v>
      </c>
      <c r="H345" s="32" t="s">
        <v>352</v>
      </c>
      <c r="I345" s="31" t="s">
        <v>1032</v>
      </c>
      <c r="J345" s="31">
        <v>8</v>
      </c>
      <c r="K345" s="33" t="s">
        <v>709</v>
      </c>
      <c r="L345" s="33">
        <v>25</v>
      </c>
      <c r="M345" s="34" t="s">
        <v>1716</v>
      </c>
      <c r="N345" s="34" t="s">
        <v>1700</v>
      </c>
      <c r="O345" s="35">
        <v>1</v>
      </c>
      <c r="P345" s="35">
        <v>1</v>
      </c>
      <c r="Q345" s="32"/>
      <c r="S345" s="1">
        <f t="shared" ref="S345:S409" si="181">IF(J345=$S$7,1,0)</f>
        <v>0</v>
      </c>
      <c r="T345" s="1">
        <f t="shared" ref="T345:T409" si="182">IF(J345=$T$7,1,0)</f>
        <v>0</v>
      </c>
      <c r="U345" s="1">
        <f t="shared" ref="U345:U409" si="183">IF(J345=$U$7,1,0)</f>
        <v>0</v>
      </c>
      <c r="V345" s="1">
        <f t="shared" ref="V345:V409" si="184">IF(J345=$V$7,1,0)</f>
        <v>0</v>
      </c>
      <c r="W345" s="1">
        <f t="shared" ref="W345:W409" si="185">IF(J345=$W$7,1,0)</f>
        <v>0</v>
      </c>
      <c r="X345" s="1">
        <f t="shared" ref="X345:X409" si="186">IF(J345=$X$7,1,0)</f>
        <v>0</v>
      </c>
      <c r="Y345" s="1">
        <f t="shared" ref="Y345:Y409" si="187">IF(J345=$Y$7,1,0)</f>
        <v>0</v>
      </c>
      <c r="Z345" s="1">
        <f t="shared" ref="Z345:Z409" si="188">IF(J345=$Z$7,1,0)</f>
        <v>1</v>
      </c>
      <c r="AA345" s="1">
        <f t="shared" ref="AA345:AA409" si="189">IF(J345=$AA$7,1,0)</f>
        <v>0</v>
      </c>
      <c r="AB345" s="1">
        <f t="shared" ref="AB345:AB409" si="190">IF(J345=$AB$7,1,0)</f>
        <v>0</v>
      </c>
      <c r="AD345" s="1">
        <f t="shared" ref="AD345:AD409" si="191">+O345*P345</f>
        <v>1</v>
      </c>
      <c r="AE345" s="1">
        <f t="shared" ref="AE345:AE409" si="192">O345*(1-P345)</f>
        <v>0</v>
      </c>
      <c r="AF345" s="1">
        <f t="shared" si="177"/>
        <v>1</v>
      </c>
      <c r="AG345" s="1">
        <f t="shared" si="178"/>
        <v>0</v>
      </c>
      <c r="AH345" s="1">
        <f t="shared" si="179"/>
        <v>1</v>
      </c>
      <c r="AI345" s="1">
        <f t="shared" si="180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45</v>
      </c>
      <c r="E346" s="32" t="s">
        <v>44</v>
      </c>
      <c r="F346" s="32" t="s">
        <v>665</v>
      </c>
      <c r="G346" s="32" t="s">
        <v>179</v>
      </c>
      <c r="H346" s="32" t="s">
        <v>352</v>
      </c>
      <c r="I346" s="31" t="s">
        <v>937</v>
      </c>
      <c r="J346" s="31">
        <v>10</v>
      </c>
      <c r="K346" s="33" t="s">
        <v>709</v>
      </c>
      <c r="L346" s="33" t="s">
        <v>716</v>
      </c>
      <c r="M346" s="34" t="s">
        <v>717</v>
      </c>
      <c r="N346" s="34" t="s">
        <v>1700</v>
      </c>
      <c r="O346" s="35">
        <v>1</v>
      </c>
      <c r="P346" s="35">
        <v>1</v>
      </c>
      <c r="Q346" s="32"/>
      <c r="S346" s="1">
        <f t="shared" si="181"/>
        <v>0</v>
      </c>
      <c r="T346" s="1">
        <f t="shared" si="182"/>
        <v>0</v>
      </c>
      <c r="U346" s="1">
        <f t="shared" si="183"/>
        <v>0</v>
      </c>
      <c r="V346" s="1">
        <f t="shared" si="184"/>
        <v>0</v>
      </c>
      <c r="W346" s="1">
        <f t="shared" si="185"/>
        <v>0</v>
      </c>
      <c r="X346" s="1">
        <f t="shared" si="186"/>
        <v>0</v>
      </c>
      <c r="Y346" s="1">
        <f t="shared" si="187"/>
        <v>0</v>
      </c>
      <c r="Z346" s="1">
        <f t="shared" si="188"/>
        <v>0</v>
      </c>
      <c r="AA346" s="1">
        <f t="shared" si="189"/>
        <v>0</v>
      </c>
      <c r="AB346" s="1">
        <f t="shared" si="190"/>
        <v>1</v>
      </c>
      <c r="AD346" s="1">
        <f t="shared" si="191"/>
        <v>1</v>
      </c>
      <c r="AE346" s="1">
        <f t="shared" si="192"/>
        <v>0</v>
      </c>
      <c r="AF346" s="1">
        <f t="shared" si="177"/>
        <v>1</v>
      </c>
      <c r="AG346" s="1">
        <f t="shared" si="178"/>
        <v>0</v>
      </c>
      <c r="AH346" s="1">
        <f t="shared" si="179"/>
        <v>1</v>
      </c>
      <c r="AI346" s="1">
        <f t="shared" si="180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1423</v>
      </c>
      <c r="E347" s="32" t="s">
        <v>1627</v>
      </c>
      <c r="F347" s="32" t="s">
        <v>1642</v>
      </c>
      <c r="G347" s="32" t="s">
        <v>229</v>
      </c>
      <c r="H347" s="32" t="s">
        <v>352</v>
      </c>
      <c r="I347" s="31" t="s">
        <v>1424</v>
      </c>
      <c r="J347" s="31">
        <v>99</v>
      </c>
      <c r="K347" s="33" t="s">
        <v>942</v>
      </c>
      <c r="L347" s="33">
        <v>20</v>
      </c>
      <c r="M347" s="34" t="s">
        <v>39</v>
      </c>
      <c r="N347" s="34" t="s">
        <v>1700</v>
      </c>
      <c r="O347" s="35">
        <v>1</v>
      </c>
      <c r="P347" s="35">
        <v>1</v>
      </c>
      <c r="Q347" s="32"/>
      <c r="S347" s="1">
        <f t="shared" si="181"/>
        <v>0</v>
      </c>
      <c r="T347" s="1">
        <f t="shared" si="182"/>
        <v>0</v>
      </c>
      <c r="U347" s="1">
        <f t="shared" si="183"/>
        <v>0</v>
      </c>
      <c r="V347" s="1">
        <f t="shared" si="184"/>
        <v>0</v>
      </c>
      <c r="W347" s="1">
        <f t="shared" si="185"/>
        <v>0</v>
      </c>
      <c r="X347" s="1">
        <f t="shared" si="186"/>
        <v>0</v>
      </c>
      <c r="Y347" s="1">
        <f t="shared" si="187"/>
        <v>0</v>
      </c>
      <c r="Z347" s="1">
        <f t="shared" si="188"/>
        <v>0</v>
      </c>
      <c r="AA347" s="1">
        <f t="shared" si="189"/>
        <v>0</v>
      </c>
      <c r="AB347" s="1">
        <f t="shared" si="190"/>
        <v>0</v>
      </c>
      <c r="AD347" s="1">
        <f t="shared" si="191"/>
        <v>1</v>
      </c>
      <c r="AE347" s="1">
        <f t="shared" si="192"/>
        <v>0</v>
      </c>
      <c r="AF347" s="1">
        <f t="shared" si="177"/>
        <v>1</v>
      </c>
      <c r="AG347" s="1">
        <f t="shared" si="178"/>
        <v>0</v>
      </c>
      <c r="AH347" s="1">
        <f t="shared" si="179"/>
        <v>1</v>
      </c>
      <c r="AI347" s="1">
        <f t="shared" si="180"/>
        <v>0</v>
      </c>
    </row>
    <row r="348" spans="1:35" ht="14.25" customHeight="1" x14ac:dyDescent="0.25">
      <c r="A348" s="59">
        <v>0</v>
      </c>
      <c r="B348" s="59">
        <v>2</v>
      </c>
      <c r="C348" s="59">
        <v>2</v>
      </c>
      <c r="D348" s="49" t="s">
        <v>1958</v>
      </c>
      <c r="E348" s="49" t="s">
        <v>2043</v>
      </c>
      <c r="F348" s="49" t="s">
        <v>1959</v>
      </c>
      <c r="G348" s="49" t="s">
        <v>178</v>
      </c>
      <c r="H348" s="49" t="s">
        <v>352</v>
      </c>
      <c r="I348" s="59" t="s">
        <v>1960</v>
      </c>
      <c r="J348" s="59"/>
      <c r="K348" s="59" t="s">
        <v>699</v>
      </c>
      <c r="L348" s="59"/>
      <c r="M348" s="49"/>
      <c r="N348" s="49"/>
      <c r="O348" s="60"/>
      <c r="P348" s="60">
        <v>1</v>
      </c>
      <c r="Q348" s="49"/>
      <c r="S348" s="1">
        <f t="shared" si="181"/>
        <v>0</v>
      </c>
      <c r="T348" s="1">
        <f t="shared" si="182"/>
        <v>0</v>
      </c>
      <c r="U348" s="1">
        <f t="shared" si="183"/>
        <v>0</v>
      </c>
      <c r="V348" s="1">
        <f t="shared" si="184"/>
        <v>0</v>
      </c>
      <c r="W348" s="1">
        <f t="shared" si="185"/>
        <v>0</v>
      </c>
      <c r="X348" s="1">
        <f t="shared" si="186"/>
        <v>0</v>
      </c>
      <c r="Y348" s="1">
        <f t="shared" si="187"/>
        <v>0</v>
      </c>
      <c r="Z348" s="1">
        <f t="shared" si="188"/>
        <v>0</v>
      </c>
      <c r="AA348" s="1">
        <f t="shared" si="189"/>
        <v>0</v>
      </c>
      <c r="AB348" s="1">
        <f t="shared" si="190"/>
        <v>0</v>
      </c>
      <c r="AD348" s="1">
        <f t="shared" si="191"/>
        <v>0</v>
      </c>
      <c r="AE348" s="1">
        <f t="shared" si="192"/>
        <v>0</v>
      </c>
      <c r="AF348" s="1">
        <f t="shared" si="177"/>
        <v>0</v>
      </c>
      <c r="AG348" s="1">
        <f t="shared" si="178"/>
        <v>0</v>
      </c>
      <c r="AH348" s="1">
        <f t="shared" si="179"/>
        <v>1</v>
      </c>
      <c r="AI348" s="1">
        <f t="shared" si="180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602</v>
      </c>
      <c r="E349" s="32" t="s">
        <v>603</v>
      </c>
      <c r="F349" s="32" t="s">
        <v>604</v>
      </c>
      <c r="G349" s="32" t="s">
        <v>256</v>
      </c>
      <c r="H349" s="32" t="s">
        <v>352</v>
      </c>
      <c r="I349" s="31" t="s">
        <v>605</v>
      </c>
      <c r="J349" s="31">
        <v>99</v>
      </c>
      <c r="K349" s="33" t="s">
        <v>942</v>
      </c>
      <c r="L349" s="33" t="s">
        <v>700</v>
      </c>
      <c r="M349" s="34" t="s">
        <v>1390</v>
      </c>
      <c r="N349" s="34" t="s">
        <v>1714</v>
      </c>
      <c r="O349" s="35">
        <v>1</v>
      </c>
      <c r="P349" s="35"/>
      <c r="Q349" s="32"/>
      <c r="S349" s="1">
        <f t="shared" si="181"/>
        <v>0</v>
      </c>
      <c r="T349" s="1">
        <f t="shared" si="182"/>
        <v>0</v>
      </c>
      <c r="U349" s="1">
        <f t="shared" si="183"/>
        <v>0</v>
      </c>
      <c r="V349" s="1">
        <f t="shared" si="184"/>
        <v>0</v>
      </c>
      <c r="W349" s="1">
        <f t="shared" si="185"/>
        <v>0</v>
      </c>
      <c r="X349" s="1">
        <f t="shared" si="186"/>
        <v>0</v>
      </c>
      <c r="Y349" s="1">
        <f t="shared" si="187"/>
        <v>0</v>
      </c>
      <c r="Z349" s="1">
        <f t="shared" si="188"/>
        <v>0</v>
      </c>
      <c r="AA349" s="1">
        <f t="shared" si="189"/>
        <v>0</v>
      </c>
      <c r="AB349" s="1">
        <f t="shared" si="190"/>
        <v>0</v>
      </c>
      <c r="AD349" s="1">
        <f t="shared" si="191"/>
        <v>0</v>
      </c>
      <c r="AE349" s="1">
        <f t="shared" si="192"/>
        <v>1</v>
      </c>
      <c r="AF349" s="1">
        <f t="shared" si="177"/>
        <v>0</v>
      </c>
      <c r="AG349" s="1">
        <f t="shared" si="178"/>
        <v>1</v>
      </c>
      <c r="AH349" s="1">
        <f t="shared" si="179"/>
        <v>0</v>
      </c>
      <c r="AI349" s="1">
        <f t="shared" si="180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1895</v>
      </c>
      <c r="E350" s="32" t="s">
        <v>1896</v>
      </c>
      <c r="F350" s="32" t="s">
        <v>1897</v>
      </c>
      <c r="G350" s="32" t="s">
        <v>183</v>
      </c>
      <c r="H350" s="32" t="s">
        <v>352</v>
      </c>
      <c r="I350" s="31" t="s">
        <v>1899</v>
      </c>
      <c r="J350" s="31">
        <v>99</v>
      </c>
      <c r="K350" s="33" t="s">
        <v>699</v>
      </c>
      <c r="L350" s="33"/>
      <c r="M350" s="34"/>
      <c r="N350" s="34" t="s">
        <v>1700</v>
      </c>
      <c r="O350" s="35">
        <v>1</v>
      </c>
      <c r="P350" s="35">
        <v>1</v>
      </c>
      <c r="Q350" s="32" t="s">
        <v>1898</v>
      </c>
      <c r="S350" s="1">
        <f t="shared" si="181"/>
        <v>0</v>
      </c>
      <c r="T350" s="1">
        <f t="shared" si="182"/>
        <v>0</v>
      </c>
      <c r="U350" s="1">
        <f t="shared" si="183"/>
        <v>0</v>
      </c>
      <c r="V350" s="1">
        <f t="shared" si="184"/>
        <v>0</v>
      </c>
      <c r="W350" s="1">
        <f t="shared" si="185"/>
        <v>0</v>
      </c>
      <c r="X350" s="1">
        <f t="shared" si="186"/>
        <v>0</v>
      </c>
      <c r="Y350" s="1">
        <f t="shared" si="187"/>
        <v>0</v>
      </c>
      <c r="Z350" s="1">
        <f t="shared" si="188"/>
        <v>0</v>
      </c>
      <c r="AA350" s="1">
        <f t="shared" si="189"/>
        <v>0</v>
      </c>
      <c r="AB350" s="1">
        <f t="shared" si="190"/>
        <v>0</v>
      </c>
      <c r="AD350" s="1">
        <f t="shared" si="191"/>
        <v>1</v>
      </c>
      <c r="AE350" s="1">
        <f t="shared" si="192"/>
        <v>0</v>
      </c>
      <c r="AF350" s="1">
        <f t="shared" si="177"/>
        <v>1</v>
      </c>
      <c r="AG350" s="1">
        <f t="shared" si="178"/>
        <v>0</v>
      </c>
      <c r="AH350" s="1">
        <f t="shared" si="179"/>
        <v>1</v>
      </c>
      <c r="AI350" s="1">
        <f t="shared" si="180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1617</v>
      </c>
      <c r="E351" s="32" t="s">
        <v>1152</v>
      </c>
      <c r="F351" s="32" t="s">
        <v>1648</v>
      </c>
      <c r="G351" s="32" t="s">
        <v>179</v>
      </c>
      <c r="H351" s="32" t="s">
        <v>352</v>
      </c>
      <c r="I351" s="31" t="s">
        <v>1469</v>
      </c>
      <c r="J351" s="31">
        <v>10</v>
      </c>
      <c r="K351" s="33" t="s">
        <v>708</v>
      </c>
      <c r="L351" s="33">
        <v>15</v>
      </c>
      <c r="M351" s="34" t="s">
        <v>39</v>
      </c>
      <c r="N351" s="34" t="s">
        <v>1759</v>
      </c>
      <c r="O351" s="35">
        <v>1</v>
      </c>
      <c r="P351" s="35"/>
      <c r="Q351" s="32"/>
      <c r="S351" s="1">
        <f t="shared" si="181"/>
        <v>0</v>
      </c>
      <c r="T351" s="1">
        <f t="shared" si="182"/>
        <v>0</v>
      </c>
      <c r="U351" s="1">
        <f t="shared" si="183"/>
        <v>0</v>
      </c>
      <c r="V351" s="1">
        <f t="shared" si="184"/>
        <v>0</v>
      </c>
      <c r="W351" s="1">
        <f t="shared" si="185"/>
        <v>0</v>
      </c>
      <c r="X351" s="1">
        <f t="shared" si="186"/>
        <v>0</v>
      </c>
      <c r="Y351" s="1">
        <f t="shared" si="187"/>
        <v>0</v>
      </c>
      <c r="Z351" s="1">
        <f t="shared" si="188"/>
        <v>0</v>
      </c>
      <c r="AA351" s="1">
        <f t="shared" si="189"/>
        <v>0</v>
      </c>
      <c r="AB351" s="1">
        <f t="shared" si="190"/>
        <v>1</v>
      </c>
      <c r="AD351" s="1">
        <f t="shared" si="191"/>
        <v>0</v>
      </c>
      <c r="AE351" s="1">
        <f t="shared" si="192"/>
        <v>1</v>
      </c>
      <c r="AF351" s="1">
        <f t="shared" si="177"/>
        <v>0</v>
      </c>
      <c r="AG351" s="1">
        <f t="shared" si="178"/>
        <v>1</v>
      </c>
      <c r="AH351" s="1">
        <f t="shared" si="179"/>
        <v>0</v>
      </c>
      <c r="AI351" s="1">
        <f t="shared" si="180"/>
        <v>1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853</v>
      </c>
      <c r="E352" s="32" t="s">
        <v>540</v>
      </c>
      <c r="F352" s="32" t="s">
        <v>854</v>
      </c>
      <c r="G352" s="32" t="s">
        <v>312</v>
      </c>
      <c r="H352" s="32" t="s">
        <v>352</v>
      </c>
      <c r="I352" s="31" t="s">
        <v>855</v>
      </c>
      <c r="J352" s="31">
        <v>1</v>
      </c>
      <c r="K352" s="33" t="s">
        <v>708</v>
      </c>
      <c r="L352" s="33">
        <v>25</v>
      </c>
      <c r="M352" s="34" t="s">
        <v>39</v>
      </c>
      <c r="N352" s="34" t="s">
        <v>1714</v>
      </c>
      <c r="O352" s="35">
        <v>1</v>
      </c>
      <c r="P352" s="35"/>
      <c r="Q352" s="32"/>
      <c r="S352" s="1">
        <f t="shared" si="181"/>
        <v>1</v>
      </c>
      <c r="T352" s="1">
        <f t="shared" si="182"/>
        <v>0</v>
      </c>
      <c r="U352" s="1">
        <f t="shared" si="183"/>
        <v>0</v>
      </c>
      <c r="V352" s="1">
        <f t="shared" si="184"/>
        <v>0</v>
      </c>
      <c r="W352" s="1">
        <f t="shared" si="185"/>
        <v>0</v>
      </c>
      <c r="X352" s="1">
        <f t="shared" si="186"/>
        <v>0</v>
      </c>
      <c r="Y352" s="1">
        <f t="shared" si="187"/>
        <v>0</v>
      </c>
      <c r="Z352" s="1">
        <f t="shared" si="188"/>
        <v>0</v>
      </c>
      <c r="AA352" s="1">
        <f t="shared" si="189"/>
        <v>0</v>
      </c>
      <c r="AB352" s="1">
        <f t="shared" si="190"/>
        <v>0</v>
      </c>
      <c r="AD352" s="1">
        <f t="shared" si="191"/>
        <v>0</v>
      </c>
      <c r="AE352" s="1">
        <f t="shared" si="192"/>
        <v>1</v>
      </c>
      <c r="AF352" s="1">
        <f t="shared" si="177"/>
        <v>0</v>
      </c>
      <c r="AG352" s="1">
        <f t="shared" si="178"/>
        <v>1</v>
      </c>
      <c r="AH352" s="1">
        <f t="shared" si="179"/>
        <v>0</v>
      </c>
      <c r="AI352" s="1">
        <f t="shared" si="180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564</v>
      </c>
      <c r="E353" s="32" t="s">
        <v>38</v>
      </c>
      <c r="F353" s="32" t="s">
        <v>236</v>
      </c>
      <c r="G353" s="32" t="s">
        <v>535</v>
      </c>
      <c r="H353" s="32" t="s">
        <v>352</v>
      </c>
      <c r="I353" s="31" t="s">
        <v>401</v>
      </c>
      <c r="J353" s="31">
        <v>1</v>
      </c>
      <c r="K353" s="33" t="s">
        <v>708</v>
      </c>
      <c r="L353" s="33" t="s">
        <v>720</v>
      </c>
      <c r="M353" s="34" t="s">
        <v>721</v>
      </c>
      <c r="N353" s="34" t="s">
        <v>1700</v>
      </c>
      <c r="O353" s="35">
        <v>1</v>
      </c>
      <c r="P353" s="35">
        <v>1</v>
      </c>
      <c r="Q353" s="32"/>
      <c r="S353" s="1">
        <f t="shared" si="181"/>
        <v>1</v>
      </c>
      <c r="T353" s="1">
        <f t="shared" si="182"/>
        <v>0</v>
      </c>
      <c r="U353" s="1">
        <f t="shared" si="183"/>
        <v>0</v>
      </c>
      <c r="V353" s="1">
        <f t="shared" si="184"/>
        <v>0</v>
      </c>
      <c r="W353" s="1">
        <f t="shared" si="185"/>
        <v>0</v>
      </c>
      <c r="X353" s="1">
        <f t="shared" si="186"/>
        <v>0</v>
      </c>
      <c r="Y353" s="1">
        <f t="shared" si="187"/>
        <v>0</v>
      </c>
      <c r="Z353" s="1">
        <f t="shared" si="188"/>
        <v>0</v>
      </c>
      <c r="AA353" s="1">
        <f t="shared" si="189"/>
        <v>0</v>
      </c>
      <c r="AB353" s="1">
        <f t="shared" si="190"/>
        <v>0</v>
      </c>
      <c r="AD353" s="1">
        <f t="shared" si="191"/>
        <v>1</v>
      </c>
      <c r="AE353" s="1">
        <f t="shared" si="192"/>
        <v>0</v>
      </c>
      <c r="AF353" s="1">
        <f t="shared" si="177"/>
        <v>1</v>
      </c>
      <c r="AG353" s="1">
        <f t="shared" si="178"/>
        <v>0</v>
      </c>
      <c r="AH353" s="1">
        <f t="shared" si="179"/>
        <v>1</v>
      </c>
      <c r="AI353" s="1">
        <f t="shared" si="180"/>
        <v>0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841</v>
      </c>
      <c r="E354" s="32" t="s">
        <v>34</v>
      </c>
      <c r="F354" s="32" t="s">
        <v>915</v>
      </c>
      <c r="G354" s="32" t="s">
        <v>634</v>
      </c>
      <c r="H354" s="32" t="s">
        <v>352</v>
      </c>
      <c r="I354" s="31" t="s">
        <v>842</v>
      </c>
      <c r="J354" s="31">
        <v>1</v>
      </c>
      <c r="K354" s="33" t="s">
        <v>941</v>
      </c>
      <c r="L354" s="33" t="s">
        <v>725</v>
      </c>
      <c r="M354" s="34" t="s">
        <v>719</v>
      </c>
      <c r="N354" s="34" t="s">
        <v>1714</v>
      </c>
      <c r="O354" s="35">
        <v>1</v>
      </c>
      <c r="P354" s="35"/>
      <c r="Q354" s="32"/>
      <c r="S354" s="1">
        <f t="shared" si="181"/>
        <v>1</v>
      </c>
      <c r="T354" s="1">
        <f t="shared" si="182"/>
        <v>0</v>
      </c>
      <c r="U354" s="1">
        <f t="shared" si="183"/>
        <v>0</v>
      </c>
      <c r="V354" s="1">
        <f t="shared" si="184"/>
        <v>0</v>
      </c>
      <c r="W354" s="1">
        <f t="shared" si="185"/>
        <v>0</v>
      </c>
      <c r="X354" s="1">
        <f t="shared" si="186"/>
        <v>0</v>
      </c>
      <c r="Y354" s="1">
        <f t="shared" si="187"/>
        <v>0</v>
      </c>
      <c r="Z354" s="1">
        <f t="shared" si="188"/>
        <v>0</v>
      </c>
      <c r="AA354" s="1">
        <f t="shared" si="189"/>
        <v>0</v>
      </c>
      <c r="AB354" s="1">
        <f t="shared" si="190"/>
        <v>0</v>
      </c>
      <c r="AD354" s="1">
        <f t="shared" si="191"/>
        <v>0</v>
      </c>
      <c r="AE354" s="1">
        <f t="shared" si="192"/>
        <v>1</v>
      </c>
      <c r="AF354" s="1">
        <f t="shared" si="177"/>
        <v>0</v>
      </c>
      <c r="AG354" s="1">
        <f t="shared" si="178"/>
        <v>1</v>
      </c>
      <c r="AH354" s="1">
        <f t="shared" si="179"/>
        <v>0</v>
      </c>
      <c r="AI354" s="1">
        <f t="shared" si="180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784</v>
      </c>
      <c r="E355" s="45" t="s">
        <v>32</v>
      </c>
      <c r="F355" s="45" t="s">
        <v>785</v>
      </c>
      <c r="G355" s="45" t="s">
        <v>250</v>
      </c>
      <c r="H355" s="45" t="s">
        <v>352</v>
      </c>
      <c r="I355" s="44" t="s">
        <v>786</v>
      </c>
      <c r="J355" s="44">
        <v>99</v>
      </c>
      <c r="K355" s="46" t="s">
        <v>709</v>
      </c>
      <c r="L355" s="46" t="s">
        <v>718</v>
      </c>
      <c r="M355" s="47" t="s">
        <v>719</v>
      </c>
      <c r="N355" s="47" t="s">
        <v>1779</v>
      </c>
      <c r="O355" s="48"/>
      <c r="P355" s="48"/>
      <c r="Q355" s="45"/>
      <c r="S355" s="1">
        <f t="shared" si="181"/>
        <v>0</v>
      </c>
      <c r="T355" s="1">
        <f t="shared" si="182"/>
        <v>0</v>
      </c>
      <c r="U355" s="1">
        <f t="shared" si="183"/>
        <v>0</v>
      </c>
      <c r="V355" s="1">
        <f t="shared" si="184"/>
        <v>0</v>
      </c>
      <c r="W355" s="1">
        <f t="shared" si="185"/>
        <v>0</v>
      </c>
      <c r="X355" s="1">
        <f t="shared" si="186"/>
        <v>0</v>
      </c>
      <c r="Y355" s="1">
        <f t="shared" si="187"/>
        <v>0</v>
      </c>
      <c r="Z355" s="1">
        <f t="shared" si="188"/>
        <v>0</v>
      </c>
      <c r="AA355" s="1">
        <f t="shared" si="189"/>
        <v>0</v>
      </c>
      <c r="AB355" s="1">
        <f t="shared" si="190"/>
        <v>0</v>
      </c>
      <c r="AD355" s="1">
        <f t="shared" si="191"/>
        <v>0</v>
      </c>
      <c r="AE355" s="1">
        <f t="shared" si="192"/>
        <v>0</v>
      </c>
      <c r="AF355" s="1">
        <f t="shared" si="177"/>
        <v>0</v>
      </c>
      <c r="AG355" s="1">
        <f t="shared" si="178"/>
        <v>0</v>
      </c>
      <c r="AH355" s="1">
        <f t="shared" si="179"/>
        <v>0</v>
      </c>
      <c r="AI355" s="1">
        <f t="shared" si="180"/>
        <v>1</v>
      </c>
    </row>
    <row r="356" spans="1:35" ht="14.25" customHeight="1" x14ac:dyDescent="0.25">
      <c r="A356" s="44">
        <v>0</v>
      </c>
      <c r="B356" s="44">
        <v>2</v>
      </c>
      <c r="C356" s="44">
        <v>3</v>
      </c>
      <c r="D356" s="45" t="s">
        <v>56</v>
      </c>
      <c r="E356" s="45" t="s">
        <v>160</v>
      </c>
      <c r="F356" s="45" t="s">
        <v>218</v>
      </c>
      <c r="G356" s="45" t="s">
        <v>195</v>
      </c>
      <c r="H356" s="45" t="s">
        <v>352</v>
      </c>
      <c r="I356" s="44" t="s">
        <v>547</v>
      </c>
      <c r="J356" s="44">
        <v>99</v>
      </c>
      <c r="K356" s="46" t="s">
        <v>709</v>
      </c>
      <c r="L356" s="46" t="s">
        <v>718</v>
      </c>
      <c r="M356" s="47" t="s">
        <v>719</v>
      </c>
      <c r="N356" s="47" t="s">
        <v>1772</v>
      </c>
      <c r="O356" s="48"/>
      <c r="P356" s="48"/>
      <c r="Q356" s="45"/>
      <c r="S356" s="1">
        <f t="shared" si="181"/>
        <v>0</v>
      </c>
      <c r="T356" s="1">
        <f t="shared" si="182"/>
        <v>0</v>
      </c>
      <c r="U356" s="1">
        <f t="shared" si="183"/>
        <v>0</v>
      </c>
      <c r="V356" s="1">
        <f t="shared" si="184"/>
        <v>0</v>
      </c>
      <c r="W356" s="1">
        <f t="shared" si="185"/>
        <v>0</v>
      </c>
      <c r="X356" s="1">
        <f t="shared" si="186"/>
        <v>0</v>
      </c>
      <c r="Y356" s="1">
        <f t="shared" si="187"/>
        <v>0</v>
      </c>
      <c r="Z356" s="1">
        <f t="shared" si="188"/>
        <v>0</v>
      </c>
      <c r="AA356" s="1">
        <f t="shared" si="189"/>
        <v>0</v>
      </c>
      <c r="AB356" s="1">
        <f t="shared" si="190"/>
        <v>0</v>
      </c>
      <c r="AD356" s="1">
        <f t="shared" si="191"/>
        <v>0</v>
      </c>
      <c r="AE356" s="1">
        <f t="shared" si="192"/>
        <v>0</v>
      </c>
      <c r="AF356" s="1">
        <f t="shared" si="177"/>
        <v>0</v>
      </c>
      <c r="AG356" s="1">
        <f t="shared" si="178"/>
        <v>0</v>
      </c>
      <c r="AH356" s="1">
        <f t="shared" si="179"/>
        <v>0</v>
      </c>
      <c r="AI356" s="1">
        <f t="shared" si="180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1159</v>
      </c>
      <c r="E357" s="32" t="s">
        <v>1315</v>
      </c>
      <c r="F357" s="32" t="s">
        <v>1160</v>
      </c>
      <c r="G357" s="32" t="s">
        <v>300</v>
      </c>
      <c r="H357" s="32" t="s">
        <v>352</v>
      </c>
      <c r="I357" s="31" t="s">
        <v>1161</v>
      </c>
      <c r="J357" s="31">
        <v>1</v>
      </c>
      <c r="K357" s="33" t="s">
        <v>942</v>
      </c>
      <c r="L357" s="33" t="s">
        <v>689</v>
      </c>
      <c r="M357" s="34" t="s">
        <v>1391</v>
      </c>
      <c r="N357" s="34" t="s">
        <v>1714</v>
      </c>
      <c r="O357" s="35">
        <v>1</v>
      </c>
      <c r="P357" s="35"/>
      <c r="Q357" s="32"/>
      <c r="S357" s="1">
        <f t="shared" si="181"/>
        <v>1</v>
      </c>
      <c r="T357" s="1">
        <f t="shared" si="182"/>
        <v>0</v>
      </c>
      <c r="U357" s="1">
        <f t="shared" si="183"/>
        <v>0</v>
      </c>
      <c r="V357" s="1">
        <f t="shared" si="184"/>
        <v>0</v>
      </c>
      <c r="W357" s="1">
        <f t="shared" si="185"/>
        <v>0</v>
      </c>
      <c r="X357" s="1">
        <f t="shared" si="186"/>
        <v>0</v>
      </c>
      <c r="Y357" s="1">
        <f t="shared" si="187"/>
        <v>0</v>
      </c>
      <c r="Z357" s="1">
        <f t="shared" si="188"/>
        <v>0</v>
      </c>
      <c r="AA357" s="1">
        <f t="shared" si="189"/>
        <v>0</v>
      </c>
      <c r="AB357" s="1">
        <f t="shared" si="190"/>
        <v>0</v>
      </c>
      <c r="AD357" s="1">
        <f t="shared" si="191"/>
        <v>0</v>
      </c>
      <c r="AE357" s="1">
        <f t="shared" si="192"/>
        <v>1</v>
      </c>
      <c r="AF357" s="1">
        <f t="shared" si="177"/>
        <v>0</v>
      </c>
      <c r="AG357" s="1">
        <f t="shared" si="178"/>
        <v>1</v>
      </c>
      <c r="AH357" s="1">
        <f t="shared" si="179"/>
        <v>0</v>
      </c>
      <c r="AI357" s="1">
        <f t="shared" si="180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1156</v>
      </c>
      <c r="E358" s="32" t="s">
        <v>1315</v>
      </c>
      <c r="F358" s="32" t="s">
        <v>1157</v>
      </c>
      <c r="G358" s="32" t="s">
        <v>1043</v>
      </c>
      <c r="H358" s="32" t="s">
        <v>352</v>
      </c>
      <c r="I358" s="31" t="s">
        <v>1158</v>
      </c>
      <c r="J358" s="31">
        <v>1</v>
      </c>
      <c r="K358" s="33" t="s">
        <v>709</v>
      </c>
      <c r="L358" s="33" t="s">
        <v>689</v>
      </c>
      <c r="M358" s="34" t="s">
        <v>1391</v>
      </c>
      <c r="N358" s="34" t="s">
        <v>1714</v>
      </c>
      <c r="O358" s="35">
        <v>1</v>
      </c>
      <c r="P358" s="35"/>
      <c r="Q358" s="32"/>
      <c r="S358" s="1">
        <f t="shared" si="181"/>
        <v>1</v>
      </c>
      <c r="T358" s="1">
        <f t="shared" si="182"/>
        <v>0</v>
      </c>
      <c r="U358" s="1">
        <f t="shared" si="183"/>
        <v>0</v>
      </c>
      <c r="V358" s="1">
        <f t="shared" si="184"/>
        <v>0</v>
      </c>
      <c r="W358" s="1">
        <f t="shared" si="185"/>
        <v>0</v>
      </c>
      <c r="X358" s="1">
        <f t="shared" si="186"/>
        <v>0</v>
      </c>
      <c r="Y358" s="1">
        <f t="shared" si="187"/>
        <v>0</v>
      </c>
      <c r="Z358" s="1">
        <f t="shared" si="188"/>
        <v>0</v>
      </c>
      <c r="AA358" s="1">
        <f t="shared" si="189"/>
        <v>0</v>
      </c>
      <c r="AB358" s="1">
        <f t="shared" si="190"/>
        <v>0</v>
      </c>
      <c r="AD358" s="1">
        <f t="shared" si="191"/>
        <v>0</v>
      </c>
      <c r="AE358" s="1">
        <f t="shared" si="192"/>
        <v>1</v>
      </c>
      <c r="AF358" s="1">
        <f t="shared" si="177"/>
        <v>0</v>
      </c>
      <c r="AG358" s="1">
        <f t="shared" si="178"/>
        <v>1</v>
      </c>
      <c r="AH358" s="1">
        <f t="shared" si="179"/>
        <v>0</v>
      </c>
      <c r="AI358" s="1">
        <f t="shared" si="180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1274</v>
      </c>
      <c r="E359" s="32" t="s">
        <v>32</v>
      </c>
      <c r="F359" s="32" t="s">
        <v>1275</v>
      </c>
      <c r="G359" s="32" t="s">
        <v>221</v>
      </c>
      <c r="H359" s="32" t="s">
        <v>352</v>
      </c>
      <c r="I359" s="31" t="s">
        <v>1662</v>
      </c>
      <c r="J359" s="31">
        <v>99</v>
      </c>
      <c r="K359" s="33" t="s">
        <v>709</v>
      </c>
      <c r="L359" s="33" t="s">
        <v>712</v>
      </c>
      <c r="M359" s="34" t="s">
        <v>1276</v>
      </c>
      <c r="N359" s="34" t="s">
        <v>1700</v>
      </c>
      <c r="O359" s="35">
        <v>1</v>
      </c>
      <c r="P359" s="35">
        <v>1</v>
      </c>
      <c r="Q359" s="32"/>
      <c r="S359" s="1">
        <f t="shared" si="181"/>
        <v>0</v>
      </c>
      <c r="T359" s="1">
        <f t="shared" si="182"/>
        <v>0</v>
      </c>
      <c r="U359" s="1">
        <f t="shared" si="183"/>
        <v>0</v>
      </c>
      <c r="V359" s="1">
        <f t="shared" si="184"/>
        <v>0</v>
      </c>
      <c r="W359" s="1">
        <f t="shared" si="185"/>
        <v>0</v>
      </c>
      <c r="X359" s="1">
        <f t="shared" si="186"/>
        <v>0</v>
      </c>
      <c r="Y359" s="1">
        <f t="shared" si="187"/>
        <v>0</v>
      </c>
      <c r="Z359" s="1">
        <f t="shared" si="188"/>
        <v>0</v>
      </c>
      <c r="AA359" s="1">
        <f t="shared" si="189"/>
        <v>0</v>
      </c>
      <c r="AB359" s="1">
        <f t="shared" si="190"/>
        <v>0</v>
      </c>
      <c r="AD359" s="1">
        <f t="shared" si="191"/>
        <v>1</v>
      </c>
      <c r="AE359" s="1">
        <f t="shared" si="192"/>
        <v>0</v>
      </c>
      <c r="AF359" s="1">
        <f t="shared" si="177"/>
        <v>1</v>
      </c>
      <c r="AG359" s="1">
        <f t="shared" si="178"/>
        <v>0</v>
      </c>
      <c r="AH359" s="1">
        <f t="shared" si="179"/>
        <v>1</v>
      </c>
      <c r="AI359" s="1">
        <f t="shared" si="180"/>
        <v>0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752</v>
      </c>
      <c r="E360" s="32" t="s">
        <v>902</v>
      </c>
      <c r="F360" s="32" t="s">
        <v>753</v>
      </c>
      <c r="G360" s="32" t="s">
        <v>219</v>
      </c>
      <c r="H360" s="32" t="s">
        <v>352</v>
      </c>
      <c r="I360" s="31" t="s">
        <v>754</v>
      </c>
      <c r="J360" s="31">
        <v>8</v>
      </c>
      <c r="K360" s="33" t="s">
        <v>942</v>
      </c>
      <c r="L360" s="33" t="s">
        <v>725</v>
      </c>
      <c r="M360" s="34" t="s">
        <v>719</v>
      </c>
      <c r="N360" s="34" t="s">
        <v>1718</v>
      </c>
      <c r="O360" s="35">
        <v>1</v>
      </c>
      <c r="P360" s="35"/>
      <c r="Q360" s="32"/>
      <c r="S360" s="1">
        <f t="shared" si="181"/>
        <v>0</v>
      </c>
      <c r="T360" s="1">
        <f t="shared" si="182"/>
        <v>0</v>
      </c>
      <c r="U360" s="1">
        <f t="shared" si="183"/>
        <v>0</v>
      </c>
      <c r="V360" s="1">
        <f t="shared" si="184"/>
        <v>0</v>
      </c>
      <c r="W360" s="1">
        <f t="shared" si="185"/>
        <v>0</v>
      </c>
      <c r="X360" s="1">
        <f t="shared" si="186"/>
        <v>0</v>
      </c>
      <c r="Y360" s="1">
        <f t="shared" si="187"/>
        <v>0</v>
      </c>
      <c r="Z360" s="1">
        <f t="shared" si="188"/>
        <v>1</v>
      </c>
      <c r="AA360" s="1">
        <f t="shared" si="189"/>
        <v>0</v>
      </c>
      <c r="AB360" s="1">
        <f t="shared" si="190"/>
        <v>0</v>
      </c>
      <c r="AD360" s="1">
        <f t="shared" si="191"/>
        <v>0</v>
      </c>
      <c r="AE360" s="1">
        <f t="shared" si="192"/>
        <v>1</v>
      </c>
      <c r="AF360" s="1">
        <f t="shared" si="177"/>
        <v>0</v>
      </c>
      <c r="AG360" s="1">
        <f t="shared" si="178"/>
        <v>1</v>
      </c>
      <c r="AH360" s="1">
        <f t="shared" si="179"/>
        <v>0</v>
      </c>
      <c r="AI360" s="1">
        <f t="shared" si="180"/>
        <v>1</v>
      </c>
    </row>
    <row r="361" spans="1:35" ht="14.25" customHeight="1" x14ac:dyDescent="0.25">
      <c r="A361" s="44">
        <v>0</v>
      </c>
      <c r="B361" s="44">
        <v>2</v>
      </c>
      <c r="C361" s="44">
        <v>3</v>
      </c>
      <c r="D361" s="45" t="s">
        <v>1470</v>
      </c>
      <c r="E361" s="45" t="s">
        <v>1471</v>
      </c>
      <c r="F361" s="45" t="s">
        <v>1472</v>
      </c>
      <c r="G361" s="45" t="s">
        <v>237</v>
      </c>
      <c r="H361" s="45" t="s">
        <v>352</v>
      </c>
      <c r="I361" s="44" t="s">
        <v>1473</v>
      </c>
      <c r="J361" s="44">
        <v>4</v>
      </c>
      <c r="K361" s="46" t="s">
        <v>708</v>
      </c>
      <c r="L361" s="46">
        <v>15</v>
      </c>
      <c r="M361" s="47" t="s">
        <v>39</v>
      </c>
      <c r="N361" s="47" t="s">
        <v>1772</v>
      </c>
      <c r="O361" s="48"/>
      <c r="P361" s="48"/>
      <c r="Q361" s="45"/>
      <c r="S361" s="1">
        <f t="shared" si="181"/>
        <v>0</v>
      </c>
      <c r="T361" s="1">
        <f t="shared" si="182"/>
        <v>0</v>
      </c>
      <c r="U361" s="1">
        <f t="shared" si="183"/>
        <v>0</v>
      </c>
      <c r="V361" s="1">
        <f t="shared" si="184"/>
        <v>1</v>
      </c>
      <c r="W361" s="1">
        <f t="shared" si="185"/>
        <v>0</v>
      </c>
      <c r="X361" s="1">
        <f t="shared" si="186"/>
        <v>0</v>
      </c>
      <c r="Y361" s="1">
        <f t="shared" si="187"/>
        <v>0</v>
      </c>
      <c r="Z361" s="1">
        <f t="shared" si="188"/>
        <v>0</v>
      </c>
      <c r="AA361" s="1">
        <f t="shared" si="189"/>
        <v>0</v>
      </c>
      <c r="AB361" s="1">
        <f t="shared" si="190"/>
        <v>0</v>
      </c>
      <c r="AD361" s="1">
        <f t="shared" si="191"/>
        <v>0</v>
      </c>
      <c r="AE361" s="1">
        <f t="shared" si="192"/>
        <v>0</v>
      </c>
      <c r="AF361" s="1">
        <f t="shared" si="177"/>
        <v>0</v>
      </c>
      <c r="AG361" s="1">
        <f t="shared" si="178"/>
        <v>0</v>
      </c>
      <c r="AH361" s="1">
        <f t="shared" si="179"/>
        <v>0</v>
      </c>
      <c r="AI361" s="1">
        <f t="shared" si="180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1527</v>
      </c>
      <c r="E362" s="32" t="s">
        <v>1528</v>
      </c>
      <c r="F362" s="32" t="s">
        <v>1529</v>
      </c>
      <c r="G362" s="32" t="s">
        <v>1530</v>
      </c>
      <c r="H362" s="32" t="s">
        <v>352</v>
      </c>
      <c r="I362" s="31" t="s">
        <v>1531</v>
      </c>
      <c r="J362" s="31">
        <v>7</v>
      </c>
      <c r="K362" s="33" t="s">
        <v>942</v>
      </c>
      <c r="L362" s="33">
        <v>10</v>
      </c>
      <c r="M362" s="34" t="s">
        <v>39</v>
      </c>
      <c r="N362" s="34" t="s">
        <v>1714</v>
      </c>
      <c r="O362" s="35">
        <v>1</v>
      </c>
      <c r="P362" s="35"/>
      <c r="Q362" s="32"/>
      <c r="S362" s="1">
        <f t="shared" si="181"/>
        <v>0</v>
      </c>
      <c r="T362" s="1">
        <f t="shared" si="182"/>
        <v>0</v>
      </c>
      <c r="U362" s="1">
        <f t="shared" si="183"/>
        <v>0</v>
      </c>
      <c r="V362" s="1">
        <f t="shared" si="184"/>
        <v>0</v>
      </c>
      <c r="W362" s="1">
        <f t="shared" si="185"/>
        <v>0</v>
      </c>
      <c r="X362" s="1">
        <f t="shared" si="186"/>
        <v>0</v>
      </c>
      <c r="Y362" s="1">
        <f t="shared" si="187"/>
        <v>1</v>
      </c>
      <c r="Z362" s="1">
        <f t="shared" si="188"/>
        <v>0</v>
      </c>
      <c r="AA362" s="1">
        <f t="shared" si="189"/>
        <v>0</v>
      </c>
      <c r="AB362" s="1">
        <f t="shared" si="190"/>
        <v>0</v>
      </c>
      <c r="AD362" s="1">
        <f t="shared" si="191"/>
        <v>0</v>
      </c>
      <c r="AE362" s="1">
        <f t="shared" si="192"/>
        <v>1</v>
      </c>
      <c r="AF362" s="1">
        <f t="shared" si="177"/>
        <v>0</v>
      </c>
      <c r="AG362" s="1">
        <f t="shared" si="178"/>
        <v>1</v>
      </c>
      <c r="AH362" s="1">
        <f t="shared" si="179"/>
        <v>0</v>
      </c>
      <c r="AI362" s="1">
        <f t="shared" si="180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832</v>
      </c>
      <c r="E363" s="32" t="s">
        <v>32</v>
      </c>
      <c r="F363" s="32" t="s">
        <v>834</v>
      </c>
      <c r="G363" s="32" t="s">
        <v>39</v>
      </c>
      <c r="H363" s="32" t="s">
        <v>352</v>
      </c>
      <c r="I363" s="31" t="s">
        <v>833</v>
      </c>
      <c r="J363" s="31">
        <v>1</v>
      </c>
      <c r="K363" s="33" t="s">
        <v>709</v>
      </c>
      <c r="L363" s="33" t="s">
        <v>690</v>
      </c>
      <c r="M363" s="34" t="s">
        <v>1391</v>
      </c>
      <c r="N363" s="34" t="s">
        <v>1714</v>
      </c>
      <c r="O363" s="35">
        <v>1</v>
      </c>
      <c r="P363" s="35"/>
      <c r="Q363" s="32"/>
      <c r="S363" s="1">
        <f t="shared" si="181"/>
        <v>1</v>
      </c>
      <c r="T363" s="1">
        <f t="shared" si="182"/>
        <v>0</v>
      </c>
      <c r="U363" s="1">
        <f t="shared" si="183"/>
        <v>0</v>
      </c>
      <c r="V363" s="1">
        <f t="shared" si="184"/>
        <v>0</v>
      </c>
      <c r="W363" s="1">
        <f t="shared" si="185"/>
        <v>0</v>
      </c>
      <c r="X363" s="1">
        <f t="shared" si="186"/>
        <v>0</v>
      </c>
      <c r="Y363" s="1">
        <f t="shared" si="187"/>
        <v>0</v>
      </c>
      <c r="Z363" s="1">
        <f t="shared" si="188"/>
        <v>0</v>
      </c>
      <c r="AA363" s="1">
        <f t="shared" si="189"/>
        <v>0</v>
      </c>
      <c r="AB363" s="1">
        <f t="shared" si="190"/>
        <v>0</v>
      </c>
      <c r="AD363" s="1">
        <f t="shared" si="191"/>
        <v>0</v>
      </c>
      <c r="AE363" s="1">
        <f t="shared" si="192"/>
        <v>1</v>
      </c>
      <c r="AF363" s="1">
        <f t="shared" si="177"/>
        <v>0</v>
      </c>
      <c r="AG363" s="1">
        <f t="shared" si="178"/>
        <v>1</v>
      </c>
      <c r="AH363" s="1">
        <f t="shared" si="179"/>
        <v>0</v>
      </c>
      <c r="AI363" s="1">
        <f t="shared" si="180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755</v>
      </c>
      <c r="E364" s="16" t="s">
        <v>756</v>
      </c>
      <c r="F364" s="16" t="s">
        <v>757</v>
      </c>
      <c r="G364" s="16" t="s">
        <v>758</v>
      </c>
      <c r="H364" s="16" t="s">
        <v>352</v>
      </c>
      <c r="I364" s="15" t="s">
        <v>759</v>
      </c>
      <c r="J364" s="15">
        <v>99</v>
      </c>
      <c r="K364" s="10" t="s">
        <v>699</v>
      </c>
      <c r="L364" s="10">
        <v>15</v>
      </c>
      <c r="M364" s="19" t="s">
        <v>760</v>
      </c>
      <c r="N364" s="19"/>
      <c r="Q364" s="16"/>
      <c r="S364" s="1">
        <f t="shared" si="181"/>
        <v>0</v>
      </c>
      <c r="T364" s="1">
        <f t="shared" si="182"/>
        <v>0</v>
      </c>
      <c r="U364" s="1">
        <f t="shared" si="183"/>
        <v>0</v>
      </c>
      <c r="V364" s="1">
        <f t="shared" si="184"/>
        <v>0</v>
      </c>
      <c r="W364" s="1">
        <f t="shared" si="185"/>
        <v>0</v>
      </c>
      <c r="X364" s="1">
        <f t="shared" si="186"/>
        <v>0</v>
      </c>
      <c r="Y364" s="1">
        <f t="shared" si="187"/>
        <v>0</v>
      </c>
      <c r="Z364" s="1">
        <f t="shared" si="188"/>
        <v>0</v>
      </c>
      <c r="AA364" s="1">
        <f t="shared" si="189"/>
        <v>0</v>
      </c>
      <c r="AB364" s="1">
        <f t="shared" si="190"/>
        <v>0</v>
      </c>
      <c r="AD364" s="1">
        <f t="shared" si="191"/>
        <v>0</v>
      </c>
      <c r="AE364" s="1">
        <f t="shared" si="192"/>
        <v>0</v>
      </c>
      <c r="AF364" s="1">
        <f t="shared" si="177"/>
        <v>0</v>
      </c>
      <c r="AG364" s="1">
        <f t="shared" si="178"/>
        <v>0</v>
      </c>
      <c r="AH364" s="1">
        <f t="shared" si="179"/>
        <v>0</v>
      </c>
      <c r="AI364" s="1">
        <f t="shared" si="180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789</v>
      </c>
      <c r="E365" s="32" t="s">
        <v>897</v>
      </c>
      <c r="F365" s="32" t="s">
        <v>914</v>
      </c>
      <c r="G365" s="32" t="s">
        <v>207</v>
      </c>
      <c r="H365" s="32" t="s">
        <v>352</v>
      </c>
      <c r="I365" s="31" t="s">
        <v>1341</v>
      </c>
      <c r="J365" s="31">
        <v>3</v>
      </c>
      <c r="K365" s="33" t="s">
        <v>699</v>
      </c>
      <c r="L365" s="33">
        <v>20</v>
      </c>
      <c r="M365" s="34" t="s">
        <v>1393</v>
      </c>
      <c r="N365" s="34" t="s">
        <v>1795</v>
      </c>
      <c r="O365" s="35">
        <v>1</v>
      </c>
      <c r="P365" s="35"/>
      <c r="Q365" s="32"/>
      <c r="S365" s="1">
        <f t="shared" si="181"/>
        <v>0</v>
      </c>
      <c r="T365" s="1">
        <f t="shared" si="182"/>
        <v>0</v>
      </c>
      <c r="U365" s="1">
        <f t="shared" si="183"/>
        <v>1</v>
      </c>
      <c r="V365" s="1">
        <f t="shared" si="184"/>
        <v>0</v>
      </c>
      <c r="W365" s="1">
        <f t="shared" si="185"/>
        <v>0</v>
      </c>
      <c r="X365" s="1">
        <f t="shared" si="186"/>
        <v>0</v>
      </c>
      <c r="Y365" s="1">
        <f t="shared" si="187"/>
        <v>0</v>
      </c>
      <c r="Z365" s="1">
        <f t="shared" si="188"/>
        <v>0</v>
      </c>
      <c r="AA365" s="1">
        <f t="shared" si="189"/>
        <v>0</v>
      </c>
      <c r="AB365" s="1">
        <f t="shared" si="190"/>
        <v>0</v>
      </c>
      <c r="AD365" s="1">
        <f t="shared" si="191"/>
        <v>0</v>
      </c>
      <c r="AE365" s="1">
        <f t="shared" si="192"/>
        <v>1</v>
      </c>
      <c r="AF365" s="1">
        <f t="shared" si="177"/>
        <v>0</v>
      </c>
      <c r="AG365" s="1">
        <f t="shared" si="178"/>
        <v>1</v>
      </c>
      <c r="AH365" s="1">
        <f t="shared" si="179"/>
        <v>0</v>
      </c>
      <c r="AI365" s="1">
        <f t="shared" si="180"/>
        <v>1</v>
      </c>
    </row>
    <row r="366" spans="1:35" ht="14.25" customHeight="1" x14ac:dyDescent="0.25">
      <c r="A366" s="51">
        <v>0</v>
      </c>
      <c r="B366" s="51">
        <v>2</v>
      </c>
      <c r="C366" s="51">
        <v>4</v>
      </c>
      <c r="D366" s="52" t="s">
        <v>563</v>
      </c>
      <c r="E366" s="52" t="s">
        <v>37</v>
      </c>
      <c r="F366" s="52" t="s">
        <v>204</v>
      </c>
      <c r="G366" s="52" t="s">
        <v>39</v>
      </c>
      <c r="H366" s="52" t="s">
        <v>352</v>
      </c>
      <c r="I366" s="51" t="s">
        <v>387</v>
      </c>
      <c r="J366" s="51">
        <v>6</v>
      </c>
      <c r="K366" s="53" t="s">
        <v>699</v>
      </c>
      <c r="L366" s="53" t="s">
        <v>39</v>
      </c>
      <c r="M366" s="54" t="s">
        <v>39</v>
      </c>
      <c r="N366" s="55"/>
      <c r="O366" s="56"/>
      <c r="P366" s="56"/>
      <c r="Q366" s="52"/>
      <c r="S366" s="1">
        <f t="shared" si="181"/>
        <v>0</v>
      </c>
      <c r="T366" s="1">
        <f t="shared" si="182"/>
        <v>0</v>
      </c>
      <c r="U366" s="1">
        <f t="shared" si="183"/>
        <v>0</v>
      </c>
      <c r="V366" s="1">
        <f t="shared" si="184"/>
        <v>0</v>
      </c>
      <c r="W366" s="1">
        <f t="shared" si="185"/>
        <v>0</v>
      </c>
      <c r="X366" s="1">
        <f t="shared" si="186"/>
        <v>1</v>
      </c>
      <c r="Y366" s="1">
        <f t="shared" si="187"/>
        <v>0</v>
      </c>
      <c r="Z366" s="1">
        <f t="shared" si="188"/>
        <v>0</v>
      </c>
      <c r="AA366" s="1">
        <f t="shared" si="189"/>
        <v>0</v>
      </c>
      <c r="AB366" s="1">
        <f t="shared" si="190"/>
        <v>0</v>
      </c>
      <c r="AD366" s="1">
        <f t="shared" si="191"/>
        <v>0</v>
      </c>
      <c r="AE366" s="1">
        <f t="shared" si="192"/>
        <v>0</v>
      </c>
      <c r="AF366" s="1">
        <f t="shared" si="177"/>
        <v>0</v>
      </c>
      <c r="AG366" s="1">
        <f t="shared" si="178"/>
        <v>0</v>
      </c>
      <c r="AH366" s="1">
        <f t="shared" si="179"/>
        <v>0</v>
      </c>
      <c r="AI366" s="1">
        <f t="shared" si="180"/>
        <v>1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649</v>
      </c>
      <c r="E367" s="45" t="s">
        <v>899</v>
      </c>
      <c r="F367" s="45" t="s">
        <v>620</v>
      </c>
      <c r="G367" s="45" t="s">
        <v>339</v>
      </c>
      <c r="H367" s="45" t="s">
        <v>352</v>
      </c>
      <c r="I367" s="44" t="s">
        <v>621</v>
      </c>
      <c r="J367" s="44">
        <v>10</v>
      </c>
      <c r="K367" s="46" t="s">
        <v>941</v>
      </c>
      <c r="L367" s="46" t="s">
        <v>700</v>
      </c>
      <c r="M367" s="47" t="s">
        <v>1394</v>
      </c>
      <c r="N367" s="47" t="s">
        <v>1707</v>
      </c>
      <c r="O367" s="48"/>
      <c r="P367" s="48"/>
      <c r="Q367" s="45"/>
      <c r="S367" s="1">
        <f t="shared" si="181"/>
        <v>0</v>
      </c>
      <c r="T367" s="1">
        <f t="shared" si="182"/>
        <v>0</v>
      </c>
      <c r="U367" s="1">
        <f t="shared" si="183"/>
        <v>0</v>
      </c>
      <c r="V367" s="1">
        <f t="shared" si="184"/>
        <v>0</v>
      </c>
      <c r="W367" s="1">
        <f t="shared" si="185"/>
        <v>0</v>
      </c>
      <c r="X367" s="1">
        <f t="shared" si="186"/>
        <v>0</v>
      </c>
      <c r="Y367" s="1">
        <f t="shared" si="187"/>
        <v>0</v>
      </c>
      <c r="Z367" s="1">
        <f t="shared" si="188"/>
        <v>0</v>
      </c>
      <c r="AA367" s="1">
        <f t="shared" si="189"/>
        <v>0</v>
      </c>
      <c r="AB367" s="1">
        <f t="shared" si="190"/>
        <v>1</v>
      </c>
      <c r="AD367" s="1">
        <f t="shared" si="191"/>
        <v>0</v>
      </c>
      <c r="AE367" s="1">
        <f t="shared" si="192"/>
        <v>0</v>
      </c>
      <c r="AF367" s="1">
        <f t="shared" si="177"/>
        <v>0</v>
      </c>
      <c r="AG367" s="1">
        <f t="shared" si="178"/>
        <v>0</v>
      </c>
      <c r="AH367" s="1">
        <f t="shared" si="179"/>
        <v>0</v>
      </c>
      <c r="AI367" s="1">
        <f t="shared" si="180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75</v>
      </c>
      <c r="E368" s="32" t="s">
        <v>35</v>
      </c>
      <c r="F368" s="32" t="s">
        <v>265</v>
      </c>
      <c r="G368" s="32" t="s">
        <v>212</v>
      </c>
      <c r="H368" s="32" t="s">
        <v>352</v>
      </c>
      <c r="I368" s="31" t="s">
        <v>933</v>
      </c>
      <c r="J368" s="31">
        <v>1</v>
      </c>
      <c r="K368" s="33" t="s">
        <v>709</v>
      </c>
      <c r="L368" s="33" t="s">
        <v>700</v>
      </c>
      <c r="M368" s="34" t="s">
        <v>1395</v>
      </c>
      <c r="N368" s="34" t="s">
        <v>1714</v>
      </c>
      <c r="O368" s="35">
        <v>1</v>
      </c>
      <c r="P368" s="35"/>
      <c r="Q368" s="32"/>
      <c r="S368" s="1">
        <f t="shared" si="181"/>
        <v>1</v>
      </c>
      <c r="T368" s="1">
        <f t="shared" si="182"/>
        <v>0</v>
      </c>
      <c r="U368" s="1">
        <f t="shared" si="183"/>
        <v>0</v>
      </c>
      <c r="V368" s="1">
        <f t="shared" si="184"/>
        <v>0</v>
      </c>
      <c r="W368" s="1">
        <f t="shared" si="185"/>
        <v>0</v>
      </c>
      <c r="X368" s="1">
        <f t="shared" si="186"/>
        <v>0</v>
      </c>
      <c r="Y368" s="1">
        <f t="shared" si="187"/>
        <v>0</v>
      </c>
      <c r="Z368" s="1">
        <f t="shared" si="188"/>
        <v>0</v>
      </c>
      <c r="AA368" s="1">
        <f t="shared" si="189"/>
        <v>0</v>
      </c>
      <c r="AB368" s="1">
        <f t="shared" si="190"/>
        <v>0</v>
      </c>
      <c r="AD368" s="1">
        <f t="shared" si="191"/>
        <v>0</v>
      </c>
      <c r="AE368" s="1">
        <f t="shared" si="192"/>
        <v>1</v>
      </c>
      <c r="AF368" s="1">
        <f t="shared" si="177"/>
        <v>0</v>
      </c>
      <c r="AG368" s="1">
        <f t="shared" si="178"/>
        <v>1</v>
      </c>
      <c r="AH368" s="1">
        <f t="shared" si="179"/>
        <v>0</v>
      </c>
      <c r="AI368" s="1">
        <f t="shared" si="180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908</v>
      </c>
      <c r="E369" s="32" t="s">
        <v>901</v>
      </c>
      <c r="F369" s="32" t="s">
        <v>773</v>
      </c>
      <c r="G369" s="32" t="s">
        <v>283</v>
      </c>
      <c r="H369" s="32" t="s">
        <v>352</v>
      </c>
      <c r="I369" s="31" t="s">
        <v>934</v>
      </c>
      <c r="J369" s="31">
        <v>4</v>
      </c>
      <c r="K369" s="33" t="s">
        <v>709</v>
      </c>
      <c r="L369" s="33" t="s">
        <v>692</v>
      </c>
      <c r="M369" s="34" t="s">
        <v>1396</v>
      </c>
      <c r="N369" s="34" t="s">
        <v>1719</v>
      </c>
      <c r="O369" s="35">
        <v>1</v>
      </c>
      <c r="P369" s="35"/>
      <c r="Q369" s="32"/>
      <c r="S369" s="1">
        <f t="shared" si="181"/>
        <v>0</v>
      </c>
      <c r="T369" s="1">
        <f t="shared" si="182"/>
        <v>0</v>
      </c>
      <c r="U369" s="1">
        <f t="shared" si="183"/>
        <v>0</v>
      </c>
      <c r="V369" s="1">
        <f t="shared" si="184"/>
        <v>1</v>
      </c>
      <c r="W369" s="1">
        <f t="shared" si="185"/>
        <v>0</v>
      </c>
      <c r="X369" s="1">
        <f t="shared" si="186"/>
        <v>0</v>
      </c>
      <c r="Y369" s="1">
        <f t="shared" si="187"/>
        <v>0</v>
      </c>
      <c r="Z369" s="1">
        <f t="shared" si="188"/>
        <v>0</v>
      </c>
      <c r="AA369" s="1">
        <f t="shared" si="189"/>
        <v>0</v>
      </c>
      <c r="AB369" s="1">
        <f t="shared" si="190"/>
        <v>0</v>
      </c>
      <c r="AD369" s="1">
        <f t="shared" si="191"/>
        <v>0</v>
      </c>
      <c r="AE369" s="1">
        <f t="shared" si="192"/>
        <v>1</v>
      </c>
      <c r="AF369" s="1">
        <f t="shared" si="177"/>
        <v>0</v>
      </c>
      <c r="AG369" s="1">
        <f t="shared" si="178"/>
        <v>1</v>
      </c>
      <c r="AH369" s="1">
        <f t="shared" si="179"/>
        <v>0</v>
      </c>
      <c r="AI369" s="1">
        <f t="shared" si="180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625</v>
      </c>
      <c r="E370" s="16" t="s">
        <v>681</v>
      </c>
      <c r="F370" s="16" t="s">
        <v>666</v>
      </c>
      <c r="G370" s="16" t="s">
        <v>624</v>
      </c>
      <c r="H370" s="16" t="s">
        <v>352</v>
      </c>
      <c r="I370" s="15" t="s">
        <v>626</v>
      </c>
      <c r="J370" s="15">
        <v>99</v>
      </c>
      <c r="K370" s="10" t="s">
        <v>942</v>
      </c>
      <c r="L370" s="10" t="s">
        <v>39</v>
      </c>
      <c r="M370" s="19" t="s">
        <v>39</v>
      </c>
      <c r="N370" s="17"/>
      <c r="Q370" s="20" t="s">
        <v>1867</v>
      </c>
      <c r="S370" s="1">
        <f t="shared" si="181"/>
        <v>0</v>
      </c>
      <c r="T370" s="1">
        <f t="shared" si="182"/>
        <v>0</v>
      </c>
      <c r="U370" s="1">
        <f t="shared" si="183"/>
        <v>0</v>
      </c>
      <c r="V370" s="1">
        <f t="shared" si="184"/>
        <v>0</v>
      </c>
      <c r="W370" s="1">
        <f t="shared" si="185"/>
        <v>0</v>
      </c>
      <c r="X370" s="1">
        <f t="shared" si="186"/>
        <v>0</v>
      </c>
      <c r="Y370" s="1">
        <f t="shared" si="187"/>
        <v>0</v>
      </c>
      <c r="Z370" s="1">
        <f t="shared" si="188"/>
        <v>0</v>
      </c>
      <c r="AA370" s="1">
        <f t="shared" si="189"/>
        <v>0</v>
      </c>
      <c r="AB370" s="1">
        <f t="shared" si="190"/>
        <v>0</v>
      </c>
      <c r="AD370" s="1">
        <f t="shared" si="191"/>
        <v>0</v>
      </c>
      <c r="AE370" s="1">
        <f t="shared" si="192"/>
        <v>0</v>
      </c>
      <c r="AF370" s="1">
        <f t="shared" si="177"/>
        <v>0</v>
      </c>
      <c r="AG370" s="1">
        <f t="shared" si="178"/>
        <v>0</v>
      </c>
      <c r="AH370" s="1">
        <f t="shared" si="179"/>
        <v>0</v>
      </c>
      <c r="AI370" s="1">
        <f t="shared" si="180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84</v>
      </c>
      <c r="E371" s="32" t="s">
        <v>35</v>
      </c>
      <c r="F371" s="32" t="s">
        <v>276</v>
      </c>
      <c r="G371" s="32" t="s">
        <v>223</v>
      </c>
      <c r="H371" s="32" t="s">
        <v>352</v>
      </c>
      <c r="I371" s="31" t="s">
        <v>431</v>
      </c>
      <c r="J371" s="31">
        <v>99</v>
      </c>
      <c r="K371" s="33" t="s">
        <v>941</v>
      </c>
      <c r="L371" s="33" t="s">
        <v>700</v>
      </c>
      <c r="M371" s="34" t="s">
        <v>722</v>
      </c>
      <c r="N371" s="34" t="s">
        <v>1731</v>
      </c>
      <c r="O371" s="35">
        <v>1</v>
      </c>
      <c r="P371" s="35"/>
      <c r="Q371" s="32"/>
      <c r="S371" s="1">
        <f t="shared" si="181"/>
        <v>0</v>
      </c>
      <c r="T371" s="1">
        <f t="shared" si="182"/>
        <v>0</v>
      </c>
      <c r="U371" s="1">
        <f t="shared" si="183"/>
        <v>0</v>
      </c>
      <c r="V371" s="1">
        <f t="shared" si="184"/>
        <v>0</v>
      </c>
      <c r="W371" s="1">
        <f t="shared" si="185"/>
        <v>0</v>
      </c>
      <c r="X371" s="1">
        <f t="shared" si="186"/>
        <v>0</v>
      </c>
      <c r="Y371" s="1">
        <f t="shared" si="187"/>
        <v>0</v>
      </c>
      <c r="Z371" s="1">
        <f t="shared" si="188"/>
        <v>0</v>
      </c>
      <c r="AA371" s="1">
        <f t="shared" si="189"/>
        <v>0</v>
      </c>
      <c r="AB371" s="1">
        <f t="shared" si="190"/>
        <v>0</v>
      </c>
      <c r="AD371" s="1">
        <f t="shared" si="191"/>
        <v>0</v>
      </c>
      <c r="AE371" s="1">
        <f t="shared" si="192"/>
        <v>1</v>
      </c>
      <c r="AF371" s="1">
        <f t="shared" si="177"/>
        <v>0</v>
      </c>
      <c r="AG371" s="1">
        <f t="shared" si="178"/>
        <v>1</v>
      </c>
      <c r="AH371" s="1">
        <f t="shared" si="179"/>
        <v>0</v>
      </c>
      <c r="AI371" s="1">
        <f t="shared" si="180"/>
        <v>1</v>
      </c>
    </row>
    <row r="372" spans="1:35" ht="14.25" customHeight="1" x14ac:dyDescent="0.25">
      <c r="A372" s="44">
        <v>0</v>
      </c>
      <c r="B372" s="44">
        <v>2</v>
      </c>
      <c r="C372" s="44">
        <v>4</v>
      </c>
      <c r="D372" s="45" t="s">
        <v>870</v>
      </c>
      <c r="E372" s="45" t="s">
        <v>763</v>
      </c>
      <c r="F372" s="45" t="s">
        <v>868</v>
      </c>
      <c r="G372" s="45" t="s">
        <v>278</v>
      </c>
      <c r="H372" s="45" t="s">
        <v>352</v>
      </c>
      <c r="I372" s="44" t="s">
        <v>869</v>
      </c>
      <c r="J372" s="44">
        <v>99</v>
      </c>
      <c r="K372" s="46" t="s">
        <v>699</v>
      </c>
      <c r="L372" s="46">
        <v>25</v>
      </c>
      <c r="M372" s="47" t="s">
        <v>1397</v>
      </c>
      <c r="N372" s="47" t="s">
        <v>1779</v>
      </c>
      <c r="O372" s="48"/>
      <c r="P372" s="48"/>
      <c r="Q372" s="45"/>
      <c r="S372" s="1">
        <f t="shared" si="181"/>
        <v>0</v>
      </c>
      <c r="T372" s="1">
        <f t="shared" si="182"/>
        <v>0</v>
      </c>
      <c r="U372" s="1">
        <f t="shared" si="183"/>
        <v>0</v>
      </c>
      <c r="V372" s="1">
        <f t="shared" si="184"/>
        <v>0</v>
      </c>
      <c r="W372" s="1">
        <f t="shared" si="185"/>
        <v>0</v>
      </c>
      <c r="X372" s="1">
        <f t="shared" si="186"/>
        <v>0</v>
      </c>
      <c r="Y372" s="1">
        <f t="shared" si="187"/>
        <v>0</v>
      </c>
      <c r="Z372" s="1">
        <f t="shared" si="188"/>
        <v>0</v>
      </c>
      <c r="AA372" s="1">
        <f t="shared" si="189"/>
        <v>0</v>
      </c>
      <c r="AB372" s="1">
        <f t="shared" si="190"/>
        <v>0</v>
      </c>
      <c r="AD372" s="1">
        <f t="shared" si="191"/>
        <v>0</v>
      </c>
      <c r="AE372" s="1">
        <f t="shared" si="192"/>
        <v>0</v>
      </c>
      <c r="AF372" s="1">
        <f t="shared" si="177"/>
        <v>0</v>
      </c>
      <c r="AG372" s="1">
        <f t="shared" si="178"/>
        <v>0</v>
      </c>
      <c r="AH372" s="1">
        <f t="shared" si="179"/>
        <v>0</v>
      </c>
      <c r="AI372" s="1">
        <f t="shared" si="180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911</v>
      </c>
      <c r="E373" s="32" t="s">
        <v>763</v>
      </c>
      <c r="F373" s="32" t="s">
        <v>835</v>
      </c>
      <c r="G373" s="32" t="s">
        <v>208</v>
      </c>
      <c r="H373" s="32" t="s">
        <v>352</v>
      </c>
      <c r="I373" s="31" t="s">
        <v>836</v>
      </c>
      <c r="J373" s="31">
        <v>99</v>
      </c>
      <c r="K373" s="33" t="s">
        <v>708</v>
      </c>
      <c r="L373" s="33" t="s">
        <v>700</v>
      </c>
      <c r="M373" s="34" t="s">
        <v>722</v>
      </c>
      <c r="N373" s="34" t="s">
        <v>1726</v>
      </c>
      <c r="O373" s="35">
        <v>1</v>
      </c>
      <c r="P373" s="35"/>
      <c r="Q373" s="32"/>
      <c r="S373" s="1">
        <f t="shared" si="181"/>
        <v>0</v>
      </c>
      <c r="T373" s="1">
        <f t="shared" si="182"/>
        <v>0</v>
      </c>
      <c r="U373" s="1">
        <f t="shared" si="183"/>
        <v>0</v>
      </c>
      <c r="V373" s="1">
        <f t="shared" si="184"/>
        <v>0</v>
      </c>
      <c r="W373" s="1">
        <f t="shared" si="185"/>
        <v>0</v>
      </c>
      <c r="X373" s="1">
        <f t="shared" si="186"/>
        <v>0</v>
      </c>
      <c r="Y373" s="1">
        <f t="shared" si="187"/>
        <v>0</v>
      </c>
      <c r="Z373" s="1">
        <f t="shared" si="188"/>
        <v>0</v>
      </c>
      <c r="AA373" s="1">
        <f t="shared" si="189"/>
        <v>0</v>
      </c>
      <c r="AB373" s="1">
        <f t="shared" si="190"/>
        <v>0</v>
      </c>
      <c r="AD373" s="1">
        <f t="shared" si="191"/>
        <v>0</v>
      </c>
      <c r="AE373" s="1">
        <f t="shared" si="192"/>
        <v>1</v>
      </c>
      <c r="AF373" s="1">
        <f t="shared" si="177"/>
        <v>0</v>
      </c>
      <c r="AG373" s="1">
        <f t="shared" si="178"/>
        <v>1</v>
      </c>
      <c r="AH373" s="1">
        <f t="shared" si="179"/>
        <v>0</v>
      </c>
      <c r="AI373" s="1">
        <f t="shared" si="180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1993</v>
      </c>
      <c r="E374" s="32" t="s">
        <v>35</v>
      </c>
      <c r="F374" s="32" t="s">
        <v>1994</v>
      </c>
      <c r="G374" s="32" t="s">
        <v>208</v>
      </c>
      <c r="H374" s="32" t="s">
        <v>352</v>
      </c>
      <c r="I374" s="31" t="s">
        <v>1995</v>
      </c>
      <c r="J374" s="31">
        <v>99</v>
      </c>
      <c r="K374" s="33" t="s">
        <v>699</v>
      </c>
      <c r="L374" s="33">
        <v>25</v>
      </c>
      <c r="M374" s="34" t="s">
        <v>1997</v>
      </c>
      <c r="N374" s="34" t="s">
        <v>1819</v>
      </c>
      <c r="O374" s="35">
        <v>1</v>
      </c>
      <c r="P374" s="35"/>
      <c r="Q374" s="32" t="s">
        <v>1996</v>
      </c>
      <c r="S374" s="1">
        <f t="shared" si="181"/>
        <v>0</v>
      </c>
      <c r="T374" s="1">
        <f t="shared" si="182"/>
        <v>0</v>
      </c>
      <c r="U374" s="1">
        <f t="shared" si="183"/>
        <v>0</v>
      </c>
      <c r="V374" s="1">
        <f t="shared" si="184"/>
        <v>0</v>
      </c>
      <c r="W374" s="1">
        <f t="shared" si="185"/>
        <v>0</v>
      </c>
      <c r="X374" s="1">
        <f t="shared" si="186"/>
        <v>0</v>
      </c>
      <c r="Y374" s="1">
        <f t="shared" si="187"/>
        <v>0</v>
      </c>
      <c r="Z374" s="1">
        <f t="shared" si="188"/>
        <v>0</v>
      </c>
      <c r="AA374" s="1">
        <f t="shared" si="189"/>
        <v>0</v>
      </c>
      <c r="AB374" s="1">
        <f t="shared" si="190"/>
        <v>0</v>
      </c>
      <c r="AD374" s="1">
        <f t="shared" si="191"/>
        <v>0</v>
      </c>
      <c r="AE374" s="1">
        <f t="shared" si="192"/>
        <v>1</v>
      </c>
      <c r="AF374" s="1">
        <f t="shared" si="177"/>
        <v>0</v>
      </c>
      <c r="AG374" s="1">
        <f t="shared" si="178"/>
        <v>1</v>
      </c>
      <c r="AH374" s="1">
        <f t="shared" si="179"/>
        <v>0</v>
      </c>
      <c r="AI374" s="1">
        <f t="shared" si="180"/>
        <v>1</v>
      </c>
    </row>
    <row r="375" spans="1:35" ht="14.25" customHeight="1" x14ac:dyDescent="0.25">
      <c r="A375" s="59">
        <v>0</v>
      </c>
      <c r="B375" s="59">
        <v>2</v>
      </c>
      <c r="C375" s="59">
        <v>4</v>
      </c>
      <c r="D375" s="49" t="s">
        <v>1204</v>
      </c>
      <c r="E375" s="49" t="s">
        <v>1203</v>
      </c>
      <c r="F375" s="49" t="s">
        <v>1205</v>
      </c>
      <c r="G375" s="49" t="s">
        <v>531</v>
      </c>
      <c r="H375" s="49" t="s">
        <v>352</v>
      </c>
      <c r="I375" s="59" t="s">
        <v>1206</v>
      </c>
      <c r="J375" s="59">
        <v>99</v>
      </c>
      <c r="K375" s="59" t="s">
        <v>709</v>
      </c>
      <c r="L375" s="59" t="s">
        <v>690</v>
      </c>
      <c r="M375" s="49" t="s">
        <v>1398</v>
      </c>
      <c r="N375" s="49"/>
      <c r="O375" s="60"/>
      <c r="P375" s="60">
        <v>1</v>
      </c>
      <c r="Q375" s="49"/>
      <c r="S375" s="1">
        <f t="shared" si="181"/>
        <v>0</v>
      </c>
      <c r="T375" s="1">
        <f t="shared" si="182"/>
        <v>0</v>
      </c>
      <c r="U375" s="1">
        <f t="shared" si="183"/>
        <v>0</v>
      </c>
      <c r="V375" s="1">
        <f t="shared" si="184"/>
        <v>0</v>
      </c>
      <c r="W375" s="1">
        <f t="shared" si="185"/>
        <v>0</v>
      </c>
      <c r="X375" s="1">
        <f t="shared" si="186"/>
        <v>0</v>
      </c>
      <c r="Y375" s="1">
        <f t="shared" si="187"/>
        <v>0</v>
      </c>
      <c r="Z375" s="1">
        <f t="shared" si="188"/>
        <v>0</v>
      </c>
      <c r="AA375" s="1">
        <f t="shared" si="189"/>
        <v>0</v>
      </c>
      <c r="AB375" s="1">
        <f t="shared" si="190"/>
        <v>0</v>
      </c>
      <c r="AD375" s="1">
        <f t="shared" si="191"/>
        <v>0</v>
      </c>
      <c r="AE375" s="1">
        <f t="shared" si="192"/>
        <v>0</v>
      </c>
      <c r="AF375" s="1">
        <f t="shared" si="177"/>
        <v>0</v>
      </c>
      <c r="AG375" s="1">
        <f t="shared" si="178"/>
        <v>0</v>
      </c>
      <c r="AH375" s="1">
        <f t="shared" si="179"/>
        <v>1</v>
      </c>
      <c r="AI375" s="1">
        <f t="shared" si="180"/>
        <v>0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814</v>
      </c>
      <c r="E376" s="32" t="s">
        <v>586</v>
      </c>
      <c r="F376" s="32" t="s">
        <v>815</v>
      </c>
      <c r="G376" s="32" t="s">
        <v>925</v>
      </c>
      <c r="H376" s="32" t="s">
        <v>352</v>
      </c>
      <c r="I376" s="31" t="s">
        <v>938</v>
      </c>
      <c r="J376" s="31">
        <v>7</v>
      </c>
      <c r="K376" s="33" t="s">
        <v>708</v>
      </c>
      <c r="L376" s="33" t="s">
        <v>39</v>
      </c>
      <c r="M376" s="34" t="s">
        <v>39</v>
      </c>
      <c r="N376" s="34" t="s">
        <v>1700</v>
      </c>
      <c r="O376" s="35">
        <v>1</v>
      </c>
      <c r="P376" s="35">
        <v>1</v>
      </c>
      <c r="Q376" s="32"/>
      <c r="S376" s="1">
        <f t="shared" si="181"/>
        <v>0</v>
      </c>
      <c r="T376" s="1">
        <f t="shared" si="182"/>
        <v>0</v>
      </c>
      <c r="U376" s="1">
        <f t="shared" si="183"/>
        <v>0</v>
      </c>
      <c r="V376" s="1">
        <f t="shared" si="184"/>
        <v>0</v>
      </c>
      <c r="W376" s="1">
        <f t="shared" si="185"/>
        <v>0</v>
      </c>
      <c r="X376" s="1">
        <f t="shared" si="186"/>
        <v>0</v>
      </c>
      <c r="Y376" s="1">
        <f t="shared" si="187"/>
        <v>1</v>
      </c>
      <c r="Z376" s="1">
        <f t="shared" si="188"/>
        <v>0</v>
      </c>
      <c r="AA376" s="1">
        <f t="shared" si="189"/>
        <v>0</v>
      </c>
      <c r="AB376" s="1">
        <f t="shared" si="190"/>
        <v>0</v>
      </c>
      <c r="AD376" s="1">
        <f t="shared" si="191"/>
        <v>1</v>
      </c>
      <c r="AE376" s="1">
        <f t="shared" si="192"/>
        <v>0</v>
      </c>
      <c r="AF376" s="1">
        <f t="shared" si="177"/>
        <v>1</v>
      </c>
      <c r="AG376" s="1">
        <f t="shared" si="178"/>
        <v>0</v>
      </c>
      <c r="AH376" s="1">
        <f t="shared" si="179"/>
        <v>1</v>
      </c>
      <c r="AI376" s="1">
        <f t="shared" si="180"/>
        <v>0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1579</v>
      </c>
      <c r="E377" s="32" t="s">
        <v>1629</v>
      </c>
      <c r="F377" s="32" t="s">
        <v>1580</v>
      </c>
      <c r="G377" s="32" t="s">
        <v>331</v>
      </c>
      <c r="H377" s="32" t="s">
        <v>352</v>
      </c>
      <c r="I377" s="31" t="s">
        <v>30</v>
      </c>
      <c r="J377" s="31">
        <v>99</v>
      </c>
      <c r="K377" s="33" t="s">
        <v>709</v>
      </c>
      <c r="L377" s="33">
        <v>20</v>
      </c>
      <c r="M377" s="34" t="s">
        <v>39</v>
      </c>
      <c r="N377" s="34" t="s">
        <v>1725</v>
      </c>
      <c r="O377" s="35">
        <v>1</v>
      </c>
      <c r="P377" s="35"/>
      <c r="Q377" s="32"/>
      <c r="S377" s="1">
        <f t="shared" si="181"/>
        <v>0</v>
      </c>
      <c r="T377" s="1">
        <f t="shared" si="182"/>
        <v>0</v>
      </c>
      <c r="U377" s="1">
        <f t="shared" si="183"/>
        <v>0</v>
      </c>
      <c r="V377" s="1">
        <f t="shared" si="184"/>
        <v>0</v>
      </c>
      <c r="W377" s="1">
        <f t="shared" si="185"/>
        <v>0</v>
      </c>
      <c r="X377" s="1">
        <f t="shared" si="186"/>
        <v>0</v>
      </c>
      <c r="Y377" s="1">
        <f t="shared" si="187"/>
        <v>0</v>
      </c>
      <c r="Z377" s="1">
        <f t="shared" si="188"/>
        <v>0</v>
      </c>
      <c r="AA377" s="1">
        <f t="shared" si="189"/>
        <v>0</v>
      </c>
      <c r="AB377" s="1">
        <f t="shared" si="190"/>
        <v>0</v>
      </c>
      <c r="AD377" s="1">
        <f t="shared" si="191"/>
        <v>0</v>
      </c>
      <c r="AE377" s="1">
        <f t="shared" si="192"/>
        <v>1</v>
      </c>
      <c r="AF377" s="1">
        <f t="shared" si="177"/>
        <v>0</v>
      </c>
      <c r="AG377" s="1">
        <f t="shared" si="178"/>
        <v>1</v>
      </c>
      <c r="AH377" s="1">
        <f t="shared" si="179"/>
        <v>0</v>
      </c>
      <c r="AI377" s="1">
        <f t="shared" si="180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2" t="s">
        <v>58</v>
      </c>
      <c r="E378" s="32" t="s">
        <v>44</v>
      </c>
      <c r="F378" s="32" t="s">
        <v>667</v>
      </c>
      <c r="G378" s="32" t="s">
        <v>222</v>
      </c>
      <c r="H378" s="32" t="s">
        <v>352</v>
      </c>
      <c r="I378" s="31" t="s">
        <v>395</v>
      </c>
      <c r="J378" s="31">
        <v>8</v>
      </c>
      <c r="K378" s="33" t="s">
        <v>709</v>
      </c>
      <c r="L378" s="33" t="s">
        <v>712</v>
      </c>
      <c r="M378" s="34" t="s">
        <v>1399</v>
      </c>
      <c r="N378" s="34" t="s">
        <v>1718</v>
      </c>
      <c r="O378" s="35">
        <v>1</v>
      </c>
      <c r="P378" s="35"/>
      <c r="Q378" s="32"/>
      <c r="S378" s="1">
        <f t="shared" si="181"/>
        <v>0</v>
      </c>
      <c r="T378" s="1">
        <f t="shared" si="182"/>
        <v>0</v>
      </c>
      <c r="U378" s="1">
        <f t="shared" si="183"/>
        <v>0</v>
      </c>
      <c r="V378" s="1">
        <f t="shared" si="184"/>
        <v>0</v>
      </c>
      <c r="W378" s="1">
        <f t="shared" si="185"/>
        <v>0</v>
      </c>
      <c r="X378" s="1">
        <f t="shared" si="186"/>
        <v>0</v>
      </c>
      <c r="Y378" s="1">
        <f t="shared" si="187"/>
        <v>0</v>
      </c>
      <c r="Z378" s="1">
        <f t="shared" si="188"/>
        <v>1</v>
      </c>
      <c r="AA378" s="1">
        <f t="shared" si="189"/>
        <v>0</v>
      </c>
      <c r="AB378" s="1">
        <f t="shared" si="190"/>
        <v>0</v>
      </c>
      <c r="AD378" s="1">
        <f t="shared" si="191"/>
        <v>0</v>
      </c>
      <c r="AE378" s="1">
        <f t="shared" si="192"/>
        <v>1</v>
      </c>
      <c r="AF378" s="1">
        <f t="shared" si="177"/>
        <v>0</v>
      </c>
      <c r="AG378" s="1">
        <f t="shared" si="178"/>
        <v>1</v>
      </c>
      <c r="AH378" s="1">
        <f t="shared" si="179"/>
        <v>0</v>
      </c>
      <c r="AI378" s="1">
        <f t="shared" si="180"/>
        <v>1</v>
      </c>
    </row>
    <row r="379" spans="1:35" ht="14.25" customHeight="1" x14ac:dyDescent="0.25">
      <c r="A379" s="44">
        <v>0</v>
      </c>
      <c r="B379" s="44">
        <v>2</v>
      </c>
      <c r="C379" s="44">
        <v>5</v>
      </c>
      <c r="D379" s="45" t="s">
        <v>823</v>
      </c>
      <c r="E379" s="45" t="s">
        <v>822</v>
      </c>
      <c r="F379" s="45" t="s">
        <v>913</v>
      </c>
      <c r="G379" s="45" t="s">
        <v>212</v>
      </c>
      <c r="H379" s="45" t="s">
        <v>352</v>
      </c>
      <c r="I379" s="44" t="s">
        <v>824</v>
      </c>
      <c r="J379" s="44">
        <v>1</v>
      </c>
      <c r="K379" s="46" t="s">
        <v>708</v>
      </c>
      <c r="L379" s="46" t="s">
        <v>689</v>
      </c>
      <c r="M379" s="47" t="s">
        <v>1400</v>
      </c>
      <c r="N379" s="47" t="s">
        <v>1708</v>
      </c>
      <c r="O379" s="48"/>
      <c r="P379" s="48"/>
      <c r="Q379" s="45"/>
      <c r="S379" s="1">
        <f t="shared" si="181"/>
        <v>1</v>
      </c>
      <c r="T379" s="1">
        <f t="shared" si="182"/>
        <v>0</v>
      </c>
      <c r="U379" s="1">
        <f t="shared" si="183"/>
        <v>0</v>
      </c>
      <c r="V379" s="1">
        <f t="shared" si="184"/>
        <v>0</v>
      </c>
      <c r="W379" s="1">
        <f t="shared" si="185"/>
        <v>0</v>
      </c>
      <c r="X379" s="1">
        <f t="shared" si="186"/>
        <v>0</v>
      </c>
      <c r="Y379" s="1">
        <f t="shared" si="187"/>
        <v>0</v>
      </c>
      <c r="Z379" s="1">
        <f t="shared" si="188"/>
        <v>0</v>
      </c>
      <c r="AA379" s="1">
        <f t="shared" si="189"/>
        <v>0</v>
      </c>
      <c r="AB379" s="1">
        <f t="shared" si="190"/>
        <v>0</v>
      </c>
      <c r="AD379" s="1">
        <f t="shared" si="191"/>
        <v>0</v>
      </c>
      <c r="AE379" s="1">
        <f t="shared" si="192"/>
        <v>0</v>
      </c>
      <c r="AF379" s="1">
        <f t="shared" si="177"/>
        <v>0</v>
      </c>
      <c r="AG379" s="1">
        <f t="shared" si="178"/>
        <v>0</v>
      </c>
      <c r="AH379" s="1">
        <f t="shared" si="179"/>
        <v>0</v>
      </c>
      <c r="AI379" s="1">
        <f t="shared" si="180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6" t="s">
        <v>2026</v>
      </c>
      <c r="E380" s="36" t="s">
        <v>169</v>
      </c>
      <c r="F380" s="36" t="s">
        <v>2027</v>
      </c>
      <c r="G380" s="36" t="s">
        <v>1508</v>
      </c>
      <c r="H380" s="36" t="s">
        <v>352</v>
      </c>
      <c r="I380" s="37" t="s">
        <v>2028</v>
      </c>
      <c r="J380" s="31">
        <v>5</v>
      </c>
      <c r="K380" s="33" t="s">
        <v>699</v>
      </c>
      <c r="L380" s="33"/>
      <c r="M380" s="34"/>
      <c r="N380" s="34" t="s">
        <v>1700</v>
      </c>
      <c r="O380" s="35">
        <v>1</v>
      </c>
      <c r="P380" s="35">
        <v>1</v>
      </c>
      <c r="Q380" s="36" t="s">
        <v>2029</v>
      </c>
      <c r="S380" s="1">
        <f t="shared" si="181"/>
        <v>0</v>
      </c>
      <c r="T380" s="1">
        <f t="shared" si="182"/>
        <v>0</v>
      </c>
      <c r="U380" s="1">
        <f t="shared" si="183"/>
        <v>0</v>
      </c>
      <c r="V380" s="1">
        <f t="shared" si="184"/>
        <v>0</v>
      </c>
      <c r="W380" s="1">
        <f t="shared" si="185"/>
        <v>1</v>
      </c>
      <c r="X380" s="1">
        <f t="shared" si="186"/>
        <v>0</v>
      </c>
      <c r="Y380" s="1">
        <f t="shared" si="187"/>
        <v>0</v>
      </c>
      <c r="Z380" s="1">
        <f t="shared" si="188"/>
        <v>0</v>
      </c>
      <c r="AA380" s="1">
        <f t="shared" si="189"/>
        <v>0</v>
      </c>
      <c r="AB380" s="1">
        <f t="shared" si="190"/>
        <v>0</v>
      </c>
      <c r="AD380" s="1">
        <f t="shared" si="191"/>
        <v>1</v>
      </c>
      <c r="AE380" s="1">
        <f t="shared" si="192"/>
        <v>0</v>
      </c>
      <c r="AF380" s="1">
        <f t="shared" si="177"/>
        <v>1</v>
      </c>
      <c r="AG380" s="1">
        <f t="shared" si="178"/>
        <v>0</v>
      </c>
      <c r="AH380" s="1">
        <f t="shared" si="179"/>
        <v>1</v>
      </c>
      <c r="AI380" s="1">
        <f t="shared" si="180"/>
        <v>0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65</v>
      </c>
      <c r="E381" s="32" t="s">
        <v>163</v>
      </c>
      <c r="F381" s="32" t="s">
        <v>543</v>
      </c>
      <c r="G381" s="32" t="s">
        <v>193</v>
      </c>
      <c r="H381" s="32" t="s">
        <v>352</v>
      </c>
      <c r="I381" s="31" t="s">
        <v>548</v>
      </c>
      <c r="J381" s="31">
        <v>9</v>
      </c>
      <c r="K381" s="33" t="s">
        <v>709</v>
      </c>
      <c r="L381" s="33" t="s">
        <v>683</v>
      </c>
      <c r="M381" s="34" t="s">
        <v>1418</v>
      </c>
      <c r="N381" s="34" t="s">
        <v>1731</v>
      </c>
      <c r="O381" s="35">
        <v>1</v>
      </c>
      <c r="P381" s="35"/>
      <c r="Q381" s="32"/>
      <c r="S381" s="1">
        <f t="shared" si="181"/>
        <v>0</v>
      </c>
      <c r="T381" s="1">
        <f t="shared" si="182"/>
        <v>0</v>
      </c>
      <c r="U381" s="1">
        <f t="shared" si="183"/>
        <v>0</v>
      </c>
      <c r="V381" s="1">
        <f t="shared" si="184"/>
        <v>0</v>
      </c>
      <c r="W381" s="1">
        <f t="shared" si="185"/>
        <v>0</v>
      </c>
      <c r="X381" s="1">
        <f t="shared" si="186"/>
        <v>0</v>
      </c>
      <c r="Y381" s="1">
        <f t="shared" si="187"/>
        <v>0</v>
      </c>
      <c r="Z381" s="1">
        <f t="shared" si="188"/>
        <v>0</v>
      </c>
      <c r="AA381" s="1">
        <f t="shared" si="189"/>
        <v>1</v>
      </c>
      <c r="AB381" s="1">
        <f t="shared" si="190"/>
        <v>0</v>
      </c>
      <c r="AD381" s="1">
        <f t="shared" si="191"/>
        <v>0</v>
      </c>
      <c r="AE381" s="1">
        <f t="shared" si="192"/>
        <v>1</v>
      </c>
      <c r="AF381" s="1">
        <f t="shared" si="177"/>
        <v>0</v>
      </c>
      <c r="AG381" s="1">
        <f t="shared" si="178"/>
        <v>1</v>
      </c>
      <c r="AH381" s="1">
        <f t="shared" si="179"/>
        <v>0</v>
      </c>
      <c r="AI381" s="1">
        <f t="shared" si="180"/>
        <v>1</v>
      </c>
    </row>
    <row r="382" spans="1:35" ht="14.25" customHeight="1" x14ac:dyDescent="0.25">
      <c r="A382" s="44">
        <v>0</v>
      </c>
      <c r="B382" s="44">
        <v>2</v>
      </c>
      <c r="C382" s="44">
        <v>5</v>
      </c>
      <c r="D382" s="45" t="s">
        <v>1461</v>
      </c>
      <c r="E382" s="45" t="s">
        <v>35</v>
      </c>
      <c r="F382" s="57" t="s">
        <v>1843</v>
      </c>
      <c r="G382" s="45" t="s">
        <v>221</v>
      </c>
      <c r="H382" s="45" t="s">
        <v>352</v>
      </c>
      <c r="I382" s="44" t="s">
        <v>1659</v>
      </c>
      <c r="J382" s="44">
        <v>99</v>
      </c>
      <c r="K382" s="46" t="s">
        <v>709</v>
      </c>
      <c r="L382" s="46">
        <v>25</v>
      </c>
      <c r="M382" s="47" t="s">
        <v>39</v>
      </c>
      <c r="N382" s="47" t="s">
        <v>1710</v>
      </c>
      <c r="O382" s="48"/>
      <c r="P382" s="48"/>
      <c r="Q382" s="45"/>
      <c r="S382" s="1">
        <f t="shared" si="181"/>
        <v>0</v>
      </c>
      <c r="T382" s="1">
        <f t="shared" si="182"/>
        <v>0</v>
      </c>
      <c r="U382" s="1">
        <f t="shared" si="183"/>
        <v>0</v>
      </c>
      <c r="V382" s="1">
        <f t="shared" si="184"/>
        <v>0</v>
      </c>
      <c r="W382" s="1">
        <f t="shared" si="185"/>
        <v>0</v>
      </c>
      <c r="X382" s="1">
        <f t="shared" si="186"/>
        <v>0</v>
      </c>
      <c r="Y382" s="1">
        <f t="shared" si="187"/>
        <v>0</v>
      </c>
      <c r="Z382" s="1">
        <f t="shared" si="188"/>
        <v>0</v>
      </c>
      <c r="AA382" s="1">
        <f t="shared" si="189"/>
        <v>0</v>
      </c>
      <c r="AB382" s="1">
        <f t="shared" si="190"/>
        <v>0</v>
      </c>
      <c r="AD382" s="1">
        <f t="shared" si="191"/>
        <v>0</v>
      </c>
      <c r="AE382" s="1">
        <f t="shared" si="192"/>
        <v>0</v>
      </c>
      <c r="AF382" s="1">
        <f t="shared" si="177"/>
        <v>0</v>
      </c>
      <c r="AG382" s="1">
        <f t="shared" si="178"/>
        <v>0</v>
      </c>
      <c r="AH382" s="1">
        <f t="shared" si="179"/>
        <v>0</v>
      </c>
      <c r="AI382" s="1">
        <f t="shared" si="180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1789</v>
      </c>
      <c r="E383" s="32" t="s">
        <v>763</v>
      </c>
      <c r="F383" s="32" t="s">
        <v>1790</v>
      </c>
      <c r="G383" s="32" t="s">
        <v>223</v>
      </c>
      <c r="H383" s="32" t="s">
        <v>352</v>
      </c>
      <c r="I383" s="31" t="s">
        <v>1791</v>
      </c>
      <c r="J383" s="31">
        <v>99</v>
      </c>
      <c r="K383" s="33" t="s">
        <v>1792</v>
      </c>
      <c r="L383" s="33">
        <v>40</v>
      </c>
      <c r="M383" s="34" t="s">
        <v>1793</v>
      </c>
      <c r="N383" s="34" t="s">
        <v>1819</v>
      </c>
      <c r="O383" s="35">
        <v>1</v>
      </c>
      <c r="P383" s="35"/>
      <c r="Q383" s="32"/>
      <c r="S383" s="1">
        <f t="shared" si="181"/>
        <v>0</v>
      </c>
      <c r="T383" s="1">
        <f t="shared" si="182"/>
        <v>0</v>
      </c>
      <c r="U383" s="1">
        <f t="shared" si="183"/>
        <v>0</v>
      </c>
      <c r="V383" s="1">
        <f t="shared" si="184"/>
        <v>0</v>
      </c>
      <c r="W383" s="1">
        <f t="shared" si="185"/>
        <v>0</v>
      </c>
      <c r="X383" s="1">
        <f t="shared" si="186"/>
        <v>0</v>
      </c>
      <c r="Y383" s="1">
        <f t="shared" si="187"/>
        <v>0</v>
      </c>
      <c r="Z383" s="1">
        <f t="shared" si="188"/>
        <v>0</v>
      </c>
      <c r="AA383" s="1">
        <f t="shared" si="189"/>
        <v>0</v>
      </c>
      <c r="AB383" s="1">
        <f t="shared" si="190"/>
        <v>0</v>
      </c>
      <c r="AD383" s="1">
        <f t="shared" si="191"/>
        <v>0</v>
      </c>
      <c r="AE383" s="1">
        <f t="shared" si="192"/>
        <v>1</v>
      </c>
      <c r="AF383" s="1">
        <f t="shared" si="177"/>
        <v>0</v>
      </c>
      <c r="AG383" s="1">
        <f t="shared" si="178"/>
        <v>1</v>
      </c>
      <c r="AH383" s="1">
        <f t="shared" si="179"/>
        <v>0</v>
      </c>
      <c r="AI383" s="1">
        <f t="shared" si="180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612</v>
      </c>
      <c r="E384" s="32" t="s">
        <v>682</v>
      </c>
      <c r="F384" s="32" t="s">
        <v>613</v>
      </c>
      <c r="G384" s="32" t="s">
        <v>285</v>
      </c>
      <c r="H384" s="32" t="s">
        <v>352</v>
      </c>
      <c r="I384" s="31" t="s">
        <v>614</v>
      </c>
      <c r="J384" s="31">
        <v>99</v>
      </c>
      <c r="K384" s="33" t="s">
        <v>708</v>
      </c>
      <c r="L384" s="33" t="s">
        <v>700</v>
      </c>
      <c r="M384" s="34" t="s">
        <v>1401</v>
      </c>
      <c r="N384" s="34" t="s">
        <v>1714</v>
      </c>
      <c r="O384" s="35">
        <v>1</v>
      </c>
      <c r="P384" s="35"/>
      <c r="Q384" s="32"/>
      <c r="S384" s="1">
        <f t="shared" si="181"/>
        <v>0</v>
      </c>
      <c r="T384" s="1">
        <f t="shared" si="182"/>
        <v>0</v>
      </c>
      <c r="U384" s="1">
        <f t="shared" si="183"/>
        <v>0</v>
      </c>
      <c r="V384" s="1">
        <f t="shared" si="184"/>
        <v>0</v>
      </c>
      <c r="W384" s="1">
        <f t="shared" si="185"/>
        <v>0</v>
      </c>
      <c r="X384" s="1">
        <f t="shared" si="186"/>
        <v>0</v>
      </c>
      <c r="Y384" s="1">
        <f t="shared" si="187"/>
        <v>0</v>
      </c>
      <c r="Z384" s="1">
        <f t="shared" si="188"/>
        <v>0</v>
      </c>
      <c r="AA384" s="1">
        <f t="shared" si="189"/>
        <v>0</v>
      </c>
      <c r="AB384" s="1">
        <f t="shared" si="190"/>
        <v>0</v>
      </c>
      <c r="AD384" s="1">
        <f t="shared" si="191"/>
        <v>0</v>
      </c>
      <c r="AE384" s="1">
        <f t="shared" si="192"/>
        <v>1</v>
      </c>
      <c r="AF384" s="1">
        <f t="shared" si="177"/>
        <v>0</v>
      </c>
      <c r="AG384" s="1">
        <f t="shared" si="178"/>
        <v>1</v>
      </c>
      <c r="AH384" s="1">
        <f t="shared" si="179"/>
        <v>0</v>
      </c>
      <c r="AI384" s="1">
        <f t="shared" si="180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1463</v>
      </c>
      <c r="E385" s="32" t="s">
        <v>763</v>
      </c>
      <c r="F385" s="32" t="s">
        <v>1464</v>
      </c>
      <c r="G385" s="32" t="s">
        <v>195</v>
      </c>
      <c r="H385" s="32" t="s">
        <v>352</v>
      </c>
      <c r="I385" s="31" t="s">
        <v>1465</v>
      </c>
      <c r="J385" s="31">
        <v>99</v>
      </c>
      <c r="K385" s="33" t="s">
        <v>941</v>
      </c>
      <c r="L385" s="33" t="s">
        <v>689</v>
      </c>
      <c r="M385" s="34" t="s">
        <v>1392</v>
      </c>
      <c r="N385" s="34" t="s">
        <v>1714</v>
      </c>
      <c r="O385" s="35">
        <v>1</v>
      </c>
      <c r="P385" s="35"/>
      <c r="Q385" s="32"/>
      <c r="S385" s="1">
        <f t="shared" si="181"/>
        <v>0</v>
      </c>
      <c r="T385" s="1">
        <f t="shared" si="182"/>
        <v>0</v>
      </c>
      <c r="U385" s="1">
        <f t="shared" si="183"/>
        <v>0</v>
      </c>
      <c r="V385" s="1">
        <f t="shared" si="184"/>
        <v>0</v>
      </c>
      <c r="W385" s="1">
        <f t="shared" si="185"/>
        <v>0</v>
      </c>
      <c r="X385" s="1">
        <f t="shared" si="186"/>
        <v>0</v>
      </c>
      <c r="Y385" s="1">
        <f t="shared" si="187"/>
        <v>0</v>
      </c>
      <c r="Z385" s="1">
        <f t="shared" si="188"/>
        <v>0</v>
      </c>
      <c r="AA385" s="1">
        <f t="shared" si="189"/>
        <v>0</v>
      </c>
      <c r="AB385" s="1">
        <f t="shared" si="190"/>
        <v>0</v>
      </c>
      <c r="AD385" s="1">
        <f t="shared" si="191"/>
        <v>0</v>
      </c>
      <c r="AE385" s="1">
        <f t="shared" si="192"/>
        <v>1</v>
      </c>
      <c r="AF385" s="1">
        <f t="shared" si="177"/>
        <v>0</v>
      </c>
      <c r="AG385" s="1">
        <f t="shared" si="178"/>
        <v>1</v>
      </c>
      <c r="AH385" s="1">
        <f t="shared" si="179"/>
        <v>0</v>
      </c>
      <c r="AI385" s="1">
        <f t="shared" si="180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766</v>
      </c>
      <c r="E386" s="32" t="s">
        <v>763</v>
      </c>
      <c r="F386" s="32" t="s">
        <v>768</v>
      </c>
      <c r="G386" s="32" t="s">
        <v>206</v>
      </c>
      <c r="H386" s="32" t="s">
        <v>352</v>
      </c>
      <c r="I386" s="31" t="s">
        <v>767</v>
      </c>
      <c r="J386" s="31">
        <v>99</v>
      </c>
      <c r="K386" s="33" t="s">
        <v>708</v>
      </c>
      <c r="L386" s="33" t="s">
        <v>690</v>
      </c>
      <c r="M386" s="34" t="s">
        <v>1402</v>
      </c>
      <c r="N386" s="34" t="s">
        <v>1714</v>
      </c>
      <c r="O386" s="35">
        <v>1</v>
      </c>
      <c r="P386" s="35"/>
      <c r="Q386" s="32"/>
      <c r="S386" s="1">
        <f t="shared" si="181"/>
        <v>0</v>
      </c>
      <c r="T386" s="1">
        <f t="shared" si="182"/>
        <v>0</v>
      </c>
      <c r="U386" s="1">
        <f t="shared" si="183"/>
        <v>0</v>
      </c>
      <c r="V386" s="1">
        <f t="shared" si="184"/>
        <v>0</v>
      </c>
      <c r="W386" s="1">
        <f t="shared" si="185"/>
        <v>0</v>
      </c>
      <c r="X386" s="1">
        <f t="shared" si="186"/>
        <v>0</v>
      </c>
      <c r="Y386" s="1">
        <f t="shared" si="187"/>
        <v>0</v>
      </c>
      <c r="Z386" s="1">
        <f t="shared" si="188"/>
        <v>0</v>
      </c>
      <c r="AA386" s="1">
        <f t="shared" si="189"/>
        <v>0</v>
      </c>
      <c r="AB386" s="1">
        <f t="shared" si="190"/>
        <v>0</v>
      </c>
      <c r="AD386" s="1">
        <f t="shared" si="191"/>
        <v>0</v>
      </c>
      <c r="AE386" s="1">
        <f t="shared" si="192"/>
        <v>1</v>
      </c>
      <c r="AF386" s="1">
        <f t="shared" si="177"/>
        <v>0</v>
      </c>
      <c r="AG386" s="1">
        <f t="shared" si="178"/>
        <v>1</v>
      </c>
      <c r="AH386" s="1">
        <f t="shared" si="179"/>
        <v>0</v>
      </c>
      <c r="AI386" s="1">
        <f t="shared" si="180"/>
        <v>1</v>
      </c>
    </row>
    <row r="387" spans="1:35" ht="14.25" customHeight="1" x14ac:dyDescent="0.25">
      <c r="A387" s="31">
        <v>1</v>
      </c>
      <c r="B387" s="31">
        <v>2</v>
      </c>
      <c r="C387" s="31">
        <v>5</v>
      </c>
      <c r="D387" s="32" t="s">
        <v>766</v>
      </c>
      <c r="E387" s="32" t="s">
        <v>763</v>
      </c>
      <c r="F387" s="32" t="s">
        <v>993</v>
      </c>
      <c r="G387" s="32" t="s">
        <v>189</v>
      </c>
      <c r="H387" s="32" t="s">
        <v>352</v>
      </c>
      <c r="I387" s="31" t="s">
        <v>994</v>
      </c>
      <c r="J387" s="31">
        <v>99</v>
      </c>
      <c r="K387" s="33" t="s">
        <v>708</v>
      </c>
      <c r="L387" s="33" t="s">
        <v>690</v>
      </c>
      <c r="M387" s="34" t="s">
        <v>1402</v>
      </c>
      <c r="N387" s="34" t="s">
        <v>1714</v>
      </c>
      <c r="O387" s="35">
        <v>1</v>
      </c>
      <c r="P387" s="35"/>
      <c r="Q387" s="32"/>
      <c r="S387" s="1">
        <f t="shared" si="181"/>
        <v>0</v>
      </c>
      <c r="T387" s="1">
        <f t="shared" si="182"/>
        <v>0</v>
      </c>
      <c r="U387" s="1">
        <f t="shared" si="183"/>
        <v>0</v>
      </c>
      <c r="V387" s="1">
        <f t="shared" si="184"/>
        <v>0</v>
      </c>
      <c r="W387" s="1">
        <f t="shared" si="185"/>
        <v>0</v>
      </c>
      <c r="X387" s="1">
        <f t="shared" si="186"/>
        <v>0</v>
      </c>
      <c r="Y387" s="1">
        <f t="shared" si="187"/>
        <v>0</v>
      </c>
      <c r="Z387" s="1">
        <f t="shared" si="188"/>
        <v>0</v>
      </c>
      <c r="AA387" s="1">
        <f t="shared" si="189"/>
        <v>0</v>
      </c>
      <c r="AB387" s="1">
        <f t="shared" si="190"/>
        <v>0</v>
      </c>
      <c r="AD387" s="1">
        <f t="shared" si="191"/>
        <v>0</v>
      </c>
      <c r="AE387" s="1">
        <f t="shared" si="192"/>
        <v>1</v>
      </c>
      <c r="AF387" s="1">
        <f t="shared" si="177"/>
        <v>0</v>
      </c>
      <c r="AG387" s="1">
        <f t="shared" si="178"/>
        <v>0</v>
      </c>
      <c r="AH387" s="1">
        <f t="shared" si="179"/>
        <v>0</v>
      </c>
      <c r="AI387" s="1">
        <f t="shared" si="180"/>
        <v>0</v>
      </c>
    </row>
    <row r="388" spans="1:35" ht="14.25" customHeight="1" x14ac:dyDescent="0.25">
      <c r="A388" s="15">
        <v>0</v>
      </c>
      <c r="B388" s="15">
        <v>2</v>
      </c>
      <c r="C388" s="15">
        <v>5</v>
      </c>
      <c r="D388" s="16" t="s">
        <v>905</v>
      </c>
      <c r="E388" s="16" t="s">
        <v>900</v>
      </c>
      <c r="F388" s="16" t="s">
        <v>918</v>
      </c>
      <c r="G388" s="16" t="s">
        <v>1329</v>
      </c>
      <c r="H388" s="16" t="s">
        <v>352</v>
      </c>
      <c r="I388" s="15" t="s">
        <v>761</v>
      </c>
      <c r="J388" s="15">
        <v>99</v>
      </c>
      <c r="K388" s="10" t="s">
        <v>699</v>
      </c>
      <c r="L388" s="10">
        <v>20</v>
      </c>
      <c r="M388" s="19" t="s">
        <v>1403</v>
      </c>
      <c r="N388" s="19"/>
      <c r="Q388" s="16"/>
      <c r="S388" s="1">
        <f t="shared" si="181"/>
        <v>0</v>
      </c>
      <c r="T388" s="1">
        <f t="shared" si="182"/>
        <v>0</v>
      </c>
      <c r="U388" s="1">
        <f t="shared" si="183"/>
        <v>0</v>
      </c>
      <c r="V388" s="1">
        <f t="shared" si="184"/>
        <v>0</v>
      </c>
      <c r="W388" s="1">
        <f t="shared" si="185"/>
        <v>0</v>
      </c>
      <c r="X388" s="1">
        <f t="shared" si="186"/>
        <v>0</v>
      </c>
      <c r="Y388" s="1">
        <f t="shared" si="187"/>
        <v>0</v>
      </c>
      <c r="Z388" s="1">
        <f t="shared" si="188"/>
        <v>0</v>
      </c>
      <c r="AA388" s="1">
        <f t="shared" si="189"/>
        <v>0</v>
      </c>
      <c r="AB388" s="1">
        <f t="shared" si="190"/>
        <v>0</v>
      </c>
      <c r="AD388" s="1">
        <f t="shared" si="191"/>
        <v>0</v>
      </c>
      <c r="AE388" s="1">
        <f t="shared" si="192"/>
        <v>0</v>
      </c>
      <c r="AF388" s="1">
        <f t="shared" si="177"/>
        <v>0</v>
      </c>
      <c r="AG388" s="1">
        <f t="shared" si="178"/>
        <v>0</v>
      </c>
      <c r="AH388" s="1">
        <f t="shared" si="179"/>
        <v>0</v>
      </c>
      <c r="AI388" s="1">
        <f t="shared" si="180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1891</v>
      </c>
      <c r="E389" s="32"/>
      <c r="F389" s="32" t="s">
        <v>1892</v>
      </c>
      <c r="G389" s="32" t="s">
        <v>207</v>
      </c>
      <c r="H389" s="32" t="s">
        <v>352</v>
      </c>
      <c r="I389" s="31" t="s">
        <v>1893</v>
      </c>
      <c r="J389" s="31">
        <v>3</v>
      </c>
      <c r="K389" s="33" t="s">
        <v>699</v>
      </c>
      <c r="L389" s="33"/>
      <c r="M389" s="34"/>
      <c r="N389" s="34" t="s">
        <v>1700</v>
      </c>
      <c r="O389" s="35">
        <v>1</v>
      </c>
      <c r="P389" s="35">
        <v>1</v>
      </c>
      <c r="Q389" s="32" t="s">
        <v>1894</v>
      </c>
      <c r="S389" s="1">
        <f t="shared" si="181"/>
        <v>0</v>
      </c>
      <c r="T389" s="1">
        <f t="shared" si="182"/>
        <v>0</v>
      </c>
      <c r="U389" s="1">
        <f t="shared" si="183"/>
        <v>1</v>
      </c>
      <c r="V389" s="1">
        <f t="shared" si="184"/>
        <v>0</v>
      </c>
      <c r="W389" s="1">
        <f t="shared" si="185"/>
        <v>0</v>
      </c>
      <c r="X389" s="1">
        <f t="shared" si="186"/>
        <v>0</v>
      </c>
      <c r="Y389" s="1">
        <f t="shared" si="187"/>
        <v>0</v>
      </c>
      <c r="Z389" s="1">
        <f t="shared" si="188"/>
        <v>0</v>
      </c>
      <c r="AA389" s="1">
        <f t="shared" si="189"/>
        <v>0</v>
      </c>
      <c r="AB389" s="1">
        <f t="shared" si="190"/>
        <v>0</v>
      </c>
      <c r="AD389" s="1">
        <f t="shared" si="191"/>
        <v>1</v>
      </c>
      <c r="AE389" s="1">
        <f t="shared" si="192"/>
        <v>0</v>
      </c>
      <c r="AF389" s="1">
        <f t="shared" si="177"/>
        <v>1</v>
      </c>
      <c r="AG389" s="1">
        <f t="shared" si="178"/>
        <v>0</v>
      </c>
      <c r="AH389" s="1">
        <f t="shared" si="179"/>
        <v>1</v>
      </c>
      <c r="AI389" s="1">
        <f t="shared" si="180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1250</v>
      </c>
      <c r="E390" s="32" t="s">
        <v>1251</v>
      </c>
      <c r="F390" s="32" t="s">
        <v>1252</v>
      </c>
      <c r="G390" s="32" t="s">
        <v>219</v>
      </c>
      <c r="H390" s="32" t="s">
        <v>352</v>
      </c>
      <c r="I390" s="31" t="s">
        <v>1696</v>
      </c>
      <c r="J390" s="31">
        <v>8</v>
      </c>
      <c r="K390" s="33" t="s">
        <v>709</v>
      </c>
      <c r="L390" s="33" t="s">
        <v>39</v>
      </c>
      <c r="M390" s="34" t="s">
        <v>39</v>
      </c>
      <c r="N390" s="34" t="s">
        <v>1700</v>
      </c>
      <c r="O390" s="35">
        <v>1</v>
      </c>
      <c r="P390" s="35">
        <v>1</v>
      </c>
      <c r="Q390" s="32"/>
      <c r="S390" s="1">
        <f t="shared" si="181"/>
        <v>0</v>
      </c>
      <c r="T390" s="1">
        <f t="shared" si="182"/>
        <v>0</v>
      </c>
      <c r="U390" s="1">
        <f t="shared" si="183"/>
        <v>0</v>
      </c>
      <c r="V390" s="1">
        <f t="shared" si="184"/>
        <v>0</v>
      </c>
      <c r="W390" s="1">
        <f t="shared" si="185"/>
        <v>0</v>
      </c>
      <c r="X390" s="1">
        <f t="shared" si="186"/>
        <v>0</v>
      </c>
      <c r="Y390" s="1">
        <f t="shared" si="187"/>
        <v>0</v>
      </c>
      <c r="Z390" s="1">
        <f t="shared" si="188"/>
        <v>1</v>
      </c>
      <c r="AA390" s="1">
        <f t="shared" si="189"/>
        <v>0</v>
      </c>
      <c r="AB390" s="1">
        <f t="shared" si="190"/>
        <v>0</v>
      </c>
      <c r="AD390" s="1">
        <f t="shared" si="191"/>
        <v>1</v>
      </c>
      <c r="AE390" s="1">
        <f t="shared" si="192"/>
        <v>0</v>
      </c>
      <c r="AF390" s="1">
        <f t="shared" si="177"/>
        <v>1</v>
      </c>
      <c r="AG390" s="1">
        <f t="shared" si="178"/>
        <v>0</v>
      </c>
      <c r="AH390" s="1">
        <f t="shared" si="179"/>
        <v>1</v>
      </c>
      <c r="AI390" s="1">
        <f t="shared" si="180"/>
        <v>0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1069</v>
      </c>
      <c r="E391" s="32" t="s">
        <v>154</v>
      </c>
      <c r="F391" s="32" t="s">
        <v>1053</v>
      </c>
      <c r="G391" s="32" t="s">
        <v>319</v>
      </c>
      <c r="H391" s="32" t="s">
        <v>352</v>
      </c>
      <c r="I391" s="31" t="s">
        <v>1054</v>
      </c>
      <c r="J391" s="31">
        <v>99</v>
      </c>
      <c r="K391" s="33" t="s">
        <v>709</v>
      </c>
      <c r="L391" s="33" t="s">
        <v>690</v>
      </c>
      <c r="M391" s="34" t="s">
        <v>1404</v>
      </c>
      <c r="N391" s="34" t="s">
        <v>1726</v>
      </c>
      <c r="O391" s="35">
        <v>1</v>
      </c>
      <c r="P391" s="35"/>
      <c r="Q391" s="32"/>
      <c r="S391" s="1">
        <f t="shared" si="181"/>
        <v>0</v>
      </c>
      <c r="T391" s="1">
        <f t="shared" si="182"/>
        <v>0</v>
      </c>
      <c r="U391" s="1">
        <f t="shared" si="183"/>
        <v>0</v>
      </c>
      <c r="V391" s="1">
        <f t="shared" si="184"/>
        <v>0</v>
      </c>
      <c r="W391" s="1">
        <f t="shared" si="185"/>
        <v>0</v>
      </c>
      <c r="X391" s="1">
        <f t="shared" si="186"/>
        <v>0</v>
      </c>
      <c r="Y391" s="1">
        <f t="shared" si="187"/>
        <v>0</v>
      </c>
      <c r="Z391" s="1">
        <f t="shared" si="188"/>
        <v>0</v>
      </c>
      <c r="AA391" s="1">
        <f t="shared" si="189"/>
        <v>0</v>
      </c>
      <c r="AB391" s="1">
        <f t="shared" si="190"/>
        <v>0</v>
      </c>
      <c r="AD391" s="1">
        <f t="shared" si="191"/>
        <v>0</v>
      </c>
      <c r="AE391" s="1">
        <f t="shared" si="192"/>
        <v>1</v>
      </c>
      <c r="AF391" s="1">
        <f t="shared" si="177"/>
        <v>0</v>
      </c>
      <c r="AG391" s="1">
        <f t="shared" si="178"/>
        <v>1</v>
      </c>
      <c r="AH391" s="1">
        <f t="shared" si="179"/>
        <v>0</v>
      </c>
      <c r="AI391" s="1">
        <f t="shared" si="180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787</v>
      </c>
      <c r="E392" s="32" t="s">
        <v>763</v>
      </c>
      <c r="F392" s="32" t="s">
        <v>921</v>
      </c>
      <c r="G392" s="32" t="s">
        <v>219</v>
      </c>
      <c r="H392" s="32" t="s">
        <v>352</v>
      </c>
      <c r="I392" s="31" t="s">
        <v>788</v>
      </c>
      <c r="J392" s="31">
        <v>8</v>
      </c>
      <c r="K392" s="33" t="s">
        <v>699</v>
      </c>
      <c r="L392" s="33">
        <v>20</v>
      </c>
      <c r="M392" s="34" t="s">
        <v>1395</v>
      </c>
      <c r="N392" s="34" t="s">
        <v>1795</v>
      </c>
      <c r="O392" s="35">
        <v>1</v>
      </c>
      <c r="P392" s="35"/>
      <c r="Q392" s="32"/>
      <c r="S392" s="1">
        <f t="shared" si="181"/>
        <v>0</v>
      </c>
      <c r="T392" s="1">
        <f t="shared" si="182"/>
        <v>0</v>
      </c>
      <c r="U392" s="1">
        <f t="shared" si="183"/>
        <v>0</v>
      </c>
      <c r="V392" s="1">
        <f t="shared" si="184"/>
        <v>0</v>
      </c>
      <c r="W392" s="1">
        <f t="shared" si="185"/>
        <v>0</v>
      </c>
      <c r="X392" s="1">
        <f t="shared" si="186"/>
        <v>0</v>
      </c>
      <c r="Y392" s="1">
        <f t="shared" si="187"/>
        <v>0</v>
      </c>
      <c r="Z392" s="1">
        <f t="shared" si="188"/>
        <v>1</v>
      </c>
      <c r="AA392" s="1">
        <f t="shared" si="189"/>
        <v>0</v>
      </c>
      <c r="AB392" s="1">
        <f t="shared" si="190"/>
        <v>0</v>
      </c>
      <c r="AD392" s="1">
        <f t="shared" si="191"/>
        <v>0</v>
      </c>
      <c r="AE392" s="1">
        <f t="shared" si="192"/>
        <v>1</v>
      </c>
      <c r="AF392" s="1">
        <f t="shared" si="177"/>
        <v>0</v>
      </c>
      <c r="AG392" s="1">
        <f t="shared" si="178"/>
        <v>1</v>
      </c>
      <c r="AH392" s="1">
        <f t="shared" si="179"/>
        <v>0</v>
      </c>
      <c r="AI392" s="1">
        <f t="shared" si="180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79</v>
      </c>
      <c r="E393" s="32" t="s">
        <v>158</v>
      </c>
      <c r="F393" s="32" t="s">
        <v>267</v>
      </c>
      <c r="G393" s="32" t="s">
        <v>212</v>
      </c>
      <c r="H393" s="32" t="s">
        <v>352</v>
      </c>
      <c r="I393" s="31" t="s">
        <v>423</v>
      </c>
      <c r="J393" s="31">
        <v>1</v>
      </c>
      <c r="K393" s="33" t="s">
        <v>942</v>
      </c>
      <c r="L393" s="33" t="s">
        <v>700</v>
      </c>
      <c r="M393" s="34" t="s">
        <v>723</v>
      </c>
      <c r="N393" s="34" t="s">
        <v>1714</v>
      </c>
      <c r="O393" s="35">
        <v>1</v>
      </c>
      <c r="P393" s="35"/>
      <c r="Q393" s="32"/>
      <c r="S393" s="1">
        <f t="shared" si="181"/>
        <v>1</v>
      </c>
      <c r="T393" s="1">
        <f t="shared" si="182"/>
        <v>0</v>
      </c>
      <c r="U393" s="1">
        <f t="shared" si="183"/>
        <v>0</v>
      </c>
      <c r="V393" s="1">
        <f t="shared" si="184"/>
        <v>0</v>
      </c>
      <c r="W393" s="1">
        <f t="shared" si="185"/>
        <v>0</v>
      </c>
      <c r="X393" s="1">
        <f t="shared" si="186"/>
        <v>0</v>
      </c>
      <c r="Y393" s="1">
        <f t="shared" si="187"/>
        <v>0</v>
      </c>
      <c r="Z393" s="1">
        <f t="shared" si="188"/>
        <v>0</v>
      </c>
      <c r="AA393" s="1">
        <f t="shared" si="189"/>
        <v>0</v>
      </c>
      <c r="AB393" s="1">
        <f t="shared" si="190"/>
        <v>0</v>
      </c>
      <c r="AD393" s="1">
        <f t="shared" si="191"/>
        <v>0</v>
      </c>
      <c r="AE393" s="1">
        <f t="shared" si="192"/>
        <v>1</v>
      </c>
      <c r="AF393" s="1">
        <f t="shared" si="177"/>
        <v>0</v>
      </c>
      <c r="AG393" s="1">
        <f t="shared" si="178"/>
        <v>1</v>
      </c>
      <c r="AH393" s="1">
        <f t="shared" si="179"/>
        <v>0</v>
      </c>
      <c r="AI393" s="1">
        <f t="shared" si="180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6" t="s">
        <v>2116</v>
      </c>
      <c r="E394" s="36" t="s">
        <v>822</v>
      </c>
      <c r="F394" s="36" t="s">
        <v>2117</v>
      </c>
      <c r="G394" s="36" t="s">
        <v>202</v>
      </c>
      <c r="H394" s="36" t="s">
        <v>352</v>
      </c>
      <c r="I394" s="37" t="s">
        <v>2118</v>
      </c>
      <c r="J394" s="31">
        <v>99</v>
      </c>
      <c r="K394" s="33" t="s">
        <v>699</v>
      </c>
      <c r="L394" s="33"/>
      <c r="M394" s="34"/>
      <c r="N394" s="34" t="s">
        <v>1700</v>
      </c>
      <c r="O394" s="35">
        <v>1</v>
      </c>
      <c r="P394" s="35">
        <v>1</v>
      </c>
      <c r="Q394" s="32"/>
      <c r="S394" s="1">
        <f t="shared" si="181"/>
        <v>0</v>
      </c>
      <c r="T394" s="1">
        <f t="shared" si="182"/>
        <v>0</v>
      </c>
      <c r="U394" s="1">
        <f t="shared" si="183"/>
        <v>0</v>
      </c>
      <c r="V394" s="1">
        <f t="shared" si="184"/>
        <v>0</v>
      </c>
      <c r="W394" s="1">
        <f t="shared" si="185"/>
        <v>0</v>
      </c>
      <c r="X394" s="1">
        <f t="shared" si="186"/>
        <v>0</v>
      </c>
      <c r="Y394" s="1">
        <f t="shared" si="187"/>
        <v>0</v>
      </c>
      <c r="Z394" s="1">
        <f t="shared" si="188"/>
        <v>0</v>
      </c>
      <c r="AA394" s="1">
        <f t="shared" si="189"/>
        <v>0</v>
      </c>
      <c r="AB394" s="1">
        <f t="shared" si="190"/>
        <v>0</v>
      </c>
      <c r="AD394" s="1">
        <f t="shared" si="191"/>
        <v>1</v>
      </c>
      <c r="AE394" s="1">
        <f t="shared" si="192"/>
        <v>0</v>
      </c>
      <c r="AF394" s="1">
        <f t="shared" si="177"/>
        <v>1</v>
      </c>
      <c r="AG394" s="1">
        <f t="shared" si="178"/>
        <v>0</v>
      </c>
      <c r="AH394" s="1">
        <f t="shared" si="179"/>
        <v>1</v>
      </c>
      <c r="AI394" s="1">
        <f t="shared" si="180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2052</v>
      </c>
      <c r="E395" s="32" t="s">
        <v>171</v>
      </c>
      <c r="F395" s="32" t="s">
        <v>2053</v>
      </c>
      <c r="G395" s="32" t="s">
        <v>206</v>
      </c>
      <c r="H395" s="32" t="s">
        <v>352</v>
      </c>
      <c r="I395" s="31" t="s">
        <v>2054</v>
      </c>
      <c r="J395" s="31">
        <v>99</v>
      </c>
      <c r="K395" s="33" t="s">
        <v>699</v>
      </c>
      <c r="L395" s="33">
        <v>30</v>
      </c>
      <c r="M395" s="34" t="s">
        <v>957</v>
      </c>
      <c r="N395" s="34" t="s">
        <v>1714</v>
      </c>
      <c r="O395" s="35">
        <v>1</v>
      </c>
      <c r="P395" s="35"/>
      <c r="Q395" s="32" t="s">
        <v>2055</v>
      </c>
      <c r="S395" s="1">
        <f t="shared" si="181"/>
        <v>0</v>
      </c>
      <c r="T395" s="1">
        <f t="shared" si="182"/>
        <v>0</v>
      </c>
      <c r="U395" s="1">
        <f t="shared" si="183"/>
        <v>0</v>
      </c>
      <c r="V395" s="1">
        <f t="shared" si="184"/>
        <v>0</v>
      </c>
      <c r="W395" s="1">
        <f t="shared" si="185"/>
        <v>0</v>
      </c>
      <c r="X395" s="1">
        <f t="shared" si="186"/>
        <v>0</v>
      </c>
      <c r="Y395" s="1">
        <f t="shared" si="187"/>
        <v>0</v>
      </c>
      <c r="Z395" s="1">
        <f t="shared" si="188"/>
        <v>0</v>
      </c>
      <c r="AA395" s="1">
        <f t="shared" si="189"/>
        <v>0</v>
      </c>
      <c r="AB395" s="1">
        <f t="shared" si="190"/>
        <v>0</v>
      </c>
      <c r="AD395" s="1">
        <f t="shared" si="191"/>
        <v>0</v>
      </c>
      <c r="AE395" s="1">
        <f t="shared" si="192"/>
        <v>1</v>
      </c>
      <c r="AF395" s="1">
        <f t="shared" si="177"/>
        <v>0</v>
      </c>
      <c r="AG395" s="1">
        <f t="shared" si="178"/>
        <v>1</v>
      </c>
      <c r="AH395" s="1">
        <f t="shared" si="179"/>
        <v>0</v>
      </c>
      <c r="AI395" s="1">
        <f t="shared" si="180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1616</v>
      </c>
      <c r="E396" s="32" t="s">
        <v>1628</v>
      </c>
      <c r="F396" s="32" t="s">
        <v>1525</v>
      </c>
      <c r="G396" s="32" t="s">
        <v>261</v>
      </c>
      <c r="H396" s="32" t="s">
        <v>352</v>
      </c>
      <c r="I396" s="31" t="s">
        <v>1526</v>
      </c>
      <c r="J396" s="31">
        <v>99</v>
      </c>
      <c r="K396" s="33" t="s">
        <v>942</v>
      </c>
      <c r="L396" s="33">
        <v>40</v>
      </c>
      <c r="M396" s="34" t="s">
        <v>39</v>
      </c>
      <c r="N396" s="34" t="s">
        <v>1795</v>
      </c>
      <c r="O396" s="35">
        <v>1</v>
      </c>
      <c r="P396" s="35"/>
      <c r="Q396" s="32"/>
      <c r="S396" s="1">
        <f t="shared" si="181"/>
        <v>0</v>
      </c>
      <c r="T396" s="1">
        <f t="shared" si="182"/>
        <v>0</v>
      </c>
      <c r="U396" s="1">
        <f t="shared" si="183"/>
        <v>0</v>
      </c>
      <c r="V396" s="1">
        <f t="shared" si="184"/>
        <v>0</v>
      </c>
      <c r="W396" s="1">
        <f t="shared" si="185"/>
        <v>0</v>
      </c>
      <c r="X396" s="1">
        <f t="shared" si="186"/>
        <v>0</v>
      </c>
      <c r="Y396" s="1">
        <f t="shared" si="187"/>
        <v>0</v>
      </c>
      <c r="Z396" s="1">
        <f t="shared" si="188"/>
        <v>0</v>
      </c>
      <c r="AA396" s="1">
        <f t="shared" si="189"/>
        <v>0</v>
      </c>
      <c r="AB396" s="1">
        <f t="shared" si="190"/>
        <v>0</v>
      </c>
      <c r="AD396" s="1">
        <f t="shared" si="191"/>
        <v>0</v>
      </c>
      <c r="AE396" s="1">
        <f t="shared" si="192"/>
        <v>1</v>
      </c>
      <c r="AF396" s="1">
        <f t="shared" si="177"/>
        <v>0</v>
      </c>
      <c r="AG396" s="1">
        <f t="shared" si="178"/>
        <v>1</v>
      </c>
      <c r="AH396" s="1">
        <f t="shared" si="179"/>
        <v>0</v>
      </c>
      <c r="AI396" s="1">
        <f t="shared" si="180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1277</v>
      </c>
      <c r="E397" s="32" t="s">
        <v>27</v>
      </c>
      <c r="F397" s="32" t="s">
        <v>1278</v>
      </c>
      <c r="G397" s="32" t="s">
        <v>1279</v>
      </c>
      <c r="H397" s="32" t="s">
        <v>352</v>
      </c>
      <c r="I397" s="31" t="s">
        <v>1280</v>
      </c>
      <c r="J397" s="31">
        <v>99</v>
      </c>
      <c r="K397" s="33" t="s">
        <v>942</v>
      </c>
      <c r="L397" s="33" t="s">
        <v>39</v>
      </c>
      <c r="M397" s="34" t="s">
        <v>39</v>
      </c>
      <c r="N397" s="34" t="s">
        <v>1700</v>
      </c>
      <c r="O397" s="35">
        <v>1</v>
      </c>
      <c r="P397" s="35">
        <v>1</v>
      </c>
      <c r="Q397" s="36"/>
      <c r="S397" s="1">
        <f t="shared" si="181"/>
        <v>0</v>
      </c>
      <c r="T397" s="1">
        <f t="shared" si="182"/>
        <v>0</v>
      </c>
      <c r="U397" s="1">
        <f t="shared" si="183"/>
        <v>0</v>
      </c>
      <c r="V397" s="1">
        <f t="shared" si="184"/>
        <v>0</v>
      </c>
      <c r="W397" s="1">
        <f t="shared" si="185"/>
        <v>0</v>
      </c>
      <c r="X397" s="1">
        <f t="shared" si="186"/>
        <v>0</v>
      </c>
      <c r="Y397" s="1">
        <f t="shared" si="187"/>
        <v>0</v>
      </c>
      <c r="Z397" s="1">
        <f t="shared" si="188"/>
        <v>0</v>
      </c>
      <c r="AA397" s="1">
        <f t="shared" si="189"/>
        <v>0</v>
      </c>
      <c r="AB397" s="1">
        <f t="shared" si="190"/>
        <v>0</v>
      </c>
      <c r="AD397" s="1">
        <f t="shared" si="191"/>
        <v>1</v>
      </c>
      <c r="AE397" s="1">
        <f t="shared" si="192"/>
        <v>0</v>
      </c>
      <c r="AF397" s="1">
        <f t="shared" si="177"/>
        <v>1</v>
      </c>
      <c r="AG397" s="1">
        <f t="shared" si="178"/>
        <v>0</v>
      </c>
      <c r="AH397" s="1">
        <f t="shared" si="179"/>
        <v>1</v>
      </c>
      <c r="AI397" s="1">
        <f t="shared" si="180"/>
        <v>0</v>
      </c>
    </row>
    <row r="398" spans="1:35" ht="14.25" customHeight="1" x14ac:dyDescent="0.25">
      <c r="A398" s="15">
        <v>0</v>
      </c>
      <c r="B398" s="15">
        <v>2</v>
      </c>
      <c r="C398" s="15">
        <v>5</v>
      </c>
      <c r="D398" s="16" t="s">
        <v>1577</v>
      </c>
      <c r="E398" s="16" t="s">
        <v>158</v>
      </c>
      <c r="F398" s="16" t="s">
        <v>2115</v>
      </c>
      <c r="G398" s="16" t="s">
        <v>1443</v>
      </c>
      <c r="H398" s="16" t="s">
        <v>352</v>
      </c>
      <c r="I398" s="15" t="s">
        <v>1444</v>
      </c>
      <c r="J398" s="15">
        <v>99</v>
      </c>
      <c r="K398" s="10" t="s">
        <v>709</v>
      </c>
      <c r="L398" s="10" t="s">
        <v>692</v>
      </c>
      <c r="M398" s="19" t="s">
        <v>1445</v>
      </c>
      <c r="N398" s="19"/>
      <c r="Q398" s="16"/>
      <c r="S398" s="1">
        <f t="shared" si="181"/>
        <v>0</v>
      </c>
      <c r="T398" s="1">
        <f t="shared" si="182"/>
        <v>0</v>
      </c>
      <c r="U398" s="1">
        <f t="shared" si="183"/>
        <v>0</v>
      </c>
      <c r="V398" s="1">
        <f t="shared" si="184"/>
        <v>0</v>
      </c>
      <c r="W398" s="1">
        <f t="shared" si="185"/>
        <v>0</v>
      </c>
      <c r="X398" s="1">
        <f t="shared" si="186"/>
        <v>0</v>
      </c>
      <c r="Y398" s="1">
        <f t="shared" si="187"/>
        <v>0</v>
      </c>
      <c r="Z398" s="1">
        <f t="shared" si="188"/>
        <v>0</v>
      </c>
      <c r="AA398" s="1">
        <f t="shared" si="189"/>
        <v>0</v>
      </c>
      <c r="AB398" s="1">
        <f t="shared" si="190"/>
        <v>0</v>
      </c>
      <c r="AD398" s="1">
        <f t="shared" si="191"/>
        <v>0</v>
      </c>
      <c r="AE398" s="1">
        <f t="shared" si="192"/>
        <v>0</v>
      </c>
      <c r="AF398" s="1">
        <f t="shared" si="177"/>
        <v>0</v>
      </c>
      <c r="AG398" s="1">
        <f t="shared" si="178"/>
        <v>0</v>
      </c>
      <c r="AH398" s="1">
        <f t="shared" si="179"/>
        <v>0</v>
      </c>
      <c r="AI398" s="1">
        <f t="shared" si="180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2010</v>
      </c>
      <c r="E399" s="32" t="s">
        <v>2011</v>
      </c>
      <c r="F399" s="32" t="s">
        <v>2012</v>
      </c>
      <c r="G399" s="32" t="s">
        <v>2015</v>
      </c>
      <c r="H399" s="32" t="s">
        <v>352</v>
      </c>
      <c r="I399" s="31" t="s">
        <v>2013</v>
      </c>
      <c r="J399" s="31"/>
      <c r="K399" s="33" t="s">
        <v>1792</v>
      </c>
      <c r="L399" s="33"/>
      <c r="M399" s="34"/>
      <c r="N399" s="34" t="s">
        <v>1700</v>
      </c>
      <c r="O399" s="35">
        <v>1</v>
      </c>
      <c r="P399" s="35">
        <v>1</v>
      </c>
      <c r="Q399" s="32" t="s">
        <v>2014</v>
      </c>
      <c r="S399" s="1">
        <f t="shared" si="181"/>
        <v>0</v>
      </c>
      <c r="T399" s="1">
        <f t="shared" si="182"/>
        <v>0</v>
      </c>
      <c r="U399" s="1">
        <f t="shared" si="183"/>
        <v>0</v>
      </c>
      <c r="V399" s="1">
        <f t="shared" si="184"/>
        <v>0</v>
      </c>
      <c r="W399" s="1">
        <f t="shared" si="185"/>
        <v>0</v>
      </c>
      <c r="X399" s="1">
        <f t="shared" si="186"/>
        <v>0</v>
      </c>
      <c r="Y399" s="1">
        <f t="shared" si="187"/>
        <v>0</v>
      </c>
      <c r="Z399" s="1">
        <f t="shared" si="188"/>
        <v>0</v>
      </c>
      <c r="AA399" s="1">
        <f t="shared" si="189"/>
        <v>0</v>
      </c>
      <c r="AB399" s="1">
        <f t="shared" si="190"/>
        <v>0</v>
      </c>
      <c r="AD399" s="1">
        <f t="shared" si="191"/>
        <v>1</v>
      </c>
      <c r="AE399" s="1">
        <f t="shared" si="192"/>
        <v>0</v>
      </c>
      <c r="AF399" s="1">
        <f t="shared" si="177"/>
        <v>1</v>
      </c>
      <c r="AG399" s="1">
        <f t="shared" si="178"/>
        <v>0</v>
      </c>
      <c r="AH399" s="1">
        <f t="shared" si="179"/>
        <v>1</v>
      </c>
      <c r="AI399" s="1">
        <f t="shared" si="180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1748</v>
      </c>
      <c r="E400" s="32" t="s">
        <v>154</v>
      </c>
      <c r="F400" s="32" t="s">
        <v>1749</v>
      </c>
      <c r="G400" s="32" t="s">
        <v>652</v>
      </c>
      <c r="H400" s="32" t="s">
        <v>352</v>
      </c>
      <c r="I400" s="31" t="s">
        <v>1750</v>
      </c>
      <c r="J400" s="31"/>
      <c r="K400" s="33" t="s">
        <v>699</v>
      </c>
      <c r="L400" s="33">
        <v>40</v>
      </c>
      <c r="M400" s="34" t="s">
        <v>1751</v>
      </c>
      <c r="N400" s="34" t="s">
        <v>1714</v>
      </c>
      <c r="O400" s="35">
        <v>1</v>
      </c>
      <c r="P400" s="35"/>
      <c r="Q400" s="32"/>
      <c r="S400" s="1">
        <f t="shared" si="181"/>
        <v>0</v>
      </c>
      <c r="T400" s="1">
        <f t="shared" si="182"/>
        <v>0</v>
      </c>
      <c r="U400" s="1">
        <f t="shared" si="183"/>
        <v>0</v>
      </c>
      <c r="V400" s="1">
        <f t="shared" si="184"/>
        <v>0</v>
      </c>
      <c r="W400" s="1">
        <f t="shared" si="185"/>
        <v>0</v>
      </c>
      <c r="X400" s="1">
        <f t="shared" si="186"/>
        <v>0</v>
      </c>
      <c r="Y400" s="1">
        <f t="shared" si="187"/>
        <v>0</v>
      </c>
      <c r="Z400" s="1">
        <f t="shared" si="188"/>
        <v>0</v>
      </c>
      <c r="AA400" s="1">
        <f t="shared" si="189"/>
        <v>0</v>
      </c>
      <c r="AB400" s="1">
        <f t="shared" si="190"/>
        <v>0</v>
      </c>
      <c r="AD400" s="1">
        <f t="shared" si="191"/>
        <v>0</v>
      </c>
      <c r="AE400" s="1">
        <f t="shared" si="192"/>
        <v>1</v>
      </c>
      <c r="AF400" s="1">
        <f t="shared" si="177"/>
        <v>0</v>
      </c>
      <c r="AG400" s="1">
        <f t="shared" si="178"/>
        <v>1</v>
      </c>
      <c r="AH400" s="1">
        <f t="shared" si="179"/>
        <v>0</v>
      </c>
      <c r="AI400" s="1">
        <f t="shared" si="180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828</v>
      </c>
      <c r="E401" s="32" t="s">
        <v>822</v>
      </c>
      <c r="F401" s="32" t="s">
        <v>929</v>
      </c>
      <c r="G401" s="32" t="s">
        <v>179</v>
      </c>
      <c r="H401" s="32" t="s">
        <v>352</v>
      </c>
      <c r="I401" s="31" t="s">
        <v>1096</v>
      </c>
      <c r="J401" s="31">
        <v>10</v>
      </c>
      <c r="K401" s="33" t="s">
        <v>708</v>
      </c>
      <c r="L401" s="33" t="s">
        <v>689</v>
      </c>
      <c r="M401" s="34" t="s">
        <v>1405</v>
      </c>
      <c r="N401" s="34" t="s">
        <v>1725</v>
      </c>
      <c r="O401" s="35">
        <v>1</v>
      </c>
      <c r="P401" s="35"/>
      <c r="Q401" s="32"/>
      <c r="S401" s="1">
        <f t="shared" si="181"/>
        <v>0</v>
      </c>
      <c r="T401" s="1">
        <f t="shared" si="182"/>
        <v>0</v>
      </c>
      <c r="U401" s="1">
        <f t="shared" si="183"/>
        <v>0</v>
      </c>
      <c r="V401" s="1">
        <f t="shared" si="184"/>
        <v>0</v>
      </c>
      <c r="W401" s="1">
        <f t="shared" si="185"/>
        <v>0</v>
      </c>
      <c r="X401" s="1">
        <f t="shared" si="186"/>
        <v>0</v>
      </c>
      <c r="Y401" s="1">
        <f t="shared" si="187"/>
        <v>0</v>
      </c>
      <c r="Z401" s="1">
        <f t="shared" si="188"/>
        <v>0</v>
      </c>
      <c r="AA401" s="1">
        <f t="shared" si="189"/>
        <v>0</v>
      </c>
      <c r="AB401" s="1">
        <f t="shared" si="190"/>
        <v>1</v>
      </c>
      <c r="AD401" s="1">
        <f t="shared" si="191"/>
        <v>0</v>
      </c>
      <c r="AE401" s="1">
        <f t="shared" si="192"/>
        <v>1</v>
      </c>
      <c r="AF401" s="1">
        <f t="shared" si="177"/>
        <v>0</v>
      </c>
      <c r="AG401" s="1">
        <f t="shared" si="178"/>
        <v>1</v>
      </c>
      <c r="AH401" s="1">
        <f t="shared" si="179"/>
        <v>0</v>
      </c>
      <c r="AI401" s="1">
        <f t="shared" si="180"/>
        <v>1</v>
      </c>
    </row>
    <row r="402" spans="1:35" ht="14.25" customHeight="1" x14ac:dyDescent="0.25">
      <c r="A402" s="51">
        <v>0</v>
      </c>
      <c r="B402" s="51">
        <v>2</v>
      </c>
      <c r="C402" s="51">
        <v>6</v>
      </c>
      <c r="D402" s="52" t="s">
        <v>1517</v>
      </c>
      <c r="E402" s="52" t="s">
        <v>27</v>
      </c>
      <c r="F402" s="52" t="s">
        <v>1519</v>
      </c>
      <c r="G402" s="52" t="s">
        <v>1508</v>
      </c>
      <c r="H402" s="52" t="s">
        <v>352</v>
      </c>
      <c r="I402" s="51" t="s">
        <v>1518</v>
      </c>
      <c r="J402" s="51">
        <v>5</v>
      </c>
      <c r="K402" s="53" t="s">
        <v>942</v>
      </c>
      <c r="L402" s="53" t="s">
        <v>39</v>
      </c>
      <c r="M402" s="54" t="s">
        <v>39</v>
      </c>
      <c r="N402" s="55"/>
      <c r="O402" s="56"/>
      <c r="P402" s="56"/>
      <c r="Q402" s="58" t="s">
        <v>1870</v>
      </c>
      <c r="S402" s="1">
        <f t="shared" si="181"/>
        <v>0</v>
      </c>
      <c r="T402" s="1">
        <f t="shared" si="182"/>
        <v>0</v>
      </c>
      <c r="U402" s="1">
        <f t="shared" si="183"/>
        <v>0</v>
      </c>
      <c r="V402" s="1">
        <f t="shared" si="184"/>
        <v>0</v>
      </c>
      <c r="W402" s="1">
        <f t="shared" si="185"/>
        <v>1</v>
      </c>
      <c r="X402" s="1">
        <f t="shared" si="186"/>
        <v>0</v>
      </c>
      <c r="Y402" s="1">
        <f t="shared" si="187"/>
        <v>0</v>
      </c>
      <c r="Z402" s="1">
        <f t="shared" si="188"/>
        <v>0</v>
      </c>
      <c r="AA402" s="1">
        <f t="shared" si="189"/>
        <v>0</v>
      </c>
      <c r="AB402" s="1">
        <f t="shared" si="190"/>
        <v>0</v>
      </c>
      <c r="AD402" s="1">
        <f t="shared" si="191"/>
        <v>0</v>
      </c>
      <c r="AE402" s="1">
        <f t="shared" si="192"/>
        <v>0</v>
      </c>
      <c r="AF402" s="1">
        <f t="shared" si="177"/>
        <v>0</v>
      </c>
      <c r="AG402" s="1">
        <f t="shared" si="178"/>
        <v>0</v>
      </c>
      <c r="AH402" s="1">
        <f t="shared" si="179"/>
        <v>0</v>
      </c>
      <c r="AI402" s="1">
        <f t="shared" si="180"/>
        <v>1</v>
      </c>
    </row>
    <row r="403" spans="1:35" ht="14.25" customHeight="1" x14ac:dyDescent="0.25">
      <c r="A403" s="31">
        <v>0</v>
      </c>
      <c r="B403" s="31">
        <v>2</v>
      </c>
      <c r="C403" s="31">
        <v>6</v>
      </c>
      <c r="D403" s="32" t="s">
        <v>515</v>
      </c>
      <c r="E403" s="32" t="s">
        <v>31</v>
      </c>
      <c r="F403" s="32" t="s">
        <v>668</v>
      </c>
      <c r="G403" s="32" t="s">
        <v>199</v>
      </c>
      <c r="H403" s="32" t="s">
        <v>352</v>
      </c>
      <c r="I403" s="31" t="s">
        <v>516</v>
      </c>
      <c r="J403" s="31">
        <v>2</v>
      </c>
      <c r="K403" s="33" t="s">
        <v>941</v>
      </c>
      <c r="L403" s="33" t="s">
        <v>690</v>
      </c>
      <c r="M403" s="34" t="s">
        <v>1406</v>
      </c>
      <c r="N403" s="34" t="s">
        <v>1714</v>
      </c>
      <c r="O403" s="35">
        <v>1</v>
      </c>
      <c r="P403" s="35"/>
      <c r="Q403" s="32"/>
      <c r="S403" s="1">
        <f t="shared" si="181"/>
        <v>0</v>
      </c>
      <c r="T403" s="1">
        <f t="shared" si="182"/>
        <v>1</v>
      </c>
      <c r="U403" s="1">
        <f t="shared" si="183"/>
        <v>0</v>
      </c>
      <c r="V403" s="1">
        <f t="shared" si="184"/>
        <v>0</v>
      </c>
      <c r="W403" s="1">
        <f t="shared" si="185"/>
        <v>0</v>
      </c>
      <c r="X403" s="1">
        <f t="shared" si="186"/>
        <v>0</v>
      </c>
      <c r="Y403" s="1">
        <f t="shared" si="187"/>
        <v>0</v>
      </c>
      <c r="Z403" s="1">
        <f t="shared" si="188"/>
        <v>0</v>
      </c>
      <c r="AA403" s="1">
        <f t="shared" si="189"/>
        <v>0</v>
      </c>
      <c r="AB403" s="1">
        <f t="shared" si="190"/>
        <v>0</v>
      </c>
      <c r="AD403" s="1">
        <f t="shared" si="191"/>
        <v>0</v>
      </c>
      <c r="AE403" s="1">
        <f t="shared" si="192"/>
        <v>1</v>
      </c>
      <c r="AF403" s="1">
        <f t="shared" si="177"/>
        <v>0</v>
      </c>
      <c r="AG403" s="1">
        <f t="shared" si="178"/>
        <v>1</v>
      </c>
      <c r="AH403" s="1">
        <f t="shared" si="179"/>
        <v>0</v>
      </c>
      <c r="AI403" s="1">
        <f t="shared" si="180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53</v>
      </c>
      <c r="E404" s="32" t="s">
        <v>31</v>
      </c>
      <c r="F404" s="32" t="s">
        <v>209</v>
      </c>
      <c r="G404" s="32" t="s">
        <v>210</v>
      </c>
      <c r="H404" s="32" t="s">
        <v>352</v>
      </c>
      <c r="I404" s="31" t="s">
        <v>390</v>
      </c>
      <c r="J404" s="31">
        <v>1</v>
      </c>
      <c r="K404" s="33" t="s">
        <v>708</v>
      </c>
      <c r="L404" s="33" t="s">
        <v>700</v>
      </c>
      <c r="M404" s="34" t="s">
        <v>724</v>
      </c>
      <c r="N404" s="34" t="s">
        <v>1714</v>
      </c>
      <c r="O404" s="35">
        <v>1</v>
      </c>
      <c r="P404" s="35"/>
      <c r="Q404" s="32"/>
      <c r="S404" s="1">
        <f t="shared" si="181"/>
        <v>1</v>
      </c>
      <c r="T404" s="1">
        <f t="shared" si="182"/>
        <v>0</v>
      </c>
      <c r="U404" s="1">
        <f t="shared" si="183"/>
        <v>0</v>
      </c>
      <c r="V404" s="1">
        <f t="shared" si="184"/>
        <v>0</v>
      </c>
      <c r="W404" s="1">
        <f t="shared" si="185"/>
        <v>0</v>
      </c>
      <c r="X404" s="1">
        <f t="shared" si="186"/>
        <v>0</v>
      </c>
      <c r="Y404" s="1">
        <f t="shared" si="187"/>
        <v>0</v>
      </c>
      <c r="Z404" s="1">
        <f t="shared" si="188"/>
        <v>0</v>
      </c>
      <c r="AA404" s="1">
        <f t="shared" si="189"/>
        <v>0</v>
      </c>
      <c r="AB404" s="1">
        <f t="shared" si="190"/>
        <v>0</v>
      </c>
      <c r="AD404" s="1">
        <f t="shared" si="191"/>
        <v>0</v>
      </c>
      <c r="AE404" s="1">
        <f t="shared" si="192"/>
        <v>1</v>
      </c>
      <c r="AF404" s="1">
        <f t="shared" si="177"/>
        <v>0</v>
      </c>
      <c r="AG404" s="1">
        <f t="shared" si="178"/>
        <v>1</v>
      </c>
      <c r="AH404" s="1">
        <f t="shared" si="179"/>
        <v>0</v>
      </c>
      <c r="AI404" s="1">
        <f t="shared" si="180"/>
        <v>1</v>
      </c>
    </row>
    <row r="405" spans="1:35" ht="14.25" customHeight="1" x14ac:dyDescent="0.25">
      <c r="A405" s="31">
        <v>0</v>
      </c>
      <c r="B405" s="31">
        <v>2</v>
      </c>
      <c r="C405" s="31">
        <v>6</v>
      </c>
      <c r="D405" s="32" t="s">
        <v>1832</v>
      </c>
      <c r="E405" s="32" t="s">
        <v>1833</v>
      </c>
      <c r="F405" s="32" t="s">
        <v>1834</v>
      </c>
      <c r="G405" s="32"/>
      <c r="H405" s="32" t="s">
        <v>352</v>
      </c>
      <c r="I405" s="31" t="s">
        <v>1835</v>
      </c>
      <c r="J405" s="31">
        <v>99</v>
      </c>
      <c r="K405" s="33" t="s">
        <v>699</v>
      </c>
      <c r="L405" s="33">
        <v>25</v>
      </c>
      <c r="M405" s="34" t="s">
        <v>1836</v>
      </c>
      <c r="N405" s="34" t="s">
        <v>1714</v>
      </c>
      <c r="O405" s="35">
        <v>1</v>
      </c>
      <c r="P405" s="35"/>
      <c r="Q405" s="32" t="s">
        <v>2016</v>
      </c>
      <c r="S405" s="1">
        <f t="shared" si="181"/>
        <v>0</v>
      </c>
      <c r="T405" s="1">
        <f t="shared" si="182"/>
        <v>0</v>
      </c>
      <c r="U405" s="1">
        <f t="shared" si="183"/>
        <v>0</v>
      </c>
      <c r="V405" s="1">
        <f t="shared" si="184"/>
        <v>0</v>
      </c>
      <c r="W405" s="1">
        <f t="shared" si="185"/>
        <v>0</v>
      </c>
      <c r="X405" s="1">
        <f t="shared" si="186"/>
        <v>0</v>
      </c>
      <c r="Y405" s="1">
        <f t="shared" si="187"/>
        <v>0</v>
      </c>
      <c r="Z405" s="1">
        <f t="shared" si="188"/>
        <v>0</v>
      </c>
      <c r="AA405" s="1">
        <f t="shared" si="189"/>
        <v>0</v>
      </c>
      <c r="AB405" s="1">
        <f t="shared" si="190"/>
        <v>0</v>
      </c>
      <c r="AD405" s="1">
        <f t="shared" si="191"/>
        <v>0</v>
      </c>
      <c r="AE405" s="1">
        <f t="shared" si="192"/>
        <v>1</v>
      </c>
      <c r="AF405" s="1">
        <f t="shared" si="177"/>
        <v>0</v>
      </c>
      <c r="AG405" s="1">
        <f t="shared" si="178"/>
        <v>1</v>
      </c>
      <c r="AH405" s="1">
        <f t="shared" si="179"/>
        <v>0</v>
      </c>
      <c r="AI405" s="1">
        <f t="shared" si="180"/>
        <v>1</v>
      </c>
    </row>
    <row r="406" spans="1:35" ht="14.25" customHeight="1" x14ac:dyDescent="0.25">
      <c r="A406" s="44">
        <v>0</v>
      </c>
      <c r="B406" s="44">
        <v>2</v>
      </c>
      <c r="C406" s="44">
        <v>6</v>
      </c>
      <c r="D406" s="45" t="s">
        <v>80</v>
      </c>
      <c r="E406" s="45" t="s">
        <v>31</v>
      </c>
      <c r="F406" s="45" t="s">
        <v>269</v>
      </c>
      <c r="G406" s="45" t="s">
        <v>223</v>
      </c>
      <c r="H406" s="45" t="s">
        <v>352</v>
      </c>
      <c r="I406" s="44" t="s">
        <v>674</v>
      </c>
      <c r="J406" s="44">
        <v>99</v>
      </c>
      <c r="K406" s="46" t="s">
        <v>942</v>
      </c>
      <c r="L406" s="46" t="s">
        <v>690</v>
      </c>
      <c r="M406" s="47" t="s">
        <v>1407</v>
      </c>
      <c r="N406" s="47" t="s">
        <v>1779</v>
      </c>
      <c r="O406" s="48"/>
      <c r="P406" s="48"/>
      <c r="Q406" s="45"/>
      <c r="S406" s="1">
        <f t="shared" si="181"/>
        <v>0</v>
      </c>
      <c r="T406" s="1">
        <f t="shared" si="182"/>
        <v>0</v>
      </c>
      <c r="U406" s="1">
        <f t="shared" si="183"/>
        <v>0</v>
      </c>
      <c r="V406" s="1">
        <f t="shared" si="184"/>
        <v>0</v>
      </c>
      <c r="W406" s="1">
        <f t="shared" si="185"/>
        <v>0</v>
      </c>
      <c r="X406" s="1">
        <f t="shared" si="186"/>
        <v>0</v>
      </c>
      <c r="Y406" s="1">
        <f t="shared" si="187"/>
        <v>0</v>
      </c>
      <c r="Z406" s="1">
        <f t="shared" si="188"/>
        <v>0</v>
      </c>
      <c r="AA406" s="1">
        <f t="shared" si="189"/>
        <v>0</v>
      </c>
      <c r="AB406" s="1">
        <f t="shared" si="190"/>
        <v>0</v>
      </c>
      <c r="AD406" s="1">
        <f t="shared" si="191"/>
        <v>0</v>
      </c>
      <c r="AE406" s="1">
        <f t="shared" si="192"/>
        <v>0</v>
      </c>
      <c r="AF406" s="1">
        <f t="shared" ref="AF406:AF424" si="193">+O406*P406*(1-A406)</f>
        <v>0</v>
      </c>
      <c r="AG406" s="1">
        <f t="shared" ref="AG406:AG424" si="194">O406*(1-P406)*(1-A406)</f>
        <v>0</v>
      </c>
      <c r="AH406" s="1">
        <f t="shared" ref="AH406:AH424" si="195">+P406*(1-A406)</f>
        <v>0</v>
      </c>
      <c r="AI406" s="1">
        <f t="shared" ref="AI406:AI424" si="196">+(1-A406)*(1-P406)</f>
        <v>1</v>
      </c>
    </row>
    <row r="407" spans="1:35" ht="14.25" customHeight="1" x14ac:dyDescent="0.25">
      <c r="A407" s="44">
        <v>0</v>
      </c>
      <c r="B407" s="44">
        <v>2</v>
      </c>
      <c r="C407" s="44">
        <v>6</v>
      </c>
      <c r="D407" s="45" t="s">
        <v>635</v>
      </c>
      <c r="E407" s="45" t="s">
        <v>31</v>
      </c>
      <c r="F407" s="45" t="s">
        <v>636</v>
      </c>
      <c r="G407" s="45" t="s">
        <v>239</v>
      </c>
      <c r="H407" s="45" t="s">
        <v>352</v>
      </c>
      <c r="I407" s="44" t="s">
        <v>637</v>
      </c>
      <c r="J407" s="44">
        <v>1</v>
      </c>
      <c r="K407" s="46" t="s">
        <v>709</v>
      </c>
      <c r="L407" s="46" t="s">
        <v>690</v>
      </c>
      <c r="M407" s="47" t="s">
        <v>1408</v>
      </c>
      <c r="N407" s="47" t="s">
        <v>1708</v>
      </c>
      <c r="O407" s="48"/>
      <c r="P407" s="48"/>
      <c r="Q407" s="45"/>
      <c r="S407" s="1">
        <f t="shared" si="181"/>
        <v>1</v>
      </c>
      <c r="T407" s="1">
        <f t="shared" si="182"/>
        <v>0</v>
      </c>
      <c r="U407" s="1">
        <f t="shared" si="183"/>
        <v>0</v>
      </c>
      <c r="V407" s="1">
        <f t="shared" si="184"/>
        <v>0</v>
      </c>
      <c r="W407" s="1">
        <f t="shared" si="185"/>
        <v>0</v>
      </c>
      <c r="X407" s="1">
        <f t="shared" si="186"/>
        <v>0</v>
      </c>
      <c r="Y407" s="1">
        <f t="shared" si="187"/>
        <v>0</v>
      </c>
      <c r="Z407" s="1">
        <f t="shared" si="188"/>
        <v>0</v>
      </c>
      <c r="AA407" s="1">
        <f t="shared" si="189"/>
        <v>0</v>
      </c>
      <c r="AB407" s="1">
        <f t="shared" si="190"/>
        <v>0</v>
      </c>
      <c r="AD407" s="1">
        <f t="shared" si="191"/>
        <v>0</v>
      </c>
      <c r="AE407" s="1">
        <f t="shared" si="192"/>
        <v>0</v>
      </c>
      <c r="AF407" s="1">
        <f t="shared" si="193"/>
        <v>0</v>
      </c>
      <c r="AG407" s="1">
        <f t="shared" si="194"/>
        <v>0</v>
      </c>
      <c r="AH407" s="1">
        <f t="shared" si="195"/>
        <v>0</v>
      </c>
      <c r="AI407" s="1">
        <f t="shared" si="196"/>
        <v>1</v>
      </c>
    </row>
    <row r="408" spans="1:35" ht="14.25" customHeight="1" x14ac:dyDescent="0.25">
      <c r="A408" s="44">
        <v>0</v>
      </c>
      <c r="B408" s="44">
        <v>2</v>
      </c>
      <c r="C408" s="44">
        <v>6</v>
      </c>
      <c r="D408" s="45" t="s">
        <v>1119</v>
      </c>
      <c r="E408" s="45" t="s">
        <v>31</v>
      </c>
      <c r="F408" s="45" t="s">
        <v>668</v>
      </c>
      <c r="G408" s="45" t="s">
        <v>199</v>
      </c>
      <c r="H408" s="45" t="s">
        <v>352</v>
      </c>
      <c r="I408" s="44" t="s">
        <v>516</v>
      </c>
      <c r="J408" s="44">
        <v>2</v>
      </c>
      <c r="K408" s="46" t="s">
        <v>708</v>
      </c>
      <c r="L408" s="46" t="s">
        <v>690</v>
      </c>
      <c r="M408" s="47" t="s">
        <v>724</v>
      </c>
      <c r="N408" s="47" t="s">
        <v>1708</v>
      </c>
      <c r="O408" s="48"/>
      <c r="P408" s="48"/>
      <c r="Q408" s="45"/>
      <c r="S408" s="1">
        <f t="shared" si="181"/>
        <v>0</v>
      </c>
      <c r="T408" s="1">
        <f t="shared" si="182"/>
        <v>1</v>
      </c>
      <c r="U408" s="1">
        <f t="shared" si="183"/>
        <v>0</v>
      </c>
      <c r="V408" s="1">
        <f t="shared" si="184"/>
        <v>0</v>
      </c>
      <c r="W408" s="1">
        <f t="shared" si="185"/>
        <v>0</v>
      </c>
      <c r="X408" s="1">
        <f t="shared" si="186"/>
        <v>0</v>
      </c>
      <c r="Y408" s="1">
        <f t="shared" si="187"/>
        <v>0</v>
      </c>
      <c r="Z408" s="1">
        <f t="shared" si="188"/>
        <v>0</v>
      </c>
      <c r="AA408" s="1">
        <f t="shared" si="189"/>
        <v>0</v>
      </c>
      <c r="AB408" s="1">
        <f t="shared" si="190"/>
        <v>0</v>
      </c>
      <c r="AD408" s="1">
        <f t="shared" si="191"/>
        <v>0</v>
      </c>
      <c r="AE408" s="1">
        <f t="shared" si="192"/>
        <v>0</v>
      </c>
      <c r="AF408" s="1">
        <f t="shared" si="193"/>
        <v>0</v>
      </c>
      <c r="AG408" s="1">
        <f t="shared" si="194"/>
        <v>0</v>
      </c>
      <c r="AH408" s="1">
        <f t="shared" si="195"/>
        <v>0</v>
      </c>
      <c r="AI408" s="1">
        <f t="shared" si="196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1070</v>
      </c>
      <c r="E409" s="32" t="s">
        <v>158</v>
      </c>
      <c r="F409" s="32" t="s">
        <v>197</v>
      </c>
      <c r="G409" s="32" t="s">
        <v>198</v>
      </c>
      <c r="H409" s="32" t="s">
        <v>352</v>
      </c>
      <c r="I409" s="31" t="s">
        <v>386</v>
      </c>
      <c r="J409" s="31">
        <v>99</v>
      </c>
      <c r="K409" s="33" t="s">
        <v>708</v>
      </c>
      <c r="L409" s="33" t="s">
        <v>712</v>
      </c>
      <c r="M409" s="34" t="s">
        <v>726</v>
      </c>
      <c r="N409" s="34" t="s">
        <v>1719</v>
      </c>
      <c r="O409" s="35">
        <v>1</v>
      </c>
      <c r="P409" s="35"/>
      <c r="Q409" s="32"/>
      <c r="S409" s="1">
        <f t="shared" si="181"/>
        <v>0</v>
      </c>
      <c r="T409" s="1">
        <f t="shared" si="182"/>
        <v>0</v>
      </c>
      <c r="U409" s="1">
        <f t="shared" si="183"/>
        <v>0</v>
      </c>
      <c r="V409" s="1">
        <f t="shared" si="184"/>
        <v>0</v>
      </c>
      <c r="W409" s="1">
        <f t="shared" si="185"/>
        <v>0</v>
      </c>
      <c r="X409" s="1">
        <f t="shared" si="186"/>
        <v>0</v>
      </c>
      <c r="Y409" s="1">
        <f t="shared" si="187"/>
        <v>0</v>
      </c>
      <c r="Z409" s="1">
        <f t="shared" si="188"/>
        <v>0</v>
      </c>
      <c r="AA409" s="1">
        <f t="shared" si="189"/>
        <v>0</v>
      </c>
      <c r="AB409" s="1">
        <f t="shared" si="190"/>
        <v>0</v>
      </c>
      <c r="AD409" s="1">
        <f t="shared" si="191"/>
        <v>0</v>
      </c>
      <c r="AE409" s="1">
        <f t="shared" si="192"/>
        <v>1</v>
      </c>
      <c r="AF409" s="1">
        <f t="shared" si="193"/>
        <v>0</v>
      </c>
      <c r="AG409" s="1">
        <f t="shared" si="194"/>
        <v>1</v>
      </c>
      <c r="AH409" s="1">
        <f t="shared" si="195"/>
        <v>0</v>
      </c>
      <c r="AI409" s="1">
        <f t="shared" si="196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505</v>
      </c>
      <c r="E410" s="32" t="s">
        <v>155</v>
      </c>
      <c r="F410" s="32" t="s">
        <v>506</v>
      </c>
      <c r="G410" s="32" t="s">
        <v>39</v>
      </c>
      <c r="H410" s="32" t="s">
        <v>352</v>
      </c>
      <c r="I410" s="31" t="s">
        <v>930</v>
      </c>
      <c r="J410" s="31">
        <v>7</v>
      </c>
      <c r="K410" s="33" t="s">
        <v>942</v>
      </c>
      <c r="L410" s="33" t="s">
        <v>39</v>
      </c>
      <c r="M410" s="34" t="s">
        <v>39</v>
      </c>
      <c r="N410" s="34" t="s">
        <v>1700</v>
      </c>
      <c r="O410" s="35">
        <v>1</v>
      </c>
      <c r="P410" s="35">
        <v>1</v>
      </c>
      <c r="Q410" s="32"/>
      <c r="S410" s="1">
        <f t="shared" ref="S410:S424" si="197">IF(J410=$S$7,1,0)</f>
        <v>0</v>
      </c>
      <c r="T410" s="1">
        <f t="shared" ref="T410:T424" si="198">IF(J410=$T$7,1,0)</f>
        <v>0</v>
      </c>
      <c r="U410" s="1">
        <f t="shared" ref="U410:U424" si="199">IF(J410=$U$7,1,0)</f>
        <v>0</v>
      </c>
      <c r="V410" s="1">
        <f t="shared" ref="V410:V424" si="200">IF(J410=$V$7,1,0)</f>
        <v>0</v>
      </c>
      <c r="W410" s="1">
        <f t="shared" ref="W410:W424" si="201">IF(J410=$W$7,1,0)</f>
        <v>0</v>
      </c>
      <c r="X410" s="1">
        <f t="shared" ref="X410:X424" si="202">IF(J410=$X$7,1,0)</f>
        <v>0</v>
      </c>
      <c r="Y410" s="1">
        <f t="shared" ref="Y410:Y424" si="203">IF(J410=$Y$7,1,0)</f>
        <v>1</v>
      </c>
      <c r="Z410" s="1">
        <f t="shared" ref="Z410:Z424" si="204">IF(J410=$Z$7,1,0)</f>
        <v>0</v>
      </c>
      <c r="AA410" s="1">
        <f t="shared" ref="AA410:AA424" si="205">IF(J410=$AA$7,1,0)</f>
        <v>0</v>
      </c>
      <c r="AB410" s="1">
        <f t="shared" ref="AB410:AB424" si="206">IF(J410=$AB$7,1,0)</f>
        <v>0</v>
      </c>
      <c r="AD410" s="1">
        <f t="shared" ref="AD410:AD424" si="207">+O410*P410</f>
        <v>1</v>
      </c>
      <c r="AE410" s="1">
        <f t="shared" ref="AE410:AE424" si="208">O410*(1-P410)</f>
        <v>0</v>
      </c>
      <c r="AF410" s="1">
        <f t="shared" si="193"/>
        <v>1</v>
      </c>
      <c r="AG410" s="1">
        <f t="shared" si="194"/>
        <v>0</v>
      </c>
      <c r="AH410" s="1">
        <f t="shared" si="195"/>
        <v>1</v>
      </c>
      <c r="AI410" s="1">
        <f t="shared" si="196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70</v>
      </c>
      <c r="E411" s="32" t="s">
        <v>28</v>
      </c>
      <c r="F411" s="32" t="s">
        <v>669</v>
      </c>
      <c r="G411" s="32" t="s">
        <v>257</v>
      </c>
      <c r="H411" s="32" t="s">
        <v>352</v>
      </c>
      <c r="I411" s="31" t="s">
        <v>415</v>
      </c>
      <c r="J411" s="31">
        <v>8</v>
      </c>
      <c r="K411" s="33" t="s">
        <v>709</v>
      </c>
      <c r="L411" s="33" t="s">
        <v>709</v>
      </c>
      <c r="M411" s="34" t="s">
        <v>727</v>
      </c>
      <c r="N411" s="34" t="s">
        <v>1714</v>
      </c>
      <c r="O411" s="35">
        <v>1</v>
      </c>
      <c r="P411" s="35"/>
      <c r="Q411" s="32"/>
      <c r="S411" s="1">
        <f t="shared" si="197"/>
        <v>0</v>
      </c>
      <c r="T411" s="1">
        <f t="shared" si="198"/>
        <v>0</v>
      </c>
      <c r="U411" s="1">
        <f t="shared" si="199"/>
        <v>0</v>
      </c>
      <c r="V411" s="1">
        <f t="shared" si="200"/>
        <v>0</v>
      </c>
      <c r="W411" s="1">
        <f t="shared" si="201"/>
        <v>0</v>
      </c>
      <c r="X411" s="1">
        <f t="shared" si="202"/>
        <v>0</v>
      </c>
      <c r="Y411" s="1">
        <f t="shared" si="203"/>
        <v>0</v>
      </c>
      <c r="Z411" s="1">
        <f t="shared" si="204"/>
        <v>1</v>
      </c>
      <c r="AA411" s="1">
        <f t="shared" si="205"/>
        <v>0</v>
      </c>
      <c r="AB411" s="1">
        <f t="shared" si="206"/>
        <v>0</v>
      </c>
      <c r="AD411" s="1">
        <f t="shared" si="207"/>
        <v>0</v>
      </c>
      <c r="AE411" s="1">
        <f t="shared" si="208"/>
        <v>1</v>
      </c>
      <c r="AF411" s="1">
        <f t="shared" si="193"/>
        <v>0</v>
      </c>
      <c r="AG411" s="1">
        <f t="shared" si="194"/>
        <v>1</v>
      </c>
      <c r="AH411" s="1">
        <f t="shared" si="195"/>
        <v>0</v>
      </c>
      <c r="AI411" s="1">
        <f t="shared" si="196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650</v>
      </c>
      <c r="E412" s="32" t="s">
        <v>155</v>
      </c>
      <c r="F412" s="32" t="s">
        <v>581</v>
      </c>
      <c r="G412" s="32" t="s">
        <v>248</v>
      </c>
      <c r="H412" s="32" t="s">
        <v>352</v>
      </c>
      <c r="I412" s="31" t="s">
        <v>675</v>
      </c>
      <c r="J412" s="31">
        <v>7</v>
      </c>
      <c r="K412" s="33" t="s">
        <v>942</v>
      </c>
      <c r="L412" s="33" t="s">
        <v>39</v>
      </c>
      <c r="M412" s="34" t="s">
        <v>39</v>
      </c>
      <c r="N412" s="34" t="s">
        <v>1700</v>
      </c>
      <c r="O412" s="35">
        <v>1</v>
      </c>
      <c r="P412" s="35">
        <v>1</v>
      </c>
      <c r="Q412" s="32"/>
      <c r="S412" s="1">
        <f t="shared" si="197"/>
        <v>0</v>
      </c>
      <c r="T412" s="1">
        <f t="shared" si="198"/>
        <v>0</v>
      </c>
      <c r="U412" s="1">
        <f t="shared" si="199"/>
        <v>0</v>
      </c>
      <c r="V412" s="1">
        <f t="shared" si="200"/>
        <v>0</v>
      </c>
      <c r="W412" s="1">
        <f t="shared" si="201"/>
        <v>0</v>
      </c>
      <c r="X412" s="1">
        <f t="shared" si="202"/>
        <v>0</v>
      </c>
      <c r="Y412" s="1">
        <f t="shared" si="203"/>
        <v>1</v>
      </c>
      <c r="Z412" s="1">
        <f t="shared" si="204"/>
        <v>0</v>
      </c>
      <c r="AA412" s="1">
        <f t="shared" si="205"/>
        <v>0</v>
      </c>
      <c r="AB412" s="1">
        <f t="shared" si="206"/>
        <v>0</v>
      </c>
      <c r="AD412" s="1">
        <f t="shared" si="207"/>
        <v>1</v>
      </c>
      <c r="AE412" s="1">
        <f t="shared" si="208"/>
        <v>0</v>
      </c>
      <c r="AF412" s="1">
        <f t="shared" si="193"/>
        <v>1</v>
      </c>
      <c r="AG412" s="1">
        <f t="shared" si="194"/>
        <v>0</v>
      </c>
      <c r="AH412" s="1">
        <f t="shared" si="195"/>
        <v>1</v>
      </c>
      <c r="AI412" s="1">
        <f t="shared" si="196"/>
        <v>0</v>
      </c>
    </row>
    <row r="413" spans="1:35" ht="14.25" customHeight="1" x14ac:dyDescent="0.25">
      <c r="A413" s="44">
        <v>0</v>
      </c>
      <c r="B413" s="44">
        <v>2</v>
      </c>
      <c r="C413" s="44">
        <v>7</v>
      </c>
      <c r="D413" s="45" t="s">
        <v>1608</v>
      </c>
      <c r="E413" s="45" t="s">
        <v>155</v>
      </c>
      <c r="F413" s="45" t="s">
        <v>1631</v>
      </c>
      <c r="G413" s="45" t="s">
        <v>212</v>
      </c>
      <c r="H413" s="45" t="s">
        <v>352</v>
      </c>
      <c r="I413" s="44" t="s">
        <v>590</v>
      </c>
      <c r="J413" s="44">
        <v>1</v>
      </c>
      <c r="K413" s="46" t="s">
        <v>708</v>
      </c>
      <c r="L413" s="46" t="s">
        <v>718</v>
      </c>
      <c r="M413" s="47" t="s">
        <v>1409</v>
      </c>
      <c r="N413" s="47" t="s">
        <v>1708</v>
      </c>
      <c r="O413" s="48"/>
      <c r="P413" s="48"/>
      <c r="Q413" s="45"/>
      <c r="S413" s="1">
        <f t="shared" si="197"/>
        <v>1</v>
      </c>
      <c r="T413" s="1">
        <f t="shared" si="198"/>
        <v>0</v>
      </c>
      <c r="U413" s="1">
        <f t="shared" si="199"/>
        <v>0</v>
      </c>
      <c r="V413" s="1">
        <f t="shared" si="200"/>
        <v>0</v>
      </c>
      <c r="W413" s="1">
        <f t="shared" si="201"/>
        <v>0</v>
      </c>
      <c r="X413" s="1">
        <f t="shared" si="202"/>
        <v>0</v>
      </c>
      <c r="Y413" s="1">
        <f t="shared" si="203"/>
        <v>0</v>
      </c>
      <c r="Z413" s="1">
        <f t="shared" si="204"/>
        <v>0</v>
      </c>
      <c r="AA413" s="1">
        <f t="shared" si="205"/>
        <v>0</v>
      </c>
      <c r="AB413" s="1">
        <f t="shared" si="206"/>
        <v>0</v>
      </c>
      <c r="AD413" s="1">
        <f t="shared" si="207"/>
        <v>0</v>
      </c>
      <c r="AE413" s="1">
        <f t="shared" si="208"/>
        <v>0</v>
      </c>
      <c r="AF413" s="1">
        <f t="shared" si="193"/>
        <v>0</v>
      </c>
      <c r="AG413" s="1">
        <f t="shared" si="194"/>
        <v>0</v>
      </c>
      <c r="AH413" s="1">
        <f t="shared" si="195"/>
        <v>0</v>
      </c>
      <c r="AI413" s="1">
        <f t="shared" si="196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1057</v>
      </c>
      <c r="E414" s="32" t="s">
        <v>1033</v>
      </c>
      <c r="F414" s="32" t="s">
        <v>1058</v>
      </c>
      <c r="G414" s="32" t="s">
        <v>212</v>
      </c>
      <c r="H414" s="32" t="s">
        <v>352</v>
      </c>
      <c r="I414" s="31" t="s">
        <v>1059</v>
      </c>
      <c r="J414" s="31">
        <v>1</v>
      </c>
      <c r="K414" s="33" t="s">
        <v>942</v>
      </c>
      <c r="L414" s="33" t="s">
        <v>718</v>
      </c>
      <c r="M414" s="34" t="s">
        <v>1410</v>
      </c>
      <c r="N414" s="34" t="s">
        <v>1714</v>
      </c>
      <c r="O414" s="35">
        <v>1</v>
      </c>
      <c r="P414" s="35"/>
      <c r="Q414" s="32" t="s">
        <v>1888</v>
      </c>
      <c r="S414" s="1">
        <f t="shared" si="197"/>
        <v>1</v>
      </c>
      <c r="T414" s="1">
        <f t="shared" si="198"/>
        <v>0</v>
      </c>
      <c r="U414" s="1">
        <f t="shared" si="199"/>
        <v>0</v>
      </c>
      <c r="V414" s="1">
        <f t="shared" si="200"/>
        <v>0</v>
      </c>
      <c r="W414" s="1">
        <f t="shared" si="201"/>
        <v>0</v>
      </c>
      <c r="X414" s="1">
        <f t="shared" si="202"/>
        <v>0</v>
      </c>
      <c r="Y414" s="1">
        <f t="shared" si="203"/>
        <v>0</v>
      </c>
      <c r="Z414" s="1">
        <f t="shared" si="204"/>
        <v>0</v>
      </c>
      <c r="AA414" s="1">
        <f t="shared" si="205"/>
        <v>0</v>
      </c>
      <c r="AB414" s="1">
        <f t="shared" si="206"/>
        <v>0</v>
      </c>
      <c r="AD414" s="1">
        <f t="shared" si="207"/>
        <v>0</v>
      </c>
      <c r="AE414" s="1">
        <f t="shared" si="208"/>
        <v>1</v>
      </c>
      <c r="AF414" s="1">
        <f t="shared" si="193"/>
        <v>0</v>
      </c>
      <c r="AG414" s="1">
        <f t="shared" si="194"/>
        <v>1</v>
      </c>
      <c r="AH414" s="1">
        <f t="shared" si="195"/>
        <v>0</v>
      </c>
      <c r="AI414" s="1">
        <f t="shared" si="196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1004</v>
      </c>
      <c r="E415" s="32" t="s">
        <v>155</v>
      </c>
      <c r="F415" s="32" t="s">
        <v>1075</v>
      </c>
      <c r="G415" s="32" t="s">
        <v>1085</v>
      </c>
      <c r="H415" s="32" t="s">
        <v>352</v>
      </c>
      <c r="I415" s="31" t="s">
        <v>1005</v>
      </c>
      <c r="J415" s="31">
        <v>99</v>
      </c>
      <c r="K415" s="33" t="s">
        <v>709</v>
      </c>
      <c r="L415" s="33" t="s">
        <v>718</v>
      </c>
      <c r="M415" s="34" t="s">
        <v>1410</v>
      </c>
      <c r="N415" s="34" t="s">
        <v>1718</v>
      </c>
      <c r="O415" s="35">
        <v>1</v>
      </c>
      <c r="P415" s="35"/>
      <c r="Q415" s="32"/>
      <c r="S415" s="1">
        <f t="shared" si="197"/>
        <v>0</v>
      </c>
      <c r="T415" s="1">
        <f t="shared" si="198"/>
        <v>0</v>
      </c>
      <c r="U415" s="1">
        <f t="shared" si="199"/>
        <v>0</v>
      </c>
      <c r="V415" s="1">
        <f t="shared" si="200"/>
        <v>0</v>
      </c>
      <c r="W415" s="1">
        <f t="shared" si="201"/>
        <v>0</v>
      </c>
      <c r="X415" s="1">
        <f t="shared" si="202"/>
        <v>0</v>
      </c>
      <c r="Y415" s="1">
        <f t="shared" si="203"/>
        <v>0</v>
      </c>
      <c r="Z415" s="1">
        <f t="shared" si="204"/>
        <v>0</v>
      </c>
      <c r="AA415" s="1">
        <f t="shared" si="205"/>
        <v>0</v>
      </c>
      <c r="AB415" s="1">
        <f t="shared" si="206"/>
        <v>0</v>
      </c>
      <c r="AD415" s="1">
        <f t="shared" si="207"/>
        <v>0</v>
      </c>
      <c r="AE415" s="1">
        <f t="shared" si="208"/>
        <v>1</v>
      </c>
      <c r="AF415" s="1">
        <f t="shared" si="193"/>
        <v>0</v>
      </c>
      <c r="AG415" s="1">
        <f t="shared" si="194"/>
        <v>1</v>
      </c>
      <c r="AH415" s="1">
        <f t="shared" si="195"/>
        <v>0</v>
      </c>
      <c r="AI415" s="1">
        <f t="shared" si="196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1186</v>
      </c>
      <c r="E416" s="32" t="s">
        <v>1312</v>
      </c>
      <c r="F416" s="32" t="s">
        <v>1187</v>
      </c>
      <c r="G416" s="32" t="s">
        <v>39</v>
      </c>
      <c r="H416" s="32" t="s">
        <v>352</v>
      </c>
      <c r="I416" s="31" t="s">
        <v>1658</v>
      </c>
      <c r="J416" s="31">
        <v>99</v>
      </c>
      <c r="K416" s="33" t="s">
        <v>942</v>
      </c>
      <c r="L416" s="33" t="s">
        <v>725</v>
      </c>
      <c r="M416" s="34" t="s">
        <v>1411</v>
      </c>
      <c r="N416" s="34" t="s">
        <v>1718</v>
      </c>
      <c r="O416" s="35">
        <v>1</v>
      </c>
      <c r="P416" s="35"/>
      <c r="Q416" s="32"/>
      <c r="S416" s="1">
        <f t="shared" si="197"/>
        <v>0</v>
      </c>
      <c r="T416" s="1">
        <f t="shared" si="198"/>
        <v>0</v>
      </c>
      <c r="U416" s="1">
        <f t="shared" si="199"/>
        <v>0</v>
      </c>
      <c r="V416" s="1">
        <f t="shared" si="200"/>
        <v>0</v>
      </c>
      <c r="W416" s="1">
        <f t="shared" si="201"/>
        <v>0</v>
      </c>
      <c r="X416" s="1">
        <f t="shared" si="202"/>
        <v>0</v>
      </c>
      <c r="Y416" s="1">
        <f t="shared" si="203"/>
        <v>0</v>
      </c>
      <c r="Z416" s="1">
        <f t="shared" si="204"/>
        <v>0</v>
      </c>
      <c r="AA416" s="1">
        <f t="shared" si="205"/>
        <v>0</v>
      </c>
      <c r="AB416" s="1">
        <f t="shared" si="206"/>
        <v>0</v>
      </c>
      <c r="AD416" s="1">
        <f t="shared" si="207"/>
        <v>0</v>
      </c>
      <c r="AE416" s="1">
        <f t="shared" si="208"/>
        <v>1</v>
      </c>
      <c r="AF416" s="1">
        <f t="shared" si="193"/>
        <v>0</v>
      </c>
      <c r="AG416" s="1">
        <f t="shared" si="194"/>
        <v>1</v>
      </c>
      <c r="AH416" s="1">
        <f t="shared" si="195"/>
        <v>0</v>
      </c>
      <c r="AI416" s="1">
        <f t="shared" si="196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640</v>
      </c>
      <c r="G417" s="32" t="s">
        <v>531</v>
      </c>
      <c r="H417" s="32" t="s">
        <v>352</v>
      </c>
      <c r="I417" s="31" t="s">
        <v>392</v>
      </c>
      <c r="J417" s="31">
        <v>6</v>
      </c>
      <c r="K417" s="33" t="s">
        <v>708</v>
      </c>
      <c r="L417" s="33" t="s">
        <v>709</v>
      </c>
      <c r="M417" s="34" t="s">
        <v>727</v>
      </c>
      <c r="N417" s="34" t="s">
        <v>1731</v>
      </c>
      <c r="O417" s="35">
        <v>1</v>
      </c>
      <c r="P417" s="35"/>
      <c r="Q417" s="32"/>
      <c r="S417" s="1">
        <f t="shared" si="197"/>
        <v>0</v>
      </c>
      <c r="T417" s="1">
        <f t="shared" si="198"/>
        <v>0</v>
      </c>
      <c r="U417" s="1">
        <f t="shared" si="199"/>
        <v>0</v>
      </c>
      <c r="V417" s="1">
        <f t="shared" si="200"/>
        <v>0</v>
      </c>
      <c r="W417" s="1">
        <f t="shared" si="201"/>
        <v>0</v>
      </c>
      <c r="X417" s="1">
        <f t="shared" si="202"/>
        <v>1</v>
      </c>
      <c r="Y417" s="1">
        <f t="shared" si="203"/>
        <v>0</v>
      </c>
      <c r="Z417" s="1">
        <f t="shared" si="204"/>
        <v>0</v>
      </c>
      <c r="AA417" s="1">
        <f t="shared" si="205"/>
        <v>0</v>
      </c>
      <c r="AB417" s="1">
        <f t="shared" si="206"/>
        <v>0</v>
      </c>
      <c r="AD417" s="1">
        <f t="shared" si="207"/>
        <v>0</v>
      </c>
      <c r="AE417" s="1">
        <f t="shared" si="208"/>
        <v>1</v>
      </c>
      <c r="AF417" s="1">
        <f t="shared" si="193"/>
        <v>0</v>
      </c>
      <c r="AG417" s="1">
        <f t="shared" si="194"/>
        <v>1</v>
      </c>
      <c r="AH417" s="1">
        <f t="shared" si="195"/>
        <v>0</v>
      </c>
      <c r="AI417" s="1">
        <f t="shared" si="196"/>
        <v>1</v>
      </c>
    </row>
    <row r="418" spans="1:35" ht="14.25" customHeight="1" x14ac:dyDescent="0.25">
      <c r="A418" s="31">
        <v>1</v>
      </c>
      <c r="B418" s="31">
        <v>2</v>
      </c>
      <c r="C418" s="31">
        <v>7</v>
      </c>
      <c r="D418" s="32" t="s">
        <v>55</v>
      </c>
      <c r="E418" s="32" t="s">
        <v>28</v>
      </c>
      <c r="F418" s="32" t="s">
        <v>215</v>
      </c>
      <c r="G418" s="32" t="s">
        <v>39</v>
      </c>
      <c r="H418" s="32" t="s">
        <v>352</v>
      </c>
      <c r="I418" s="31" t="s">
        <v>30</v>
      </c>
      <c r="J418" s="31">
        <v>99</v>
      </c>
      <c r="K418" s="33" t="s">
        <v>708</v>
      </c>
      <c r="L418" s="33" t="s">
        <v>709</v>
      </c>
      <c r="M418" s="34" t="s">
        <v>727</v>
      </c>
      <c r="N418" s="34" t="s">
        <v>1731</v>
      </c>
      <c r="O418" s="35">
        <v>1</v>
      </c>
      <c r="P418" s="35"/>
      <c r="Q418" s="32"/>
      <c r="S418" s="1">
        <f t="shared" si="197"/>
        <v>0</v>
      </c>
      <c r="T418" s="1">
        <f t="shared" si="198"/>
        <v>0</v>
      </c>
      <c r="U418" s="1">
        <f t="shared" si="199"/>
        <v>0</v>
      </c>
      <c r="V418" s="1">
        <f t="shared" si="200"/>
        <v>0</v>
      </c>
      <c r="W418" s="1">
        <f t="shared" si="201"/>
        <v>0</v>
      </c>
      <c r="X418" s="1">
        <f t="shared" si="202"/>
        <v>0</v>
      </c>
      <c r="Y418" s="1">
        <f t="shared" si="203"/>
        <v>0</v>
      </c>
      <c r="Z418" s="1">
        <f t="shared" si="204"/>
        <v>0</v>
      </c>
      <c r="AA418" s="1">
        <f t="shared" si="205"/>
        <v>0</v>
      </c>
      <c r="AB418" s="1">
        <f t="shared" si="206"/>
        <v>0</v>
      </c>
      <c r="AD418" s="1">
        <f t="shared" si="207"/>
        <v>0</v>
      </c>
      <c r="AE418" s="1">
        <f t="shared" si="208"/>
        <v>1</v>
      </c>
      <c r="AF418" s="1">
        <f t="shared" si="193"/>
        <v>0</v>
      </c>
      <c r="AG418" s="1">
        <f t="shared" si="194"/>
        <v>0</v>
      </c>
      <c r="AH418" s="1">
        <f t="shared" si="195"/>
        <v>0</v>
      </c>
      <c r="AI418" s="1">
        <f t="shared" si="196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55</v>
      </c>
      <c r="E419" s="32" t="s">
        <v>28</v>
      </c>
      <c r="F419" s="32" t="s">
        <v>214</v>
      </c>
      <c r="G419" s="32" t="s">
        <v>39</v>
      </c>
      <c r="H419" s="32" t="s">
        <v>352</v>
      </c>
      <c r="I419" s="31" t="s">
        <v>392</v>
      </c>
      <c r="J419" s="31">
        <v>99</v>
      </c>
      <c r="K419" s="33" t="s">
        <v>708</v>
      </c>
      <c r="L419" s="33" t="s">
        <v>709</v>
      </c>
      <c r="M419" s="34" t="s">
        <v>727</v>
      </c>
      <c r="N419" s="34" t="s">
        <v>1731</v>
      </c>
      <c r="O419" s="35">
        <v>1</v>
      </c>
      <c r="P419" s="35"/>
      <c r="Q419" s="32"/>
      <c r="S419" s="1">
        <f t="shared" si="197"/>
        <v>0</v>
      </c>
      <c r="T419" s="1">
        <f t="shared" si="198"/>
        <v>0</v>
      </c>
      <c r="U419" s="1">
        <f t="shared" si="199"/>
        <v>0</v>
      </c>
      <c r="V419" s="1">
        <f t="shared" si="200"/>
        <v>0</v>
      </c>
      <c r="W419" s="1">
        <f t="shared" si="201"/>
        <v>0</v>
      </c>
      <c r="X419" s="1">
        <f t="shared" si="202"/>
        <v>0</v>
      </c>
      <c r="Y419" s="1">
        <f t="shared" si="203"/>
        <v>0</v>
      </c>
      <c r="Z419" s="1">
        <f t="shared" si="204"/>
        <v>0</v>
      </c>
      <c r="AA419" s="1">
        <f t="shared" si="205"/>
        <v>0</v>
      </c>
      <c r="AB419" s="1">
        <f t="shared" si="206"/>
        <v>0</v>
      </c>
      <c r="AD419" s="1">
        <f t="shared" si="207"/>
        <v>0</v>
      </c>
      <c r="AE419" s="1">
        <f t="shared" si="208"/>
        <v>1</v>
      </c>
      <c r="AF419" s="1">
        <f t="shared" si="193"/>
        <v>0</v>
      </c>
      <c r="AG419" s="1">
        <f t="shared" si="194"/>
        <v>0</v>
      </c>
      <c r="AH419" s="1">
        <f t="shared" si="195"/>
        <v>0</v>
      </c>
      <c r="AI419" s="1">
        <f t="shared" si="196"/>
        <v>0</v>
      </c>
    </row>
    <row r="420" spans="1:35" ht="14.25" customHeight="1" x14ac:dyDescent="0.25">
      <c r="A420" s="31">
        <v>1</v>
      </c>
      <c r="B420" s="31">
        <v>2</v>
      </c>
      <c r="C420" s="31">
        <v>7</v>
      </c>
      <c r="D420" s="32" t="s">
        <v>55</v>
      </c>
      <c r="E420" s="32" t="s">
        <v>28</v>
      </c>
      <c r="F420" s="32" t="s">
        <v>216</v>
      </c>
      <c r="G420" s="32" t="s">
        <v>217</v>
      </c>
      <c r="H420" s="32" t="s">
        <v>352</v>
      </c>
      <c r="I420" s="31" t="s">
        <v>393</v>
      </c>
      <c r="J420" s="31">
        <v>99</v>
      </c>
      <c r="K420" s="33" t="s">
        <v>708</v>
      </c>
      <c r="L420" s="33" t="s">
        <v>709</v>
      </c>
      <c r="M420" s="34" t="s">
        <v>727</v>
      </c>
      <c r="N420" s="34" t="s">
        <v>1731</v>
      </c>
      <c r="O420" s="35">
        <v>1</v>
      </c>
      <c r="P420" s="35"/>
      <c r="Q420" s="32"/>
      <c r="S420" s="1">
        <f t="shared" si="197"/>
        <v>0</v>
      </c>
      <c r="T420" s="1">
        <f t="shared" si="198"/>
        <v>0</v>
      </c>
      <c r="U420" s="1">
        <f t="shared" si="199"/>
        <v>0</v>
      </c>
      <c r="V420" s="1">
        <f t="shared" si="200"/>
        <v>0</v>
      </c>
      <c r="W420" s="1">
        <f t="shared" si="201"/>
        <v>0</v>
      </c>
      <c r="X420" s="1">
        <f t="shared" si="202"/>
        <v>0</v>
      </c>
      <c r="Y420" s="1">
        <f t="shared" si="203"/>
        <v>0</v>
      </c>
      <c r="Z420" s="1">
        <f t="shared" si="204"/>
        <v>0</v>
      </c>
      <c r="AA420" s="1">
        <f t="shared" si="205"/>
        <v>0</v>
      </c>
      <c r="AB420" s="1">
        <f t="shared" si="206"/>
        <v>0</v>
      </c>
      <c r="AD420" s="1">
        <f t="shared" si="207"/>
        <v>0</v>
      </c>
      <c r="AE420" s="1">
        <f t="shared" si="208"/>
        <v>1</v>
      </c>
      <c r="AF420" s="1">
        <f t="shared" si="193"/>
        <v>0</v>
      </c>
      <c r="AG420" s="1">
        <f t="shared" si="194"/>
        <v>0</v>
      </c>
      <c r="AH420" s="1">
        <f t="shared" si="195"/>
        <v>0</v>
      </c>
      <c r="AI420" s="1">
        <f t="shared" si="196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6" t="s">
        <v>2018</v>
      </c>
      <c r="E421" s="36" t="s">
        <v>155</v>
      </c>
      <c r="F421" s="36" t="s">
        <v>2019</v>
      </c>
      <c r="G421" s="36" t="s">
        <v>219</v>
      </c>
      <c r="H421" s="36" t="s">
        <v>352</v>
      </c>
      <c r="I421" s="37" t="s">
        <v>2020</v>
      </c>
      <c r="J421" s="31">
        <v>99</v>
      </c>
      <c r="K421" s="33" t="s">
        <v>699</v>
      </c>
      <c r="L421" s="33">
        <v>10</v>
      </c>
      <c r="M421" s="34" t="s">
        <v>2021</v>
      </c>
      <c r="N421" s="34" t="s">
        <v>1718</v>
      </c>
      <c r="O421" s="35">
        <v>1</v>
      </c>
      <c r="P421" s="35"/>
      <c r="Q421" s="32"/>
      <c r="S421" s="1">
        <f t="shared" si="197"/>
        <v>0</v>
      </c>
      <c r="T421" s="1">
        <f t="shared" si="198"/>
        <v>0</v>
      </c>
      <c r="U421" s="1">
        <f t="shared" si="199"/>
        <v>0</v>
      </c>
      <c r="V421" s="1">
        <f t="shared" si="200"/>
        <v>0</v>
      </c>
      <c r="W421" s="1">
        <f t="shared" si="201"/>
        <v>0</v>
      </c>
      <c r="X421" s="1">
        <f t="shared" si="202"/>
        <v>0</v>
      </c>
      <c r="Y421" s="1">
        <f t="shared" si="203"/>
        <v>0</v>
      </c>
      <c r="Z421" s="1">
        <f t="shared" si="204"/>
        <v>0</v>
      </c>
      <c r="AA421" s="1">
        <f t="shared" si="205"/>
        <v>0</v>
      </c>
      <c r="AB421" s="1">
        <f t="shared" si="206"/>
        <v>0</v>
      </c>
      <c r="AD421" s="1">
        <f t="shared" si="207"/>
        <v>0</v>
      </c>
      <c r="AE421" s="1">
        <f t="shared" si="208"/>
        <v>1</v>
      </c>
      <c r="AF421" s="1">
        <f t="shared" si="193"/>
        <v>0</v>
      </c>
      <c r="AG421" s="1">
        <f t="shared" si="194"/>
        <v>1</v>
      </c>
      <c r="AH421" s="1">
        <f t="shared" si="195"/>
        <v>0</v>
      </c>
      <c r="AI421" s="1">
        <f t="shared" si="196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6" t="s">
        <v>68</v>
      </c>
      <c r="E422" s="36" t="s">
        <v>28</v>
      </c>
      <c r="F422" s="36" t="s">
        <v>252</v>
      </c>
      <c r="G422" s="36" t="s">
        <v>253</v>
      </c>
      <c r="H422" s="36" t="s">
        <v>352</v>
      </c>
      <c r="I422" s="37" t="s">
        <v>412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1795</v>
      </c>
      <c r="O422" s="35">
        <v>1</v>
      </c>
      <c r="P422" s="35"/>
      <c r="Q422" s="32"/>
      <c r="S422" s="1">
        <f t="shared" si="197"/>
        <v>0</v>
      </c>
      <c r="T422" s="1">
        <f t="shared" si="198"/>
        <v>0</v>
      </c>
      <c r="U422" s="1">
        <f t="shared" si="199"/>
        <v>0</v>
      </c>
      <c r="V422" s="1">
        <f t="shared" si="200"/>
        <v>0</v>
      </c>
      <c r="W422" s="1">
        <f t="shared" si="201"/>
        <v>0</v>
      </c>
      <c r="X422" s="1">
        <f t="shared" si="202"/>
        <v>0</v>
      </c>
      <c r="Y422" s="1">
        <f t="shared" si="203"/>
        <v>0</v>
      </c>
      <c r="Z422" s="1">
        <f t="shared" si="204"/>
        <v>0</v>
      </c>
      <c r="AA422" s="1">
        <f t="shared" si="205"/>
        <v>0</v>
      </c>
      <c r="AB422" s="1">
        <f t="shared" si="206"/>
        <v>0</v>
      </c>
      <c r="AD422" s="1">
        <f t="shared" si="207"/>
        <v>0</v>
      </c>
      <c r="AE422" s="1">
        <f t="shared" si="208"/>
        <v>1</v>
      </c>
      <c r="AF422" s="1">
        <f t="shared" si="193"/>
        <v>0</v>
      </c>
      <c r="AG422" s="1">
        <f t="shared" si="194"/>
        <v>1</v>
      </c>
      <c r="AH422" s="1">
        <f t="shared" si="195"/>
        <v>0</v>
      </c>
      <c r="AI422" s="1">
        <f t="shared" si="196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1982</v>
      </c>
      <c r="E423" s="32" t="s">
        <v>28</v>
      </c>
      <c r="F423" s="32" t="s">
        <v>1984</v>
      </c>
      <c r="G423" s="32" t="s">
        <v>1091</v>
      </c>
      <c r="H423" s="32" t="s">
        <v>352</v>
      </c>
      <c r="I423" s="31" t="s">
        <v>1985</v>
      </c>
      <c r="J423" s="31">
        <v>1</v>
      </c>
      <c r="K423" s="33" t="s">
        <v>699</v>
      </c>
      <c r="L423" s="33"/>
      <c r="M423" s="34"/>
      <c r="N423" s="34" t="s">
        <v>1700</v>
      </c>
      <c r="O423" s="35">
        <v>1</v>
      </c>
      <c r="P423" s="35">
        <v>1</v>
      </c>
      <c r="Q423" s="32" t="s">
        <v>1987</v>
      </c>
      <c r="S423" s="1">
        <f t="shared" si="197"/>
        <v>1</v>
      </c>
      <c r="T423" s="1">
        <f t="shared" si="198"/>
        <v>0</v>
      </c>
      <c r="U423" s="1">
        <f t="shared" si="199"/>
        <v>0</v>
      </c>
      <c r="V423" s="1">
        <f t="shared" si="200"/>
        <v>0</v>
      </c>
      <c r="W423" s="1">
        <f t="shared" si="201"/>
        <v>0</v>
      </c>
      <c r="X423" s="1">
        <f t="shared" si="202"/>
        <v>0</v>
      </c>
      <c r="Y423" s="1">
        <f t="shared" si="203"/>
        <v>0</v>
      </c>
      <c r="Z423" s="1">
        <f t="shared" si="204"/>
        <v>0</v>
      </c>
      <c r="AA423" s="1">
        <f t="shared" si="205"/>
        <v>0</v>
      </c>
      <c r="AB423" s="1">
        <f t="shared" si="206"/>
        <v>0</v>
      </c>
      <c r="AD423" s="1">
        <f t="shared" si="207"/>
        <v>1</v>
      </c>
      <c r="AE423" s="1">
        <f t="shared" si="208"/>
        <v>0</v>
      </c>
      <c r="AF423" s="1">
        <f t="shared" si="193"/>
        <v>1</v>
      </c>
      <c r="AG423" s="1">
        <f t="shared" si="194"/>
        <v>0</v>
      </c>
      <c r="AH423" s="1">
        <f t="shared" si="195"/>
        <v>1</v>
      </c>
      <c r="AI423" s="1">
        <f t="shared" si="196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1982</v>
      </c>
      <c r="E424" s="32" t="s">
        <v>28</v>
      </c>
      <c r="F424" s="32" t="s">
        <v>1983</v>
      </c>
      <c r="G424" s="36" t="s">
        <v>1989</v>
      </c>
      <c r="H424" s="32" t="s">
        <v>352</v>
      </c>
      <c r="I424" s="31" t="s">
        <v>1986</v>
      </c>
      <c r="J424" s="31">
        <v>8</v>
      </c>
      <c r="K424" s="33" t="s">
        <v>699</v>
      </c>
      <c r="L424" s="33"/>
      <c r="M424" s="34"/>
      <c r="N424" s="34" t="s">
        <v>1700</v>
      </c>
      <c r="O424" s="35">
        <v>1</v>
      </c>
      <c r="P424" s="35">
        <v>1</v>
      </c>
      <c r="Q424" s="32" t="s">
        <v>1988</v>
      </c>
      <c r="S424" s="1">
        <f t="shared" si="197"/>
        <v>0</v>
      </c>
      <c r="T424" s="1">
        <f t="shared" si="198"/>
        <v>0</v>
      </c>
      <c r="U424" s="1">
        <f t="shared" si="199"/>
        <v>0</v>
      </c>
      <c r="V424" s="1">
        <f t="shared" si="200"/>
        <v>0</v>
      </c>
      <c r="W424" s="1">
        <f t="shared" si="201"/>
        <v>0</v>
      </c>
      <c r="X424" s="1">
        <f t="shared" si="202"/>
        <v>0</v>
      </c>
      <c r="Y424" s="1">
        <f t="shared" si="203"/>
        <v>0</v>
      </c>
      <c r="Z424" s="1">
        <f t="shared" si="204"/>
        <v>1</v>
      </c>
      <c r="AA424" s="1">
        <f t="shared" si="205"/>
        <v>0</v>
      </c>
      <c r="AB424" s="1">
        <f t="shared" si="206"/>
        <v>0</v>
      </c>
      <c r="AD424" s="1">
        <f t="shared" si="207"/>
        <v>1</v>
      </c>
      <c r="AE424" s="1">
        <f t="shared" si="208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0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69</v>
      </c>
      <c r="E425" s="32" t="s">
        <v>28</v>
      </c>
      <c r="F425" s="32" t="s">
        <v>254</v>
      </c>
      <c r="G425" s="36" t="s">
        <v>206</v>
      </c>
      <c r="H425" s="32" t="s">
        <v>352</v>
      </c>
      <c r="I425" s="31" t="s">
        <v>413</v>
      </c>
      <c r="J425" s="31">
        <v>99</v>
      </c>
      <c r="K425" s="33" t="s">
        <v>942</v>
      </c>
      <c r="L425" s="33" t="s">
        <v>709</v>
      </c>
      <c r="M425" s="34" t="s">
        <v>727</v>
      </c>
      <c r="N425" s="34" t="s">
        <v>1706</v>
      </c>
      <c r="O425" s="35">
        <v>1</v>
      </c>
      <c r="P425" s="35">
        <v>1</v>
      </c>
      <c r="Q425" s="32"/>
      <c r="S425" s="1">
        <f t="shared" ref="S425:S474" si="209">IF(J425=$S$7,1,0)</f>
        <v>0</v>
      </c>
      <c r="T425" s="1">
        <f t="shared" ref="T425:T474" si="210">IF(J425=$T$7,1,0)</f>
        <v>0</v>
      </c>
      <c r="U425" s="1">
        <f t="shared" ref="U425:U474" si="211">IF(J425=$U$7,1,0)</f>
        <v>0</v>
      </c>
      <c r="V425" s="1">
        <f t="shared" ref="V425:V474" si="212">IF(J425=$V$7,1,0)</f>
        <v>0</v>
      </c>
      <c r="W425" s="1">
        <f t="shared" ref="W425:W474" si="213">IF(J425=$W$7,1,0)</f>
        <v>0</v>
      </c>
      <c r="X425" s="1">
        <f t="shared" ref="X425:X474" si="214">IF(J425=$X$7,1,0)</f>
        <v>0</v>
      </c>
      <c r="Y425" s="1">
        <f t="shared" ref="Y425:Y474" si="215">IF(J425=$Y$7,1,0)</f>
        <v>0</v>
      </c>
      <c r="Z425" s="1">
        <f t="shared" ref="Z425:Z474" si="216">IF(J425=$Z$7,1,0)</f>
        <v>0</v>
      </c>
      <c r="AA425" s="1">
        <f t="shared" ref="AA425:AA474" si="217">IF(J425=$AA$7,1,0)</f>
        <v>0</v>
      </c>
      <c r="AB425" s="1">
        <f t="shared" ref="AB425:AB474" si="218">IF(J425=$AB$7,1,0)</f>
        <v>0</v>
      </c>
      <c r="AD425" s="1">
        <f t="shared" ref="AD425:AD474" si="219">+O425*P425</f>
        <v>1</v>
      </c>
      <c r="AE425" s="1">
        <f t="shared" ref="AE425:AE474" si="220">O425*(1-P425)</f>
        <v>0</v>
      </c>
      <c r="AF425" s="1">
        <f t="shared" ref="AF425:AF470" si="221">+O425*P425*(1-A425)</f>
        <v>1</v>
      </c>
      <c r="AG425" s="1">
        <f t="shared" ref="AG425:AG470" si="222">O425*(1-P425)*(1-A425)</f>
        <v>0</v>
      </c>
      <c r="AH425" s="1">
        <f t="shared" ref="AH425:AH470" si="223">+P425*(1-A425)</f>
        <v>1</v>
      </c>
      <c r="AI425" s="1">
        <f t="shared" ref="AI425:AI470" si="224">+(1-A425)*(1-P425)</f>
        <v>0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69</v>
      </c>
      <c r="E426" s="32" t="s">
        <v>28</v>
      </c>
      <c r="F426" s="32" t="s">
        <v>1844</v>
      </c>
      <c r="G426" s="36" t="s">
        <v>255</v>
      </c>
      <c r="H426" s="32" t="s">
        <v>352</v>
      </c>
      <c r="I426" s="31" t="s">
        <v>414</v>
      </c>
      <c r="J426" s="31">
        <v>99</v>
      </c>
      <c r="K426" s="33" t="s">
        <v>942</v>
      </c>
      <c r="L426" s="33" t="s">
        <v>709</v>
      </c>
      <c r="M426" s="34" t="s">
        <v>727</v>
      </c>
      <c r="N426" s="34" t="s">
        <v>1706</v>
      </c>
      <c r="O426" s="35">
        <v>1</v>
      </c>
      <c r="P426" s="35">
        <v>1</v>
      </c>
      <c r="Q426" s="32"/>
      <c r="S426" s="1">
        <f t="shared" si="209"/>
        <v>0</v>
      </c>
      <c r="T426" s="1">
        <f t="shared" si="210"/>
        <v>0</v>
      </c>
      <c r="U426" s="1">
        <f t="shared" si="211"/>
        <v>0</v>
      </c>
      <c r="V426" s="1">
        <f t="shared" si="212"/>
        <v>0</v>
      </c>
      <c r="W426" s="1">
        <f t="shared" si="213"/>
        <v>0</v>
      </c>
      <c r="X426" s="1">
        <f t="shared" si="214"/>
        <v>0</v>
      </c>
      <c r="Y426" s="1">
        <f t="shared" si="215"/>
        <v>0</v>
      </c>
      <c r="Z426" s="1">
        <f t="shared" si="216"/>
        <v>0</v>
      </c>
      <c r="AA426" s="1">
        <f t="shared" si="217"/>
        <v>0</v>
      </c>
      <c r="AB426" s="1">
        <f t="shared" si="218"/>
        <v>0</v>
      </c>
      <c r="AD426" s="1">
        <f t="shared" si="219"/>
        <v>1</v>
      </c>
      <c r="AE426" s="1">
        <f t="shared" si="220"/>
        <v>0</v>
      </c>
      <c r="AF426" s="1">
        <f t="shared" si="221"/>
        <v>0</v>
      </c>
      <c r="AG426" s="1">
        <f t="shared" si="222"/>
        <v>0</v>
      </c>
      <c r="AH426" s="1">
        <f t="shared" si="223"/>
        <v>0</v>
      </c>
      <c r="AI426" s="1">
        <f t="shared" si="224"/>
        <v>0</v>
      </c>
    </row>
    <row r="427" spans="1:35" ht="14.25" customHeight="1" x14ac:dyDescent="0.25">
      <c r="A427" s="31">
        <v>1</v>
      </c>
      <c r="B427" s="31">
        <v>2</v>
      </c>
      <c r="C427" s="31">
        <v>7</v>
      </c>
      <c r="D427" s="32" t="s">
        <v>69</v>
      </c>
      <c r="E427" s="32" t="s">
        <v>28</v>
      </c>
      <c r="F427" s="32" t="s">
        <v>566</v>
      </c>
      <c r="G427" s="36" t="s">
        <v>567</v>
      </c>
      <c r="H427" s="32" t="s">
        <v>352</v>
      </c>
      <c r="I427" s="31" t="s">
        <v>576</v>
      </c>
      <c r="J427" s="31">
        <v>99</v>
      </c>
      <c r="K427" s="33" t="s">
        <v>942</v>
      </c>
      <c r="L427" s="33" t="s">
        <v>709</v>
      </c>
      <c r="M427" s="34" t="s">
        <v>727</v>
      </c>
      <c r="N427" s="34" t="s">
        <v>1706</v>
      </c>
      <c r="O427" s="35">
        <v>1</v>
      </c>
      <c r="P427" s="35">
        <v>1</v>
      </c>
      <c r="Q427" s="32"/>
      <c r="S427" s="1">
        <f t="shared" si="209"/>
        <v>0</v>
      </c>
      <c r="T427" s="1">
        <f t="shared" si="210"/>
        <v>0</v>
      </c>
      <c r="U427" s="1">
        <f t="shared" si="211"/>
        <v>0</v>
      </c>
      <c r="V427" s="1">
        <f t="shared" si="212"/>
        <v>0</v>
      </c>
      <c r="W427" s="1">
        <f t="shared" si="213"/>
        <v>0</v>
      </c>
      <c r="X427" s="1">
        <f t="shared" si="214"/>
        <v>0</v>
      </c>
      <c r="Y427" s="1">
        <f t="shared" si="215"/>
        <v>0</v>
      </c>
      <c r="Z427" s="1">
        <f t="shared" si="216"/>
        <v>0</v>
      </c>
      <c r="AA427" s="1">
        <f t="shared" si="217"/>
        <v>0</v>
      </c>
      <c r="AB427" s="1">
        <f t="shared" si="218"/>
        <v>0</v>
      </c>
      <c r="AD427" s="1">
        <f t="shared" si="219"/>
        <v>1</v>
      </c>
      <c r="AE427" s="1">
        <f t="shared" si="220"/>
        <v>0</v>
      </c>
      <c r="AF427" s="1">
        <f t="shared" si="221"/>
        <v>0</v>
      </c>
      <c r="AG427" s="1">
        <f t="shared" si="222"/>
        <v>0</v>
      </c>
      <c r="AH427" s="1">
        <f t="shared" si="223"/>
        <v>0</v>
      </c>
      <c r="AI427" s="1">
        <f t="shared" si="224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71</v>
      </c>
      <c r="E428" s="45" t="s">
        <v>28</v>
      </c>
      <c r="F428" s="45" t="s">
        <v>1328</v>
      </c>
      <c r="G428" s="45" t="s">
        <v>258</v>
      </c>
      <c r="H428" s="45" t="s">
        <v>352</v>
      </c>
      <c r="I428" s="44" t="s">
        <v>416</v>
      </c>
      <c r="J428" s="44">
        <v>99</v>
      </c>
      <c r="K428" s="46" t="s">
        <v>709</v>
      </c>
      <c r="L428" s="46" t="s">
        <v>709</v>
      </c>
      <c r="M428" s="47" t="s">
        <v>727</v>
      </c>
      <c r="N428" s="47" t="s">
        <v>1772</v>
      </c>
      <c r="O428" s="48"/>
      <c r="P428" s="48"/>
      <c r="Q428" s="45"/>
      <c r="S428" s="1">
        <f t="shared" si="209"/>
        <v>0</v>
      </c>
      <c r="T428" s="1">
        <f t="shared" si="210"/>
        <v>0</v>
      </c>
      <c r="U428" s="1">
        <f t="shared" si="211"/>
        <v>0</v>
      </c>
      <c r="V428" s="1">
        <f t="shared" si="212"/>
        <v>0</v>
      </c>
      <c r="W428" s="1">
        <f t="shared" si="213"/>
        <v>0</v>
      </c>
      <c r="X428" s="1">
        <f t="shared" si="214"/>
        <v>0</v>
      </c>
      <c r="Y428" s="1">
        <f t="shared" si="215"/>
        <v>0</v>
      </c>
      <c r="Z428" s="1">
        <f t="shared" si="216"/>
        <v>0</v>
      </c>
      <c r="AA428" s="1">
        <f t="shared" si="217"/>
        <v>0</v>
      </c>
      <c r="AB428" s="1">
        <f t="shared" si="218"/>
        <v>0</v>
      </c>
      <c r="AD428" s="1">
        <f t="shared" si="219"/>
        <v>0</v>
      </c>
      <c r="AE428" s="1">
        <f t="shared" si="220"/>
        <v>0</v>
      </c>
      <c r="AF428" s="1">
        <f t="shared" si="221"/>
        <v>0</v>
      </c>
      <c r="AG428" s="1">
        <f t="shared" si="222"/>
        <v>0</v>
      </c>
      <c r="AH428" s="1">
        <f t="shared" si="223"/>
        <v>0</v>
      </c>
      <c r="AI428" s="1">
        <f t="shared" si="224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1049</v>
      </c>
      <c r="E429" s="45" t="s">
        <v>28</v>
      </c>
      <c r="F429" s="45" t="s">
        <v>1050</v>
      </c>
      <c r="G429" s="45" t="s">
        <v>1051</v>
      </c>
      <c r="H429" s="45" t="s">
        <v>352</v>
      </c>
      <c r="I429" s="44" t="s">
        <v>1052</v>
      </c>
      <c r="J429" s="44">
        <v>99</v>
      </c>
      <c r="K429" s="46" t="s">
        <v>709</v>
      </c>
      <c r="L429" s="46" t="s">
        <v>709</v>
      </c>
      <c r="M429" s="47" t="s">
        <v>727</v>
      </c>
      <c r="N429" s="47" t="s">
        <v>1772</v>
      </c>
      <c r="O429" s="48"/>
      <c r="P429" s="48"/>
      <c r="Q429" s="45"/>
      <c r="S429" s="1">
        <f t="shared" si="209"/>
        <v>0</v>
      </c>
      <c r="T429" s="1">
        <f t="shared" si="210"/>
        <v>0</v>
      </c>
      <c r="U429" s="1">
        <f t="shared" si="211"/>
        <v>0</v>
      </c>
      <c r="V429" s="1">
        <f t="shared" si="212"/>
        <v>0</v>
      </c>
      <c r="W429" s="1">
        <f t="shared" si="213"/>
        <v>0</v>
      </c>
      <c r="X429" s="1">
        <f t="shared" si="214"/>
        <v>0</v>
      </c>
      <c r="Y429" s="1">
        <f t="shared" si="215"/>
        <v>0</v>
      </c>
      <c r="Z429" s="1">
        <f t="shared" si="216"/>
        <v>0</v>
      </c>
      <c r="AA429" s="1">
        <f t="shared" si="217"/>
        <v>0</v>
      </c>
      <c r="AB429" s="1">
        <f t="shared" si="218"/>
        <v>0</v>
      </c>
      <c r="AD429" s="1">
        <f t="shared" si="219"/>
        <v>0</v>
      </c>
      <c r="AE429" s="1">
        <f t="shared" si="220"/>
        <v>0</v>
      </c>
      <c r="AF429" s="1">
        <f t="shared" si="221"/>
        <v>0</v>
      </c>
      <c r="AG429" s="1">
        <f t="shared" si="222"/>
        <v>0</v>
      </c>
      <c r="AH429" s="1">
        <f t="shared" si="223"/>
        <v>0</v>
      </c>
      <c r="AI429" s="1">
        <f t="shared" si="224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1776</v>
      </c>
      <c r="E430" s="32" t="s">
        <v>155</v>
      </c>
      <c r="F430" s="32" t="s">
        <v>1777</v>
      </c>
      <c r="G430" s="32"/>
      <c r="H430" s="32" t="s">
        <v>352</v>
      </c>
      <c r="I430" s="31" t="s">
        <v>1778</v>
      </c>
      <c r="J430" s="31">
        <v>99</v>
      </c>
      <c r="K430" s="33" t="s">
        <v>699</v>
      </c>
      <c r="L430" s="33"/>
      <c r="M430" s="34"/>
      <c r="N430" s="34" t="s">
        <v>1700</v>
      </c>
      <c r="O430" s="35">
        <v>1</v>
      </c>
      <c r="P430" s="35">
        <v>1</v>
      </c>
      <c r="Q430" s="32"/>
      <c r="S430" s="1">
        <f t="shared" si="209"/>
        <v>0</v>
      </c>
      <c r="T430" s="1">
        <f t="shared" si="210"/>
        <v>0</v>
      </c>
      <c r="U430" s="1">
        <f t="shared" si="211"/>
        <v>0</v>
      </c>
      <c r="V430" s="1">
        <f t="shared" si="212"/>
        <v>0</v>
      </c>
      <c r="W430" s="1">
        <f t="shared" si="213"/>
        <v>0</v>
      </c>
      <c r="X430" s="1">
        <f t="shared" si="214"/>
        <v>0</v>
      </c>
      <c r="Y430" s="1">
        <f t="shared" si="215"/>
        <v>0</v>
      </c>
      <c r="Z430" s="1">
        <f t="shared" si="216"/>
        <v>0</v>
      </c>
      <c r="AA430" s="1">
        <f t="shared" si="217"/>
        <v>0</v>
      </c>
      <c r="AB430" s="1">
        <f t="shared" si="218"/>
        <v>0</v>
      </c>
      <c r="AD430" s="1">
        <f t="shared" si="219"/>
        <v>1</v>
      </c>
      <c r="AE430" s="1">
        <f t="shared" si="220"/>
        <v>0</v>
      </c>
      <c r="AF430" s="1">
        <f t="shared" si="221"/>
        <v>1</v>
      </c>
      <c r="AG430" s="1">
        <f t="shared" si="222"/>
        <v>0</v>
      </c>
      <c r="AH430" s="1">
        <f t="shared" si="223"/>
        <v>1</v>
      </c>
      <c r="AI430" s="1">
        <f t="shared" si="224"/>
        <v>0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1162</v>
      </c>
      <c r="E431" s="32" t="s">
        <v>155</v>
      </c>
      <c r="F431" s="32" t="s">
        <v>1163</v>
      </c>
      <c r="G431" s="32" t="s">
        <v>291</v>
      </c>
      <c r="H431" s="32" t="s">
        <v>352</v>
      </c>
      <c r="I431" s="31" t="s">
        <v>1164</v>
      </c>
      <c r="J431" s="31">
        <v>99</v>
      </c>
      <c r="K431" s="33" t="s">
        <v>709</v>
      </c>
      <c r="L431" s="33" t="s">
        <v>718</v>
      </c>
      <c r="M431" s="34" t="s">
        <v>1410</v>
      </c>
      <c r="N431" s="34" t="s">
        <v>1718</v>
      </c>
      <c r="O431" s="35">
        <v>1</v>
      </c>
      <c r="P431" s="35"/>
      <c r="Q431" s="32"/>
      <c r="S431" s="1">
        <f t="shared" si="209"/>
        <v>0</v>
      </c>
      <c r="T431" s="1">
        <f t="shared" si="210"/>
        <v>0</v>
      </c>
      <c r="U431" s="1">
        <f t="shared" si="211"/>
        <v>0</v>
      </c>
      <c r="V431" s="1">
        <f t="shared" si="212"/>
        <v>0</v>
      </c>
      <c r="W431" s="1">
        <f t="shared" si="213"/>
        <v>0</v>
      </c>
      <c r="X431" s="1">
        <f t="shared" si="214"/>
        <v>0</v>
      </c>
      <c r="Y431" s="1">
        <f t="shared" si="215"/>
        <v>0</v>
      </c>
      <c r="Z431" s="1">
        <f t="shared" si="216"/>
        <v>0</v>
      </c>
      <c r="AA431" s="1">
        <f t="shared" si="217"/>
        <v>0</v>
      </c>
      <c r="AB431" s="1">
        <f t="shared" si="218"/>
        <v>0</v>
      </c>
      <c r="AD431" s="1">
        <f t="shared" si="219"/>
        <v>0</v>
      </c>
      <c r="AE431" s="1">
        <f t="shared" si="220"/>
        <v>1</v>
      </c>
      <c r="AF431" s="1">
        <f t="shared" si="221"/>
        <v>0</v>
      </c>
      <c r="AG431" s="1">
        <f t="shared" si="222"/>
        <v>1</v>
      </c>
      <c r="AH431" s="1">
        <f t="shared" si="223"/>
        <v>0</v>
      </c>
      <c r="AI431" s="1">
        <f t="shared" si="224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1137</v>
      </c>
      <c r="E432" s="32" t="s">
        <v>1138</v>
      </c>
      <c r="F432" s="36" t="s">
        <v>1848</v>
      </c>
      <c r="G432" s="32" t="s">
        <v>624</v>
      </c>
      <c r="H432" s="32" t="s">
        <v>352</v>
      </c>
      <c r="I432" s="31" t="s">
        <v>1139</v>
      </c>
      <c r="J432" s="31">
        <v>99</v>
      </c>
      <c r="K432" s="33" t="s">
        <v>709</v>
      </c>
      <c r="L432" s="33" t="s">
        <v>709</v>
      </c>
      <c r="M432" s="34" t="s">
        <v>727</v>
      </c>
      <c r="N432" s="34" t="s">
        <v>1714</v>
      </c>
      <c r="O432" s="35">
        <v>1</v>
      </c>
      <c r="P432" s="35"/>
      <c r="Q432" s="36" t="s">
        <v>1868</v>
      </c>
      <c r="S432" s="1">
        <f t="shared" si="209"/>
        <v>0</v>
      </c>
      <c r="T432" s="1">
        <f t="shared" si="210"/>
        <v>0</v>
      </c>
      <c r="U432" s="1">
        <f t="shared" si="211"/>
        <v>0</v>
      </c>
      <c r="V432" s="1">
        <f t="shared" si="212"/>
        <v>0</v>
      </c>
      <c r="W432" s="1">
        <f t="shared" si="213"/>
        <v>0</v>
      </c>
      <c r="X432" s="1">
        <f t="shared" si="214"/>
        <v>0</v>
      </c>
      <c r="Y432" s="1">
        <f t="shared" si="215"/>
        <v>0</v>
      </c>
      <c r="Z432" s="1">
        <f t="shared" si="216"/>
        <v>0</v>
      </c>
      <c r="AA432" s="1">
        <f t="shared" si="217"/>
        <v>0</v>
      </c>
      <c r="AB432" s="1">
        <f t="shared" si="218"/>
        <v>0</v>
      </c>
      <c r="AD432" s="1">
        <f t="shared" si="219"/>
        <v>0</v>
      </c>
      <c r="AE432" s="1">
        <f t="shared" si="220"/>
        <v>1</v>
      </c>
      <c r="AF432" s="1">
        <f t="shared" si="221"/>
        <v>0</v>
      </c>
      <c r="AG432" s="1">
        <f t="shared" si="222"/>
        <v>1</v>
      </c>
      <c r="AH432" s="1">
        <f t="shared" si="223"/>
        <v>0</v>
      </c>
      <c r="AI432" s="1">
        <f t="shared" si="224"/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538</v>
      </c>
      <c r="E433" s="32" t="s">
        <v>157</v>
      </c>
      <c r="F433" s="32" t="s">
        <v>194</v>
      </c>
      <c r="G433" s="32" t="s">
        <v>195</v>
      </c>
      <c r="H433" s="32" t="s">
        <v>352</v>
      </c>
      <c r="I433" s="31" t="s">
        <v>546</v>
      </c>
      <c r="J433" s="31">
        <v>99</v>
      </c>
      <c r="K433" s="33" t="s">
        <v>942</v>
      </c>
      <c r="L433" s="33" t="s">
        <v>692</v>
      </c>
      <c r="M433" s="34" t="s">
        <v>1412</v>
      </c>
      <c r="N433" s="34" t="s">
        <v>1718</v>
      </c>
      <c r="O433" s="35">
        <v>1</v>
      </c>
      <c r="P433" s="35"/>
      <c r="Q433" s="32"/>
      <c r="S433" s="1">
        <f t="shared" si="209"/>
        <v>0</v>
      </c>
      <c r="T433" s="1">
        <f t="shared" si="210"/>
        <v>0</v>
      </c>
      <c r="U433" s="1">
        <f t="shared" si="211"/>
        <v>0</v>
      </c>
      <c r="V433" s="1">
        <f t="shared" si="212"/>
        <v>0</v>
      </c>
      <c r="W433" s="1">
        <f t="shared" si="213"/>
        <v>0</v>
      </c>
      <c r="X433" s="1">
        <f t="shared" si="214"/>
        <v>0</v>
      </c>
      <c r="Y433" s="1">
        <f t="shared" si="215"/>
        <v>0</v>
      </c>
      <c r="Z433" s="1">
        <f t="shared" si="216"/>
        <v>0</v>
      </c>
      <c r="AA433" s="1">
        <f t="shared" si="217"/>
        <v>0</v>
      </c>
      <c r="AB433" s="1">
        <f t="shared" si="218"/>
        <v>0</v>
      </c>
      <c r="AD433" s="1">
        <f t="shared" si="219"/>
        <v>0</v>
      </c>
      <c r="AE433" s="1">
        <f t="shared" si="220"/>
        <v>1</v>
      </c>
      <c r="AF433" s="1">
        <f t="shared" si="221"/>
        <v>0</v>
      </c>
      <c r="AG433" s="1">
        <f t="shared" si="222"/>
        <v>1</v>
      </c>
      <c r="AH433" s="1">
        <f t="shared" si="223"/>
        <v>0</v>
      </c>
      <c r="AI433" s="1">
        <f t="shared" si="224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46</v>
      </c>
      <c r="E434" s="45" t="s">
        <v>155</v>
      </c>
      <c r="F434" s="45" t="s">
        <v>182</v>
      </c>
      <c r="G434" s="45" t="s">
        <v>178</v>
      </c>
      <c r="H434" s="45" t="s">
        <v>352</v>
      </c>
      <c r="I434" s="44" t="s">
        <v>380</v>
      </c>
      <c r="J434" s="44">
        <v>10</v>
      </c>
      <c r="K434" s="46" t="s">
        <v>942</v>
      </c>
      <c r="L434" s="46" t="s">
        <v>718</v>
      </c>
      <c r="M434" s="47" t="s">
        <v>1410</v>
      </c>
      <c r="N434" s="47" t="s">
        <v>1779</v>
      </c>
      <c r="O434" s="48"/>
      <c r="P434" s="48"/>
      <c r="Q434" s="45"/>
      <c r="S434" s="1">
        <f t="shared" si="209"/>
        <v>0</v>
      </c>
      <c r="T434" s="1">
        <f t="shared" si="210"/>
        <v>0</v>
      </c>
      <c r="U434" s="1">
        <f t="shared" si="211"/>
        <v>0</v>
      </c>
      <c r="V434" s="1">
        <f t="shared" si="212"/>
        <v>0</v>
      </c>
      <c r="W434" s="1">
        <f t="shared" si="213"/>
        <v>0</v>
      </c>
      <c r="X434" s="1">
        <f t="shared" si="214"/>
        <v>0</v>
      </c>
      <c r="Y434" s="1">
        <f t="shared" si="215"/>
        <v>0</v>
      </c>
      <c r="Z434" s="1">
        <f t="shared" si="216"/>
        <v>0</v>
      </c>
      <c r="AA434" s="1">
        <f t="shared" si="217"/>
        <v>0</v>
      </c>
      <c r="AB434" s="1">
        <f t="shared" si="218"/>
        <v>1</v>
      </c>
      <c r="AD434" s="1">
        <f t="shared" si="219"/>
        <v>0</v>
      </c>
      <c r="AE434" s="1">
        <f t="shared" si="220"/>
        <v>0</v>
      </c>
      <c r="AF434" s="1">
        <f t="shared" si="221"/>
        <v>0</v>
      </c>
      <c r="AG434" s="1">
        <f t="shared" si="222"/>
        <v>0</v>
      </c>
      <c r="AH434" s="1">
        <f t="shared" si="223"/>
        <v>0</v>
      </c>
      <c r="AI434" s="1">
        <f t="shared" si="224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247</v>
      </c>
      <c r="G435" s="32" t="s">
        <v>248</v>
      </c>
      <c r="H435" s="32" t="s">
        <v>352</v>
      </c>
      <c r="I435" s="31" t="s">
        <v>409</v>
      </c>
      <c r="J435" s="31">
        <v>7</v>
      </c>
      <c r="K435" s="33" t="s">
        <v>709</v>
      </c>
      <c r="L435" s="33" t="s">
        <v>709</v>
      </c>
      <c r="M435" s="34" t="s">
        <v>727</v>
      </c>
      <c r="N435" s="34" t="s">
        <v>1719</v>
      </c>
      <c r="O435" s="35">
        <v>1</v>
      </c>
      <c r="P435" s="35"/>
      <c r="Q435" s="32"/>
      <c r="S435" s="1">
        <f t="shared" si="209"/>
        <v>0</v>
      </c>
      <c r="T435" s="1">
        <f t="shared" si="210"/>
        <v>0</v>
      </c>
      <c r="U435" s="1">
        <f t="shared" si="211"/>
        <v>0</v>
      </c>
      <c r="V435" s="1">
        <f t="shared" si="212"/>
        <v>0</v>
      </c>
      <c r="W435" s="1">
        <f t="shared" si="213"/>
        <v>0</v>
      </c>
      <c r="X435" s="1">
        <f t="shared" si="214"/>
        <v>0</v>
      </c>
      <c r="Y435" s="1">
        <f t="shared" si="215"/>
        <v>1</v>
      </c>
      <c r="Z435" s="1">
        <f t="shared" si="216"/>
        <v>0</v>
      </c>
      <c r="AA435" s="1">
        <f t="shared" si="217"/>
        <v>0</v>
      </c>
      <c r="AB435" s="1">
        <f t="shared" si="218"/>
        <v>0</v>
      </c>
      <c r="AD435" s="1">
        <f t="shared" si="219"/>
        <v>0</v>
      </c>
      <c r="AE435" s="1">
        <f t="shared" si="220"/>
        <v>1</v>
      </c>
      <c r="AF435" s="1">
        <f t="shared" si="221"/>
        <v>0</v>
      </c>
      <c r="AG435" s="1">
        <f t="shared" si="222"/>
        <v>1</v>
      </c>
      <c r="AH435" s="1">
        <f t="shared" si="223"/>
        <v>0</v>
      </c>
      <c r="AI435" s="1">
        <f t="shared" si="224"/>
        <v>1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1026</v>
      </c>
      <c r="G436" s="32" t="s">
        <v>535</v>
      </c>
      <c r="H436" s="32" t="s">
        <v>352</v>
      </c>
      <c r="I436" s="31" t="s">
        <v>30</v>
      </c>
      <c r="J436" s="31">
        <v>1</v>
      </c>
      <c r="K436" s="33" t="s">
        <v>709</v>
      </c>
      <c r="L436" s="33" t="s">
        <v>709</v>
      </c>
      <c r="M436" s="34" t="s">
        <v>727</v>
      </c>
      <c r="N436" s="34" t="s">
        <v>1719</v>
      </c>
      <c r="O436" s="35">
        <v>1</v>
      </c>
      <c r="P436" s="35"/>
      <c r="Q436" s="32"/>
      <c r="S436" s="1">
        <f t="shared" si="209"/>
        <v>1</v>
      </c>
      <c r="T436" s="1">
        <f t="shared" si="210"/>
        <v>0</v>
      </c>
      <c r="U436" s="1">
        <f t="shared" si="211"/>
        <v>0</v>
      </c>
      <c r="V436" s="1">
        <f t="shared" si="212"/>
        <v>0</v>
      </c>
      <c r="W436" s="1">
        <f t="shared" si="213"/>
        <v>0</v>
      </c>
      <c r="X436" s="1">
        <f t="shared" si="214"/>
        <v>0</v>
      </c>
      <c r="Y436" s="1">
        <f t="shared" si="215"/>
        <v>0</v>
      </c>
      <c r="Z436" s="1">
        <f t="shared" si="216"/>
        <v>0</v>
      </c>
      <c r="AA436" s="1">
        <f t="shared" si="217"/>
        <v>0</v>
      </c>
      <c r="AB436" s="1">
        <f t="shared" si="218"/>
        <v>0</v>
      </c>
      <c r="AD436" s="1">
        <f t="shared" si="219"/>
        <v>0</v>
      </c>
      <c r="AE436" s="1">
        <f t="shared" si="220"/>
        <v>1</v>
      </c>
      <c r="AF436" s="1">
        <f t="shared" si="221"/>
        <v>0</v>
      </c>
      <c r="AG436" s="1">
        <f t="shared" si="222"/>
        <v>0</v>
      </c>
      <c r="AH436" s="1">
        <f t="shared" si="223"/>
        <v>0</v>
      </c>
      <c r="AI436" s="1">
        <f t="shared" si="224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249</v>
      </c>
      <c r="G437" s="32" t="s">
        <v>199</v>
      </c>
      <c r="H437" s="32" t="s">
        <v>352</v>
      </c>
      <c r="I437" s="31" t="s">
        <v>410</v>
      </c>
      <c r="J437" s="31">
        <v>2</v>
      </c>
      <c r="K437" s="33" t="s">
        <v>709</v>
      </c>
      <c r="L437" s="33" t="s">
        <v>709</v>
      </c>
      <c r="M437" s="34" t="s">
        <v>727</v>
      </c>
      <c r="N437" s="34" t="s">
        <v>1719</v>
      </c>
      <c r="O437" s="35">
        <v>1</v>
      </c>
      <c r="P437" s="35"/>
      <c r="Q437" s="32"/>
      <c r="S437" s="1">
        <f t="shared" si="209"/>
        <v>0</v>
      </c>
      <c r="T437" s="1">
        <f t="shared" si="210"/>
        <v>1</v>
      </c>
      <c r="U437" s="1">
        <f t="shared" si="211"/>
        <v>0</v>
      </c>
      <c r="V437" s="1">
        <f t="shared" si="212"/>
        <v>0</v>
      </c>
      <c r="W437" s="1">
        <f t="shared" si="213"/>
        <v>0</v>
      </c>
      <c r="X437" s="1">
        <f t="shared" si="214"/>
        <v>0</v>
      </c>
      <c r="Y437" s="1">
        <f t="shared" si="215"/>
        <v>0</v>
      </c>
      <c r="Z437" s="1">
        <f t="shared" si="216"/>
        <v>0</v>
      </c>
      <c r="AA437" s="1">
        <f t="shared" si="217"/>
        <v>0</v>
      </c>
      <c r="AB437" s="1">
        <f t="shared" si="218"/>
        <v>0</v>
      </c>
      <c r="AD437" s="1">
        <f t="shared" si="219"/>
        <v>0</v>
      </c>
      <c r="AE437" s="1">
        <f t="shared" si="220"/>
        <v>1</v>
      </c>
      <c r="AF437" s="1">
        <f t="shared" si="221"/>
        <v>0</v>
      </c>
      <c r="AG437" s="1">
        <f t="shared" si="222"/>
        <v>0</v>
      </c>
      <c r="AH437" s="1">
        <f t="shared" si="223"/>
        <v>0</v>
      </c>
      <c r="AI437" s="1">
        <f t="shared" si="224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2" t="s">
        <v>67</v>
      </c>
      <c r="E438" s="32" t="s">
        <v>28</v>
      </c>
      <c r="F438" s="32" t="s">
        <v>246</v>
      </c>
      <c r="G438" s="32" t="s">
        <v>1330</v>
      </c>
      <c r="H438" s="32" t="s">
        <v>352</v>
      </c>
      <c r="I438" s="31" t="s">
        <v>30</v>
      </c>
      <c r="J438" s="31">
        <v>1</v>
      </c>
      <c r="K438" s="33" t="s">
        <v>709</v>
      </c>
      <c r="L438" s="33" t="s">
        <v>709</v>
      </c>
      <c r="M438" s="34" t="s">
        <v>727</v>
      </c>
      <c r="N438" s="34" t="s">
        <v>1719</v>
      </c>
      <c r="O438" s="35">
        <v>1</v>
      </c>
      <c r="P438" s="35"/>
      <c r="Q438" s="32" t="s">
        <v>1887</v>
      </c>
      <c r="S438" s="1">
        <f t="shared" si="209"/>
        <v>1</v>
      </c>
      <c r="T438" s="1">
        <f t="shared" si="210"/>
        <v>0</v>
      </c>
      <c r="U438" s="1">
        <f t="shared" si="211"/>
        <v>0</v>
      </c>
      <c r="V438" s="1">
        <f t="shared" si="212"/>
        <v>0</v>
      </c>
      <c r="W438" s="1">
        <f t="shared" si="213"/>
        <v>0</v>
      </c>
      <c r="X438" s="1">
        <f t="shared" si="214"/>
        <v>0</v>
      </c>
      <c r="Y438" s="1">
        <f t="shared" si="215"/>
        <v>0</v>
      </c>
      <c r="Z438" s="1">
        <f t="shared" si="216"/>
        <v>0</v>
      </c>
      <c r="AA438" s="1">
        <f t="shared" si="217"/>
        <v>0</v>
      </c>
      <c r="AB438" s="1">
        <f t="shared" si="218"/>
        <v>0</v>
      </c>
      <c r="AD438" s="1">
        <f t="shared" si="219"/>
        <v>0</v>
      </c>
      <c r="AE438" s="1">
        <f t="shared" si="220"/>
        <v>1</v>
      </c>
      <c r="AF438" s="1">
        <f t="shared" si="221"/>
        <v>0</v>
      </c>
      <c r="AG438" s="1">
        <f t="shared" si="222"/>
        <v>0</v>
      </c>
      <c r="AH438" s="1">
        <f t="shared" si="223"/>
        <v>0</v>
      </c>
      <c r="AI438" s="1">
        <f t="shared" si="224"/>
        <v>0</v>
      </c>
    </row>
    <row r="439" spans="1:35" ht="14.25" customHeight="1" x14ac:dyDescent="0.25">
      <c r="A439" s="31">
        <v>1</v>
      </c>
      <c r="B439" s="31">
        <v>2</v>
      </c>
      <c r="C439" s="31">
        <v>7</v>
      </c>
      <c r="D439" s="32" t="s">
        <v>67</v>
      </c>
      <c r="E439" s="32" t="s">
        <v>28</v>
      </c>
      <c r="F439" s="32" t="s">
        <v>251</v>
      </c>
      <c r="G439" s="32" t="s">
        <v>193</v>
      </c>
      <c r="H439" s="32" t="s">
        <v>352</v>
      </c>
      <c r="I439" s="31" t="s">
        <v>411</v>
      </c>
      <c r="J439" s="31">
        <v>9</v>
      </c>
      <c r="K439" s="33" t="s">
        <v>709</v>
      </c>
      <c r="L439" s="33" t="s">
        <v>709</v>
      </c>
      <c r="M439" s="34" t="s">
        <v>727</v>
      </c>
      <c r="N439" s="34" t="s">
        <v>1719</v>
      </c>
      <c r="O439" s="35">
        <v>1</v>
      </c>
      <c r="P439" s="35"/>
      <c r="Q439" s="32"/>
      <c r="S439" s="1">
        <f t="shared" si="209"/>
        <v>0</v>
      </c>
      <c r="T439" s="1">
        <f t="shared" si="210"/>
        <v>0</v>
      </c>
      <c r="U439" s="1">
        <f t="shared" si="211"/>
        <v>0</v>
      </c>
      <c r="V439" s="1">
        <f t="shared" si="212"/>
        <v>0</v>
      </c>
      <c r="W439" s="1">
        <f t="shared" si="213"/>
        <v>0</v>
      </c>
      <c r="X439" s="1">
        <f t="shared" si="214"/>
        <v>0</v>
      </c>
      <c r="Y439" s="1">
        <f t="shared" si="215"/>
        <v>0</v>
      </c>
      <c r="Z439" s="1">
        <f t="shared" si="216"/>
        <v>0</v>
      </c>
      <c r="AA439" s="1">
        <f t="shared" si="217"/>
        <v>1</v>
      </c>
      <c r="AB439" s="1">
        <f t="shared" si="218"/>
        <v>0</v>
      </c>
      <c r="AD439" s="1">
        <f t="shared" si="219"/>
        <v>0</v>
      </c>
      <c r="AE439" s="1">
        <f t="shared" si="220"/>
        <v>1</v>
      </c>
      <c r="AF439" s="1">
        <f t="shared" si="221"/>
        <v>0</v>
      </c>
      <c r="AG439" s="1">
        <f t="shared" si="222"/>
        <v>0</v>
      </c>
      <c r="AH439" s="1">
        <f t="shared" si="223"/>
        <v>0</v>
      </c>
      <c r="AI439" s="1">
        <f t="shared" si="224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1010</v>
      </c>
      <c r="E440" s="32" t="s">
        <v>28</v>
      </c>
      <c r="F440" s="32" t="s">
        <v>1011</v>
      </c>
      <c r="G440" s="32" t="s">
        <v>193</v>
      </c>
      <c r="H440" s="32" t="s">
        <v>352</v>
      </c>
      <c r="I440" s="31" t="s">
        <v>1012</v>
      </c>
      <c r="J440" s="31">
        <v>9</v>
      </c>
      <c r="K440" s="33" t="s">
        <v>708</v>
      </c>
      <c r="L440" s="33" t="s">
        <v>709</v>
      </c>
      <c r="M440" s="34" t="s">
        <v>727</v>
      </c>
      <c r="N440" s="34" t="s">
        <v>1714</v>
      </c>
      <c r="O440" s="35">
        <v>1</v>
      </c>
      <c r="P440" s="35"/>
      <c r="Q440" s="32"/>
      <c r="S440" s="1">
        <f t="shared" si="209"/>
        <v>0</v>
      </c>
      <c r="T440" s="1">
        <f t="shared" si="210"/>
        <v>0</v>
      </c>
      <c r="U440" s="1">
        <f t="shared" si="211"/>
        <v>0</v>
      </c>
      <c r="V440" s="1">
        <f t="shared" si="212"/>
        <v>0</v>
      </c>
      <c r="W440" s="1">
        <f t="shared" si="213"/>
        <v>0</v>
      </c>
      <c r="X440" s="1">
        <f t="shared" si="214"/>
        <v>0</v>
      </c>
      <c r="Y440" s="1">
        <f t="shared" si="215"/>
        <v>0</v>
      </c>
      <c r="Z440" s="1">
        <f t="shared" si="216"/>
        <v>0</v>
      </c>
      <c r="AA440" s="1">
        <f t="shared" si="217"/>
        <v>1</v>
      </c>
      <c r="AB440" s="1">
        <f t="shared" si="218"/>
        <v>0</v>
      </c>
      <c r="AD440" s="1">
        <f t="shared" si="219"/>
        <v>0</v>
      </c>
      <c r="AE440" s="1">
        <f t="shared" si="220"/>
        <v>1</v>
      </c>
      <c r="AF440" s="1">
        <f t="shared" si="221"/>
        <v>0</v>
      </c>
      <c r="AG440" s="1">
        <f t="shared" si="222"/>
        <v>1</v>
      </c>
      <c r="AH440" s="1">
        <f t="shared" si="223"/>
        <v>0</v>
      </c>
      <c r="AI440" s="1">
        <f t="shared" si="22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1803</v>
      </c>
      <c r="E441" s="32" t="s">
        <v>1804</v>
      </c>
      <c r="F441" s="32" t="s">
        <v>1805</v>
      </c>
      <c r="G441" s="32" t="s">
        <v>206</v>
      </c>
      <c r="H441" s="32" t="s">
        <v>352</v>
      </c>
      <c r="I441" s="31" t="s">
        <v>30</v>
      </c>
      <c r="J441" s="31"/>
      <c r="K441" s="33" t="s">
        <v>699</v>
      </c>
      <c r="L441" s="33">
        <v>20</v>
      </c>
      <c r="M441" s="34" t="s">
        <v>1806</v>
      </c>
      <c r="N441" s="34" t="s">
        <v>1714</v>
      </c>
      <c r="O441" s="35">
        <v>1</v>
      </c>
      <c r="P441" s="35"/>
      <c r="Q441" s="32"/>
      <c r="S441" s="1">
        <f t="shared" si="209"/>
        <v>0</v>
      </c>
      <c r="T441" s="1">
        <f t="shared" si="210"/>
        <v>0</v>
      </c>
      <c r="U441" s="1">
        <f t="shared" si="211"/>
        <v>0</v>
      </c>
      <c r="V441" s="1">
        <f t="shared" si="212"/>
        <v>0</v>
      </c>
      <c r="W441" s="1">
        <f t="shared" si="213"/>
        <v>0</v>
      </c>
      <c r="X441" s="1">
        <f t="shared" si="214"/>
        <v>0</v>
      </c>
      <c r="Y441" s="1">
        <f t="shared" si="215"/>
        <v>0</v>
      </c>
      <c r="Z441" s="1">
        <f t="shared" si="216"/>
        <v>0</v>
      </c>
      <c r="AA441" s="1">
        <f t="shared" si="217"/>
        <v>0</v>
      </c>
      <c r="AB441" s="1">
        <f t="shared" si="218"/>
        <v>0</v>
      </c>
      <c r="AD441" s="1">
        <f t="shared" si="219"/>
        <v>0</v>
      </c>
      <c r="AE441" s="1">
        <f t="shared" si="220"/>
        <v>1</v>
      </c>
      <c r="AF441" s="1">
        <f t="shared" si="221"/>
        <v>0</v>
      </c>
      <c r="AG441" s="1">
        <f t="shared" si="222"/>
        <v>1</v>
      </c>
      <c r="AH441" s="1">
        <f t="shared" si="223"/>
        <v>0</v>
      </c>
      <c r="AI441" s="1">
        <f t="shared" si="224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1066</v>
      </c>
      <c r="E442" s="32" t="s">
        <v>540</v>
      </c>
      <c r="F442" s="32" t="s">
        <v>1047</v>
      </c>
      <c r="G442" s="32" t="s">
        <v>237</v>
      </c>
      <c r="H442" s="32" t="s">
        <v>352</v>
      </c>
      <c r="I442" s="31" t="s">
        <v>1048</v>
      </c>
      <c r="J442" s="31">
        <v>99</v>
      </c>
      <c r="K442" s="33" t="s">
        <v>942</v>
      </c>
      <c r="L442" s="33" t="s">
        <v>718</v>
      </c>
      <c r="M442" s="34" t="s">
        <v>1413</v>
      </c>
      <c r="N442" s="34" t="s">
        <v>1714</v>
      </c>
      <c r="O442" s="35">
        <v>1</v>
      </c>
      <c r="P442" s="35"/>
      <c r="Q442" s="32"/>
      <c r="S442" s="1">
        <f t="shared" si="209"/>
        <v>0</v>
      </c>
      <c r="T442" s="1">
        <f t="shared" si="210"/>
        <v>0</v>
      </c>
      <c r="U442" s="1">
        <f t="shared" si="211"/>
        <v>0</v>
      </c>
      <c r="V442" s="1">
        <f t="shared" si="212"/>
        <v>0</v>
      </c>
      <c r="W442" s="1">
        <f t="shared" si="213"/>
        <v>0</v>
      </c>
      <c r="X442" s="1">
        <f t="shared" si="214"/>
        <v>0</v>
      </c>
      <c r="Y442" s="1">
        <f t="shared" si="215"/>
        <v>0</v>
      </c>
      <c r="Z442" s="1">
        <f t="shared" si="216"/>
        <v>0</v>
      </c>
      <c r="AA442" s="1">
        <f t="shared" si="217"/>
        <v>0</v>
      </c>
      <c r="AB442" s="1">
        <f t="shared" si="218"/>
        <v>0</v>
      </c>
      <c r="AD442" s="1">
        <f t="shared" si="219"/>
        <v>0</v>
      </c>
      <c r="AE442" s="1">
        <f t="shared" si="220"/>
        <v>1</v>
      </c>
      <c r="AF442" s="1">
        <f t="shared" si="221"/>
        <v>0</v>
      </c>
      <c r="AG442" s="1">
        <f t="shared" si="222"/>
        <v>1</v>
      </c>
      <c r="AH442" s="1">
        <f t="shared" si="223"/>
        <v>0</v>
      </c>
      <c r="AI442" s="1">
        <f t="shared" si="224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1207</v>
      </c>
      <c r="E443" s="32" t="s">
        <v>155</v>
      </c>
      <c r="F443" s="32" t="s">
        <v>1208</v>
      </c>
      <c r="G443" s="32" t="s">
        <v>250</v>
      </c>
      <c r="H443" s="32" t="s">
        <v>352</v>
      </c>
      <c r="I443" s="31" t="s">
        <v>1209</v>
      </c>
      <c r="J443" s="31">
        <v>99</v>
      </c>
      <c r="K443" s="33" t="s">
        <v>709</v>
      </c>
      <c r="L443" s="33">
        <v>10</v>
      </c>
      <c r="M443" s="34" t="s">
        <v>1717</v>
      </c>
      <c r="N443" s="34" t="s">
        <v>1700</v>
      </c>
      <c r="O443" s="35">
        <v>1</v>
      </c>
      <c r="P443" s="35">
        <v>1</v>
      </c>
      <c r="Q443" s="32"/>
      <c r="S443" s="1">
        <f t="shared" si="209"/>
        <v>0</v>
      </c>
      <c r="T443" s="1">
        <f t="shared" si="210"/>
        <v>0</v>
      </c>
      <c r="U443" s="1">
        <f t="shared" si="211"/>
        <v>0</v>
      </c>
      <c r="V443" s="1">
        <f t="shared" si="212"/>
        <v>0</v>
      </c>
      <c r="W443" s="1">
        <f t="shared" si="213"/>
        <v>0</v>
      </c>
      <c r="X443" s="1">
        <f t="shared" si="214"/>
        <v>0</v>
      </c>
      <c r="Y443" s="1">
        <f t="shared" si="215"/>
        <v>0</v>
      </c>
      <c r="Z443" s="1">
        <f t="shared" si="216"/>
        <v>0</v>
      </c>
      <c r="AA443" s="1">
        <f t="shared" si="217"/>
        <v>0</v>
      </c>
      <c r="AB443" s="1">
        <f t="shared" si="218"/>
        <v>0</v>
      </c>
      <c r="AD443" s="1">
        <f t="shared" si="219"/>
        <v>1</v>
      </c>
      <c r="AE443" s="1">
        <f t="shared" si="220"/>
        <v>0</v>
      </c>
      <c r="AF443" s="1">
        <f t="shared" si="221"/>
        <v>1</v>
      </c>
      <c r="AG443" s="1">
        <f t="shared" si="222"/>
        <v>0</v>
      </c>
      <c r="AH443" s="1">
        <f t="shared" si="223"/>
        <v>1</v>
      </c>
      <c r="AI443" s="1">
        <f t="shared" si="224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6" t="s">
        <v>1773</v>
      </c>
      <c r="E444" s="36" t="s">
        <v>28</v>
      </c>
      <c r="F444" s="36" t="s">
        <v>1774</v>
      </c>
      <c r="G444" s="36" t="s">
        <v>179</v>
      </c>
      <c r="H444" s="36" t="s">
        <v>352</v>
      </c>
      <c r="I444" s="37" t="s">
        <v>1775</v>
      </c>
      <c r="J444" s="31">
        <v>10</v>
      </c>
      <c r="K444" s="33" t="s">
        <v>699</v>
      </c>
      <c r="L444" s="33">
        <v>10</v>
      </c>
      <c r="M444" s="34"/>
      <c r="N444" s="34" t="s">
        <v>1700</v>
      </c>
      <c r="O444" s="35">
        <v>1</v>
      </c>
      <c r="P444" s="35">
        <v>1</v>
      </c>
      <c r="Q444" s="36"/>
      <c r="S444" s="1">
        <f t="shared" si="209"/>
        <v>0</v>
      </c>
      <c r="T444" s="1">
        <f t="shared" si="210"/>
        <v>0</v>
      </c>
      <c r="U444" s="1">
        <f t="shared" si="211"/>
        <v>0</v>
      </c>
      <c r="V444" s="1">
        <f t="shared" si="212"/>
        <v>0</v>
      </c>
      <c r="W444" s="1">
        <f t="shared" si="213"/>
        <v>0</v>
      </c>
      <c r="X444" s="1">
        <f t="shared" si="214"/>
        <v>0</v>
      </c>
      <c r="Y444" s="1">
        <f t="shared" si="215"/>
        <v>0</v>
      </c>
      <c r="Z444" s="1">
        <f t="shared" si="216"/>
        <v>0</v>
      </c>
      <c r="AA444" s="1">
        <f t="shared" si="217"/>
        <v>0</v>
      </c>
      <c r="AB444" s="1">
        <f t="shared" si="218"/>
        <v>1</v>
      </c>
      <c r="AD444" s="1">
        <f t="shared" si="219"/>
        <v>1</v>
      </c>
      <c r="AE444" s="1">
        <f t="shared" si="220"/>
        <v>0</v>
      </c>
      <c r="AF444" s="1">
        <f t="shared" si="221"/>
        <v>1</v>
      </c>
      <c r="AG444" s="1">
        <f t="shared" si="222"/>
        <v>0</v>
      </c>
      <c r="AH444" s="1">
        <f t="shared" si="223"/>
        <v>1</v>
      </c>
      <c r="AI444" s="1">
        <f t="shared" si="224"/>
        <v>0</v>
      </c>
    </row>
    <row r="445" spans="1:35" ht="14.25" customHeight="1" x14ac:dyDescent="0.25">
      <c r="A445" s="37">
        <v>0</v>
      </c>
      <c r="B445" s="37">
        <v>2</v>
      </c>
      <c r="C445" s="37">
        <v>7</v>
      </c>
      <c r="D445" s="36" t="s">
        <v>1559</v>
      </c>
      <c r="E445" s="36" t="s">
        <v>1625</v>
      </c>
      <c r="F445" s="36" t="s">
        <v>1560</v>
      </c>
      <c r="G445" s="36" t="s">
        <v>652</v>
      </c>
      <c r="H445" s="36" t="s">
        <v>352</v>
      </c>
      <c r="I445" s="37" t="s">
        <v>1561</v>
      </c>
      <c r="J445" s="37">
        <v>99</v>
      </c>
      <c r="K445" s="33" t="s">
        <v>709</v>
      </c>
      <c r="L445" s="33" t="s">
        <v>39</v>
      </c>
      <c r="M445" s="34" t="s">
        <v>39</v>
      </c>
      <c r="N445" s="34" t="s">
        <v>1700</v>
      </c>
      <c r="O445" s="35">
        <v>1</v>
      </c>
      <c r="P445" s="35">
        <v>1</v>
      </c>
      <c r="Q445" s="36"/>
      <c r="S445" s="1">
        <f t="shared" si="209"/>
        <v>0</v>
      </c>
      <c r="T445" s="1">
        <f t="shared" si="210"/>
        <v>0</v>
      </c>
      <c r="U445" s="1">
        <f t="shared" si="211"/>
        <v>0</v>
      </c>
      <c r="V445" s="1">
        <f t="shared" si="212"/>
        <v>0</v>
      </c>
      <c r="W445" s="1">
        <f t="shared" si="213"/>
        <v>0</v>
      </c>
      <c r="X445" s="1">
        <f t="shared" si="214"/>
        <v>0</v>
      </c>
      <c r="Y445" s="1">
        <f t="shared" si="215"/>
        <v>0</v>
      </c>
      <c r="Z445" s="1">
        <f t="shared" si="216"/>
        <v>0</v>
      </c>
      <c r="AA445" s="1">
        <f t="shared" si="217"/>
        <v>0</v>
      </c>
      <c r="AB445" s="1">
        <f t="shared" si="218"/>
        <v>0</v>
      </c>
      <c r="AD445" s="1">
        <f t="shared" si="219"/>
        <v>1</v>
      </c>
      <c r="AE445" s="1">
        <f t="shared" si="220"/>
        <v>0</v>
      </c>
      <c r="AF445" s="1">
        <f t="shared" si="221"/>
        <v>1</v>
      </c>
      <c r="AG445" s="1">
        <f t="shared" si="222"/>
        <v>0</v>
      </c>
      <c r="AH445" s="1">
        <f t="shared" si="223"/>
        <v>1</v>
      </c>
      <c r="AI445" s="1">
        <f t="shared" si="224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1511</v>
      </c>
      <c r="E446" s="32" t="s">
        <v>28</v>
      </c>
      <c r="F446" s="32" t="s">
        <v>1636</v>
      </c>
      <c r="G446" s="32" t="s">
        <v>285</v>
      </c>
      <c r="H446" s="32" t="s">
        <v>352</v>
      </c>
      <c r="I446" s="31" t="s">
        <v>1661</v>
      </c>
      <c r="J446" s="31">
        <v>99</v>
      </c>
      <c r="K446" s="33" t="s">
        <v>709</v>
      </c>
      <c r="L446" s="33" t="s">
        <v>709</v>
      </c>
      <c r="M446" s="34" t="s">
        <v>727</v>
      </c>
      <c r="N446" s="34" t="s">
        <v>1714</v>
      </c>
      <c r="O446" s="35">
        <v>1</v>
      </c>
      <c r="P446" s="35"/>
      <c r="Q446" s="32"/>
      <c r="S446" s="1">
        <f t="shared" si="209"/>
        <v>0</v>
      </c>
      <c r="T446" s="1">
        <f t="shared" si="210"/>
        <v>0</v>
      </c>
      <c r="U446" s="1">
        <f t="shared" si="211"/>
        <v>0</v>
      </c>
      <c r="V446" s="1">
        <f t="shared" si="212"/>
        <v>0</v>
      </c>
      <c r="W446" s="1">
        <f t="shared" si="213"/>
        <v>0</v>
      </c>
      <c r="X446" s="1">
        <f t="shared" si="214"/>
        <v>0</v>
      </c>
      <c r="Y446" s="1">
        <f t="shared" si="215"/>
        <v>0</v>
      </c>
      <c r="Z446" s="1">
        <f t="shared" si="216"/>
        <v>0</v>
      </c>
      <c r="AA446" s="1">
        <f t="shared" si="217"/>
        <v>0</v>
      </c>
      <c r="AB446" s="1">
        <f t="shared" si="218"/>
        <v>0</v>
      </c>
      <c r="AD446" s="1">
        <f t="shared" si="219"/>
        <v>0</v>
      </c>
      <c r="AE446" s="1">
        <f t="shared" si="220"/>
        <v>1</v>
      </c>
      <c r="AF446" s="1">
        <f t="shared" si="221"/>
        <v>0</v>
      </c>
      <c r="AG446" s="1">
        <f t="shared" si="222"/>
        <v>1</v>
      </c>
      <c r="AH446" s="1">
        <f t="shared" si="223"/>
        <v>0</v>
      </c>
      <c r="AI446" s="1">
        <f t="shared" si="224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1308</v>
      </c>
      <c r="E447" s="32" t="s">
        <v>28</v>
      </c>
      <c r="F447" s="32" t="s">
        <v>568</v>
      </c>
      <c r="G447" s="32" t="s">
        <v>180</v>
      </c>
      <c r="H447" s="32" t="s">
        <v>352</v>
      </c>
      <c r="I447" s="31" t="s">
        <v>428</v>
      </c>
      <c r="J447" s="31">
        <v>7</v>
      </c>
      <c r="K447" s="33" t="s">
        <v>708</v>
      </c>
      <c r="L447" s="33" t="s">
        <v>709</v>
      </c>
      <c r="M447" s="34" t="s">
        <v>727</v>
      </c>
      <c r="N447" s="34" t="s">
        <v>1714</v>
      </c>
      <c r="O447" s="35">
        <v>1</v>
      </c>
      <c r="P447" s="35"/>
      <c r="Q447" s="32"/>
      <c r="S447" s="1">
        <f t="shared" si="209"/>
        <v>0</v>
      </c>
      <c r="T447" s="1">
        <f t="shared" si="210"/>
        <v>0</v>
      </c>
      <c r="U447" s="1">
        <f t="shared" si="211"/>
        <v>0</v>
      </c>
      <c r="V447" s="1">
        <f t="shared" si="212"/>
        <v>0</v>
      </c>
      <c r="W447" s="1">
        <f t="shared" si="213"/>
        <v>0</v>
      </c>
      <c r="X447" s="1">
        <f t="shared" si="214"/>
        <v>0</v>
      </c>
      <c r="Y447" s="1">
        <f t="shared" si="215"/>
        <v>1</v>
      </c>
      <c r="Z447" s="1">
        <f t="shared" si="216"/>
        <v>0</v>
      </c>
      <c r="AA447" s="1">
        <f t="shared" si="217"/>
        <v>0</v>
      </c>
      <c r="AB447" s="1">
        <f t="shared" si="218"/>
        <v>0</v>
      </c>
      <c r="AD447" s="1">
        <f t="shared" si="219"/>
        <v>0</v>
      </c>
      <c r="AE447" s="1">
        <f t="shared" si="220"/>
        <v>1</v>
      </c>
      <c r="AF447" s="1">
        <f t="shared" si="221"/>
        <v>0</v>
      </c>
      <c r="AG447" s="1">
        <f t="shared" si="222"/>
        <v>1</v>
      </c>
      <c r="AH447" s="1">
        <f t="shared" si="223"/>
        <v>0</v>
      </c>
      <c r="AI447" s="1">
        <f t="shared" si="224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72</v>
      </c>
      <c r="E448" s="32" t="s">
        <v>28</v>
      </c>
      <c r="F448" s="32" t="s">
        <v>1845</v>
      </c>
      <c r="G448" s="32" t="s">
        <v>234</v>
      </c>
      <c r="H448" s="32" t="s">
        <v>352</v>
      </c>
      <c r="I448" s="31" t="s">
        <v>676</v>
      </c>
      <c r="J448" s="31">
        <v>99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209"/>
        <v>0</v>
      </c>
      <c r="T448" s="1">
        <f t="shared" si="210"/>
        <v>0</v>
      </c>
      <c r="U448" s="1">
        <f t="shared" si="211"/>
        <v>0</v>
      </c>
      <c r="V448" s="1">
        <f t="shared" si="212"/>
        <v>0</v>
      </c>
      <c r="W448" s="1">
        <f t="shared" si="213"/>
        <v>0</v>
      </c>
      <c r="X448" s="1">
        <f t="shared" si="214"/>
        <v>0</v>
      </c>
      <c r="Y448" s="1">
        <f t="shared" si="215"/>
        <v>0</v>
      </c>
      <c r="Z448" s="1">
        <f t="shared" si="216"/>
        <v>0</v>
      </c>
      <c r="AA448" s="1">
        <f t="shared" si="217"/>
        <v>0</v>
      </c>
      <c r="AB448" s="1">
        <f t="shared" si="218"/>
        <v>0</v>
      </c>
      <c r="AD448" s="1">
        <f t="shared" si="219"/>
        <v>0</v>
      </c>
      <c r="AE448" s="1">
        <f t="shared" si="220"/>
        <v>1</v>
      </c>
      <c r="AF448" s="1">
        <f t="shared" si="221"/>
        <v>0</v>
      </c>
      <c r="AG448" s="1">
        <f t="shared" si="222"/>
        <v>1</v>
      </c>
      <c r="AH448" s="1">
        <f t="shared" si="223"/>
        <v>0</v>
      </c>
      <c r="AI448" s="1">
        <f t="shared" si="224"/>
        <v>1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72</v>
      </c>
      <c r="E449" s="32" t="s">
        <v>28</v>
      </c>
      <c r="F449" s="32" t="s">
        <v>260</v>
      </c>
      <c r="G449" s="32" t="s">
        <v>219</v>
      </c>
      <c r="H449" s="32" t="s">
        <v>352</v>
      </c>
      <c r="I449" s="31" t="s">
        <v>418</v>
      </c>
      <c r="J449" s="31">
        <v>8</v>
      </c>
      <c r="K449" s="33" t="s">
        <v>709</v>
      </c>
      <c r="L449" s="33" t="s">
        <v>709</v>
      </c>
      <c r="M449" s="34" t="s">
        <v>727</v>
      </c>
      <c r="N449" s="34" t="s">
        <v>1714</v>
      </c>
      <c r="O449" s="35">
        <v>1</v>
      </c>
      <c r="P449" s="35"/>
      <c r="Q449" s="32"/>
      <c r="S449" s="1">
        <f t="shared" si="209"/>
        <v>0</v>
      </c>
      <c r="T449" s="1">
        <f t="shared" si="210"/>
        <v>0</v>
      </c>
      <c r="U449" s="1">
        <f t="shared" si="211"/>
        <v>0</v>
      </c>
      <c r="V449" s="1">
        <f t="shared" si="212"/>
        <v>0</v>
      </c>
      <c r="W449" s="1">
        <f t="shared" si="213"/>
        <v>0</v>
      </c>
      <c r="X449" s="1">
        <f t="shared" si="214"/>
        <v>0</v>
      </c>
      <c r="Y449" s="1">
        <f t="shared" si="215"/>
        <v>0</v>
      </c>
      <c r="Z449" s="1">
        <f t="shared" si="216"/>
        <v>1</v>
      </c>
      <c r="AA449" s="1">
        <f t="shared" si="217"/>
        <v>0</v>
      </c>
      <c r="AB449" s="1">
        <f t="shared" si="218"/>
        <v>0</v>
      </c>
      <c r="AD449" s="1">
        <f t="shared" si="219"/>
        <v>0</v>
      </c>
      <c r="AE449" s="1">
        <f t="shared" si="220"/>
        <v>1</v>
      </c>
      <c r="AF449" s="1">
        <f t="shared" si="221"/>
        <v>0</v>
      </c>
      <c r="AG449" s="1">
        <f t="shared" si="222"/>
        <v>0</v>
      </c>
      <c r="AH449" s="1">
        <f t="shared" si="223"/>
        <v>0</v>
      </c>
      <c r="AI449" s="1">
        <f t="shared" si="224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72</v>
      </c>
      <c r="E450" s="32" t="s">
        <v>28</v>
      </c>
      <c r="F450" s="32" t="s">
        <v>259</v>
      </c>
      <c r="G450" s="32" t="s">
        <v>177</v>
      </c>
      <c r="H450" s="32" t="s">
        <v>352</v>
      </c>
      <c r="I450" s="31" t="s">
        <v>417</v>
      </c>
      <c r="J450" s="31">
        <v>1</v>
      </c>
      <c r="K450" s="33" t="s">
        <v>709</v>
      </c>
      <c r="L450" s="33" t="s">
        <v>709</v>
      </c>
      <c r="M450" s="34" t="s">
        <v>727</v>
      </c>
      <c r="N450" s="34" t="s">
        <v>1714</v>
      </c>
      <c r="O450" s="35">
        <v>1</v>
      </c>
      <c r="P450" s="35"/>
      <c r="Q450" s="32"/>
      <c r="S450" s="1">
        <f t="shared" si="209"/>
        <v>1</v>
      </c>
      <c r="T450" s="1">
        <f t="shared" si="210"/>
        <v>0</v>
      </c>
      <c r="U450" s="1">
        <f t="shared" si="211"/>
        <v>0</v>
      </c>
      <c r="V450" s="1">
        <f t="shared" si="212"/>
        <v>0</v>
      </c>
      <c r="W450" s="1">
        <f t="shared" si="213"/>
        <v>0</v>
      </c>
      <c r="X450" s="1">
        <f t="shared" si="214"/>
        <v>0</v>
      </c>
      <c r="Y450" s="1">
        <f t="shared" si="215"/>
        <v>0</v>
      </c>
      <c r="Z450" s="1">
        <f t="shared" si="216"/>
        <v>0</v>
      </c>
      <c r="AA450" s="1">
        <f t="shared" si="217"/>
        <v>0</v>
      </c>
      <c r="AB450" s="1">
        <f t="shared" si="218"/>
        <v>0</v>
      </c>
      <c r="AD450" s="1">
        <f t="shared" si="219"/>
        <v>0</v>
      </c>
      <c r="AE450" s="1">
        <f t="shared" si="220"/>
        <v>1</v>
      </c>
      <c r="AF450" s="1">
        <f t="shared" si="221"/>
        <v>0</v>
      </c>
      <c r="AG450" s="1">
        <f t="shared" si="222"/>
        <v>0</v>
      </c>
      <c r="AH450" s="1">
        <f t="shared" si="223"/>
        <v>0</v>
      </c>
      <c r="AI450" s="1">
        <f t="shared" si="224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769</v>
      </c>
      <c r="E451" s="32" t="s">
        <v>28</v>
      </c>
      <c r="F451" s="32" t="s">
        <v>770</v>
      </c>
      <c r="G451" s="32" t="s">
        <v>278</v>
      </c>
      <c r="H451" s="32" t="s">
        <v>352</v>
      </c>
      <c r="I451" s="31" t="s">
        <v>771</v>
      </c>
      <c r="J451" s="31">
        <v>99</v>
      </c>
      <c r="K451" s="33" t="s">
        <v>709</v>
      </c>
      <c r="L451" s="33" t="s">
        <v>709</v>
      </c>
      <c r="M451" s="34" t="s">
        <v>727</v>
      </c>
      <c r="N451" s="34" t="s">
        <v>1714</v>
      </c>
      <c r="O451" s="35">
        <v>1</v>
      </c>
      <c r="P451" s="35"/>
      <c r="Q451" s="32"/>
      <c r="S451" s="1">
        <f t="shared" si="209"/>
        <v>0</v>
      </c>
      <c r="T451" s="1">
        <f t="shared" si="210"/>
        <v>0</v>
      </c>
      <c r="U451" s="1">
        <f t="shared" si="211"/>
        <v>0</v>
      </c>
      <c r="V451" s="1">
        <f t="shared" si="212"/>
        <v>0</v>
      </c>
      <c r="W451" s="1">
        <f t="shared" si="213"/>
        <v>0</v>
      </c>
      <c r="X451" s="1">
        <f t="shared" si="214"/>
        <v>0</v>
      </c>
      <c r="Y451" s="1">
        <f t="shared" si="215"/>
        <v>0</v>
      </c>
      <c r="Z451" s="1">
        <f t="shared" si="216"/>
        <v>0</v>
      </c>
      <c r="AA451" s="1">
        <f t="shared" si="217"/>
        <v>0</v>
      </c>
      <c r="AB451" s="1">
        <f t="shared" si="218"/>
        <v>0</v>
      </c>
      <c r="AD451" s="1">
        <f t="shared" si="219"/>
        <v>0</v>
      </c>
      <c r="AE451" s="1">
        <f t="shared" si="220"/>
        <v>1</v>
      </c>
      <c r="AF451" s="1">
        <f t="shared" si="221"/>
        <v>0</v>
      </c>
      <c r="AG451" s="1">
        <f t="shared" si="222"/>
        <v>1</v>
      </c>
      <c r="AH451" s="1">
        <f t="shared" si="223"/>
        <v>0</v>
      </c>
      <c r="AI451" s="1">
        <f t="shared" si="224"/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85</v>
      </c>
      <c r="E452" s="32" t="s">
        <v>28</v>
      </c>
      <c r="F452" s="32" t="s">
        <v>277</v>
      </c>
      <c r="G452" s="32" t="s">
        <v>278</v>
      </c>
      <c r="H452" s="32" t="s">
        <v>352</v>
      </c>
      <c r="I452" s="31" t="s">
        <v>432</v>
      </c>
      <c r="J452" s="31">
        <v>99</v>
      </c>
      <c r="K452" s="33" t="s">
        <v>709</v>
      </c>
      <c r="L452" s="33" t="s">
        <v>709</v>
      </c>
      <c r="M452" s="34" t="s">
        <v>727</v>
      </c>
      <c r="N452" s="34" t="s">
        <v>1714</v>
      </c>
      <c r="O452" s="35">
        <v>1</v>
      </c>
      <c r="P452" s="35"/>
      <c r="Q452" s="32"/>
      <c r="S452" s="1">
        <f t="shared" si="209"/>
        <v>0</v>
      </c>
      <c r="T452" s="1">
        <f t="shared" si="210"/>
        <v>0</v>
      </c>
      <c r="U452" s="1">
        <f t="shared" si="211"/>
        <v>0</v>
      </c>
      <c r="V452" s="1">
        <f t="shared" si="212"/>
        <v>0</v>
      </c>
      <c r="W452" s="1">
        <f t="shared" si="213"/>
        <v>0</v>
      </c>
      <c r="X452" s="1">
        <f t="shared" si="214"/>
        <v>0</v>
      </c>
      <c r="Y452" s="1">
        <f t="shared" si="215"/>
        <v>0</v>
      </c>
      <c r="Z452" s="1">
        <f t="shared" si="216"/>
        <v>0</v>
      </c>
      <c r="AA452" s="1">
        <f t="shared" si="217"/>
        <v>0</v>
      </c>
      <c r="AB452" s="1">
        <f t="shared" si="218"/>
        <v>0</v>
      </c>
      <c r="AD452" s="1">
        <f t="shared" si="219"/>
        <v>0</v>
      </c>
      <c r="AE452" s="1">
        <f t="shared" si="220"/>
        <v>1</v>
      </c>
      <c r="AF452" s="1">
        <f t="shared" si="221"/>
        <v>0</v>
      </c>
      <c r="AG452" s="1">
        <f t="shared" si="222"/>
        <v>1</v>
      </c>
      <c r="AH452" s="1">
        <f t="shared" si="223"/>
        <v>0</v>
      </c>
      <c r="AI452" s="1">
        <f t="shared" si="224"/>
        <v>1</v>
      </c>
    </row>
    <row r="453" spans="1:35" ht="14.25" customHeight="1" x14ac:dyDescent="0.25">
      <c r="A453" s="37">
        <v>0</v>
      </c>
      <c r="B453" s="37">
        <v>2</v>
      </c>
      <c r="C453" s="37">
        <v>7</v>
      </c>
      <c r="D453" s="36" t="s">
        <v>1907</v>
      </c>
      <c r="E453" s="36" t="s">
        <v>28</v>
      </c>
      <c r="F453" s="36" t="s">
        <v>1908</v>
      </c>
      <c r="G453" s="36" t="s">
        <v>184</v>
      </c>
      <c r="H453" s="36" t="s">
        <v>352</v>
      </c>
      <c r="I453" s="37" t="s">
        <v>1909</v>
      </c>
      <c r="J453" s="37">
        <v>99</v>
      </c>
      <c r="K453" s="33" t="s">
        <v>699</v>
      </c>
      <c r="L453" s="33">
        <v>4</v>
      </c>
      <c r="M453" s="34" t="s">
        <v>727</v>
      </c>
      <c r="N453" s="34" t="s">
        <v>1714</v>
      </c>
      <c r="O453" s="35">
        <v>1</v>
      </c>
      <c r="P453" s="35"/>
      <c r="Q453" s="36" t="s">
        <v>1910</v>
      </c>
      <c r="S453" s="1">
        <f t="shared" si="209"/>
        <v>0</v>
      </c>
      <c r="T453" s="1">
        <f t="shared" si="210"/>
        <v>0</v>
      </c>
      <c r="U453" s="1">
        <f t="shared" si="211"/>
        <v>0</v>
      </c>
      <c r="V453" s="1">
        <f t="shared" si="212"/>
        <v>0</v>
      </c>
      <c r="W453" s="1">
        <f t="shared" si="213"/>
        <v>0</v>
      </c>
      <c r="X453" s="1">
        <f t="shared" si="214"/>
        <v>0</v>
      </c>
      <c r="Y453" s="1">
        <f t="shared" si="215"/>
        <v>0</v>
      </c>
      <c r="Z453" s="1">
        <f t="shared" si="216"/>
        <v>0</v>
      </c>
      <c r="AA453" s="1">
        <f t="shared" si="217"/>
        <v>0</v>
      </c>
      <c r="AB453" s="1">
        <f t="shared" si="218"/>
        <v>0</v>
      </c>
      <c r="AD453" s="1">
        <f t="shared" si="219"/>
        <v>0</v>
      </c>
      <c r="AE453" s="1">
        <f t="shared" si="220"/>
        <v>1</v>
      </c>
      <c r="AF453" s="1">
        <f t="shared" si="221"/>
        <v>0</v>
      </c>
      <c r="AG453" s="1">
        <f t="shared" si="222"/>
        <v>1</v>
      </c>
      <c r="AH453" s="1">
        <f t="shared" si="223"/>
        <v>0</v>
      </c>
      <c r="AI453" s="1">
        <f t="shared" si="224"/>
        <v>1</v>
      </c>
    </row>
    <row r="454" spans="1:35" ht="14.25" customHeight="1" x14ac:dyDescent="0.25">
      <c r="A454" s="37">
        <v>0</v>
      </c>
      <c r="B454" s="37">
        <v>2</v>
      </c>
      <c r="C454" s="37">
        <v>7</v>
      </c>
      <c r="D454" s="36" t="s">
        <v>549</v>
      </c>
      <c r="E454" s="36" t="s">
        <v>28</v>
      </c>
      <c r="F454" s="36" t="s">
        <v>1846</v>
      </c>
      <c r="G454" s="36" t="s">
        <v>552</v>
      </c>
      <c r="H454" s="36" t="s">
        <v>352</v>
      </c>
      <c r="I454" s="37" t="s">
        <v>553</v>
      </c>
      <c r="J454" s="37">
        <v>99</v>
      </c>
      <c r="K454" s="33" t="s">
        <v>709</v>
      </c>
      <c r="L454" s="33" t="s">
        <v>709</v>
      </c>
      <c r="M454" s="34" t="s">
        <v>727</v>
      </c>
      <c r="N454" s="34" t="s">
        <v>1795</v>
      </c>
      <c r="O454" s="35">
        <v>1</v>
      </c>
      <c r="P454" s="35"/>
      <c r="Q454" s="36"/>
      <c r="S454" s="1">
        <f t="shared" si="209"/>
        <v>0</v>
      </c>
      <c r="T454" s="1">
        <f t="shared" si="210"/>
        <v>0</v>
      </c>
      <c r="U454" s="1">
        <f t="shared" si="211"/>
        <v>0</v>
      </c>
      <c r="V454" s="1">
        <f t="shared" si="212"/>
        <v>0</v>
      </c>
      <c r="W454" s="1">
        <f t="shared" si="213"/>
        <v>0</v>
      </c>
      <c r="X454" s="1">
        <f t="shared" si="214"/>
        <v>0</v>
      </c>
      <c r="Y454" s="1">
        <f t="shared" si="215"/>
        <v>0</v>
      </c>
      <c r="Z454" s="1">
        <f t="shared" si="216"/>
        <v>0</v>
      </c>
      <c r="AA454" s="1">
        <f t="shared" si="217"/>
        <v>0</v>
      </c>
      <c r="AB454" s="1">
        <f t="shared" si="218"/>
        <v>0</v>
      </c>
      <c r="AD454" s="1">
        <f t="shared" si="219"/>
        <v>0</v>
      </c>
      <c r="AE454" s="1">
        <f t="shared" si="220"/>
        <v>1</v>
      </c>
      <c r="AF454" s="1">
        <f t="shared" si="221"/>
        <v>0</v>
      </c>
      <c r="AG454" s="1">
        <f t="shared" si="222"/>
        <v>1</v>
      </c>
      <c r="AH454" s="1">
        <f t="shared" si="223"/>
        <v>0</v>
      </c>
      <c r="AI454" s="1">
        <f t="shared" si="224"/>
        <v>1</v>
      </c>
    </row>
    <row r="455" spans="1:35" ht="14.25" customHeight="1" x14ac:dyDescent="0.25">
      <c r="A455" s="37">
        <v>1</v>
      </c>
      <c r="B455" s="37">
        <v>2</v>
      </c>
      <c r="C455" s="37">
        <v>7</v>
      </c>
      <c r="D455" s="36" t="s">
        <v>549</v>
      </c>
      <c r="E455" s="36" t="s">
        <v>28</v>
      </c>
      <c r="F455" s="36" t="s">
        <v>1847</v>
      </c>
      <c r="G455" s="36" t="s">
        <v>550</v>
      </c>
      <c r="H455" s="36" t="s">
        <v>352</v>
      </c>
      <c r="I455" s="37" t="s">
        <v>551</v>
      </c>
      <c r="J455" s="37">
        <v>99</v>
      </c>
      <c r="K455" s="33" t="s">
        <v>709</v>
      </c>
      <c r="L455" s="33" t="s">
        <v>709</v>
      </c>
      <c r="M455" s="34" t="s">
        <v>727</v>
      </c>
      <c r="N455" s="34" t="s">
        <v>1795</v>
      </c>
      <c r="O455" s="35">
        <v>1</v>
      </c>
      <c r="P455" s="35"/>
      <c r="Q455" s="36"/>
      <c r="S455" s="1">
        <f t="shared" si="209"/>
        <v>0</v>
      </c>
      <c r="T455" s="1">
        <f t="shared" si="210"/>
        <v>0</v>
      </c>
      <c r="U455" s="1">
        <f t="shared" si="211"/>
        <v>0</v>
      </c>
      <c r="V455" s="1">
        <f t="shared" si="212"/>
        <v>0</v>
      </c>
      <c r="W455" s="1">
        <f t="shared" si="213"/>
        <v>0</v>
      </c>
      <c r="X455" s="1">
        <f t="shared" si="214"/>
        <v>0</v>
      </c>
      <c r="Y455" s="1">
        <f t="shared" si="215"/>
        <v>0</v>
      </c>
      <c r="Z455" s="1">
        <f t="shared" si="216"/>
        <v>0</v>
      </c>
      <c r="AA455" s="1">
        <f t="shared" si="217"/>
        <v>0</v>
      </c>
      <c r="AB455" s="1">
        <f t="shared" si="218"/>
        <v>0</v>
      </c>
      <c r="AD455" s="1">
        <f t="shared" si="219"/>
        <v>0</v>
      </c>
      <c r="AE455" s="1">
        <f t="shared" si="220"/>
        <v>1</v>
      </c>
      <c r="AF455" s="1">
        <f t="shared" si="221"/>
        <v>0</v>
      </c>
      <c r="AG455" s="1">
        <f t="shared" si="222"/>
        <v>0</v>
      </c>
      <c r="AH455" s="1">
        <f t="shared" si="223"/>
        <v>0</v>
      </c>
      <c r="AI455" s="1">
        <f t="shared" si="224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1166</v>
      </c>
      <c r="E456" s="32" t="s">
        <v>28</v>
      </c>
      <c r="F456" s="32" t="s">
        <v>1651</v>
      </c>
      <c r="G456" s="32" t="s">
        <v>234</v>
      </c>
      <c r="H456" s="32" t="s">
        <v>352</v>
      </c>
      <c r="I456" s="31" t="s">
        <v>1344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1714</v>
      </c>
      <c r="O456" s="35">
        <v>1</v>
      </c>
      <c r="P456" s="35"/>
      <c r="Q456" s="32"/>
      <c r="S456" s="1">
        <f t="shared" si="209"/>
        <v>0</v>
      </c>
      <c r="T456" s="1">
        <f t="shared" si="210"/>
        <v>0</v>
      </c>
      <c r="U456" s="1">
        <f t="shared" si="211"/>
        <v>0</v>
      </c>
      <c r="V456" s="1">
        <f t="shared" si="212"/>
        <v>0</v>
      </c>
      <c r="W456" s="1">
        <f t="shared" si="213"/>
        <v>0</v>
      </c>
      <c r="X456" s="1">
        <f t="shared" si="214"/>
        <v>0</v>
      </c>
      <c r="Y456" s="1">
        <f t="shared" si="215"/>
        <v>0</v>
      </c>
      <c r="Z456" s="1">
        <f t="shared" si="216"/>
        <v>0</v>
      </c>
      <c r="AA456" s="1">
        <f t="shared" si="217"/>
        <v>0</v>
      </c>
      <c r="AB456" s="1">
        <f t="shared" si="218"/>
        <v>0</v>
      </c>
      <c r="AD456" s="1">
        <f t="shared" si="219"/>
        <v>0</v>
      </c>
      <c r="AE456" s="1">
        <f t="shared" si="220"/>
        <v>1</v>
      </c>
      <c r="AF456" s="1">
        <f t="shared" si="221"/>
        <v>0</v>
      </c>
      <c r="AG456" s="1">
        <f t="shared" si="222"/>
        <v>1</v>
      </c>
      <c r="AH456" s="1">
        <f t="shared" si="223"/>
        <v>0</v>
      </c>
      <c r="AI456" s="1">
        <f t="shared" si="224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1166</v>
      </c>
      <c r="E457" s="32" t="s">
        <v>28</v>
      </c>
      <c r="F457" s="32" t="s">
        <v>1652</v>
      </c>
      <c r="G457" s="32" t="s">
        <v>1331</v>
      </c>
      <c r="H457" s="32" t="s">
        <v>352</v>
      </c>
      <c r="I457" s="31" t="s">
        <v>1345</v>
      </c>
      <c r="J457" s="31">
        <v>99</v>
      </c>
      <c r="K457" s="33" t="s">
        <v>708</v>
      </c>
      <c r="L457" s="33" t="s">
        <v>709</v>
      </c>
      <c r="M457" s="34" t="s">
        <v>727</v>
      </c>
      <c r="N457" s="34" t="s">
        <v>1714</v>
      </c>
      <c r="O457" s="35">
        <v>1</v>
      </c>
      <c r="P457" s="35"/>
      <c r="Q457" s="32"/>
      <c r="S457" s="1">
        <f t="shared" si="209"/>
        <v>0</v>
      </c>
      <c r="T457" s="1">
        <f t="shared" si="210"/>
        <v>0</v>
      </c>
      <c r="U457" s="1">
        <f t="shared" si="211"/>
        <v>0</v>
      </c>
      <c r="V457" s="1">
        <f t="shared" si="212"/>
        <v>0</v>
      </c>
      <c r="W457" s="1">
        <f t="shared" si="213"/>
        <v>0</v>
      </c>
      <c r="X457" s="1">
        <f t="shared" si="214"/>
        <v>0</v>
      </c>
      <c r="Y457" s="1">
        <f t="shared" si="215"/>
        <v>0</v>
      </c>
      <c r="Z457" s="1">
        <f t="shared" si="216"/>
        <v>0</v>
      </c>
      <c r="AA457" s="1">
        <f t="shared" si="217"/>
        <v>0</v>
      </c>
      <c r="AB457" s="1">
        <f t="shared" si="218"/>
        <v>0</v>
      </c>
      <c r="AD457" s="1">
        <f t="shared" si="219"/>
        <v>0</v>
      </c>
      <c r="AE457" s="1">
        <f t="shared" si="220"/>
        <v>1</v>
      </c>
      <c r="AF457" s="1">
        <f t="shared" si="221"/>
        <v>0</v>
      </c>
      <c r="AG457" s="1">
        <f t="shared" si="222"/>
        <v>0</v>
      </c>
      <c r="AH457" s="1">
        <f t="shared" si="223"/>
        <v>0</v>
      </c>
      <c r="AI457" s="1">
        <f t="shared" si="224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1234</v>
      </c>
      <c r="E458" s="32" t="s">
        <v>28</v>
      </c>
      <c r="F458" s="32" t="s">
        <v>1233</v>
      </c>
      <c r="G458" s="32" t="s">
        <v>1218</v>
      </c>
      <c r="H458" s="32" t="s">
        <v>352</v>
      </c>
      <c r="I458" s="31" t="s">
        <v>1235</v>
      </c>
      <c r="J458" s="31">
        <v>99</v>
      </c>
      <c r="K458" s="33" t="s">
        <v>699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209"/>
        <v>0</v>
      </c>
      <c r="T458" s="1">
        <f t="shared" si="210"/>
        <v>0</v>
      </c>
      <c r="U458" s="1">
        <f t="shared" si="211"/>
        <v>0</v>
      </c>
      <c r="V458" s="1">
        <f t="shared" si="212"/>
        <v>0</v>
      </c>
      <c r="W458" s="1">
        <f t="shared" si="213"/>
        <v>0</v>
      </c>
      <c r="X458" s="1">
        <f t="shared" si="214"/>
        <v>0</v>
      </c>
      <c r="Y458" s="1">
        <f t="shared" si="215"/>
        <v>0</v>
      </c>
      <c r="Z458" s="1">
        <f t="shared" si="216"/>
        <v>0</v>
      </c>
      <c r="AA458" s="1">
        <f t="shared" si="217"/>
        <v>0</v>
      </c>
      <c r="AB458" s="1">
        <f t="shared" si="218"/>
        <v>0</v>
      </c>
      <c r="AD458" s="1">
        <f t="shared" si="219"/>
        <v>0</v>
      </c>
      <c r="AE458" s="1">
        <f t="shared" si="220"/>
        <v>1</v>
      </c>
      <c r="AF458" s="1">
        <f t="shared" si="221"/>
        <v>0</v>
      </c>
      <c r="AG458" s="1">
        <f t="shared" si="222"/>
        <v>1</v>
      </c>
      <c r="AH458" s="1">
        <f t="shared" si="223"/>
        <v>0</v>
      </c>
      <c r="AI458" s="1">
        <f t="shared" si="224"/>
        <v>1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1234</v>
      </c>
      <c r="E459" s="32" t="s">
        <v>28</v>
      </c>
      <c r="F459" s="32" t="s">
        <v>1232</v>
      </c>
      <c r="G459" s="32" t="s">
        <v>39</v>
      </c>
      <c r="H459" s="32" t="s">
        <v>352</v>
      </c>
      <c r="I459" s="31" t="s">
        <v>1236</v>
      </c>
      <c r="J459" s="31">
        <v>9</v>
      </c>
      <c r="K459" s="33" t="s">
        <v>699</v>
      </c>
      <c r="L459" s="33" t="s">
        <v>709</v>
      </c>
      <c r="M459" s="34" t="s">
        <v>727</v>
      </c>
      <c r="N459" s="34" t="s">
        <v>1714</v>
      </c>
      <c r="O459" s="35">
        <v>1</v>
      </c>
      <c r="P459" s="35"/>
      <c r="Q459" s="32"/>
      <c r="S459" s="1">
        <f t="shared" si="209"/>
        <v>0</v>
      </c>
      <c r="T459" s="1">
        <f t="shared" si="210"/>
        <v>0</v>
      </c>
      <c r="U459" s="1">
        <f t="shared" si="211"/>
        <v>0</v>
      </c>
      <c r="V459" s="1">
        <f t="shared" si="212"/>
        <v>0</v>
      </c>
      <c r="W459" s="1">
        <f t="shared" si="213"/>
        <v>0</v>
      </c>
      <c r="X459" s="1">
        <f t="shared" si="214"/>
        <v>0</v>
      </c>
      <c r="Y459" s="1">
        <f t="shared" si="215"/>
        <v>0</v>
      </c>
      <c r="Z459" s="1">
        <f t="shared" si="216"/>
        <v>0</v>
      </c>
      <c r="AA459" s="1">
        <f t="shared" si="217"/>
        <v>1</v>
      </c>
      <c r="AB459" s="1">
        <f t="shared" si="218"/>
        <v>0</v>
      </c>
      <c r="AD459" s="1">
        <f t="shared" si="219"/>
        <v>0</v>
      </c>
      <c r="AE459" s="1">
        <f t="shared" si="220"/>
        <v>1</v>
      </c>
      <c r="AF459" s="1">
        <f t="shared" si="221"/>
        <v>0</v>
      </c>
      <c r="AG459" s="1">
        <f t="shared" si="222"/>
        <v>0</v>
      </c>
      <c r="AH459" s="1">
        <f t="shared" si="223"/>
        <v>0</v>
      </c>
      <c r="AI459" s="1">
        <f t="shared" si="224"/>
        <v>0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1234</v>
      </c>
      <c r="E460" s="32" t="s">
        <v>28</v>
      </c>
      <c r="F460" s="36" t="s">
        <v>1794</v>
      </c>
      <c r="G460" s="36" t="s">
        <v>257</v>
      </c>
      <c r="H460" s="32" t="s">
        <v>352</v>
      </c>
      <c r="I460" s="37" t="s">
        <v>30</v>
      </c>
      <c r="J460" s="31">
        <v>8</v>
      </c>
      <c r="K460" s="33" t="s">
        <v>699</v>
      </c>
      <c r="L460" s="33" t="s">
        <v>709</v>
      </c>
      <c r="M460" s="34" t="s">
        <v>727</v>
      </c>
      <c r="N460" s="34" t="s">
        <v>1714</v>
      </c>
      <c r="O460" s="35">
        <v>1</v>
      </c>
      <c r="P460" s="35"/>
      <c r="Q460" s="32"/>
      <c r="S460" s="1">
        <f t="shared" si="209"/>
        <v>0</v>
      </c>
      <c r="T460" s="1">
        <f t="shared" si="210"/>
        <v>0</v>
      </c>
      <c r="U460" s="1">
        <f t="shared" si="211"/>
        <v>0</v>
      </c>
      <c r="V460" s="1">
        <f t="shared" si="212"/>
        <v>0</v>
      </c>
      <c r="W460" s="1">
        <f t="shared" si="213"/>
        <v>0</v>
      </c>
      <c r="X460" s="1">
        <f t="shared" si="214"/>
        <v>0</v>
      </c>
      <c r="Y460" s="1">
        <f t="shared" si="215"/>
        <v>0</v>
      </c>
      <c r="Z460" s="1">
        <f t="shared" si="216"/>
        <v>1</v>
      </c>
      <c r="AA460" s="1">
        <f t="shared" si="217"/>
        <v>0</v>
      </c>
      <c r="AB460" s="1">
        <f t="shared" si="218"/>
        <v>0</v>
      </c>
      <c r="AD460" s="1">
        <f t="shared" si="219"/>
        <v>0</v>
      </c>
      <c r="AE460" s="1">
        <f t="shared" si="220"/>
        <v>1</v>
      </c>
      <c r="AF460" s="1">
        <f t="shared" si="221"/>
        <v>0</v>
      </c>
      <c r="AG460" s="1">
        <f t="shared" si="222"/>
        <v>0</v>
      </c>
      <c r="AH460" s="1">
        <f t="shared" si="223"/>
        <v>0</v>
      </c>
      <c r="AI460" s="1">
        <f t="shared" si="224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51</v>
      </c>
      <c r="E461" s="32" t="s">
        <v>28</v>
      </c>
      <c r="F461" s="32" t="s">
        <v>670</v>
      </c>
      <c r="G461" s="32" t="s">
        <v>184</v>
      </c>
      <c r="H461" s="32" t="s">
        <v>352</v>
      </c>
      <c r="I461" s="31" t="s">
        <v>388</v>
      </c>
      <c r="J461" s="31">
        <v>99</v>
      </c>
      <c r="K461" s="33" t="s">
        <v>708</v>
      </c>
      <c r="L461" s="33" t="s">
        <v>709</v>
      </c>
      <c r="M461" s="34" t="s">
        <v>727</v>
      </c>
      <c r="N461" s="34" t="s">
        <v>1719</v>
      </c>
      <c r="O461" s="35">
        <v>1</v>
      </c>
      <c r="P461" s="35"/>
      <c r="Q461" s="32"/>
      <c r="S461" s="1">
        <f t="shared" si="209"/>
        <v>0</v>
      </c>
      <c r="T461" s="1">
        <f t="shared" si="210"/>
        <v>0</v>
      </c>
      <c r="U461" s="1">
        <f t="shared" si="211"/>
        <v>0</v>
      </c>
      <c r="V461" s="1">
        <f t="shared" si="212"/>
        <v>0</v>
      </c>
      <c r="W461" s="1">
        <f t="shared" si="213"/>
        <v>0</v>
      </c>
      <c r="X461" s="1">
        <f t="shared" si="214"/>
        <v>0</v>
      </c>
      <c r="Y461" s="1">
        <f t="shared" si="215"/>
        <v>0</v>
      </c>
      <c r="Z461" s="1">
        <f t="shared" si="216"/>
        <v>0</v>
      </c>
      <c r="AA461" s="1">
        <f t="shared" si="217"/>
        <v>0</v>
      </c>
      <c r="AB461" s="1">
        <f t="shared" si="218"/>
        <v>0</v>
      </c>
      <c r="AD461" s="1">
        <f t="shared" si="219"/>
        <v>0</v>
      </c>
      <c r="AE461" s="1">
        <f t="shared" si="220"/>
        <v>1</v>
      </c>
      <c r="AF461" s="1">
        <f t="shared" si="221"/>
        <v>0</v>
      </c>
      <c r="AG461" s="1">
        <f t="shared" si="222"/>
        <v>1</v>
      </c>
      <c r="AH461" s="1">
        <f t="shared" si="223"/>
        <v>0</v>
      </c>
      <c r="AI461" s="1">
        <f t="shared" si="224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1068</v>
      </c>
      <c r="E462" s="32" t="s">
        <v>28</v>
      </c>
      <c r="F462" s="32" t="s">
        <v>985</v>
      </c>
      <c r="G462" s="32" t="s">
        <v>239</v>
      </c>
      <c r="H462" s="32" t="s">
        <v>352</v>
      </c>
      <c r="I462" s="31" t="s">
        <v>1093</v>
      </c>
      <c r="J462" s="31">
        <v>1</v>
      </c>
      <c r="K462" s="33" t="s">
        <v>708</v>
      </c>
      <c r="L462" s="33" t="s">
        <v>709</v>
      </c>
      <c r="M462" s="34" t="s">
        <v>727</v>
      </c>
      <c r="N462" s="34" t="s">
        <v>1714</v>
      </c>
      <c r="O462" s="35">
        <v>1</v>
      </c>
      <c r="P462" s="35"/>
      <c r="Q462" s="32"/>
      <c r="S462" s="1">
        <f t="shared" si="209"/>
        <v>1</v>
      </c>
      <c r="T462" s="1">
        <f t="shared" si="210"/>
        <v>0</v>
      </c>
      <c r="U462" s="1">
        <f t="shared" si="211"/>
        <v>0</v>
      </c>
      <c r="V462" s="1">
        <f t="shared" si="212"/>
        <v>0</v>
      </c>
      <c r="W462" s="1">
        <f t="shared" si="213"/>
        <v>0</v>
      </c>
      <c r="X462" s="1">
        <f t="shared" si="214"/>
        <v>0</v>
      </c>
      <c r="Y462" s="1">
        <f t="shared" si="215"/>
        <v>0</v>
      </c>
      <c r="Z462" s="1">
        <f t="shared" si="216"/>
        <v>0</v>
      </c>
      <c r="AA462" s="1">
        <f t="shared" si="217"/>
        <v>0</v>
      </c>
      <c r="AB462" s="1">
        <f t="shared" si="218"/>
        <v>0</v>
      </c>
      <c r="AD462" s="1">
        <f t="shared" si="219"/>
        <v>0</v>
      </c>
      <c r="AE462" s="1">
        <f t="shared" si="220"/>
        <v>1</v>
      </c>
      <c r="AF462" s="1">
        <f t="shared" si="221"/>
        <v>0</v>
      </c>
      <c r="AG462" s="1">
        <f t="shared" si="222"/>
        <v>1</v>
      </c>
      <c r="AH462" s="1">
        <f t="shared" si="223"/>
        <v>0</v>
      </c>
      <c r="AI462" s="1">
        <f t="shared" si="224"/>
        <v>1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1068</v>
      </c>
      <c r="E463" s="32" t="s">
        <v>28</v>
      </c>
      <c r="F463" s="32" t="s">
        <v>986</v>
      </c>
      <c r="G463" s="32" t="s">
        <v>1086</v>
      </c>
      <c r="H463" s="32" t="s">
        <v>352</v>
      </c>
      <c r="I463" s="31" t="s">
        <v>1094</v>
      </c>
      <c r="J463" s="31">
        <v>1</v>
      </c>
      <c r="K463" s="33" t="s">
        <v>708</v>
      </c>
      <c r="L463" s="33" t="s">
        <v>709</v>
      </c>
      <c r="M463" s="34" t="s">
        <v>727</v>
      </c>
      <c r="N463" s="34" t="s">
        <v>1714</v>
      </c>
      <c r="O463" s="35">
        <v>1</v>
      </c>
      <c r="P463" s="35"/>
      <c r="Q463" s="32"/>
      <c r="S463" s="1">
        <f t="shared" si="209"/>
        <v>1</v>
      </c>
      <c r="T463" s="1">
        <f t="shared" si="210"/>
        <v>0</v>
      </c>
      <c r="U463" s="1">
        <f t="shared" si="211"/>
        <v>0</v>
      </c>
      <c r="V463" s="1">
        <f t="shared" si="212"/>
        <v>0</v>
      </c>
      <c r="W463" s="1">
        <f t="shared" si="213"/>
        <v>0</v>
      </c>
      <c r="X463" s="1">
        <f t="shared" si="214"/>
        <v>0</v>
      </c>
      <c r="Y463" s="1">
        <f t="shared" si="215"/>
        <v>0</v>
      </c>
      <c r="Z463" s="1">
        <f t="shared" si="216"/>
        <v>0</v>
      </c>
      <c r="AA463" s="1">
        <f t="shared" si="217"/>
        <v>0</v>
      </c>
      <c r="AB463" s="1">
        <f t="shared" si="218"/>
        <v>0</v>
      </c>
      <c r="AD463" s="1">
        <f t="shared" si="219"/>
        <v>0</v>
      </c>
      <c r="AE463" s="1">
        <f t="shared" si="220"/>
        <v>1</v>
      </c>
      <c r="AF463" s="1">
        <f t="shared" si="221"/>
        <v>0</v>
      </c>
      <c r="AG463" s="1">
        <f t="shared" si="222"/>
        <v>0</v>
      </c>
      <c r="AH463" s="1">
        <f t="shared" si="223"/>
        <v>0</v>
      </c>
      <c r="AI463" s="1">
        <f t="shared" si="224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1612</v>
      </c>
      <c r="E464" s="32" t="s">
        <v>155</v>
      </c>
      <c r="F464" s="32" t="s">
        <v>1466</v>
      </c>
      <c r="G464" s="32" t="s">
        <v>1467</v>
      </c>
      <c r="H464" s="32" t="s">
        <v>352</v>
      </c>
      <c r="I464" s="31" t="s">
        <v>1468</v>
      </c>
      <c r="J464" s="31">
        <v>99</v>
      </c>
      <c r="K464" s="33" t="s">
        <v>942</v>
      </c>
      <c r="L464" s="33" t="s">
        <v>718</v>
      </c>
      <c r="M464" s="34" t="s">
        <v>728</v>
      </c>
      <c r="N464" s="34" t="s">
        <v>1718</v>
      </c>
      <c r="O464" s="35">
        <v>1</v>
      </c>
      <c r="P464" s="35"/>
      <c r="Q464" s="32"/>
      <c r="S464" s="1">
        <f t="shared" si="209"/>
        <v>0</v>
      </c>
      <c r="T464" s="1">
        <f t="shared" si="210"/>
        <v>0</v>
      </c>
      <c r="U464" s="1">
        <f t="shared" si="211"/>
        <v>0</v>
      </c>
      <c r="V464" s="1">
        <f t="shared" si="212"/>
        <v>0</v>
      </c>
      <c r="W464" s="1">
        <f t="shared" si="213"/>
        <v>0</v>
      </c>
      <c r="X464" s="1">
        <f t="shared" si="214"/>
        <v>0</v>
      </c>
      <c r="Y464" s="1">
        <f t="shared" si="215"/>
        <v>0</v>
      </c>
      <c r="Z464" s="1">
        <f t="shared" si="216"/>
        <v>0</v>
      </c>
      <c r="AA464" s="1">
        <f t="shared" si="217"/>
        <v>0</v>
      </c>
      <c r="AB464" s="1">
        <f t="shared" si="218"/>
        <v>0</v>
      </c>
      <c r="AD464" s="1">
        <f t="shared" si="219"/>
        <v>0</v>
      </c>
      <c r="AE464" s="1">
        <f t="shared" si="220"/>
        <v>1</v>
      </c>
      <c r="AF464" s="1">
        <f t="shared" si="221"/>
        <v>0</v>
      </c>
      <c r="AG464" s="1">
        <f t="shared" si="222"/>
        <v>1</v>
      </c>
      <c r="AH464" s="1">
        <f t="shared" si="223"/>
        <v>0</v>
      </c>
      <c r="AI464" s="1">
        <f t="shared" si="224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82</v>
      </c>
      <c r="E465" s="32" t="s">
        <v>28</v>
      </c>
      <c r="F465" s="32" t="s">
        <v>273</v>
      </c>
      <c r="G465" s="32" t="s">
        <v>274</v>
      </c>
      <c r="H465" s="32" t="s">
        <v>352</v>
      </c>
      <c r="I465" s="31" t="s">
        <v>427</v>
      </c>
      <c r="J465" s="31">
        <v>7</v>
      </c>
      <c r="K465" s="33" t="s">
        <v>942</v>
      </c>
      <c r="L465" s="33" t="s">
        <v>941</v>
      </c>
      <c r="M465" s="34" t="s">
        <v>955</v>
      </c>
      <c r="N465" s="34" t="s">
        <v>1819</v>
      </c>
      <c r="O465" s="35">
        <v>1</v>
      </c>
      <c r="P465" s="35"/>
      <c r="Q465" s="32"/>
      <c r="S465" s="1">
        <f t="shared" si="209"/>
        <v>0</v>
      </c>
      <c r="T465" s="1">
        <f t="shared" si="210"/>
        <v>0</v>
      </c>
      <c r="U465" s="1">
        <f t="shared" si="211"/>
        <v>0</v>
      </c>
      <c r="V465" s="1">
        <f t="shared" si="212"/>
        <v>0</v>
      </c>
      <c r="W465" s="1">
        <f t="shared" si="213"/>
        <v>0</v>
      </c>
      <c r="X465" s="1">
        <f t="shared" si="214"/>
        <v>0</v>
      </c>
      <c r="Y465" s="1">
        <f t="shared" si="215"/>
        <v>1</v>
      </c>
      <c r="Z465" s="1">
        <f t="shared" si="216"/>
        <v>0</v>
      </c>
      <c r="AA465" s="1">
        <f t="shared" si="217"/>
        <v>0</v>
      </c>
      <c r="AB465" s="1">
        <f t="shared" si="218"/>
        <v>0</v>
      </c>
      <c r="AD465" s="1">
        <f t="shared" si="219"/>
        <v>0</v>
      </c>
      <c r="AE465" s="1">
        <f t="shared" si="220"/>
        <v>1</v>
      </c>
      <c r="AF465" s="1">
        <f t="shared" si="221"/>
        <v>0</v>
      </c>
      <c r="AG465" s="1">
        <f t="shared" si="222"/>
        <v>1</v>
      </c>
      <c r="AH465" s="1">
        <f t="shared" si="223"/>
        <v>0</v>
      </c>
      <c r="AI465" s="1">
        <f t="shared" si="224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76</v>
      </c>
      <c r="E466" s="32" t="s">
        <v>28</v>
      </c>
      <c r="F466" s="32" t="s">
        <v>1654</v>
      </c>
      <c r="G466" s="32" t="s">
        <v>189</v>
      </c>
      <c r="H466" s="32" t="s">
        <v>352</v>
      </c>
      <c r="I466" s="31" t="s">
        <v>421</v>
      </c>
      <c r="J466" s="31">
        <v>99</v>
      </c>
      <c r="K466" s="33" t="s">
        <v>941</v>
      </c>
      <c r="L466" s="33" t="s">
        <v>709</v>
      </c>
      <c r="M466" s="34" t="s">
        <v>727</v>
      </c>
      <c r="N466" s="34" t="s">
        <v>1714</v>
      </c>
      <c r="O466" s="35">
        <v>1</v>
      </c>
      <c r="P466" s="35"/>
      <c r="Q466" s="32"/>
      <c r="S466" s="1">
        <f t="shared" si="209"/>
        <v>0</v>
      </c>
      <c r="T466" s="1">
        <f t="shared" si="210"/>
        <v>0</v>
      </c>
      <c r="U466" s="1">
        <f t="shared" si="211"/>
        <v>0</v>
      </c>
      <c r="V466" s="1">
        <f t="shared" si="212"/>
        <v>0</v>
      </c>
      <c r="W466" s="1">
        <f t="shared" si="213"/>
        <v>0</v>
      </c>
      <c r="X466" s="1">
        <f t="shared" si="214"/>
        <v>0</v>
      </c>
      <c r="Y466" s="1">
        <f t="shared" si="215"/>
        <v>0</v>
      </c>
      <c r="Z466" s="1">
        <f t="shared" si="216"/>
        <v>0</v>
      </c>
      <c r="AA466" s="1">
        <f t="shared" si="217"/>
        <v>0</v>
      </c>
      <c r="AB466" s="1">
        <f t="shared" si="218"/>
        <v>0</v>
      </c>
      <c r="AD466" s="1">
        <f t="shared" si="219"/>
        <v>0</v>
      </c>
      <c r="AE466" s="1">
        <f t="shared" si="220"/>
        <v>1</v>
      </c>
      <c r="AF466" s="1">
        <f t="shared" si="221"/>
        <v>0</v>
      </c>
      <c r="AG466" s="1">
        <f t="shared" si="222"/>
        <v>1</v>
      </c>
      <c r="AH466" s="1">
        <f t="shared" si="223"/>
        <v>0</v>
      </c>
      <c r="AI466" s="1">
        <f t="shared" si="224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6" t="s">
        <v>1998</v>
      </c>
      <c r="E467" s="32" t="s">
        <v>2002</v>
      </c>
      <c r="F467" s="36" t="s">
        <v>1999</v>
      </c>
      <c r="G467" s="36" t="s">
        <v>2000</v>
      </c>
      <c r="H467" s="36" t="s">
        <v>352</v>
      </c>
      <c r="I467" s="37" t="s">
        <v>2001</v>
      </c>
      <c r="J467" s="31">
        <v>99</v>
      </c>
      <c r="K467" s="33" t="s">
        <v>699</v>
      </c>
      <c r="L467" s="33">
        <v>20</v>
      </c>
      <c r="M467" s="34" t="s">
        <v>2004</v>
      </c>
      <c r="N467" s="34" t="s">
        <v>1718</v>
      </c>
      <c r="O467" s="35">
        <v>1</v>
      </c>
      <c r="P467" s="35"/>
      <c r="Q467" s="36" t="s">
        <v>2003</v>
      </c>
      <c r="S467" s="1">
        <f t="shared" si="209"/>
        <v>0</v>
      </c>
      <c r="T467" s="1">
        <f t="shared" si="210"/>
        <v>0</v>
      </c>
      <c r="U467" s="1">
        <f t="shared" si="211"/>
        <v>0</v>
      </c>
      <c r="V467" s="1">
        <f t="shared" si="212"/>
        <v>0</v>
      </c>
      <c r="W467" s="1">
        <f t="shared" si="213"/>
        <v>0</v>
      </c>
      <c r="X467" s="1">
        <f t="shared" si="214"/>
        <v>0</v>
      </c>
      <c r="Y467" s="1">
        <f t="shared" si="215"/>
        <v>0</v>
      </c>
      <c r="Z467" s="1">
        <f t="shared" si="216"/>
        <v>0</v>
      </c>
      <c r="AA467" s="1">
        <f t="shared" si="217"/>
        <v>0</v>
      </c>
      <c r="AB467" s="1">
        <f t="shared" si="218"/>
        <v>0</v>
      </c>
      <c r="AD467" s="1">
        <f t="shared" si="219"/>
        <v>0</v>
      </c>
      <c r="AE467" s="1">
        <f t="shared" si="220"/>
        <v>1</v>
      </c>
      <c r="AF467" s="1">
        <f t="shared" si="221"/>
        <v>0</v>
      </c>
      <c r="AG467" s="1">
        <f t="shared" si="222"/>
        <v>1</v>
      </c>
      <c r="AH467" s="1">
        <f t="shared" si="223"/>
        <v>0</v>
      </c>
      <c r="AI467" s="1">
        <f t="shared" si="224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1614</v>
      </c>
      <c r="E468" s="32" t="s">
        <v>162</v>
      </c>
      <c r="F468" s="32" t="s">
        <v>243</v>
      </c>
      <c r="G468" s="32" t="s">
        <v>217</v>
      </c>
      <c r="H468" s="32" t="s">
        <v>352</v>
      </c>
      <c r="I468" s="31" t="s">
        <v>406</v>
      </c>
      <c r="J468" s="31">
        <v>99</v>
      </c>
      <c r="K468" s="33" t="s">
        <v>709</v>
      </c>
      <c r="L468" s="33" t="s">
        <v>718</v>
      </c>
      <c r="M468" s="34" t="s">
        <v>728</v>
      </c>
      <c r="N468" s="34" t="s">
        <v>1700</v>
      </c>
      <c r="O468" s="35">
        <v>1</v>
      </c>
      <c r="P468" s="35">
        <v>1</v>
      </c>
      <c r="Q468" s="32"/>
      <c r="S468" s="1">
        <f t="shared" si="209"/>
        <v>0</v>
      </c>
      <c r="T468" s="1">
        <f t="shared" si="210"/>
        <v>0</v>
      </c>
      <c r="U468" s="1">
        <f t="shared" si="211"/>
        <v>0</v>
      </c>
      <c r="V468" s="1">
        <f t="shared" si="212"/>
        <v>0</v>
      </c>
      <c r="W468" s="1">
        <f t="shared" si="213"/>
        <v>0</v>
      </c>
      <c r="X468" s="1">
        <f t="shared" si="214"/>
        <v>0</v>
      </c>
      <c r="Y468" s="1">
        <f t="shared" si="215"/>
        <v>0</v>
      </c>
      <c r="Z468" s="1">
        <f t="shared" si="216"/>
        <v>0</v>
      </c>
      <c r="AA468" s="1">
        <f t="shared" si="217"/>
        <v>0</v>
      </c>
      <c r="AB468" s="1">
        <f t="shared" si="218"/>
        <v>0</v>
      </c>
      <c r="AD468" s="1">
        <f t="shared" si="219"/>
        <v>1</v>
      </c>
      <c r="AE468" s="1">
        <f t="shared" si="220"/>
        <v>0</v>
      </c>
      <c r="AF468" s="1">
        <f t="shared" si="221"/>
        <v>1</v>
      </c>
      <c r="AG468" s="1">
        <f t="shared" si="222"/>
        <v>0</v>
      </c>
      <c r="AH468" s="1">
        <f t="shared" si="223"/>
        <v>1</v>
      </c>
      <c r="AI468" s="1">
        <f t="shared" si="224"/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1512</v>
      </c>
      <c r="E469" s="32" t="s">
        <v>155</v>
      </c>
      <c r="F469" s="32" t="s">
        <v>1513</v>
      </c>
      <c r="G469" s="32" t="s">
        <v>39</v>
      </c>
      <c r="H469" s="32" t="s">
        <v>352</v>
      </c>
      <c r="I469" s="31" t="s">
        <v>1514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1718</v>
      </c>
      <c r="O469" s="35">
        <v>1</v>
      </c>
      <c r="P469" s="35"/>
      <c r="Q469" s="32"/>
      <c r="S469" s="1">
        <f t="shared" si="209"/>
        <v>0</v>
      </c>
      <c r="T469" s="1">
        <f t="shared" si="210"/>
        <v>0</v>
      </c>
      <c r="U469" s="1">
        <f t="shared" si="211"/>
        <v>0</v>
      </c>
      <c r="V469" s="1">
        <f t="shared" si="212"/>
        <v>0</v>
      </c>
      <c r="W469" s="1">
        <f t="shared" si="213"/>
        <v>0</v>
      </c>
      <c r="X469" s="1">
        <f t="shared" si="214"/>
        <v>0</v>
      </c>
      <c r="Y469" s="1">
        <f t="shared" si="215"/>
        <v>0</v>
      </c>
      <c r="Z469" s="1">
        <f t="shared" si="216"/>
        <v>0</v>
      </c>
      <c r="AA469" s="1">
        <f t="shared" si="217"/>
        <v>0</v>
      </c>
      <c r="AB469" s="1">
        <f t="shared" si="218"/>
        <v>0</v>
      </c>
      <c r="AD469" s="1">
        <f t="shared" si="219"/>
        <v>0</v>
      </c>
      <c r="AE469" s="1">
        <f t="shared" si="220"/>
        <v>1</v>
      </c>
      <c r="AF469" s="1">
        <f t="shared" si="221"/>
        <v>0</v>
      </c>
      <c r="AG469" s="1">
        <f t="shared" si="222"/>
        <v>1</v>
      </c>
      <c r="AH469" s="1">
        <f t="shared" si="223"/>
        <v>0</v>
      </c>
      <c r="AI469" s="1">
        <f t="shared" si="224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961</v>
      </c>
      <c r="G470" s="32" t="s">
        <v>1088</v>
      </c>
      <c r="H470" s="32" t="s">
        <v>352</v>
      </c>
      <c r="I470" s="31" t="s">
        <v>1095</v>
      </c>
      <c r="J470" s="31">
        <v>99</v>
      </c>
      <c r="K470" s="33" t="s">
        <v>709</v>
      </c>
      <c r="L470" s="33" t="s">
        <v>709</v>
      </c>
      <c r="M470" s="34" t="s">
        <v>727</v>
      </c>
      <c r="N470" s="34" t="s">
        <v>1714</v>
      </c>
      <c r="O470" s="35">
        <v>1</v>
      </c>
      <c r="P470" s="35"/>
      <c r="Q470" s="32"/>
      <c r="S470" s="1">
        <f t="shared" si="209"/>
        <v>0</v>
      </c>
      <c r="T470" s="1">
        <f t="shared" si="210"/>
        <v>0</v>
      </c>
      <c r="U470" s="1">
        <f t="shared" si="211"/>
        <v>0</v>
      </c>
      <c r="V470" s="1">
        <f t="shared" si="212"/>
        <v>0</v>
      </c>
      <c r="W470" s="1">
        <f t="shared" si="213"/>
        <v>0</v>
      </c>
      <c r="X470" s="1">
        <f t="shared" si="214"/>
        <v>0</v>
      </c>
      <c r="Y470" s="1">
        <f t="shared" si="215"/>
        <v>0</v>
      </c>
      <c r="Z470" s="1">
        <f t="shared" si="216"/>
        <v>0</v>
      </c>
      <c r="AA470" s="1">
        <f t="shared" si="217"/>
        <v>0</v>
      </c>
      <c r="AB470" s="1">
        <f t="shared" si="218"/>
        <v>0</v>
      </c>
      <c r="AD470" s="1">
        <f t="shared" si="219"/>
        <v>0</v>
      </c>
      <c r="AE470" s="1">
        <f t="shared" si="220"/>
        <v>1</v>
      </c>
      <c r="AF470" s="1">
        <f t="shared" si="221"/>
        <v>0</v>
      </c>
      <c r="AG470" s="1">
        <f t="shared" si="222"/>
        <v>1</v>
      </c>
      <c r="AH470" s="1">
        <f t="shared" si="223"/>
        <v>0</v>
      </c>
      <c r="AI470" s="1">
        <f t="shared" si="224"/>
        <v>1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244</v>
      </c>
      <c r="G471" s="32" t="s">
        <v>223</v>
      </c>
      <c r="H471" s="32" t="s">
        <v>352</v>
      </c>
      <c r="I471" s="31" t="s">
        <v>407</v>
      </c>
      <c r="J471" s="31">
        <v>99</v>
      </c>
      <c r="K471" s="33" t="s">
        <v>709</v>
      </c>
      <c r="L471" s="33" t="s">
        <v>709</v>
      </c>
      <c r="M471" s="34" t="s">
        <v>727</v>
      </c>
      <c r="N471" s="34" t="s">
        <v>1714</v>
      </c>
      <c r="O471" s="35">
        <v>1</v>
      </c>
      <c r="P471" s="35"/>
      <c r="Q471" s="32"/>
      <c r="S471" s="1">
        <f t="shared" si="209"/>
        <v>0</v>
      </c>
      <c r="T471" s="1">
        <f t="shared" si="210"/>
        <v>0</v>
      </c>
      <c r="U471" s="1">
        <f t="shared" si="211"/>
        <v>0</v>
      </c>
      <c r="V471" s="1">
        <f t="shared" si="212"/>
        <v>0</v>
      </c>
      <c r="W471" s="1">
        <f t="shared" si="213"/>
        <v>0</v>
      </c>
      <c r="X471" s="1">
        <f t="shared" si="214"/>
        <v>0</v>
      </c>
      <c r="Y471" s="1">
        <f t="shared" si="215"/>
        <v>0</v>
      </c>
      <c r="Z471" s="1">
        <f t="shared" si="216"/>
        <v>0</v>
      </c>
      <c r="AA471" s="1">
        <f t="shared" si="217"/>
        <v>0</v>
      </c>
      <c r="AB471" s="1">
        <f t="shared" si="218"/>
        <v>0</v>
      </c>
      <c r="AD471" s="1">
        <f t="shared" si="219"/>
        <v>0</v>
      </c>
      <c r="AE471" s="1">
        <f t="shared" si="220"/>
        <v>1</v>
      </c>
      <c r="AF471" s="1">
        <f t="shared" ref="AF471:AF507" si="225">+O471*P471*(1-A471)</f>
        <v>0</v>
      </c>
      <c r="AG471" s="1">
        <f t="shared" ref="AG471:AG507" si="226">O471*(1-P471)*(1-A471)</f>
        <v>0</v>
      </c>
      <c r="AH471" s="1">
        <f t="shared" ref="AH471:AH507" si="227">+P471*(1-A471)</f>
        <v>0</v>
      </c>
      <c r="AI471" s="1">
        <f t="shared" ref="AI471:AI507" si="228">+(1-A471)*(1-P471)</f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245</v>
      </c>
      <c r="G472" s="32" t="s">
        <v>219</v>
      </c>
      <c r="H472" s="32" t="s">
        <v>352</v>
      </c>
      <c r="I472" s="31" t="s">
        <v>408</v>
      </c>
      <c r="J472" s="31">
        <v>8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 t="s">
        <v>1981</v>
      </c>
      <c r="S472" s="1">
        <f t="shared" si="209"/>
        <v>0</v>
      </c>
      <c r="T472" s="1">
        <f t="shared" si="210"/>
        <v>0</v>
      </c>
      <c r="U472" s="1">
        <f t="shared" si="211"/>
        <v>0</v>
      </c>
      <c r="V472" s="1">
        <f t="shared" si="212"/>
        <v>0</v>
      </c>
      <c r="W472" s="1">
        <f t="shared" si="213"/>
        <v>0</v>
      </c>
      <c r="X472" s="1">
        <f t="shared" si="214"/>
        <v>0</v>
      </c>
      <c r="Y472" s="1">
        <f t="shared" si="215"/>
        <v>0</v>
      </c>
      <c r="Z472" s="1">
        <f t="shared" si="216"/>
        <v>1</v>
      </c>
      <c r="AA472" s="1">
        <f t="shared" si="217"/>
        <v>0</v>
      </c>
      <c r="AB472" s="1">
        <f t="shared" si="218"/>
        <v>0</v>
      </c>
      <c r="AD472" s="1">
        <f t="shared" si="219"/>
        <v>0</v>
      </c>
      <c r="AE472" s="1">
        <f t="shared" si="220"/>
        <v>1</v>
      </c>
      <c r="AF472" s="1">
        <f t="shared" si="225"/>
        <v>0</v>
      </c>
      <c r="AG472" s="1">
        <f t="shared" si="226"/>
        <v>0</v>
      </c>
      <c r="AH472" s="1">
        <f t="shared" si="227"/>
        <v>0</v>
      </c>
      <c r="AI472" s="1">
        <f t="shared" si="228"/>
        <v>0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66</v>
      </c>
      <c r="E473" s="32" t="s">
        <v>28</v>
      </c>
      <c r="F473" s="32" t="s">
        <v>1021</v>
      </c>
      <c r="G473" s="32" t="s">
        <v>39</v>
      </c>
      <c r="H473" s="32" t="s">
        <v>352</v>
      </c>
      <c r="I473" s="31" t="s">
        <v>1022</v>
      </c>
      <c r="J473" s="31">
        <v>1</v>
      </c>
      <c r="K473" s="33" t="s">
        <v>709</v>
      </c>
      <c r="L473" s="33" t="s">
        <v>709</v>
      </c>
      <c r="M473" s="34" t="s">
        <v>727</v>
      </c>
      <c r="N473" s="34" t="s">
        <v>1714</v>
      </c>
      <c r="O473" s="35">
        <v>1</v>
      </c>
      <c r="P473" s="35"/>
      <c r="Q473" s="32"/>
      <c r="S473" s="1">
        <f t="shared" si="209"/>
        <v>1</v>
      </c>
      <c r="T473" s="1">
        <f t="shared" si="210"/>
        <v>0</v>
      </c>
      <c r="U473" s="1">
        <f t="shared" si="211"/>
        <v>0</v>
      </c>
      <c r="V473" s="1">
        <f t="shared" si="212"/>
        <v>0</v>
      </c>
      <c r="W473" s="1">
        <f t="shared" si="213"/>
        <v>0</v>
      </c>
      <c r="X473" s="1">
        <f t="shared" si="214"/>
        <v>0</v>
      </c>
      <c r="Y473" s="1">
        <f t="shared" si="215"/>
        <v>0</v>
      </c>
      <c r="Z473" s="1">
        <f t="shared" si="216"/>
        <v>0</v>
      </c>
      <c r="AA473" s="1">
        <f t="shared" si="217"/>
        <v>0</v>
      </c>
      <c r="AB473" s="1">
        <f t="shared" si="218"/>
        <v>0</v>
      </c>
      <c r="AD473" s="1">
        <f t="shared" si="219"/>
        <v>0</v>
      </c>
      <c r="AE473" s="1">
        <f t="shared" si="220"/>
        <v>1</v>
      </c>
      <c r="AF473" s="1">
        <f t="shared" si="225"/>
        <v>0</v>
      </c>
      <c r="AG473" s="1">
        <f t="shared" si="226"/>
        <v>0</v>
      </c>
      <c r="AH473" s="1">
        <f t="shared" si="227"/>
        <v>0</v>
      </c>
      <c r="AI473" s="1">
        <f t="shared" si="228"/>
        <v>0</v>
      </c>
    </row>
    <row r="474" spans="1:35" ht="14.25" customHeight="1" x14ac:dyDescent="0.25">
      <c r="A474" s="31">
        <v>1</v>
      </c>
      <c r="B474" s="31">
        <v>2</v>
      </c>
      <c r="C474" s="31">
        <v>7</v>
      </c>
      <c r="D474" s="32" t="s">
        <v>66</v>
      </c>
      <c r="E474" s="32" t="s">
        <v>28</v>
      </c>
      <c r="F474" s="32" t="s">
        <v>1023</v>
      </c>
      <c r="G474" s="32" t="s">
        <v>300</v>
      </c>
      <c r="H474" s="32" t="s">
        <v>352</v>
      </c>
      <c r="I474" s="31" t="s">
        <v>1024</v>
      </c>
      <c r="J474" s="31">
        <v>1</v>
      </c>
      <c r="K474" s="33" t="s">
        <v>709</v>
      </c>
      <c r="L474" s="33" t="s">
        <v>709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209"/>
        <v>1</v>
      </c>
      <c r="T474" s="1">
        <f t="shared" si="210"/>
        <v>0</v>
      </c>
      <c r="U474" s="1">
        <f t="shared" si="211"/>
        <v>0</v>
      </c>
      <c r="V474" s="1">
        <f t="shared" si="212"/>
        <v>0</v>
      </c>
      <c r="W474" s="1">
        <f t="shared" si="213"/>
        <v>0</v>
      </c>
      <c r="X474" s="1">
        <f t="shared" si="214"/>
        <v>0</v>
      </c>
      <c r="Y474" s="1">
        <f t="shared" si="215"/>
        <v>0</v>
      </c>
      <c r="Z474" s="1">
        <f t="shared" si="216"/>
        <v>0</v>
      </c>
      <c r="AA474" s="1">
        <f t="shared" si="217"/>
        <v>0</v>
      </c>
      <c r="AB474" s="1">
        <f t="shared" si="218"/>
        <v>0</v>
      </c>
      <c r="AD474" s="1">
        <f t="shared" si="219"/>
        <v>0</v>
      </c>
      <c r="AE474" s="1">
        <f t="shared" si="220"/>
        <v>1</v>
      </c>
      <c r="AF474" s="1">
        <f t="shared" si="225"/>
        <v>0</v>
      </c>
      <c r="AG474" s="1">
        <f t="shared" si="226"/>
        <v>0</v>
      </c>
      <c r="AH474" s="1">
        <f t="shared" si="227"/>
        <v>0</v>
      </c>
      <c r="AI474" s="1">
        <f t="shared" si="228"/>
        <v>0</v>
      </c>
    </row>
    <row r="475" spans="1:35" ht="14.25" customHeight="1" x14ac:dyDescent="0.25">
      <c r="A475" s="15">
        <v>0</v>
      </c>
      <c r="B475" s="15">
        <v>2</v>
      </c>
      <c r="C475" s="15">
        <v>7</v>
      </c>
      <c r="D475" s="20" t="s">
        <v>1547</v>
      </c>
      <c r="E475" s="20" t="s">
        <v>155</v>
      </c>
      <c r="F475" s="20" t="s">
        <v>1548</v>
      </c>
      <c r="G475" s="16" t="s">
        <v>206</v>
      </c>
      <c r="H475" s="20" t="s">
        <v>352</v>
      </c>
      <c r="I475" s="21" t="s">
        <v>1549</v>
      </c>
      <c r="J475" s="15">
        <v>99</v>
      </c>
      <c r="K475" s="10" t="s">
        <v>708</v>
      </c>
      <c r="L475" s="10" t="s">
        <v>718</v>
      </c>
      <c r="M475" s="19" t="s">
        <v>728</v>
      </c>
      <c r="N475" s="17"/>
      <c r="Q475" s="16"/>
      <c r="S475" s="1">
        <f t="shared" ref="S475:S507" si="229">IF(J475=$S$7,1,0)</f>
        <v>0</v>
      </c>
      <c r="T475" s="1">
        <f t="shared" ref="T475:T507" si="230">IF(J475=$T$7,1,0)</f>
        <v>0</v>
      </c>
      <c r="U475" s="1">
        <f t="shared" ref="U475:U507" si="231">IF(J475=$U$7,1,0)</f>
        <v>0</v>
      </c>
      <c r="V475" s="1">
        <f t="shared" ref="V475:V507" si="232">IF(J475=$V$7,1,0)</f>
        <v>0</v>
      </c>
      <c r="W475" s="1">
        <f t="shared" ref="W475:W507" si="233">IF(J475=$W$7,1,0)</f>
        <v>0</v>
      </c>
      <c r="X475" s="1">
        <f t="shared" ref="X475:X507" si="234">IF(J475=$X$7,1,0)</f>
        <v>0</v>
      </c>
      <c r="Y475" s="1">
        <f t="shared" ref="Y475:Y507" si="235">IF(J475=$Y$7,1,0)</f>
        <v>0</v>
      </c>
      <c r="Z475" s="1">
        <f t="shared" ref="Z475:Z507" si="236">IF(J475=$Z$7,1,0)</f>
        <v>0</v>
      </c>
      <c r="AA475" s="1">
        <f t="shared" ref="AA475:AA507" si="237">IF(J475=$AA$7,1,0)</f>
        <v>0</v>
      </c>
      <c r="AB475" s="1">
        <f t="shared" ref="AB475:AB507" si="238">IF(J475=$AB$7,1,0)</f>
        <v>0</v>
      </c>
      <c r="AD475" s="1">
        <f t="shared" ref="AD475:AD507" si="239">+O475*P475</f>
        <v>0</v>
      </c>
      <c r="AE475" s="1">
        <f t="shared" ref="AE475:AE507" si="240">O475*(1-P475)</f>
        <v>0</v>
      </c>
      <c r="AF475" s="1">
        <f t="shared" si="225"/>
        <v>0</v>
      </c>
      <c r="AG475" s="1">
        <f t="shared" si="226"/>
        <v>0</v>
      </c>
      <c r="AH475" s="1">
        <f t="shared" si="227"/>
        <v>0</v>
      </c>
      <c r="AI475" s="1">
        <f t="shared" si="228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73</v>
      </c>
      <c r="E476" s="32" t="s">
        <v>28</v>
      </c>
      <c r="F476" s="32" t="s">
        <v>263</v>
      </c>
      <c r="G476" s="32" t="s">
        <v>193</v>
      </c>
      <c r="H476" s="32" t="s">
        <v>352</v>
      </c>
      <c r="I476" s="31" t="s">
        <v>419</v>
      </c>
      <c r="J476" s="31">
        <v>9</v>
      </c>
      <c r="K476" s="33" t="s">
        <v>708</v>
      </c>
      <c r="L476" s="33" t="s">
        <v>709</v>
      </c>
      <c r="M476" s="34" t="s">
        <v>727</v>
      </c>
      <c r="N476" s="34" t="s">
        <v>1714</v>
      </c>
      <c r="O476" s="35">
        <v>1</v>
      </c>
      <c r="P476" s="35"/>
      <c r="Q476" s="32"/>
      <c r="S476" s="1">
        <f t="shared" si="229"/>
        <v>0</v>
      </c>
      <c r="T476" s="1">
        <f t="shared" si="230"/>
        <v>0</v>
      </c>
      <c r="U476" s="1">
        <f t="shared" si="231"/>
        <v>0</v>
      </c>
      <c r="V476" s="1">
        <f t="shared" si="232"/>
        <v>0</v>
      </c>
      <c r="W476" s="1">
        <f t="shared" si="233"/>
        <v>0</v>
      </c>
      <c r="X476" s="1">
        <f t="shared" si="234"/>
        <v>0</v>
      </c>
      <c r="Y476" s="1">
        <f t="shared" si="235"/>
        <v>0</v>
      </c>
      <c r="Z476" s="1">
        <f t="shared" si="236"/>
        <v>0</v>
      </c>
      <c r="AA476" s="1">
        <f t="shared" si="237"/>
        <v>1</v>
      </c>
      <c r="AB476" s="1">
        <f t="shared" si="238"/>
        <v>0</v>
      </c>
      <c r="AD476" s="1">
        <f t="shared" si="239"/>
        <v>0</v>
      </c>
      <c r="AE476" s="1">
        <f t="shared" si="240"/>
        <v>1</v>
      </c>
      <c r="AF476" s="1">
        <f t="shared" si="225"/>
        <v>0</v>
      </c>
      <c r="AG476" s="1">
        <f t="shared" si="226"/>
        <v>1</v>
      </c>
      <c r="AH476" s="1">
        <f t="shared" si="227"/>
        <v>0</v>
      </c>
      <c r="AI476" s="1">
        <f t="shared" si="228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59</v>
      </c>
      <c r="E477" s="32" t="s">
        <v>162</v>
      </c>
      <c r="F477" s="32" t="s">
        <v>224</v>
      </c>
      <c r="G477" s="32" t="s">
        <v>225</v>
      </c>
      <c r="H477" s="32" t="s">
        <v>352</v>
      </c>
      <c r="I477" s="31" t="s">
        <v>396</v>
      </c>
      <c r="J477" s="31">
        <v>99</v>
      </c>
      <c r="K477" s="33" t="s">
        <v>709</v>
      </c>
      <c r="L477" s="33" t="s">
        <v>718</v>
      </c>
      <c r="M477" s="34" t="s">
        <v>728</v>
      </c>
      <c r="N477" s="34" t="s">
        <v>1720</v>
      </c>
      <c r="O477" s="35">
        <v>1</v>
      </c>
      <c r="P477" s="35"/>
      <c r="Q477" s="32"/>
      <c r="S477" s="1">
        <f t="shared" si="229"/>
        <v>0</v>
      </c>
      <c r="T477" s="1">
        <f t="shared" si="230"/>
        <v>0</v>
      </c>
      <c r="U477" s="1">
        <f t="shared" si="231"/>
        <v>0</v>
      </c>
      <c r="V477" s="1">
        <f t="shared" si="232"/>
        <v>0</v>
      </c>
      <c r="W477" s="1">
        <f t="shared" si="233"/>
        <v>0</v>
      </c>
      <c r="X477" s="1">
        <f t="shared" si="234"/>
        <v>0</v>
      </c>
      <c r="Y477" s="1">
        <f t="shared" si="235"/>
        <v>0</v>
      </c>
      <c r="Z477" s="1">
        <f t="shared" si="236"/>
        <v>0</v>
      </c>
      <c r="AA477" s="1">
        <f t="shared" si="237"/>
        <v>0</v>
      </c>
      <c r="AB477" s="1">
        <f t="shared" si="238"/>
        <v>0</v>
      </c>
      <c r="AD477" s="1">
        <f t="shared" si="239"/>
        <v>0</v>
      </c>
      <c r="AE477" s="1">
        <f t="shared" si="240"/>
        <v>1</v>
      </c>
      <c r="AF477" s="1">
        <f t="shared" si="225"/>
        <v>0</v>
      </c>
      <c r="AG477" s="1">
        <f t="shared" si="226"/>
        <v>1</v>
      </c>
      <c r="AH477" s="1">
        <f t="shared" si="227"/>
        <v>0</v>
      </c>
      <c r="AI477" s="1">
        <f t="shared" si="228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1062</v>
      </c>
      <c r="E478" s="32" t="s">
        <v>155</v>
      </c>
      <c r="F478" s="32" t="s">
        <v>1063</v>
      </c>
      <c r="G478" s="32" t="s">
        <v>219</v>
      </c>
      <c r="H478" s="32" t="s">
        <v>352</v>
      </c>
      <c r="I478" s="31" t="s">
        <v>1064</v>
      </c>
      <c r="J478" s="31">
        <v>8</v>
      </c>
      <c r="K478" s="33" t="s">
        <v>708</v>
      </c>
      <c r="L478" s="33" t="s">
        <v>718</v>
      </c>
      <c r="M478" s="34" t="s">
        <v>728</v>
      </c>
      <c r="N478" s="34" t="s">
        <v>1718</v>
      </c>
      <c r="O478" s="35">
        <v>1</v>
      </c>
      <c r="P478" s="35"/>
      <c r="Q478" s="32"/>
      <c r="S478" s="1">
        <f t="shared" si="229"/>
        <v>0</v>
      </c>
      <c r="T478" s="1">
        <f t="shared" si="230"/>
        <v>0</v>
      </c>
      <c r="U478" s="1">
        <f t="shared" si="231"/>
        <v>0</v>
      </c>
      <c r="V478" s="1">
        <f t="shared" si="232"/>
        <v>0</v>
      </c>
      <c r="W478" s="1">
        <f t="shared" si="233"/>
        <v>0</v>
      </c>
      <c r="X478" s="1">
        <f t="shared" si="234"/>
        <v>0</v>
      </c>
      <c r="Y478" s="1">
        <f t="shared" si="235"/>
        <v>0</v>
      </c>
      <c r="Z478" s="1">
        <f t="shared" si="236"/>
        <v>1</v>
      </c>
      <c r="AA478" s="1">
        <f t="shared" si="237"/>
        <v>0</v>
      </c>
      <c r="AB478" s="1">
        <f t="shared" si="238"/>
        <v>0</v>
      </c>
      <c r="AD478" s="1">
        <f t="shared" si="239"/>
        <v>0</v>
      </c>
      <c r="AE478" s="1">
        <f t="shared" si="240"/>
        <v>1</v>
      </c>
      <c r="AF478" s="1">
        <f t="shared" si="225"/>
        <v>0</v>
      </c>
      <c r="AG478" s="1">
        <f t="shared" si="226"/>
        <v>1</v>
      </c>
      <c r="AH478" s="1">
        <f t="shared" si="227"/>
        <v>0</v>
      </c>
      <c r="AI478" s="1">
        <f t="shared" si="228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81</v>
      </c>
      <c r="E479" s="32" t="s">
        <v>155</v>
      </c>
      <c r="F479" s="32" t="s">
        <v>272</v>
      </c>
      <c r="G479" s="32" t="s">
        <v>253</v>
      </c>
      <c r="H479" s="32" t="s">
        <v>352</v>
      </c>
      <c r="I479" s="31" t="s">
        <v>426</v>
      </c>
      <c r="J479" s="31">
        <v>99</v>
      </c>
      <c r="K479" s="33" t="s">
        <v>709</v>
      </c>
      <c r="L479" s="33" t="s">
        <v>729</v>
      </c>
      <c r="M479" s="34" t="s">
        <v>730</v>
      </c>
      <c r="N479" s="34" t="s">
        <v>1726</v>
      </c>
      <c r="O479" s="35">
        <v>1</v>
      </c>
      <c r="P479" s="35"/>
      <c r="Q479" s="32"/>
      <c r="S479" s="1">
        <f t="shared" si="229"/>
        <v>0</v>
      </c>
      <c r="T479" s="1">
        <f t="shared" si="230"/>
        <v>0</v>
      </c>
      <c r="U479" s="1">
        <f t="shared" si="231"/>
        <v>0</v>
      </c>
      <c r="V479" s="1">
        <f t="shared" si="232"/>
        <v>0</v>
      </c>
      <c r="W479" s="1">
        <f t="shared" si="233"/>
        <v>0</v>
      </c>
      <c r="X479" s="1">
        <f t="shared" si="234"/>
        <v>0</v>
      </c>
      <c r="Y479" s="1">
        <f t="shared" si="235"/>
        <v>0</v>
      </c>
      <c r="Z479" s="1">
        <f t="shared" si="236"/>
        <v>0</v>
      </c>
      <c r="AA479" s="1">
        <f t="shared" si="237"/>
        <v>0</v>
      </c>
      <c r="AB479" s="1">
        <f t="shared" si="238"/>
        <v>0</v>
      </c>
      <c r="AD479" s="1">
        <f t="shared" si="239"/>
        <v>0</v>
      </c>
      <c r="AE479" s="1">
        <f t="shared" si="240"/>
        <v>1</v>
      </c>
      <c r="AF479" s="1">
        <f t="shared" si="225"/>
        <v>0</v>
      </c>
      <c r="AG479" s="1">
        <f t="shared" si="226"/>
        <v>1</v>
      </c>
      <c r="AH479" s="1">
        <f t="shared" si="227"/>
        <v>0</v>
      </c>
      <c r="AI479" s="1">
        <f t="shared" si="228"/>
        <v>1</v>
      </c>
    </row>
    <row r="480" spans="1:35" ht="14.25" customHeight="1" x14ac:dyDescent="0.25">
      <c r="A480" s="37">
        <v>0</v>
      </c>
      <c r="B480" s="37">
        <v>2</v>
      </c>
      <c r="C480" s="37">
        <v>7</v>
      </c>
      <c r="D480" s="36" t="s">
        <v>1745</v>
      </c>
      <c r="E480" s="36" t="s">
        <v>1746</v>
      </c>
      <c r="F480" s="36" t="s">
        <v>1747</v>
      </c>
      <c r="G480" s="36" t="s">
        <v>189</v>
      </c>
      <c r="H480" s="36" t="s">
        <v>352</v>
      </c>
      <c r="I480" s="37"/>
      <c r="J480" s="37"/>
      <c r="K480" s="33" t="s">
        <v>699</v>
      </c>
      <c r="L480" s="33"/>
      <c r="M480" s="34"/>
      <c r="N480" s="34" t="s">
        <v>1700</v>
      </c>
      <c r="O480" s="35">
        <v>1</v>
      </c>
      <c r="P480" s="35">
        <v>1</v>
      </c>
      <c r="Q480" s="36"/>
      <c r="S480" s="1">
        <f t="shared" si="229"/>
        <v>0</v>
      </c>
      <c r="T480" s="1">
        <f t="shared" si="230"/>
        <v>0</v>
      </c>
      <c r="U480" s="1">
        <f t="shared" si="231"/>
        <v>0</v>
      </c>
      <c r="V480" s="1">
        <f t="shared" si="232"/>
        <v>0</v>
      </c>
      <c r="W480" s="1">
        <f t="shared" si="233"/>
        <v>0</v>
      </c>
      <c r="X480" s="1">
        <f t="shared" si="234"/>
        <v>0</v>
      </c>
      <c r="Y480" s="1">
        <f t="shared" si="235"/>
        <v>0</v>
      </c>
      <c r="Z480" s="1">
        <f t="shared" si="236"/>
        <v>0</v>
      </c>
      <c r="AA480" s="1">
        <f t="shared" si="237"/>
        <v>0</v>
      </c>
      <c r="AB480" s="1">
        <f t="shared" si="238"/>
        <v>0</v>
      </c>
      <c r="AD480" s="1">
        <f t="shared" si="239"/>
        <v>1</v>
      </c>
      <c r="AE480" s="1">
        <f t="shared" si="240"/>
        <v>0</v>
      </c>
      <c r="AF480" s="1">
        <f t="shared" si="225"/>
        <v>1</v>
      </c>
      <c r="AG480" s="1">
        <f t="shared" si="226"/>
        <v>0</v>
      </c>
      <c r="AH480" s="1">
        <f t="shared" si="227"/>
        <v>1</v>
      </c>
      <c r="AI480" s="1">
        <f t="shared" si="228"/>
        <v>0</v>
      </c>
    </row>
    <row r="481" spans="1:35" ht="14.25" customHeight="1" x14ac:dyDescent="0.25">
      <c r="A481" s="37">
        <v>0</v>
      </c>
      <c r="B481" s="37">
        <v>2</v>
      </c>
      <c r="C481" s="37">
        <v>7</v>
      </c>
      <c r="D481" s="36" t="s">
        <v>510</v>
      </c>
      <c r="E481" s="36" t="s">
        <v>155</v>
      </c>
      <c r="F481" s="36" t="s">
        <v>570</v>
      </c>
      <c r="G481" s="36" t="s">
        <v>319</v>
      </c>
      <c r="H481" s="36" t="s">
        <v>352</v>
      </c>
      <c r="I481" s="37" t="s">
        <v>577</v>
      </c>
      <c r="J481" s="37">
        <v>99</v>
      </c>
      <c r="K481" s="33" t="s">
        <v>941</v>
      </c>
      <c r="L481" s="33" t="s">
        <v>718</v>
      </c>
      <c r="M481" s="34" t="s">
        <v>728</v>
      </c>
      <c r="N481" s="34" t="s">
        <v>1731</v>
      </c>
      <c r="O481" s="35">
        <v>1</v>
      </c>
      <c r="P481" s="35"/>
      <c r="Q481" s="36"/>
      <c r="S481" s="1">
        <f t="shared" si="229"/>
        <v>0</v>
      </c>
      <c r="T481" s="1">
        <f t="shared" si="230"/>
        <v>0</v>
      </c>
      <c r="U481" s="1">
        <f t="shared" si="231"/>
        <v>0</v>
      </c>
      <c r="V481" s="1">
        <f t="shared" si="232"/>
        <v>0</v>
      </c>
      <c r="W481" s="1">
        <f t="shared" si="233"/>
        <v>0</v>
      </c>
      <c r="X481" s="1">
        <f t="shared" si="234"/>
        <v>0</v>
      </c>
      <c r="Y481" s="1">
        <f t="shared" si="235"/>
        <v>0</v>
      </c>
      <c r="Z481" s="1">
        <f t="shared" si="236"/>
        <v>0</v>
      </c>
      <c r="AA481" s="1">
        <f t="shared" si="237"/>
        <v>0</v>
      </c>
      <c r="AB481" s="1">
        <f t="shared" si="238"/>
        <v>0</v>
      </c>
      <c r="AD481" s="1">
        <f t="shared" si="239"/>
        <v>0</v>
      </c>
      <c r="AE481" s="1">
        <f t="shared" si="240"/>
        <v>1</v>
      </c>
      <c r="AF481" s="1">
        <f t="shared" si="225"/>
        <v>0</v>
      </c>
      <c r="AG481" s="1">
        <f t="shared" si="226"/>
        <v>1</v>
      </c>
      <c r="AH481" s="1">
        <f t="shared" si="227"/>
        <v>0</v>
      </c>
      <c r="AI481" s="1">
        <f t="shared" si="228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74</v>
      </c>
      <c r="E482" s="32" t="s">
        <v>155</v>
      </c>
      <c r="F482" s="32" t="s">
        <v>671</v>
      </c>
      <c r="G482" s="32" t="s">
        <v>264</v>
      </c>
      <c r="H482" s="32" t="s">
        <v>352</v>
      </c>
      <c r="I482" s="31" t="s">
        <v>420</v>
      </c>
      <c r="J482" s="31">
        <v>99</v>
      </c>
      <c r="K482" s="33" t="s">
        <v>708</v>
      </c>
      <c r="L482" s="33" t="s">
        <v>725</v>
      </c>
      <c r="M482" s="34" t="s">
        <v>728</v>
      </c>
      <c r="N482" s="34" t="s">
        <v>1714</v>
      </c>
      <c r="O482" s="35">
        <v>1</v>
      </c>
      <c r="P482" s="35"/>
      <c r="Q482" s="32"/>
      <c r="S482" s="1">
        <f t="shared" si="229"/>
        <v>0</v>
      </c>
      <c r="T482" s="1">
        <f t="shared" si="230"/>
        <v>0</v>
      </c>
      <c r="U482" s="1">
        <f t="shared" si="231"/>
        <v>0</v>
      </c>
      <c r="V482" s="1">
        <f t="shared" si="232"/>
        <v>0</v>
      </c>
      <c r="W482" s="1">
        <f t="shared" si="233"/>
        <v>0</v>
      </c>
      <c r="X482" s="1">
        <f t="shared" si="234"/>
        <v>0</v>
      </c>
      <c r="Y482" s="1">
        <f t="shared" si="235"/>
        <v>0</v>
      </c>
      <c r="Z482" s="1">
        <f t="shared" si="236"/>
        <v>0</v>
      </c>
      <c r="AA482" s="1">
        <f t="shared" si="237"/>
        <v>0</v>
      </c>
      <c r="AB482" s="1">
        <f t="shared" si="238"/>
        <v>0</v>
      </c>
      <c r="AD482" s="1">
        <f t="shared" si="239"/>
        <v>0</v>
      </c>
      <c r="AE482" s="1">
        <f t="shared" si="240"/>
        <v>1</v>
      </c>
      <c r="AF482" s="1">
        <f t="shared" si="225"/>
        <v>0</v>
      </c>
      <c r="AG482" s="1">
        <f t="shared" si="226"/>
        <v>1</v>
      </c>
      <c r="AH482" s="1">
        <f t="shared" si="227"/>
        <v>0</v>
      </c>
      <c r="AI482" s="1">
        <f t="shared" si="228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1971</v>
      </c>
      <c r="E483" s="32" t="s">
        <v>155</v>
      </c>
      <c r="F483" s="32" t="s">
        <v>1972</v>
      </c>
      <c r="G483" s="32" t="s">
        <v>281</v>
      </c>
      <c r="H483" s="32" t="s">
        <v>352</v>
      </c>
      <c r="I483" s="31" t="s">
        <v>1973</v>
      </c>
      <c r="J483" s="31">
        <v>99</v>
      </c>
      <c r="K483" s="33" t="s">
        <v>699</v>
      </c>
      <c r="L483" s="33" t="s">
        <v>718</v>
      </c>
      <c r="M483" s="34" t="s">
        <v>728</v>
      </c>
      <c r="N483" s="34" t="s">
        <v>1700</v>
      </c>
      <c r="O483" s="35">
        <v>1</v>
      </c>
      <c r="P483" s="35">
        <v>1</v>
      </c>
      <c r="Q483" s="32"/>
      <c r="S483" s="1">
        <f t="shared" si="229"/>
        <v>0</v>
      </c>
      <c r="T483" s="1">
        <f t="shared" si="230"/>
        <v>0</v>
      </c>
      <c r="U483" s="1">
        <f t="shared" si="231"/>
        <v>0</v>
      </c>
      <c r="V483" s="1">
        <f t="shared" si="232"/>
        <v>0</v>
      </c>
      <c r="W483" s="1">
        <f t="shared" si="233"/>
        <v>0</v>
      </c>
      <c r="X483" s="1">
        <f t="shared" si="234"/>
        <v>0</v>
      </c>
      <c r="Y483" s="1">
        <f t="shared" si="235"/>
        <v>0</v>
      </c>
      <c r="Z483" s="1">
        <f t="shared" si="236"/>
        <v>0</v>
      </c>
      <c r="AA483" s="1">
        <f t="shared" si="237"/>
        <v>0</v>
      </c>
      <c r="AB483" s="1">
        <f t="shared" si="238"/>
        <v>0</v>
      </c>
      <c r="AD483" s="1">
        <f t="shared" si="239"/>
        <v>1</v>
      </c>
      <c r="AE483" s="1">
        <f t="shared" si="240"/>
        <v>0</v>
      </c>
      <c r="AF483" s="1">
        <f t="shared" si="225"/>
        <v>1</v>
      </c>
      <c r="AG483" s="1">
        <f t="shared" si="226"/>
        <v>0</v>
      </c>
      <c r="AH483" s="1">
        <f t="shared" si="227"/>
        <v>1</v>
      </c>
      <c r="AI483" s="1">
        <f t="shared" si="228"/>
        <v>0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1971</v>
      </c>
      <c r="E484" s="32" t="s">
        <v>155</v>
      </c>
      <c r="F484" s="32" t="s">
        <v>1974</v>
      </c>
      <c r="G484" s="32" t="s">
        <v>1975</v>
      </c>
      <c r="H484" s="32" t="s">
        <v>352</v>
      </c>
      <c r="I484" s="31" t="s">
        <v>1976</v>
      </c>
      <c r="J484" s="31">
        <v>99</v>
      </c>
      <c r="K484" s="33" t="s">
        <v>699</v>
      </c>
      <c r="L484" s="33" t="s">
        <v>718</v>
      </c>
      <c r="M484" s="34" t="s">
        <v>728</v>
      </c>
      <c r="N484" s="34" t="s">
        <v>1700</v>
      </c>
      <c r="O484" s="35">
        <v>1</v>
      </c>
      <c r="P484" s="35">
        <v>1</v>
      </c>
      <c r="Q484" s="32"/>
      <c r="S484" s="1">
        <f t="shared" si="229"/>
        <v>0</v>
      </c>
      <c r="T484" s="1">
        <f t="shared" si="230"/>
        <v>0</v>
      </c>
      <c r="U484" s="1">
        <f t="shared" si="231"/>
        <v>0</v>
      </c>
      <c r="V484" s="1">
        <f t="shared" si="232"/>
        <v>0</v>
      </c>
      <c r="W484" s="1">
        <f t="shared" si="233"/>
        <v>0</v>
      </c>
      <c r="X484" s="1">
        <f t="shared" si="234"/>
        <v>0</v>
      </c>
      <c r="Y484" s="1">
        <f t="shared" si="235"/>
        <v>0</v>
      </c>
      <c r="Z484" s="1">
        <f t="shared" si="236"/>
        <v>0</v>
      </c>
      <c r="AA484" s="1">
        <f t="shared" si="237"/>
        <v>0</v>
      </c>
      <c r="AB484" s="1">
        <f t="shared" si="238"/>
        <v>0</v>
      </c>
      <c r="AD484" s="1">
        <f t="shared" si="239"/>
        <v>1</v>
      </c>
      <c r="AE484" s="1">
        <f t="shared" si="240"/>
        <v>0</v>
      </c>
      <c r="AF484" s="1">
        <f t="shared" si="225"/>
        <v>0</v>
      </c>
      <c r="AG484" s="1">
        <f t="shared" si="226"/>
        <v>0</v>
      </c>
      <c r="AH484" s="1">
        <f t="shared" si="227"/>
        <v>0</v>
      </c>
      <c r="AI484" s="1">
        <f t="shared" si="228"/>
        <v>0</v>
      </c>
    </row>
    <row r="485" spans="1:35" ht="14.25" customHeight="1" x14ac:dyDescent="0.25">
      <c r="A485" s="15">
        <v>0</v>
      </c>
      <c r="B485" s="15">
        <v>2</v>
      </c>
      <c r="C485" s="15">
        <v>7</v>
      </c>
      <c r="D485" s="20" t="s">
        <v>1828</v>
      </c>
      <c r="E485" s="16" t="s">
        <v>155</v>
      </c>
      <c r="F485" s="20" t="s">
        <v>1829</v>
      </c>
      <c r="G485" s="20" t="s">
        <v>281</v>
      </c>
      <c r="H485" s="20" t="s">
        <v>352</v>
      </c>
      <c r="I485" s="21" t="s">
        <v>1830</v>
      </c>
      <c r="J485" s="15">
        <v>99</v>
      </c>
      <c r="K485" s="10" t="s">
        <v>699</v>
      </c>
      <c r="L485" s="10" t="s">
        <v>718</v>
      </c>
      <c r="M485" s="19" t="s">
        <v>728</v>
      </c>
      <c r="N485" s="19"/>
      <c r="Q485" s="20"/>
      <c r="S485" s="1">
        <f t="shared" si="229"/>
        <v>0</v>
      </c>
      <c r="T485" s="1">
        <f t="shared" si="230"/>
        <v>0</v>
      </c>
      <c r="U485" s="1">
        <f t="shared" si="231"/>
        <v>0</v>
      </c>
      <c r="V485" s="1">
        <f t="shared" si="232"/>
        <v>0</v>
      </c>
      <c r="W485" s="1">
        <f t="shared" si="233"/>
        <v>0</v>
      </c>
      <c r="X485" s="1">
        <f t="shared" si="234"/>
        <v>0</v>
      </c>
      <c r="Y485" s="1">
        <f t="shared" si="235"/>
        <v>0</v>
      </c>
      <c r="Z485" s="1">
        <f t="shared" si="236"/>
        <v>0</v>
      </c>
      <c r="AA485" s="1">
        <f t="shared" si="237"/>
        <v>0</v>
      </c>
      <c r="AB485" s="1">
        <f t="shared" si="238"/>
        <v>0</v>
      </c>
      <c r="AD485" s="1">
        <f t="shared" si="239"/>
        <v>0</v>
      </c>
      <c r="AE485" s="1">
        <f t="shared" si="240"/>
        <v>0</v>
      </c>
      <c r="AF485" s="1">
        <f t="shared" si="225"/>
        <v>0</v>
      </c>
      <c r="AG485" s="1">
        <f t="shared" si="226"/>
        <v>0</v>
      </c>
      <c r="AH485" s="1">
        <f t="shared" si="227"/>
        <v>0</v>
      </c>
      <c r="AI485" s="1">
        <f t="shared" si="228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60</v>
      </c>
      <c r="E486" s="32" t="s">
        <v>162</v>
      </c>
      <c r="F486" s="32" t="s">
        <v>226</v>
      </c>
      <c r="G486" s="32" t="s">
        <v>189</v>
      </c>
      <c r="H486" s="32" t="s">
        <v>352</v>
      </c>
      <c r="I486" s="31" t="s">
        <v>397</v>
      </c>
      <c r="J486" s="31">
        <v>99</v>
      </c>
      <c r="K486" s="33" t="s">
        <v>709</v>
      </c>
      <c r="L486" s="33" t="s">
        <v>718</v>
      </c>
      <c r="M486" s="34" t="s">
        <v>728</v>
      </c>
      <c r="N486" s="34" t="s">
        <v>1718</v>
      </c>
      <c r="O486" s="35">
        <v>1</v>
      </c>
      <c r="P486" s="35"/>
      <c r="Q486" s="32"/>
      <c r="S486" s="1">
        <f t="shared" si="229"/>
        <v>0</v>
      </c>
      <c r="T486" s="1">
        <f t="shared" si="230"/>
        <v>0</v>
      </c>
      <c r="U486" s="1">
        <f t="shared" si="231"/>
        <v>0</v>
      </c>
      <c r="V486" s="1">
        <f t="shared" si="232"/>
        <v>0</v>
      </c>
      <c r="W486" s="1">
        <f t="shared" si="233"/>
        <v>0</v>
      </c>
      <c r="X486" s="1">
        <f t="shared" si="234"/>
        <v>0</v>
      </c>
      <c r="Y486" s="1">
        <f t="shared" si="235"/>
        <v>0</v>
      </c>
      <c r="Z486" s="1">
        <f t="shared" si="236"/>
        <v>0</v>
      </c>
      <c r="AA486" s="1">
        <f t="shared" si="237"/>
        <v>0</v>
      </c>
      <c r="AB486" s="1">
        <f t="shared" si="238"/>
        <v>0</v>
      </c>
      <c r="AD486" s="1">
        <f t="shared" si="239"/>
        <v>0</v>
      </c>
      <c r="AE486" s="1">
        <f t="shared" si="240"/>
        <v>1</v>
      </c>
      <c r="AF486" s="1">
        <f t="shared" si="225"/>
        <v>0</v>
      </c>
      <c r="AG486" s="1">
        <f t="shared" si="226"/>
        <v>1</v>
      </c>
      <c r="AH486" s="1">
        <f t="shared" si="227"/>
        <v>0</v>
      </c>
      <c r="AI486" s="1">
        <f t="shared" si="228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1309</v>
      </c>
      <c r="E487" s="32" t="s">
        <v>155</v>
      </c>
      <c r="F487" s="32" t="s">
        <v>1127</v>
      </c>
      <c r="G487" s="32" t="s">
        <v>191</v>
      </c>
      <c r="H487" s="32" t="s">
        <v>352</v>
      </c>
      <c r="I487" s="31" t="s">
        <v>1346</v>
      </c>
      <c r="J487" s="31">
        <v>99</v>
      </c>
      <c r="K487" s="33" t="s">
        <v>708</v>
      </c>
      <c r="L487" s="33" t="s">
        <v>39</v>
      </c>
      <c r="M487" s="34" t="s">
        <v>39</v>
      </c>
      <c r="N487" s="34" t="s">
        <v>1700</v>
      </c>
      <c r="O487" s="35">
        <v>1</v>
      </c>
      <c r="P487" s="35">
        <v>1</v>
      </c>
      <c r="Q487" s="32"/>
      <c r="S487" s="1">
        <f t="shared" si="229"/>
        <v>0</v>
      </c>
      <c r="T487" s="1">
        <f t="shared" si="230"/>
        <v>0</v>
      </c>
      <c r="U487" s="1">
        <f t="shared" si="231"/>
        <v>0</v>
      </c>
      <c r="V487" s="1">
        <f t="shared" si="232"/>
        <v>0</v>
      </c>
      <c r="W487" s="1">
        <f t="shared" si="233"/>
        <v>0</v>
      </c>
      <c r="X487" s="1">
        <f t="shared" si="234"/>
        <v>0</v>
      </c>
      <c r="Y487" s="1">
        <f t="shared" si="235"/>
        <v>0</v>
      </c>
      <c r="Z487" s="1">
        <f t="shared" si="236"/>
        <v>0</v>
      </c>
      <c r="AA487" s="1">
        <f t="shared" si="237"/>
        <v>0</v>
      </c>
      <c r="AB487" s="1">
        <f t="shared" si="238"/>
        <v>0</v>
      </c>
      <c r="AD487" s="1">
        <f t="shared" si="239"/>
        <v>1</v>
      </c>
      <c r="AE487" s="1">
        <f t="shared" si="240"/>
        <v>0</v>
      </c>
      <c r="AF487" s="1">
        <f t="shared" si="225"/>
        <v>1</v>
      </c>
      <c r="AG487" s="1">
        <f t="shared" si="226"/>
        <v>0</v>
      </c>
      <c r="AH487" s="1">
        <f t="shared" si="227"/>
        <v>1</v>
      </c>
      <c r="AI487" s="1">
        <f t="shared" si="228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585</v>
      </c>
      <c r="E488" s="32" t="s">
        <v>1317</v>
      </c>
      <c r="F488" s="32" t="s">
        <v>672</v>
      </c>
      <c r="G488" s="32" t="s">
        <v>239</v>
      </c>
      <c r="H488" s="32" t="s">
        <v>352</v>
      </c>
      <c r="I488" s="31" t="s">
        <v>403</v>
      </c>
      <c r="J488" s="31">
        <v>1</v>
      </c>
      <c r="K488" s="33" t="s">
        <v>709</v>
      </c>
      <c r="L488" s="33" t="s">
        <v>1684</v>
      </c>
      <c r="M488" s="34" t="s">
        <v>1414</v>
      </c>
      <c r="N488" s="34" t="s">
        <v>1718</v>
      </c>
      <c r="O488" s="35">
        <v>1</v>
      </c>
      <c r="P488" s="35"/>
      <c r="Q488" s="32"/>
      <c r="S488" s="1">
        <f t="shared" si="229"/>
        <v>1</v>
      </c>
      <c r="T488" s="1">
        <f t="shared" si="230"/>
        <v>0</v>
      </c>
      <c r="U488" s="1">
        <f t="shared" si="231"/>
        <v>0</v>
      </c>
      <c r="V488" s="1">
        <f t="shared" si="232"/>
        <v>0</v>
      </c>
      <c r="W488" s="1">
        <f t="shared" si="233"/>
        <v>0</v>
      </c>
      <c r="X488" s="1">
        <f t="shared" si="234"/>
        <v>0</v>
      </c>
      <c r="Y488" s="1">
        <f t="shared" si="235"/>
        <v>0</v>
      </c>
      <c r="Z488" s="1">
        <f t="shared" si="236"/>
        <v>0</v>
      </c>
      <c r="AA488" s="1">
        <f t="shared" si="237"/>
        <v>0</v>
      </c>
      <c r="AB488" s="1">
        <f t="shared" si="238"/>
        <v>0</v>
      </c>
      <c r="AD488" s="1">
        <f t="shared" si="239"/>
        <v>0</v>
      </c>
      <c r="AE488" s="1">
        <f t="shared" si="240"/>
        <v>1</v>
      </c>
      <c r="AF488" s="1">
        <f t="shared" si="225"/>
        <v>0</v>
      </c>
      <c r="AG488" s="1">
        <f t="shared" si="226"/>
        <v>1</v>
      </c>
      <c r="AH488" s="1">
        <f t="shared" si="227"/>
        <v>0</v>
      </c>
      <c r="AI488" s="1">
        <f t="shared" si="228"/>
        <v>1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585</v>
      </c>
      <c r="E489" s="32" t="s">
        <v>1317</v>
      </c>
      <c r="F489" s="32" t="s">
        <v>238</v>
      </c>
      <c r="G489" s="32" t="s">
        <v>177</v>
      </c>
      <c r="H489" s="32" t="s">
        <v>352</v>
      </c>
      <c r="I489" s="31" t="s">
        <v>402</v>
      </c>
      <c r="J489" s="31">
        <v>1</v>
      </c>
      <c r="K489" s="33" t="s">
        <v>709</v>
      </c>
      <c r="L489" s="33" t="s">
        <v>1684</v>
      </c>
      <c r="M489" s="34" t="s">
        <v>1414</v>
      </c>
      <c r="N489" s="34" t="s">
        <v>1718</v>
      </c>
      <c r="O489" s="35">
        <v>1</v>
      </c>
      <c r="P489" s="35"/>
      <c r="Q489" s="36" t="s">
        <v>1881</v>
      </c>
      <c r="S489" s="1">
        <f t="shared" si="229"/>
        <v>1</v>
      </c>
      <c r="T489" s="1">
        <f t="shared" si="230"/>
        <v>0</v>
      </c>
      <c r="U489" s="1">
        <f t="shared" si="231"/>
        <v>0</v>
      </c>
      <c r="V489" s="1">
        <f t="shared" si="232"/>
        <v>0</v>
      </c>
      <c r="W489" s="1">
        <f t="shared" si="233"/>
        <v>0</v>
      </c>
      <c r="X489" s="1">
        <f t="shared" si="234"/>
        <v>0</v>
      </c>
      <c r="Y489" s="1">
        <f t="shared" si="235"/>
        <v>0</v>
      </c>
      <c r="Z489" s="1">
        <f t="shared" si="236"/>
        <v>0</v>
      </c>
      <c r="AA489" s="1">
        <f t="shared" si="237"/>
        <v>0</v>
      </c>
      <c r="AB489" s="1">
        <f t="shared" si="238"/>
        <v>0</v>
      </c>
      <c r="AD489" s="1">
        <f t="shared" si="239"/>
        <v>0</v>
      </c>
      <c r="AE489" s="1">
        <f t="shared" si="240"/>
        <v>1</v>
      </c>
      <c r="AF489" s="1">
        <f t="shared" si="225"/>
        <v>0</v>
      </c>
      <c r="AG489" s="1">
        <f t="shared" si="226"/>
        <v>0</v>
      </c>
      <c r="AH489" s="1">
        <f t="shared" si="227"/>
        <v>0</v>
      </c>
      <c r="AI489" s="1">
        <f t="shared" si="228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1310</v>
      </c>
      <c r="E490" s="32" t="s">
        <v>155</v>
      </c>
      <c r="F490" s="32" t="s">
        <v>1334</v>
      </c>
      <c r="G490" s="32" t="s">
        <v>257</v>
      </c>
      <c r="H490" s="32" t="s">
        <v>352</v>
      </c>
      <c r="I490" s="31" t="s">
        <v>1220</v>
      </c>
      <c r="J490" s="31">
        <v>8</v>
      </c>
      <c r="K490" s="33" t="s">
        <v>942</v>
      </c>
      <c r="L490" s="33" t="s">
        <v>718</v>
      </c>
      <c r="M490" s="34" t="s">
        <v>728</v>
      </c>
      <c r="N490" s="34" t="s">
        <v>1718</v>
      </c>
      <c r="O490" s="35">
        <v>1</v>
      </c>
      <c r="P490" s="35"/>
      <c r="Q490" s="32"/>
      <c r="S490" s="1">
        <f t="shared" si="229"/>
        <v>0</v>
      </c>
      <c r="T490" s="1">
        <f t="shared" si="230"/>
        <v>0</v>
      </c>
      <c r="U490" s="1">
        <f t="shared" si="231"/>
        <v>0</v>
      </c>
      <c r="V490" s="1">
        <f t="shared" si="232"/>
        <v>0</v>
      </c>
      <c r="W490" s="1">
        <f t="shared" si="233"/>
        <v>0</v>
      </c>
      <c r="X490" s="1">
        <f t="shared" si="234"/>
        <v>0</v>
      </c>
      <c r="Y490" s="1">
        <f t="shared" si="235"/>
        <v>0</v>
      </c>
      <c r="Z490" s="1">
        <f t="shared" si="236"/>
        <v>1</v>
      </c>
      <c r="AA490" s="1">
        <f t="shared" si="237"/>
        <v>0</v>
      </c>
      <c r="AB490" s="1">
        <f t="shared" si="238"/>
        <v>0</v>
      </c>
      <c r="AD490" s="1">
        <f t="shared" si="239"/>
        <v>0</v>
      </c>
      <c r="AE490" s="1">
        <f t="shared" si="240"/>
        <v>1</v>
      </c>
      <c r="AF490" s="1">
        <f t="shared" si="225"/>
        <v>0</v>
      </c>
      <c r="AG490" s="1">
        <f t="shared" si="226"/>
        <v>1</v>
      </c>
      <c r="AH490" s="1">
        <f t="shared" si="227"/>
        <v>0</v>
      </c>
      <c r="AI490" s="1">
        <f t="shared" si="228"/>
        <v>1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1310</v>
      </c>
      <c r="E491" s="32" t="s">
        <v>155</v>
      </c>
      <c r="F491" s="32" t="s">
        <v>1199</v>
      </c>
      <c r="G491" s="32" t="s">
        <v>217</v>
      </c>
      <c r="H491" s="32" t="s">
        <v>352</v>
      </c>
      <c r="I491" s="31" t="s">
        <v>1220</v>
      </c>
      <c r="J491" s="31">
        <v>99</v>
      </c>
      <c r="K491" s="33" t="s">
        <v>942</v>
      </c>
      <c r="L491" s="33" t="s">
        <v>718</v>
      </c>
      <c r="M491" s="34" t="s">
        <v>728</v>
      </c>
      <c r="N491" s="34" t="s">
        <v>1718</v>
      </c>
      <c r="O491" s="35">
        <v>1</v>
      </c>
      <c r="P491" s="35"/>
      <c r="Q491" s="32"/>
      <c r="S491" s="1">
        <f t="shared" si="229"/>
        <v>0</v>
      </c>
      <c r="T491" s="1">
        <f t="shared" si="230"/>
        <v>0</v>
      </c>
      <c r="U491" s="1">
        <f t="shared" si="231"/>
        <v>0</v>
      </c>
      <c r="V491" s="1">
        <f t="shared" si="232"/>
        <v>0</v>
      </c>
      <c r="W491" s="1">
        <f t="shared" si="233"/>
        <v>0</v>
      </c>
      <c r="X491" s="1">
        <f t="shared" si="234"/>
        <v>0</v>
      </c>
      <c r="Y491" s="1">
        <f t="shared" si="235"/>
        <v>0</v>
      </c>
      <c r="Z491" s="1">
        <f t="shared" si="236"/>
        <v>0</v>
      </c>
      <c r="AA491" s="1">
        <f t="shared" si="237"/>
        <v>0</v>
      </c>
      <c r="AB491" s="1">
        <f t="shared" si="238"/>
        <v>0</v>
      </c>
      <c r="AD491" s="1">
        <f t="shared" si="239"/>
        <v>0</v>
      </c>
      <c r="AE491" s="1">
        <f t="shared" si="240"/>
        <v>1</v>
      </c>
      <c r="AF491" s="1">
        <f t="shared" si="225"/>
        <v>0</v>
      </c>
      <c r="AG491" s="1">
        <f t="shared" si="226"/>
        <v>0</v>
      </c>
      <c r="AH491" s="1">
        <f t="shared" si="227"/>
        <v>0</v>
      </c>
      <c r="AI491" s="1">
        <f t="shared" si="228"/>
        <v>0</v>
      </c>
    </row>
    <row r="492" spans="1:35" ht="14.25" customHeight="1" x14ac:dyDescent="0.25">
      <c r="A492" s="44">
        <v>0</v>
      </c>
      <c r="B492" s="44">
        <v>2</v>
      </c>
      <c r="C492" s="44">
        <v>7</v>
      </c>
      <c r="D492" s="45" t="s">
        <v>1229</v>
      </c>
      <c r="E492" s="45" t="s">
        <v>155</v>
      </c>
      <c r="F492" s="45" t="s">
        <v>1231</v>
      </c>
      <c r="G492" s="45" t="s">
        <v>219</v>
      </c>
      <c r="H492" s="45" t="s">
        <v>352</v>
      </c>
      <c r="I492" s="44" t="s">
        <v>1347</v>
      </c>
      <c r="J492" s="44">
        <v>8</v>
      </c>
      <c r="K492" s="46" t="s">
        <v>941</v>
      </c>
      <c r="L492" s="46" t="s">
        <v>718</v>
      </c>
      <c r="M492" s="47" t="s">
        <v>728</v>
      </c>
      <c r="N492" s="47" t="s">
        <v>1708</v>
      </c>
      <c r="O492" s="48"/>
      <c r="P492" s="48"/>
      <c r="Q492" s="45"/>
      <c r="S492" s="1">
        <f t="shared" si="229"/>
        <v>0</v>
      </c>
      <c r="T492" s="1">
        <f t="shared" si="230"/>
        <v>0</v>
      </c>
      <c r="U492" s="1">
        <f t="shared" si="231"/>
        <v>0</v>
      </c>
      <c r="V492" s="1">
        <f t="shared" si="232"/>
        <v>0</v>
      </c>
      <c r="W492" s="1">
        <f t="shared" si="233"/>
        <v>0</v>
      </c>
      <c r="X492" s="1">
        <f t="shared" si="234"/>
        <v>0</v>
      </c>
      <c r="Y492" s="1">
        <f t="shared" si="235"/>
        <v>0</v>
      </c>
      <c r="Z492" s="1">
        <f t="shared" si="236"/>
        <v>1</v>
      </c>
      <c r="AA492" s="1">
        <f t="shared" si="237"/>
        <v>0</v>
      </c>
      <c r="AB492" s="1">
        <f t="shared" si="238"/>
        <v>0</v>
      </c>
      <c r="AD492" s="1">
        <f t="shared" si="239"/>
        <v>0</v>
      </c>
      <c r="AE492" s="1">
        <f t="shared" si="240"/>
        <v>0</v>
      </c>
      <c r="AF492" s="1">
        <f t="shared" si="225"/>
        <v>0</v>
      </c>
      <c r="AG492" s="1">
        <f t="shared" si="226"/>
        <v>0</v>
      </c>
      <c r="AH492" s="1">
        <f t="shared" si="227"/>
        <v>0</v>
      </c>
      <c r="AI492" s="1">
        <f t="shared" si="228"/>
        <v>1</v>
      </c>
    </row>
    <row r="493" spans="1:35" ht="14.25" customHeight="1" x14ac:dyDescent="0.25">
      <c r="A493" s="44">
        <v>1</v>
      </c>
      <c r="B493" s="44">
        <v>2</v>
      </c>
      <c r="C493" s="44">
        <v>7</v>
      </c>
      <c r="D493" s="45" t="s">
        <v>1229</v>
      </c>
      <c r="E493" s="45" t="s">
        <v>155</v>
      </c>
      <c r="F493" s="45" t="s">
        <v>1335</v>
      </c>
      <c r="G493" s="45" t="s">
        <v>39</v>
      </c>
      <c r="H493" s="45" t="s">
        <v>353</v>
      </c>
      <c r="I493" s="44" t="s">
        <v>1230</v>
      </c>
      <c r="J493" s="44">
        <v>99</v>
      </c>
      <c r="K493" s="46" t="s">
        <v>941</v>
      </c>
      <c r="L493" s="46" t="s">
        <v>718</v>
      </c>
      <c r="M493" s="47" t="s">
        <v>728</v>
      </c>
      <c r="N493" s="47" t="s">
        <v>1708</v>
      </c>
      <c r="O493" s="48"/>
      <c r="P493" s="48"/>
      <c r="Q493" s="57" t="s">
        <v>1874</v>
      </c>
      <c r="S493" s="1">
        <f t="shared" si="229"/>
        <v>0</v>
      </c>
      <c r="T493" s="1">
        <f t="shared" si="230"/>
        <v>0</v>
      </c>
      <c r="U493" s="1">
        <f t="shared" si="231"/>
        <v>0</v>
      </c>
      <c r="V493" s="1">
        <f t="shared" si="232"/>
        <v>0</v>
      </c>
      <c r="W493" s="1">
        <f t="shared" si="233"/>
        <v>0</v>
      </c>
      <c r="X493" s="1">
        <f t="shared" si="234"/>
        <v>0</v>
      </c>
      <c r="Y493" s="1">
        <f t="shared" si="235"/>
        <v>0</v>
      </c>
      <c r="Z493" s="1">
        <f t="shared" si="236"/>
        <v>0</v>
      </c>
      <c r="AA493" s="1">
        <f t="shared" si="237"/>
        <v>0</v>
      </c>
      <c r="AB493" s="1">
        <f t="shared" si="238"/>
        <v>0</v>
      </c>
      <c r="AD493" s="1">
        <f t="shared" si="239"/>
        <v>0</v>
      </c>
      <c r="AE493" s="1">
        <f t="shared" si="240"/>
        <v>0</v>
      </c>
      <c r="AF493" s="1">
        <f t="shared" si="225"/>
        <v>0</v>
      </c>
      <c r="AG493" s="1">
        <f t="shared" si="226"/>
        <v>0</v>
      </c>
      <c r="AH493" s="1">
        <f t="shared" si="227"/>
        <v>0</v>
      </c>
      <c r="AI493" s="1">
        <f t="shared" si="228"/>
        <v>0</v>
      </c>
    </row>
    <row r="494" spans="1:35" ht="14.25" customHeight="1" x14ac:dyDescent="0.25">
      <c r="A494" s="44">
        <v>1</v>
      </c>
      <c r="B494" s="44">
        <v>2</v>
      </c>
      <c r="C494" s="44">
        <v>7</v>
      </c>
      <c r="D494" s="45" t="s">
        <v>1229</v>
      </c>
      <c r="E494" s="45" t="s">
        <v>155</v>
      </c>
      <c r="F494" s="45" t="s">
        <v>1498</v>
      </c>
      <c r="G494" s="45" t="s">
        <v>234</v>
      </c>
      <c r="H494" s="45" t="s">
        <v>352</v>
      </c>
      <c r="I494" s="44" t="s">
        <v>1664</v>
      </c>
      <c r="J494" s="44">
        <v>99</v>
      </c>
      <c r="K494" s="46" t="s">
        <v>941</v>
      </c>
      <c r="L494" s="46" t="s">
        <v>718</v>
      </c>
      <c r="M494" s="47" t="s">
        <v>728</v>
      </c>
      <c r="N494" s="47" t="s">
        <v>1708</v>
      </c>
      <c r="O494" s="48"/>
      <c r="P494" s="48"/>
      <c r="Q494" s="45"/>
      <c r="S494" s="1">
        <f t="shared" si="229"/>
        <v>0</v>
      </c>
      <c r="T494" s="1">
        <f t="shared" si="230"/>
        <v>0</v>
      </c>
      <c r="U494" s="1">
        <f t="shared" si="231"/>
        <v>0</v>
      </c>
      <c r="V494" s="1">
        <f t="shared" si="232"/>
        <v>0</v>
      </c>
      <c r="W494" s="1">
        <f t="shared" si="233"/>
        <v>0</v>
      </c>
      <c r="X494" s="1">
        <f t="shared" si="234"/>
        <v>0</v>
      </c>
      <c r="Y494" s="1">
        <f t="shared" si="235"/>
        <v>0</v>
      </c>
      <c r="Z494" s="1">
        <f t="shared" si="236"/>
        <v>0</v>
      </c>
      <c r="AA494" s="1">
        <f t="shared" si="237"/>
        <v>0</v>
      </c>
      <c r="AB494" s="1">
        <f t="shared" si="238"/>
        <v>0</v>
      </c>
      <c r="AD494" s="1">
        <f t="shared" si="239"/>
        <v>0</v>
      </c>
      <c r="AE494" s="1">
        <f t="shared" si="240"/>
        <v>0</v>
      </c>
      <c r="AF494" s="1">
        <f t="shared" si="225"/>
        <v>0</v>
      </c>
      <c r="AG494" s="1">
        <f t="shared" si="226"/>
        <v>0</v>
      </c>
      <c r="AH494" s="1">
        <f t="shared" si="227"/>
        <v>0</v>
      </c>
      <c r="AI494" s="1">
        <f t="shared" si="228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1820</v>
      </c>
      <c r="E495" s="32" t="s">
        <v>1821</v>
      </c>
      <c r="F495" s="32" t="s">
        <v>1822</v>
      </c>
      <c r="G495" s="32" t="s">
        <v>264</v>
      </c>
      <c r="H495" s="32" t="s">
        <v>352</v>
      </c>
      <c r="I495" s="31" t="s">
        <v>1823</v>
      </c>
      <c r="J495" s="31">
        <v>99</v>
      </c>
      <c r="K495" s="33" t="s">
        <v>699</v>
      </c>
      <c r="L495" s="33"/>
      <c r="M495" s="34"/>
      <c r="N495" s="34" t="s">
        <v>1700</v>
      </c>
      <c r="O495" s="35">
        <v>1</v>
      </c>
      <c r="P495" s="35">
        <v>1</v>
      </c>
      <c r="Q495" s="32"/>
      <c r="S495" s="1">
        <f t="shared" si="229"/>
        <v>0</v>
      </c>
      <c r="T495" s="1">
        <f t="shared" si="230"/>
        <v>0</v>
      </c>
      <c r="U495" s="1">
        <f t="shared" si="231"/>
        <v>0</v>
      </c>
      <c r="V495" s="1">
        <f t="shared" si="232"/>
        <v>0</v>
      </c>
      <c r="W495" s="1">
        <f t="shared" si="233"/>
        <v>0</v>
      </c>
      <c r="X495" s="1">
        <f t="shared" si="234"/>
        <v>0</v>
      </c>
      <c r="Y495" s="1">
        <f t="shared" si="235"/>
        <v>0</v>
      </c>
      <c r="Z495" s="1">
        <f t="shared" si="236"/>
        <v>0</v>
      </c>
      <c r="AA495" s="1">
        <f t="shared" si="237"/>
        <v>0</v>
      </c>
      <c r="AB495" s="1">
        <f t="shared" si="238"/>
        <v>0</v>
      </c>
      <c r="AD495" s="1">
        <f t="shared" si="239"/>
        <v>1</v>
      </c>
      <c r="AE495" s="1">
        <f t="shared" si="240"/>
        <v>0</v>
      </c>
      <c r="AF495" s="1">
        <f t="shared" si="225"/>
        <v>1</v>
      </c>
      <c r="AG495" s="1">
        <f t="shared" si="226"/>
        <v>0</v>
      </c>
      <c r="AH495" s="1">
        <f t="shared" si="227"/>
        <v>1</v>
      </c>
      <c r="AI495" s="1">
        <f t="shared" si="228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1224</v>
      </c>
      <c r="E496" s="32" t="s">
        <v>28</v>
      </c>
      <c r="F496" s="32" t="s">
        <v>1217</v>
      </c>
      <c r="G496" s="32" t="s">
        <v>1218</v>
      </c>
      <c r="H496" s="32" t="s">
        <v>352</v>
      </c>
      <c r="I496" s="31" t="s">
        <v>1219</v>
      </c>
      <c r="J496" s="31">
        <v>99</v>
      </c>
      <c r="K496" s="33" t="s">
        <v>708</v>
      </c>
      <c r="L496" s="33" t="s">
        <v>709</v>
      </c>
      <c r="M496" s="34" t="s">
        <v>727</v>
      </c>
      <c r="N496" s="34" t="s">
        <v>1714</v>
      </c>
      <c r="O496" s="35">
        <v>1</v>
      </c>
      <c r="P496" s="35"/>
      <c r="Q496" s="32"/>
      <c r="S496" s="1">
        <f t="shared" si="229"/>
        <v>0</v>
      </c>
      <c r="T496" s="1">
        <f t="shared" si="230"/>
        <v>0</v>
      </c>
      <c r="U496" s="1">
        <f t="shared" si="231"/>
        <v>0</v>
      </c>
      <c r="V496" s="1">
        <f t="shared" si="232"/>
        <v>0</v>
      </c>
      <c r="W496" s="1">
        <f t="shared" si="233"/>
        <v>0</v>
      </c>
      <c r="X496" s="1">
        <f t="shared" si="234"/>
        <v>0</v>
      </c>
      <c r="Y496" s="1">
        <f t="shared" si="235"/>
        <v>0</v>
      </c>
      <c r="Z496" s="1">
        <f t="shared" si="236"/>
        <v>0</v>
      </c>
      <c r="AA496" s="1">
        <f t="shared" si="237"/>
        <v>0</v>
      </c>
      <c r="AB496" s="1">
        <f t="shared" si="238"/>
        <v>0</v>
      </c>
      <c r="AD496" s="1">
        <f t="shared" si="239"/>
        <v>0</v>
      </c>
      <c r="AE496" s="1">
        <f t="shared" si="240"/>
        <v>1</v>
      </c>
      <c r="AF496" s="1">
        <f t="shared" si="225"/>
        <v>0</v>
      </c>
      <c r="AG496" s="1">
        <f t="shared" si="226"/>
        <v>1</v>
      </c>
      <c r="AH496" s="1">
        <f t="shared" si="227"/>
        <v>0</v>
      </c>
      <c r="AI496" s="1">
        <f t="shared" si="228"/>
        <v>1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1221</v>
      </c>
      <c r="E497" s="32" t="s">
        <v>28</v>
      </c>
      <c r="F497" s="32" t="s">
        <v>1222</v>
      </c>
      <c r="G497" s="32" t="s">
        <v>519</v>
      </c>
      <c r="H497" s="32" t="s">
        <v>352</v>
      </c>
      <c r="I497" s="31" t="s">
        <v>1223</v>
      </c>
      <c r="J497" s="31">
        <v>99</v>
      </c>
      <c r="K497" s="33" t="s">
        <v>708</v>
      </c>
      <c r="L497" s="33" t="s">
        <v>709</v>
      </c>
      <c r="M497" s="34" t="s">
        <v>727</v>
      </c>
      <c r="N497" s="34" t="s">
        <v>1714</v>
      </c>
      <c r="O497" s="35">
        <v>1</v>
      </c>
      <c r="P497" s="35"/>
      <c r="Q497" s="32"/>
      <c r="S497" s="1">
        <f t="shared" si="229"/>
        <v>0</v>
      </c>
      <c r="T497" s="1">
        <f t="shared" si="230"/>
        <v>0</v>
      </c>
      <c r="U497" s="1">
        <f t="shared" si="231"/>
        <v>0</v>
      </c>
      <c r="V497" s="1">
        <f t="shared" si="232"/>
        <v>0</v>
      </c>
      <c r="W497" s="1">
        <f t="shared" si="233"/>
        <v>0</v>
      </c>
      <c r="X497" s="1">
        <f t="shared" si="234"/>
        <v>0</v>
      </c>
      <c r="Y497" s="1">
        <f t="shared" si="235"/>
        <v>0</v>
      </c>
      <c r="Z497" s="1">
        <f t="shared" si="236"/>
        <v>0</v>
      </c>
      <c r="AA497" s="1">
        <f t="shared" si="237"/>
        <v>0</v>
      </c>
      <c r="AB497" s="1">
        <f t="shared" si="238"/>
        <v>0</v>
      </c>
      <c r="AD497" s="1">
        <f t="shared" si="239"/>
        <v>0</v>
      </c>
      <c r="AE497" s="1">
        <f t="shared" si="240"/>
        <v>1</v>
      </c>
      <c r="AF497" s="1">
        <f t="shared" si="225"/>
        <v>0</v>
      </c>
      <c r="AG497" s="1">
        <f t="shared" si="226"/>
        <v>0</v>
      </c>
      <c r="AH497" s="1">
        <f t="shared" si="227"/>
        <v>0</v>
      </c>
      <c r="AI497" s="1">
        <f t="shared" si="228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1816</v>
      </c>
      <c r="E498" s="32" t="s">
        <v>1152</v>
      </c>
      <c r="F498" s="32" t="s">
        <v>1817</v>
      </c>
      <c r="G498" s="32"/>
      <c r="H498" s="32" t="s">
        <v>352</v>
      </c>
      <c r="I498" s="31" t="s">
        <v>1818</v>
      </c>
      <c r="J498" s="31">
        <v>6</v>
      </c>
      <c r="K498" s="33" t="s">
        <v>699</v>
      </c>
      <c r="L498" s="33"/>
      <c r="M498" s="34"/>
      <c r="N498" s="34" t="s">
        <v>1718</v>
      </c>
      <c r="O498" s="35">
        <v>1</v>
      </c>
      <c r="P498" s="35"/>
      <c r="Q498" s="32"/>
      <c r="S498" s="1">
        <f t="shared" si="229"/>
        <v>0</v>
      </c>
      <c r="T498" s="1">
        <f t="shared" si="230"/>
        <v>0</v>
      </c>
      <c r="U498" s="1">
        <f t="shared" si="231"/>
        <v>0</v>
      </c>
      <c r="V498" s="1">
        <f t="shared" si="232"/>
        <v>0</v>
      </c>
      <c r="W498" s="1">
        <f t="shared" si="233"/>
        <v>0</v>
      </c>
      <c r="X498" s="1">
        <f t="shared" si="234"/>
        <v>1</v>
      </c>
      <c r="Y498" s="1">
        <f t="shared" si="235"/>
        <v>0</v>
      </c>
      <c r="Z498" s="1">
        <f t="shared" si="236"/>
        <v>0</v>
      </c>
      <c r="AA498" s="1">
        <f t="shared" si="237"/>
        <v>0</v>
      </c>
      <c r="AB498" s="1">
        <f t="shared" si="238"/>
        <v>0</v>
      </c>
      <c r="AD498" s="1">
        <f t="shared" si="239"/>
        <v>0</v>
      </c>
      <c r="AE498" s="1">
        <f t="shared" si="240"/>
        <v>1</v>
      </c>
      <c r="AF498" s="1">
        <f t="shared" si="225"/>
        <v>0</v>
      </c>
      <c r="AG498" s="1">
        <f t="shared" si="226"/>
        <v>1</v>
      </c>
      <c r="AH498" s="1">
        <f t="shared" si="227"/>
        <v>0</v>
      </c>
      <c r="AI498" s="1">
        <f t="shared" si="228"/>
        <v>1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1433</v>
      </c>
      <c r="E499" s="32" t="s">
        <v>28</v>
      </c>
      <c r="F499" s="32" t="s">
        <v>1434</v>
      </c>
      <c r="G499" s="32" t="s">
        <v>1435</v>
      </c>
      <c r="H499" s="32" t="s">
        <v>352</v>
      </c>
      <c r="I499" s="31" t="s">
        <v>1436</v>
      </c>
      <c r="J499" s="31">
        <v>99</v>
      </c>
      <c r="K499" s="33" t="s">
        <v>708</v>
      </c>
      <c r="L499" s="33" t="s">
        <v>709</v>
      </c>
      <c r="M499" s="34" t="s">
        <v>727</v>
      </c>
      <c r="N499" s="34" t="s">
        <v>1714</v>
      </c>
      <c r="O499" s="35">
        <v>1</v>
      </c>
      <c r="P499" s="35"/>
      <c r="Q499" s="32" t="s">
        <v>1901</v>
      </c>
      <c r="S499" s="1">
        <f t="shared" si="229"/>
        <v>0</v>
      </c>
      <c r="T499" s="1">
        <f t="shared" si="230"/>
        <v>0</v>
      </c>
      <c r="U499" s="1">
        <f t="shared" si="231"/>
        <v>0</v>
      </c>
      <c r="V499" s="1">
        <f t="shared" si="232"/>
        <v>0</v>
      </c>
      <c r="W499" s="1">
        <f t="shared" si="233"/>
        <v>0</v>
      </c>
      <c r="X499" s="1">
        <f t="shared" si="234"/>
        <v>0</v>
      </c>
      <c r="Y499" s="1">
        <f t="shared" si="235"/>
        <v>0</v>
      </c>
      <c r="Z499" s="1">
        <f t="shared" si="236"/>
        <v>0</v>
      </c>
      <c r="AA499" s="1">
        <f t="shared" si="237"/>
        <v>0</v>
      </c>
      <c r="AB499" s="1">
        <f t="shared" si="238"/>
        <v>0</v>
      </c>
      <c r="AD499" s="1">
        <f t="shared" si="239"/>
        <v>0</v>
      </c>
      <c r="AE499" s="1">
        <f t="shared" si="240"/>
        <v>1</v>
      </c>
      <c r="AF499" s="1">
        <f t="shared" si="225"/>
        <v>0</v>
      </c>
      <c r="AG499" s="1">
        <f t="shared" si="226"/>
        <v>1</v>
      </c>
      <c r="AH499" s="1">
        <f t="shared" si="227"/>
        <v>0</v>
      </c>
      <c r="AI499" s="1">
        <f t="shared" si="228"/>
        <v>1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2103</v>
      </c>
      <c r="E500" s="32" t="s">
        <v>155</v>
      </c>
      <c r="F500" s="32" t="s">
        <v>2104</v>
      </c>
      <c r="G500" s="32" t="s">
        <v>552</v>
      </c>
      <c r="H500" s="32" t="s">
        <v>352</v>
      </c>
      <c r="I500" s="31" t="s">
        <v>2105</v>
      </c>
      <c r="J500" s="31">
        <v>99</v>
      </c>
      <c r="K500" s="33" t="s">
        <v>699</v>
      </c>
      <c r="L500" s="33">
        <v>7</v>
      </c>
      <c r="M500" s="34" t="s">
        <v>728</v>
      </c>
      <c r="N500" s="34" t="s">
        <v>1718</v>
      </c>
      <c r="O500" s="35">
        <v>1</v>
      </c>
      <c r="P500" s="35"/>
      <c r="Q500" s="32"/>
      <c r="S500" s="1">
        <f t="shared" si="229"/>
        <v>0</v>
      </c>
      <c r="T500" s="1">
        <f t="shared" si="230"/>
        <v>0</v>
      </c>
      <c r="U500" s="1">
        <f t="shared" si="231"/>
        <v>0</v>
      </c>
      <c r="V500" s="1">
        <f t="shared" si="232"/>
        <v>0</v>
      </c>
      <c r="W500" s="1">
        <f t="shared" si="233"/>
        <v>0</v>
      </c>
      <c r="X500" s="1">
        <f t="shared" si="234"/>
        <v>0</v>
      </c>
      <c r="Y500" s="1">
        <f t="shared" si="235"/>
        <v>0</v>
      </c>
      <c r="Z500" s="1">
        <f t="shared" si="236"/>
        <v>0</v>
      </c>
      <c r="AA500" s="1">
        <f t="shared" si="237"/>
        <v>0</v>
      </c>
      <c r="AB500" s="1">
        <f t="shared" si="238"/>
        <v>0</v>
      </c>
      <c r="AD500" s="1">
        <f t="shared" si="239"/>
        <v>0</v>
      </c>
      <c r="AE500" s="1">
        <f t="shared" si="240"/>
        <v>1</v>
      </c>
      <c r="AF500" s="1">
        <f t="shared" si="225"/>
        <v>0</v>
      </c>
      <c r="AG500" s="1">
        <f t="shared" si="226"/>
        <v>1</v>
      </c>
      <c r="AH500" s="1">
        <f t="shared" si="227"/>
        <v>0</v>
      </c>
      <c r="AI500" s="1">
        <f t="shared" si="228"/>
        <v>1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2103</v>
      </c>
      <c r="E501" s="32" t="s">
        <v>155</v>
      </c>
      <c r="F501" s="32" t="s">
        <v>2106</v>
      </c>
      <c r="G501" s="32" t="s">
        <v>203</v>
      </c>
      <c r="H501" s="32" t="s">
        <v>352</v>
      </c>
      <c r="I501" s="31" t="s">
        <v>2105</v>
      </c>
      <c r="J501" s="31">
        <v>7</v>
      </c>
      <c r="K501" s="33" t="s">
        <v>699</v>
      </c>
      <c r="L501" s="33">
        <v>7</v>
      </c>
      <c r="M501" s="34" t="s">
        <v>728</v>
      </c>
      <c r="N501" s="34" t="s">
        <v>1718</v>
      </c>
      <c r="O501" s="35">
        <v>1</v>
      </c>
      <c r="P501" s="35"/>
      <c r="Q501" s="32"/>
      <c r="S501" s="1">
        <f t="shared" si="229"/>
        <v>0</v>
      </c>
      <c r="T501" s="1">
        <f t="shared" si="230"/>
        <v>0</v>
      </c>
      <c r="U501" s="1">
        <f t="shared" si="231"/>
        <v>0</v>
      </c>
      <c r="V501" s="1">
        <f t="shared" si="232"/>
        <v>0</v>
      </c>
      <c r="W501" s="1">
        <f t="shared" si="233"/>
        <v>0</v>
      </c>
      <c r="X501" s="1">
        <f t="shared" si="234"/>
        <v>0</v>
      </c>
      <c r="Y501" s="1">
        <f t="shared" si="235"/>
        <v>1</v>
      </c>
      <c r="Z501" s="1">
        <f t="shared" si="236"/>
        <v>0</v>
      </c>
      <c r="AA501" s="1">
        <f t="shared" si="237"/>
        <v>0</v>
      </c>
      <c r="AB501" s="1">
        <f t="shared" si="238"/>
        <v>0</v>
      </c>
      <c r="AD501" s="1">
        <f t="shared" ref="AD501" si="241">+O501*P501</f>
        <v>0</v>
      </c>
      <c r="AE501" s="1">
        <f t="shared" ref="AE501" si="242">O501*(1-P501)</f>
        <v>1</v>
      </c>
      <c r="AF501" s="1">
        <f t="shared" ref="AF501" si="243">+O501*P501*(1-A501)</f>
        <v>0</v>
      </c>
      <c r="AG501" s="1">
        <f t="shared" ref="AG501" si="244">O501*(1-P501)*(1-A501)</f>
        <v>0</v>
      </c>
      <c r="AH501" s="1">
        <f t="shared" ref="AH501" si="245">+P501*(1-A501)</f>
        <v>0</v>
      </c>
      <c r="AI501" s="1">
        <f t="shared" ref="AI501" si="246">+(1-A501)*(1-P501)</f>
        <v>0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571</v>
      </c>
      <c r="G502" s="32" t="s">
        <v>234</v>
      </c>
      <c r="H502" s="32" t="s">
        <v>352</v>
      </c>
      <c r="I502" s="31" t="s">
        <v>578</v>
      </c>
      <c r="J502" s="31">
        <v>99</v>
      </c>
      <c r="K502" s="33" t="s">
        <v>708</v>
      </c>
      <c r="L502" s="33" t="s">
        <v>725</v>
      </c>
      <c r="M502" s="34" t="s">
        <v>1415</v>
      </c>
      <c r="N502" s="34" t="s">
        <v>1718</v>
      </c>
      <c r="O502" s="35">
        <v>1</v>
      </c>
      <c r="P502" s="35"/>
      <c r="Q502" s="32"/>
      <c r="S502" s="1">
        <f t="shared" si="229"/>
        <v>0</v>
      </c>
      <c r="T502" s="1">
        <f t="shared" si="230"/>
        <v>0</v>
      </c>
      <c r="U502" s="1">
        <f t="shared" si="231"/>
        <v>0</v>
      </c>
      <c r="V502" s="1">
        <f t="shared" si="232"/>
        <v>0</v>
      </c>
      <c r="W502" s="1">
        <f t="shared" si="233"/>
        <v>0</v>
      </c>
      <c r="X502" s="1">
        <f t="shared" si="234"/>
        <v>0</v>
      </c>
      <c r="Y502" s="1">
        <f t="shared" si="235"/>
        <v>0</v>
      </c>
      <c r="Z502" s="1">
        <f t="shared" si="236"/>
        <v>0</v>
      </c>
      <c r="AA502" s="1">
        <f t="shared" si="237"/>
        <v>0</v>
      </c>
      <c r="AB502" s="1">
        <f t="shared" si="238"/>
        <v>0</v>
      </c>
      <c r="AD502" s="1">
        <f t="shared" si="239"/>
        <v>0</v>
      </c>
      <c r="AE502" s="1">
        <f t="shared" si="240"/>
        <v>1</v>
      </c>
      <c r="AF502" s="1">
        <f t="shared" si="225"/>
        <v>0</v>
      </c>
      <c r="AG502" s="1">
        <f t="shared" si="226"/>
        <v>1</v>
      </c>
      <c r="AH502" s="1">
        <f t="shared" si="227"/>
        <v>0</v>
      </c>
      <c r="AI502" s="1">
        <f t="shared" si="228"/>
        <v>1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43</v>
      </c>
      <c r="E503" s="32" t="s">
        <v>537</v>
      </c>
      <c r="F503" s="32" t="s">
        <v>270</v>
      </c>
      <c r="G503" s="32" t="s">
        <v>179</v>
      </c>
      <c r="H503" s="32" t="s">
        <v>352</v>
      </c>
      <c r="I503" s="31" t="s">
        <v>424</v>
      </c>
      <c r="J503" s="31">
        <v>10</v>
      </c>
      <c r="K503" s="33" t="s">
        <v>708</v>
      </c>
      <c r="L503" s="33" t="s">
        <v>725</v>
      </c>
      <c r="M503" s="34" t="s">
        <v>1415</v>
      </c>
      <c r="N503" s="34" t="s">
        <v>1718</v>
      </c>
      <c r="O503" s="35">
        <v>1</v>
      </c>
      <c r="P503" s="35"/>
      <c r="Q503" s="32"/>
      <c r="S503" s="1">
        <f t="shared" si="229"/>
        <v>0</v>
      </c>
      <c r="T503" s="1">
        <f t="shared" si="230"/>
        <v>0</v>
      </c>
      <c r="U503" s="1">
        <f t="shared" si="231"/>
        <v>0</v>
      </c>
      <c r="V503" s="1">
        <f t="shared" si="232"/>
        <v>0</v>
      </c>
      <c r="W503" s="1">
        <f t="shared" si="233"/>
        <v>0</v>
      </c>
      <c r="X503" s="1">
        <f t="shared" si="234"/>
        <v>0</v>
      </c>
      <c r="Y503" s="1">
        <f t="shared" si="235"/>
        <v>0</v>
      </c>
      <c r="Z503" s="1">
        <f t="shared" si="236"/>
        <v>0</v>
      </c>
      <c r="AA503" s="1">
        <f t="shared" si="237"/>
        <v>0</v>
      </c>
      <c r="AB503" s="1">
        <f t="shared" si="238"/>
        <v>1</v>
      </c>
      <c r="AD503" s="1">
        <f t="shared" si="239"/>
        <v>0</v>
      </c>
      <c r="AE503" s="1">
        <f t="shared" si="240"/>
        <v>1</v>
      </c>
      <c r="AF503" s="1">
        <f t="shared" si="225"/>
        <v>0</v>
      </c>
      <c r="AG503" s="1">
        <f t="shared" si="226"/>
        <v>0</v>
      </c>
      <c r="AH503" s="1">
        <f t="shared" si="227"/>
        <v>0</v>
      </c>
      <c r="AI503" s="1">
        <f t="shared" si="228"/>
        <v>0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43</v>
      </c>
      <c r="E504" s="32" t="s">
        <v>537</v>
      </c>
      <c r="F504" s="32" t="s">
        <v>271</v>
      </c>
      <c r="G504" s="32" t="s">
        <v>39</v>
      </c>
      <c r="H504" s="32" t="s">
        <v>352</v>
      </c>
      <c r="I504" s="31" t="s">
        <v>425</v>
      </c>
      <c r="J504" s="31">
        <v>5</v>
      </c>
      <c r="K504" s="33" t="s">
        <v>708</v>
      </c>
      <c r="L504" s="33" t="s">
        <v>725</v>
      </c>
      <c r="M504" s="34" t="s">
        <v>1415</v>
      </c>
      <c r="N504" s="34" t="s">
        <v>1718</v>
      </c>
      <c r="O504" s="35">
        <v>1</v>
      </c>
      <c r="P504" s="35"/>
      <c r="Q504" s="32"/>
      <c r="S504" s="1">
        <f t="shared" si="229"/>
        <v>0</v>
      </c>
      <c r="T504" s="1">
        <f t="shared" si="230"/>
        <v>0</v>
      </c>
      <c r="U504" s="1">
        <f t="shared" si="231"/>
        <v>0</v>
      </c>
      <c r="V504" s="1">
        <f t="shared" si="232"/>
        <v>0</v>
      </c>
      <c r="W504" s="1">
        <f t="shared" si="233"/>
        <v>1</v>
      </c>
      <c r="X504" s="1">
        <f t="shared" si="234"/>
        <v>0</v>
      </c>
      <c r="Y504" s="1">
        <f t="shared" si="235"/>
        <v>0</v>
      </c>
      <c r="Z504" s="1">
        <f t="shared" si="236"/>
        <v>0</v>
      </c>
      <c r="AA504" s="1">
        <f t="shared" si="237"/>
        <v>0</v>
      </c>
      <c r="AB504" s="1">
        <f t="shared" si="238"/>
        <v>0</v>
      </c>
      <c r="AD504" s="1">
        <f t="shared" si="239"/>
        <v>0</v>
      </c>
      <c r="AE504" s="1">
        <f t="shared" si="240"/>
        <v>1</v>
      </c>
      <c r="AF504" s="1">
        <f t="shared" si="225"/>
        <v>0</v>
      </c>
      <c r="AG504" s="1">
        <f t="shared" si="226"/>
        <v>0</v>
      </c>
      <c r="AH504" s="1">
        <f t="shared" si="227"/>
        <v>0</v>
      </c>
      <c r="AI504" s="1">
        <f t="shared" si="228"/>
        <v>0</v>
      </c>
    </row>
    <row r="505" spans="1:35" ht="14.25" customHeight="1" x14ac:dyDescent="0.25">
      <c r="A505" s="31">
        <v>1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275</v>
      </c>
      <c r="G505" s="32" t="s">
        <v>193</v>
      </c>
      <c r="H505" s="32" t="s">
        <v>352</v>
      </c>
      <c r="I505" s="31" t="s">
        <v>429</v>
      </c>
      <c r="J505" s="31">
        <v>9</v>
      </c>
      <c r="K505" s="33" t="s">
        <v>708</v>
      </c>
      <c r="L505" s="33" t="s">
        <v>725</v>
      </c>
      <c r="M505" s="34" t="s">
        <v>1415</v>
      </c>
      <c r="N505" s="34" t="s">
        <v>1718</v>
      </c>
      <c r="O505" s="35">
        <v>1</v>
      </c>
      <c r="P505" s="35"/>
      <c r="Q505" s="32"/>
      <c r="S505" s="1">
        <f t="shared" si="229"/>
        <v>0</v>
      </c>
      <c r="T505" s="1">
        <f t="shared" si="230"/>
        <v>0</v>
      </c>
      <c r="U505" s="1">
        <f t="shared" si="231"/>
        <v>0</v>
      </c>
      <c r="V505" s="1">
        <f t="shared" si="232"/>
        <v>0</v>
      </c>
      <c r="W505" s="1">
        <f t="shared" si="233"/>
        <v>0</v>
      </c>
      <c r="X505" s="1">
        <f t="shared" si="234"/>
        <v>0</v>
      </c>
      <c r="Y505" s="1">
        <f t="shared" si="235"/>
        <v>0</v>
      </c>
      <c r="Z505" s="1">
        <f t="shared" si="236"/>
        <v>0</v>
      </c>
      <c r="AA505" s="1">
        <f t="shared" si="237"/>
        <v>1</v>
      </c>
      <c r="AB505" s="1">
        <f t="shared" si="238"/>
        <v>0</v>
      </c>
      <c r="AD505" s="1">
        <f t="shared" si="239"/>
        <v>0</v>
      </c>
      <c r="AE505" s="1">
        <f t="shared" si="240"/>
        <v>1</v>
      </c>
      <c r="AF505" s="1">
        <f t="shared" si="225"/>
        <v>0</v>
      </c>
      <c r="AG505" s="1">
        <f t="shared" si="226"/>
        <v>0</v>
      </c>
      <c r="AH505" s="1">
        <f t="shared" si="227"/>
        <v>0</v>
      </c>
      <c r="AI505" s="1">
        <f t="shared" si="228"/>
        <v>0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1535</v>
      </c>
      <c r="E506" s="32" t="s">
        <v>28</v>
      </c>
      <c r="F506" s="32" t="s">
        <v>1536</v>
      </c>
      <c r="G506" s="32" t="s">
        <v>237</v>
      </c>
      <c r="H506" s="32" t="s">
        <v>352</v>
      </c>
      <c r="I506" s="31" t="s">
        <v>1668</v>
      </c>
      <c r="J506" s="31">
        <v>4</v>
      </c>
      <c r="K506" s="33" t="s">
        <v>709</v>
      </c>
      <c r="L506" s="33" t="s">
        <v>709</v>
      </c>
      <c r="M506" s="34" t="s">
        <v>727</v>
      </c>
      <c r="N506" s="34" t="s">
        <v>1714</v>
      </c>
      <c r="O506" s="35">
        <v>1</v>
      </c>
      <c r="P506" s="35"/>
      <c r="Q506" s="32"/>
      <c r="S506" s="1">
        <f t="shared" si="229"/>
        <v>0</v>
      </c>
      <c r="T506" s="1">
        <f t="shared" si="230"/>
        <v>0</v>
      </c>
      <c r="U506" s="1">
        <f t="shared" si="231"/>
        <v>0</v>
      </c>
      <c r="V506" s="1">
        <f t="shared" si="232"/>
        <v>1</v>
      </c>
      <c r="W506" s="1">
        <f t="shared" si="233"/>
        <v>0</v>
      </c>
      <c r="X506" s="1">
        <f t="shared" si="234"/>
        <v>0</v>
      </c>
      <c r="Y506" s="1">
        <f t="shared" si="235"/>
        <v>0</v>
      </c>
      <c r="Z506" s="1">
        <f t="shared" si="236"/>
        <v>0</v>
      </c>
      <c r="AA506" s="1">
        <f t="shared" si="237"/>
        <v>0</v>
      </c>
      <c r="AB506" s="1">
        <f t="shared" si="238"/>
        <v>0</v>
      </c>
      <c r="AD506" s="1">
        <f t="shared" si="239"/>
        <v>0</v>
      </c>
      <c r="AE506" s="1">
        <f t="shared" si="240"/>
        <v>1</v>
      </c>
      <c r="AF506" s="1">
        <f t="shared" si="225"/>
        <v>0</v>
      </c>
      <c r="AG506" s="1">
        <f t="shared" si="226"/>
        <v>1</v>
      </c>
      <c r="AH506" s="1">
        <f t="shared" si="227"/>
        <v>0</v>
      </c>
      <c r="AI506" s="1">
        <f t="shared" si="228"/>
        <v>1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63</v>
      </c>
      <c r="E507" s="32" t="s">
        <v>44</v>
      </c>
      <c r="F507" s="32" t="s">
        <v>235</v>
      </c>
      <c r="G507" s="32" t="s">
        <v>199</v>
      </c>
      <c r="H507" s="32" t="s">
        <v>352</v>
      </c>
      <c r="I507" s="31" t="s">
        <v>400</v>
      </c>
      <c r="J507" s="31">
        <v>2</v>
      </c>
      <c r="K507" s="33" t="s">
        <v>709</v>
      </c>
      <c r="L507" s="33" t="s">
        <v>718</v>
      </c>
      <c r="M507" s="34" t="s">
        <v>731</v>
      </c>
      <c r="N507" s="34" t="s">
        <v>1714</v>
      </c>
      <c r="O507" s="35">
        <v>1</v>
      </c>
      <c r="P507" s="35"/>
      <c r="Q507" s="32"/>
      <c r="S507" s="1">
        <f t="shared" si="229"/>
        <v>0</v>
      </c>
      <c r="T507" s="1">
        <f t="shared" si="230"/>
        <v>1</v>
      </c>
      <c r="U507" s="1">
        <f t="shared" si="231"/>
        <v>0</v>
      </c>
      <c r="V507" s="1">
        <f t="shared" si="232"/>
        <v>0</v>
      </c>
      <c r="W507" s="1">
        <f t="shared" si="233"/>
        <v>0</v>
      </c>
      <c r="X507" s="1">
        <f t="shared" si="234"/>
        <v>0</v>
      </c>
      <c r="Y507" s="1">
        <f t="shared" si="235"/>
        <v>0</v>
      </c>
      <c r="Z507" s="1">
        <f t="shared" si="236"/>
        <v>0</v>
      </c>
      <c r="AA507" s="1">
        <f t="shared" si="237"/>
        <v>0</v>
      </c>
      <c r="AB507" s="1">
        <f t="shared" si="238"/>
        <v>0</v>
      </c>
      <c r="AD507" s="1">
        <f t="shared" si="239"/>
        <v>0</v>
      </c>
      <c r="AE507" s="1">
        <f t="shared" si="240"/>
        <v>1</v>
      </c>
      <c r="AF507" s="1">
        <f t="shared" si="225"/>
        <v>0</v>
      </c>
      <c r="AG507" s="1">
        <f t="shared" si="226"/>
        <v>1</v>
      </c>
      <c r="AH507" s="1">
        <f t="shared" si="227"/>
        <v>0</v>
      </c>
      <c r="AI507" s="1">
        <f t="shared" si="228"/>
        <v>1</v>
      </c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9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9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9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7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7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7"/>
      <c r="N806" s="17"/>
      <c r="Q806" s="16"/>
    </row>
  </sheetData>
  <autoFilter ref="A7:Q507" xr:uid="{AEE30112-88BB-441D-AEFC-A7A733AB1798}">
    <sortState xmlns:xlrd2="http://schemas.microsoft.com/office/spreadsheetml/2017/richdata2" ref="A8:Q507">
      <sortCondition ref="B8:B507"/>
      <sortCondition ref="C8:C507"/>
      <sortCondition ref="D8:D507"/>
      <sortCondition ref="A8:A507"/>
    </sortState>
  </autoFilter>
  <sortState xmlns:xlrd2="http://schemas.microsoft.com/office/spreadsheetml/2017/richdata2" ref="A8:Q507">
    <sortCondition ref="B8:B507"/>
    <sortCondition ref="C8:C507"/>
    <sortCondition ref="D8:D507"/>
    <sortCondition ref="A8:A50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2026-09-14T14:21:17Z</dcterms:modified>
</cp:coreProperties>
</file>